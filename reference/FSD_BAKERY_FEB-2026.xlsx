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 WITH EXP." sheetId="1" r:id="rId4"/>
    <sheet state="visible" name="PURCHASE" sheetId="2" r:id="rId5"/>
    <sheet state="visible" name="EXPENSES" sheetId="3" r:id="rId6"/>
    <sheet state="visible" name="INVONTERY FEB" sheetId="4" r:id="rId7"/>
    <sheet state="visible" name="ISSU" sheetId="5" r:id="rId8"/>
    <sheet state="visible" name="DAILY UPDATE" sheetId="6" r:id="rId9"/>
    <sheet state="visible" name="AMOUNT UPDATE" sheetId="7" r:id="rId10"/>
    <sheet state="visible" name="PAY ROLL" sheetId="8" r:id="rId11"/>
    <sheet state="hidden" name="ENDING AND MAKE" sheetId="9" r:id="rId12"/>
    <sheet state="hidden" name="ORDER SENT" sheetId="10" r:id="rId13"/>
    <sheet state="hidden" name="B-M" sheetId="11" r:id="rId14"/>
    <sheet state="hidden" name="Sheet3" sheetId="12" r:id="rId15"/>
    <sheet state="hidden" name="Sheet2" sheetId="13" r:id="rId16"/>
    <sheet state="hidden" name="GENERATOR" sheetId="14" r:id="rId17"/>
  </sheets>
  <definedNames>
    <definedName localSheetId="10" name="TRANSFER">#REF!</definedName>
    <definedName localSheetId="0" name="TRANSFER">#REF!</definedName>
    <definedName name="ID">'INVONTERY FEB'!$A$6:$A$131</definedName>
    <definedName localSheetId="0" name="MANAGER">#REF!</definedName>
    <definedName name="DEPARTMENT">#REF!</definedName>
    <definedName localSheetId="3" name="TOTAL_CHICKEN_AMOUNT">#REF!</definedName>
    <definedName name="TRANSFER">#REF!</definedName>
    <definedName localSheetId="8" name="TRANSFER">#REF!</definedName>
    <definedName localSheetId="0" name="DEPARTMENT">#REF!</definedName>
    <definedName localSheetId="8" name="DEPARTMENT">#REF!</definedName>
    <definedName name="MANAGER">#REF!</definedName>
    <definedName name="SUPPLIERS">'AMOUNT UPDATE'!$B$4:$B$19</definedName>
    <definedName localSheetId="8" name="MANAGER">#REF!</definedName>
    <definedName hidden="1" localSheetId="1" name="_xlnm._FilterDatabase">PURCHASE!$A$1:$K$468</definedName>
    <definedName hidden="1" localSheetId="2" name="_xlnm._FilterDatabase">EXPENSES!$A$2:$K$131</definedName>
    <definedName hidden="1" localSheetId="3" name="_xlnm._FilterDatabase">'INVONTERY FEB'!$A$3:$P$328</definedName>
    <definedName hidden="1" localSheetId="6" name="_xlnm._FilterDatabase">'AMOUNT UPDATE'!$A$3:$H$28</definedName>
    <definedName hidden="1" localSheetId="10" name="_xlnm._FilterDatabase">'B-M'!$A$5:$L$492</definedName>
  </definedNames>
  <calcPr/>
  <extLst>
    <ext uri="GoogleSheetsCustomDataVersion2">
      <go:sheetsCustomData xmlns:go="http://customooxmlschemas.google.com/" r:id="rId18" roundtripDataChecksum="vcAYHWz8/XWwuoA58DE70jtB0MmEXgsIFXDlf0LVnno="/>
    </ext>
  </extLst>
</workbook>
</file>

<file path=xl/sharedStrings.xml><?xml version="1.0" encoding="utf-8"?>
<sst xmlns="http://schemas.openxmlformats.org/spreadsheetml/2006/main" count="2575" uniqueCount="905">
  <si>
    <t xml:space="preserve">TU </t>
  </si>
  <si>
    <t>DETAILS</t>
  </si>
  <si>
    <t>Actual</t>
  </si>
  <si>
    <t>%</t>
  </si>
  <si>
    <t>Product Sales</t>
  </si>
  <si>
    <t>FOOD</t>
  </si>
  <si>
    <t>PAPER ITEMS</t>
  </si>
  <si>
    <t>DISTRIBUTION COST</t>
  </si>
  <si>
    <t>CLEANING</t>
  </si>
  <si>
    <t>PAYROLL</t>
  </si>
  <si>
    <t>EMPLOYEE MEAL</t>
  </si>
  <si>
    <t>APARTMENT</t>
  </si>
  <si>
    <t>M&amp;R</t>
  </si>
  <si>
    <t>UNIFORM</t>
  </si>
  <si>
    <t>UTILITIES</t>
  </si>
  <si>
    <t>CROCKERY</t>
  </si>
  <si>
    <t>Total Con. Exp</t>
  </si>
  <si>
    <t>PAC</t>
  </si>
  <si>
    <t>DIRECTOR</t>
  </si>
  <si>
    <t>REMAINING CASH</t>
  </si>
  <si>
    <t>TOTAL EXP AMOUNT</t>
  </si>
  <si>
    <t>CASH DETAIL</t>
  </si>
  <si>
    <t>OP. CASH</t>
  </si>
  <si>
    <t>SALE</t>
  </si>
  <si>
    <t>EXP</t>
  </si>
  <si>
    <t>BAL</t>
  </si>
  <si>
    <t>DIFF</t>
  </si>
  <si>
    <t>DIFF FROM PNL CASH</t>
  </si>
  <si>
    <t>INVENTORY</t>
  </si>
  <si>
    <t>CURRENT MONTH</t>
  </si>
  <si>
    <t>LAST MONTH</t>
  </si>
  <si>
    <t>CASH HANDOVER</t>
  </si>
  <si>
    <t>CASH DIFF</t>
  </si>
  <si>
    <t>STOCK DIFF</t>
  </si>
  <si>
    <t>ACTUAL PROFIT &amp; LOSS</t>
  </si>
  <si>
    <t>(PURCHASE / STOCK IN/ RECEIVE) PRODUCTS FROM VENDOR</t>
  </si>
  <si>
    <t>INV #</t>
  </si>
  <si>
    <t>DATE</t>
  </si>
  <si>
    <t>SUPPLIER NAME</t>
  </si>
  <si>
    <t>ID</t>
  </si>
  <si>
    <t>PRODUCT DETAIL</t>
  </si>
  <si>
    <t>UNIT</t>
  </si>
  <si>
    <t>RATE</t>
  </si>
  <si>
    <t>QTY</t>
  </si>
  <si>
    <t>CREDIT AMOUNT</t>
  </si>
  <si>
    <t>DEBIT AMOUNT</t>
  </si>
  <si>
    <t>COMMENTS</t>
  </si>
  <si>
    <t>ELAHE EGGS TRADER</t>
  </si>
  <si>
    <t>MIAN SHOUKAT TRADERS</t>
  </si>
  <si>
    <t>HAFFIZ MAHMOOD</t>
  </si>
  <si>
    <t>LOCAL MARKET</t>
  </si>
  <si>
    <t>S.N TRADERS</t>
  </si>
  <si>
    <t>BAKERZ SOLUTIONS</t>
  </si>
  <si>
    <t>NESTLE</t>
  </si>
  <si>
    <t>SULTANI PRINTING</t>
  </si>
  <si>
    <t>GMSA LPG</t>
  </si>
  <si>
    <t/>
  </si>
  <si>
    <t xml:space="preserve">   </t>
  </si>
  <si>
    <t>HEAD</t>
  </si>
  <si>
    <t>SUB HEAD</t>
  </si>
  <si>
    <t>DETAIL</t>
  </si>
  <si>
    <t>AMOUNT</t>
  </si>
  <si>
    <t>TOTAL</t>
  </si>
  <si>
    <t>VENDOR</t>
  </si>
  <si>
    <t>MEAL</t>
  </si>
  <si>
    <t>BAKERY TEAM MEAL MA/O FEB</t>
  </si>
  <si>
    <t>SPONGEE</t>
  </si>
  <si>
    <t>EGGS</t>
  </si>
  <si>
    <t>CAKE TOPPING</t>
  </si>
  <si>
    <t>FERRARO CHOCLATE</t>
  </si>
  <si>
    <t>PAPER ITEM</t>
  </si>
  <si>
    <t>DISSPOSSABLE PACKING</t>
  </si>
  <si>
    <t>PCS</t>
  </si>
  <si>
    <t>FOUNDANT</t>
  </si>
  <si>
    <t>ORDER CAKE</t>
  </si>
  <si>
    <t>ORDER CAKE PICS AND FLOWER</t>
  </si>
  <si>
    <t>EVAN FUEL</t>
  </si>
  <si>
    <t>AUTO RENT</t>
  </si>
  <si>
    <t>PTCL</t>
  </si>
  <si>
    <t>PTCL BILL PAID M/O FEB</t>
  </si>
  <si>
    <t>FUMIGATION</t>
  </si>
  <si>
    <t>MISC</t>
  </si>
  <si>
    <t>BAKERY WASHROOM MIROR AND CEMRA WIRE COVERD</t>
  </si>
  <si>
    <t>CAKE CREAM</t>
  </si>
  <si>
    <t>BUTTER</t>
  </si>
  <si>
    <t>SALARY</t>
  </si>
  <si>
    <t>BAKERY TEAM SALARY M/O JAN</t>
  </si>
  <si>
    <t>ORDER CAKE FLOWERS AND TOOTH PICK STICKS</t>
  </si>
  <si>
    <t>ORDER CAKE PIC</t>
  </si>
  <si>
    <t xml:space="preserve">FESCO </t>
  </si>
  <si>
    <t>BAKERY DEPARTMENT FESCO BILL PAID M/O FEB</t>
  </si>
  <si>
    <t>RENT</t>
  </si>
  <si>
    <t>BAKERY TEAM HOME RENT M/O JAN</t>
  </si>
  <si>
    <t>BAKERY DISHWASHING SPINDEL CHANGE</t>
  </si>
  <si>
    <t>PISTA SAPREAD</t>
  </si>
  <si>
    <t>IKRAM HOME RENT M/O JAN</t>
  </si>
  <si>
    <t>ORDER CAKE PICS AND FLOWERS</t>
  </si>
  <si>
    <t>YASIR SB</t>
  </si>
  <si>
    <t>CASH HAND OVER TO YASIR SB</t>
  </si>
  <si>
    <t>FOOD COLOURE</t>
  </si>
  <si>
    <t>SAJID</t>
  </si>
  <si>
    <t>SAJID BAKERY CASH CHARGE TO SALARY</t>
  </si>
  <si>
    <t>DUSTER</t>
  </si>
  <si>
    <t>ORDER CAKE BOWL</t>
  </si>
  <si>
    <t>ORDER CAKE PIPE</t>
  </si>
  <si>
    <t>ORDER CAKE SHEET</t>
  </si>
  <si>
    <t>HAFIZ MEHMOOD PAYMENT</t>
  </si>
  <si>
    <t>SHUKAT TRADERS PAYMENT</t>
  </si>
  <si>
    <t>BUTTER PAYMENT</t>
  </si>
  <si>
    <t>OLPER CREAM S.N TRADERS PAYMENT</t>
  </si>
  <si>
    <t>CAKE SHEET 5 POUND</t>
  </si>
  <si>
    <t>CAKE SHEET 7 POUND</t>
  </si>
  <si>
    <t>CAKE SHEET 8 POUND</t>
  </si>
  <si>
    <t>CAKE SHEET 4 POUND</t>
  </si>
  <si>
    <t>BROWN PAPER RIM</t>
  </si>
  <si>
    <t>PAN PAPER</t>
  </si>
  <si>
    <t>THERMAPOL BOWL PKT</t>
  </si>
  <si>
    <t>MUFFIN CASES</t>
  </si>
  <si>
    <t>ORDER CAKE FLOWERS</t>
  </si>
  <si>
    <t>ORDER CAKE DOLL AND PICS</t>
  </si>
  <si>
    <t>HAMAIYOUN</t>
  </si>
  <si>
    <t>HAMAIYOUN ORDER CHARGE TO SALARY</t>
  </si>
  <si>
    <t>BAKERY VESSICOLOR FAN</t>
  </si>
  <si>
    <t>WHIPPY CREAM 12 CTN</t>
  </si>
  <si>
    <t>ORDER CAKEBUTTERFLY AND PICS AND DOLL</t>
  </si>
  <si>
    <t>HAFIZ MEHMOOD PAYMENT PAID</t>
  </si>
  <si>
    <t>S.N TRADERS PAYMENT PAID</t>
  </si>
  <si>
    <t>IKRAM</t>
  </si>
  <si>
    <t>ADVANCE</t>
  </si>
  <si>
    <t>ASMAT</t>
  </si>
  <si>
    <t>KHURAM</t>
  </si>
  <si>
    <t>SABIR</t>
  </si>
  <si>
    <t>EVAN</t>
  </si>
  <si>
    <t>BAKERY DISHWASH SPINDEL</t>
  </si>
  <si>
    <t>LPG</t>
  </si>
  <si>
    <t>04-CLY LPG</t>
  </si>
  <si>
    <t xml:space="preserve">MFD SHHET FOR ORDER CAKE </t>
  </si>
  <si>
    <t>HAMMAD</t>
  </si>
  <si>
    <t>HAMMAD ADVANCE</t>
  </si>
  <si>
    <t xml:space="preserve">MEAL </t>
  </si>
  <si>
    <t xml:space="preserve">EMPLOYE MEAL </t>
  </si>
  <si>
    <t>03-CLY LPG</t>
  </si>
  <si>
    <t xml:space="preserve">VEN FULE </t>
  </si>
  <si>
    <t xml:space="preserve">FLOWER FOR ORDER CAKE </t>
  </si>
  <si>
    <t xml:space="preserve">PULACK MILK </t>
  </si>
  <si>
    <t>CAKE SHEET</t>
  </si>
  <si>
    <t xml:space="preserve">MIAN SHOUKAT TRADERS BILL CLEAR </t>
  </si>
  <si>
    <t>OLPER MILK  S.N TRADERS PAYMENT</t>
  </si>
  <si>
    <t xml:space="preserve">CAKE CAREAM </t>
  </si>
  <si>
    <t xml:space="preserve">SUGAR </t>
  </si>
  <si>
    <t xml:space="preserve">RENT </t>
  </si>
  <si>
    <t>RENT FOR SUGAR</t>
  </si>
  <si>
    <t xml:space="preserve">DIRECTOR </t>
  </si>
  <si>
    <t xml:space="preserve">YASIR SB </t>
  </si>
  <si>
    <t>INVENTORY REPORT</t>
  </si>
  <si>
    <t>OPENING INV</t>
  </si>
  <si>
    <t>OPENING AMOUNT</t>
  </si>
  <si>
    <t>PURCHASE</t>
  </si>
  <si>
    <t>ISSUE</t>
  </si>
  <si>
    <t>DAILY USAGE 
AVERAGE</t>
  </si>
  <si>
    <t>CLOSING INV</t>
  </si>
  <si>
    <t>CLOSING 
AMOUNT</t>
  </si>
  <si>
    <t>NEW 
RATE</t>
  </si>
  <si>
    <t>PRICE COMP.</t>
  </si>
  <si>
    <t>COST INCREASE</t>
  </si>
  <si>
    <t>COST</t>
  </si>
  <si>
    <t>COMPANY NAME</t>
  </si>
  <si>
    <t>SPONAGE</t>
  </si>
  <si>
    <t>EOD</t>
  </si>
  <si>
    <t>OUT</t>
  </si>
  <si>
    <t>OPENING</t>
  </si>
  <si>
    <t>RED VELVET CONCENTRATE 10 KG</t>
  </si>
  <si>
    <t>KG</t>
  </si>
  <si>
    <t>VENUS</t>
  </si>
  <si>
    <t>LA OLA CONCENTRATE</t>
  </si>
  <si>
    <t>LOCAL</t>
  </si>
  <si>
    <t>AUSTRIA SPONGE MIX CONCENTRATE (269)</t>
  </si>
  <si>
    <t>KISAN CANOLA OIL 5 LTR</t>
  </si>
  <si>
    <t>BOX</t>
  </si>
  <si>
    <t>FLOUR</t>
  </si>
  <si>
    <t>BAG</t>
  </si>
  <si>
    <t>LOSSE SUGAR 50KG</t>
  </si>
  <si>
    <t>POLAC CONDENSED MILK 1-LTR</t>
  </si>
  <si>
    <t>TIN</t>
  </si>
  <si>
    <t>OLPERS MILK 1.5 LTR</t>
  </si>
  <si>
    <t>COCO POWDER MALASIAN</t>
  </si>
  <si>
    <t>VANILLA ESSENCE 500 GM</t>
  </si>
  <si>
    <t>BOTT</t>
  </si>
  <si>
    <t>K'E'H</t>
  </si>
  <si>
    <t>SALT 800GM</t>
  </si>
  <si>
    <t>PKT</t>
  </si>
  <si>
    <t>BAKING POWDER HOLIDAY</t>
  </si>
  <si>
    <t>BAKING SODA 1- KG</t>
  </si>
  <si>
    <t>STARCH</t>
  </si>
  <si>
    <t>KHOYA ESSANSE</t>
  </si>
  <si>
    <t>HABIB OIL 4.5 L BOT</t>
  </si>
  <si>
    <t>PUCK CHEESE</t>
  </si>
  <si>
    <t>JAR</t>
  </si>
  <si>
    <t>GULCOSE LIQUID</t>
  </si>
  <si>
    <t>POLAC MILK 390 GM</t>
  </si>
  <si>
    <t>TOTA SPONAGE AMOUNT</t>
  </si>
  <si>
    <t>CAKE CRÈME</t>
  </si>
  <si>
    <t>CHOCO KNOC</t>
  </si>
  <si>
    <t>BUCKET</t>
  </si>
  <si>
    <t>MILK PACK CREAM200ML</t>
  </si>
  <si>
    <t>NESTLE BUTTER</t>
  </si>
  <si>
    <t>WHIPPING CREAM</t>
  </si>
  <si>
    <t>ROXELLA CRUNCHY CREAM</t>
  </si>
  <si>
    <t>NURPUR BUTTER</t>
  </si>
  <si>
    <t xml:space="preserve">CHEESE CREAM </t>
  </si>
  <si>
    <t>LTR</t>
  </si>
  <si>
    <t>G.P ICING SUGAR</t>
  </si>
  <si>
    <t>DARK CHOCLATE SLAB 2 KG</t>
  </si>
  <si>
    <t>MILKI CHOCLATE SLAB 2 KG</t>
  </si>
  <si>
    <t>REHMAT WHEAT</t>
  </si>
  <si>
    <t>HISS CHOCLATE 4 RINGS</t>
  </si>
  <si>
    <t>HISS CHOCLATE 2 RINGS</t>
  </si>
  <si>
    <t>DAIRY MILK</t>
  </si>
  <si>
    <t>CORN FLOURE</t>
  </si>
  <si>
    <t>WHITE CHOCLATE SLAB 2 KG</t>
  </si>
  <si>
    <t>LUEVEN CREAM</t>
  </si>
  <si>
    <t>PISTACHIO SAPREAD</t>
  </si>
  <si>
    <t>OLPERS CREAM 200 ML</t>
  </si>
  <si>
    <t>SALBON CHOCLATE</t>
  </si>
  <si>
    <t>TOTAL CAKE CREME AMOUNT</t>
  </si>
  <si>
    <t>CAKE TOPPINGS</t>
  </si>
  <si>
    <t>LOTUS BISCOFF</t>
  </si>
  <si>
    <t>FRUIT COCTAIL</t>
  </si>
  <si>
    <t xml:space="preserve">TIN </t>
  </si>
  <si>
    <t>RED CHERRIES</t>
  </si>
  <si>
    <t>CASE</t>
  </si>
  <si>
    <t>ALMONDS</t>
  </si>
  <si>
    <t>CASHEW NUT</t>
  </si>
  <si>
    <t>PISTACHIO</t>
  </si>
  <si>
    <t>PEANUTS</t>
  </si>
  <si>
    <t>CAKE SPRINKELS</t>
  </si>
  <si>
    <t>COCONUT CRUMBULES</t>
  </si>
  <si>
    <t>FERRY ROSE</t>
  </si>
  <si>
    <t>LOTO CRUMBEL (885)</t>
  </si>
  <si>
    <t>CAREMAL SYRUP</t>
  </si>
  <si>
    <t>DARK CHOCLATE CHIPS</t>
  </si>
  <si>
    <t>PICTURE CAKE</t>
  </si>
  <si>
    <t>LOTO SPREAD 400G</t>
  </si>
  <si>
    <t xml:space="preserve">LOTO SPREAD </t>
  </si>
  <si>
    <t>SPARK CHOCLATE OLD</t>
  </si>
  <si>
    <t>CTN</t>
  </si>
  <si>
    <t>MIX FRUIT GELL</t>
  </si>
  <si>
    <t>CHECKPEAS</t>
  </si>
  <si>
    <t>GOLOKOZ</t>
  </si>
  <si>
    <t>EDIBLE COLOUR</t>
  </si>
  <si>
    <t>PINE APPLE</t>
  </si>
  <si>
    <t>SPARK CHOCLATE NEW</t>
  </si>
  <si>
    <t>SILVER MOTI</t>
  </si>
  <si>
    <t>GOLDEN MOTI</t>
  </si>
  <si>
    <t>GOLDEN WORK</t>
  </si>
  <si>
    <t>SILVER WORK</t>
  </si>
  <si>
    <t>CHOCO LAVA BISCUIT</t>
  </si>
  <si>
    <t>OREO BISCUIT</t>
  </si>
  <si>
    <t>TOTAL CAKE TOPPING AMOUNT</t>
  </si>
  <si>
    <t>FOUNDANT CAKE</t>
  </si>
  <si>
    <t>RED SPONCH FOOD COLOUR 400GMS</t>
  </si>
  <si>
    <t>ORANGE SPONCH FOOD COLOUR 400GMS</t>
  </si>
  <si>
    <t>VIBGYOR BASE FOUNDANT COLOURE</t>
  </si>
  <si>
    <t>ALMOND SYRUP</t>
  </si>
  <si>
    <t>CARDMOM SYRUP</t>
  </si>
  <si>
    <t>VIZYON CHOCLATE SAYRUP</t>
  </si>
  <si>
    <t>VIZYON TOPPING CERAMAL</t>
  </si>
  <si>
    <t>LEMON ESSENCE</t>
  </si>
  <si>
    <t>NESTLE COFFEE</t>
  </si>
  <si>
    <t>MITHA SODA</t>
  </si>
  <si>
    <t>BISCOTTO WAFER</t>
  </si>
  <si>
    <t>GOLDEN EATABLE COLOUR</t>
  </si>
  <si>
    <t>SILVER EATABLE COLOURE</t>
  </si>
  <si>
    <t>BUTTERFLY</t>
  </si>
  <si>
    <t>VIBGOR FOOD COLOUR</t>
  </si>
  <si>
    <t>WALNUT</t>
  </si>
  <si>
    <t>SNICKERS</t>
  </si>
  <si>
    <t>TOTAL FOUNDANT AMOUNT</t>
  </si>
  <si>
    <t>TOTAL FOOD COST</t>
  </si>
  <si>
    <t>CAKE BOX</t>
  </si>
  <si>
    <t>CAKE BOARD PRINTED</t>
  </si>
  <si>
    <t>CAKE SHEET 3 POUND</t>
  </si>
  <si>
    <t>PAPER TRAY 5 POUND</t>
  </si>
  <si>
    <t>PAPER TRAY 6 POUND</t>
  </si>
  <si>
    <t>PAPER TRAY 7 POUND</t>
  </si>
  <si>
    <t>PAPER TRAY 8 POUND</t>
  </si>
  <si>
    <t>CLING FLIM</t>
  </si>
  <si>
    <t>MINI MUFFIN CASE</t>
  </si>
  <si>
    <t>BRWON MUFFIN CASE</t>
  </si>
  <si>
    <t>BUTTER PAPER</t>
  </si>
  <si>
    <t>RIM</t>
  </si>
  <si>
    <t>CAKE PAN PAPER</t>
  </si>
  <si>
    <t>SUNDAE CUP PRINTED</t>
  </si>
  <si>
    <t>THERMAPOL BOLL SHEET</t>
  </si>
  <si>
    <t>TOOTH STICK</t>
  </si>
  <si>
    <t>GOLDEN STONE</t>
  </si>
  <si>
    <t>PAPER TRAY 10 POUND</t>
  </si>
  <si>
    <t>FOOD SFTEY LINER</t>
  </si>
  <si>
    <t>TOTAL PAPER AMOUNT</t>
  </si>
  <si>
    <t>CLEANING ITEMS</t>
  </si>
  <si>
    <t>DUST BIN LARGE</t>
  </si>
  <si>
    <t>OVEN GLOVES</t>
  </si>
  <si>
    <t>IN WARD BOOK</t>
  </si>
  <si>
    <t>OUT WARD BOOK</t>
  </si>
  <si>
    <t>SENDING BRANCH BOOK</t>
  </si>
  <si>
    <t>DEMAND BOOK</t>
  </si>
  <si>
    <t>VISORS</t>
  </si>
  <si>
    <t>MOB REFILL</t>
  </si>
  <si>
    <t>CLEANING BURUSH</t>
  </si>
  <si>
    <t>PACKING TAPE</t>
  </si>
  <si>
    <t>DISPOSIBLE GLOVES</t>
  </si>
  <si>
    <t>PHYNYL</t>
  </si>
  <si>
    <t>DISH WASH</t>
  </si>
  <si>
    <t>TOTAL CLEANING AMOUNT</t>
  </si>
  <si>
    <t>CROCKERY ITEMS</t>
  </si>
  <si>
    <t>SCISSOR</t>
  </si>
  <si>
    <t>CRK BOWL XL</t>
  </si>
  <si>
    <t>CRK BOWL SMALL</t>
  </si>
  <si>
    <t>CRK BOWL MEDIUM</t>
  </si>
  <si>
    <t>CRK SPACTULA</t>
  </si>
  <si>
    <t>FLOUR ROLLER</t>
  </si>
  <si>
    <t>CAKE LRG PAN</t>
  </si>
  <si>
    <t>MUFFIN CUP SMALL</t>
  </si>
  <si>
    <t>MUFFIN CUP LRG</t>
  </si>
  <si>
    <t>LAVA CUP LRG</t>
  </si>
  <si>
    <t>BROWNIE TRAY</t>
  </si>
  <si>
    <t>CAKE SANCHA</t>
  </si>
  <si>
    <t>WEIGHT SCALE</t>
  </si>
  <si>
    <t>CRK BOWL LARGE</t>
  </si>
  <si>
    <t>KNIF ARI</t>
  </si>
  <si>
    <t>CUTTING BOARD</t>
  </si>
  <si>
    <t>STEEL KNIF</t>
  </si>
  <si>
    <t>TEA CUP</t>
  </si>
  <si>
    <t>NON STICK KARAHI</t>
  </si>
  <si>
    <t>CAKE STAND</t>
  </si>
  <si>
    <t>PSC</t>
  </si>
  <si>
    <t>OLING BURCH</t>
  </si>
  <si>
    <t>COOKIE CUTTERS</t>
  </si>
  <si>
    <t>STEEL CARD</t>
  </si>
  <si>
    <t>SAHVER GAN</t>
  </si>
  <si>
    <t>PLASTIC BOTT</t>
  </si>
  <si>
    <t>KNIFE LARGE</t>
  </si>
  <si>
    <t>KNIFE SMALL</t>
  </si>
  <si>
    <t>SCRAPER SET</t>
  </si>
  <si>
    <t>SIDE SCRAPER</t>
  </si>
  <si>
    <t>CAKE PAN</t>
  </si>
  <si>
    <t>STEEL BAMBO</t>
  </si>
  <si>
    <t>STEEL SPOON SET</t>
  </si>
  <si>
    <t>EGG MIXCHER</t>
  </si>
  <si>
    <t>STEEL TRAY LARG</t>
  </si>
  <si>
    <t>STEEL TRAY SMALL</t>
  </si>
  <si>
    <t>WATER COLOR</t>
  </si>
  <si>
    <t>TIN CUTTER</t>
  </si>
  <si>
    <t>TOOTH PIC</t>
  </si>
  <si>
    <t>STEEL CUP</t>
  </si>
  <si>
    <t>SAPOON SET</t>
  </si>
  <si>
    <t>MIXING CUP</t>
  </si>
  <si>
    <t>TAPE</t>
  </si>
  <si>
    <t>SCRAPER</t>
  </si>
  <si>
    <t>BROWNIE TRAYS</t>
  </si>
  <si>
    <t>LOAF TRAYS</t>
  </si>
  <si>
    <t>LAVA CAKE BOWL</t>
  </si>
  <si>
    <t>BALENA</t>
  </si>
  <si>
    <t>SCISSORS</t>
  </si>
  <si>
    <t>CAKE TRAYS</t>
  </si>
  <si>
    <t>SMALL STAINER</t>
  </si>
  <si>
    <t>LARGE STAINER-10-KG</t>
  </si>
  <si>
    <t>PLASHER KNIVES</t>
  </si>
  <si>
    <t>FOUNDANT CUTTER</t>
  </si>
  <si>
    <t>TOTAL CROCKERY AMOUNT</t>
  </si>
  <si>
    <t>FOUNDANT CROCKERY MATERIAL</t>
  </si>
  <si>
    <t>PEOPLE MOULD SET PLASTIC</t>
  </si>
  <si>
    <t>SPM MUSTACH SIX CAV</t>
  </si>
  <si>
    <t>BATMAN+SUPERMAN HERO COOKIE CUT</t>
  </si>
  <si>
    <t>LIPS FOUR CAVITY SLICION MOULD</t>
  </si>
  <si>
    <t>HEXAGON GEOMTRIC CUTER</t>
  </si>
  <si>
    <t>BEST WISHES FOUNDANT EMBOSSER</t>
  </si>
  <si>
    <t>ROLING PIN PLASTIC MEDIUM</t>
  </si>
  <si>
    <t>UNICORN FONDANT &amp; COOKIE CUTTER</t>
  </si>
  <si>
    <t>DOUBLE SIDED COOKIE CUTTER</t>
  </si>
  <si>
    <t>S.M.G (CROWN,BOW &amp; BUTTERFLY 06 CAV)</t>
  </si>
  <si>
    <t>S.P.M MIX FLOWERS 6 CAV</t>
  </si>
  <si>
    <t>SILICON FLOWER LACE NEW</t>
  </si>
  <si>
    <t>ROUND &amp; SQUARE FRAMES SILICON MOLD 2 CA</t>
  </si>
  <si>
    <t>S.M.W (BALLON 11 PCS)</t>
  </si>
  <si>
    <t>SILICON MOLD HEART FRAME BIG WHITE</t>
  </si>
  <si>
    <t>S.P.M(ROUD HPD FLOWER &amp; HEART) MOLD</t>
  </si>
  <si>
    <t>FIVE PETAL FLOWER PLUNGER</t>
  </si>
  <si>
    <t>PHOTO FRAME SMALL SPM SMW</t>
  </si>
  <si>
    <t>SMW CURTAIN DESIGN SMALL</t>
  </si>
  <si>
    <t>MUSICIAL NOTE SILICON MOLD</t>
  </si>
  <si>
    <t>EXTRA LARGE MUSIC NOTE FOUNDANT</t>
  </si>
  <si>
    <t>SILICON MOLD CURVED FISH TAIL LARGE</t>
  </si>
  <si>
    <t>SILICON MOLD LEAF 12 CAV</t>
  </si>
  <si>
    <t>SILICON MOLD ROUND BALLS TEN CAVITY NEW</t>
  </si>
  <si>
    <t>SILICON MOLD FLOWER BALLS TEN CAVITY NEW</t>
  </si>
  <si>
    <t>SMG CROWN 2 PCS</t>
  </si>
  <si>
    <t>SPM MINI SUNFLOWER 5 CAVITY</t>
  </si>
  <si>
    <t>IE ICING NOZZEL PKT</t>
  </si>
  <si>
    <t>SILICON MOLD NECKLACE WITH FLOWER</t>
  </si>
  <si>
    <t>SUNFLOWER PLUNGER CUTTER SET</t>
  </si>
  <si>
    <t>6 PETAL FLOWER PLUNGER</t>
  </si>
  <si>
    <t>DASHIY MINI SUNFLOWER PLUNGER</t>
  </si>
  <si>
    <t>FOUNDANT MODLING TOOLS 9 PCS SET</t>
  </si>
  <si>
    <t>BOW PLUNGER CUTTER</t>
  </si>
  <si>
    <t>SUNFLOWER EMBOOS PLUNGER CUTTER 3 PCS</t>
  </si>
  <si>
    <t>PAINT BRUSHES 6 PCS SET</t>
  </si>
  <si>
    <t>MINI HUT PLUNGER CUTTER</t>
  </si>
  <si>
    <t>PATTY CUTTER SQUARE 2 SIDED PLASTIC</t>
  </si>
  <si>
    <t>BISCUIT MARIE</t>
  </si>
  <si>
    <t>SAFARI CAKE MOLD</t>
  </si>
  <si>
    <t>DAIMOND PLUNGER</t>
  </si>
  <si>
    <t>PRECISIOUN KNIFE SET</t>
  </si>
  <si>
    <t>BLACK FOOD MAKER</t>
  </si>
  <si>
    <t>5 PETAL 4 CAVITY SLICION MOLD</t>
  </si>
  <si>
    <t>SNOW FLAKE PLUNGER 3 PCS</t>
  </si>
  <si>
    <t>FOUNDANT RIBBON CUTTER</t>
  </si>
  <si>
    <t>HEXAGON PLUNGER CUTTER</t>
  </si>
  <si>
    <t>PRINICESS TIARA CUTTER</t>
  </si>
  <si>
    <t>SPM BABY 4 FEET</t>
  </si>
  <si>
    <t>IVY LEAF PLUNGER</t>
  </si>
  <si>
    <t>ART CLAY POTTERY TOOL SET</t>
  </si>
  <si>
    <t>SCISSOR SINGAL</t>
  </si>
  <si>
    <t>ANIMAL PLUNGER CUTTER</t>
  </si>
  <si>
    <t>SLEEPING BABY SLICION</t>
  </si>
  <si>
    <t>TIE BOW SLICION MOLD</t>
  </si>
  <si>
    <t>SMW ALPHABAT SMALL</t>
  </si>
  <si>
    <t>CAKE SCRAPER PLASTIC 3 PCS</t>
  </si>
  <si>
    <t>FLOWER OVAL PLUNGER</t>
  </si>
  <si>
    <t>FOUNDANT SLICION ROLLING MAT LARGE</t>
  </si>
  <si>
    <t>FEARN LEAF SLICION MOLD</t>
  </si>
  <si>
    <t>MOON STARS 120 PCS</t>
  </si>
  <si>
    <t>ENGLE BIRD WINGS</t>
  </si>
  <si>
    <t>FLOWER MEAL PLASTIC 4 PCS</t>
  </si>
  <si>
    <t>FOUNDANT CAKE SMOOTHER PLASTIC 2 PCS</t>
  </si>
  <si>
    <t>4 PETAL FLOWER PLUNGER CUTTER</t>
  </si>
  <si>
    <t>BIUTTERFLY PLUNGER 3 PCS SET</t>
  </si>
  <si>
    <t>SQUARE PHOTO FRAME</t>
  </si>
  <si>
    <t>HEART MINI PLUNGER</t>
  </si>
  <si>
    <t>FLOWER MOLD FRAME</t>
  </si>
  <si>
    <t>ROUND FLOWER COOKIE CUTTER 3 PCS</t>
  </si>
  <si>
    <t>COOKIE CUTTERS 14 PCS</t>
  </si>
  <si>
    <t>ALPHABAT COOKIE SET</t>
  </si>
  <si>
    <t>MULTI TEXTURE FOUNDANT CAKE EMBOSSER</t>
  </si>
  <si>
    <t>FLOWER BORDER</t>
  </si>
  <si>
    <t>SLICION MOLD BUTTERFLY</t>
  </si>
  <si>
    <t>FEEDER CAKE MOLD 2 PCS</t>
  </si>
  <si>
    <t>DISNEY ALPHABAT CUTTER 26 PCS</t>
  </si>
  <si>
    <t>SPETULE KNIFE STRAIGHT 6 INCH</t>
  </si>
  <si>
    <t>SPETULE KNIFE STRAIGHT 8 INCH</t>
  </si>
  <si>
    <t>LADIES HAND BAG SLICION MOLD</t>
  </si>
  <si>
    <t>JEWELED CROWN SLICION MOLD</t>
  </si>
  <si>
    <t>BUTTERFLY CUTTER</t>
  </si>
  <si>
    <t>ALPHABAT NAMBARS EMBOSSER</t>
  </si>
  <si>
    <t>CAKE SCRAPPER 4 PCS SET PLASTIC</t>
  </si>
  <si>
    <t>FLORAL TAPE 2 PCS</t>
  </si>
  <si>
    <t>FISH TAIL FOUNDANT CUTTER</t>
  </si>
  <si>
    <t>COLOURFULL ROLLING PIN</t>
  </si>
  <si>
    <t>EASY ROSSE CUTTER</t>
  </si>
  <si>
    <t>FLOWER SQUARE PLUNGER</t>
  </si>
  <si>
    <t>RIBBION 4 INCH</t>
  </si>
  <si>
    <t>TRANSFORT 4 DESIGN FOUNDAN SLICION MOLD</t>
  </si>
  <si>
    <t>SNIPAR GUN</t>
  </si>
  <si>
    <t>MAKEUP MOLD SLICION</t>
  </si>
  <si>
    <t>DUBAI MIX SPRINKLE</t>
  </si>
  <si>
    <t>FEET HAND</t>
  </si>
  <si>
    <t>CAKE BORDER STENCIL RECTANGULAR</t>
  </si>
  <si>
    <t>FOUNDANT DIE SLICION MOLD</t>
  </si>
  <si>
    <t>FOUNDANT MATERIAL</t>
  </si>
  <si>
    <t>KNIFE</t>
  </si>
  <si>
    <t>CAKE STICKER</t>
  </si>
  <si>
    <t>STAR DIGH</t>
  </si>
  <si>
    <t>KATALI</t>
  </si>
  <si>
    <t>01-POUND PAN</t>
  </si>
  <si>
    <t>DOLL</t>
  </si>
  <si>
    <t>TOTAL FOUNDANT CROKERY MATERIAL</t>
  </si>
  <si>
    <t>OFFICE SUPPLIES/STATIONERY</t>
  </si>
  <si>
    <t>CALUCULATER</t>
  </si>
  <si>
    <t>STAPLER</t>
  </si>
  <si>
    <t>PUNCHER</t>
  </si>
  <si>
    <t>BOLL POINT</t>
  </si>
  <si>
    <t>A4 PAPER RIM</t>
  </si>
  <si>
    <t>CAKE MRD MACHINE</t>
  </si>
  <si>
    <t>CLY</t>
  </si>
  <si>
    <t>BINDING SHEET</t>
  </si>
  <si>
    <t>PIN OPNER</t>
  </si>
  <si>
    <t>FACE MASK</t>
  </si>
  <si>
    <t>TOTAL OFFICE SUPPLIES</t>
  </si>
  <si>
    <t>PHYSICAL INVENTORY</t>
  </si>
  <si>
    <t xml:space="preserve">TOTAL
COST 
INCREASE </t>
  </si>
  <si>
    <t>STOCK IN HAND</t>
  </si>
  <si>
    <t>FSD
FLOUR 
ISSU</t>
  </si>
  <si>
    <t>STOCK ON 
FLOUR</t>
  </si>
  <si>
    <t>AVERAGE USAGE</t>
  </si>
  <si>
    <t>C-1 (KOHINOOR)</t>
  </si>
  <si>
    <t>C-2 (SUSAN ROAD)</t>
  </si>
  <si>
    <t>C-5 (GULBERG)</t>
  </si>
  <si>
    <t>DAILY 
CASH RECIVED</t>
  </si>
  <si>
    <t xml:space="preserve">HOLD
 CASH </t>
  </si>
  <si>
    <t>PHYSICIAL 
CASH 
IN HAND</t>
  </si>
  <si>
    <t>C/C</t>
  </si>
  <si>
    <t>CAKES</t>
  </si>
  <si>
    <t>PAS</t>
  </si>
  <si>
    <t>LAV</t>
  </si>
  <si>
    <t>CUPCAKE</t>
  </si>
  <si>
    <t>SUN</t>
  </si>
  <si>
    <t>3 MILK</t>
  </si>
  <si>
    <t>C.B</t>
  </si>
  <si>
    <t>BRO</t>
  </si>
  <si>
    <t>DIM</t>
  </si>
  <si>
    <t>CASH</t>
  </si>
  <si>
    <t>DIMI</t>
  </si>
  <si>
    <t>3 MILKI</t>
  </si>
  <si>
    <t>DIME</t>
  </si>
  <si>
    <t>FSD CAKES</t>
  </si>
  <si>
    <t>T.M.S</t>
  </si>
  <si>
    <t>DAILY</t>
  </si>
  <si>
    <t>CLOSING</t>
  </si>
  <si>
    <t>PND</t>
  </si>
  <si>
    <t>CT-1</t>
  </si>
  <si>
    <t>CT-2</t>
  </si>
  <si>
    <t>CT-3</t>
  </si>
  <si>
    <t>CAK</t>
  </si>
  <si>
    <t>REG</t>
  </si>
  <si>
    <t>CUS</t>
  </si>
  <si>
    <t>REC.</t>
  </si>
  <si>
    <t>DMI</t>
  </si>
  <si>
    <t>C.2.P</t>
  </si>
  <si>
    <t>EXPENSE</t>
  </si>
  <si>
    <t xml:space="preserve">BAKERY SAFE DETAIL </t>
  </si>
  <si>
    <t xml:space="preserve">TOTAL </t>
  </si>
  <si>
    <t>HOLD</t>
  </si>
  <si>
    <t>PHYSICIAL CASH IN HAND</t>
  </si>
  <si>
    <t xml:space="preserve">SAFE CASH </t>
  </si>
  <si>
    <t>DIFFERENCE</t>
  </si>
  <si>
    <t>HOLD BILL</t>
  </si>
  <si>
    <t>.</t>
  </si>
  <si>
    <t xml:space="preserve">. </t>
  </si>
  <si>
    <t xml:space="preserve">BAKERY </t>
  </si>
  <si>
    <t>M.BO</t>
  </si>
  <si>
    <t>UPDATE LEDGER AMOUNT (BAKERY)</t>
  </si>
  <si>
    <t xml:space="preserve"> </t>
  </si>
  <si>
    <t>SR.</t>
  </si>
  <si>
    <t>LAST MONTH CREDIT</t>
  </si>
  <si>
    <t>CURRENT MONTH CREDIT</t>
  </si>
  <si>
    <t>CURRENT MONTH DEBIT</t>
  </si>
  <si>
    <t>AMOUNT PAID</t>
  </si>
  <si>
    <t>CASH/ CHEQUE</t>
  </si>
  <si>
    <t>BALANCE</t>
  </si>
  <si>
    <t>AT-TAHUR LIMITED</t>
  </si>
  <si>
    <t>VENUS FOODS</t>
  </si>
  <si>
    <t>METRO</t>
  </si>
  <si>
    <t>PUNJAB DRAY FRUIT</t>
  </si>
  <si>
    <t>K.E.H</t>
  </si>
  <si>
    <t>AR PRINTERS</t>
  </si>
  <si>
    <t xml:space="preserve">NAFEES FLOURE </t>
  </si>
  <si>
    <t>AZIZ TRADERS(LINER)</t>
  </si>
  <si>
    <t>THE CHEFS LOUNGE</t>
  </si>
  <si>
    <t>CREDIT PAYMENTS</t>
  </si>
  <si>
    <t>HIRING</t>
  </si>
  <si>
    <t>Job Nature</t>
  </si>
  <si>
    <t>BASIC SALARY DETAIL</t>
  </si>
  <si>
    <t>DUTY DETAIL</t>
  </si>
  <si>
    <t>BASIC</t>
  </si>
  <si>
    <t>ADVANCE DEDUCTIION</t>
  </si>
  <si>
    <t>SALARY DETAIL</t>
  </si>
  <si>
    <t>L.T ADVANCE DETAIL</t>
  </si>
  <si>
    <t>Hiring Date</t>
  </si>
  <si>
    <t>SR#</t>
  </si>
  <si>
    <t>Name</t>
  </si>
  <si>
    <t>Designation</t>
  </si>
  <si>
    <t>FT/PT</t>
  </si>
  <si>
    <t>HOURS</t>
  </si>
  <si>
    <t>MONTHLY SALARY</t>
  </si>
  <si>
    <t>PER DAY SALARY</t>
  </si>
  <si>
    <t>PER HOUR SALARY</t>
  </si>
  <si>
    <t>1ST WEEK</t>
  </si>
  <si>
    <t>2ND WEEK</t>
  </si>
  <si>
    <t>3RD WEEK</t>
  </si>
  <si>
    <t>4TH WEEK</t>
  </si>
  <si>
    <t>5TH WEEK</t>
  </si>
  <si>
    <t>TOTAL DAYS</t>
  </si>
  <si>
    <t>Late</t>
  </si>
  <si>
    <t>SALARY AMOUNT</t>
  </si>
  <si>
    <t>BONUS</t>
  </si>
  <si>
    <t>Phone Load</t>
  </si>
  <si>
    <t>GROSS SALARY</t>
  </si>
  <si>
    <t>(Deduction of LT Loan)</t>
  </si>
  <si>
    <t>LT loan Paid</t>
  </si>
  <si>
    <t>(Advance)</t>
  </si>
  <si>
    <t>NET SALARY</t>
  </si>
  <si>
    <t>PAID SALARY</t>
  </si>
  <si>
    <t>P.M Balance</t>
  </si>
  <si>
    <t>Current Blance</t>
  </si>
  <si>
    <t>REMARKS</t>
  </si>
  <si>
    <t>FSD TEAM</t>
  </si>
  <si>
    <t>HAMZA B/H</t>
  </si>
  <si>
    <t>B.H</t>
  </si>
  <si>
    <t>FT</t>
  </si>
  <si>
    <t>HR</t>
  </si>
  <si>
    <t>OFF</t>
  </si>
  <si>
    <t>IKRAM CHEF</t>
  </si>
  <si>
    <t>CHEF</t>
  </si>
  <si>
    <t>SAFDAR</t>
  </si>
  <si>
    <t>HELPER</t>
  </si>
  <si>
    <t>KHURAM AHSAN</t>
  </si>
  <si>
    <t>SAJAD</t>
  </si>
  <si>
    <t>ASSITANT</t>
  </si>
  <si>
    <t xml:space="preserve">SABIR ALI </t>
  </si>
  <si>
    <t>LAHORE</t>
  </si>
  <si>
    <t>ASGAR SENIOR</t>
  </si>
  <si>
    <t>1ST ASSISTANT</t>
  </si>
  <si>
    <t>LHR TEAM</t>
  </si>
  <si>
    <t>WAQAS</t>
  </si>
  <si>
    <t>SOHAIL TARIQ</t>
  </si>
  <si>
    <t>SALEEM</t>
  </si>
  <si>
    <t>IRFAN</t>
  </si>
  <si>
    <t>CLEANER</t>
  </si>
  <si>
    <t>HAMAIYON</t>
  </si>
  <si>
    <t>DRIVER</t>
  </si>
  <si>
    <t>GRAND</t>
  </si>
  <si>
    <t>OP.</t>
  </si>
  <si>
    <t>ADD</t>
  </si>
  <si>
    <t>SENT</t>
  </si>
  <si>
    <t>IDL</t>
  </si>
  <si>
    <t>ACT.</t>
  </si>
  <si>
    <t>VAR.</t>
  </si>
  <si>
    <t>CAKE</t>
  </si>
  <si>
    <t>MAK</t>
  </si>
  <si>
    <t>END</t>
  </si>
  <si>
    <t>KIT KAT</t>
  </si>
  <si>
    <t>ALMOND</t>
  </si>
  <si>
    <t>COFFEE KAJU</t>
  </si>
  <si>
    <t>BOUNTY</t>
  </si>
  <si>
    <t>LOTUS FUDGE</t>
  </si>
  <si>
    <t>CARAMEL</t>
  </si>
  <si>
    <t>RED VELVET</t>
  </si>
  <si>
    <t>FERRARO</t>
  </si>
  <si>
    <t>BLACK FREST</t>
  </si>
  <si>
    <t>KULFA</t>
  </si>
  <si>
    <t>OREO</t>
  </si>
  <si>
    <t xml:space="preserve">ORDERE CAKE </t>
  </si>
  <si>
    <t>TOTAL CAKE</t>
  </si>
  <si>
    <t>PASTRY</t>
  </si>
  <si>
    <t>TOTAL PASTRY</t>
  </si>
  <si>
    <t>CHOCLATE</t>
  </si>
  <si>
    <t>TOTAL CUPCAKE</t>
  </si>
  <si>
    <t>SUNDAE</t>
  </si>
  <si>
    <t>REDVELVET</t>
  </si>
  <si>
    <t>TOTAL SUNDAE</t>
  </si>
  <si>
    <t>BROWNIE</t>
  </si>
  <si>
    <t>C-1</t>
  </si>
  <si>
    <t>C-2</t>
  </si>
  <si>
    <t>C-5</t>
  </si>
  <si>
    <t>C-6</t>
  </si>
  <si>
    <t>C-3</t>
  </si>
  <si>
    <t>TTL</t>
  </si>
  <si>
    <t>BLACK FOREST</t>
  </si>
  <si>
    <t>FE ROACHER</t>
  </si>
  <si>
    <t>ROYAL FRUIT</t>
  </si>
  <si>
    <t>PINEAPPLE</t>
  </si>
  <si>
    <t>CHOCOLATE</t>
  </si>
  <si>
    <t>BROWNIE/MALAI BOTI</t>
  </si>
  <si>
    <t>INTER STORE WITH C-3</t>
  </si>
  <si>
    <t>IN</t>
  </si>
  <si>
    <t>IN AMOUNT</t>
  </si>
  <si>
    <t>OUT AMOUNT</t>
  </si>
  <si>
    <t>PAID AMOUNT</t>
  </si>
  <si>
    <t>COMMENT</t>
  </si>
  <si>
    <t>TOTAL AMOUNTS</t>
  </si>
  <si>
    <t>AFTER PAID BALANCE</t>
  </si>
  <si>
    <t>FSD 15 DAYS BAKERY DEMAND ESTIMATED</t>
  </si>
  <si>
    <t>LHR 15 DAYS BAKERY DEMAND ESTIMATED</t>
  </si>
  <si>
    <t>FSD ESTIMATED DEMAND 15 DAYS</t>
  </si>
  <si>
    <t>DAILY USAGE</t>
  </si>
  <si>
    <t>SR</t>
  </si>
  <si>
    <t>PRODUCT NAME</t>
  </si>
  <si>
    <t>QVT</t>
  </si>
  <si>
    <t>S.R</t>
  </si>
  <si>
    <t>PRODUCTS</t>
  </si>
  <si>
    <t>UNT</t>
  </si>
  <si>
    <t>DAILY USE</t>
  </si>
  <si>
    <t>15 DAYS</t>
  </si>
  <si>
    <t>PRICE</t>
  </si>
  <si>
    <t>PRODUCT</t>
  </si>
  <si>
    <t>LHR ESTIMATED DEMAND 15 DAYS</t>
  </si>
  <si>
    <t>30 BOX</t>
  </si>
  <si>
    <t>FRESH CREAM</t>
  </si>
  <si>
    <t>15 KG</t>
  </si>
  <si>
    <t xml:space="preserve">PRODUCT DETAIL </t>
  </si>
  <si>
    <t xml:space="preserve">QTY </t>
  </si>
  <si>
    <t xml:space="preserve">RATE </t>
  </si>
  <si>
    <t xml:space="preserve">AMOUNT </t>
  </si>
  <si>
    <t xml:space="preserve">FLOUR </t>
  </si>
  <si>
    <t>3 BAG</t>
  </si>
  <si>
    <t>FLOURE</t>
  </si>
  <si>
    <t>10 KG</t>
  </si>
  <si>
    <t>150 KG</t>
  </si>
  <si>
    <t>MILK PACK CREAM</t>
  </si>
  <si>
    <t>48 PCS</t>
  </si>
  <si>
    <t>CHOC KNOCK</t>
  </si>
  <si>
    <t>5400 PCS</t>
  </si>
  <si>
    <t>SUGAR</t>
  </si>
  <si>
    <t>COCO POWDER</t>
  </si>
  <si>
    <t>3 KG</t>
  </si>
  <si>
    <t xml:space="preserve">BAG </t>
  </si>
  <si>
    <t>2 BAG</t>
  </si>
  <si>
    <t>KISAN OIL</t>
  </si>
  <si>
    <t>10 LTR</t>
  </si>
  <si>
    <t>CHOCLATE SYRUP</t>
  </si>
  <si>
    <t>BOT</t>
  </si>
  <si>
    <t xml:space="preserve"> POLAC CONDENSED MILK  1-LTR</t>
  </si>
  <si>
    <t>5LTR</t>
  </si>
  <si>
    <t>11 LTR</t>
  </si>
  <si>
    <t>33 BOX</t>
  </si>
  <si>
    <t>10 CTN</t>
  </si>
  <si>
    <t xml:space="preserve">BAKING POWDER </t>
  </si>
  <si>
    <t>600 GM</t>
  </si>
  <si>
    <t>2 TIN</t>
  </si>
  <si>
    <t>BAKING SODA</t>
  </si>
  <si>
    <t>1.5 KG</t>
  </si>
  <si>
    <t>LOTO SAPREAD</t>
  </si>
  <si>
    <t>3 BOTT</t>
  </si>
  <si>
    <t>HISS CHOCLATE</t>
  </si>
  <si>
    <t xml:space="preserve">COCO POWDER </t>
  </si>
  <si>
    <t>ORANGE COLOURE</t>
  </si>
  <si>
    <t>2 BOTT</t>
  </si>
  <si>
    <t>360 PCS</t>
  </si>
  <si>
    <t xml:space="preserve">D.MILK CHOCLATE </t>
  </si>
  <si>
    <t xml:space="preserve">CHOC KNOC </t>
  </si>
  <si>
    <t>2 CASE</t>
  </si>
  <si>
    <t>MILK PACK CREAM 200 ML</t>
  </si>
  <si>
    <t>RED COLOURE</t>
  </si>
  <si>
    <t>MILKI SLABE</t>
  </si>
  <si>
    <t>4 KG</t>
  </si>
  <si>
    <t xml:space="preserve">FRESH CREAM </t>
  </si>
  <si>
    <t xml:space="preserve">CTN </t>
  </si>
  <si>
    <t>MILK</t>
  </si>
  <si>
    <t>6 PCS</t>
  </si>
  <si>
    <t>90 PCS</t>
  </si>
  <si>
    <t>DARK SLABE</t>
  </si>
  <si>
    <t>6 KG</t>
  </si>
  <si>
    <t xml:space="preserve">POLAC MILK </t>
  </si>
  <si>
    <t>1 CTN</t>
  </si>
  <si>
    <t>20 CTN</t>
  </si>
  <si>
    <t>HOLIDAY BAKING POWDER</t>
  </si>
  <si>
    <t>ROXELLA CRUNCHY CREAM (1081) 5KG*1)</t>
  </si>
  <si>
    <t>20 KG</t>
  </si>
  <si>
    <t xml:space="preserve"> CHEESE CREAM LTR </t>
  </si>
  <si>
    <t>2 LTR</t>
  </si>
  <si>
    <t>HISS CHOCLATE DOUBLE RING</t>
  </si>
  <si>
    <t>2 CTN</t>
  </si>
  <si>
    <t>3PKT</t>
  </si>
  <si>
    <t>30 SLABES</t>
  </si>
  <si>
    <t>DAIRY MILK CHOCLATE</t>
  </si>
  <si>
    <t>2 PKT</t>
  </si>
  <si>
    <t>20 SLABES</t>
  </si>
  <si>
    <t>SPONGE</t>
  </si>
  <si>
    <t>FLOUR 50-KG</t>
  </si>
  <si>
    <t>LOTUS BISCOFF 250-GM</t>
  </si>
  <si>
    <t>20 PKT</t>
  </si>
  <si>
    <t>30 PKT</t>
  </si>
  <si>
    <t>FLVRS</t>
  </si>
  <si>
    <t>BATCH</t>
  </si>
  <si>
    <t>PAN</t>
  </si>
  <si>
    <t>VANILLA SENCE</t>
  </si>
  <si>
    <t xml:space="preserve">ICING SUGAR </t>
  </si>
  <si>
    <t>ICING SUGAR</t>
  </si>
  <si>
    <t>54 CAKE</t>
  </si>
  <si>
    <t>ORANGE COLOUR</t>
  </si>
  <si>
    <t xml:space="preserve">FRUITCOCTAIL 3000GM </t>
  </si>
  <si>
    <t>6 TIN</t>
  </si>
  <si>
    <t>5 KG</t>
  </si>
  <si>
    <t>VANILA</t>
  </si>
  <si>
    <t>28 CAKE</t>
  </si>
  <si>
    <t>RED COLOUR</t>
  </si>
  <si>
    <t>2 KG</t>
  </si>
  <si>
    <t xml:space="preserve">PISTACHIO </t>
  </si>
  <si>
    <t>CHOCOLAT SPRINKLES</t>
  </si>
  <si>
    <t>1 PCS</t>
  </si>
  <si>
    <t>CAKE SPRINKLES</t>
  </si>
  <si>
    <t xml:space="preserve">COCONUT CRUMBLES </t>
  </si>
  <si>
    <t>15 PCS</t>
  </si>
  <si>
    <t>225 PCS</t>
  </si>
  <si>
    <t>18 CAKE</t>
  </si>
  <si>
    <t>BUTTER 10-KG</t>
  </si>
  <si>
    <t>DARK CHOCLATE CHIP</t>
  </si>
  <si>
    <t>CHEESE CREAM</t>
  </si>
  <si>
    <t>2KG</t>
  </si>
  <si>
    <t>BROWEN PAPER</t>
  </si>
  <si>
    <t xml:space="preserve">ALMOND </t>
  </si>
  <si>
    <t>8 KG</t>
  </si>
  <si>
    <t>VIBGYOR  BASE FOUNDANT COLOURE</t>
  </si>
  <si>
    <t xml:space="preserve">ORANGE FOOD COLOUR </t>
  </si>
  <si>
    <t>KAJU</t>
  </si>
  <si>
    <t>1 KG</t>
  </si>
  <si>
    <t xml:space="preserve">RED FOOD COLOUR </t>
  </si>
  <si>
    <t>PISTA</t>
  </si>
  <si>
    <t>2.5 KG</t>
  </si>
  <si>
    <t>COCONUT POWDER</t>
  </si>
  <si>
    <t>3PCS</t>
  </si>
  <si>
    <t>VIZYON  CHOCLATE SAYRUP</t>
  </si>
  <si>
    <t>6PCS</t>
  </si>
  <si>
    <t>COFFEE</t>
  </si>
  <si>
    <t>100 GM</t>
  </si>
  <si>
    <t>1 BOTT</t>
  </si>
  <si>
    <t>5 PCS</t>
  </si>
  <si>
    <t>300GM</t>
  </si>
  <si>
    <t>5 BOTT</t>
  </si>
  <si>
    <t>10 PCS</t>
  </si>
  <si>
    <t>CREAMAL SAYRUP</t>
  </si>
  <si>
    <t>3BOTT</t>
  </si>
  <si>
    <t xml:space="preserve">DUSTER </t>
  </si>
  <si>
    <t xml:space="preserve">KG </t>
  </si>
  <si>
    <t xml:space="preserve">FOUNDANT ASTIMATED </t>
  </si>
  <si>
    <t>500 GM</t>
  </si>
  <si>
    <t>8 BOX</t>
  </si>
  <si>
    <t>1 RIM</t>
  </si>
  <si>
    <t>BROWN PAPER   RIM</t>
  </si>
  <si>
    <t>1000 PCS</t>
  </si>
  <si>
    <t>BROWN PPAER</t>
  </si>
  <si>
    <t>40 LTR</t>
  </si>
  <si>
    <t>HAND WASH</t>
  </si>
  <si>
    <t xml:space="preserve">MOB </t>
  </si>
  <si>
    <t>CAKE BOARD</t>
  </si>
  <si>
    <t>PHENYEL</t>
  </si>
  <si>
    <t>SUNDAE CUP</t>
  </si>
  <si>
    <t>FESCO BILL ASTIMATED</t>
  </si>
  <si>
    <t>1 PKT</t>
  </si>
  <si>
    <t>PAY ROLL</t>
  </si>
  <si>
    <t>4BOTT</t>
  </si>
  <si>
    <t>BAKERY APARTMENT RENT</t>
  </si>
  <si>
    <t>CARDIMOM SYRUP</t>
  </si>
  <si>
    <t>BAKERY APARTMENT FESCO BILL</t>
  </si>
  <si>
    <t xml:space="preserve">SWEEP </t>
  </si>
  <si>
    <t>4 TIN</t>
  </si>
  <si>
    <t>IKRAM HOME RENT</t>
  </si>
  <si>
    <t xml:space="preserve">LOTO SAPREAD </t>
  </si>
  <si>
    <t>GRAND TOTAL</t>
  </si>
  <si>
    <t>POLAC MILK</t>
  </si>
  <si>
    <t>3 TIN</t>
  </si>
  <si>
    <t>COCONUT CRUMBELS</t>
  </si>
  <si>
    <t>LOTO BISCUIT</t>
  </si>
  <si>
    <t>1.5 PKT</t>
  </si>
  <si>
    <t>22 PKT</t>
  </si>
  <si>
    <t>FERRARO SAPREAD</t>
  </si>
  <si>
    <t>400 GM</t>
  </si>
  <si>
    <t>30 PCS</t>
  </si>
  <si>
    <t>19 BOX</t>
  </si>
  <si>
    <t>12 BOX</t>
  </si>
  <si>
    <t xml:space="preserve">DISH WASH HAND WASH </t>
  </si>
  <si>
    <t>70 LTR</t>
  </si>
  <si>
    <t>SWEAP</t>
  </si>
  <si>
    <t>SMALL FOOR SAFETY LINNERS</t>
  </si>
  <si>
    <t>5KG</t>
  </si>
  <si>
    <t>10LTR</t>
  </si>
  <si>
    <t>CHOC NOK</t>
  </si>
  <si>
    <t xml:space="preserve">CHIP DANA </t>
  </si>
  <si>
    <t>WHITE SLABE</t>
  </si>
  <si>
    <t>1PKT</t>
  </si>
  <si>
    <t>BAKERY TEAM MEAL</t>
  </si>
  <si>
    <t>GOLDEN COLOURE</t>
  </si>
  <si>
    <t>SILVER COLOURE</t>
  </si>
  <si>
    <t>TOOTH PICK STICKS</t>
  </si>
  <si>
    <t>ORDER CAKE BOARD</t>
  </si>
  <si>
    <t>E,VAN FUEL</t>
  </si>
  <si>
    <t>VANILLA ESSENCE</t>
  </si>
  <si>
    <t>BAKERY SAFE DETAIL AUDIT</t>
  </si>
  <si>
    <t xml:space="preserve">INVENTORY STOCK DTEAIL </t>
  </si>
  <si>
    <t>LAST MONTH STOCK</t>
  </si>
  <si>
    <t>CURRENT MONTH STOCK</t>
  </si>
  <si>
    <t>DIFFERENCE FROM LAST MONTH</t>
  </si>
  <si>
    <t>PHYSICIAL TOTAL CASH</t>
  </si>
  <si>
    <t>GULBERG BRANCH HOLD CASH</t>
  </si>
  <si>
    <t>KOHINOOR  BRANCH HOLD CASH</t>
  </si>
  <si>
    <t>SUSAN BRANCH HOLD CASH</t>
  </si>
  <si>
    <t>JOHR TOWN BRANCH HOLD CASH</t>
  </si>
  <si>
    <t>IQBAL TOWN BRANCH HOLD CASH</t>
  </si>
  <si>
    <t>BAKERY HOLD EXPENSE DETAIL</t>
  </si>
  <si>
    <t xml:space="preserve">CASH H.O YASIR SB </t>
  </si>
  <si>
    <t>HOLD EXPENSE</t>
  </si>
  <si>
    <t>MILK FOR TEA</t>
  </si>
  <si>
    <t xml:space="preserve">G.TOTAL </t>
  </si>
  <si>
    <t>MILK FOR TAUQEER CHIEF</t>
  </si>
  <si>
    <t>AHMAD SB MEAL BILL</t>
  </si>
  <si>
    <t>ACTUAL SAFE CASH</t>
  </si>
  <si>
    <t>EGGS FOR BAKERY</t>
  </si>
  <si>
    <t>CASH TO IMTIAZ</t>
  </si>
  <si>
    <t>TOTAL AMOUNT</t>
  </si>
  <si>
    <t>DAILY METER READINGS</t>
  </si>
  <si>
    <t>DAY</t>
  </si>
  <si>
    <r>
      <rPr>
        <rFont val="Cambria"/>
        <b/>
        <color rgb="FF000000"/>
        <sz val="12.0"/>
      </rPr>
      <t xml:space="preserve">TIME
</t>
    </r>
    <r>
      <rPr>
        <rFont val="Cambria"/>
        <b/>
        <color rgb="FF000000"/>
        <sz val="9.0"/>
      </rPr>
      <t>03:00AM</t>
    </r>
  </si>
  <si>
    <t>PEAK</t>
  </si>
  <si>
    <t>OFF PEAK</t>
  </si>
  <si>
    <r>
      <rPr>
        <rFont val="Cambria"/>
        <b/>
        <color rgb="FF000000"/>
        <sz val="12.0"/>
      </rPr>
      <t xml:space="preserve">TIME
</t>
    </r>
    <r>
      <rPr>
        <rFont val="Cambria"/>
        <b/>
        <color rgb="FF000000"/>
        <sz val="9.0"/>
      </rPr>
      <t>09:00AM</t>
    </r>
  </si>
  <si>
    <r>
      <rPr>
        <rFont val="Cambria"/>
        <b/>
        <color rgb="FF000000"/>
        <sz val="12.0"/>
      </rPr>
      <t xml:space="preserve">TIME
</t>
    </r>
    <r>
      <rPr>
        <rFont val="Cambria"/>
        <b/>
        <color rgb="FF000000"/>
        <sz val="9.0"/>
      </rPr>
      <t>06:00PM</t>
    </r>
  </si>
  <si>
    <t>O/N</t>
  </si>
  <si>
    <t>MOR</t>
  </si>
  <si>
    <t>NIGHT</t>
  </si>
  <si>
    <t>THU</t>
  </si>
  <si>
    <t>FRI</t>
  </si>
  <si>
    <t>SAT</t>
  </si>
  <si>
    <t>MON</t>
  </si>
  <si>
    <t>TUE</t>
  </si>
  <si>
    <t>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</si>
</sst>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-409]mmmm\-yy"/>
    <numFmt numFmtId="165" formatCode="_(* #,##0_);_(* \(#,##0\);_(* &quot;-&quot;??_);_(@_)"/>
    <numFmt numFmtId="166" formatCode="0.0%"/>
    <numFmt numFmtId="167" formatCode="_-* #,##0_-;\-* #,##0_-;_-* &quot;-&quot;??_-;_-@"/>
    <numFmt numFmtId="168" formatCode="yyyy/m"/>
    <numFmt numFmtId="169" formatCode="0.0"/>
    <numFmt numFmtId="170" formatCode="0.000"/>
    <numFmt numFmtId="171" formatCode="0.000000000_);\(0.000000000\)"/>
    <numFmt numFmtId="172" formatCode="[$-409]dddd\,mmmm\ d\,yyyy"/>
    <numFmt numFmtId="173" formatCode="_([$PKR]\ * #,##0_);_([$PKR]\ * \(#,##0\);_([$PKR]\ * &quot;-&quot;_);_(@_)"/>
    <numFmt numFmtId="174" formatCode="_(* #,##0.00_);_(* \(#,##0.00\);_(* &quot;-&quot;??_);_(@_)"/>
  </numFmts>
  <fonts count="90">
    <font>
      <sz val="11.0"/>
      <color rgb="FF000000"/>
      <name val="Calibri"/>
      <scheme val="minor"/>
    </font>
    <font>
      <b/>
      <sz val="16.0"/>
      <color theme="1"/>
      <name val="Cambria"/>
    </font>
    <font/>
    <font>
      <sz val="10.0"/>
      <color theme="1"/>
      <name val="Cambria"/>
    </font>
    <font>
      <b/>
      <sz val="14.0"/>
      <color theme="1"/>
      <name val="Cambria"/>
    </font>
    <font>
      <b/>
      <sz val="12.0"/>
      <color theme="1"/>
      <name val="Cambria"/>
    </font>
    <font>
      <u/>
      <sz val="11.0"/>
      <color rgb="FF0000FF"/>
      <name val="Calibri"/>
    </font>
    <font>
      <sz val="12.0"/>
      <color theme="1"/>
      <name val="Cambria"/>
    </font>
    <font>
      <b/>
      <sz val="12.0"/>
      <color rgb="FFFF0000"/>
      <name val="Cambria"/>
    </font>
    <font>
      <sz val="10.0"/>
      <color theme="1"/>
      <name val="Arial"/>
    </font>
    <font>
      <u/>
      <sz val="11.0"/>
      <color rgb="FF0000FF"/>
      <name val="Calibri"/>
    </font>
    <font>
      <sz val="11.0"/>
      <color rgb="FF000000"/>
      <name val="Calibri"/>
    </font>
    <font>
      <u/>
      <sz val="11.0"/>
      <color rgb="FF800080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FF0000"/>
      <name val="Arial"/>
    </font>
    <font>
      <b/>
      <sz val="12.0"/>
      <color theme="1"/>
      <name val="Arial"/>
    </font>
    <font>
      <u/>
      <sz val="11.0"/>
      <color rgb="FF0000FF"/>
      <name val="Calibri"/>
    </font>
    <font>
      <b/>
      <sz val="10.0"/>
      <color theme="1"/>
      <name val="Cambria"/>
    </font>
    <font>
      <sz val="10.0"/>
      <color theme="1"/>
      <name val="Calibri"/>
    </font>
    <font>
      <b/>
      <sz val="11.0"/>
      <color theme="1"/>
      <name val="Cambria"/>
    </font>
    <font>
      <b/>
      <sz val="9.0"/>
      <color theme="1"/>
      <name val="Cambria"/>
    </font>
    <font>
      <b/>
      <sz val="11.0"/>
      <color theme="1"/>
      <name val="Calibri"/>
    </font>
    <font>
      <sz val="11.0"/>
      <color rgb="FF000000"/>
      <name val="Cambria"/>
    </font>
    <font>
      <b/>
      <sz val="22.0"/>
      <color rgb="FF000000"/>
      <name val="Hei"/>
    </font>
    <font>
      <b/>
      <sz val="12.0"/>
      <color rgb="FF000000"/>
      <name val="Adobe hebrew"/>
    </font>
    <font>
      <sz val="11.0"/>
      <color theme="1"/>
      <name val="Calibri"/>
    </font>
    <font>
      <b/>
      <sz val="11.0"/>
      <color rgb="FF000000"/>
      <name val="Calibri"/>
    </font>
    <font>
      <b/>
      <sz val="10.0"/>
      <color theme="1"/>
      <name val="KaiTi"/>
    </font>
    <font>
      <sz val="11.0"/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000000"/>
      <name val="Calibri"/>
    </font>
    <font>
      <sz val="11.0"/>
      <color theme="1"/>
      <name val="Cambria"/>
    </font>
    <font>
      <sz val="12.0"/>
      <color theme="1"/>
      <name val="Calibri"/>
    </font>
    <font>
      <b/>
      <sz val="12.0"/>
      <color theme="1"/>
      <name val="Calibri"/>
    </font>
    <font>
      <sz val="9.0"/>
      <color theme="1"/>
      <name val="Arial"/>
    </font>
    <font>
      <sz val="8.0"/>
      <color rgb="FF000000"/>
      <name val="Calibri"/>
    </font>
    <font>
      <b/>
      <sz val="22.0"/>
      <color rgb="FF000000"/>
      <name val="Cambria"/>
    </font>
    <font>
      <b/>
      <sz val="10.0"/>
      <color rgb="FF000000"/>
      <name val="Cambria"/>
    </font>
    <font>
      <b/>
      <sz val="14.0"/>
      <color rgb="FF000000"/>
      <name val="Cambria"/>
    </font>
    <font>
      <b/>
      <sz val="11.0"/>
      <color rgb="FF000000"/>
      <name val="Cambria"/>
    </font>
    <font>
      <b/>
      <sz val="9.0"/>
      <color rgb="FF000000"/>
      <name val="Cambria"/>
    </font>
    <font>
      <b/>
      <sz val="8.0"/>
      <color rgb="FF000000"/>
      <name val="Cambria"/>
    </font>
    <font>
      <sz val="11.0"/>
      <color rgb="FF006100"/>
      <name val="Calibri"/>
    </font>
    <font>
      <sz val="12.0"/>
      <color rgb="FF000000"/>
      <name val="Cambria"/>
    </font>
    <font>
      <b/>
      <sz val="12.0"/>
      <color rgb="FF000000"/>
      <name val="Cambria"/>
    </font>
    <font>
      <b/>
      <sz val="12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10.0"/>
      <color rgb="FF000000"/>
      <name val="Calibri"/>
    </font>
    <font>
      <sz val="11.0"/>
      <color theme="0"/>
      <name val="Calibri"/>
    </font>
    <font>
      <sz val="11.0"/>
      <color rgb="FFFFFFFF"/>
      <name val="Calibri"/>
    </font>
    <font>
      <sz val="11.0"/>
      <color rgb="FF9C6500"/>
      <name val="Calibri"/>
    </font>
    <font>
      <b/>
      <sz val="11.0"/>
      <color theme="0"/>
      <name val="Calibri"/>
    </font>
    <font>
      <b/>
      <sz val="14.0"/>
      <color rgb="FF000000"/>
      <name val="Calibri"/>
    </font>
    <font>
      <u/>
      <sz val="11.0"/>
      <color rgb="FF0000FF"/>
      <name val="Calibri"/>
    </font>
    <font>
      <b/>
      <sz val="22.0"/>
      <color rgb="FF000000"/>
      <name val="FangSong"/>
    </font>
    <font>
      <b/>
      <sz val="8.0"/>
      <color rgb="FF000000"/>
      <name val="Adobe hebrew"/>
    </font>
    <font>
      <b/>
      <sz val="11.0"/>
      <color rgb="FF000000"/>
      <name val="Adobe hebrew"/>
    </font>
    <font>
      <sz val="14.0"/>
      <color rgb="FF000000"/>
      <name val="Calibri"/>
    </font>
    <font>
      <b/>
      <sz val="22.0"/>
      <color theme="1"/>
      <name val="Bell MT"/>
    </font>
    <font>
      <b/>
      <sz val="14.0"/>
      <color theme="1"/>
      <name val="Arial"/>
    </font>
    <font>
      <b/>
      <sz val="8.0"/>
      <color theme="1"/>
      <name val="Arial"/>
    </font>
    <font>
      <b/>
      <sz val="10.0"/>
      <color theme="1"/>
      <name val="Arial Narrow"/>
    </font>
    <font>
      <b/>
      <sz val="12.0"/>
      <color theme="1"/>
      <name val="Arial Narrow"/>
    </font>
    <font>
      <sz val="11.0"/>
      <color theme="0"/>
      <name val="Arial Narrow"/>
    </font>
    <font>
      <b/>
      <sz val="11.0"/>
      <color theme="0"/>
      <name val="Arial Narrow"/>
    </font>
    <font>
      <b/>
      <sz val="10.0"/>
      <color theme="0"/>
      <name val="Arial Narrow"/>
    </font>
    <font>
      <b/>
      <sz val="10.0"/>
      <color rgb="FFFF0000"/>
      <name val="Arial Narrow"/>
    </font>
    <font>
      <b/>
      <sz val="14.0"/>
      <color theme="1"/>
      <name val="Arial Narrow"/>
    </font>
    <font>
      <b/>
      <sz val="11.0"/>
      <color rgb="FFFA7D00"/>
      <name val="Calibri"/>
    </font>
    <font>
      <sz val="11.0"/>
      <color theme="0"/>
      <name val="Arial"/>
    </font>
    <font>
      <sz val="10.0"/>
      <color rgb="FF0000FF"/>
      <name val="Arial"/>
    </font>
    <font>
      <sz val="10.0"/>
      <color rgb="FFFFFFFF"/>
      <name val="Arial"/>
    </font>
    <font>
      <sz val="10.0"/>
      <color rgb="FFFF0000"/>
      <name val="Arial"/>
    </font>
    <font>
      <b/>
      <sz val="15.0"/>
      <color theme="1"/>
      <name val="Arial"/>
    </font>
    <font>
      <sz val="10.0"/>
      <color theme="0"/>
      <name val="Arial"/>
    </font>
    <font>
      <b/>
      <sz val="10.0"/>
      <color theme="1"/>
      <name val="Times New Roman"/>
    </font>
    <font>
      <b/>
      <sz val="11.0"/>
      <color theme="0"/>
      <name val="Arial"/>
    </font>
    <font>
      <b/>
      <sz val="10.0"/>
      <color theme="0"/>
      <name val="Arial"/>
    </font>
    <font>
      <b/>
      <sz val="14.0"/>
      <color theme="1"/>
      <name val="Calibri"/>
    </font>
    <font>
      <b/>
      <sz val="26.0"/>
      <color rgb="FF642523"/>
      <name val="Adobe song std l"/>
    </font>
    <font>
      <b/>
      <sz val="20.0"/>
      <color theme="1"/>
      <name val="Calibri"/>
    </font>
    <font>
      <b/>
      <sz val="16.0"/>
      <color theme="1"/>
      <name val="Calibri"/>
    </font>
    <font>
      <sz val="10.0"/>
      <color rgb="FF000000"/>
      <name val="Cambria"/>
    </font>
    <font>
      <b/>
      <sz val="18.0"/>
      <color rgb="FF000000"/>
      <name val="Cambria"/>
    </font>
    <font>
      <sz val="11.0"/>
      <color rgb="FFFF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CE5F1"/>
        <bgColor rgb="FFDCE5F1"/>
      </patternFill>
    </fill>
    <fill>
      <patternFill patternType="solid">
        <fgColor rgb="FF7F7F7F"/>
        <bgColor rgb="FF7F7F7F"/>
      </patternFill>
    </fill>
    <fill>
      <patternFill patternType="solid">
        <fgColor rgb="FF8DB3E2"/>
        <bgColor rgb="FF8DB3E2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92CDDC"/>
        <bgColor rgb="FF92CDDC"/>
      </patternFill>
    </fill>
    <fill>
      <patternFill patternType="solid">
        <fgColor rgb="FFCC0000"/>
        <bgColor rgb="FFCC0000"/>
      </patternFill>
    </fill>
    <fill>
      <patternFill patternType="solid">
        <fgColor theme="9"/>
        <bgColor theme="9"/>
      </patternFill>
    </fill>
    <fill>
      <patternFill patternType="solid">
        <fgColor rgb="FF76923C"/>
        <bgColor rgb="FF76923C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EAF1DD"/>
        <bgColor rgb="FFEAF1DD"/>
      </patternFill>
    </fill>
    <fill>
      <patternFill patternType="solid">
        <fgColor rgb="FFA5A5A5"/>
        <bgColor rgb="FFA5A5A5"/>
      </patternFill>
    </fill>
    <fill>
      <patternFill patternType="solid">
        <fgColor rgb="FFF2DBDB"/>
        <bgColor rgb="FFF2DBDB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99"/>
        <bgColor rgb="FFFFFF99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rgb="FF938953"/>
        <bgColor rgb="FF938953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rgb="FFFF0000"/>
        <bgColor rgb="FFFF0000"/>
      </patternFill>
    </fill>
    <fill>
      <patternFill patternType="solid">
        <fgColor rgb="FFE6B9B8"/>
        <bgColor rgb="FFE6B9B8"/>
      </patternFill>
    </fill>
    <fill>
      <patternFill patternType="solid">
        <fgColor rgb="FFCBC0D9"/>
        <bgColor rgb="FFCBC0D9"/>
      </patternFill>
    </fill>
  </fills>
  <borders count="16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thin">
        <color rgb="FFABABAB"/>
      </top>
      <bottom/>
    </border>
    <border>
      <left style="thin">
        <color rgb="FFFFFFFF"/>
      </left>
      <right/>
      <top style="thin">
        <color rgb="FFABABAB"/>
      </top>
      <bottom/>
    </border>
    <border>
      <left style="thin">
        <color rgb="FFFFFFFF"/>
      </left>
      <right style="thin">
        <color rgb="FFABABAB"/>
      </right>
      <top style="thin">
        <color rgb="FFABABAB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/>
    </border>
    <border>
      <left style="thin">
        <color rgb="FFFFFFFF"/>
      </left>
      <right style="thin">
        <color rgb="FFABABAB"/>
      </right>
      <top style="thin">
        <color rgb="FFFFFFFF"/>
      </top>
      <bottom/>
    </border>
    <border>
      <left/>
      <right/>
      <top style="thin">
        <color rgb="FFFFFFFF"/>
      </top>
      <bottom style="thin">
        <color rgb="FFABABAB"/>
      </bottom>
    </border>
    <border>
      <left style="thin">
        <color rgb="FFFFFFFF"/>
      </left>
      <right/>
      <top style="thin">
        <color rgb="FFFFFFFF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19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1" fillId="0" fontId="4" numFmtId="164" xfId="0" applyAlignment="1" applyBorder="1" applyFont="1" applyNumberForma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vertical="top"/>
    </xf>
    <xf borderId="7" fillId="3" fontId="7" numFmtId="165" xfId="0" applyAlignment="1" applyBorder="1" applyFill="1" applyFont="1" applyNumberFormat="1">
      <alignment horizontal="center" vertical="center"/>
    </xf>
    <xf borderId="8" fillId="0" fontId="8" numFmtId="9" xfId="0" applyAlignment="1" applyBorder="1" applyFont="1" applyNumberFormat="1">
      <alignment horizontal="right" vertical="center"/>
    </xf>
    <xf borderId="0" fillId="0" fontId="9" numFmtId="0" xfId="0" applyAlignment="1" applyFont="1">
      <alignment vertical="bottom"/>
    </xf>
    <xf borderId="9" fillId="0" fontId="10" numFmtId="0" xfId="0" applyAlignment="1" applyBorder="1" applyFont="1">
      <alignment vertical="bottom"/>
    </xf>
    <xf borderId="10" fillId="0" fontId="11" numFmtId="165" xfId="0" applyAlignment="1" applyBorder="1" applyFont="1" applyNumberFormat="1">
      <alignment vertical="bottom"/>
    </xf>
    <xf borderId="11" fillId="3" fontId="8" numFmtId="166" xfId="0" applyAlignment="1" applyBorder="1" applyFont="1" applyNumberFormat="1">
      <alignment horizontal="right" vertical="center"/>
    </xf>
    <xf borderId="12" fillId="0" fontId="12" numFmtId="0" xfId="0" applyAlignment="1" applyBorder="1" applyFont="1">
      <alignment vertical="bottom"/>
    </xf>
    <xf borderId="13" fillId="3" fontId="8" numFmtId="166" xfId="0" applyAlignment="1" applyBorder="1" applyFont="1" applyNumberFormat="1">
      <alignment horizontal="right" vertical="center"/>
    </xf>
    <xf borderId="12" fillId="0" fontId="13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4" fillId="0" fontId="15" numFmtId="0" xfId="0" applyAlignment="1" applyBorder="1" applyFont="1">
      <alignment vertical="center"/>
    </xf>
    <xf borderId="15" fillId="0" fontId="16" numFmtId="165" xfId="0" applyAlignment="1" applyBorder="1" applyFont="1" applyNumberFormat="1">
      <alignment horizontal="center" vertical="center"/>
    </xf>
    <xf borderId="16" fillId="3" fontId="8" numFmtId="166" xfId="0" applyAlignment="1" applyBorder="1" applyFont="1" applyNumberFormat="1">
      <alignment horizontal="right" vertical="center"/>
    </xf>
    <xf borderId="6" fillId="0" fontId="15" numFmtId="0" xfId="0" applyAlignment="1" applyBorder="1" applyFont="1">
      <alignment vertical="center"/>
    </xf>
    <xf borderId="17" fillId="0" fontId="17" numFmtId="165" xfId="0" applyAlignment="1" applyBorder="1" applyFont="1" applyNumberFormat="1">
      <alignment horizontal="center" vertical="center"/>
    </xf>
    <xf borderId="18" fillId="3" fontId="8" numFmtId="166" xfId="0" applyAlignment="1" applyBorder="1" applyFont="1" applyNumberFormat="1">
      <alignment horizontal="right" vertical="center"/>
    </xf>
    <xf borderId="19" fillId="0" fontId="15" numFmtId="0" xfId="0" applyAlignment="1" applyBorder="1" applyFont="1">
      <alignment vertical="center"/>
    </xf>
    <xf borderId="20" fillId="0" fontId="16" numFmtId="165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vertical="center"/>
    </xf>
    <xf borderId="19" fillId="0" fontId="18" numFmtId="0" xfId="0" applyAlignment="1" applyBorder="1" applyFont="1">
      <alignment vertical="center"/>
    </xf>
    <xf borderId="20" fillId="0" fontId="17" numFmtId="165" xfId="0" applyAlignment="1" applyBorder="1" applyFont="1" applyNumberFormat="1">
      <alignment horizontal="center" vertical="center"/>
    </xf>
    <xf borderId="21" fillId="0" fontId="14" numFmtId="0" xfId="0" applyAlignment="1" applyBorder="1" applyFont="1">
      <alignment vertical="bottom"/>
    </xf>
    <xf borderId="22" fillId="4" fontId="7" numFmtId="165" xfId="0" applyAlignment="1" applyBorder="1" applyFill="1" applyFont="1" applyNumberFormat="1">
      <alignment horizontal="center" vertical="center"/>
    </xf>
    <xf borderId="23" fillId="3" fontId="8" numFmtId="166" xfId="0" applyAlignment="1" applyBorder="1" applyFont="1" applyNumberFormat="1">
      <alignment horizontal="right" vertical="center"/>
    </xf>
    <xf borderId="24" fillId="0" fontId="19" numFmtId="0" xfId="0" applyAlignment="1" applyBorder="1" applyFont="1">
      <alignment vertical="bottom"/>
    </xf>
    <xf borderId="25" fillId="5" fontId="7" numFmtId="165" xfId="0" applyAlignment="1" applyBorder="1" applyFill="1" applyFont="1" applyNumberFormat="1">
      <alignment horizontal="center" vertical="center"/>
    </xf>
    <xf borderId="26" fillId="3" fontId="8" numFmtId="166" xfId="0" applyAlignment="1" applyBorder="1" applyFont="1" applyNumberFormat="1">
      <alignment horizontal="right" vertical="center"/>
    </xf>
    <xf borderId="27" fillId="0" fontId="17" numFmtId="165" xfId="0" applyAlignment="1" applyBorder="1" applyFont="1" applyNumberFormat="1">
      <alignment horizontal="center" vertical="center"/>
    </xf>
    <xf borderId="17" fillId="0" fontId="9" numFmtId="0" xfId="0" applyAlignment="1" applyBorder="1" applyFont="1">
      <alignment vertical="bottom"/>
    </xf>
    <xf borderId="28" fillId="0" fontId="9" numFmtId="165" xfId="0" applyAlignment="1" applyBorder="1" applyFont="1" applyNumberFormat="1">
      <alignment shrinkToFit="0" vertical="bottom" wrapText="1"/>
    </xf>
    <xf borderId="8" fillId="0" fontId="5" numFmtId="0" xfId="0" applyAlignment="1" applyBorder="1" applyFont="1">
      <alignment shrinkToFit="0" vertical="bottom" wrapText="1"/>
    </xf>
    <xf borderId="0" fillId="0" fontId="9" numFmtId="165" xfId="0" applyAlignment="1" applyFont="1" applyNumberFormat="1">
      <alignment vertical="bottom"/>
    </xf>
    <xf borderId="19" fillId="0" fontId="9" numFmtId="0" xfId="0" applyAlignment="1" applyBorder="1" applyFont="1">
      <alignment vertical="bottom"/>
    </xf>
    <xf borderId="0" fillId="0" fontId="9" numFmtId="165" xfId="0" applyAlignment="1" applyFont="1" applyNumberFormat="1">
      <alignment shrinkToFit="0" vertical="bottom" wrapText="1"/>
    </xf>
    <xf borderId="29" fillId="0" fontId="5" numFmtId="0" xfId="0" applyAlignment="1" applyBorder="1" applyFont="1">
      <alignment shrinkToFit="0" vertical="bottom" wrapText="1"/>
    </xf>
    <xf borderId="1" fillId="0" fontId="20" numFmtId="0" xfId="0" applyAlignment="1" applyBorder="1" applyFont="1">
      <alignment horizontal="center" vertical="center"/>
    </xf>
    <xf borderId="21" fillId="0" fontId="21" numFmtId="0" xfId="0" applyAlignment="1" applyBorder="1" applyFont="1">
      <alignment vertical="bottom"/>
    </xf>
    <xf borderId="30" fillId="0" fontId="9" numFmtId="165" xfId="0" applyAlignment="1" applyBorder="1" applyFont="1" applyNumberFormat="1">
      <alignment shrinkToFit="0" vertical="bottom" wrapText="1"/>
    </xf>
    <xf borderId="30" fillId="0" fontId="5" numFmtId="0" xfId="0" applyAlignment="1" applyBorder="1" applyFont="1">
      <alignment shrinkToFit="0" vertical="bottom" wrapText="1"/>
    </xf>
    <xf borderId="12" fillId="0" fontId="21" numFmtId="0" xfId="0" applyAlignment="1" applyBorder="1" applyFont="1">
      <alignment vertical="bottom"/>
    </xf>
    <xf borderId="31" fillId="0" fontId="9" numFmtId="165" xfId="0" applyAlignment="1" applyBorder="1" applyFont="1" applyNumberFormat="1">
      <alignment shrinkToFit="0" vertical="bottom" wrapText="1"/>
    </xf>
    <xf borderId="31" fillId="0" fontId="5" numFmtId="0" xfId="0" applyAlignment="1" applyBorder="1" applyFont="1">
      <alignment shrinkToFit="0" vertical="bottom" wrapText="1"/>
    </xf>
    <xf borderId="31" fillId="0" fontId="5" numFmtId="165" xfId="0" applyAlignment="1" applyBorder="1" applyFont="1" applyNumberFormat="1">
      <alignment shrinkToFit="0" vertical="bottom" wrapText="1"/>
    </xf>
    <xf borderId="32" fillId="0" fontId="21" numFmtId="0" xfId="0" applyAlignment="1" applyBorder="1" applyFont="1">
      <alignment vertical="bottom"/>
    </xf>
    <xf borderId="33" fillId="0" fontId="9" numFmtId="165" xfId="0" applyAlignment="1" applyBorder="1" applyFont="1" applyNumberFormat="1">
      <alignment shrinkToFit="0" vertical="bottom" wrapText="1"/>
    </xf>
    <xf borderId="33" fillId="0" fontId="5" numFmtId="165" xfId="0" applyAlignment="1" applyBorder="1" applyFont="1" applyNumberFormat="1">
      <alignment shrinkToFit="0" vertical="bottom" wrapText="1"/>
    </xf>
    <xf borderId="6" fillId="0" fontId="21" numFmtId="0" xfId="0" applyAlignment="1" applyBorder="1" applyFont="1">
      <alignment vertical="bottom"/>
    </xf>
    <xf borderId="3" fillId="0" fontId="9" numFmtId="165" xfId="0" applyAlignment="1" applyBorder="1" applyFont="1" applyNumberFormat="1">
      <alignment shrinkToFit="0" vertical="bottom" wrapText="1"/>
    </xf>
    <xf borderId="3" fillId="0" fontId="5" numFmtId="0" xfId="0" applyAlignment="1" applyBorder="1" applyFont="1">
      <alignment shrinkToFit="0" vertical="bottom" wrapText="1"/>
    </xf>
    <xf borderId="17" fillId="0" fontId="22" numFmtId="0" xfId="0" applyAlignment="1" applyBorder="1" applyFont="1">
      <alignment horizontal="center" vertical="center"/>
    </xf>
    <xf borderId="28" fillId="0" fontId="23" numFmtId="0" xfId="0" applyAlignment="1" applyBorder="1" applyFont="1">
      <alignment horizontal="center" shrinkToFit="0" vertical="center" wrapText="1"/>
    </xf>
    <xf borderId="8" fillId="0" fontId="23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center" vertical="center"/>
    </xf>
    <xf borderId="34" fillId="0" fontId="21" numFmtId="0" xfId="0" applyAlignment="1" applyBorder="1" applyFont="1">
      <alignment vertical="bottom"/>
    </xf>
    <xf borderId="35" fillId="0" fontId="24" numFmtId="1" xfId="0" applyAlignment="1" applyBorder="1" applyFont="1" applyNumberFormat="1">
      <alignment vertical="bottom"/>
    </xf>
    <xf borderId="36" fillId="0" fontId="24" numFmtId="1" xfId="0" applyAlignment="1" applyBorder="1" applyFont="1" applyNumberFormat="1">
      <alignment vertical="bottom"/>
    </xf>
    <xf borderId="37" fillId="0" fontId="21" numFmtId="1" xfId="0" applyAlignment="1" applyBorder="1" applyFont="1" applyNumberFormat="1">
      <alignment vertical="bottom"/>
    </xf>
    <xf borderId="0" fillId="0" fontId="21" numFmtId="0" xfId="0" applyAlignment="1" applyFont="1">
      <alignment vertical="bottom"/>
    </xf>
    <xf borderId="38" fillId="0" fontId="21" numFmtId="0" xfId="0" applyAlignment="1" applyBorder="1" applyFont="1">
      <alignment vertical="bottom"/>
    </xf>
    <xf borderId="39" fillId="0" fontId="24" numFmtId="1" xfId="0" applyAlignment="1" applyBorder="1" applyFont="1" applyNumberFormat="1">
      <alignment vertical="bottom"/>
    </xf>
    <xf borderId="13" fillId="0" fontId="24" numFmtId="1" xfId="0" applyAlignment="1" applyBorder="1" applyFont="1" applyNumberFormat="1">
      <alignment vertical="bottom"/>
    </xf>
    <xf borderId="31" fillId="0" fontId="21" numFmtId="1" xfId="0" applyAlignment="1" applyBorder="1" applyFont="1" applyNumberFormat="1">
      <alignment vertical="bottom"/>
    </xf>
    <xf borderId="25" fillId="0" fontId="21" numFmtId="0" xfId="0" applyAlignment="1" applyBorder="1" applyFont="1">
      <alignment vertical="bottom"/>
    </xf>
    <xf borderId="40" fillId="0" fontId="24" numFmtId="1" xfId="0" applyAlignment="1" applyBorder="1" applyFont="1" applyNumberFormat="1">
      <alignment vertical="bottom"/>
    </xf>
    <xf borderId="41" fillId="0" fontId="24" numFmtId="1" xfId="0" applyAlignment="1" applyBorder="1" applyFont="1" applyNumberFormat="1">
      <alignment vertical="bottom"/>
    </xf>
    <xf borderId="42" fillId="0" fontId="21" numFmtId="1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43" fillId="0" fontId="3" numFmtId="167" xfId="0" applyAlignment="1" applyBorder="1" applyFont="1" applyNumberFormat="1">
      <alignment vertical="bottom"/>
    </xf>
    <xf borderId="38" fillId="0" fontId="3" numFmtId="0" xfId="0" applyAlignment="1" applyBorder="1" applyFont="1">
      <alignment vertical="bottom"/>
    </xf>
    <xf borderId="13" fillId="0" fontId="3" numFmtId="167" xfId="0" applyAlignment="1" applyBorder="1" applyFont="1" applyNumberFormat="1">
      <alignment vertical="bottom"/>
    </xf>
    <xf borderId="25" fillId="0" fontId="3" numFmtId="0" xfId="0" applyAlignment="1" applyBorder="1" applyFont="1">
      <alignment vertical="bottom"/>
    </xf>
    <xf borderId="44" fillId="0" fontId="25" numFmtId="165" xfId="0" applyAlignment="1" applyBorder="1" applyFont="1" applyNumberFormat="1">
      <alignment vertical="bottom"/>
    </xf>
    <xf borderId="27" fillId="0" fontId="20" numFmtId="0" xfId="0" applyAlignment="1" applyBorder="1" applyFont="1">
      <alignment vertical="bottom"/>
    </xf>
    <xf borderId="45" fillId="0" fontId="20" numFmtId="167" xfId="0" applyAlignment="1" applyBorder="1" applyFont="1" applyNumberFormat="1">
      <alignment vertical="bottom"/>
    </xf>
    <xf borderId="46" fillId="6" fontId="26" numFmtId="0" xfId="0" applyAlignment="1" applyBorder="1" applyFill="1" applyFont="1">
      <alignment horizontal="center" vertical="center"/>
    </xf>
    <xf borderId="47" fillId="0" fontId="2" numFmtId="0" xfId="0" applyAlignment="1" applyBorder="1" applyFont="1">
      <alignment vertical="center"/>
    </xf>
    <xf borderId="48" fillId="0" fontId="2" numFmtId="0" xfId="0" applyAlignment="1" applyBorder="1" applyFont="1">
      <alignment vertical="center"/>
    </xf>
    <xf borderId="17" fillId="7" fontId="27" numFmtId="0" xfId="0" applyAlignment="1" applyBorder="1" applyFill="1" applyFont="1">
      <alignment horizontal="center" shrinkToFit="0" vertical="center" wrapText="1"/>
    </xf>
    <xf borderId="49" fillId="7" fontId="27" numFmtId="0" xfId="0" applyAlignment="1" applyBorder="1" applyFont="1">
      <alignment horizontal="center" vertical="center"/>
    </xf>
    <xf borderId="50" fillId="7" fontId="27" numFmtId="0" xfId="0" applyAlignment="1" applyBorder="1" applyFont="1">
      <alignment horizontal="center" shrinkToFit="0" vertical="center" wrapText="1"/>
    </xf>
    <xf borderId="49" fillId="7" fontId="27" numFmtId="0" xfId="0" applyAlignment="1" applyBorder="1" applyFont="1">
      <alignment horizontal="center" shrinkToFit="0" vertical="center" wrapText="1"/>
    </xf>
    <xf borderId="8" fillId="7" fontId="27" numFmtId="0" xfId="0" applyAlignment="1" applyBorder="1" applyFont="1">
      <alignment horizontal="center" shrinkToFit="0" vertical="center" wrapText="1"/>
    </xf>
    <xf borderId="38" fillId="8" fontId="11" numFmtId="0" xfId="0" applyAlignment="1" applyBorder="1" applyFill="1" applyFont="1">
      <alignment vertical="bottom"/>
    </xf>
    <xf borderId="39" fillId="0" fontId="11" numFmtId="16" xfId="0" applyAlignment="1" applyBorder="1" applyFont="1" applyNumberFormat="1">
      <alignment readingOrder="0" vertical="bottom"/>
    </xf>
    <xf borderId="39" fillId="8" fontId="11" numFmtId="0" xfId="0" applyAlignment="1" applyBorder="1" applyFont="1">
      <alignment horizontal="left" readingOrder="0" vertical="bottom"/>
    </xf>
    <xf borderId="39" fillId="8" fontId="11" numFmtId="0" xfId="0" applyAlignment="1" applyBorder="1" applyFont="1">
      <alignment horizontal="center" readingOrder="0" vertical="bottom"/>
    </xf>
    <xf borderId="39" fillId="8" fontId="11" numFmtId="0" xfId="0" applyAlignment="1" applyBorder="1" applyFont="1">
      <alignment vertical="bottom"/>
    </xf>
    <xf borderId="51" fillId="8" fontId="11" numFmtId="0" xfId="0" applyAlignment="1" applyBorder="1" applyFont="1">
      <alignment horizontal="left" vertical="center"/>
    </xf>
    <xf borderId="51" fillId="8" fontId="11" numFmtId="1" xfId="0" applyAlignment="1" applyBorder="1" applyFont="1" applyNumberFormat="1">
      <alignment horizontal="right" vertical="center"/>
    </xf>
    <xf borderId="39" fillId="8" fontId="11" numFmtId="0" xfId="0" applyAlignment="1" applyBorder="1" applyFont="1">
      <alignment horizontal="right" readingOrder="0" vertical="bottom"/>
    </xf>
    <xf borderId="39" fillId="0" fontId="28" numFmtId="1" xfId="0" applyAlignment="1" applyBorder="1" applyFont="1" applyNumberFormat="1">
      <alignment horizontal="right" vertical="bottom"/>
    </xf>
    <xf borderId="39" fillId="0" fontId="11" numFmtId="0" xfId="0" applyAlignment="1" applyBorder="1" applyFont="1">
      <alignment vertical="bottom"/>
    </xf>
    <xf borderId="31" fillId="0" fontId="11" numFmtId="0" xfId="0" applyAlignment="1" applyBorder="1" applyFont="1">
      <alignment vertical="bottom"/>
    </xf>
    <xf borderId="52" fillId="8" fontId="28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13" fillId="0" fontId="11" numFmtId="0" xfId="0" applyAlignment="1" applyBorder="1" applyFont="1">
      <alignment vertical="bottom"/>
    </xf>
    <xf borderId="0" fillId="0" fontId="28" numFmtId="168" xfId="0" applyAlignment="1" applyFont="1" applyNumberFormat="1">
      <alignment vertical="center"/>
    </xf>
    <xf borderId="39" fillId="8" fontId="11" numFmtId="0" xfId="0" applyAlignment="1" applyBorder="1" applyFont="1">
      <alignment horizontal="right" vertical="bottom"/>
    </xf>
    <xf borderId="0" fillId="0" fontId="11" numFmtId="0" xfId="0" applyAlignment="1" applyFont="1">
      <alignment vertical="bottom"/>
    </xf>
    <xf borderId="52" fillId="8" fontId="11" numFmtId="0" xfId="0" applyAlignment="1" applyBorder="1" applyFont="1">
      <alignment vertical="bottom"/>
    </xf>
    <xf borderId="13" fillId="0" fontId="28" numFmtId="0" xfId="0" applyAlignment="1" applyBorder="1" applyFont="1">
      <alignment vertical="bottom"/>
    </xf>
    <xf borderId="52" fillId="3" fontId="28" numFmtId="0" xfId="0" applyAlignment="1" applyBorder="1" applyFont="1">
      <alignment vertical="center"/>
    </xf>
    <xf borderId="51" fillId="8" fontId="11" numFmtId="1" xfId="0" applyAlignment="1" applyBorder="1" applyFont="1" applyNumberFormat="1">
      <alignment horizontal="right" readingOrder="0" vertical="center"/>
    </xf>
    <xf borderId="39" fillId="0" fontId="11" numFmtId="16" xfId="0" applyAlignment="1" applyBorder="1" applyFont="1" applyNumberFormat="1">
      <alignment vertical="bottom"/>
    </xf>
    <xf borderId="39" fillId="8" fontId="11" numFmtId="0" xfId="0" applyAlignment="1" applyBorder="1" applyFont="1">
      <alignment horizontal="left" vertical="bottom"/>
    </xf>
    <xf borderId="39" fillId="8" fontId="11" numFmtId="0" xfId="0" applyAlignment="1" applyBorder="1" applyFont="1">
      <alignment horizontal="center" vertical="bottom"/>
    </xf>
    <xf borderId="52" fillId="3" fontId="11" numFmtId="0" xfId="0" applyAlignment="1" applyBorder="1" applyFont="1">
      <alignment vertical="bottom"/>
    </xf>
    <xf borderId="13" fillId="0" fontId="11" numFmtId="16" xfId="0" applyAlignment="1" applyBorder="1" applyFont="1" applyNumberFormat="1">
      <alignment vertical="bottom"/>
    </xf>
    <xf borderId="39" fillId="8" fontId="11" numFmtId="16" xfId="0" applyAlignment="1" applyBorder="1" applyFont="1" applyNumberFormat="1">
      <alignment vertical="bottom"/>
    </xf>
    <xf borderId="13" fillId="8" fontId="11" numFmtId="0" xfId="0" applyAlignment="1" applyBorder="1" applyFont="1">
      <alignment vertical="bottom"/>
    </xf>
    <xf borderId="39" fillId="0" fontId="11" numFmtId="1" xfId="0" applyAlignment="1" applyBorder="1" applyFont="1" applyNumberFormat="1">
      <alignment horizontal="right" vertical="bottom"/>
    </xf>
    <xf borderId="25" fillId="8" fontId="11" numFmtId="0" xfId="0" applyAlignment="1" applyBorder="1" applyFont="1">
      <alignment vertical="bottom"/>
    </xf>
    <xf borderId="40" fillId="8" fontId="11" numFmtId="0" xfId="0" applyAlignment="1" applyBorder="1" applyFont="1">
      <alignment vertical="bottom"/>
    </xf>
    <xf borderId="40" fillId="8" fontId="11" numFmtId="0" xfId="0" applyAlignment="1" applyBorder="1" applyFont="1">
      <alignment horizontal="center" vertical="center"/>
    </xf>
    <xf borderId="40" fillId="8" fontId="11" numFmtId="0" xfId="0" applyAlignment="1" applyBorder="1" applyFont="1">
      <alignment horizontal="center" vertical="bottom"/>
    </xf>
    <xf borderId="53" fillId="8" fontId="11" numFmtId="1" xfId="0" applyAlignment="1" applyBorder="1" applyFont="1" applyNumberFormat="1">
      <alignment horizontal="right" vertical="center"/>
    </xf>
    <xf borderId="40" fillId="8" fontId="11" numFmtId="0" xfId="0" applyAlignment="1" applyBorder="1" applyFont="1">
      <alignment horizontal="right" vertical="bottom"/>
    </xf>
    <xf borderId="41" fillId="8" fontId="11" numFmtId="0" xfId="0" applyAlignment="1" applyBorder="1" applyFont="1">
      <alignment vertical="bottom"/>
    </xf>
    <xf borderId="54" fillId="3" fontId="11" numFmtId="16" xfId="0" applyAlignment="1" applyBorder="1" applyFont="1" applyNumberFormat="1">
      <alignment vertical="bottom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right" vertical="center"/>
    </xf>
    <xf borderId="0" fillId="0" fontId="11" numFmtId="0" xfId="0" applyAlignment="1" applyFont="1">
      <alignment horizontal="right" vertical="bottom"/>
    </xf>
    <xf borderId="0" fillId="0" fontId="11" numFmtId="9" xfId="0" applyAlignment="1" applyFont="1" applyNumberFormat="1">
      <alignment horizontal="right" vertical="bottom"/>
    </xf>
    <xf borderId="52" fillId="9" fontId="11" numFmtId="1" xfId="0" applyAlignment="1" applyBorder="1" applyFill="1" applyFont="1" applyNumberFormat="1">
      <alignment horizontal="right" vertical="bottom"/>
    </xf>
    <xf borderId="0" fillId="0" fontId="28" numFmtId="9" xfId="0" applyAlignment="1" applyFont="1" applyNumberFormat="1">
      <alignment vertical="center"/>
    </xf>
    <xf borderId="0" fillId="0" fontId="11" numFmtId="1" xfId="0" applyAlignment="1" applyFont="1" applyNumberFormat="1">
      <alignment horizontal="right" vertical="center"/>
    </xf>
    <xf borderId="0" fillId="0" fontId="11" numFmtId="1" xfId="0" applyAlignment="1" applyFont="1" applyNumberFormat="1">
      <alignment horizontal="right" vertical="bottom"/>
    </xf>
    <xf borderId="52" fillId="8" fontId="11" numFmtId="1" xfId="0" applyAlignment="1" applyBorder="1" applyFont="1" applyNumberFormat="1">
      <alignment horizontal="right" vertical="bottom"/>
    </xf>
    <xf borderId="0" fillId="0" fontId="28" numFmtId="1" xfId="0" applyAlignment="1" applyFont="1" applyNumberFormat="1">
      <alignment vertical="center"/>
    </xf>
    <xf borderId="55" fillId="8" fontId="11" numFmtId="0" xfId="0" applyAlignment="1" applyBorder="1" applyFont="1">
      <alignment vertical="center"/>
    </xf>
    <xf borderId="56" fillId="8" fontId="11" numFmtId="0" xfId="0" applyAlignment="1" applyBorder="1" applyFont="1">
      <alignment horizontal="center" vertical="center"/>
    </xf>
    <xf borderId="56" fillId="8" fontId="28" numFmtId="0" xfId="0" applyAlignment="1" applyBorder="1" applyFont="1">
      <alignment vertical="center"/>
    </xf>
    <xf borderId="56" fillId="8" fontId="11" numFmtId="0" xfId="0" applyAlignment="1" applyBorder="1" applyFont="1">
      <alignment horizontal="left" vertical="center"/>
    </xf>
    <xf borderId="49" fillId="8" fontId="29" numFmtId="1" xfId="0" applyAlignment="1" applyBorder="1" applyFont="1" applyNumberFormat="1">
      <alignment horizontal="right" vertical="center"/>
    </xf>
    <xf borderId="56" fillId="8" fontId="11" numFmtId="1" xfId="0" applyAlignment="1" applyBorder="1" applyFont="1" applyNumberFormat="1">
      <alignment vertical="bottom"/>
    </xf>
    <xf borderId="56" fillId="8" fontId="11" numFmtId="0" xfId="0" applyAlignment="1" applyBorder="1" applyFont="1">
      <alignment vertical="bottom"/>
    </xf>
    <xf borderId="4" fillId="8" fontId="11" numFmtId="1" xfId="0" applyAlignment="1" applyBorder="1" applyFont="1" applyNumberFormat="1">
      <alignment vertical="bottom"/>
    </xf>
    <xf borderId="50" fillId="8" fontId="29" numFmtId="0" xfId="0" applyAlignment="1" applyBorder="1" applyFont="1">
      <alignment horizontal="center" vertical="center"/>
    </xf>
    <xf borderId="49" fillId="8" fontId="29" numFmtId="0" xfId="0" applyAlignment="1" applyBorder="1" applyFont="1">
      <alignment horizontal="center" vertical="center"/>
    </xf>
    <xf borderId="4" fillId="8" fontId="30" numFmtId="0" xfId="0" applyAlignment="1" applyBorder="1" applyFont="1">
      <alignment horizontal="center" shrinkToFit="0" vertical="center" wrapText="1"/>
    </xf>
    <xf borderId="49" fillId="8" fontId="29" numFmtId="0" xfId="0" applyAlignment="1" applyBorder="1" applyFont="1">
      <alignment horizontal="left" vertical="center"/>
    </xf>
    <xf borderId="49" fillId="8" fontId="29" numFmtId="0" xfId="0" applyAlignment="1" applyBorder="1" applyFont="1">
      <alignment horizontal="right" vertical="center"/>
    </xf>
    <xf borderId="4" fillId="8" fontId="29" numFmtId="0" xfId="0" applyAlignment="1" applyBorder="1" applyFont="1">
      <alignment horizontal="center" vertical="center"/>
    </xf>
    <xf borderId="57" fillId="8" fontId="11" numFmtId="0" xfId="0" applyAlignment="1" applyBorder="1" applyFont="1">
      <alignment vertical="bottom"/>
    </xf>
    <xf borderId="58" fillId="8" fontId="11" numFmtId="0" xfId="0" applyAlignment="1" applyBorder="1" applyFont="1">
      <alignment vertical="bottom"/>
    </xf>
    <xf borderId="59" fillId="8" fontId="11" numFmtId="0" xfId="0" applyAlignment="1" applyBorder="1" applyFont="1">
      <alignment vertical="bottom"/>
    </xf>
    <xf borderId="39" fillId="8" fontId="31" numFmtId="16" xfId="0" applyAlignment="1" applyBorder="1" applyFont="1" applyNumberFormat="1">
      <alignment horizontal="center" readingOrder="0" vertical="center"/>
    </xf>
    <xf borderId="12" fillId="0" fontId="32" numFmtId="0" xfId="0" applyAlignment="1" applyBorder="1" applyFont="1">
      <alignment horizontal="center" vertical="bottom"/>
    </xf>
    <xf borderId="39" fillId="8" fontId="31" numFmtId="0" xfId="0" applyAlignment="1" applyBorder="1" applyFont="1">
      <alignment horizontal="center" vertical="center"/>
    </xf>
    <xf borderId="39" fillId="8" fontId="31" numFmtId="0" xfId="0" applyAlignment="1" applyBorder="1" applyFont="1">
      <alignment horizontal="left" readingOrder="0" vertical="center"/>
    </xf>
    <xf borderId="10" fillId="0" fontId="11" numFmtId="0" xfId="0" applyAlignment="1" applyBorder="1" applyFont="1">
      <alignment readingOrder="0" shrinkToFit="0" vertical="center" wrapText="0"/>
    </xf>
    <xf borderId="60" fillId="0" fontId="11" numFmtId="3" xfId="0" applyAlignment="1" applyBorder="1" applyFont="1" applyNumberFormat="1">
      <alignment horizontal="center" readingOrder="0" shrinkToFit="0" vertical="center" wrapText="0"/>
    </xf>
    <xf borderId="39" fillId="8" fontId="28" numFmtId="1" xfId="0" applyAlignment="1" applyBorder="1" applyFont="1" applyNumberFormat="1">
      <alignment vertical="bottom"/>
    </xf>
    <xf borderId="61" fillId="8" fontId="28" numFmtId="0" xfId="0" applyAlignment="1" applyBorder="1" applyFont="1">
      <alignment vertical="bottom"/>
    </xf>
    <xf borderId="39" fillId="8" fontId="28" numFmtId="0" xfId="0" applyAlignment="1" applyBorder="1" applyFont="1">
      <alignment horizontal="right" vertical="bottom"/>
    </xf>
    <xf borderId="39" fillId="8" fontId="28" numFmtId="1" xfId="0" applyAlignment="1" applyBorder="1" applyFont="1" applyNumberFormat="1">
      <alignment horizontal="right" vertical="bottom"/>
    </xf>
    <xf borderId="39" fillId="8" fontId="28" numFmtId="0" xfId="0" applyAlignment="1" applyBorder="1" applyFont="1">
      <alignment vertical="bottom"/>
    </xf>
    <xf borderId="62" fillId="8" fontId="11" numFmtId="0" xfId="0" applyAlignment="1" applyBorder="1" applyFont="1">
      <alignment vertical="bottom"/>
    </xf>
    <xf borderId="63" fillId="8" fontId="11" numFmtId="0" xfId="0" applyAlignment="1" applyBorder="1" applyFont="1">
      <alignment vertical="bottom"/>
    </xf>
    <xf borderId="64" fillId="8" fontId="11" numFmtId="0" xfId="0" applyAlignment="1" applyBorder="1" applyFont="1">
      <alignment vertical="bottom"/>
    </xf>
    <xf borderId="12" fillId="0" fontId="33" numFmtId="0" xfId="0" applyAlignment="1" applyBorder="1" applyFont="1">
      <alignment horizontal="center" readingOrder="0" vertical="bottom"/>
    </xf>
    <xf borderId="39" fillId="0" fontId="34" numFmtId="3" xfId="0" applyAlignment="1" applyBorder="1" applyFont="1" applyNumberFormat="1">
      <alignment horizontal="center" readingOrder="0" shrinkToFit="0" vertical="center" wrapText="0"/>
    </xf>
    <xf borderId="39" fillId="8" fontId="28" numFmtId="0" xfId="0" applyAlignment="1" applyBorder="1" applyFont="1">
      <alignment readingOrder="0" vertical="bottom"/>
    </xf>
    <xf borderId="39" fillId="8" fontId="31" numFmtId="0" xfId="0" applyAlignment="1" applyBorder="1" applyFont="1">
      <alignment horizontal="center" readingOrder="0" vertical="center"/>
    </xf>
    <xf borderId="61" fillId="8" fontId="28" numFmtId="0" xfId="0" applyAlignment="1" applyBorder="1" applyFont="1">
      <alignment readingOrder="0" vertical="bottom"/>
    </xf>
    <xf borderId="39" fillId="8" fontId="28" numFmtId="0" xfId="0" applyAlignment="1" applyBorder="1" applyFont="1">
      <alignment horizontal="right" readingOrder="0" vertical="bottom"/>
    </xf>
    <xf borderId="60" fillId="0" fontId="11" numFmtId="0" xfId="0" applyAlignment="1" applyBorder="1" applyFont="1">
      <alignment horizontal="center" vertical="center"/>
    </xf>
    <xf borderId="65" fillId="8" fontId="11" numFmtId="0" xfId="0" applyAlignment="1" applyBorder="1" applyFont="1">
      <alignment vertical="bottom"/>
    </xf>
    <xf borderId="66" fillId="8" fontId="11" numFmtId="0" xfId="0" applyAlignment="1" applyBorder="1" applyFont="1">
      <alignment vertical="bottom"/>
    </xf>
    <xf borderId="67" fillId="8" fontId="11" numFmtId="0" xfId="0" applyAlignment="1" applyBorder="1" applyFont="1">
      <alignment vertical="bottom"/>
    </xf>
    <xf borderId="39" fillId="0" fontId="11" numFmtId="3" xfId="0" applyAlignment="1" applyBorder="1" applyFont="1" applyNumberFormat="1">
      <alignment horizontal="center" readingOrder="0" shrinkToFit="0" vertical="center" wrapText="0"/>
    </xf>
    <xf borderId="68" fillId="0" fontId="11" numFmtId="0" xfId="0" applyAlignment="1" applyBorder="1" applyFont="1">
      <alignment horizontal="center" vertical="center"/>
    </xf>
    <xf borderId="39" fillId="0" fontId="34" numFmtId="0" xfId="0" applyAlignment="1" applyBorder="1" applyFont="1">
      <alignment readingOrder="0" shrinkToFit="0" vertical="center" wrapText="0"/>
    </xf>
    <xf borderId="35" fillId="0" fontId="11" numFmtId="3" xfId="0" applyAlignment="1" applyBorder="1" applyFont="1" applyNumberFormat="1">
      <alignment horizontal="center" readingOrder="0" vertical="center"/>
    </xf>
    <xf borderId="0" fillId="0" fontId="34" numFmtId="0" xfId="0" applyAlignment="1" applyFont="1">
      <alignment readingOrder="0" shrinkToFit="0" vertical="center" wrapText="0"/>
    </xf>
    <xf borderId="69" fillId="3" fontId="11" numFmtId="0" xfId="0" applyAlignment="1" applyBorder="1" applyFont="1">
      <alignment readingOrder="0" vertical="bottom"/>
    </xf>
    <xf borderId="10" fillId="0" fontId="11" numFmtId="0" xfId="0" applyAlignment="1" applyBorder="1" applyFont="1">
      <alignment readingOrder="0" vertical="center"/>
    </xf>
    <xf borderId="39" fillId="0" fontId="34" numFmtId="3" xfId="0" applyAlignment="1" applyBorder="1" applyFont="1" applyNumberFormat="1">
      <alignment horizontal="center" readingOrder="0" vertical="center"/>
    </xf>
    <xf borderId="60" fillId="0" fontId="11" numFmtId="3" xfId="0" applyAlignment="1" applyBorder="1" applyFont="1" applyNumberFormat="1">
      <alignment horizontal="center" readingOrder="0" vertical="center"/>
    </xf>
    <xf borderId="39" fillId="8" fontId="28" numFmtId="1" xfId="0" applyAlignment="1" applyBorder="1" applyFont="1" applyNumberFormat="1">
      <alignment readingOrder="0" vertical="bottom"/>
    </xf>
    <xf borderId="39" fillId="8" fontId="31" numFmtId="16" xfId="0" applyAlignment="1" applyBorder="1" applyFont="1" applyNumberFormat="1">
      <alignment horizontal="center" vertical="center"/>
    </xf>
    <xf borderId="39" fillId="8" fontId="31" numFmtId="0" xfId="0" applyAlignment="1" applyBorder="1" applyFont="1">
      <alignment horizontal="left" vertical="center"/>
    </xf>
    <xf borderId="10" fillId="0" fontId="11" numFmtId="0" xfId="0" applyAlignment="1" applyBorder="1" applyFont="1">
      <alignment vertical="center"/>
    </xf>
    <xf borderId="39" fillId="0" fontId="34" numFmtId="3" xfId="0" applyAlignment="1" applyBorder="1" applyFont="1" applyNumberFormat="1">
      <alignment horizontal="center" vertical="center"/>
    </xf>
    <xf borderId="60" fillId="0" fontId="11" numFmtId="3" xfId="0" applyAlignment="1" applyBorder="1" applyFont="1" applyNumberFormat="1">
      <alignment horizontal="center" vertical="center"/>
    </xf>
    <xf borderId="39" fillId="0" fontId="34" numFmtId="1" xfId="0" applyAlignment="1" applyBorder="1" applyFont="1" applyNumberFormat="1">
      <alignment horizontal="center" vertical="center"/>
    </xf>
    <xf borderId="39" fillId="0" fontId="34" numFmtId="1" xfId="0" applyAlignment="1" applyBorder="1" applyFont="1" applyNumberFormat="1">
      <alignment horizontal="center" readingOrder="0" vertical="center"/>
    </xf>
    <xf borderId="39" fillId="0" fontId="34" numFmtId="0" xfId="0" applyAlignment="1" applyBorder="1" applyFont="1">
      <alignment horizontal="center" readingOrder="0" vertical="center"/>
    </xf>
    <xf borderId="61" fillId="3" fontId="11" numFmtId="0" xfId="0" applyAlignment="1" applyBorder="1" applyFont="1">
      <alignment vertical="bottom"/>
    </xf>
    <xf borderId="39" fillId="0" fontId="11" numFmtId="3" xfId="0" applyAlignment="1" applyBorder="1" applyFont="1" applyNumberFormat="1">
      <alignment horizontal="center" vertical="center"/>
    </xf>
    <xf borderId="39" fillId="0" fontId="34" numFmtId="0" xfId="0" applyAlignment="1" applyBorder="1" applyFont="1">
      <alignment vertical="center"/>
    </xf>
    <xf borderId="35" fillId="0" fontId="11" numFmtId="3" xfId="0" applyAlignment="1" applyBorder="1" applyFont="1" applyNumberFormat="1">
      <alignment horizontal="center" vertical="center"/>
    </xf>
    <xf borderId="51" fillId="8" fontId="31" numFmtId="0" xfId="0" applyAlignment="1" applyBorder="1" applyFont="1">
      <alignment horizontal="center" vertical="center"/>
    </xf>
    <xf borderId="51" fillId="8" fontId="31" numFmtId="0" xfId="0" applyAlignment="1" applyBorder="1" applyFont="1">
      <alignment horizontal="left" vertical="center"/>
    </xf>
    <xf borderId="51" fillId="8" fontId="28" numFmtId="1" xfId="0" applyAlignment="1" applyBorder="1" applyFont="1" applyNumberFormat="1">
      <alignment vertical="bottom"/>
    </xf>
    <xf borderId="39" fillId="8" fontId="28" numFmtId="0" xfId="0" applyAlignment="1" applyBorder="1" applyFont="1">
      <alignment horizontal="center" vertical="center"/>
    </xf>
    <xf borderId="39" fillId="8" fontId="31" numFmtId="0" xfId="0" applyAlignment="1" applyBorder="1" applyFont="1">
      <alignment horizontal="center" vertical="bottom"/>
    </xf>
    <xf borderId="39" fillId="8" fontId="31" numFmtId="0" xfId="0" applyAlignment="1" applyBorder="1" applyFont="1">
      <alignment horizontal="left" vertical="bottom"/>
    </xf>
    <xf borderId="39" fillId="8" fontId="28" numFmtId="0" xfId="0" applyAlignment="1" applyBorder="1" applyFont="1">
      <alignment vertical="center"/>
    </xf>
    <xf borderId="39" fillId="8" fontId="28" numFmtId="0" xfId="0" applyAlignment="1" applyBorder="1" applyFont="1">
      <alignment horizontal="left" vertical="center"/>
    </xf>
    <xf borderId="39" fillId="8" fontId="28" numFmtId="16" xfId="0" applyAlignment="1" applyBorder="1" applyFont="1" applyNumberFormat="1">
      <alignment horizontal="right" vertical="center"/>
    </xf>
    <xf borderId="39" fillId="8" fontId="35" numFmtId="0" xfId="0" applyAlignment="1" applyBorder="1" applyFont="1">
      <alignment shrinkToFit="0" vertical="center" wrapText="1"/>
    </xf>
    <xf borderId="39" fillId="8" fontId="36" numFmtId="0" xfId="0" applyAlignment="1" applyBorder="1" applyFont="1">
      <alignment horizontal="left" vertical="bottom"/>
    </xf>
    <xf borderId="39" fillId="8" fontId="36" numFmtId="0" xfId="0" applyAlignment="1" applyBorder="1" applyFont="1">
      <alignment horizontal="center" vertical="bottom"/>
    </xf>
    <xf borderId="39" fillId="8" fontId="36" numFmtId="3" xfId="0" applyAlignment="1" applyBorder="1" applyFont="1" applyNumberFormat="1">
      <alignment horizontal="right" vertical="center"/>
    </xf>
    <xf borderId="39" fillId="8" fontId="28" numFmtId="0" xfId="0" applyAlignment="1" applyBorder="1" applyFont="1">
      <alignment horizontal="right" vertical="center"/>
    </xf>
    <xf borderId="39" fillId="8" fontId="36" numFmtId="3" xfId="0" applyAlignment="1" applyBorder="1" applyFont="1" applyNumberFormat="1">
      <alignment horizontal="right" vertical="bottom"/>
    </xf>
    <xf borderId="51" fillId="8" fontId="28" numFmtId="16" xfId="0" applyAlignment="1" applyBorder="1" applyFont="1" applyNumberFormat="1">
      <alignment horizontal="right" vertical="center"/>
    </xf>
    <xf borderId="51" fillId="8" fontId="36" numFmtId="0" xfId="0" applyAlignment="1" applyBorder="1" applyFont="1">
      <alignment horizontal="center" vertical="bottom"/>
    </xf>
    <xf borderId="51" fillId="8" fontId="28" numFmtId="0" xfId="0" applyAlignment="1" applyBorder="1" applyFont="1">
      <alignment horizontal="right" vertical="center"/>
    </xf>
    <xf borderId="51" fillId="8" fontId="36" numFmtId="0" xfId="0" applyAlignment="1" applyBorder="1" applyFont="1">
      <alignment horizontal="left" vertical="bottom"/>
    </xf>
    <xf borderId="51" fillId="8" fontId="36" numFmtId="3" xfId="0" applyAlignment="1" applyBorder="1" applyFont="1" applyNumberFormat="1">
      <alignment horizontal="right" vertical="bottom"/>
    </xf>
    <xf borderId="51" fillId="8" fontId="28" numFmtId="0" xfId="0" applyAlignment="1" applyBorder="1" applyFont="1">
      <alignment vertical="bottom"/>
    </xf>
    <xf borderId="51" fillId="8" fontId="28" numFmtId="0" xfId="0" applyAlignment="1" applyBorder="1" applyFont="1">
      <alignment horizontal="right" vertical="bottom"/>
    </xf>
    <xf borderId="51" fillId="8" fontId="28" numFmtId="1" xfId="0" applyAlignment="1" applyBorder="1" applyFont="1" applyNumberFormat="1">
      <alignment horizontal="right" vertical="bottom"/>
    </xf>
    <xf borderId="39" fillId="8" fontId="36" numFmtId="0" xfId="0" applyAlignment="1" applyBorder="1" applyFont="1">
      <alignment horizontal="left" shrinkToFit="0" vertical="bottom" wrapText="1"/>
    </xf>
    <xf borderId="39" fillId="8" fontId="36" numFmtId="0" xfId="0" applyAlignment="1" applyBorder="1" applyFont="1">
      <alignment horizontal="center" shrinkToFit="0" vertical="bottom" wrapText="1"/>
    </xf>
    <xf borderId="39" fillId="8" fontId="36" numFmtId="3" xfId="0" applyAlignment="1" applyBorder="1" applyFont="1" applyNumberFormat="1">
      <alignment horizontal="center" vertical="center"/>
    </xf>
    <xf borderId="39" fillId="8" fontId="28" numFmtId="16" xfId="0" applyAlignment="1" applyBorder="1" applyFont="1" applyNumberFormat="1">
      <alignment vertical="center"/>
    </xf>
    <xf borderId="39" fillId="8" fontId="37" numFmtId="3" xfId="0" applyAlignment="1" applyBorder="1" applyFont="1" applyNumberFormat="1">
      <alignment horizontal="right" vertical="center"/>
    </xf>
    <xf borderId="39" fillId="8" fontId="28" numFmtId="1" xfId="0" applyAlignment="1" applyBorder="1" applyFont="1" applyNumberFormat="1">
      <alignment horizontal="right" vertical="center"/>
    </xf>
    <xf borderId="51" fillId="8" fontId="11" numFmtId="16" xfId="0" applyAlignment="1" applyBorder="1" applyFont="1" applyNumberFormat="1">
      <alignment vertical="center"/>
    </xf>
    <xf borderId="51" fillId="8" fontId="11" numFmtId="0" xfId="0" applyAlignment="1" applyBorder="1" applyFont="1">
      <alignment horizontal="center" vertical="center"/>
    </xf>
    <xf borderId="51" fillId="8" fontId="28" numFmtId="0" xfId="0" applyAlignment="1" applyBorder="1" applyFont="1">
      <alignment vertical="center"/>
    </xf>
    <xf borderId="51" fillId="8" fontId="11" numFmtId="1" xfId="0" applyAlignment="1" applyBorder="1" applyFont="1" applyNumberFormat="1">
      <alignment vertical="bottom"/>
    </xf>
    <xf borderId="51" fillId="8" fontId="11" numFmtId="0" xfId="0" applyAlignment="1" applyBorder="1" applyFont="1">
      <alignment vertical="bottom"/>
    </xf>
    <xf borderId="39" fillId="8" fontId="11" numFmtId="16" xfId="0" applyAlignment="1" applyBorder="1" applyFont="1" applyNumberFormat="1">
      <alignment vertical="center"/>
    </xf>
    <xf borderId="39" fillId="8" fontId="11" numFmtId="0" xfId="0" applyAlignment="1" applyBorder="1" applyFont="1">
      <alignment horizontal="center" vertical="center"/>
    </xf>
    <xf borderId="39" fillId="8" fontId="11" numFmtId="0" xfId="0" applyAlignment="1" applyBorder="1" applyFont="1">
      <alignment horizontal="left" vertical="center"/>
    </xf>
    <xf borderId="39" fillId="8" fontId="11" numFmtId="1" xfId="0" applyAlignment="1" applyBorder="1" applyFont="1" applyNumberFormat="1">
      <alignment horizontal="right" vertical="center"/>
    </xf>
    <xf borderId="39" fillId="8" fontId="11" numFmtId="1" xfId="0" applyAlignment="1" applyBorder="1" applyFont="1" applyNumberFormat="1">
      <alignment vertical="bottom"/>
    </xf>
    <xf borderId="39" fillId="8" fontId="11" numFmtId="16" xfId="0" applyAlignment="1" applyBorder="1" applyFont="1" applyNumberFormat="1">
      <alignment horizontal="right" vertical="center"/>
    </xf>
    <xf borderId="39" fillId="8" fontId="11" numFmtId="0" xfId="0" applyAlignment="1" applyBorder="1" applyFont="1">
      <alignment horizontal="right" vertical="center"/>
    </xf>
    <xf borderId="39" fillId="8" fontId="38" numFmtId="0" xfId="0" applyAlignment="1" applyBorder="1" applyFont="1">
      <alignment horizontal="center" vertical="center"/>
    </xf>
    <xf borderId="39" fillId="8" fontId="36" numFmtId="0" xfId="0" applyAlignment="1" applyBorder="1" applyFont="1">
      <alignment horizontal="center" shrinkToFit="0" vertical="center" wrapText="1"/>
    </xf>
    <xf borderId="39" fillId="8" fontId="36" numFmtId="0" xfId="0" applyAlignment="1" applyBorder="1" applyFont="1">
      <alignment horizontal="right" vertical="bottom"/>
    </xf>
    <xf borderId="39" fillId="8" fontId="34" numFmtId="0" xfId="0" applyAlignment="1" applyBorder="1" applyFont="1">
      <alignment horizontal="center" vertical="center"/>
    </xf>
    <xf borderId="39" fillId="8" fontId="34" numFmtId="0" xfId="0" applyAlignment="1" applyBorder="1" applyFont="1">
      <alignment horizontal="right" vertical="center"/>
    </xf>
    <xf borderId="39" fillId="8" fontId="11" numFmtId="0" xfId="0" applyAlignment="1" applyBorder="1" applyFont="1">
      <alignment horizontal="center" shrinkToFit="0" vertical="bottom" wrapText="1"/>
    </xf>
    <xf borderId="39" fillId="8" fontId="28" numFmtId="0" xfId="0" applyAlignment="1" applyBorder="1" applyFont="1">
      <alignment horizontal="center" vertical="bottom"/>
    </xf>
    <xf borderId="39" fillId="8" fontId="21" numFmtId="0" xfId="0" applyAlignment="1" applyBorder="1" applyFont="1">
      <alignment horizontal="center" vertical="bottom"/>
    </xf>
    <xf borderId="39" fillId="8" fontId="11" numFmtId="0" xfId="0" applyAlignment="1" applyBorder="1" applyFont="1">
      <alignment shrinkToFit="0" vertical="bottom" wrapText="1"/>
    </xf>
    <xf borderId="35" fillId="0" fontId="11" numFmtId="16" xfId="0" applyAlignment="1" applyBorder="1" applyFont="1" applyNumberFormat="1">
      <alignment horizontal="right" vertical="center"/>
    </xf>
    <xf borderId="35" fillId="0" fontId="11" numFmtId="0" xfId="0" applyAlignment="1" applyBorder="1" applyFont="1">
      <alignment horizontal="center" vertical="center"/>
    </xf>
    <xf borderId="35" fillId="0" fontId="11" numFmtId="0" xfId="0" applyAlignment="1" applyBorder="1" applyFont="1">
      <alignment horizontal="left" vertical="center"/>
    </xf>
    <xf borderId="35" fillId="0" fontId="28" numFmtId="0" xfId="0" applyAlignment="1" applyBorder="1" applyFont="1">
      <alignment horizontal="center" shrinkToFit="0" vertical="bottom" wrapText="1"/>
    </xf>
    <xf borderId="35" fillId="0" fontId="28" numFmtId="0" xfId="0" applyAlignment="1" applyBorder="1" applyFont="1">
      <alignment horizontal="right" vertical="center"/>
    </xf>
    <xf borderId="35" fillId="0" fontId="11" numFmtId="0" xfId="0" applyAlignment="1" applyBorder="1" applyFont="1">
      <alignment vertical="bottom"/>
    </xf>
    <xf borderId="39" fillId="0" fontId="11" numFmtId="16" xfId="0" applyAlignment="1" applyBorder="1" applyFont="1" applyNumberFormat="1">
      <alignment horizontal="right" vertical="center"/>
    </xf>
    <xf borderId="39" fillId="0" fontId="11" numFmtId="0" xfId="0" applyAlignment="1" applyBorder="1" applyFont="1">
      <alignment horizontal="center" vertical="center"/>
    </xf>
    <xf borderId="39" fillId="0" fontId="11" numFmtId="0" xfId="0" applyAlignment="1" applyBorder="1" applyFont="1">
      <alignment horizontal="left" vertical="center"/>
    </xf>
    <xf borderId="39" fillId="0" fontId="28" numFmtId="0" xfId="0" applyAlignment="1" applyBorder="1" applyFont="1">
      <alignment horizontal="center" shrinkToFit="0" vertical="bottom" wrapText="1"/>
    </xf>
    <xf borderId="39" fillId="0" fontId="28" numFmtId="0" xfId="0" applyAlignment="1" applyBorder="1" applyFont="1">
      <alignment horizontal="right" vertical="center"/>
    </xf>
    <xf borderId="38" fillId="0" fontId="38" numFmtId="0" xfId="0" applyAlignment="1" applyBorder="1" applyFont="1">
      <alignment horizontal="center" vertical="center"/>
    </xf>
    <xf borderId="39" fillId="0" fontId="11" numFmtId="0" xfId="0" applyAlignment="1" applyBorder="1" applyFont="1">
      <alignment horizontal="center" shrinkToFit="0" vertical="bottom" wrapText="1"/>
    </xf>
    <xf borderId="10" fillId="0" fontId="11" numFmtId="0" xfId="0" applyAlignment="1" applyBorder="1" applyFont="1">
      <alignment horizontal="right" vertical="center"/>
    </xf>
    <xf borderId="39" fillId="0" fontId="36" numFmtId="0" xfId="0" applyAlignment="1" applyBorder="1" applyFont="1">
      <alignment horizontal="center" shrinkToFit="0" vertical="center" wrapText="1"/>
    </xf>
    <xf borderId="39" fillId="0" fontId="36" numFmtId="0" xfId="0" applyAlignment="1" applyBorder="1" applyFont="1">
      <alignment horizontal="right" vertical="bottom"/>
    </xf>
    <xf borderId="39" fillId="0" fontId="11" numFmtId="0" xfId="0" applyAlignment="1" applyBorder="1" applyFont="1">
      <alignment horizontal="right" vertical="center"/>
    </xf>
    <xf borderId="39" fillId="8" fontId="28" numFmtId="3" xfId="0" applyAlignment="1" applyBorder="1" applyFont="1" applyNumberFormat="1">
      <alignment vertical="center"/>
    </xf>
    <xf borderId="60" fillId="0" fontId="11" numFmtId="0" xfId="0" applyAlignment="1" applyBorder="1" applyFont="1">
      <alignment horizontal="left" vertical="center"/>
    </xf>
    <xf borderId="39" fillId="0" fontId="11" numFmtId="0" xfId="0" applyAlignment="1" applyBorder="1" applyFont="1">
      <alignment horizontal="center" shrinkToFit="0" vertical="center" wrapText="1"/>
    </xf>
    <xf borderId="39" fillId="0" fontId="11" numFmtId="1" xfId="0" applyAlignment="1" applyBorder="1" applyFont="1" applyNumberFormat="1">
      <alignment vertical="bottom"/>
    </xf>
    <xf borderId="39" fillId="0" fontId="28" numFmtId="0" xfId="0" applyAlignment="1" applyBorder="1" applyFont="1">
      <alignment vertical="bottom"/>
    </xf>
    <xf borderId="39" fillId="0" fontId="11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vertical="center"/>
    </xf>
    <xf borderId="10" fillId="0" fontId="38" numFmtId="0" xfId="0" applyAlignment="1" applyBorder="1" applyFont="1">
      <alignment horizontal="center" vertical="center"/>
    </xf>
    <xf borderId="39" fillId="0" fontId="11" numFmtId="0" xfId="0" applyAlignment="1" applyBorder="1" applyFont="1">
      <alignment horizontal="right" vertical="bottom"/>
    </xf>
    <xf borderId="70" fillId="0" fontId="11" numFmtId="0" xfId="0" applyAlignment="1" applyBorder="1" applyFont="1">
      <alignment horizontal="left" vertical="center"/>
    </xf>
    <xf borderId="71" fillId="0" fontId="11" numFmtId="0" xfId="0" applyAlignment="1" applyBorder="1" applyFont="1">
      <alignment horizontal="center" shrinkToFit="0" vertical="center" wrapText="1"/>
    </xf>
    <xf borderId="39" fillId="0" fontId="11" numFmtId="0" xfId="0" applyAlignment="1" applyBorder="1" applyFont="1">
      <alignment shrinkToFit="0" vertical="bottom" wrapText="1"/>
    </xf>
    <xf borderId="15" fillId="0" fontId="11" numFmtId="0" xfId="0" applyAlignment="1" applyBorder="1" applyFont="1">
      <alignment horizontal="left" vertical="bottom"/>
    </xf>
    <xf borderId="38" fillId="0" fontId="11" numFmtId="0" xfId="0" applyAlignment="1" applyBorder="1" applyFont="1">
      <alignment horizontal="left" vertical="bottom"/>
    </xf>
    <xf borderId="39" fillId="8" fontId="11" numFmtId="0" xfId="0" applyAlignment="1" applyBorder="1" applyFont="1">
      <alignment vertical="center"/>
    </xf>
    <xf borderId="39" fillId="0" fontId="11" numFmtId="0" xfId="0" applyAlignment="1" applyBorder="1" applyFont="1">
      <alignment horizontal="left" vertical="bottom"/>
    </xf>
    <xf borderId="39" fillId="0" fontId="21" numFmtId="0" xfId="0" applyAlignment="1" applyBorder="1" applyFont="1">
      <alignment horizontal="center" vertical="bottom"/>
    </xf>
    <xf borderId="12" fillId="0" fontId="29" numFmtId="0" xfId="0" applyAlignment="1" applyBorder="1" applyFont="1">
      <alignment vertical="bottom"/>
    </xf>
    <xf borderId="72" fillId="0" fontId="29" numFmtId="0" xfId="0" applyAlignment="1" applyBorder="1" applyFont="1">
      <alignment vertical="bottom"/>
    </xf>
    <xf borderId="38" fillId="8" fontId="38" numFmtId="0" xfId="0" applyAlignment="1" applyBorder="1" applyFont="1">
      <alignment horizontal="center" vertical="center"/>
    </xf>
    <xf borderId="12" fillId="8" fontId="11" numFmtId="0" xfId="0" applyAlignment="1" applyBorder="1" applyFont="1">
      <alignment vertical="bottom"/>
    </xf>
    <xf borderId="38" fillId="8" fontId="25" numFmtId="0" xfId="0" applyAlignment="1" applyBorder="1" applyFont="1">
      <alignment horizontal="left" vertical="bottom"/>
    </xf>
    <xf borderId="38" fillId="8" fontId="25" numFmtId="0" xfId="0" applyAlignment="1" applyBorder="1" applyFont="1">
      <alignment horizontal="center" vertical="bottom"/>
    </xf>
    <xf borderId="61" fillId="8" fontId="11" numFmtId="0" xfId="0" applyAlignment="1" applyBorder="1" applyFont="1">
      <alignment horizontal="center" vertical="center"/>
    </xf>
    <xf borderId="39" fillId="8" fontId="11" numFmtId="0" xfId="0" applyAlignment="1" applyBorder="1" applyFont="1">
      <alignment horizontal="center" shrinkToFit="0" vertical="center" wrapText="1"/>
    </xf>
    <xf borderId="39" fillId="8" fontId="11" numFmtId="17" xfId="0" applyAlignment="1" applyBorder="1" applyFont="1" applyNumberFormat="1">
      <alignment horizontal="center" vertical="bottom"/>
    </xf>
    <xf borderId="39" fillId="8" fontId="11" numFmtId="17" xfId="0" applyAlignment="1" applyBorder="1" applyFont="1" applyNumberFormat="1">
      <alignment horizontal="center" vertical="center"/>
    </xf>
    <xf borderId="73" fillId="8" fontId="28" numFmtId="0" xfId="0" applyAlignment="1" applyBorder="1" applyFont="1">
      <alignment vertical="center"/>
    </xf>
    <xf borderId="73" fillId="8" fontId="11" numFmtId="0" xfId="0" applyAlignment="1" applyBorder="1" applyFont="1">
      <alignment horizontal="left" vertical="center"/>
    </xf>
    <xf borderId="74" fillId="8" fontId="11" numFmtId="16" xfId="0" applyAlignment="1" applyBorder="1" applyFont="1" applyNumberFormat="1">
      <alignment horizontal="left" vertical="bottom"/>
    </xf>
    <xf borderId="75" fillId="8" fontId="11" numFmtId="0" xfId="0" applyAlignment="1" applyBorder="1" applyFont="1">
      <alignment vertical="bottom"/>
    </xf>
    <xf borderId="38" fillId="8" fontId="11" numFmtId="0" xfId="0" applyAlignment="1" applyBorder="1" applyFont="1">
      <alignment horizontal="left" vertical="bottom"/>
    </xf>
    <xf borderId="39" fillId="8" fontId="29" numFmtId="0" xfId="0" applyAlignment="1" applyBorder="1" applyFont="1">
      <alignment horizontal="center" vertical="bottom"/>
    </xf>
    <xf borderId="39" fillId="8" fontId="29" numFmtId="0" xfId="0" applyAlignment="1" applyBorder="1" applyFont="1">
      <alignment horizontal="right" vertical="center"/>
    </xf>
    <xf borderId="39" fillId="8" fontId="39" numFmtId="0" xfId="0" applyAlignment="1" applyBorder="1" applyFont="1">
      <alignment horizontal="left" vertical="center"/>
    </xf>
    <xf borderId="76" fillId="8" fontId="11" numFmtId="0" xfId="0" applyAlignment="1" applyBorder="1" applyFont="1">
      <alignment horizontal="center" vertical="center"/>
    </xf>
    <xf borderId="76" fillId="8" fontId="11" numFmtId="0" xfId="0" applyAlignment="1" applyBorder="1" applyFont="1">
      <alignment horizontal="left" vertical="center"/>
    </xf>
    <xf borderId="76" fillId="8" fontId="11" numFmtId="0" xfId="0" applyAlignment="1" applyBorder="1" applyFont="1">
      <alignment horizontal="center" vertical="bottom"/>
    </xf>
    <xf borderId="76" fillId="8" fontId="11" numFmtId="0" xfId="0" applyAlignment="1" applyBorder="1" applyFont="1">
      <alignment horizontal="right" vertical="center"/>
    </xf>
    <xf borderId="76" fillId="8" fontId="11" numFmtId="0" xfId="0" applyAlignment="1" applyBorder="1" applyFont="1">
      <alignment vertical="bottom"/>
    </xf>
    <xf borderId="76" fillId="8" fontId="39" numFmtId="0" xfId="0" applyAlignment="1" applyBorder="1" applyFont="1">
      <alignment horizontal="left" vertical="center"/>
    </xf>
    <xf borderId="60" fillId="0" fontId="34" numFmtId="0" xfId="0" applyAlignment="1" applyBorder="1" applyFont="1">
      <alignment horizontal="right" shrinkToFit="0" vertical="bottom" wrapText="1"/>
    </xf>
    <xf borderId="72" fillId="0" fontId="2" numFmtId="0" xfId="0" applyAlignment="1" applyBorder="1" applyFont="1">
      <alignment vertical="center"/>
    </xf>
    <xf borderId="72" fillId="0" fontId="34" numFmtId="0" xfId="0" applyAlignment="1" applyBorder="1" applyFont="1">
      <alignment horizontal="right" shrinkToFit="0" vertical="bottom" wrapText="1"/>
    </xf>
    <xf borderId="10" fillId="0" fontId="34" numFmtId="0" xfId="0" applyAlignment="1" applyBorder="1" applyFont="1">
      <alignment horizontal="right" shrinkToFit="0" vertical="bottom" wrapText="1"/>
    </xf>
    <xf borderId="77" fillId="6" fontId="40" numFmtId="0" xfId="0" applyAlignment="1" applyBorder="1" applyFont="1">
      <alignment horizontal="center" vertical="center"/>
    </xf>
    <xf borderId="78" fillId="0" fontId="2" numFmtId="0" xfId="0" applyAlignment="1" applyBorder="1" applyFont="1">
      <alignment vertical="center"/>
    </xf>
    <xf borderId="79" fillId="0" fontId="2" numFmtId="0" xfId="0" applyAlignment="1" applyBorder="1" applyFont="1">
      <alignment vertical="center"/>
    </xf>
    <xf borderId="4" fillId="10" fontId="41" numFmtId="0" xfId="0" applyAlignment="1" applyBorder="1" applyFill="1" applyFont="1">
      <alignment horizontal="center" shrinkToFit="0" vertical="center" wrapText="1"/>
    </xf>
    <xf borderId="4" fillId="10" fontId="42" numFmtId="0" xfId="0" applyAlignment="1" applyBorder="1" applyFont="1">
      <alignment horizontal="center" shrinkToFit="0" vertical="center" wrapText="1"/>
    </xf>
    <xf borderId="4" fillId="10" fontId="43" numFmtId="0" xfId="0" applyAlignment="1" applyBorder="1" applyFont="1">
      <alignment horizontal="center" shrinkToFit="0" vertical="center" wrapText="1"/>
    </xf>
    <xf borderId="4" fillId="10" fontId="44" numFmtId="0" xfId="0" applyAlignment="1" applyBorder="1" applyFont="1">
      <alignment horizontal="center" shrinkToFit="0" vertical="center" wrapText="1"/>
    </xf>
    <xf borderId="55" fillId="10" fontId="44" numFmtId="0" xfId="0" applyAlignment="1" applyBorder="1" applyFont="1">
      <alignment horizontal="center" shrinkToFit="0" vertical="center" wrapText="1"/>
    </xf>
    <xf borderId="1" fillId="10" fontId="45" numFmtId="0" xfId="0" applyAlignment="1" applyBorder="1" applyFont="1">
      <alignment horizontal="center" shrinkToFit="0" vertical="center" wrapText="1"/>
    </xf>
    <xf borderId="5" fillId="10" fontId="44" numFmtId="0" xfId="0" applyAlignment="1" applyBorder="1" applyFont="1">
      <alignment horizontal="center" shrinkToFit="0" vertical="center" wrapText="1"/>
    </xf>
    <xf borderId="5" fillId="10" fontId="45" numFmtId="0" xfId="0" applyAlignment="1" applyBorder="1" applyFont="1">
      <alignment horizontal="center" shrinkToFit="0" vertical="center" wrapText="1"/>
    </xf>
    <xf borderId="55" fillId="10" fontId="41" numFmtId="0" xfId="0" applyAlignment="1" applyBorder="1" applyFont="1">
      <alignment horizontal="center" shrinkToFit="0" vertical="center" wrapText="1"/>
    </xf>
    <xf borderId="80" fillId="10" fontId="41" numFmtId="0" xfId="0" applyAlignment="1" applyBorder="1" applyFont="1">
      <alignment horizontal="center" shrinkToFit="0" vertical="center" wrapText="1"/>
    </xf>
    <xf borderId="81" fillId="10" fontId="41" numFmtId="0" xfId="0" applyAlignment="1" applyBorder="1" applyFont="1">
      <alignment horizontal="center" shrinkToFit="0" vertical="center" wrapText="1"/>
    </xf>
    <xf borderId="81" fillId="10" fontId="42" numFmtId="0" xfId="0" applyAlignment="1" applyBorder="1" applyFont="1">
      <alignment horizontal="center" shrinkToFit="0" vertical="center" wrapText="1"/>
    </xf>
    <xf borderId="81" fillId="10" fontId="43" numFmtId="0" xfId="0" applyAlignment="1" applyBorder="1" applyFont="1">
      <alignment horizontal="center" shrinkToFit="0" vertical="center" wrapText="1"/>
    </xf>
    <xf borderId="81" fillId="10" fontId="44" numFmtId="0" xfId="0" applyAlignment="1" applyBorder="1" applyFont="1">
      <alignment horizontal="center" shrinkToFit="0" vertical="center" wrapText="1"/>
    </xf>
    <xf borderId="82" fillId="10" fontId="44" numFmtId="0" xfId="0" applyAlignment="1" applyBorder="1" applyFont="1">
      <alignment horizontal="center" shrinkToFit="0" vertical="center" wrapText="1"/>
    </xf>
    <xf borderId="6" fillId="10" fontId="41" numFmtId="0" xfId="0" applyAlignment="1" applyBorder="1" applyFont="1">
      <alignment horizontal="center" shrinkToFit="0" vertical="center" wrapText="1"/>
    </xf>
    <xf borderId="83" fillId="10" fontId="44" numFmtId="0" xfId="0" applyAlignment="1" applyBorder="1" applyFont="1">
      <alignment horizontal="center" shrinkToFit="0" vertical="center" wrapText="1"/>
    </xf>
    <xf borderId="83" fillId="10" fontId="45" numFmtId="0" xfId="0" applyAlignment="1" applyBorder="1" applyFont="1">
      <alignment horizontal="center" shrinkToFit="0" vertical="center" wrapText="1"/>
    </xf>
    <xf borderId="82" fillId="10" fontId="41" numFmtId="0" xfId="0" applyAlignment="1" applyBorder="1" applyFont="1">
      <alignment horizontal="center" shrinkToFit="0" vertical="center" wrapText="1"/>
    </xf>
    <xf borderId="84" fillId="0" fontId="2" numFmtId="0" xfId="0" applyAlignment="1" applyBorder="1" applyFont="1">
      <alignment vertical="center"/>
    </xf>
    <xf borderId="4" fillId="11" fontId="43" numFmtId="0" xfId="0" applyAlignment="1" applyBorder="1" applyFill="1" applyFont="1">
      <alignment horizontal="center" shrinkToFit="0" vertical="center" wrapText="1"/>
    </xf>
    <xf borderId="85" fillId="11" fontId="43" numFmtId="0" xfId="0" applyAlignment="1" applyBorder="1" applyFont="1">
      <alignment horizontal="center" shrinkToFit="0" vertical="center" wrapText="1"/>
    </xf>
    <xf borderId="49" fillId="11" fontId="43" numFmtId="0" xfId="0" applyAlignment="1" applyBorder="1" applyFont="1">
      <alignment horizontal="center" shrinkToFit="0" vertical="center" wrapText="1"/>
    </xf>
    <xf borderId="49" fillId="11" fontId="43" numFmtId="0" xfId="0" applyAlignment="1" applyBorder="1" applyFont="1">
      <alignment horizontal="right" shrinkToFit="0" vertical="center" wrapText="1"/>
    </xf>
    <xf borderId="86" fillId="11" fontId="43" numFmtId="0" xfId="0" applyAlignment="1" applyBorder="1" applyFont="1">
      <alignment horizontal="right" shrinkToFit="0" vertical="center" wrapText="1"/>
    </xf>
    <xf borderId="17" fillId="11" fontId="43" numFmtId="0" xfId="0" applyAlignment="1" applyBorder="1" applyFont="1">
      <alignment horizontal="right" shrinkToFit="0" vertical="center" wrapText="1"/>
    </xf>
    <xf borderId="8" fillId="11" fontId="43" numFmtId="0" xfId="0" applyAlignment="1" applyBorder="1" applyFont="1">
      <alignment horizontal="right" shrinkToFit="0" vertical="center" wrapText="1"/>
    </xf>
    <xf borderId="7" fillId="11" fontId="43" numFmtId="0" xfId="0" applyAlignment="1" applyBorder="1" applyFont="1">
      <alignment horizontal="right" shrinkToFit="0" vertical="center" wrapText="1"/>
    </xf>
    <xf borderId="28" fillId="11" fontId="43" numFmtId="0" xfId="0" applyAlignment="1" applyBorder="1" applyFont="1">
      <alignment horizontal="right" shrinkToFit="0" vertical="center" wrapText="1"/>
    </xf>
    <xf borderId="6" fillId="11" fontId="43" numFmtId="0" xfId="0" applyAlignment="1" applyBorder="1" applyFont="1">
      <alignment horizontal="right" shrinkToFit="0" vertical="center" wrapText="1"/>
    </xf>
    <xf borderId="39" fillId="0" fontId="34" numFmtId="0" xfId="0" applyAlignment="1" applyBorder="1" applyFont="1">
      <alignment horizontal="right" shrinkToFit="0" vertical="bottom" wrapText="1"/>
    </xf>
    <xf borderId="39" fillId="3" fontId="34" numFmtId="0" xfId="0" applyAlignment="1" applyBorder="1" applyFont="1">
      <alignment shrinkToFit="0" vertical="bottom" wrapText="1"/>
    </xf>
    <xf borderId="39" fillId="3" fontId="34" numFmtId="0" xfId="0" applyAlignment="1" applyBorder="1" applyFont="1">
      <alignment horizontal="right" shrinkToFit="0" vertical="bottom" wrapText="1"/>
    </xf>
    <xf borderId="39" fillId="3" fontId="34" numFmtId="0" xfId="0" applyAlignment="1" applyBorder="1" applyFont="1">
      <alignment vertical="bottom"/>
    </xf>
    <xf borderId="73" fillId="8" fontId="34" numFmtId="1" xfId="0" applyAlignment="1" applyBorder="1" applyFont="1" applyNumberFormat="1">
      <alignment horizontal="right" vertical="center"/>
    </xf>
    <xf borderId="51" fillId="8" fontId="34" numFmtId="0" xfId="0" applyAlignment="1" applyBorder="1" applyFont="1">
      <alignment horizontal="right" vertical="center"/>
    </xf>
    <xf borderId="51" fillId="8" fontId="34" numFmtId="1" xfId="0" applyAlignment="1" applyBorder="1" applyFont="1" applyNumberFormat="1">
      <alignment horizontal="right" vertical="center"/>
    </xf>
    <xf borderId="51" fillId="4" fontId="34" numFmtId="0" xfId="0" applyAlignment="1" applyBorder="1" applyFont="1">
      <alignment horizontal="right" vertical="center"/>
    </xf>
    <xf borderId="51" fillId="8" fontId="34" numFmtId="1" xfId="0" applyAlignment="1" applyBorder="1" applyFont="1" applyNumberFormat="1">
      <alignment horizontal="right" vertical="bottom"/>
    </xf>
    <xf borderId="39" fillId="8" fontId="34" numFmtId="1" xfId="0" applyAlignment="1" applyBorder="1" applyFont="1" applyNumberFormat="1">
      <alignment horizontal="right" vertical="bottom"/>
    </xf>
    <xf borderId="51" fillId="8" fontId="34" numFmtId="2" xfId="0" applyAlignment="1" applyBorder="1" applyFont="1" applyNumberFormat="1">
      <alignment horizontal="right" vertical="bottom"/>
    </xf>
    <xf borderId="11" fillId="8" fontId="34" numFmtId="0" xfId="0" applyAlignment="1" applyBorder="1" applyFont="1">
      <alignment horizontal="right" vertical="bottom"/>
    </xf>
    <xf borderId="0" fillId="0" fontId="34" numFmtId="0" xfId="0" applyAlignment="1" applyFont="1">
      <alignment vertical="bottom"/>
    </xf>
    <xf borderId="39" fillId="8" fontId="34" numFmtId="0" xfId="0" applyAlignment="1" applyBorder="1" applyFont="1">
      <alignment vertical="bottom"/>
    </xf>
    <xf borderId="39" fillId="3" fontId="34" numFmtId="1" xfId="0" applyAlignment="1" applyBorder="1" applyFont="1" applyNumberFormat="1">
      <alignment vertical="bottom"/>
    </xf>
    <xf borderId="39" fillId="8" fontId="34" numFmtId="1" xfId="0" applyAlignment="1" applyBorder="1" applyFont="1" applyNumberFormat="1">
      <alignment horizontal="right" vertical="center"/>
    </xf>
    <xf borderId="39" fillId="4" fontId="34" numFmtId="1" xfId="0" applyAlignment="1" applyBorder="1" applyFont="1" applyNumberFormat="1">
      <alignment horizontal="right" vertical="center"/>
    </xf>
    <xf borderId="39" fillId="8" fontId="34" numFmtId="2" xfId="0" applyAlignment="1" applyBorder="1" applyFont="1" applyNumberFormat="1">
      <alignment horizontal="right" vertical="bottom"/>
    </xf>
    <xf borderId="13" fillId="8" fontId="34" numFmtId="0" xfId="0" applyAlignment="1" applyBorder="1" applyFont="1">
      <alignment horizontal="right" vertical="bottom"/>
    </xf>
    <xf borderId="61" fillId="8" fontId="34" numFmtId="1" xfId="0" applyAlignment="1" applyBorder="1" applyFont="1" applyNumberFormat="1">
      <alignment horizontal="right" vertical="center"/>
    </xf>
    <xf borderId="39" fillId="4" fontId="34" numFmtId="0" xfId="0" applyAlignment="1" applyBorder="1" applyFont="1">
      <alignment horizontal="right" vertical="center"/>
    </xf>
    <xf borderId="39" fillId="12" fontId="34" numFmtId="0" xfId="0" applyAlignment="1" applyBorder="1" applyFill="1" applyFont="1">
      <alignment vertical="bottom"/>
    </xf>
    <xf borderId="51" fillId="8" fontId="34" numFmtId="169" xfId="0" applyAlignment="1" applyBorder="1" applyFont="1" applyNumberFormat="1">
      <alignment horizontal="right" vertical="center"/>
    </xf>
    <xf borderId="39" fillId="13" fontId="34" numFmtId="0" xfId="0" applyAlignment="1" applyBorder="1" applyFill="1" applyFont="1">
      <alignment horizontal="right" vertical="center"/>
    </xf>
    <xf borderId="39" fillId="8" fontId="34" numFmtId="0" xfId="0" applyAlignment="1" applyBorder="1" applyFont="1">
      <alignment horizontal="right" vertical="bottom"/>
    </xf>
    <xf borderId="39" fillId="3" fontId="36" numFmtId="1" xfId="0" applyAlignment="1" applyBorder="1" applyFont="1" applyNumberFormat="1">
      <alignment horizontal="right" vertical="bottom"/>
    </xf>
    <xf borderId="52" fillId="8" fontId="34" numFmtId="0" xfId="0" applyAlignment="1" applyBorder="1" applyFont="1">
      <alignment vertical="bottom"/>
    </xf>
    <xf borderId="39" fillId="3" fontId="34" numFmtId="0" xfId="0" applyAlignment="1" applyBorder="1" applyFont="1">
      <alignment shrinkToFit="0" vertical="center" wrapText="1"/>
    </xf>
    <xf borderId="61" fillId="3" fontId="34" numFmtId="1" xfId="0" applyAlignment="1" applyBorder="1" applyFont="1" applyNumberFormat="1">
      <alignment horizontal="right" vertical="bottom"/>
    </xf>
    <xf borderId="39" fillId="3" fontId="34" numFmtId="0" xfId="0" applyAlignment="1" applyBorder="1" applyFont="1">
      <alignment horizontal="right" vertical="bottom"/>
    </xf>
    <xf borderId="39" fillId="3" fontId="34" numFmtId="1" xfId="0" applyAlignment="1" applyBorder="1" applyFont="1" applyNumberFormat="1">
      <alignment horizontal="right" vertical="bottom"/>
    </xf>
    <xf borderId="39" fillId="5" fontId="34" numFmtId="0" xfId="0" applyAlignment="1" applyBorder="1" applyFont="1">
      <alignment horizontal="right" vertical="center"/>
    </xf>
    <xf borderId="39" fillId="3" fontId="34" numFmtId="2" xfId="0" applyAlignment="1" applyBorder="1" applyFont="1" applyNumberFormat="1">
      <alignment horizontal="right" vertical="bottom"/>
    </xf>
    <xf borderId="13" fillId="3" fontId="34" numFmtId="0" xfId="0" applyAlignment="1" applyBorder="1" applyFont="1">
      <alignment horizontal="right" vertical="bottom"/>
    </xf>
    <xf borderId="39" fillId="8" fontId="46" numFmtId="0" xfId="0" applyAlignment="1" applyBorder="1" applyFont="1">
      <alignment horizontal="right" vertical="bottom"/>
    </xf>
    <xf borderId="39" fillId="13" fontId="34" numFmtId="1" xfId="0" applyAlignment="1" applyBorder="1" applyFont="1" applyNumberFormat="1">
      <alignment horizontal="right" vertical="center"/>
    </xf>
    <xf borderId="39" fillId="0" fontId="34" numFmtId="0" xfId="0" applyAlignment="1" applyBorder="1" applyFont="1">
      <alignment shrinkToFit="0" vertical="bottom" wrapText="1"/>
    </xf>
    <xf borderId="39" fillId="12" fontId="34" numFmtId="1" xfId="0" applyAlignment="1" applyBorder="1" applyFont="1" applyNumberFormat="1">
      <alignment vertical="bottom"/>
    </xf>
    <xf borderId="10" fillId="0" fontId="34" numFmtId="1" xfId="0" applyAlignment="1" applyBorder="1" applyFont="1" applyNumberFormat="1">
      <alignment horizontal="right" vertical="center"/>
    </xf>
    <xf borderId="39" fillId="3" fontId="34" numFmtId="0" xfId="0" applyAlignment="1" applyBorder="1" applyFont="1">
      <alignment horizontal="right" vertical="center"/>
    </xf>
    <xf borderId="39" fillId="3" fontId="34" numFmtId="1" xfId="0" applyAlignment="1" applyBorder="1" applyFont="1" applyNumberFormat="1">
      <alignment horizontal="right" vertical="center"/>
    </xf>
    <xf borderId="39" fillId="0" fontId="34" numFmtId="2" xfId="0" applyAlignment="1" applyBorder="1" applyFont="1" applyNumberFormat="1">
      <alignment horizontal="right" vertical="bottom"/>
    </xf>
    <xf borderId="39" fillId="0" fontId="34" numFmtId="1" xfId="0" applyAlignment="1" applyBorder="1" applyFont="1" applyNumberFormat="1">
      <alignment horizontal="right" vertical="bottom"/>
    </xf>
    <xf borderId="0" fillId="0" fontId="34" numFmtId="1" xfId="0" applyAlignment="1" applyFont="1" applyNumberFormat="1">
      <alignment vertical="bottom"/>
    </xf>
    <xf borderId="39" fillId="3" fontId="11" numFmtId="0" xfId="0" applyAlignment="1" applyBorder="1" applyFont="1">
      <alignment shrinkToFit="0" vertical="bottom" wrapText="1"/>
    </xf>
    <xf borderId="39" fillId="14" fontId="34" numFmtId="0" xfId="0" applyAlignment="1" applyBorder="1" applyFill="1" applyFont="1">
      <alignment horizontal="right" vertical="bottom"/>
    </xf>
    <xf borderId="39" fillId="14" fontId="34" numFmtId="1" xfId="0" applyAlignment="1" applyBorder="1" applyFont="1" applyNumberFormat="1">
      <alignment horizontal="right" vertical="center"/>
    </xf>
    <xf borderId="87" fillId="3" fontId="34" numFmtId="0" xfId="0" applyAlignment="1" applyBorder="1" applyFont="1">
      <alignment horizontal="right" vertical="bottom"/>
    </xf>
    <xf borderId="39" fillId="3" fontId="11" numFmtId="0" xfId="0" applyAlignment="1" applyBorder="1" applyFont="1">
      <alignment readingOrder="0" shrinkToFit="0" vertical="bottom" wrapText="1"/>
    </xf>
    <xf borderId="88" fillId="8" fontId="34" numFmtId="1" xfId="0" applyAlignment="1" applyBorder="1" applyFont="1" applyNumberFormat="1">
      <alignment horizontal="right" vertical="center"/>
    </xf>
    <xf borderId="76" fillId="8" fontId="34" numFmtId="0" xfId="0" applyAlignment="1" applyBorder="1" applyFont="1">
      <alignment horizontal="right" vertical="center"/>
    </xf>
    <xf borderId="76" fillId="8" fontId="34" numFmtId="1" xfId="0" applyAlignment="1" applyBorder="1" applyFont="1" applyNumberFormat="1">
      <alignment horizontal="right" vertical="center"/>
    </xf>
    <xf borderId="76" fillId="14" fontId="34" numFmtId="0" xfId="0" applyAlignment="1" applyBorder="1" applyFont="1">
      <alignment horizontal="right" vertical="center"/>
    </xf>
    <xf borderId="87" fillId="8" fontId="34" numFmtId="0" xfId="0" applyAlignment="1" applyBorder="1" applyFont="1">
      <alignment horizontal="right" vertical="bottom"/>
    </xf>
    <xf borderId="39" fillId="15" fontId="43" numFmtId="0" xfId="0" applyAlignment="1" applyBorder="1" applyFill="1" applyFont="1">
      <alignment horizontal="center" shrinkToFit="0" vertical="center" wrapText="1"/>
    </xf>
    <xf borderId="39" fillId="15" fontId="11" numFmtId="0" xfId="0" applyAlignment="1" applyBorder="1" applyFont="1">
      <alignment shrinkToFit="0" vertical="center" wrapText="1"/>
    </xf>
    <xf borderId="39" fillId="15" fontId="43" numFmtId="0" xfId="0" applyAlignment="1" applyBorder="1" applyFont="1">
      <alignment horizontal="right" shrinkToFit="0" vertical="center" wrapText="1"/>
    </xf>
    <xf borderId="89" fillId="15" fontId="43" numFmtId="1" xfId="0" applyAlignment="1" applyBorder="1" applyFont="1" applyNumberFormat="1">
      <alignment horizontal="right" vertical="center"/>
    </xf>
    <xf borderId="0" fillId="0" fontId="11" numFmtId="1" xfId="0" applyAlignment="1" applyFont="1" applyNumberFormat="1">
      <alignment vertical="bottom"/>
    </xf>
    <xf borderId="39" fillId="11" fontId="43" numFmtId="0" xfId="0" applyAlignment="1" applyBorder="1" applyFont="1">
      <alignment horizontal="center" shrinkToFit="0" vertical="center" wrapText="1"/>
    </xf>
    <xf borderId="39" fillId="11" fontId="11" numFmtId="0" xfId="0" applyAlignment="1" applyBorder="1" applyFont="1">
      <alignment shrinkToFit="0" vertical="center" wrapText="1"/>
    </xf>
    <xf borderId="89" fillId="11" fontId="43" numFmtId="0" xfId="0" applyAlignment="1" applyBorder="1" applyFont="1">
      <alignment horizontal="right" shrinkToFit="0" vertical="center" wrapText="1"/>
    </xf>
    <xf borderId="51" fillId="8" fontId="34" numFmtId="170" xfId="0" applyAlignment="1" applyBorder="1" applyFont="1" applyNumberFormat="1">
      <alignment horizontal="right" vertical="center"/>
    </xf>
    <xf borderId="39" fillId="3" fontId="34" numFmtId="1" xfId="0" applyAlignment="1" applyBorder="1" applyFont="1" applyNumberFormat="1">
      <alignment horizontal="right" shrinkToFit="0" vertical="bottom" wrapText="1"/>
    </xf>
    <xf borderId="52" fillId="14" fontId="34" numFmtId="0" xfId="0" applyAlignment="1" applyBorder="1" applyFont="1">
      <alignment vertical="bottom"/>
    </xf>
    <xf borderId="39" fillId="3" fontId="11" numFmtId="1" xfId="0" applyAlignment="1" applyBorder="1" applyFont="1" applyNumberFormat="1">
      <alignment shrinkToFit="0" vertical="bottom" wrapText="1"/>
    </xf>
    <xf borderId="90" fillId="15" fontId="43" numFmtId="1" xfId="0" applyAlignment="1" applyBorder="1" applyFont="1" applyNumberFormat="1">
      <alignment horizontal="right" vertical="center"/>
    </xf>
    <xf borderId="39" fillId="15" fontId="34" numFmtId="0" xfId="0" applyAlignment="1" applyBorder="1" applyFont="1">
      <alignment horizontal="right" vertical="center"/>
    </xf>
    <xf borderId="53" fillId="15" fontId="43" numFmtId="1" xfId="0" applyAlignment="1" applyBorder="1" applyFont="1" applyNumberFormat="1">
      <alignment horizontal="right" vertical="center"/>
    </xf>
    <xf borderId="53" fillId="15" fontId="43" numFmtId="0" xfId="0" applyAlignment="1" applyBorder="1" applyFont="1">
      <alignment horizontal="right" vertical="center"/>
    </xf>
    <xf borderId="91" fillId="15" fontId="43" numFmtId="1" xfId="0" applyAlignment="1" applyBorder="1" applyFont="1" applyNumberFormat="1">
      <alignment horizontal="right" vertical="center"/>
    </xf>
    <xf borderId="81" fillId="15" fontId="43" numFmtId="1" xfId="0" applyAlignment="1" applyBorder="1" applyFont="1" applyNumberFormat="1">
      <alignment horizontal="right" vertical="center"/>
    </xf>
    <xf borderId="81" fillId="15" fontId="43" numFmtId="0" xfId="0" applyAlignment="1" applyBorder="1" applyFont="1">
      <alignment horizontal="right" vertical="center"/>
    </xf>
    <xf borderId="89" fillId="11" fontId="43" numFmtId="1" xfId="0" applyAlignment="1" applyBorder="1" applyFont="1" applyNumberFormat="1">
      <alignment horizontal="right" vertical="center"/>
    </xf>
    <xf borderId="17" fillId="11" fontId="43" numFmtId="0" xfId="0" applyAlignment="1" applyBorder="1" applyFont="1">
      <alignment horizontal="right" vertical="center"/>
    </xf>
    <xf borderId="8" fillId="11" fontId="43" numFmtId="1" xfId="0" applyAlignment="1" applyBorder="1" applyFont="1" applyNumberFormat="1">
      <alignment horizontal="right" vertical="center"/>
    </xf>
    <xf borderId="7" fillId="11" fontId="43" numFmtId="0" xfId="0" applyAlignment="1" applyBorder="1" applyFont="1">
      <alignment horizontal="right" vertical="center"/>
    </xf>
    <xf borderId="28" fillId="11" fontId="43" numFmtId="0" xfId="0" applyAlignment="1" applyBorder="1" applyFont="1">
      <alignment horizontal="right" vertical="center"/>
    </xf>
    <xf borderId="28" fillId="11" fontId="43" numFmtId="2" xfId="0" applyAlignment="1" applyBorder="1" applyFont="1" applyNumberFormat="1">
      <alignment horizontal="right" vertical="center"/>
    </xf>
    <xf borderId="86" fillId="11" fontId="43" numFmtId="2" xfId="0" applyAlignment="1" applyBorder="1" applyFont="1" applyNumberFormat="1">
      <alignment horizontal="right" vertical="center"/>
    </xf>
    <xf borderId="6" fillId="11" fontId="43" numFmtId="2" xfId="0" applyAlignment="1" applyBorder="1" applyFont="1" applyNumberFormat="1">
      <alignment horizontal="right" vertical="center"/>
    </xf>
    <xf borderId="6" fillId="11" fontId="43" numFmtId="1" xfId="0" applyAlignment="1" applyBorder="1" applyFont="1" applyNumberFormat="1">
      <alignment horizontal="right" vertical="center"/>
    </xf>
    <xf borderId="39" fillId="3" fontId="11" numFmtId="0" xfId="0" applyAlignment="1" applyBorder="1" applyFont="1">
      <alignment horizontal="right" shrinkToFit="0" vertical="bottom" wrapText="1"/>
    </xf>
    <xf borderId="39" fillId="3" fontId="36" numFmtId="0" xfId="0" applyAlignment="1" applyBorder="1" applyFont="1">
      <alignment shrinkToFit="0" vertical="bottom" wrapText="1"/>
    </xf>
    <xf borderId="39" fillId="3" fontId="11" numFmtId="1" xfId="0" applyAlignment="1" applyBorder="1" applyFont="1" applyNumberFormat="1">
      <alignment horizontal="right" shrinkToFit="0" vertical="bottom" wrapText="1"/>
    </xf>
    <xf borderId="51" fillId="8" fontId="11" numFmtId="0" xfId="0" applyAlignment="1" applyBorder="1" applyFont="1">
      <alignment horizontal="right" vertical="bottom"/>
    </xf>
    <xf borderId="51" fillId="8" fontId="11" numFmtId="1" xfId="0" applyAlignment="1" applyBorder="1" applyFont="1" applyNumberFormat="1">
      <alignment horizontal="right" vertical="bottom"/>
    </xf>
    <xf borderId="51" fillId="8" fontId="11" numFmtId="2" xfId="0" applyAlignment="1" applyBorder="1" applyFont="1" applyNumberFormat="1">
      <alignment horizontal="right" vertical="bottom"/>
    </xf>
    <xf borderId="11" fillId="8" fontId="11" numFmtId="0" xfId="0" applyAlignment="1" applyBorder="1" applyFont="1">
      <alignment horizontal="right" vertical="bottom"/>
    </xf>
    <xf borderId="39" fillId="8" fontId="11" numFmtId="1" xfId="0" applyAlignment="1" applyBorder="1" applyFont="1" applyNumberFormat="1">
      <alignment horizontal="right" vertical="bottom"/>
    </xf>
    <xf borderId="39" fillId="8" fontId="11" numFmtId="2" xfId="0" applyAlignment="1" applyBorder="1" applyFont="1" applyNumberFormat="1">
      <alignment horizontal="right" vertical="bottom"/>
    </xf>
    <xf borderId="13" fillId="8" fontId="11" numFmtId="0" xfId="0" applyAlignment="1" applyBorder="1" applyFont="1">
      <alignment horizontal="right" vertical="bottom"/>
    </xf>
    <xf borderId="39" fillId="3" fontId="11" numFmtId="0" xfId="0" applyAlignment="1" applyBorder="1" applyFont="1">
      <alignment shrinkToFit="0" vertical="center" wrapText="1"/>
    </xf>
    <xf borderId="39" fillId="3" fontId="28" numFmtId="0" xfId="0" applyAlignment="1" applyBorder="1" applyFont="1">
      <alignment shrinkToFit="0" vertical="bottom" wrapText="1"/>
    </xf>
    <xf borderId="76" fillId="8" fontId="11" numFmtId="1" xfId="0" applyAlignment="1" applyBorder="1" applyFont="1" applyNumberFormat="1">
      <alignment horizontal="right" vertical="center"/>
    </xf>
    <xf borderId="76" fillId="8" fontId="11" numFmtId="0" xfId="0" applyAlignment="1" applyBorder="1" applyFont="1">
      <alignment horizontal="right" vertical="bottom"/>
    </xf>
    <xf borderId="76" fillId="8" fontId="11" numFmtId="1" xfId="0" applyAlignment="1" applyBorder="1" applyFont="1" applyNumberFormat="1">
      <alignment horizontal="right" vertical="bottom"/>
    </xf>
    <xf borderId="76" fillId="8" fontId="11" numFmtId="2" xfId="0" applyAlignment="1" applyBorder="1" applyFont="1" applyNumberFormat="1">
      <alignment horizontal="right" vertical="bottom"/>
    </xf>
    <xf borderId="87" fillId="8" fontId="11" numFmtId="0" xfId="0" applyAlignment="1" applyBorder="1" applyFont="1">
      <alignment horizontal="right" vertical="bottom"/>
    </xf>
    <xf borderId="39" fillId="15" fontId="45" numFmtId="0" xfId="0" applyAlignment="1" applyBorder="1" applyFont="1">
      <alignment horizontal="center" shrinkToFit="0" vertical="center" wrapText="1"/>
    </xf>
    <xf borderId="7" fillId="15" fontId="43" numFmtId="1" xfId="0" applyAlignment="1" applyBorder="1" applyFont="1" applyNumberFormat="1">
      <alignment horizontal="right" vertical="center"/>
    </xf>
    <xf borderId="28" fillId="15" fontId="43" numFmtId="1" xfId="0" applyAlignment="1" applyBorder="1" applyFont="1" applyNumberFormat="1">
      <alignment horizontal="right" vertical="center"/>
    </xf>
    <xf borderId="86" fillId="15" fontId="43" numFmtId="1" xfId="0" applyAlignment="1" applyBorder="1" applyFont="1" applyNumberFormat="1">
      <alignment horizontal="right" vertical="center"/>
    </xf>
    <xf borderId="6" fillId="15" fontId="43" numFmtId="1" xfId="0" applyAlignment="1" applyBorder="1" applyFont="1" applyNumberFormat="1">
      <alignment horizontal="right" vertical="center"/>
    </xf>
    <xf borderId="6" fillId="15" fontId="43" numFmtId="0" xfId="0" applyAlignment="1" applyBorder="1" applyFont="1">
      <alignment horizontal="right" vertical="center"/>
    </xf>
    <xf borderId="39" fillId="3" fontId="11" numFmtId="1" xfId="0" applyAlignment="1" applyBorder="1" applyFont="1" applyNumberFormat="1">
      <alignment horizontal="right" shrinkToFit="0" vertical="center" wrapText="1"/>
    </xf>
    <xf borderId="61" fillId="8" fontId="11" numFmtId="1" xfId="0" applyAlignment="1" applyBorder="1" applyFont="1" applyNumberFormat="1">
      <alignment horizontal="right" vertical="bottom"/>
    </xf>
    <xf borderId="88" fillId="8" fontId="11" numFmtId="1" xfId="0" applyAlignment="1" applyBorder="1" applyFont="1" applyNumberFormat="1">
      <alignment horizontal="right" vertical="bottom"/>
    </xf>
    <xf borderId="39" fillId="15" fontId="44" numFmtId="0" xfId="0" applyAlignment="1" applyBorder="1" applyFont="1">
      <alignment horizontal="center" shrinkToFit="0" vertical="center" wrapText="1"/>
    </xf>
    <xf borderId="39" fillId="15" fontId="43" numFmtId="1" xfId="0" applyAlignment="1" applyBorder="1" applyFont="1" applyNumberFormat="1">
      <alignment horizontal="right" shrinkToFit="0" vertical="center" wrapText="1"/>
    </xf>
    <xf borderId="39" fillId="11" fontId="11" numFmtId="1" xfId="0" applyAlignment="1" applyBorder="1" applyFont="1" applyNumberFormat="1">
      <alignment shrinkToFit="0" vertical="center" wrapText="1"/>
    </xf>
    <xf borderId="72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39" fillId="3" fontId="47" numFmtId="0" xfId="0" applyAlignment="1" applyBorder="1" applyFont="1">
      <alignment shrinkToFit="0" vertical="bottom" wrapText="1"/>
    </xf>
    <xf borderId="39" fillId="3" fontId="25" numFmtId="0" xfId="0" applyAlignment="1" applyBorder="1" applyFont="1">
      <alignment shrinkToFit="0" vertical="bottom" wrapText="1"/>
    </xf>
    <xf borderId="39" fillId="3" fontId="25" numFmtId="1" xfId="0" applyAlignment="1" applyBorder="1" applyFont="1" applyNumberFormat="1">
      <alignment horizontal="right" shrinkToFit="0" vertical="bottom" wrapText="1"/>
    </xf>
    <xf borderId="61" fillId="8" fontId="25" numFmtId="1" xfId="0" applyAlignment="1" applyBorder="1" applyFont="1" applyNumberFormat="1">
      <alignment horizontal="right" vertical="bottom"/>
    </xf>
    <xf borderId="39" fillId="8" fontId="25" numFmtId="0" xfId="0" applyAlignment="1" applyBorder="1" applyFont="1">
      <alignment horizontal="right" vertical="bottom"/>
    </xf>
    <xf borderId="39" fillId="8" fontId="25" numFmtId="1" xfId="0" applyAlignment="1" applyBorder="1" applyFont="1" applyNumberFormat="1">
      <alignment horizontal="right" vertical="bottom"/>
    </xf>
    <xf borderId="13" fillId="8" fontId="25" numFmtId="0" xfId="0" applyAlignment="1" applyBorder="1" applyFont="1">
      <alignment horizontal="right" vertical="bottom"/>
    </xf>
    <xf borderId="39" fillId="3" fontId="25" numFmtId="0" xfId="0" applyAlignment="1" applyBorder="1" applyFont="1">
      <alignment horizontal="right" shrinkToFit="0" vertical="bottom" wrapText="1"/>
    </xf>
    <xf borderId="39" fillId="3" fontId="11" numFmtId="0" xfId="0" applyAlignment="1" applyBorder="1" applyFont="1">
      <alignment horizontal="right" shrinkToFit="0" vertical="center" wrapText="1"/>
    </xf>
    <xf borderId="39" fillId="16" fontId="43" numFmtId="0" xfId="0" applyAlignment="1" applyBorder="1" applyFill="1" applyFont="1">
      <alignment horizontal="center" shrinkToFit="0" vertical="center" wrapText="1"/>
    </xf>
    <xf borderId="92" fillId="15" fontId="43" numFmtId="1" xfId="0" applyAlignment="1" applyBorder="1" applyFont="1" applyNumberFormat="1">
      <alignment horizontal="right" vertical="center"/>
    </xf>
    <xf borderId="39" fillId="4" fontId="11" numFmtId="0" xfId="0" applyAlignment="1" applyBorder="1" applyFont="1">
      <alignment horizontal="right" vertical="bottom"/>
    </xf>
    <xf borderId="39" fillId="17" fontId="11" numFmtId="0" xfId="0" applyAlignment="1" applyBorder="1" applyFill="1" applyFont="1">
      <alignment horizontal="right" shrinkToFit="0" vertical="bottom" wrapText="1"/>
    </xf>
    <xf borderId="6" fillId="3" fontId="11" numFmtId="0" xfId="0" applyAlignment="1" applyBorder="1" applyFont="1">
      <alignment horizontal="right" shrinkToFit="0" vertical="bottom" wrapText="1"/>
    </xf>
    <xf borderId="93" fillId="3" fontId="11" numFmtId="0" xfId="0" applyAlignment="1" applyBorder="1" applyFont="1">
      <alignment horizontal="right" shrinkToFit="0" vertical="bottom" wrapText="1"/>
    </xf>
    <xf borderId="39" fillId="3" fontId="25" numFmtId="0" xfId="0" applyAlignment="1" applyBorder="1" applyFont="1">
      <alignment shrinkToFit="0" vertical="center" wrapText="1"/>
    </xf>
    <xf borderId="94" fillId="8" fontId="34" numFmtId="0" xfId="0" applyAlignment="1" applyBorder="1" applyFont="1">
      <alignment horizontal="right" vertical="center"/>
    </xf>
    <xf borderId="13" fillId="8" fontId="25" numFmtId="0" xfId="0" applyAlignment="1" applyBorder="1" applyFont="1">
      <alignment horizontal="right" vertical="center"/>
    </xf>
    <xf borderId="39" fillId="15" fontId="41" numFmtId="0" xfId="0" applyAlignment="1" applyBorder="1" applyFont="1">
      <alignment horizontal="center" shrinkToFit="0" vertical="center" wrapText="1"/>
    </xf>
    <xf borderId="39" fillId="18" fontId="11" numFmtId="0" xfId="0" applyAlignment="1" applyBorder="1" applyFill="1" applyFont="1">
      <alignment horizontal="right" shrinkToFit="0" vertical="bottom" wrapText="1"/>
    </xf>
    <xf borderId="39" fillId="18" fontId="11" numFmtId="0" xfId="0" applyAlignment="1" applyBorder="1" applyFont="1">
      <alignment shrinkToFit="0" vertical="bottom" wrapText="1"/>
    </xf>
    <xf borderId="39" fillId="18" fontId="34" numFmtId="0" xfId="0" applyAlignment="1" applyBorder="1" applyFont="1">
      <alignment vertical="bottom"/>
    </xf>
    <xf borderId="39" fillId="18" fontId="11" numFmtId="1" xfId="0" applyAlignment="1" applyBorder="1" applyFont="1" applyNumberFormat="1">
      <alignment horizontal="right" vertical="bottom"/>
    </xf>
    <xf borderId="39" fillId="18" fontId="11" numFmtId="0" xfId="0" applyAlignment="1" applyBorder="1" applyFont="1">
      <alignment horizontal="right" vertical="bottom"/>
    </xf>
    <xf borderId="39" fillId="18" fontId="34" numFmtId="0" xfId="0" applyAlignment="1" applyBorder="1" applyFont="1">
      <alignment horizontal="right" vertical="center"/>
    </xf>
    <xf borderId="39" fillId="18" fontId="11" numFmtId="2" xfId="0" applyAlignment="1" applyBorder="1" applyFont="1" applyNumberFormat="1">
      <alignment horizontal="right" vertical="bottom"/>
    </xf>
    <xf borderId="52" fillId="18" fontId="11" numFmtId="1" xfId="0" applyAlignment="1" applyBorder="1" applyFont="1" applyNumberFormat="1">
      <alignment vertical="bottom"/>
    </xf>
    <xf borderId="52" fillId="18" fontId="11" numFmtId="0" xfId="0" applyAlignment="1" applyBorder="1" applyFont="1">
      <alignment vertical="bottom"/>
    </xf>
    <xf borderId="52" fillId="18" fontId="28" numFmtId="0" xfId="0" applyAlignment="1" applyBorder="1" applyFont="1">
      <alignment vertical="center"/>
    </xf>
    <xf borderId="52" fillId="18" fontId="34" numFmtId="0" xfId="0" applyAlignment="1" applyBorder="1" applyFont="1">
      <alignment vertical="bottom"/>
    </xf>
    <xf borderId="75" fillId="19" fontId="48" numFmtId="0" xfId="0" applyAlignment="1" applyBorder="1" applyFill="1" applyFont="1">
      <alignment vertical="bottom"/>
    </xf>
    <xf borderId="95" fillId="19" fontId="48" numFmtId="0" xfId="0" applyAlignment="1" applyBorder="1" applyFont="1">
      <alignment horizontal="center" vertical="center"/>
    </xf>
    <xf borderId="96" fillId="19" fontId="41" numFmtId="0" xfId="0" applyAlignment="1" applyBorder="1" applyFont="1">
      <alignment horizontal="right" vertical="center"/>
    </xf>
    <xf borderId="97" fillId="0" fontId="2" numFmtId="0" xfId="0" applyAlignment="1" applyBorder="1" applyFont="1">
      <alignment vertical="center"/>
    </xf>
    <xf borderId="98" fillId="0" fontId="2" numFmtId="0" xfId="0" applyAlignment="1" applyBorder="1" applyFont="1">
      <alignment vertical="center"/>
    </xf>
    <xf borderId="99" fillId="19" fontId="43" numFmtId="165" xfId="0" applyAlignment="1" applyBorder="1" applyFont="1" applyNumberFormat="1">
      <alignment horizontal="right" vertical="center"/>
    </xf>
    <xf borderId="100" fillId="0" fontId="2" numFmtId="0" xfId="0" applyAlignment="1" applyBorder="1" applyFont="1">
      <alignment vertical="center"/>
    </xf>
    <xf borderId="101" fillId="0" fontId="2" numFmtId="0" xfId="0" applyAlignment="1" applyBorder="1" applyFont="1">
      <alignment vertical="center"/>
    </xf>
    <xf borderId="102" fillId="19" fontId="48" numFmtId="1" xfId="0" applyAlignment="1" applyBorder="1" applyFont="1" applyNumberFormat="1">
      <alignment horizontal="center" vertical="center"/>
    </xf>
    <xf borderId="11" fillId="19" fontId="48" numFmtId="1" xfId="0" applyAlignment="1" applyBorder="1" applyFont="1" applyNumberFormat="1">
      <alignment vertical="center"/>
    </xf>
    <xf borderId="103" fillId="19" fontId="11" numFmtId="0" xfId="0" applyAlignment="1" applyBorder="1" applyFont="1">
      <alignment horizontal="center" shrinkToFit="0" vertical="bottom" wrapText="1"/>
    </xf>
    <xf borderId="80" fillId="20" fontId="28" numFmtId="1" xfId="0" applyAlignment="1" applyBorder="1" applyFill="1" applyFont="1" applyNumberFormat="1">
      <alignment horizontal="center" vertical="center"/>
    </xf>
    <xf borderId="12" fillId="19" fontId="11" numFmtId="0" xfId="0" applyAlignment="1" applyBorder="1" applyFont="1">
      <alignment vertical="bottom"/>
    </xf>
    <xf borderId="104" fillId="19" fontId="11" numFmtId="0" xfId="0" applyAlignment="1" applyBorder="1" applyFont="1">
      <alignment vertical="bottom"/>
    </xf>
    <xf borderId="105" fillId="19" fontId="41" numFmtId="0" xfId="0" applyAlignment="1" applyBorder="1" applyFont="1">
      <alignment horizontal="right" vertical="center"/>
    </xf>
    <xf borderId="106" fillId="0" fontId="2" numFmtId="0" xfId="0" applyAlignment="1" applyBorder="1" applyFont="1">
      <alignment vertical="center"/>
    </xf>
    <xf borderId="105" fillId="19" fontId="43" numFmtId="165" xfId="0" applyAlignment="1" applyBorder="1" applyFont="1" applyNumberFormat="1">
      <alignment horizontal="right" vertical="center"/>
    </xf>
    <xf borderId="31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60" fillId="19" fontId="43" numFmtId="165" xfId="0" applyAlignment="1" applyBorder="1" applyFont="1" applyNumberFormat="1">
      <alignment horizontal="right" vertical="center"/>
    </xf>
    <xf borderId="107" fillId="19" fontId="48" numFmtId="1" xfId="0" applyAlignment="1" applyBorder="1" applyFont="1" applyNumberFormat="1">
      <alignment horizontal="center" vertical="center"/>
    </xf>
    <xf borderId="13" fillId="19" fontId="11" numFmtId="0" xfId="0" applyAlignment="1" applyBorder="1" applyFont="1">
      <alignment vertical="bottom"/>
    </xf>
    <xf borderId="14" fillId="0" fontId="2" numFmtId="0" xfId="0" applyAlignment="1" applyBorder="1" applyFont="1">
      <alignment vertical="center"/>
    </xf>
    <xf borderId="24" fillId="19" fontId="11" numFmtId="0" xfId="0" applyAlignment="1" applyBorder="1" applyFont="1">
      <alignment vertical="bottom"/>
    </xf>
    <xf borderId="108" fillId="19" fontId="11" numFmtId="0" xfId="0" applyAlignment="1" applyBorder="1" applyFont="1">
      <alignment vertical="bottom"/>
    </xf>
    <xf borderId="109" fillId="19" fontId="41" numFmtId="0" xfId="0" applyAlignment="1" applyBorder="1" applyFont="1">
      <alignment horizontal="right" vertical="center"/>
    </xf>
    <xf borderId="110" fillId="0" fontId="2" numFmtId="0" xfId="0" applyAlignment="1" applyBorder="1" applyFont="1">
      <alignment vertical="center"/>
    </xf>
    <xf borderId="111" fillId="0" fontId="2" numFmtId="0" xfId="0" applyAlignment="1" applyBorder="1" applyFont="1">
      <alignment vertical="center"/>
    </xf>
    <xf borderId="109" fillId="19" fontId="43" numFmtId="165" xfId="0" applyAlignment="1" applyBorder="1" applyFont="1" applyNumberFormat="1">
      <alignment horizontal="right" vertical="center"/>
    </xf>
    <xf borderId="42" fillId="0" fontId="2" numFmtId="0" xfId="0" applyAlignment="1" applyBorder="1" applyFont="1">
      <alignment vertical="center"/>
    </xf>
    <xf borderId="112" fillId="0" fontId="2" numFmtId="0" xfId="0" applyAlignment="1" applyBorder="1" applyFont="1">
      <alignment vertical="center"/>
    </xf>
    <xf borderId="113" fillId="19" fontId="48" numFmtId="1" xfId="0" applyAlignment="1" applyBorder="1" applyFont="1" applyNumberFormat="1">
      <alignment horizontal="center" vertical="center"/>
    </xf>
    <xf borderId="41" fillId="19" fontId="11" numFmtId="171" xfId="0" applyAlignment="1" applyBorder="1" applyFont="1" applyNumberFormat="1">
      <alignment vertical="bottom"/>
    </xf>
    <xf borderId="52" fillId="8" fontId="11" numFmtId="0" xfId="0" applyAlignment="1" applyBorder="1" applyFont="1">
      <alignment horizontal="center" vertical="center"/>
    </xf>
    <xf borderId="52" fillId="3" fontId="11" numFmtId="165" xfId="0" applyAlignment="1" applyBorder="1" applyFont="1" applyNumberFormat="1">
      <alignment vertical="bottom"/>
    </xf>
    <xf borderId="52" fillId="4" fontId="11" numFmtId="0" xfId="0" applyAlignment="1" applyBorder="1" applyFont="1">
      <alignment horizontal="center" vertical="center"/>
    </xf>
    <xf borderId="52" fillId="21" fontId="11" numFmtId="0" xfId="0" applyAlignment="1" applyBorder="1" applyFill="1" applyFont="1">
      <alignment horizontal="center" vertical="center"/>
    </xf>
    <xf borderId="0" fillId="0" fontId="21" numFmtId="0" xfId="0" applyAlignment="1" applyFont="1">
      <alignment horizontal="left" vertical="center"/>
    </xf>
    <xf borderId="0" fillId="0" fontId="11" numFmtId="0" xfId="0" applyAlignment="1" applyFont="1">
      <alignment horizontal="left" vertical="bottom"/>
    </xf>
    <xf borderId="52" fillId="4" fontId="28" numFmtId="0" xfId="0" applyAlignment="1" applyBorder="1" applyFont="1">
      <alignment vertical="center"/>
    </xf>
    <xf borderId="52" fillId="22" fontId="28" numFmtId="0" xfId="0" applyAlignment="1" applyBorder="1" applyFill="1" applyFont="1">
      <alignment vertical="center"/>
    </xf>
    <xf borderId="114" fillId="23" fontId="49" numFmtId="0" xfId="0" applyAlignment="1" applyBorder="1" applyFill="1" applyFont="1">
      <alignment horizontal="center" vertical="center"/>
    </xf>
    <xf borderId="6" fillId="23" fontId="49" numFmtId="0" xfId="0" applyAlignment="1" applyBorder="1" applyFont="1">
      <alignment horizontal="center" vertical="center"/>
    </xf>
    <xf borderId="6" fillId="23" fontId="29" numFmtId="0" xfId="0" applyAlignment="1" applyBorder="1" applyFont="1">
      <alignment horizontal="center" vertical="center"/>
    </xf>
    <xf borderId="89" fillId="23" fontId="29" numFmtId="0" xfId="0" applyAlignment="1" applyBorder="1" applyFont="1">
      <alignment horizontal="center" vertical="center"/>
    </xf>
    <xf borderId="17" fillId="4" fontId="50" numFmtId="16" xfId="0" applyAlignment="1" applyBorder="1" applyFont="1" applyNumberFormat="1">
      <alignment horizontal="center" shrinkToFit="0" vertical="center" wrapText="1"/>
    </xf>
    <xf borderId="17" fillId="23" fontId="50" numFmtId="16" xfId="0" applyAlignment="1" applyBorder="1" applyFont="1" applyNumberFormat="1">
      <alignment horizontal="center" shrinkToFit="0" vertical="center" wrapText="1"/>
    </xf>
    <xf borderId="17" fillId="23" fontId="50" numFmtId="16" xfId="0" applyAlignment="1" applyBorder="1" applyFont="1" applyNumberFormat="1">
      <alignment horizontal="center" vertical="center"/>
    </xf>
    <xf borderId="28" fillId="4" fontId="51" numFmtId="16" xfId="0" applyAlignment="1" applyBorder="1" applyFont="1" applyNumberFormat="1">
      <alignment horizontal="center" shrinkToFit="0" vertical="center" wrapText="1"/>
    </xf>
    <xf borderId="18" fillId="23" fontId="29" numFmtId="0" xfId="0" applyAlignment="1" applyBorder="1" applyFont="1">
      <alignment horizontal="center" vertical="center"/>
    </xf>
    <xf borderId="0" fillId="0" fontId="52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3" fillId="0" fontId="11" numFmtId="0" xfId="0" applyAlignment="1" applyBorder="1" applyFont="1">
      <alignment horizontal="left" vertical="bottom"/>
    </xf>
    <xf borderId="115" fillId="0" fontId="11" numFmtId="0" xfId="0" applyAlignment="1" applyBorder="1" applyFont="1">
      <alignment vertical="bottom"/>
    </xf>
    <xf borderId="116" fillId="4" fontId="11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center" vertical="center"/>
    </xf>
    <xf borderId="116" fillId="22" fontId="1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vertical="center"/>
    </xf>
    <xf borderId="117" fillId="24" fontId="53" numFmtId="0" xfId="0" applyAlignment="1" applyBorder="1" applyFill="1" applyFont="1">
      <alignment horizontal="center" vertical="center"/>
    </xf>
    <xf borderId="118" fillId="22" fontId="11" numFmtId="0" xfId="0" applyAlignment="1" applyBorder="1" applyFont="1">
      <alignment horizontal="center" vertical="center"/>
    </xf>
    <xf borderId="119" fillId="0" fontId="11" numFmtId="0" xfId="0" applyAlignment="1" applyBorder="1" applyFont="1">
      <alignment horizontal="center" vertical="center"/>
    </xf>
    <xf borderId="51" fillId="3" fontId="11" numFmtId="0" xfId="0" applyAlignment="1" applyBorder="1" applyFont="1">
      <alignment vertical="bottom"/>
    </xf>
    <xf borderId="51" fillId="4" fontId="49" numFmtId="0" xfId="0" applyAlignment="1" applyBorder="1" applyFont="1">
      <alignment vertical="bottom"/>
    </xf>
    <xf borderId="51" fillId="3" fontId="11" numFmtId="1" xfId="0" applyAlignment="1" applyBorder="1" applyFont="1" applyNumberFormat="1">
      <alignment vertical="bottom"/>
    </xf>
    <xf borderId="120" fillId="3" fontId="29" numFmtId="0" xfId="0" applyAlignment="1" applyBorder="1" applyFont="1">
      <alignment horizontal="center" vertical="bottom"/>
    </xf>
    <xf borderId="21" fillId="3" fontId="28" numFmtId="0" xfId="0" applyAlignment="1" applyBorder="1" applyFont="1">
      <alignment vertical="bottom"/>
    </xf>
    <xf borderId="121" fillId="3" fontId="28" numFmtId="0" xfId="0" applyAlignment="1" applyBorder="1" applyFont="1">
      <alignment vertical="bottom"/>
    </xf>
    <xf borderId="39" fillId="3" fontId="28" numFmtId="0" xfId="0" applyAlignment="1" applyBorder="1" applyFont="1">
      <alignment vertical="bottom"/>
    </xf>
    <xf borderId="121" fillId="22" fontId="28" numFmtId="0" xfId="0" applyAlignment="1" applyBorder="1" applyFont="1">
      <alignment vertical="bottom"/>
    </xf>
    <xf borderId="39" fillId="4" fontId="29" numFmtId="0" xfId="0" applyAlignment="1" applyBorder="1" applyFont="1">
      <alignment horizontal="center" vertical="bottom"/>
    </xf>
    <xf borderId="23" fillId="3" fontId="29" numFmtId="0" xfId="0" applyAlignment="1" applyBorder="1" applyFont="1">
      <alignment horizontal="center" vertical="center"/>
    </xf>
    <xf borderId="52" fillId="8" fontId="53" numFmtId="0" xfId="0" applyAlignment="1" applyBorder="1" applyFont="1">
      <alignment vertical="bottom"/>
    </xf>
    <xf borderId="122" fillId="3" fontId="29" numFmtId="0" xfId="0" applyAlignment="1" applyBorder="1" applyFont="1">
      <alignment horizontal="center" vertical="bottom"/>
    </xf>
    <xf borderId="75" fillId="3" fontId="28" numFmtId="0" xfId="0" applyAlignment="1" applyBorder="1" applyFont="1">
      <alignment vertical="bottom"/>
    </xf>
    <xf borderId="73" fillId="3" fontId="28" numFmtId="0" xfId="0" applyAlignment="1" applyBorder="1" applyFont="1">
      <alignment vertical="bottom"/>
    </xf>
    <xf borderId="95" fillId="3" fontId="28" numFmtId="0" xfId="0" applyAlignment="1" applyBorder="1" applyFont="1">
      <alignment vertical="bottom"/>
    </xf>
    <xf borderId="73" fillId="22" fontId="28" numFmtId="0" xfId="0" applyAlignment="1" applyBorder="1" applyFont="1">
      <alignment vertical="bottom"/>
    </xf>
    <xf borderId="75" fillId="3" fontId="28" numFmtId="0" xfId="0" applyAlignment="1" applyBorder="1" applyFont="1">
      <alignment readingOrder="0" vertical="bottom"/>
    </xf>
    <xf borderId="73" fillId="3" fontId="28" numFmtId="0" xfId="0" applyAlignment="1" applyBorder="1" applyFont="1">
      <alignment readingOrder="0" vertical="bottom"/>
    </xf>
    <xf borderId="95" fillId="3" fontId="28" numFmtId="0" xfId="0" applyAlignment="1" applyBorder="1" applyFont="1">
      <alignment horizontal="right" readingOrder="0" vertical="bottom"/>
    </xf>
    <xf borderId="73" fillId="25" fontId="28" numFmtId="0" xfId="0" applyAlignment="1" applyBorder="1" applyFill="1" applyFont="1">
      <alignment readingOrder="0" vertical="bottom"/>
    </xf>
    <xf borderId="73" fillId="25" fontId="46" numFmtId="0" xfId="0" applyAlignment="1" applyBorder="1" applyFont="1">
      <alignment horizontal="right" readingOrder="0" vertical="bottom"/>
    </xf>
    <xf borderId="73" fillId="3" fontId="46" numFmtId="0" xfId="0" applyAlignment="1" applyBorder="1" applyFont="1">
      <alignment horizontal="right" vertical="bottom"/>
    </xf>
    <xf borderId="52" fillId="8" fontId="54" numFmtId="0" xfId="0" applyAlignment="1" applyBorder="1" applyFont="1">
      <alignment vertical="bottom"/>
    </xf>
    <xf borderId="73" fillId="25" fontId="46" numFmtId="0" xfId="0" applyAlignment="1" applyBorder="1" applyFont="1">
      <alignment horizontal="right" vertical="bottom"/>
    </xf>
    <xf borderId="73" fillId="3" fontId="46" numFmtId="0" xfId="0" applyAlignment="1" applyBorder="1" applyFont="1">
      <alignment horizontal="right" readingOrder="0" vertical="bottom"/>
    </xf>
    <xf borderId="95" fillId="3" fontId="46" numFmtId="0" xfId="0" applyAlignment="1" applyBorder="1" applyFont="1">
      <alignment horizontal="right" readingOrder="0" vertical="bottom"/>
    </xf>
    <xf borderId="39" fillId="3" fontId="28" numFmtId="0" xfId="0" applyAlignment="1" applyBorder="1" applyFont="1">
      <alignment readingOrder="0" vertical="bottom"/>
    </xf>
    <xf borderId="73" fillId="25" fontId="28" numFmtId="0" xfId="0" applyAlignment="1" applyBorder="1" applyFont="1">
      <alignment vertical="bottom"/>
    </xf>
    <xf borderId="95" fillId="3" fontId="28" numFmtId="0" xfId="0" applyAlignment="1" applyBorder="1" applyFont="1">
      <alignment readingOrder="0" vertical="bottom"/>
    </xf>
    <xf borderId="39" fillId="25" fontId="46" numFmtId="0" xfId="0" applyAlignment="1" applyBorder="1" applyFont="1">
      <alignment horizontal="right" readingOrder="0" vertical="bottom"/>
    </xf>
    <xf borderId="73" fillId="3" fontId="28" numFmtId="0" xfId="0" applyAlignment="1" applyBorder="1" applyFont="1">
      <alignment horizontal="right" readingOrder="0" vertical="bottom"/>
    </xf>
    <xf borderId="75" fillId="3" fontId="46" numFmtId="0" xfId="0" applyAlignment="1" applyBorder="1" applyFont="1">
      <alignment horizontal="right" readingOrder="0" vertical="bottom"/>
    </xf>
    <xf borderId="39" fillId="25" fontId="46" numFmtId="0" xfId="0" applyAlignment="1" applyBorder="1" applyFont="1">
      <alignment horizontal="right" vertical="bottom"/>
    </xf>
    <xf borderId="73" fillId="22" fontId="28" numFmtId="0" xfId="0" applyAlignment="1" applyBorder="1" applyFont="1">
      <alignment readingOrder="0" vertical="bottom"/>
    </xf>
    <xf borderId="73" fillId="3" fontId="28" numFmtId="0" xfId="0" applyAlignment="1" applyBorder="1" applyFont="1">
      <alignment horizontal="right" vertical="bottom"/>
    </xf>
    <xf borderId="39" fillId="3" fontId="28" numFmtId="0" xfId="0" applyAlignment="1" applyBorder="1" applyFont="1">
      <alignment horizontal="right" vertical="bottom"/>
    </xf>
    <xf borderId="75" fillId="3" fontId="46" numFmtId="0" xfId="0" applyAlignment="1" applyBorder="1" applyFont="1">
      <alignment horizontal="right" vertical="bottom"/>
    </xf>
    <xf borderId="95" fillId="3" fontId="46" numFmtId="0" xfId="0" applyAlignment="1" applyBorder="1" applyFont="1">
      <alignment horizontal="right" vertical="bottom"/>
    </xf>
    <xf borderId="39" fillId="3" fontId="28" numFmtId="0" xfId="0" applyAlignment="1" applyBorder="1" applyFont="1">
      <alignment vertical="center"/>
    </xf>
    <xf borderId="52" fillId="8" fontId="28" numFmtId="0" xfId="0" applyAlignment="1" applyBorder="1" applyFont="1">
      <alignment vertical="bottom"/>
    </xf>
    <xf borderId="0" fillId="0" fontId="11" numFmtId="0" xfId="0" applyAlignment="1" applyFont="1">
      <alignment vertical="center"/>
    </xf>
    <xf borderId="51" fillId="4" fontId="11" numFmtId="0" xfId="0" applyAlignment="1" applyBorder="1" applyFont="1">
      <alignment vertical="bottom"/>
    </xf>
    <xf borderId="73" fillId="26" fontId="55" numFmtId="0" xfId="0" applyAlignment="1" applyBorder="1" applyFill="1" applyFont="1">
      <alignment horizontal="right" vertical="bottom"/>
    </xf>
    <xf borderId="73" fillId="3" fontId="55" numFmtId="0" xfId="0" applyAlignment="1" applyBorder="1" applyFont="1">
      <alignment horizontal="right" vertical="bottom"/>
    </xf>
    <xf borderId="52" fillId="8" fontId="56" numFmtId="0" xfId="0" applyAlignment="1" applyBorder="1" applyFont="1">
      <alignment vertical="bottom"/>
    </xf>
    <xf borderId="122" fillId="3" fontId="24" numFmtId="0" xfId="0" applyAlignment="1" applyBorder="1" applyFont="1">
      <alignment horizontal="center" vertical="bottom"/>
    </xf>
    <xf borderId="39" fillId="4" fontId="24" numFmtId="0" xfId="0" applyAlignment="1" applyBorder="1" applyFont="1">
      <alignment horizontal="center" vertical="bottom"/>
    </xf>
    <xf borderId="52" fillId="27" fontId="11" numFmtId="0" xfId="0" applyAlignment="1" applyBorder="1" applyFill="1" applyFont="1">
      <alignment vertical="bottom"/>
    </xf>
    <xf borderId="51" fillId="3" fontId="28" numFmtId="0" xfId="0" applyAlignment="1" applyBorder="1" applyFont="1">
      <alignment vertical="center"/>
    </xf>
    <xf borderId="73" fillId="3" fontId="28" numFmtId="0" xfId="0" applyAlignment="1" applyBorder="1" applyFont="1">
      <alignment vertical="center"/>
    </xf>
    <xf borderId="95" fillId="3" fontId="28" numFmtId="0" xfId="0" applyAlignment="1" applyBorder="1" applyFont="1">
      <alignment vertical="center"/>
    </xf>
    <xf borderId="69" fillId="0" fontId="28" numFmtId="0" xfId="0" applyAlignment="1" applyBorder="1" applyFont="1">
      <alignment vertical="center"/>
    </xf>
    <xf borderId="51" fillId="3" fontId="28" numFmtId="0" xfId="0" applyAlignment="1" applyBorder="1" applyFont="1">
      <alignment readingOrder="0" vertical="center"/>
    </xf>
    <xf borderId="73" fillId="3" fontId="28" numFmtId="0" xfId="0" applyAlignment="1" applyBorder="1" applyFont="1">
      <alignment readingOrder="0" vertical="center"/>
    </xf>
    <xf borderId="95" fillId="3" fontId="28" numFmtId="0" xfId="0" applyAlignment="1" applyBorder="1" applyFont="1">
      <alignment readingOrder="0" vertical="center"/>
    </xf>
    <xf borderId="39" fillId="3" fontId="28" numFmtId="0" xfId="0" applyAlignment="1" applyBorder="1" applyFont="1">
      <alignment readingOrder="0" vertical="center"/>
    </xf>
    <xf borderId="73" fillId="3" fontId="46" numFmtId="0" xfId="0" applyAlignment="1" applyBorder="1" applyFont="1">
      <alignment vertical="bottom"/>
    </xf>
    <xf borderId="123" fillId="3" fontId="28" numFmtId="0" xfId="0" applyAlignment="1" applyBorder="1" applyFont="1">
      <alignment vertical="bottom"/>
    </xf>
    <xf borderId="95" fillId="3" fontId="28" numFmtId="0" xfId="0" applyAlignment="1" applyBorder="1" applyFont="1">
      <alignment horizontal="right" vertical="bottom"/>
    </xf>
    <xf borderId="52" fillId="4" fontId="11" numFmtId="0" xfId="0" applyAlignment="1" applyBorder="1" applyFont="1">
      <alignment vertical="bottom"/>
    </xf>
    <xf borderId="122" fillId="3" fontId="24" numFmtId="0" xfId="0" applyAlignment="1" applyBorder="1" applyFont="1">
      <alignment horizontal="center" vertical="center"/>
    </xf>
    <xf borderId="73" fillId="22" fontId="28" numFmtId="0" xfId="0" applyAlignment="1" applyBorder="1" applyFont="1">
      <alignment vertical="center"/>
    </xf>
    <xf borderId="39" fillId="4" fontId="24" numFmtId="0" xfId="0" applyAlignment="1" applyBorder="1" applyFont="1">
      <alignment horizontal="center" vertical="center"/>
    </xf>
    <xf borderId="52" fillId="8" fontId="53" numFmtId="0" xfId="0" applyAlignment="1" applyBorder="1" applyFont="1">
      <alignment vertical="center"/>
    </xf>
    <xf borderId="73" fillId="25" fontId="28" numFmtId="0" xfId="0" applyAlignment="1" applyBorder="1" applyFont="1">
      <alignment vertical="center"/>
    </xf>
    <xf borderId="73" fillId="3" fontId="46" numFmtId="0" xfId="0" applyAlignment="1" applyBorder="1" applyFont="1">
      <alignment horizontal="right" vertical="center"/>
    </xf>
    <xf borderId="124" fillId="3" fontId="24" numFmtId="0" xfId="0" applyAlignment="1" applyBorder="1" applyFont="1">
      <alignment horizontal="center" vertical="center"/>
    </xf>
    <xf borderId="90" fillId="3" fontId="28" numFmtId="0" xfId="0" applyAlignment="1" applyBorder="1" applyFont="1">
      <alignment vertical="center"/>
    </xf>
    <xf borderId="92" fillId="3" fontId="28" numFmtId="0" xfId="0" applyAlignment="1" applyBorder="1" applyFont="1">
      <alignment vertical="center"/>
    </xf>
    <xf borderId="125" fillId="0" fontId="28" numFmtId="0" xfId="0" applyAlignment="1" applyBorder="1" applyFont="1">
      <alignment vertical="center"/>
    </xf>
    <xf borderId="90" fillId="22" fontId="28" numFmtId="0" xfId="0" applyAlignment="1" applyBorder="1" applyFont="1">
      <alignment vertical="center"/>
    </xf>
    <xf borderId="51" fillId="15" fontId="28" numFmtId="0" xfId="0" applyAlignment="1" applyBorder="1" applyFont="1">
      <alignment vertical="center"/>
    </xf>
    <xf borderId="80" fillId="0" fontId="24" numFmtId="0" xfId="0" applyAlignment="1" applyBorder="1" applyFont="1">
      <alignment horizontal="center" vertical="center"/>
    </xf>
    <xf borderId="60" fillId="0" fontId="29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72" fillId="0" fontId="29" numFmtId="0" xfId="0" applyAlignment="1" applyBorder="1" applyFont="1">
      <alignment horizontal="center" vertical="center"/>
    </xf>
    <xf borderId="126" fillId="0" fontId="29" numFmtId="0" xfId="0" applyAlignment="1" applyBorder="1" applyFont="1">
      <alignment horizontal="center" vertical="center"/>
    </xf>
    <xf borderId="1" fillId="0" fontId="57" numFmtId="0" xfId="0" applyAlignment="1" applyBorder="1" applyFont="1">
      <alignment horizontal="center" vertical="center"/>
    </xf>
    <xf borderId="33" fillId="0" fontId="29" numFmtId="0" xfId="0" applyAlignment="1" applyBorder="1" applyFont="1">
      <alignment horizontal="center" vertical="center"/>
    </xf>
    <xf borderId="127" fillId="0" fontId="57" numFmtId="0" xfId="0" applyAlignment="1" applyBorder="1" applyFont="1">
      <alignment horizontal="center" shrinkToFit="0" vertical="bottom" wrapText="1"/>
    </xf>
    <xf borderId="128" fillId="0" fontId="57" numFmtId="0" xfId="0" applyAlignment="1" applyBorder="1" applyFont="1">
      <alignment horizontal="center" shrinkToFit="0" vertical="center" wrapText="1"/>
    </xf>
    <xf borderId="129" fillId="0" fontId="57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shrinkToFit="0" vertical="bottom" wrapText="1"/>
    </xf>
    <xf borderId="0" fillId="0" fontId="28" numFmtId="0" xfId="0" applyAlignment="1" applyFont="1">
      <alignment vertical="bottom"/>
    </xf>
    <xf borderId="0" fillId="0" fontId="28" numFmtId="1" xfId="0" applyAlignment="1" applyFont="1" applyNumberFormat="1">
      <alignment vertical="bottom"/>
    </xf>
    <xf borderId="39" fillId="0" fontId="29" numFmtId="0" xfId="0" applyAlignment="1" applyBorder="1" applyFont="1">
      <alignment horizontal="center" vertical="center"/>
    </xf>
    <xf borderId="10" fillId="0" fontId="29" numFmtId="0" xfId="0" applyAlignment="1" applyBorder="1" applyFont="1">
      <alignment horizontal="center" vertical="center"/>
    </xf>
    <xf borderId="130" fillId="0" fontId="24" numFmtId="0" xfId="0" applyAlignment="1" applyBorder="1" applyFont="1">
      <alignment horizontal="center" vertical="center"/>
    </xf>
    <xf borderId="131" fillId="0" fontId="2" numFmtId="0" xfId="0" applyAlignment="1" applyBorder="1" applyFont="1">
      <alignment vertical="center"/>
    </xf>
    <xf borderId="132" fillId="0" fontId="28" numFmtId="0" xfId="0" applyAlignment="1" applyBorder="1" applyFont="1">
      <alignment vertical="center"/>
    </xf>
    <xf borderId="133" fillId="0" fontId="24" numFmtId="0" xfId="0" applyAlignment="1" applyBorder="1" applyFont="1">
      <alignment horizontal="center" vertical="center"/>
    </xf>
    <xf borderId="132" fillId="0" fontId="2" numFmtId="0" xfId="0" applyAlignment="1" applyBorder="1" applyFont="1">
      <alignment vertical="center"/>
    </xf>
    <xf borderId="134" fillId="0" fontId="24" numFmtId="0" xfId="0" applyAlignment="1" applyBorder="1" applyFont="1">
      <alignment horizontal="center" vertical="center"/>
    </xf>
    <xf borderId="43" fillId="0" fontId="24" numFmtId="0" xfId="0" applyAlignment="1" applyBorder="1" applyFont="1">
      <alignment horizontal="center" vertical="center"/>
    </xf>
    <xf borderId="135" fillId="0" fontId="24" numFmtId="0" xfId="0" applyAlignment="1" applyBorder="1" applyFont="1">
      <alignment horizontal="center" vertical="center"/>
    </xf>
    <xf borderId="28" fillId="0" fontId="24" numFmtId="0" xfId="0" applyAlignment="1" applyBorder="1" applyFont="1">
      <alignment horizontal="center" vertical="center"/>
    </xf>
    <xf borderId="8" fillId="0" fontId="24" numFmtId="0" xfId="0" applyAlignment="1" applyBorder="1" applyFont="1">
      <alignment horizontal="center" vertical="center"/>
    </xf>
    <xf borderId="136" fillId="0" fontId="29" numFmtId="0" xfId="0" applyAlignment="1" applyBorder="1" applyFont="1">
      <alignment horizontal="center" vertical="center"/>
    </xf>
    <xf borderId="34" fillId="0" fontId="29" numFmtId="0" xfId="0" applyAlignment="1" applyBorder="1" applyFont="1">
      <alignment horizontal="center" vertical="center"/>
    </xf>
    <xf borderId="35" fillId="0" fontId="29" numFmtId="0" xfId="0" applyAlignment="1" applyBorder="1" applyFont="1">
      <alignment horizontal="center" vertical="center"/>
    </xf>
    <xf borderId="137" fillId="0" fontId="29" numFmtId="0" xfId="0" applyAlignment="1" applyBorder="1" applyFont="1">
      <alignment horizontal="center" vertical="center"/>
    </xf>
    <xf borderId="36" fillId="0" fontId="29" numFmtId="0" xfId="0" applyAlignment="1" applyBorder="1" applyFont="1">
      <alignment horizontal="center" vertical="center"/>
    </xf>
    <xf borderId="2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137" fillId="0" fontId="2" numFmtId="0" xfId="0" applyAlignment="1" applyBorder="1" applyFont="1">
      <alignment vertical="center"/>
    </xf>
    <xf borderId="136" fillId="0" fontId="2" numFmtId="0" xfId="0" applyAlignment="1" applyBorder="1" applyFont="1">
      <alignment vertical="center"/>
    </xf>
    <xf borderId="138" fillId="0" fontId="24" numFmtId="0" xfId="0" applyAlignment="1" applyBorder="1" applyFont="1">
      <alignment horizontal="center" vertical="center"/>
    </xf>
    <xf borderId="39" fillId="0" fontId="29" numFmtId="0" xfId="0" applyAlignment="1" applyBorder="1" applyFont="1">
      <alignment vertical="center"/>
    </xf>
    <xf borderId="69" fillId="0" fontId="29" numFmtId="0" xfId="0" applyAlignment="1" applyBorder="1" applyFont="1">
      <alignment horizontal="center" vertical="center"/>
    </xf>
    <xf borderId="38" fillId="0" fontId="24" numFmtId="0" xfId="0" applyAlignment="1" applyBorder="1" applyFont="1">
      <alignment vertical="center"/>
    </xf>
    <xf borderId="39" fillId="0" fontId="24" numFmtId="0" xfId="0" applyAlignment="1" applyBorder="1" applyFont="1">
      <alignment vertical="center"/>
    </xf>
    <xf borderId="39" fillId="0" fontId="24" numFmtId="0" xfId="0" applyAlignment="1" applyBorder="1" applyFont="1">
      <alignment horizontal="center" vertical="center"/>
    </xf>
    <xf borderId="13" fillId="0" fontId="24" numFmtId="0" xfId="0" applyAlignment="1" applyBorder="1" applyFont="1">
      <alignment horizontal="center" vertical="center"/>
    </xf>
    <xf borderId="69" fillId="0" fontId="24" numFmtId="0" xfId="0" applyAlignment="1" applyBorder="1" applyFont="1">
      <alignment horizontal="center" vertical="center"/>
    </xf>
    <xf borderId="35" fillId="0" fontId="24" numFmtId="0" xfId="0" applyAlignment="1" applyBorder="1" applyFont="1">
      <alignment horizontal="center" vertical="center"/>
    </xf>
    <xf borderId="36" fillId="0" fontId="24" numFmtId="0" xfId="0" applyAlignment="1" applyBorder="1" applyFont="1">
      <alignment horizontal="center" vertical="center"/>
    </xf>
    <xf borderId="38" fillId="0" fontId="29" numFmtId="0" xfId="0" applyAlignment="1" applyBorder="1" applyFont="1">
      <alignment horizontal="center" vertical="center"/>
    </xf>
    <xf borderId="35" fillId="0" fontId="2" numFmtId="0" xfId="0" applyAlignment="1" applyBorder="1" applyFont="1">
      <alignment vertical="center"/>
    </xf>
    <xf borderId="13" fillId="3" fontId="29" numFmtId="0" xfId="0" applyAlignment="1" applyBorder="1" applyFont="1">
      <alignment horizontal="center" vertical="center"/>
    </xf>
    <xf borderId="1" fillId="0" fontId="37" numFmtId="172" xfId="0" applyAlignment="1" applyBorder="1" applyFont="1" applyNumberFormat="1">
      <alignment horizontal="center" vertical="bottom"/>
    </xf>
    <xf borderId="139" fillId="0" fontId="2" numFmtId="0" xfId="0" applyAlignment="1" applyBorder="1" applyFont="1">
      <alignment vertical="center"/>
    </xf>
    <xf borderId="140" fillId="28" fontId="29" numFmtId="0" xfId="0" applyAlignment="1" applyBorder="1" applyFill="1" applyFont="1">
      <alignment horizontal="center" vertical="center"/>
    </xf>
    <xf borderId="39" fillId="28" fontId="29" numFmtId="0" xfId="0" applyAlignment="1" applyBorder="1" applyFont="1">
      <alignment horizontal="center" vertical="center"/>
    </xf>
    <xf borderId="51" fillId="4" fontId="29" numFmtId="0" xfId="0" applyAlignment="1" applyBorder="1" applyFont="1">
      <alignment horizontal="center" vertical="center"/>
    </xf>
    <xf borderId="109" fillId="28" fontId="24" numFmtId="0" xfId="0" applyAlignment="1" applyBorder="1" applyFont="1">
      <alignment horizontal="center" vertical="center"/>
    </xf>
    <xf borderId="112" fillId="0" fontId="28" numFmtId="0" xfId="0" applyAlignment="1" applyBorder="1" applyFont="1">
      <alignment vertical="center"/>
    </xf>
    <xf borderId="40" fillId="28" fontId="24" numFmtId="0" xfId="0" applyAlignment="1" applyBorder="1" applyFont="1">
      <alignment horizontal="center" vertical="center"/>
    </xf>
    <xf borderId="41" fillId="28" fontId="24" numFmtId="0" xfId="0" applyAlignment="1" applyBorder="1" applyFont="1">
      <alignment horizontal="center" vertical="center"/>
    </xf>
    <xf borderId="125" fillId="0" fontId="24" numFmtId="0" xfId="0" applyAlignment="1" applyBorder="1" applyFont="1">
      <alignment horizontal="center" vertical="center"/>
    </xf>
    <xf borderId="141" fillId="0" fontId="24" numFmtId="0" xfId="0" applyAlignment="1" applyBorder="1" applyFont="1">
      <alignment horizontal="center" vertical="center"/>
    </xf>
    <xf borderId="142" fillId="4" fontId="24" numFmtId="0" xfId="0" applyAlignment="1" applyBorder="1" applyFont="1">
      <alignment horizontal="center" vertical="center"/>
    </xf>
    <xf borderId="45" fillId="0" fontId="2" numFmtId="0" xfId="0" applyAlignment="1" applyBorder="1" applyFont="1">
      <alignment vertical="center"/>
    </xf>
    <xf borderId="27" fillId="0" fontId="29" numFmtId="0" xfId="0" applyAlignment="1" applyBorder="1" applyFont="1">
      <alignment horizontal="center" vertical="center"/>
    </xf>
    <xf borderId="141" fillId="0" fontId="29" numFmtId="0" xfId="0" applyAlignment="1" applyBorder="1" applyFont="1">
      <alignment horizontal="center" vertical="center"/>
    </xf>
    <xf borderId="141" fillId="0" fontId="49" numFmtId="0" xfId="0" applyAlignment="1" applyBorder="1" applyFont="1">
      <alignment vertical="bottom"/>
    </xf>
    <xf borderId="45" fillId="0" fontId="11" numFmtId="0" xfId="0" applyAlignment="1" applyBorder="1" applyFont="1">
      <alignment horizontal="center" vertical="center"/>
    </xf>
    <xf borderId="27" fillId="0" fontId="2" numFmtId="0" xfId="0" applyAlignment="1" applyBorder="1" applyFont="1">
      <alignment vertical="center"/>
    </xf>
    <xf borderId="141" fillId="0" fontId="2" numFmtId="0" xfId="0" applyAlignment="1" applyBorder="1" applyFont="1">
      <alignment vertical="center"/>
    </xf>
    <xf borderId="1" fillId="0" fontId="37" numFmtId="0" xfId="0" applyAlignment="1" applyBorder="1" applyFont="1">
      <alignment horizontal="center" vertical="bottom"/>
    </xf>
    <xf borderId="143" fillId="0" fontId="24" numFmtId="16" xfId="0" applyAlignment="1" applyBorder="1" applyFont="1" applyNumberFormat="1">
      <alignment vertical="bottom"/>
    </xf>
    <xf borderId="51" fillId="4" fontId="11" numFmtId="0" xfId="0" applyAlignment="1" applyBorder="1" applyFont="1">
      <alignment horizontal="right" readingOrder="0" vertical="bottom"/>
    </xf>
    <xf borderId="51" fillId="4" fontId="11" numFmtId="0" xfId="0" applyAlignment="1" applyBorder="1" applyFont="1">
      <alignment horizontal="right" vertical="bottom"/>
    </xf>
    <xf borderId="51" fillId="4" fontId="11" numFmtId="0" xfId="0" applyAlignment="1" applyBorder="1" applyFont="1">
      <alignment readingOrder="0" vertical="bottom"/>
    </xf>
    <xf borderId="73" fillId="4" fontId="11" numFmtId="0" xfId="0" applyAlignment="1" applyBorder="1" applyFont="1">
      <alignment vertical="bottom"/>
    </xf>
    <xf borderId="73" fillId="24" fontId="28" numFmtId="0" xfId="0" applyAlignment="1" applyBorder="1" applyFont="1">
      <alignment vertical="bottom"/>
    </xf>
    <xf borderId="73" fillId="4" fontId="28" numFmtId="0" xfId="0" applyAlignment="1" applyBorder="1" applyFont="1">
      <alignment vertical="bottom"/>
    </xf>
    <xf borderId="39" fillId="3" fontId="11" numFmtId="0" xfId="0" applyAlignment="1" applyBorder="1" applyFont="1">
      <alignment horizontal="right" vertical="bottom"/>
    </xf>
    <xf borderId="68" fillId="0" fontId="29" numFmtId="16" xfId="0" applyAlignment="1" applyBorder="1" applyFont="1" applyNumberFormat="1">
      <alignment horizontal="right" vertical="bottom"/>
    </xf>
    <xf borderId="74" fillId="4" fontId="11" numFmtId="0" xfId="0" applyAlignment="1" applyBorder="1" applyFont="1">
      <alignment horizontal="right" vertical="bottom"/>
    </xf>
    <xf borderId="51" fillId="24" fontId="28" numFmtId="1" xfId="0" applyAlignment="1" applyBorder="1" applyFont="1" applyNumberFormat="1">
      <alignment vertical="bottom"/>
    </xf>
    <xf borderId="35" fillId="0" fontId="11" numFmtId="1" xfId="0" applyAlignment="1" applyBorder="1" applyFont="1" applyNumberFormat="1">
      <alignment horizontal="right" vertical="bottom"/>
    </xf>
    <xf borderId="36" fillId="0" fontId="11" numFmtId="1" xfId="0" applyAlignment="1" applyBorder="1" applyFont="1" applyNumberFormat="1">
      <alignment horizontal="right" vertical="bottom"/>
    </xf>
    <xf borderId="143" fillId="0" fontId="11" numFmtId="0" xfId="0" applyAlignment="1" applyBorder="1" applyFont="1">
      <alignment horizontal="center" vertical="center"/>
    </xf>
    <xf borderId="36" fillId="0" fontId="11" numFmtId="1" xfId="0" applyAlignment="1" applyBorder="1" applyFont="1" applyNumberFormat="1">
      <alignment horizontal="center" vertical="center"/>
    </xf>
    <xf borderId="22" fillId="0" fontId="28" numFmtId="0" xfId="0" applyAlignment="1" applyBorder="1" applyFont="1">
      <alignment horizontal="center" vertical="bottom"/>
    </xf>
    <xf borderId="134" fillId="0" fontId="28" numFmtId="0" xfId="0" applyAlignment="1" applyBorder="1" applyFont="1">
      <alignment horizontal="center" vertical="bottom"/>
    </xf>
    <xf borderId="43" fillId="0" fontId="28" numFmtId="0" xfId="0" applyAlignment="1" applyBorder="1" applyFont="1">
      <alignment vertical="bottom"/>
    </xf>
    <xf borderId="39" fillId="4" fontId="11" numFmtId="0" xfId="0" applyAlignment="1" applyBorder="1" applyFont="1">
      <alignment horizontal="right" readingOrder="0" vertical="bottom"/>
    </xf>
    <xf borderId="39" fillId="4" fontId="11" numFmtId="0" xfId="0" applyAlignment="1" applyBorder="1" applyFont="1">
      <alignment vertical="bottom"/>
    </xf>
    <xf borderId="39" fillId="4" fontId="11" numFmtId="0" xfId="0" applyAlignment="1" applyBorder="1" applyFont="1">
      <alignment readingOrder="0" vertical="bottom"/>
    </xf>
    <xf borderId="61" fillId="4" fontId="11" numFmtId="0" xfId="0" applyAlignment="1" applyBorder="1" applyFont="1">
      <alignment vertical="bottom"/>
    </xf>
    <xf borderId="36" fillId="0" fontId="28" numFmtId="0" xfId="0" applyAlignment="1" applyBorder="1" applyFont="1">
      <alignment vertical="bottom"/>
    </xf>
    <xf borderId="61" fillId="4" fontId="11" numFmtId="0" xfId="0" applyAlignment="1" applyBorder="1" applyFont="1">
      <alignment readingOrder="0" vertical="bottom"/>
    </xf>
    <xf borderId="61" fillId="4" fontId="28" numFmtId="0" xfId="0" applyAlignment="1" applyBorder="1" applyFont="1">
      <alignment vertical="bottom"/>
    </xf>
    <xf borderId="38" fillId="0" fontId="11" numFmtId="1" xfId="0" applyAlignment="1" applyBorder="1" applyFont="1" applyNumberFormat="1">
      <alignment horizontal="right" vertical="bottom"/>
    </xf>
    <xf borderId="105" fillId="0" fontId="11" numFmtId="0" xfId="0" applyAlignment="1" applyBorder="1" applyFont="1">
      <alignment horizontal="center" vertical="center"/>
    </xf>
    <xf borderId="13" fillId="0" fontId="11" numFmtId="1" xfId="0" applyAlignment="1" applyBorder="1" applyFont="1" applyNumberFormat="1">
      <alignment horizontal="center" vertical="center"/>
    </xf>
    <xf borderId="38" fillId="0" fontId="28" numFmtId="0" xfId="0" applyAlignment="1" applyBorder="1" applyFont="1">
      <alignment horizontal="center" vertical="bottom"/>
    </xf>
    <xf borderId="39" fillId="0" fontId="28" numFmtId="0" xfId="0" applyAlignment="1" applyBorder="1" applyFont="1">
      <alignment horizontal="center" vertical="bottom"/>
    </xf>
    <xf borderId="25" fillId="0" fontId="28" numFmtId="0" xfId="0" applyAlignment="1" applyBorder="1" applyFont="1">
      <alignment horizontal="center" vertical="bottom"/>
    </xf>
    <xf borderId="40" fillId="0" fontId="28" numFmtId="0" xfId="0" applyAlignment="1" applyBorder="1" applyFont="1">
      <alignment horizontal="center" vertical="bottom"/>
    </xf>
    <xf borderId="41" fillId="0" fontId="28" numFmtId="0" xfId="0" applyAlignment="1" applyBorder="1" applyFont="1">
      <alignment vertical="bottom"/>
    </xf>
    <xf borderId="1" fillId="0" fontId="24" numFmtId="0" xfId="0" applyAlignment="1" applyBorder="1" applyFont="1">
      <alignment horizontal="center" vertical="bottom"/>
    </xf>
    <xf borderId="135" fillId="0" fontId="2" numFmtId="0" xfId="0" applyAlignment="1" applyBorder="1" applyFont="1">
      <alignment vertical="center"/>
    </xf>
    <xf borderId="8" fillId="0" fontId="37" numFmtId="0" xfId="0" applyAlignment="1" applyBorder="1" applyFont="1">
      <alignment vertical="bottom"/>
    </xf>
    <xf borderId="130" fillId="0" fontId="24" numFmtId="0" xfId="0" applyAlignment="1" applyBorder="1" applyFont="1">
      <alignment horizontal="left" vertical="bottom"/>
    </xf>
    <xf borderId="144" fillId="0" fontId="37" numFmtId="0" xfId="0" applyAlignment="1" applyBorder="1" applyFont="1">
      <alignment horizontal="center" vertical="center"/>
    </xf>
    <xf borderId="145" fillId="0" fontId="2" numFmtId="0" xfId="0" applyAlignment="1" applyBorder="1" applyFont="1">
      <alignment vertical="center"/>
    </xf>
    <xf borderId="146" fillId="0" fontId="24" numFmtId="0" xfId="0" applyAlignment="1" applyBorder="1" applyFont="1">
      <alignment horizontal="center" vertical="center"/>
    </xf>
    <xf borderId="143" fillId="0" fontId="2" numFmtId="0" xfId="0" applyAlignment="1" applyBorder="1" applyFont="1">
      <alignment vertical="center"/>
    </xf>
    <xf borderId="69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105" fillId="0" fontId="24" numFmtId="0" xfId="0" applyAlignment="1" applyBorder="1" applyFont="1">
      <alignment horizontal="center" vertical="bottom"/>
    </xf>
    <xf borderId="13" fillId="0" fontId="24" numFmtId="1" xfId="0" applyAlignment="1" applyBorder="1" applyFont="1" applyNumberFormat="1">
      <alignment horizontal="center" vertical="center"/>
    </xf>
    <xf borderId="109" fillId="0" fontId="24" numFmtId="0" xfId="0" applyAlignment="1" applyBorder="1" applyFont="1">
      <alignment horizontal="center" vertical="bottom"/>
    </xf>
    <xf borderId="41" fillId="0" fontId="24" numFmtId="1" xfId="0" applyAlignment="1" applyBorder="1" applyFont="1" applyNumberFormat="1">
      <alignment horizontal="center" vertical="center"/>
    </xf>
    <xf borderId="0" fillId="0" fontId="24" numFmtId="0" xfId="0" applyAlignment="1" applyFont="1">
      <alignment vertical="bottom"/>
    </xf>
    <xf borderId="76" fillId="4" fontId="11" numFmtId="0" xfId="0" applyAlignment="1" applyBorder="1" applyFont="1">
      <alignment vertical="bottom"/>
    </xf>
    <xf borderId="88" fillId="4" fontId="11" numFmtId="0" xfId="0" applyAlignment="1" applyBorder="1" applyFont="1">
      <alignment vertical="bottom"/>
    </xf>
    <xf borderId="88" fillId="4" fontId="28" numFmtId="0" xfId="0" applyAlignment="1" applyBorder="1" applyFont="1">
      <alignment vertical="bottom"/>
    </xf>
    <xf borderId="76" fillId="3" fontId="11" numFmtId="0" xfId="0" applyAlignment="1" applyBorder="1" applyFont="1">
      <alignment horizontal="right" vertical="bottom"/>
    </xf>
    <xf borderId="25" fillId="0" fontId="11" numFmtId="1" xfId="0" applyAlignment="1" applyBorder="1" applyFont="1" applyNumberFormat="1">
      <alignment horizontal="right" vertical="bottom"/>
    </xf>
    <xf borderId="53" fillId="24" fontId="28" numFmtId="1" xfId="0" applyAlignment="1" applyBorder="1" applyFont="1" applyNumberFormat="1">
      <alignment vertical="bottom"/>
    </xf>
    <xf borderId="141" fillId="0" fontId="11" numFmtId="1" xfId="0" applyAlignment="1" applyBorder="1" applyFont="1" applyNumberFormat="1">
      <alignment horizontal="right" vertical="bottom"/>
    </xf>
    <xf borderId="45" fillId="0" fontId="11" numFmtId="1" xfId="0" applyAlignment="1" applyBorder="1" applyFont="1" applyNumberFormat="1">
      <alignment horizontal="right" vertical="bottom"/>
    </xf>
    <xf borderId="1" fillId="0" fontId="20" numFmtId="0" xfId="0" applyAlignment="1" applyBorder="1" applyFont="1">
      <alignment vertical="bottom"/>
    </xf>
    <xf borderId="28" fillId="0" fontId="20" numFmtId="0" xfId="0" applyAlignment="1" applyBorder="1" applyFont="1">
      <alignment vertical="bottom"/>
    </xf>
    <xf borderId="147" fillId="0" fontId="20" numFmtId="0" xfId="0" applyAlignment="1" applyBorder="1" applyFont="1">
      <alignment vertical="bottom"/>
    </xf>
    <xf borderId="8" fillId="0" fontId="20" numFmtId="0" xfId="0" applyAlignment="1" applyBorder="1" applyFont="1">
      <alignment vertical="bottom"/>
    </xf>
    <xf borderId="135" fillId="0" fontId="20" numFmtId="0" xfId="0" applyAlignment="1" applyBorder="1" applyFont="1">
      <alignment vertical="bottom"/>
    </xf>
    <xf borderId="39" fillId="3" fontId="29" numFmtId="0" xfId="0" applyAlignment="1" applyBorder="1" applyFont="1">
      <alignment horizontal="right" vertical="bottom"/>
    </xf>
    <xf borderId="39" fillId="0" fontId="43" numFmtId="0" xfId="0" applyAlignment="1" applyBorder="1" applyFont="1">
      <alignment horizontal="right" vertical="bottom"/>
    </xf>
    <xf borderId="84" fillId="0" fontId="20" numFmtId="0" xfId="0" applyAlignment="1" applyBorder="1" applyFont="1">
      <alignment vertical="bottom"/>
    </xf>
    <xf borderId="81" fillId="4" fontId="20" numFmtId="1" xfId="0" applyAlignment="1" applyBorder="1" applyFont="1" applyNumberFormat="1">
      <alignment vertical="bottom"/>
    </xf>
    <xf borderId="84" fillId="0" fontId="20" numFmtId="1" xfId="0" applyAlignment="1" applyBorder="1" applyFont="1" applyNumberFormat="1">
      <alignment vertical="bottom"/>
    </xf>
    <xf borderId="45" fillId="0" fontId="20" numFmtId="1" xfId="0" applyAlignment="1" applyBorder="1" applyFont="1" applyNumberFormat="1">
      <alignment vertical="bottom"/>
    </xf>
    <xf borderId="37" fillId="0" fontId="2" numFmtId="0" xfId="0" applyAlignment="1" applyBorder="1" applyFont="1">
      <alignment vertical="center"/>
    </xf>
    <xf borderId="6" fillId="4" fontId="20" numFmtId="1" xfId="0" applyAlignment="1" applyBorder="1" applyFont="1" applyNumberFormat="1">
      <alignment vertical="bottom"/>
    </xf>
    <xf borderId="6" fillId="4" fontId="20" numFmtId="1" xfId="0" applyAlignment="1" applyBorder="1" applyFont="1" applyNumberFormat="1">
      <alignment horizontal="center" vertical="center"/>
    </xf>
    <xf borderId="41" fillId="4" fontId="43" numFmtId="1" xfId="0" applyAlignment="1" applyBorder="1" applyFont="1" applyNumberFormat="1">
      <alignment horizontal="center" vertical="center"/>
    </xf>
    <xf borderId="0" fillId="0" fontId="20" numFmtId="0" xfId="0" applyAlignment="1" applyFont="1">
      <alignment vertical="bottom"/>
    </xf>
    <xf borderId="0" fillId="0" fontId="43" numFmtId="1" xfId="0" applyAlignment="1" applyFont="1" applyNumberFormat="1">
      <alignment horizontal="center" vertical="bottom"/>
    </xf>
    <xf borderId="0" fillId="0" fontId="20" numFmtId="1" xfId="0" applyAlignment="1" applyFont="1" applyNumberFormat="1">
      <alignment vertical="bottom"/>
    </xf>
    <xf borderId="148" fillId="0" fontId="43" numFmtId="1" xfId="0" applyAlignment="1" applyBorder="1" applyFont="1" applyNumberFormat="1">
      <alignment horizontal="center" vertical="bottom"/>
    </xf>
    <xf borderId="125" fillId="0" fontId="2" numFmtId="0" xfId="0" applyAlignment="1" applyBorder="1" applyFont="1">
      <alignment vertical="center"/>
    </xf>
    <xf borderId="0" fillId="0" fontId="43" numFmtId="1" xfId="0" applyAlignment="1" applyFont="1" applyNumberFormat="1">
      <alignment vertical="bottom"/>
    </xf>
    <xf borderId="0" fillId="0" fontId="20" numFmtId="1" xfId="0" applyAlignment="1" applyFont="1" applyNumberFormat="1">
      <alignment horizontal="center" vertical="bottom"/>
    </xf>
    <xf borderId="0" fillId="0" fontId="43" numFmtId="1" xfId="0" applyAlignment="1" applyFont="1" applyNumberFormat="1">
      <alignment horizontal="right" vertical="bottom"/>
    </xf>
    <xf borderId="0" fillId="0" fontId="11" numFmtId="1" xfId="0" applyAlignment="1" applyFont="1" applyNumberFormat="1">
      <alignment readingOrder="0" vertical="bottom"/>
    </xf>
    <xf borderId="0" fillId="0" fontId="11" numFmtId="0" xfId="0" applyAlignment="1" applyFont="1">
      <alignment readingOrder="0" vertical="bottom"/>
    </xf>
    <xf borderId="0" fillId="0" fontId="28" numFmtId="0" xfId="0" applyAlignment="1" applyFont="1">
      <alignment readingOrder="0" vertical="bottom"/>
    </xf>
    <xf borderId="39" fillId="0" fontId="58" numFmtId="0" xfId="0" applyAlignment="1" applyBorder="1" applyFont="1">
      <alignment vertical="bottom"/>
    </xf>
    <xf borderId="39" fillId="0" fontId="24" numFmtId="0" xfId="0" applyAlignment="1" applyBorder="1" applyFont="1">
      <alignment vertical="bottom"/>
    </xf>
    <xf borderId="138" fillId="6" fontId="59" numFmtId="0" xfId="0" applyAlignment="1" applyBorder="1" applyFont="1">
      <alignment horizontal="center" vertical="center"/>
    </xf>
    <xf borderId="149" fillId="0" fontId="2" numFmtId="0" xfId="0" applyAlignment="1" applyBorder="1" applyFont="1">
      <alignment vertical="center"/>
    </xf>
    <xf borderId="150" fillId="0" fontId="2" numFmtId="0" xfId="0" applyAlignment="1" applyBorder="1" applyFont="1">
      <alignment vertical="center"/>
    </xf>
    <xf borderId="115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4" fillId="7" fontId="27" numFmtId="0" xfId="0" applyAlignment="1" applyBorder="1" applyFont="1">
      <alignment horizontal="center" vertical="center"/>
    </xf>
    <xf borderId="55" fillId="7" fontId="27" numFmtId="0" xfId="0" applyAlignment="1" applyBorder="1" applyFont="1">
      <alignment horizontal="center" vertical="center"/>
    </xf>
    <xf borderId="4" fillId="7" fontId="60" numFmtId="0" xfId="0" applyAlignment="1" applyBorder="1" applyFont="1">
      <alignment horizontal="center" shrinkToFit="0" vertical="center" wrapText="1"/>
    </xf>
    <xf borderId="85" fillId="7" fontId="60" numFmtId="0" xfId="0" applyAlignment="1" applyBorder="1" applyFont="1">
      <alignment horizontal="center" shrinkToFit="0" vertical="center" wrapText="1"/>
    </xf>
    <xf borderId="49" fillId="7" fontId="60" numFmtId="0" xfId="0" applyAlignment="1" applyBorder="1" applyFont="1">
      <alignment horizontal="center" shrinkToFit="0" vertical="center" wrapText="1"/>
    </xf>
    <xf borderId="151" fillId="7" fontId="61" numFmtId="0" xfId="0" applyAlignment="1" applyBorder="1" applyFont="1">
      <alignment horizontal="center" shrinkToFit="0" vertical="center" wrapText="1"/>
    </xf>
    <xf borderId="4" fillId="7" fontId="27" numFmtId="0" xfId="0" applyAlignment="1" applyBorder="1" applyFont="1">
      <alignment horizontal="center" shrinkToFit="0" vertical="center" wrapText="1"/>
    </xf>
    <xf borderId="152" fillId="3" fontId="11" numFmtId="0" xfId="0" applyAlignment="1" applyBorder="1" applyFont="1">
      <alignment vertical="bottom"/>
    </xf>
    <xf borderId="39" fillId="3" fontId="29" numFmtId="0" xfId="0" applyAlignment="1" applyBorder="1" applyFont="1">
      <alignment vertical="bottom"/>
    </xf>
    <xf borderId="61" fillId="3" fontId="11" numFmtId="173" xfId="0" applyAlignment="1" applyBorder="1" applyFont="1" applyNumberFormat="1">
      <alignment vertical="bottom"/>
    </xf>
    <xf borderId="39" fillId="3" fontId="11" numFmtId="1" xfId="0" applyAlignment="1" applyBorder="1" applyFont="1" applyNumberFormat="1">
      <alignment vertical="bottom"/>
    </xf>
    <xf borderId="39" fillId="3" fontId="11" numFmtId="173" xfId="0" applyAlignment="1" applyBorder="1" applyFont="1" applyNumberFormat="1">
      <alignment vertical="bottom"/>
    </xf>
    <xf borderId="52" fillId="3" fontId="11" numFmtId="1" xfId="0" applyAlignment="1" applyBorder="1" applyFont="1" applyNumberFormat="1">
      <alignment vertical="bottom"/>
    </xf>
    <xf borderId="0" fillId="0" fontId="11" numFmtId="173" xfId="0" applyAlignment="1" applyFont="1" applyNumberFormat="1">
      <alignment vertical="bottom"/>
    </xf>
    <xf borderId="153" fillId="3" fontId="11" numFmtId="0" xfId="0" applyAlignment="1" applyBorder="1" applyFont="1">
      <alignment vertical="bottom"/>
    </xf>
    <xf borderId="73" fillId="3" fontId="11" numFmtId="173" xfId="0" applyAlignment="1" applyBorder="1" applyFont="1" applyNumberFormat="1">
      <alignment vertical="bottom"/>
    </xf>
    <xf borderId="94" fillId="3" fontId="11" numFmtId="0" xfId="0" applyAlignment="1" applyBorder="1" applyFont="1">
      <alignment vertical="bottom"/>
    </xf>
    <xf borderId="52" fillId="3" fontId="11" numFmtId="173" xfId="0" applyAlignment="1" applyBorder="1" applyFont="1" applyNumberFormat="1">
      <alignment vertical="bottom"/>
    </xf>
    <xf borderId="152" fillId="3" fontId="11" numFmtId="173" xfId="0" applyAlignment="1" applyBorder="1" applyFont="1" applyNumberFormat="1">
      <alignment vertical="bottom"/>
    </xf>
    <xf borderId="152" fillId="3" fontId="11" numFmtId="0" xfId="0" applyAlignment="1" applyBorder="1" applyFont="1">
      <alignment readingOrder="0" vertical="bottom"/>
    </xf>
    <xf borderId="60" fillId="0" fontId="11" numFmtId="0" xfId="0" applyAlignment="1" applyBorder="1" applyFont="1">
      <alignment vertical="bottom"/>
    </xf>
    <xf borderId="0" fillId="0" fontId="11" numFmtId="10" xfId="0" applyAlignment="1" applyFont="1" applyNumberFormat="1">
      <alignment vertical="bottom"/>
    </xf>
    <xf borderId="0" fillId="0" fontId="11" numFmtId="173" xfId="0" applyAlignment="1" applyFont="1" applyNumberFormat="1">
      <alignment readingOrder="0" vertical="bottom"/>
    </xf>
    <xf borderId="39" fillId="3" fontId="11" numFmtId="0" xfId="0" applyAlignment="1" applyBorder="1" applyFont="1">
      <alignment vertical="bottom"/>
    </xf>
    <xf borderId="39" fillId="0" fontId="62" numFmtId="0" xfId="0" applyAlignment="1" applyBorder="1" applyFont="1">
      <alignment vertical="bottom"/>
    </xf>
    <xf borderId="39" fillId="0" fontId="29" numFmtId="165" xfId="0" applyAlignment="1" applyBorder="1" applyFont="1" applyNumberFormat="1">
      <alignment vertical="bottom"/>
    </xf>
    <xf borderId="60" fillId="0" fontId="11" numFmtId="0" xfId="0" applyAlignment="1" applyBorder="1" applyFont="1">
      <alignment horizontal="right" vertical="center"/>
    </xf>
    <xf borderId="39" fillId="0" fontId="49" numFmtId="173" xfId="0" applyAlignment="1" applyBorder="1" applyFont="1" applyNumberFormat="1">
      <alignment vertical="bottom"/>
    </xf>
    <xf borderId="1" fillId="0" fontId="63" numFmtId="0" xfId="0" applyAlignment="1" applyBorder="1" applyFont="1">
      <alignment horizontal="center" vertical="center"/>
    </xf>
    <xf borderId="2" fillId="0" fontId="28" numFmtId="0" xfId="0" applyAlignment="1" applyBorder="1" applyFont="1">
      <alignment vertical="center"/>
    </xf>
    <xf borderId="3" fillId="0" fontId="28" numFmtId="0" xfId="0" applyAlignment="1" applyBorder="1" applyFont="1">
      <alignment vertical="center"/>
    </xf>
    <xf borderId="6" fillId="0" fontId="64" numFmtId="0" xfId="0" applyAlignment="1" applyBorder="1" applyFont="1">
      <alignment horizontal="center" vertical="center"/>
    </xf>
    <xf borderId="2" fillId="0" fontId="64" numFmtId="0" xfId="0" applyAlignment="1" applyBorder="1" applyFont="1">
      <alignment horizontal="center" vertical="center"/>
    </xf>
    <xf borderId="3" fillId="0" fontId="64" numFmtId="0" xfId="0" applyAlignment="1" applyBorder="1" applyFont="1">
      <alignment horizontal="center" vertical="center"/>
    </xf>
    <xf borderId="1" fillId="0" fontId="64" numFmtId="0" xfId="0" applyAlignment="1" applyBorder="1" applyFont="1">
      <alignment horizontal="center" vertical="center"/>
    </xf>
    <xf borderId="39" fillId="0" fontId="64" numFmtId="0" xfId="0" applyAlignment="1" applyBorder="1" applyFont="1">
      <alignment horizontal="center" vertical="center"/>
    </xf>
    <xf borderId="2" fillId="0" fontId="65" numFmtId="0" xfId="0" applyAlignment="1" applyBorder="1" applyFont="1">
      <alignment horizontal="center" vertical="center"/>
    </xf>
    <xf borderId="6" fillId="0" fontId="64" numFmtId="0" xfId="0" applyAlignment="1" applyBorder="1" applyFont="1">
      <alignment horizontal="center" vertical="bottom"/>
    </xf>
    <xf borderId="6" fillId="29" fontId="66" numFmtId="0" xfId="0" applyAlignment="1" applyBorder="1" applyFill="1" applyFont="1">
      <alignment horizontal="center" shrinkToFit="0" vertical="center" wrapText="1"/>
    </xf>
    <xf borderId="7" fillId="29" fontId="66" numFmtId="0" xfId="0" applyAlignment="1" applyBorder="1" applyFont="1">
      <alignment horizontal="center" shrinkToFit="0" vertical="center" wrapText="1"/>
    </xf>
    <xf borderId="86" fillId="29" fontId="67" numFmtId="0" xfId="0" applyAlignment="1" applyBorder="1" applyFont="1">
      <alignment horizontal="center" shrinkToFit="0" vertical="center" wrapText="1"/>
    </xf>
    <xf borderId="8" fillId="29" fontId="67" numFmtId="0" xfId="0" applyAlignment="1" applyBorder="1" applyFont="1">
      <alignment horizontal="center" shrinkToFit="0" vertical="center" wrapText="1"/>
    </xf>
    <xf borderId="17" fillId="29" fontId="66" numFmtId="0" xfId="0" applyAlignment="1" applyBorder="1" applyFont="1">
      <alignment horizontal="center" shrinkToFit="0" vertical="center" wrapText="1"/>
    </xf>
    <xf borderId="8" fillId="29" fontId="66" numFmtId="0" xfId="0" applyAlignment="1" applyBorder="1" applyFont="1">
      <alignment horizontal="center" shrinkToFit="0" vertical="center" wrapText="1"/>
    </xf>
    <xf borderId="28" fillId="29" fontId="66" numFmtId="0" xfId="0" applyAlignment="1" applyBorder="1" applyFont="1">
      <alignment horizontal="center" shrinkToFit="0" vertical="center" wrapText="1"/>
    </xf>
    <xf borderId="86" fillId="29" fontId="66" numFmtId="0" xfId="0" applyAlignment="1" applyBorder="1" applyFont="1">
      <alignment horizontal="center" shrinkToFit="0" vertical="center" wrapText="1"/>
    </xf>
    <xf borderId="39" fillId="29" fontId="66" numFmtId="16" xfId="0" applyAlignment="1" applyBorder="1" applyFont="1" applyNumberFormat="1">
      <alignment horizontal="center" shrinkToFit="0" vertical="center" wrapText="1"/>
    </xf>
    <xf borderId="152" fillId="29" fontId="66" numFmtId="16" xfId="0" applyAlignment="1" applyBorder="1" applyFont="1" applyNumberFormat="1">
      <alignment horizontal="center" shrinkToFit="0" vertical="center" wrapText="1"/>
    </xf>
    <xf borderId="6" fillId="11" fontId="68" numFmtId="0" xfId="0" applyAlignment="1" applyBorder="1" applyFont="1">
      <alignment horizontal="center" shrinkToFit="0" vertical="center" wrapText="1"/>
    </xf>
    <xf borderId="7" fillId="29" fontId="66" numFmtId="16" xfId="0" applyAlignment="1" applyBorder="1" applyFont="1" applyNumberFormat="1">
      <alignment horizontal="center" shrinkToFit="0" vertical="center" wrapText="1"/>
    </xf>
    <xf borderId="89" fillId="29" fontId="66" numFmtId="16" xfId="0" applyAlignment="1" applyBorder="1" applyFont="1" applyNumberFormat="1">
      <alignment horizontal="center" shrinkToFit="0" vertical="center" wrapText="1"/>
    </xf>
    <xf borderId="6" fillId="11" fontId="69" numFmtId="0" xfId="0" applyAlignment="1" applyBorder="1" applyFont="1">
      <alignment horizontal="center" shrinkToFit="0" vertical="center" wrapText="1"/>
    </xf>
    <xf borderId="17" fillId="29" fontId="66" numFmtId="16" xfId="0" applyAlignment="1" applyBorder="1" applyFont="1" applyNumberFormat="1">
      <alignment horizontal="center" shrinkToFit="0" vertical="center" wrapText="1"/>
    </xf>
    <xf borderId="114" fillId="29" fontId="66" numFmtId="16" xfId="0" applyAlignment="1" applyBorder="1" applyFont="1" applyNumberFormat="1">
      <alignment horizontal="center" shrinkToFit="0" vertical="center" wrapText="1"/>
    </xf>
    <xf borderId="56" fillId="29" fontId="66" numFmtId="16" xfId="0" applyAlignment="1" applyBorder="1" applyFont="1" applyNumberFormat="1">
      <alignment horizontal="center" shrinkToFit="0" vertical="center" wrapText="1"/>
    </xf>
    <xf borderId="55" fillId="29" fontId="66" numFmtId="16" xfId="0" applyAlignment="1" applyBorder="1" applyFont="1" applyNumberFormat="1">
      <alignment horizontal="center" shrinkToFit="0" vertical="center" wrapText="1"/>
    </xf>
    <xf borderId="4" fillId="11" fontId="69" numFmtId="0" xfId="0" applyAlignment="1" applyBorder="1" applyFont="1">
      <alignment horizontal="center" shrinkToFit="0" vertical="center" wrapText="1"/>
    </xf>
    <xf borderId="6" fillId="30" fontId="70" numFmtId="0" xfId="0" applyAlignment="1" applyBorder="1" applyFill="1" applyFont="1">
      <alignment horizontal="center" shrinkToFit="0" vertical="center" wrapText="1"/>
    </xf>
    <xf borderId="6" fillId="24" fontId="66" numFmtId="0" xfId="0" applyAlignment="1" applyBorder="1" applyFont="1">
      <alignment horizontal="center" shrinkToFit="0" vertical="center" wrapText="1"/>
    </xf>
    <xf borderId="17" fillId="29" fontId="71" numFmtId="0" xfId="0" applyAlignment="1" applyBorder="1" applyFont="1">
      <alignment horizontal="center" shrinkToFit="0" vertical="center" wrapText="1"/>
    </xf>
    <xf borderId="17" fillId="24" fontId="66" numFmtId="0" xfId="0" applyAlignment="1" applyBorder="1" applyFont="1">
      <alignment horizontal="center" shrinkToFit="0" vertical="center" wrapText="1"/>
    </xf>
    <xf borderId="28" fillId="24" fontId="66" numFmtId="0" xfId="0" applyAlignment="1" applyBorder="1" applyFont="1">
      <alignment horizontal="center" shrinkToFit="0" vertical="center" wrapText="1"/>
    </xf>
    <xf borderId="8" fillId="24" fontId="66" numFmtId="0" xfId="0" applyAlignment="1" applyBorder="1" applyFont="1">
      <alignment horizontal="center" shrinkToFit="0" vertical="center" wrapText="1"/>
    </xf>
    <xf borderId="114" fillId="31" fontId="72" numFmtId="0" xfId="0" applyAlignment="1" applyBorder="1" applyFill="1" applyFont="1">
      <alignment horizontal="center" shrinkToFit="0" vertical="center" wrapText="1"/>
    </xf>
    <xf borderId="154" fillId="14" fontId="73" numFmtId="0" xfId="0" applyAlignment="1" applyBorder="1" applyFont="1">
      <alignment horizontal="center" shrinkToFit="0" vertical="center" wrapText="1"/>
    </xf>
    <xf borderId="89" fillId="31" fontId="72" numFmtId="0" xfId="0" applyAlignment="1" applyBorder="1" applyFont="1">
      <alignment horizontal="center" shrinkToFit="0" vertical="center" wrapText="1"/>
    </xf>
    <xf borderId="18" fillId="31" fontId="72" numFmtId="0" xfId="0" applyAlignment="1" applyBorder="1" applyFont="1">
      <alignment horizontal="center" shrinkToFit="0" vertical="center" wrapText="1"/>
    </xf>
    <xf borderId="116" fillId="29" fontId="66" numFmtId="0" xfId="0" applyAlignment="1" applyBorder="1" applyFont="1">
      <alignment horizontal="center" shrinkToFit="0" vertical="center" wrapText="1"/>
    </xf>
    <xf borderId="155" fillId="29" fontId="66" numFmtId="0" xfId="0" applyAlignment="1" applyBorder="1" applyFont="1">
      <alignment horizontal="center" shrinkToFit="0" vertical="center" wrapText="1"/>
    </xf>
    <xf borderId="54" fillId="29" fontId="66" numFmtId="0" xfId="0" applyAlignment="1" applyBorder="1" applyFont="1">
      <alignment horizontal="center" shrinkToFit="0" vertical="center" wrapText="1"/>
    </xf>
    <xf borderId="153" fillId="29" fontId="66" numFmtId="0" xfId="0" applyAlignment="1" applyBorder="1" applyFont="1">
      <alignment horizontal="center" shrinkToFit="0" vertical="center" wrapText="1"/>
    </xf>
    <xf borderId="156" fillId="11" fontId="68" numFmtId="0" xfId="0" applyAlignment="1" applyBorder="1" applyFont="1">
      <alignment horizontal="center" shrinkToFit="0" vertical="center" wrapText="1"/>
    </xf>
    <xf borderId="118" fillId="29" fontId="66" numFmtId="16" xfId="0" applyAlignment="1" applyBorder="1" applyFont="1" applyNumberFormat="1">
      <alignment horizontal="center" shrinkToFit="0" vertical="center" wrapText="1"/>
    </xf>
    <xf borderId="52" fillId="29" fontId="66" numFmtId="16" xfId="0" applyAlignment="1" applyBorder="1" applyFont="1" applyNumberFormat="1">
      <alignment horizontal="center" shrinkToFit="0" vertical="center" wrapText="1"/>
    </xf>
    <xf borderId="156" fillId="11" fontId="69" numFmtId="0" xfId="0" applyAlignment="1" applyBorder="1" applyFont="1">
      <alignment horizontal="center" shrinkToFit="0" vertical="center" wrapText="1"/>
    </xf>
    <xf borderId="156" fillId="30" fontId="70" numFmtId="0" xfId="0" applyAlignment="1" applyBorder="1" applyFont="1">
      <alignment horizontal="center" shrinkToFit="0" vertical="center" wrapText="1"/>
    </xf>
    <xf borderId="156" fillId="24" fontId="66" numFmtId="0" xfId="0" applyAlignment="1" applyBorder="1" applyFont="1">
      <alignment horizontal="center" shrinkToFit="0" vertical="center" wrapText="1"/>
    </xf>
    <xf borderId="117" fillId="29" fontId="71" numFmtId="0" xfId="0" applyAlignment="1" applyBorder="1" applyFont="1">
      <alignment horizontal="center" shrinkToFit="0" vertical="center" wrapText="1"/>
    </xf>
    <xf borderId="116" fillId="24" fontId="66" numFmtId="0" xfId="0" applyAlignment="1" applyBorder="1" applyFont="1">
      <alignment horizontal="center" shrinkToFit="0" vertical="center" wrapText="1"/>
    </xf>
    <xf borderId="54" fillId="24" fontId="66" numFmtId="0" xfId="0" applyAlignment="1" applyBorder="1" applyFont="1">
      <alignment horizontal="center" shrinkToFit="0" vertical="center" wrapText="1"/>
    </xf>
    <xf borderId="155" fillId="24" fontId="66" numFmtId="0" xfId="0" applyAlignment="1" applyBorder="1" applyFont="1">
      <alignment horizontal="center" shrinkToFit="0" vertical="center" wrapText="1"/>
    </xf>
    <xf borderId="118" fillId="29" fontId="66" numFmtId="0" xfId="0" applyAlignment="1" applyBorder="1" applyFont="1">
      <alignment horizontal="center" shrinkToFit="0" vertical="center" wrapText="1"/>
    </xf>
    <xf borderId="156" fillId="29" fontId="66" numFmtId="0" xfId="0" applyAlignment="1" applyBorder="1" applyFont="1">
      <alignment horizontal="center" shrinkToFit="0" vertical="center" wrapText="1"/>
    </xf>
    <xf borderId="75" fillId="31" fontId="15" numFmtId="0" xfId="0" applyAlignment="1" applyBorder="1" applyFont="1">
      <alignment horizontal="left" vertical="bottom"/>
    </xf>
    <xf borderId="75" fillId="31" fontId="15" numFmtId="0" xfId="0" applyAlignment="1" applyBorder="1" applyFont="1">
      <alignment horizontal="center" vertical="bottom"/>
    </xf>
    <xf borderId="95" fillId="31" fontId="15" numFmtId="0" xfId="0" applyAlignment="1" applyBorder="1" applyFont="1">
      <alignment vertical="bottom"/>
    </xf>
    <xf borderId="11" fillId="31" fontId="9" numFmtId="0" xfId="0" applyAlignment="1" applyBorder="1" applyFont="1">
      <alignment horizontal="left" vertical="center"/>
    </xf>
    <xf borderId="74" fillId="31" fontId="15" numFmtId="0" xfId="0" applyAlignment="1" applyBorder="1" applyFont="1">
      <alignment horizontal="center" vertical="center"/>
    </xf>
    <xf borderId="13" fillId="31" fontId="15" numFmtId="0" xfId="0" applyAlignment="1" applyBorder="1" applyFont="1">
      <alignment horizontal="center" vertical="center"/>
    </xf>
    <xf borderId="38" fillId="31" fontId="15" numFmtId="0" xfId="0" applyAlignment="1" applyBorder="1" applyFont="1">
      <alignment horizontal="center" vertical="center"/>
    </xf>
    <xf borderId="39" fillId="31" fontId="15" numFmtId="1" xfId="0" applyAlignment="1" applyBorder="1" applyFont="1" applyNumberFormat="1">
      <alignment vertical="center"/>
    </xf>
    <xf borderId="152" fillId="31" fontId="15" numFmtId="1" xfId="0" applyAlignment="1" applyBorder="1" applyFont="1" applyNumberFormat="1">
      <alignment vertical="center"/>
    </xf>
    <xf borderId="39" fillId="8" fontId="15" numFmtId="1" xfId="0" applyAlignment="1" applyBorder="1" applyFont="1" applyNumberFormat="1">
      <alignment horizontal="center" vertical="bottom"/>
    </xf>
    <xf borderId="152" fillId="8" fontId="15" numFmtId="1" xfId="0" applyAlignment="1" applyBorder="1" applyFont="1" applyNumberFormat="1">
      <alignment horizontal="center" vertical="bottom"/>
    </xf>
    <xf borderId="12" fillId="11" fontId="74" numFmtId="1" xfId="0" applyAlignment="1" applyBorder="1" applyFont="1" applyNumberFormat="1">
      <alignment horizontal="center" vertical="bottom"/>
    </xf>
    <xf borderId="61" fillId="8" fontId="75" numFmtId="1" xfId="0" applyAlignment="1" applyBorder="1" applyFont="1" applyNumberFormat="1">
      <alignment horizontal="center" vertical="bottom"/>
    </xf>
    <xf borderId="104" fillId="8" fontId="75" numFmtId="1" xfId="0" applyAlignment="1" applyBorder="1" applyFont="1" applyNumberFormat="1">
      <alignment horizontal="center" vertical="bottom"/>
    </xf>
    <xf borderId="39" fillId="8" fontId="75" numFmtId="1" xfId="0" applyAlignment="1" applyBorder="1" applyFont="1" applyNumberFormat="1">
      <alignment horizontal="center" vertical="bottom"/>
    </xf>
    <xf borderId="152" fillId="8" fontId="75" numFmtId="1" xfId="0" applyAlignment="1" applyBorder="1" applyFont="1" applyNumberFormat="1">
      <alignment horizontal="center" vertical="bottom"/>
    </xf>
    <xf borderId="12" fillId="30" fontId="76" numFmtId="1" xfId="0" applyAlignment="1" applyBorder="1" applyFont="1" applyNumberFormat="1">
      <alignment horizontal="center" vertical="bottom"/>
    </xf>
    <xf borderId="13" fillId="8" fontId="75" numFmtId="1" xfId="0" applyAlignment="1" applyBorder="1" applyFont="1" applyNumberFormat="1">
      <alignment horizontal="center" vertical="bottom"/>
    </xf>
    <xf borderId="12" fillId="8" fontId="9" numFmtId="1" xfId="0" applyAlignment="1" applyBorder="1" applyFont="1" applyNumberFormat="1">
      <alignment vertical="bottom"/>
    </xf>
    <xf borderId="39" fillId="8" fontId="9" numFmtId="0" xfId="0" applyAlignment="1" applyBorder="1" applyFont="1">
      <alignment vertical="bottom"/>
    </xf>
    <xf borderId="13" fillId="8" fontId="9" numFmtId="1" xfId="0" applyAlignment="1" applyBorder="1" applyFont="1" applyNumberFormat="1">
      <alignment horizontal="center" vertical="bottom"/>
    </xf>
    <xf borderId="75" fillId="8" fontId="9" numFmtId="1" xfId="0" applyAlignment="1" applyBorder="1" applyFont="1" applyNumberFormat="1">
      <alignment vertical="bottom"/>
    </xf>
    <xf borderId="157" fillId="8" fontId="77" numFmtId="1" xfId="0" applyAlignment="1" applyBorder="1" applyFont="1" applyNumberFormat="1">
      <alignment horizontal="center" vertical="bottom"/>
    </xf>
    <xf borderId="13" fillId="8" fontId="77" numFmtId="1" xfId="0" applyAlignment="1" applyBorder="1" applyFont="1" applyNumberFormat="1">
      <alignment horizontal="center" readingOrder="0" vertical="bottom"/>
    </xf>
    <xf borderId="76" fillId="8" fontId="78" numFmtId="1" xfId="0" applyAlignment="1" applyBorder="1" applyFont="1" applyNumberFormat="1">
      <alignment vertical="bottom"/>
    </xf>
    <xf borderId="39" fillId="8" fontId="78" numFmtId="1" xfId="0" applyAlignment="1" applyBorder="1" applyFont="1" applyNumberFormat="1">
      <alignment vertical="bottom"/>
    </xf>
    <xf borderId="13" fillId="8" fontId="78" numFmtId="1" xfId="0" applyAlignment="1" applyBorder="1" applyFont="1" applyNumberFormat="1">
      <alignment vertical="bottom"/>
    </xf>
    <xf borderId="39" fillId="8" fontId="9" numFmtId="1" xfId="0" applyAlignment="1" applyBorder="1" applyFont="1" applyNumberFormat="1">
      <alignment horizontal="center" vertical="bottom"/>
    </xf>
    <xf borderId="12" fillId="8" fontId="28" numFmtId="0" xfId="0" applyAlignment="1" applyBorder="1" applyFont="1">
      <alignment vertical="bottom"/>
    </xf>
    <xf borderId="12" fillId="31" fontId="15" numFmtId="0" xfId="0" applyAlignment="1" applyBorder="1" applyFont="1">
      <alignment horizontal="left" vertical="bottom"/>
    </xf>
    <xf borderId="104" fillId="31" fontId="15" numFmtId="0" xfId="0" applyAlignment="1" applyBorder="1" applyFont="1">
      <alignment vertical="bottom"/>
    </xf>
    <xf borderId="13" fillId="31" fontId="9" numFmtId="0" xfId="0" applyAlignment="1" applyBorder="1" applyFont="1">
      <alignment horizontal="left" vertical="center"/>
    </xf>
    <xf borderId="104" fillId="8" fontId="15" numFmtId="0" xfId="0" applyAlignment="1" applyBorder="1" applyFont="1">
      <alignment vertical="bottom"/>
    </xf>
    <xf borderId="122" fillId="8" fontId="77" numFmtId="1" xfId="0" applyAlignment="1" applyBorder="1" applyFont="1" applyNumberFormat="1">
      <alignment horizontal="center" vertical="bottom"/>
    </xf>
    <xf borderId="12" fillId="32" fontId="15" numFmtId="0" xfId="0" applyAlignment="1" applyBorder="1" applyFill="1" applyFont="1">
      <alignment horizontal="left" vertical="bottom"/>
    </xf>
    <xf borderId="75" fillId="32" fontId="15" numFmtId="0" xfId="0" applyAlignment="1" applyBorder="1" applyFont="1">
      <alignment horizontal="center" vertical="bottom"/>
    </xf>
    <xf borderId="61" fillId="8" fontId="43" numFmtId="0" xfId="0" applyAlignment="1" applyBorder="1" applyFont="1">
      <alignment vertical="bottom"/>
    </xf>
    <xf borderId="39" fillId="32" fontId="9" numFmtId="0" xfId="0" applyAlignment="1" applyBorder="1" applyFont="1">
      <alignment horizontal="left" vertical="center"/>
    </xf>
    <xf borderId="38" fillId="32" fontId="15" numFmtId="0" xfId="0" applyAlignment="1" applyBorder="1" applyFont="1">
      <alignment horizontal="center" vertical="center"/>
    </xf>
    <xf borderId="13" fillId="32" fontId="15" numFmtId="0" xfId="0" applyAlignment="1" applyBorder="1" applyFont="1">
      <alignment horizontal="center" vertical="center"/>
    </xf>
    <xf borderId="39" fillId="32" fontId="15" numFmtId="1" xfId="0" applyAlignment="1" applyBorder="1" applyFont="1" applyNumberFormat="1">
      <alignment vertical="center"/>
    </xf>
    <xf borderId="152" fillId="32" fontId="15" numFmtId="1" xfId="0" applyAlignment="1" applyBorder="1" applyFont="1" applyNumberFormat="1">
      <alignment vertical="center"/>
    </xf>
    <xf borderId="39" fillId="32" fontId="15" numFmtId="1" xfId="0" applyAlignment="1" applyBorder="1" applyFont="1" applyNumberFormat="1">
      <alignment horizontal="center" vertical="bottom"/>
    </xf>
    <xf borderId="152" fillId="32" fontId="15" numFmtId="1" xfId="0" applyAlignment="1" applyBorder="1" applyFont="1" applyNumberFormat="1">
      <alignment horizontal="center" vertical="bottom"/>
    </xf>
    <xf borderId="12" fillId="32" fontId="74" numFmtId="1" xfId="0" applyAlignment="1" applyBorder="1" applyFont="1" applyNumberFormat="1">
      <alignment horizontal="center" vertical="bottom"/>
    </xf>
    <xf borderId="104" fillId="32" fontId="75" numFmtId="1" xfId="0" applyAlignment="1" applyBorder="1" applyFont="1" applyNumberFormat="1">
      <alignment horizontal="center" vertical="bottom"/>
    </xf>
    <xf borderId="61" fillId="32" fontId="75" numFmtId="1" xfId="0" applyAlignment="1" applyBorder="1" applyFont="1" applyNumberFormat="1">
      <alignment horizontal="center" vertical="bottom"/>
    </xf>
    <xf borderId="39" fillId="32" fontId="75" numFmtId="1" xfId="0" applyAlignment="1" applyBorder="1" applyFont="1" applyNumberFormat="1">
      <alignment horizontal="center" vertical="bottom"/>
    </xf>
    <xf borderId="152" fillId="32" fontId="75" numFmtId="1" xfId="0" applyAlignment="1" applyBorder="1" applyFont="1" applyNumberFormat="1">
      <alignment horizontal="center" vertical="bottom"/>
    </xf>
    <xf borderId="12" fillId="32" fontId="76" numFmtId="1" xfId="0" applyAlignment="1" applyBorder="1" applyFont="1" applyNumberFormat="1">
      <alignment horizontal="center" vertical="bottom"/>
    </xf>
    <xf borderId="13" fillId="32" fontId="75" numFmtId="1" xfId="0" applyAlignment="1" applyBorder="1" applyFont="1" applyNumberFormat="1">
      <alignment horizontal="center" vertical="bottom"/>
    </xf>
    <xf borderId="12" fillId="32" fontId="9" numFmtId="1" xfId="0" applyAlignment="1" applyBorder="1" applyFont="1" applyNumberFormat="1">
      <alignment vertical="bottom"/>
    </xf>
    <xf borderId="39" fillId="32" fontId="9" numFmtId="0" xfId="0" applyAlignment="1" applyBorder="1" applyFont="1">
      <alignment vertical="bottom"/>
    </xf>
    <xf borderId="13" fillId="32" fontId="9" numFmtId="1" xfId="0" applyAlignment="1" applyBorder="1" applyFont="1" applyNumberFormat="1">
      <alignment horizontal="center" vertical="bottom"/>
    </xf>
    <xf borderId="157" fillId="32" fontId="77" numFmtId="1" xfId="0" applyAlignment="1" applyBorder="1" applyFont="1" applyNumberFormat="1">
      <alignment horizontal="center" vertical="bottom"/>
    </xf>
    <xf borderId="13" fillId="32" fontId="77" numFmtId="1" xfId="0" applyAlignment="1" applyBorder="1" applyFont="1" applyNumberFormat="1">
      <alignment horizontal="center" readingOrder="0" vertical="bottom"/>
    </xf>
    <xf borderId="76" fillId="32" fontId="78" numFmtId="1" xfId="0" applyAlignment="1" applyBorder="1" applyFont="1" applyNumberFormat="1">
      <alignment vertical="bottom"/>
    </xf>
    <xf borderId="39" fillId="32" fontId="78" numFmtId="1" xfId="0" applyAlignment="1" applyBorder="1" applyFont="1" applyNumberFormat="1">
      <alignment vertical="bottom"/>
    </xf>
    <xf borderId="11" fillId="32" fontId="78" numFmtId="1" xfId="0" applyAlignment="1" applyBorder="1" applyFont="1" applyNumberFormat="1">
      <alignment vertical="bottom"/>
    </xf>
    <xf borderId="12" fillId="32" fontId="28" numFmtId="0" xfId="0" applyAlignment="1" applyBorder="1" applyFont="1">
      <alignment vertical="bottom"/>
    </xf>
    <xf borderId="11" fillId="8" fontId="78" numFmtId="1" xfId="0" applyAlignment="1" applyBorder="1" applyFont="1" applyNumberFormat="1">
      <alignment vertical="bottom"/>
    </xf>
    <xf borderId="39" fillId="31" fontId="15" numFmtId="1" xfId="0" applyAlignment="1" applyBorder="1" applyFont="1" applyNumberFormat="1">
      <alignment vertical="bottom"/>
    </xf>
    <xf borderId="13" fillId="8" fontId="77" numFmtId="1" xfId="0" applyAlignment="1" applyBorder="1" applyFont="1" applyNumberFormat="1">
      <alignment horizontal="center" vertical="bottom"/>
    </xf>
    <xf borderId="158" fillId="31" fontId="15" numFmtId="0" xfId="0" applyAlignment="1" applyBorder="1" applyFont="1">
      <alignment horizontal="left" vertical="bottom"/>
    </xf>
    <xf borderId="158" fillId="31" fontId="15" numFmtId="0" xfId="0" applyAlignment="1" applyBorder="1" applyFont="1">
      <alignment horizontal="center" vertical="bottom"/>
    </xf>
    <xf borderId="159" fillId="31" fontId="15" numFmtId="0" xfId="0" applyAlignment="1" applyBorder="1" applyFont="1">
      <alignment vertical="bottom"/>
    </xf>
    <xf borderId="87" fillId="31" fontId="9" numFmtId="0" xfId="0" applyAlignment="1" applyBorder="1" applyFont="1">
      <alignment horizontal="left" vertical="center"/>
    </xf>
    <xf borderId="160" fillId="31" fontId="15" numFmtId="0" xfId="0" applyAlignment="1" applyBorder="1" applyFont="1">
      <alignment horizontal="center" vertical="center"/>
    </xf>
    <xf borderId="76" fillId="8" fontId="15" numFmtId="1" xfId="0" applyAlignment="1" applyBorder="1" applyFont="1" applyNumberFormat="1">
      <alignment horizontal="center" vertical="bottom"/>
    </xf>
    <xf borderId="161" fillId="8" fontId="15" numFmtId="1" xfId="0" applyAlignment="1" applyBorder="1" applyFont="1" applyNumberFormat="1">
      <alignment horizontal="center" vertical="bottom"/>
    </xf>
    <xf borderId="88" fillId="8" fontId="75" numFmtId="1" xfId="0" applyAlignment="1" applyBorder="1" applyFont="1" applyNumberFormat="1">
      <alignment horizontal="center" vertical="bottom"/>
    </xf>
    <xf borderId="159" fillId="8" fontId="75" numFmtId="1" xfId="0" applyAlignment="1" applyBorder="1" applyFont="1" applyNumberFormat="1">
      <alignment horizontal="center" vertical="bottom"/>
    </xf>
    <xf borderId="12" fillId="8" fontId="75" numFmtId="1" xfId="0" applyAlignment="1" applyBorder="1" applyFont="1" applyNumberFormat="1">
      <alignment horizontal="center" vertical="bottom"/>
    </xf>
    <xf borderId="161" fillId="8" fontId="75" numFmtId="1" xfId="0" applyAlignment="1" applyBorder="1" applyFont="1" applyNumberFormat="1">
      <alignment horizontal="center" vertical="bottom"/>
    </xf>
    <xf borderId="12" fillId="30" fontId="79" numFmtId="1" xfId="0" applyAlignment="1" applyBorder="1" applyFont="1" applyNumberFormat="1">
      <alignment horizontal="center" vertical="bottom"/>
    </xf>
    <xf borderId="76" fillId="8" fontId="75" numFmtId="1" xfId="0" applyAlignment="1" applyBorder="1" applyFont="1" applyNumberFormat="1">
      <alignment horizontal="center" vertical="bottom"/>
    </xf>
    <xf borderId="87" fillId="8" fontId="75" numFmtId="1" xfId="0" applyAlignment="1" applyBorder="1" applyFont="1" applyNumberFormat="1">
      <alignment horizontal="center" vertical="bottom"/>
    </xf>
    <xf borderId="76" fillId="8" fontId="9" numFmtId="0" xfId="0" applyAlignment="1" applyBorder="1" applyFont="1">
      <alignment vertical="bottom"/>
    </xf>
    <xf borderId="87" fillId="8" fontId="9" numFmtId="1" xfId="0" applyAlignment="1" applyBorder="1" applyFont="1" applyNumberFormat="1">
      <alignment horizontal="center" vertical="bottom"/>
    </xf>
    <xf borderId="38" fillId="8" fontId="77" numFmtId="1" xfId="0" applyAlignment="1" applyBorder="1" applyFont="1" applyNumberFormat="1">
      <alignment horizontal="center" vertical="bottom"/>
    </xf>
    <xf borderId="158" fillId="8" fontId="28" numFmtId="0" xfId="0" applyAlignment="1" applyBorder="1" applyFont="1">
      <alignment vertical="bottom"/>
    </xf>
    <xf borderId="51" fillId="22" fontId="15" numFmtId="0" xfId="0" applyAlignment="1" applyBorder="1" applyFont="1">
      <alignment horizontal="left" vertical="bottom"/>
    </xf>
    <xf borderId="51" fillId="22" fontId="15" numFmtId="0" xfId="0" applyAlignment="1" applyBorder="1" applyFont="1">
      <alignment horizontal="center" vertical="bottom"/>
    </xf>
    <xf borderId="51" fillId="22" fontId="15" numFmtId="0" xfId="0" applyAlignment="1" applyBorder="1" applyFont="1">
      <alignment vertical="bottom"/>
    </xf>
    <xf borderId="51" fillId="22" fontId="9" numFmtId="0" xfId="0" applyAlignment="1" applyBorder="1" applyFont="1">
      <alignment horizontal="left" vertical="center"/>
    </xf>
    <xf borderId="160" fillId="22" fontId="15" numFmtId="0" xfId="0" applyAlignment="1" applyBorder="1" applyFont="1">
      <alignment horizontal="center" vertical="center"/>
    </xf>
    <xf borderId="13" fillId="22" fontId="15" numFmtId="0" xfId="0" applyAlignment="1" applyBorder="1" applyFont="1">
      <alignment horizontal="center" vertical="center"/>
    </xf>
    <xf borderId="39" fillId="22" fontId="15" numFmtId="1" xfId="0" applyAlignment="1" applyBorder="1" applyFont="1" applyNumberFormat="1">
      <alignment vertical="bottom"/>
    </xf>
    <xf borderId="152" fillId="22" fontId="15" numFmtId="1" xfId="0" applyAlignment="1" applyBorder="1" applyFont="1" applyNumberFormat="1">
      <alignment vertical="center"/>
    </xf>
    <xf borderId="158" fillId="11" fontId="74" numFmtId="1" xfId="0" applyAlignment="1" applyBorder="1" applyFont="1" applyNumberFormat="1">
      <alignment horizontal="center" vertical="bottom"/>
    </xf>
    <xf borderId="158" fillId="30" fontId="79" numFmtId="1" xfId="0" applyAlignment="1" applyBorder="1" applyFont="1" applyNumberFormat="1">
      <alignment horizontal="center" vertical="bottom"/>
    </xf>
    <xf borderId="158" fillId="8" fontId="9" numFmtId="1" xfId="0" applyAlignment="1" applyBorder="1" applyFont="1" applyNumberFormat="1">
      <alignment vertical="bottom"/>
    </xf>
    <xf borderId="39" fillId="8" fontId="77" numFmtId="1" xfId="0" applyAlignment="1" applyBorder="1" applyFont="1" applyNumberFormat="1">
      <alignment horizontal="center" vertical="bottom"/>
    </xf>
    <xf borderId="114" fillId="22" fontId="18" numFmtId="0" xfId="0" applyAlignment="1" applyBorder="1" applyFont="1">
      <alignment horizontal="center" vertical="center"/>
    </xf>
    <xf borderId="89" fillId="22" fontId="18" numFmtId="0" xfId="0" applyAlignment="1" applyBorder="1" applyFont="1">
      <alignment horizontal="center" vertical="center"/>
    </xf>
    <xf borderId="89" fillId="22" fontId="18" numFmtId="0" xfId="0" applyAlignment="1" applyBorder="1" applyFont="1">
      <alignment vertical="bottom"/>
    </xf>
    <xf borderId="18" fillId="22" fontId="18" numFmtId="0" xfId="0" applyAlignment="1" applyBorder="1" applyFont="1">
      <alignment horizontal="center" vertical="center"/>
    </xf>
    <xf borderId="160" fillId="8" fontId="15" numFmtId="0" xfId="0" applyAlignment="1" applyBorder="1" applyFont="1">
      <alignment horizontal="center" vertical="center"/>
    </xf>
    <xf borderId="87" fillId="8" fontId="15" numFmtId="0" xfId="0" applyAlignment="1" applyBorder="1" applyFont="1">
      <alignment horizontal="center" vertical="center"/>
    </xf>
    <xf borderId="76" fillId="8" fontId="15" numFmtId="1" xfId="0" applyAlignment="1" applyBorder="1" applyFont="1" applyNumberFormat="1">
      <alignment vertical="bottom"/>
    </xf>
    <xf borderId="161" fillId="8" fontId="15" numFmtId="1" xfId="0" applyAlignment="1" applyBorder="1" applyFont="1" applyNumberFormat="1">
      <alignment vertical="center"/>
    </xf>
    <xf borderId="117" fillId="8" fontId="77" numFmtId="1" xfId="0" applyAlignment="1" applyBorder="1" applyFont="1" applyNumberFormat="1">
      <alignment horizontal="center" vertical="bottom"/>
    </xf>
    <xf borderId="87" fillId="8" fontId="78" numFmtId="1" xfId="0" applyAlignment="1" applyBorder="1" applyFont="1" applyNumberFormat="1">
      <alignment vertical="bottom"/>
    </xf>
    <xf borderId="39" fillId="22" fontId="15" numFmtId="0" xfId="0" applyAlignment="1" applyBorder="1" applyFont="1">
      <alignment horizontal="left" vertical="bottom"/>
    </xf>
    <xf borderId="39" fillId="22" fontId="15" numFmtId="0" xfId="0" applyAlignment="1" applyBorder="1" applyFont="1">
      <alignment horizontal="center" vertical="bottom"/>
    </xf>
    <xf borderId="39" fillId="22" fontId="15" numFmtId="0" xfId="0" applyAlignment="1" applyBorder="1" applyFont="1">
      <alignment vertical="bottom"/>
    </xf>
    <xf borderId="39" fillId="22" fontId="9" numFmtId="0" xfId="0" applyAlignment="1" applyBorder="1" applyFont="1">
      <alignment horizontal="left" vertical="center"/>
    </xf>
    <xf borderId="39" fillId="22" fontId="15" numFmtId="0" xfId="0" applyAlignment="1" applyBorder="1" applyFont="1">
      <alignment horizontal="center" vertical="center"/>
    </xf>
    <xf borderId="39" fillId="8" fontId="15" numFmtId="0" xfId="0" applyAlignment="1" applyBorder="1" applyFont="1">
      <alignment horizontal="center" vertical="bottom"/>
    </xf>
    <xf borderId="39" fillId="8" fontId="15" numFmtId="0" xfId="0" applyAlignment="1" applyBorder="1" applyFont="1">
      <alignment vertical="bottom"/>
    </xf>
    <xf borderId="39" fillId="8" fontId="15" numFmtId="1" xfId="0" applyAlignment="1" applyBorder="1" applyFont="1" applyNumberFormat="1">
      <alignment vertical="bottom"/>
    </xf>
    <xf borderId="152" fillId="8" fontId="15" numFmtId="1" xfId="0" applyAlignment="1" applyBorder="1" applyFont="1" applyNumberFormat="1">
      <alignment vertical="center"/>
    </xf>
    <xf borderId="76" fillId="8" fontId="28" numFmtId="0" xfId="0" applyAlignment="1" applyBorder="1" applyFont="1">
      <alignment vertical="bottom"/>
    </xf>
    <xf borderId="152" fillId="22" fontId="9" numFmtId="0" xfId="0" applyAlignment="1" applyBorder="1" applyFont="1">
      <alignment horizontal="left" vertical="center"/>
    </xf>
    <xf borderId="152" fillId="8" fontId="9" numFmtId="1" xfId="0" applyAlignment="1" applyBorder="1" applyFont="1" applyNumberFormat="1">
      <alignment horizontal="center" vertical="bottom"/>
    </xf>
    <xf borderId="39" fillId="8" fontId="15" numFmtId="0" xfId="0" applyAlignment="1" applyBorder="1" applyFont="1">
      <alignment horizontal="left" vertical="bottom"/>
    </xf>
    <xf borderId="104" fillId="22" fontId="15" numFmtId="0" xfId="0" applyAlignment="1" applyBorder="1" applyFont="1">
      <alignment vertical="bottom"/>
    </xf>
    <xf borderId="13" fillId="8" fontId="9" numFmtId="0" xfId="0" applyAlignment="1" applyBorder="1" applyFont="1">
      <alignment horizontal="left" vertical="center"/>
    </xf>
    <xf borderId="39" fillId="8" fontId="15" numFmtId="0" xfId="0" applyAlignment="1" applyBorder="1" applyFont="1">
      <alignment horizontal="center" vertical="center"/>
    </xf>
    <xf borderId="39" fillId="8" fontId="15" numFmtId="1" xfId="0" applyAlignment="1" applyBorder="1" applyFont="1" applyNumberFormat="1">
      <alignment vertical="center"/>
    </xf>
    <xf borderId="39" fillId="11" fontId="74" numFmtId="1" xfId="0" applyAlignment="1" applyBorder="1" applyFont="1" applyNumberFormat="1">
      <alignment horizontal="center" vertical="bottom"/>
    </xf>
    <xf borderId="39" fillId="30" fontId="76" numFmtId="1" xfId="0" applyAlignment="1" applyBorder="1" applyFont="1" applyNumberFormat="1">
      <alignment horizontal="center" vertical="bottom"/>
    </xf>
    <xf borderId="39" fillId="8" fontId="9" numFmtId="1" xfId="0" applyAlignment="1" applyBorder="1" applyFont="1" applyNumberFormat="1">
      <alignment vertical="bottom"/>
    </xf>
    <xf borderId="75" fillId="8" fontId="28" numFmtId="0" xfId="0" applyAlignment="1" applyBorder="1" applyFont="1">
      <alignment vertical="bottom"/>
    </xf>
    <xf borderId="27" fillId="0" fontId="80" numFmtId="174" xfId="0" applyAlignment="1" applyBorder="1" applyFont="1" applyNumberFormat="1">
      <alignment horizontal="left" vertical="bottom"/>
    </xf>
    <xf borderId="84" fillId="0" fontId="15" numFmtId="165" xfId="0" applyAlignment="1" applyBorder="1" applyFont="1" applyNumberFormat="1">
      <alignment horizontal="center" vertical="bottom"/>
    </xf>
    <xf borderId="115" fillId="0" fontId="80" numFmtId="165" xfId="0" applyAlignment="1" applyBorder="1" applyFont="1" applyNumberFormat="1">
      <alignment vertical="bottom"/>
    </xf>
    <xf borderId="45" fillId="0" fontId="9" numFmtId="165" xfId="0" applyAlignment="1" applyBorder="1" applyFont="1" applyNumberFormat="1">
      <alignment horizontal="center" vertical="bottom"/>
    </xf>
    <xf borderId="27" fillId="0" fontId="80" numFmtId="165" xfId="0" applyAlignment="1" applyBorder="1" applyFont="1" applyNumberFormat="1">
      <alignment horizontal="center" vertical="center"/>
    </xf>
    <xf borderId="45" fillId="0" fontId="80" numFmtId="165" xfId="0" applyAlignment="1" applyBorder="1" applyFont="1" applyNumberFormat="1">
      <alignment horizontal="center" vertical="center"/>
    </xf>
    <xf borderId="27" fillId="0" fontId="15" numFmtId="165" xfId="0" applyAlignment="1" applyBorder="1" applyFont="1" applyNumberFormat="1">
      <alignment horizontal="center" vertical="bottom"/>
    </xf>
    <xf borderId="141" fillId="0" fontId="15" numFmtId="165" xfId="0" applyAlignment="1" applyBorder="1" applyFont="1" applyNumberFormat="1">
      <alignment horizontal="center" vertical="bottom"/>
    </xf>
    <xf borderId="45" fillId="0" fontId="15" numFmtId="165" xfId="0" applyAlignment="1" applyBorder="1" applyFont="1" applyNumberFormat="1">
      <alignment horizontal="center" vertical="bottom"/>
    </xf>
    <xf borderId="139" fillId="0" fontId="15" numFmtId="165" xfId="0" applyAlignment="1" applyBorder="1" applyFont="1" applyNumberFormat="1">
      <alignment horizontal="center" vertical="bottom"/>
    </xf>
    <xf borderId="115" fillId="0" fontId="15" numFmtId="165" xfId="0" applyAlignment="1" applyBorder="1" applyFont="1" applyNumberFormat="1">
      <alignment horizontal="center" vertical="bottom"/>
    </xf>
    <xf borderId="81" fillId="11" fontId="74" numFmtId="165" xfId="0" applyAlignment="1" applyBorder="1" applyFont="1" applyNumberFormat="1">
      <alignment horizontal="center" vertical="bottom"/>
    </xf>
    <xf borderId="125" fillId="0" fontId="15" numFmtId="165" xfId="0" applyAlignment="1" applyBorder="1" applyFont="1" applyNumberFormat="1">
      <alignment horizontal="center" vertical="bottom"/>
    </xf>
    <xf borderId="81" fillId="11" fontId="81" numFmtId="165" xfId="0" applyAlignment="1" applyBorder="1" applyFont="1" applyNumberFormat="1">
      <alignment horizontal="center" vertical="bottom"/>
    </xf>
    <xf borderId="81" fillId="30" fontId="82" numFmtId="165" xfId="0" applyAlignment="1" applyBorder="1" applyFont="1" applyNumberFormat="1">
      <alignment horizontal="center" vertical="bottom"/>
    </xf>
    <xf borderId="148" fillId="0" fontId="15" numFmtId="165" xfId="0" applyAlignment="1" applyBorder="1" applyFont="1" applyNumberFormat="1">
      <alignment horizontal="center" vertical="bottom"/>
    </xf>
    <xf borderId="6" fillId="0" fontId="15" numFmtId="165" xfId="0" applyAlignment="1" applyBorder="1" applyFont="1" applyNumberFormat="1">
      <alignment horizontal="center" vertical="bottom"/>
    </xf>
    <xf borderId="44" fillId="0" fontId="15" numFmtId="165" xfId="0" applyAlignment="1" applyBorder="1" applyFont="1" applyNumberFormat="1">
      <alignment horizontal="center" vertical="bottom"/>
    </xf>
    <xf borderId="0" fillId="0" fontId="28" numFmtId="0" xfId="0" applyAlignment="1" applyFont="1">
      <alignment horizontal="center" vertical="center"/>
    </xf>
    <xf borderId="52" fillId="4" fontId="28" numFmtId="0" xfId="0" applyAlignment="1" applyBorder="1" applyFont="1">
      <alignment vertical="bottom"/>
    </xf>
    <xf borderId="52" fillId="11" fontId="53" numFmtId="0" xfId="0" applyAlignment="1" applyBorder="1" applyFont="1">
      <alignment vertical="bottom"/>
    </xf>
    <xf borderId="0" fillId="0" fontId="28" numFmtId="165" xfId="0" applyAlignment="1" applyFont="1" applyNumberFormat="1">
      <alignment vertical="bottom"/>
    </xf>
    <xf borderId="0" fillId="0" fontId="28" numFmtId="0" xfId="0" applyAlignment="1" applyFont="1">
      <alignment horizontal="center" vertical="bottom"/>
    </xf>
    <xf borderId="60" fillId="0" fontId="83" numFmtId="0" xfId="0" applyAlignment="1" applyBorder="1" applyFont="1">
      <alignment horizontal="center" vertical="bottom"/>
    </xf>
    <xf borderId="60" fillId="0" fontId="28" numFmtId="0" xfId="0" applyAlignment="1" applyBorder="1" applyFont="1">
      <alignment horizontal="center" vertical="bottom"/>
    </xf>
    <xf borderId="60" fillId="0" fontId="83" numFmtId="0" xfId="0" applyAlignment="1" applyBorder="1" applyFont="1">
      <alignment vertical="bottom"/>
    </xf>
    <xf borderId="39" fillId="0" fontId="83" numFmtId="0" xfId="0" applyAlignment="1" applyBorder="1" applyFont="1">
      <alignment vertical="bottom"/>
    </xf>
    <xf borderId="60" fillId="0" fontId="28" numFmtId="0" xfId="0" applyAlignment="1" applyBorder="1" applyFont="1">
      <alignment vertical="bottom"/>
    </xf>
    <xf borderId="138" fillId="0" fontId="28" numFmtId="0" xfId="0" applyAlignment="1" applyBorder="1" applyFont="1">
      <alignment vertical="center"/>
    </xf>
    <xf borderId="1" fillId="0" fontId="28" numFmtId="16" xfId="0" applyAlignment="1" applyBorder="1" applyFont="1" applyNumberFormat="1">
      <alignment horizontal="center" vertical="center"/>
    </xf>
    <xf borderId="2" fillId="0" fontId="28" numFmtId="16" xfId="0" applyAlignment="1" applyBorder="1" applyFont="1" applyNumberFormat="1">
      <alignment horizontal="center" vertical="center"/>
    </xf>
    <xf borderId="80" fillId="0" fontId="28" numFmtId="0" xfId="0" applyAlignment="1" applyBorder="1" applyFont="1">
      <alignment vertical="center"/>
    </xf>
    <xf borderId="19" fillId="0" fontId="28" numFmtId="0" xfId="0" applyAlignment="1" applyBorder="1" applyFont="1">
      <alignment vertical="center"/>
    </xf>
    <xf borderId="20" fillId="0" fontId="28" numFmtId="0" xfId="0" applyAlignment="1" applyBorder="1" applyFont="1">
      <alignment horizontal="center" vertical="center"/>
    </xf>
    <xf borderId="137" fillId="0" fontId="28" numFmtId="0" xfId="0" applyAlignment="1" applyBorder="1" applyFont="1">
      <alignment horizontal="center" vertical="center"/>
    </xf>
    <xf borderId="162" fillId="0" fontId="28" numFmtId="0" xfId="0" applyAlignment="1" applyBorder="1" applyFont="1">
      <alignment horizontal="center" vertical="center"/>
    </xf>
    <xf borderId="136" fillId="0" fontId="28" numFmtId="0" xfId="0" applyAlignment="1" applyBorder="1" applyFont="1">
      <alignment horizontal="center" vertical="center"/>
    </xf>
    <xf borderId="14" fillId="0" fontId="28" numFmtId="0" xfId="0" applyAlignment="1" applyBorder="1" applyFont="1">
      <alignment horizontal="center" vertical="center"/>
    </xf>
    <xf borderId="17" fillId="0" fontId="28" numFmtId="0" xfId="0" applyAlignment="1" applyBorder="1" applyFont="1">
      <alignment vertical="center"/>
    </xf>
    <xf borderId="28" fillId="0" fontId="28" numFmtId="0" xfId="0" applyAlignment="1" applyBorder="1" applyFont="1">
      <alignment vertical="center"/>
    </xf>
    <xf borderId="147" fillId="0" fontId="28" numFmtId="0" xfId="0" applyAlignment="1" applyBorder="1" applyFont="1">
      <alignment vertical="center"/>
    </xf>
    <xf borderId="8" fillId="0" fontId="28" numFmtId="0" xfId="0" applyAlignment="1" applyBorder="1" applyFont="1">
      <alignment vertical="center"/>
    </xf>
    <xf borderId="6" fillId="0" fontId="28" numFmtId="0" xfId="0" applyAlignment="1" applyBorder="1" applyFont="1">
      <alignment vertical="center"/>
    </xf>
    <xf borderId="143" fillId="0" fontId="28" numFmtId="0" xfId="0" applyAlignment="1" applyBorder="1" applyFont="1">
      <alignment horizontal="center" shrinkToFit="0" vertical="center" wrapText="1"/>
    </xf>
    <xf borderId="74" fillId="4" fontId="28" numFmtId="0" xfId="0" applyAlignment="1" applyBorder="1" applyFont="1">
      <alignment vertical="center"/>
    </xf>
    <xf borderId="51" fillId="4" fontId="28" numFmtId="0" xfId="0" applyAlignment="1" applyBorder="1" applyFont="1">
      <alignment vertical="center"/>
    </xf>
    <xf borderId="35" fillId="0" fontId="28" numFmtId="0" xfId="0" applyAlignment="1" applyBorder="1" applyFont="1">
      <alignment vertical="center"/>
    </xf>
    <xf borderId="94" fillId="4" fontId="28" numFmtId="0" xfId="0" applyAlignment="1" applyBorder="1" applyFont="1">
      <alignment vertical="center"/>
    </xf>
    <xf borderId="36" fillId="0" fontId="28" numFmtId="0" xfId="0" applyAlignment="1" applyBorder="1" applyFont="1">
      <alignment vertical="center"/>
    </xf>
    <xf borderId="34" fillId="0" fontId="28" numFmtId="0" xfId="0" applyAlignment="1" applyBorder="1" applyFont="1">
      <alignment vertical="center"/>
    </xf>
    <xf borderId="39" fillId="4" fontId="28" numFmtId="0" xfId="0" applyAlignment="1" applyBorder="1" applyFont="1">
      <alignment vertical="center"/>
    </xf>
    <xf borderId="68" fillId="0" fontId="28" numFmtId="0" xfId="0" applyAlignment="1" applyBorder="1" applyFont="1">
      <alignment vertical="center"/>
    </xf>
    <xf borderId="9" fillId="0" fontId="28" numFmtId="0" xfId="0" applyAlignment="1" applyBorder="1" applyFont="1">
      <alignment vertical="center"/>
    </xf>
    <xf borderId="105" fillId="0" fontId="28" numFmtId="0" xfId="0" applyAlignment="1" applyBorder="1" applyFont="1">
      <alignment horizontal="center" shrinkToFit="0" vertical="center" wrapText="1"/>
    </xf>
    <xf borderId="38" fillId="4" fontId="28" numFmtId="0" xfId="0" applyAlignment="1" applyBorder="1" applyFont="1">
      <alignment vertical="center"/>
    </xf>
    <xf borderId="152" fillId="4" fontId="28" numFmtId="0" xfId="0" applyAlignment="1" applyBorder="1" applyFont="1">
      <alignment vertical="center"/>
    </xf>
    <xf borderId="13" fillId="0" fontId="28" numFmtId="0" xfId="0" applyAlignment="1" applyBorder="1" applyFont="1">
      <alignment vertical="center"/>
    </xf>
    <xf borderId="38" fillId="0" fontId="28" numFmtId="0" xfId="0" applyAlignment="1" applyBorder="1" applyFont="1">
      <alignment vertical="center"/>
    </xf>
    <xf borderId="39" fillId="0" fontId="28" numFmtId="0" xfId="0" applyAlignment="1" applyBorder="1" applyFont="1">
      <alignment vertical="center"/>
    </xf>
    <xf borderId="60" fillId="0" fontId="28" numFmtId="0" xfId="0" applyAlignment="1" applyBorder="1" applyFont="1">
      <alignment vertical="center"/>
    </xf>
    <xf borderId="12" fillId="0" fontId="28" numFmtId="0" xfId="0" applyAlignment="1" applyBorder="1" applyFont="1">
      <alignment vertical="center"/>
    </xf>
    <xf borderId="144" fillId="0" fontId="28" numFmtId="0" xfId="0" applyAlignment="1" applyBorder="1" applyFont="1">
      <alignment horizontal="center" shrinkToFit="0" vertical="center" wrapText="1"/>
    </xf>
    <xf borderId="160" fillId="4" fontId="28" numFmtId="0" xfId="0" applyAlignment="1" applyBorder="1" applyFont="1">
      <alignment vertical="center"/>
    </xf>
    <xf borderId="76" fillId="4" fontId="28" numFmtId="0" xfId="0" applyAlignment="1" applyBorder="1" applyFont="1">
      <alignment vertical="center"/>
    </xf>
    <xf borderId="161" fillId="4" fontId="28" numFmtId="0" xfId="0" applyAlignment="1" applyBorder="1" applyFont="1">
      <alignment vertical="center"/>
    </xf>
    <xf borderId="146" fillId="0" fontId="28" numFmtId="0" xfId="0" applyAlignment="1" applyBorder="1" applyFont="1">
      <alignment vertical="center"/>
    </xf>
    <xf borderId="15" fillId="0" fontId="28" numFmtId="0" xfId="0" applyAlignment="1" applyBorder="1" applyFont="1">
      <alignment vertical="center"/>
    </xf>
    <xf borderId="70" fillId="0" fontId="28" numFmtId="0" xfId="0" applyAlignment="1" applyBorder="1" applyFont="1">
      <alignment vertical="center"/>
    </xf>
    <xf borderId="163" fillId="0" fontId="28" numFmtId="0" xfId="0" applyAlignment="1" applyBorder="1" applyFont="1">
      <alignment vertical="center"/>
    </xf>
    <xf borderId="32" fillId="0" fontId="28" numFmtId="0" xfId="0" applyAlignment="1" applyBorder="1" applyFont="1">
      <alignment vertical="center"/>
    </xf>
    <xf borderId="1" fillId="0" fontId="24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05" fillId="0" fontId="24" numFmtId="0" xfId="0" applyAlignment="1" applyBorder="1" applyFont="1">
      <alignment horizontal="center" shrinkToFit="0" vertical="center" wrapText="1"/>
    </xf>
    <xf borderId="105" fillId="0" fontId="28" numFmtId="0" xfId="0" applyAlignment="1" applyBorder="1" applyFont="1">
      <alignment vertical="center"/>
    </xf>
    <xf borderId="109" fillId="0" fontId="28" numFmtId="0" xfId="0" applyAlignment="1" applyBorder="1" applyFont="1">
      <alignment vertical="center"/>
    </xf>
    <xf borderId="25" fillId="4" fontId="28" numFmtId="0" xfId="0" applyAlignment="1" applyBorder="1" applyFont="1">
      <alignment vertical="center"/>
    </xf>
    <xf borderId="40" fillId="4" fontId="28" numFmtId="0" xfId="0" applyAlignment="1" applyBorder="1" applyFont="1">
      <alignment vertical="center"/>
    </xf>
    <xf borderId="27" fillId="0" fontId="28" numFmtId="0" xfId="0" applyAlignment="1" applyBorder="1" applyFont="1">
      <alignment vertical="center"/>
    </xf>
    <xf borderId="53" fillId="4" fontId="28" numFmtId="0" xfId="0" applyAlignment="1" applyBorder="1" applyFont="1">
      <alignment vertical="center"/>
    </xf>
    <xf borderId="141" fillId="0" fontId="28" numFmtId="0" xfId="0" applyAlignment="1" applyBorder="1" applyFont="1">
      <alignment vertical="center"/>
    </xf>
    <xf borderId="91" fillId="4" fontId="28" numFmtId="0" xfId="0" applyAlignment="1" applyBorder="1" applyFont="1">
      <alignment vertical="center"/>
    </xf>
    <xf borderId="45" fillId="0" fontId="28" numFmtId="0" xfId="0" applyAlignment="1" applyBorder="1" applyFont="1">
      <alignment vertical="center"/>
    </xf>
    <xf borderId="25" fillId="0" fontId="28" numFmtId="0" xfId="0" applyAlignment="1" applyBorder="1" applyFont="1">
      <alignment vertical="center"/>
    </xf>
    <xf borderId="40" fillId="0" fontId="28" numFmtId="0" xfId="0" applyAlignment="1" applyBorder="1" applyFont="1">
      <alignment vertical="center"/>
    </xf>
    <xf borderId="140" fillId="0" fontId="28" numFmtId="0" xfId="0" applyAlignment="1" applyBorder="1" applyFont="1">
      <alignment vertical="center"/>
    </xf>
    <xf borderId="41" fillId="0" fontId="28" numFmtId="0" xfId="0" applyAlignment="1" applyBorder="1" applyFont="1">
      <alignment vertical="center"/>
    </xf>
    <xf borderId="24" fillId="0" fontId="28" numFmtId="0" xfId="0" applyAlignment="1" applyBorder="1" applyFont="1">
      <alignment vertical="center"/>
    </xf>
    <xf borderId="1" fillId="0" fontId="28" numFmtId="0" xfId="0" applyAlignment="1" applyBorder="1" applyFont="1">
      <alignment horizontal="center" vertical="center"/>
    </xf>
    <xf borderId="135" fillId="0" fontId="28" numFmtId="0" xfId="0" applyAlignment="1" applyBorder="1" applyFont="1">
      <alignment vertical="center"/>
    </xf>
    <xf borderId="10" fillId="0" fontId="28" numFmtId="0" xfId="0" applyAlignment="1" applyBorder="1" applyFont="1">
      <alignment vertical="center"/>
    </xf>
    <xf borderId="145" fillId="0" fontId="28" numFmtId="0" xfId="0" applyAlignment="1" applyBorder="1" applyFont="1">
      <alignment vertical="center"/>
    </xf>
    <xf borderId="138" fillId="33" fontId="84" numFmtId="0" xfId="0" applyAlignment="1" applyBorder="1" applyFill="1" applyFont="1">
      <alignment horizontal="center" vertical="bottom"/>
    </xf>
    <xf borderId="28" fillId="7" fontId="27" numFmtId="0" xfId="0" applyAlignment="1" applyBorder="1" applyFont="1">
      <alignment horizontal="center" vertical="center"/>
    </xf>
    <xf borderId="28" fillId="7" fontId="27" numFmtId="0" xfId="0" applyAlignment="1" applyBorder="1" applyFont="1">
      <alignment horizontal="center" shrinkToFit="0" vertical="center" wrapText="1"/>
    </xf>
    <xf borderId="86" fillId="7" fontId="27" numFmtId="0" xfId="0" applyAlignment="1" applyBorder="1" applyFont="1">
      <alignment horizontal="center" shrinkToFit="0" vertical="center" wrapText="1"/>
    </xf>
    <xf borderId="51" fillId="3" fontId="11" numFmtId="16" xfId="0" applyAlignment="1" applyBorder="1" applyFont="1" applyNumberFormat="1">
      <alignment vertical="bottom"/>
    </xf>
    <xf borderId="76" fillId="3" fontId="11" numFmtId="0" xfId="0" applyAlignment="1" applyBorder="1" applyFont="1">
      <alignment vertical="bottom"/>
    </xf>
    <xf borderId="51" fillId="3" fontId="11" numFmtId="0" xfId="0" applyAlignment="1" applyBorder="1" applyFont="1">
      <alignment horizontal="right" vertical="center"/>
    </xf>
    <xf borderId="76" fillId="3" fontId="11" numFmtId="0" xfId="0" applyAlignment="1" applyBorder="1" applyFont="1">
      <alignment horizontal="center" vertical="bottom"/>
    </xf>
    <xf borderId="39" fillId="3" fontId="11" numFmtId="16" xfId="0" applyAlignment="1" applyBorder="1" applyFont="1" applyNumberFormat="1">
      <alignment vertical="bottom"/>
    </xf>
    <xf borderId="51" fillId="3" fontId="28" numFmtId="16" xfId="0" applyAlignment="1" applyBorder="1" applyFont="1" applyNumberFormat="1">
      <alignment vertical="bottom"/>
    </xf>
    <xf borderId="39" fillId="3" fontId="11" numFmtId="0" xfId="0" applyAlignment="1" applyBorder="1" applyFont="1">
      <alignment horizontal="center" vertical="bottom"/>
    </xf>
    <xf borderId="39" fillId="3" fontId="34" numFmtId="0" xfId="0" applyAlignment="1" applyBorder="1" applyFont="1">
      <alignment horizontal="center" vertical="bottom"/>
    </xf>
    <xf borderId="54" fillId="3" fontId="11" numFmtId="0" xfId="0" applyAlignment="1" applyBorder="1" applyFont="1">
      <alignment vertical="bottom"/>
    </xf>
    <xf borderId="51" fillId="3" fontId="11" numFmtId="1" xfId="0" applyAlignment="1" applyBorder="1" applyFont="1" applyNumberFormat="1">
      <alignment horizontal="right" vertical="center"/>
    </xf>
    <xf borderId="39" fillId="3" fontId="11" numFmtId="0" xfId="0" applyAlignment="1" applyBorder="1" applyFont="1">
      <alignment horizontal="right" vertical="center"/>
    </xf>
    <xf borderId="35" fillId="0" fontId="11" numFmtId="16" xfId="0" applyAlignment="1" applyBorder="1" applyFont="1" applyNumberFormat="1">
      <alignment vertical="bottom"/>
    </xf>
    <xf borderId="1" fillId="0" fontId="29" numFmtId="0" xfId="0" applyAlignment="1" applyBorder="1" applyFont="1">
      <alignment vertical="bottom"/>
    </xf>
    <xf borderId="2" fillId="0" fontId="29" numFmtId="0" xfId="0" applyAlignment="1" applyBorder="1" applyFont="1">
      <alignment vertical="bottom"/>
    </xf>
    <xf borderId="2" fillId="0" fontId="29" numFmtId="0" xfId="0" applyAlignment="1" applyBorder="1" applyFont="1">
      <alignment horizontal="right" vertical="bottom"/>
    </xf>
    <xf borderId="6" fillId="0" fontId="29" numFmtId="0" xfId="0" applyAlignment="1" applyBorder="1" applyFont="1">
      <alignment vertical="bottom"/>
    </xf>
    <xf borderId="135" fillId="0" fontId="29" numFmtId="0" xfId="0" applyAlignment="1" applyBorder="1" applyFont="1">
      <alignment vertical="bottom"/>
    </xf>
    <xf borderId="8" fillId="0" fontId="29" numFmtId="0" xfId="0" applyAlignment="1" applyBorder="1" applyFont="1">
      <alignment vertical="bottom"/>
    </xf>
    <xf borderId="1" fillId="0" fontId="29" numFmtId="0" xfId="0" applyAlignment="1" applyBorder="1" applyFont="1">
      <alignment horizontal="right" vertical="bottom"/>
    </xf>
    <xf borderId="8" fillId="34" fontId="57" numFmtId="0" xfId="0" applyAlignment="1" applyBorder="1" applyFill="1" applyFont="1">
      <alignment vertical="bottom"/>
    </xf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1" fillId="0" fontId="85" numFmtId="0" xfId="0" applyAlignment="1" applyBorder="1" applyFont="1">
      <alignment horizontal="center" vertical="center"/>
    </xf>
    <xf borderId="39" fillId="0" fontId="86" numFmtId="0" xfId="0" applyAlignment="1" applyBorder="1" applyFont="1">
      <alignment vertical="center"/>
    </xf>
    <xf borderId="1" fillId="0" fontId="83" numFmtId="0" xfId="0" applyAlignment="1" applyBorder="1" applyFont="1">
      <alignment horizontal="center" vertical="center"/>
    </xf>
    <xf borderId="6" fillId="0" fontId="83" numFmtId="0" xfId="0" applyAlignment="1" applyBorder="1" applyFont="1">
      <alignment horizontal="center" vertical="center"/>
    </xf>
    <xf borderId="2" fillId="0" fontId="83" numFmtId="0" xfId="0" applyAlignment="1" applyBorder="1" applyFont="1">
      <alignment horizontal="center" vertical="center"/>
    </xf>
    <xf borderId="3" fillId="0" fontId="83" numFmtId="0" xfId="0" applyAlignment="1" applyBorder="1" applyFont="1">
      <alignment horizontal="center" vertical="center"/>
    </xf>
    <xf borderId="39" fillId="0" fontId="83" numFmtId="0" xfId="0" applyAlignment="1" applyBorder="1" applyFont="1">
      <alignment vertical="center"/>
    </xf>
    <xf borderId="34" fillId="0" fontId="28" numFmtId="0" xfId="0" applyAlignment="1" applyBorder="1" applyFont="1">
      <alignment horizontal="center" vertical="center"/>
    </xf>
    <xf borderId="51" fillId="3" fontId="34" numFmtId="0" xfId="0" applyAlignment="1" applyBorder="1" applyFont="1">
      <alignment vertical="center"/>
    </xf>
    <xf borderId="35" fillId="0" fontId="28" numFmtId="0" xfId="0" applyAlignment="1" applyBorder="1" applyFont="1">
      <alignment horizontal="center" vertical="center"/>
    </xf>
    <xf borderId="36" fillId="0" fontId="28" numFmtId="0" xfId="0" applyAlignment="1" applyBorder="1" applyFont="1">
      <alignment horizontal="center" vertical="center"/>
    </xf>
    <xf borderId="17" fillId="0" fontId="24" numFmtId="0" xfId="0" applyAlignment="1" applyBorder="1" applyFont="1">
      <alignment horizontal="center" vertical="center"/>
    </xf>
    <xf borderId="38" fillId="0" fontId="28" numFmtId="0" xfId="0" applyAlignment="1" applyBorder="1" applyFont="1">
      <alignment horizontal="center" vertical="center"/>
    </xf>
    <xf borderId="39" fillId="8" fontId="34" numFmtId="0" xfId="0" applyAlignment="1" applyBorder="1" applyFont="1">
      <alignment vertical="center"/>
    </xf>
    <xf borderId="39" fillId="0" fontId="28" numFmtId="0" xfId="0" applyAlignment="1" applyBorder="1" applyFont="1">
      <alignment horizontal="center" vertical="center"/>
    </xf>
    <xf borderId="13" fillId="0" fontId="28" numFmtId="0" xfId="0" applyAlignment="1" applyBorder="1" applyFont="1">
      <alignment horizontal="center" vertical="center"/>
    </xf>
    <xf borderId="39" fillId="3" fontId="34" numFmtId="0" xfId="0" applyAlignment="1" applyBorder="1" applyFont="1">
      <alignment vertical="center"/>
    </xf>
    <xf borderId="29" fillId="0" fontId="28" numFmtId="0" xfId="0" applyAlignment="1" applyBorder="1" applyFont="1">
      <alignment vertical="center"/>
    </xf>
    <xf borderId="147" fillId="0" fontId="24" numFmtId="0" xfId="0" applyAlignment="1" applyBorder="1" applyFont="1">
      <alignment horizontal="center" vertical="center"/>
    </xf>
    <xf borderId="39" fillId="8" fontId="47" numFmtId="0" xfId="0" applyAlignment="1" applyBorder="1" applyFont="1">
      <alignment vertical="center"/>
    </xf>
    <xf borderId="25" fillId="0" fontId="28" numFmtId="0" xfId="0" applyAlignment="1" applyBorder="1" applyFont="1">
      <alignment horizontal="center" vertical="center"/>
    </xf>
    <xf borderId="40" fillId="0" fontId="28" numFmtId="0" xfId="0" applyAlignment="1" applyBorder="1" applyFont="1">
      <alignment horizontal="center" vertical="center"/>
    </xf>
    <xf borderId="41" fillId="0" fontId="28" numFmtId="0" xfId="0" applyAlignment="1" applyBorder="1" applyFont="1">
      <alignment horizontal="center" vertical="center"/>
    </xf>
    <xf borderId="1" fillId="0" fontId="86" numFmtId="0" xfId="0" applyAlignment="1" applyBorder="1" applyFont="1">
      <alignment horizontal="center" vertical="center"/>
    </xf>
    <xf borderId="0" fillId="0" fontId="37" numFmtId="0" xfId="0" applyAlignment="1" applyFont="1">
      <alignment horizontal="center" vertical="center"/>
    </xf>
    <xf borderId="60" fillId="8" fontId="41" numFmtId="0" xfId="0" applyAlignment="1" applyBorder="1" applyFont="1">
      <alignment horizontal="center" vertical="center"/>
    </xf>
    <xf borderId="39" fillId="8" fontId="41" numFmtId="0" xfId="0" applyAlignment="1" applyBorder="1" applyFont="1">
      <alignment vertical="center"/>
    </xf>
    <xf borderId="39" fillId="8" fontId="87" numFmtId="0" xfId="0" applyAlignment="1" applyBorder="1" applyFont="1">
      <alignment vertical="center"/>
    </xf>
    <xf borderId="60" fillId="0" fontId="24" numFmtId="0" xfId="0" applyAlignment="1" applyBorder="1" applyFont="1">
      <alignment horizontal="center" vertical="bottom"/>
    </xf>
    <xf borderId="39" fillId="0" fontId="37" numFmtId="0" xfId="0" applyAlignment="1" applyBorder="1" applyFont="1">
      <alignment vertical="bottom"/>
    </xf>
    <xf borderId="60" fillId="0" fontId="28" numFmtId="0" xfId="0" applyAlignment="1" applyBorder="1" applyFont="1">
      <alignment horizontal="left" vertical="bottom"/>
    </xf>
    <xf borderId="60" fillId="0" fontId="24" numFmtId="0" xfId="0" applyAlignment="1" applyBorder="1" applyFont="1">
      <alignment horizontal="center" vertical="center"/>
    </xf>
    <xf borderId="163" fillId="0" fontId="86" numFmtId="0" xfId="0" applyAlignment="1" applyBorder="1" applyFont="1">
      <alignment horizontal="center" vertical="center"/>
    </xf>
    <xf borderId="70" fillId="0" fontId="83" numFmtId="0" xfId="0" applyAlignment="1" applyBorder="1" applyFont="1">
      <alignment horizontal="center" vertical="bottom"/>
    </xf>
    <xf borderId="68" fillId="0" fontId="2" numFmtId="0" xfId="0" applyAlignment="1" applyBorder="1" applyFont="1">
      <alignment vertical="center"/>
    </xf>
    <xf borderId="60" fillId="0" fontId="86" numFmtId="0" xfId="0" applyAlignment="1" applyBorder="1" applyFont="1">
      <alignment horizontal="center" vertical="center"/>
    </xf>
    <xf borderId="39" fillId="0" fontId="83" numFmtId="1" xfId="0" applyAlignment="1" applyBorder="1" applyFont="1" applyNumberFormat="1">
      <alignment horizontal="center" vertical="center"/>
    </xf>
    <xf borderId="1" fillId="0" fontId="88" numFmtId="0" xfId="0" applyAlignment="1" applyBorder="1" applyFont="1">
      <alignment horizontal="center" vertical="bottom"/>
    </xf>
    <xf borderId="17" fillId="3" fontId="48" numFmtId="0" xfId="0" applyAlignment="1" applyBorder="1" applyFont="1">
      <alignment horizontal="center" vertical="center"/>
    </xf>
    <xf borderId="18" fillId="3" fontId="48" numFmtId="0" xfId="0" applyAlignment="1" applyBorder="1" applyFont="1">
      <alignment horizontal="center" vertical="center"/>
    </xf>
    <xf borderId="7" fillId="31" fontId="48" numFmtId="0" xfId="0" applyAlignment="1" applyBorder="1" applyFont="1">
      <alignment horizontal="center" shrinkToFit="0" vertical="center" wrapText="1"/>
    </xf>
    <xf borderId="28" fillId="31" fontId="48" numFmtId="0" xfId="0" applyAlignment="1" applyBorder="1" applyFont="1">
      <alignment horizontal="center" shrinkToFit="0" vertical="center" wrapText="1"/>
    </xf>
    <xf borderId="28" fillId="35" fontId="48" numFmtId="0" xfId="0" applyAlignment="1" applyBorder="1" applyFill="1" applyFont="1">
      <alignment horizontal="center" shrinkToFit="0" vertical="center" wrapText="1"/>
    </xf>
    <xf borderId="28" fillId="23" fontId="48" numFmtId="0" xfId="0" applyAlignment="1" applyBorder="1" applyFont="1">
      <alignment horizontal="center" shrinkToFit="0" vertical="center" wrapText="1"/>
    </xf>
    <xf borderId="86" fillId="23" fontId="48" numFmtId="0" xfId="0" applyAlignment="1" applyBorder="1" applyFont="1">
      <alignment horizontal="center" shrinkToFit="0" vertical="center" wrapText="1"/>
    </xf>
    <xf borderId="17" fillId="29" fontId="48" numFmtId="0" xfId="0" applyAlignment="1" applyBorder="1" applyFont="1">
      <alignment horizontal="center" shrinkToFit="0" vertical="center" wrapText="1"/>
    </xf>
    <xf borderId="28" fillId="29" fontId="48" numFmtId="0" xfId="0" applyAlignment="1" applyBorder="1" applyFont="1">
      <alignment horizontal="center" shrinkToFit="0" vertical="center" wrapText="1"/>
    </xf>
    <xf borderId="8" fillId="29" fontId="48" numFmtId="0" xfId="0" applyAlignment="1" applyBorder="1" applyFont="1">
      <alignment horizontal="center" shrinkToFit="0" vertical="center" wrapText="1"/>
    </xf>
    <xf borderId="6" fillId="36" fontId="48" numFmtId="0" xfId="0" applyAlignment="1" applyBorder="1" applyFill="1" applyFont="1">
      <alignment horizontal="center" shrinkToFit="0" vertical="center" wrapText="1"/>
    </xf>
    <xf borderId="34" fillId="0" fontId="11" numFmtId="0" xfId="0" applyAlignment="1" applyBorder="1" applyFont="1">
      <alignment vertical="bottom"/>
    </xf>
    <xf borderId="36" fillId="0" fontId="11" numFmtId="0" xfId="0" applyAlignment="1" applyBorder="1" applyFont="1">
      <alignment vertical="bottom"/>
    </xf>
    <xf borderId="73" fillId="31" fontId="11" numFmtId="20" xfId="0" applyAlignment="1" applyBorder="1" applyFont="1" applyNumberFormat="1">
      <alignment vertical="bottom"/>
    </xf>
    <xf borderId="51" fillId="31" fontId="11" numFmtId="0" xfId="0" applyAlignment="1" applyBorder="1" applyFont="1">
      <alignment vertical="bottom"/>
    </xf>
    <xf borderId="51" fillId="35" fontId="11" numFmtId="20" xfId="0" applyAlignment="1" applyBorder="1" applyFont="1" applyNumberFormat="1">
      <alignment vertical="bottom"/>
    </xf>
    <xf borderId="51" fillId="35" fontId="11" numFmtId="0" xfId="0" applyAlignment="1" applyBorder="1" applyFont="1">
      <alignment vertical="bottom"/>
    </xf>
    <xf borderId="51" fillId="23" fontId="11" numFmtId="20" xfId="0" applyAlignment="1" applyBorder="1" applyFont="1" applyNumberFormat="1">
      <alignment vertical="bottom"/>
    </xf>
    <xf borderId="51" fillId="23" fontId="11" numFmtId="0" xfId="0" applyAlignment="1" applyBorder="1" applyFont="1">
      <alignment vertical="bottom"/>
    </xf>
    <xf borderId="94" fillId="23" fontId="11" numFmtId="0" xfId="0" applyAlignment="1" applyBorder="1" applyFont="1">
      <alignment vertical="bottom"/>
    </xf>
    <xf borderId="74" fillId="29" fontId="11" numFmtId="0" xfId="0" applyAlignment="1" applyBorder="1" applyFont="1">
      <alignment vertical="bottom"/>
    </xf>
    <xf borderId="51" fillId="29" fontId="11" numFmtId="0" xfId="0" applyAlignment="1" applyBorder="1" applyFont="1">
      <alignment vertical="bottom"/>
    </xf>
    <xf borderId="11" fillId="29" fontId="11" numFmtId="0" xfId="0" applyAlignment="1" applyBorder="1" applyFont="1">
      <alignment vertical="bottom"/>
    </xf>
    <xf borderId="75" fillId="36" fontId="11" numFmtId="0" xfId="0" applyAlignment="1" applyBorder="1" applyFont="1">
      <alignment vertical="bottom"/>
    </xf>
    <xf borderId="38" fillId="0" fontId="11" numFmtId="0" xfId="0" applyAlignment="1" applyBorder="1" applyFont="1">
      <alignment vertical="bottom"/>
    </xf>
    <xf borderId="61" fillId="31" fontId="11" numFmtId="20" xfId="0" applyAlignment="1" applyBorder="1" applyFont="1" applyNumberFormat="1">
      <alignment vertical="bottom"/>
    </xf>
    <xf borderId="39" fillId="31" fontId="11" numFmtId="0" xfId="0" applyAlignment="1" applyBorder="1" applyFont="1">
      <alignment vertical="bottom"/>
    </xf>
    <xf borderId="39" fillId="35" fontId="11" numFmtId="20" xfId="0" applyAlignment="1" applyBorder="1" applyFont="1" applyNumberFormat="1">
      <alignment vertical="bottom"/>
    </xf>
    <xf borderId="39" fillId="35" fontId="11" numFmtId="0" xfId="0" applyAlignment="1" applyBorder="1" applyFont="1">
      <alignment vertical="bottom"/>
    </xf>
    <xf borderId="39" fillId="23" fontId="11" numFmtId="20" xfId="0" applyAlignment="1" applyBorder="1" applyFont="1" applyNumberFormat="1">
      <alignment vertical="bottom"/>
    </xf>
    <xf borderId="39" fillId="23" fontId="11" numFmtId="0" xfId="0" applyAlignment="1" applyBorder="1" applyFont="1">
      <alignment vertical="bottom"/>
    </xf>
    <xf borderId="152" fillId="23" fontId="11" numFmtId="0" xfId="0" applyAlignment="1" applyBorder="1" applyFont="1">
      <alignment vertical="bottom"/>
    </xf>
    <xf borderId="38" fillId="29" fontId="11" numFmtId="1" xfId="0" applyAlignment="1" applyBorder="1" applyFont="1" applyNumberFormat="1">
      <alignment vertical="bottom"/>
    </xf>
    <xf borderId="39" fillId="29" fontId="11" numFmtId="1" xfId="0" applyAlignment="1" applyBorder="1" applyFont="1" applyNumberFormat="1">
      <alignment vertical="bottom"/>
    </xf>
    <xf borderId="13" fillId="29" fontId="11" numFmtId="1" xfId="0" applyAlignment="1" applyBorder="1" applyFont="1" applyNumberFormat="1">
      <alignment vertical="bottom"/>
    </xf>
    <xf borderId="12" fillId="36" fontId="11" numFmtId="1" xfId="0" applyAlignment="1" applyBorder="1" applyFont="1" applyNumberFormat="1">
      <alignment vertical="bottom"/>
    </xf>
    <xf borderId="38" fillId="3" fontId="11" numFmtId="0" xfId="0" applyAlignment="1" applyBorder="1" applyFont="1">
      <alignment vertical="bottom"/>
    </xf>
    <xf borderId="38" fillId="29" fontId="11" numFmtId="0" xfId="0" applyAlignment="1" applyBorder="1" applyFont="1">
      <alignment vertical="bottom"/>
    </xf>
    <xf borderId="39" fillId="29" fontId="11" numFmtId="0" xfId="0" applyAlignment="1" applyBorder="1" applyFont="1">
      <alignment vertical="bottom"/>
    </xf>
    <xf borderId="13" fillId="29" fontId="11" numFmtId="0" xfId="0" applyAlignment="1" applyBorder="1" applyFont="1">
      <alignment vertical="bottom"/>
    </xf>
    <xf borderId="12" fillId="36" fontId="11" numFmtId="0" xfId="0" applyAlignment="1" applyBorder="1" applyFont="1">
      <alignment vertical="bottom"/>
    </xf>
    <xf borderId="39" fillId="23" fontId="89" numFmtId="0" xfId="0" applyAlignment="1" applyBorder="1" applyFont="1">
      <alignment vertical="bottom"/>
    </xf>
    <xf borderId="152" fillId="23" fontId="89" numFmtId="0" xfId="0" applyAlignment="1" applyBorder="1" applyFont="1">
      <alignment vertical="bottom"/>
    </xf>
    <xf borderId="25" fillId="0" fontId="11" numFmtId="0" xfId="0" applyAlignment="1" applyBorder="1" applyFont="1">
      <alignment vertical="bottom"/>
    </xf>
    <xf borderId="25" fillId="29" fontId="11" numFmtId="0" xfId="0" applyAlignment="1" applyBorder="1" applyFont="1">
      <alignment vertical="bottom"/>
    </xf>
    <xf borderId="40" fillId="29" fontId="11" numFmtId="0" xfId="0" applyAlignment="1" applyBorder="1" applyFont="1">
      <alignment vertical="bottom"/>
    </xf>
    <xf borderId="41" fillId="29" fontId="11" numFmtId="0" xfId="0" applyAlignment="1" applyBorder="1" applyFont="1">
      <alignment vertical="bottom"/>
    </xf>
    <xf borderId="99" fillId="34" fontId="48" numFmtId="0" xfId="0" applyAlignment="1" applyBorder="1" applyFont="1">
      <alignment horizontal="center" vertical="center"/>
    </xf>
    <xf borderId="39" fillId="34" fontId="48" numFmtId="0" xfId="0" applyAlignment="1" applyBorder="1" applyFont="1">
      <alignment horizontal="center" vertical="center"/>
    </xf>
    <xf borderId="51" fillId="34" fontId="43" numFmtId="1" xfId="0" applyAlignment="1" applyBorder="1" applyFont="1" applyNumberFormat="1">
      <alignment vertical="bottom"/>
    </xf>
    <xf borderId="51" fillId="34" fontId="48" numFmtId="1" xfId="0" applyAlignment="1" applyBorder="1" applyFont="1" applyNumberFormat="1">
      <alignment vertical="bottom"/>
    </xf>
  </cellXfs>
  <cellStyles count="1">
    <cellStyle xfId="0" name="Normal" builtinId="0"/>
  </cellStyles>
  <dxfs count="10">
    <dxf>
      <font>
        <sz val="11.0"/>
        <color rgb="FF9C5700"/>
      </font>
      <fill>
        <patternFill patternType="solid">
          <fgColor rgb="FFFFEB9C"/>
          <bgColor rgb="FFFFEB9C"/>
        </patternFill>
      </fill>
      <border/>
    </dxf>
    <dxf>
      <font>
        <sz val="11.0"/>
        <color rgb="FF006100"/>
      </font>
      <fill>
        <patternFill patternType="solid">
          <fgColor rgb="FFC6EFCE"/>
          <bgColor rgb="FFC6EFCE"/>
        </patternFill>
      </fill>
      <border/>
    </dxf>
    <dxf>
      <font>
        <sz val="11.0"/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sz val="11.0"/>
        <color rgb="FF963734"/>
      </font>
      <fill>
        <patternFill patternType="solid">
          <fgColor rgb="FFF2DCDB"/>
          <bgColor rgb="FFF2DCDB"/>
        </patternFill>
      </fill>
      <border/>
    </dxf>
    <dxf>
      <font>
        <b/>
        <sz val="11.0"/>
        <color rgb="FF4E6127"/>
      </font>
      <fill>
        <patternFill patternType="solid">
          <fgColor rgb="FFEAF1DD"/>
          <bgColor rgb="FFEAF1D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232</xdr:row>
      <xdr:rowOff>0</xdr:rowOff>
    </xdr:from>
    <xdr:ext cx="409575" cy="533400"/>
    <xdr:sp>
      <xdr:nvSpPr>
        <xdr:cNvPr id="3" name="Shape 3"/>
        <xdr:cNvSpPr txBox="1"/>
      </xdr:nvSpPr>
      <xdr:spPr>
        <a:xfrm>
          <a:off x="5145975" y="3518063"/>
          <a:ext cx="400050" cy="523875"/>
        </a:xfrm>
        <a:prstGeom prst="rect">
          <a:avLst/>
        </a:prstGeom>
        <a:noFill/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266825" cy="666750"/>
    <xdr:sp>
      <xdr:nvSpPr>
        <xdr:cNvPr id="4" name="Shape 4"/>
        <xdr:cNvSpPr/>
      </xdr:nvSpPr>
      <xdr:spPr>
        <a:xfrm>
          <a:off x="4717350" y="3451388"/>
          <a:ext cx="1257300" cy="657225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F7954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6800" lIns="90000" spcFirstLastPara="1" rIns="90000" wrap="square" tIns="468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b="1" lang="en-US" sz="14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ISSUE</a:t>
          </a:r>
          <a:endParaRPr b="1" sz="14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571500</xdr:colOff>
      <xdr:row>0</xdr:row>
      <xdr:rowOff>0</xdr:rowOff>
    </xdr:from>
    <xdr:ext cx="1524000" cy="666750"/>
    <xdr:sp>
      <xdr:nvSpPr>
        <xdr:cNvPr id="5" name="Shape 5"/>
        <xdr:cNvSpPr/>
      </xdr:nvSpPr>
      <xdr:spPr>
        <a:xfrm>
          <a:off x="4588763" y="3451388"/>
          <a:ext cx="1514475" cy="657225"/>
        </a:xfrm>
        <a:prstGeom prst="roundRect">
          <a:avLst>
            <a:gd fmla="val 16667" name="adj"/>
          </a:avLst>
        </a:prstGeom>
        <a:solidFill>
          <a:srgbClr val="7F7F7F"/>
        </a:solidFill>
        <a:ln cap="flat" cmpd="sng" w="9525">
          <a:solidFill>
            <a:srgbClr val="F7954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6800" lIns="90000" spcFirstLastPara="1" rIns="90000" wrap="square" tIns="468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Cambria"/>
            <a:buNone/>
          </a:pPr>
          <a:r>
            <a:rPr b="1" lang="en-US" sz="1100">
              <a:solidFill>
                <a:srgbClr val="FFFFFF"/>
              </a:solidFill>
              <a:latin typeface="Cambria"/>
              <a:ea typeface="Cambria"/>
              <a:cs typeface="Cambria"/>
              <a:sym typeface="Cambria"/>
            </a:rPr>
            <a:t>PURCHASE</a:t>
          </a:r>
          <a:endParaRPr b="1" sz="1100">
            <a:solidFill>
              <a:srgbClr val="FFFFFF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8</xdr:col>
      <xdr:colOff>361950</xdr:colOff>
      <xdr:row>0</xdr:row>
      <xdr:rowOff>0</xdr:rowOff>
    </xdr:from>
    <xdr:ext cx="1247775" cy="647700"/>
    <xdr:sp>
      <xdr:nvSpPr>
        <xdr:cNvPr id="6" name="Shape 6"/>
        <xdr:cNvSpPr/>
      </xdr:nvSpPr>
      <xdr:spPr>
        <a:xfrm>
          <a:off x="4726875" y="3460913"/>
          <a:ext cx="1238250" cy="638175"/>
        </a:xfrm>
        <a:prstGeom prst="roundRect">
          <a:avLst>
            <a:gd fmla="val 16667" name="adj"/>
          </a:avLst>
        </a:prstGeom>
        <a:solidFill>
          <a:srgbClr val="1D1B0F"/>
        </a:solidFill>
        <a:ln cap="flat" cmpd="sng" w="9525">
          <a:solidFill>
            <a:srgbClr val="F7954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6800" lIns="90000" spcFirstLastPara="1" rIns="90000" wrap="square" tIns="468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Cambria"/>
            <a:buNone/>
          </a:pPr>
          <a:r>
            <a:rPr b="1" lang="en-US" sz="1800">
              <a:solidFill>
                <a:srgbClr val="FFFFFF"/>
              </a:solidFill>
              <a:latin typeface="Cambria"/>
              <a:ea typeface="Cambria"/>
              <a:cs typeface="Cambria"/>
              <a:sym typeface="Cambria"/>
            </a:rPr>
            <a:t>C-1</a:t>
          </a:r>
          <a:endParaRPr b="1" sz="1800">
            <a:solidFill>
              <a:srgbClr val="FFFFFF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11</xdr:col>
      <xdr:colOff>123825</xdr:colOff>
      <xdr:row>0</xdr:row>
      <xdr:rowOff>0</xdr:rowOff>
    </xdr:from>
    <xdr:ext cx="2038350" cy="657225"/>
    <xdr:sp>
      <xdr:nvSpPr>
        <xdr:cNvPr id="7" name="Shape 7"/>
        <xdr:cNvSpPr/>
      </xdr:nvSpPr>
      <xdr:spPr>
        <a:xfrm>
          <a:off x="4331588" y="3456150"/>
          <a:ext cx="2028825" cy="647700"/>
        </a:xfrm>
        <a:prstGeom prst="roundRect">
          <a:avLst>
            <a:gd fmla="val 16667" name="adj"/>
          </a:avLst>
        </a:prstGeom>
        <a:solidFill>
          <a:srgbClr val="632423"/>
        </a:solidFill>
        <a:ln cap="flat" cmpd="sng" w="9525">
          <a:solidFill>
            <a:srgbClr val="F7954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6800" lIns="90000" spcFirstLastPara="1" rIns="90000" wrap="square" tIns="468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200"/>
            <a:buFont typeface="Cambria"/>
            <a:buNone/>
          </a:pPr>
          <a:r>
            <a:rPr b="1" lang="en-US" sz="1200">
              <a:solidFill>
                <a:srgbClr val="FFFFFF"/>
              </a:solidFill>
              <a:latin typeface="Cambria"/>
              <a:ea typeface="Cambria"/>
              <a:cs typeface="Cambria"/>
              <a:sym typeface="Cambria"/>
            </a:rPr>
            <a:t>EXPENSES</a:t>
          </a:r>
          <a:endParaRPr b="1" sz="1200">
            <a:solidFill>
              <a:srgbClr val="FFFFFF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1333500" cy="657225"/>
    <xdr:sp>
      <xdr:nvSpPr>
        <xdr:cNvPr id="8" name="Shape 8"/>
        <xdr:cNvSpPr/>
      </xdr:nvSpPr>
      <xdr:spPr>
        <a:xfrm>
          <a:off x="4684013" y="3456150"/>
          <a:ext cx="1323975" cy="647700"/>
        </a:xfrm>
        <a:prstGeom prst="roundRect">
          <a:avLst>
            <a:gd fmla="val 16667" name="adj"/>
          </a:avLst>
        </a:prstGeom>
        <a:solidFill>
          <a:srgbClr val="244061"/>
        </a:solidFill>
        <a:ln cap="flat" cmpd="sng" w="9525">
          <a:solidFill>
            <a:srgbClr val="F7954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6800" lIns="90000" spcFirstLastPara="1" rIns="90000" wrap="square" tIns="468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800"/>
            <a:buFont typeface="Cambria"/>
            <a:buNone/>
          </a:pPr>
          <a:r>
            <a:rPr b="1" lang="en-US" sz="800">
              <a:solidFill>
                <a:srgbClr val="FFFFFF"/>
              </a:solidFill>
              <a:latin typeface="Cambria"/>
              <a:ea typeface="Cambria"/>
              <a:cs typeface="Cambria"/>
              <a:sym typeface="Cambria"/>
            </a:rPr>
            <a:t>AMOUNT UPDATE</a:t>
          </a:r>
          <a:endParaRPr b="1" sz="800">
            <a:solidFill>
              <a:srgbClr val="FFFFFF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228725" cy="619125"/>
    <xdr:sp>
      <xdr:nvSpPr>
        <xdr:cNvPr id="9" name="Shape 9"/>
        <xdr:cNvSpPr/>
      </xdr:nvSpPr>
      <xdr:spPr>
        <a:xfrm>
          <a:off x="4736400" y="3475200"/>
          <a:ext cx="1219200" cy="609600"/>
        </a:xfrm>
        <a:prstGeom prst="roundRect">
          <a:avLst>
            <a:gd fmla="val 16667" name="adj"/>
          </a:avLst>
        </a:prstGeom>
        <a:solidFill>
          <a:srgbClr val="0F233E"/>
        </a:solidFill>
        <a:ln cap="flat" cmpd="sng" w="9525">
          <a:solidFill>
            <a:srgbClr val="F7954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6800" lIns="90000" spcFirstLastPara="1" rIns="90000" wrap="square" tIns="468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INVENTORY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0</xdr:row>
      <xdr:rowOff>0</xdr:rowOff>
    </xdr:from>
    <xdr:ext cx="304800" cy="838200"/>
    <xdr:sp>
      <xdr:nvSpPr>
        <xdr:cNvPr id="10" name="Shape 10"/>
        <xdr:cNvSpPr/>
      </xdr:nvSpPr>
      <xdr:spPr>
        <a:xfrm>
          <a:off x="5198363" y="3365663"/>
          <a:ext cx="295275" cy="828675"/>
        </a:xfrm>
        <a:prstGeom prst="roundRect">
          <a:avLst>
            <a:gd fmla="val 16667" name="adj"/>
          </a:avLst>
        </a:prstGeom>
        <a:solidFill>
          <a:srgbClr val="7F7F7F"/>
        </a:solidFill>
        <a:ln cap="flat" cmpd="sng" w="9525">
          <a:solidFill>
            <a:srgbClr val="F7954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6800" lIns="90000" spcFirstLastPara="1" rIns="90000" wrap="square" tIns="468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Cambria"/>
            <a:buNone/>
          </a:pPr>
          <a:r>
            <a:rPr b="1" lang="en-US" sz="1100">
              <a:solidFill>
                <a:srgbClr val="FFFFFF"/>
              </a:solidFill>
              <a:latin typeface="Cambria"/>
              <a:ea typeface="Cambria"/>
              <a:cs typeface="Cambria"/>
              <a:sym typeface="Cambria"/>
            </a:rPr>
            <a:t>PURCHASE</a:t>
          </a:r>
          <a:endParaRPr b="1" sz="1100">
            <a:solidFill>
              <a:srgbClr val="FFFFFF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m.b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0.43"/>
    <col customWidth="1" min="2" max="2" width="14.43"/>
    <col customWidth="1" min="3" max="3" width="10.43"/>
    <col customWidth="1" min="4" max="24" width="9.14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45839.0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1</v>
      </c>
      <c r="B3" s="7" t="s">
        <v>2</v>
      </c>
      <c r="C3" s="6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" t="s">
        <v>4</v>
      </c>
      <c r="B4" s="9">
        <f>'DAILY UPDATE'!BR36</f>
        <v>2800162</v>
      </c>
      <c r="C4" s="10">
        <v>1.0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2" t="s">
        <v>5</v>
      </c>
      <c r="B5" s="13">
        <f>'INVONTERY FEB'!P108</f>
        <v>1379224.282</v>
      </c>
      <c r="C5" s="14">
        <f t="shared" ref="C5:C15" si="1">B5/B$4</f>
        <v>0.4925516033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5" t="s">
        <v>6</v>
      </c>
      <c r="B6" s="13">
        <f>'INVONTERY FEB'!P131</f>
        <v>56947</v>
      </c>
      <c r="C6" s="16">
        <f t="shared" si="1"/>
        <v>0.02033703764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7" t="s">
        <v>7</v>
      </c>
      <c r="B7" s="13">
        <f>SUMIF(EXPENSES!$B:$B,'P&amp;L WITH EXP.'!A7,EXPENSES!$F:$F)</f>
        <v>20500</v>
      </c>
      <c r="C7" s="16">
        <f t="shared" si="1"/>
        <v>0.007321004999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8" t="s">
        <v>8</v>
      </c>
      <c r="B8" s="13">
        <f>'INVONTERY FEB'!P147</f>
        <v>1849</v>
      </c>
      <c r="C8" s="16">
        <f t="shared" si="1"/>
        <v>0.0006603189387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9" t="s">
        <v>9</v>
      </c>
      <c r="B9" s="13">
        <f>SUMIF(EXPENSES!$B:$B,'P&amp;L WITH EXP.'!A9,EXPENSES!$F:$F)</f>
        <v>390667</v>
      </c>
      <c r="C9" s="16">
        <f t="shared" si="1"/>
        <v>0.1395158566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7" t="s">
        <v>10</v>
      </c>
      <c r="B10" s="13">
        <f>SUMIF(EXPENSES!$B:$B,'P&amp;L WITH EXP.'!A10,EXPENSES!$F:$F)</f>
        <v>45000</v>
      </c>
      <c r="C10" s="16">
        <f t="shared" si="1"/>
        <v>0.01607049878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8" t="s">
        <v>11</v>
      </c>
      <c r="B11" s="13">
        <f>SUMIF(EXPENSES!$B:$B,'P&amp;L WITH EXP.'!A11,EXPENSES!$F:$F)</f>
        <v>0</v>
      </c>
      <c r="C11" s="16">
        <f t="shared" si="1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7" t="s">
        <v>12</v>
      </c>
      <c r="B12" s="13">
        <f>SUMIF(EXPENSES!$B:$B,'P&amp;L WITH EXP.'!A12,EXPENSES!$F:$F)</f>
        <v>0</v>
      </c>
      <c r="C12" s="16">
        <f t="shared" si="1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7" t="s">
        <v>13</v>
      </c>
      <c r="B13" s="13">
        <f>SUMIF(EXPENSES!$B:$B,'P&amp;L WITH EXP.'!A13,EXPENSES!$F:$F)</f>
        <v>0</v>
      </c>
      <c r="C13" s="16">
        <f t="shared" si="1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7" t="s">
        <v>14</v>
      </c>
      <c r="B14" s="13">
        <f>SUMIF(EXPENSES!$B:$B,'P&amp;L WITH EXP.'!A14,EXPENSES!$F:$F)</f>
        <v>283634</v>
      </c>
      <c r="C14" s="16">
        <f t="shared" si="1"/>
        <v>0.1012919967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8" t="s">
        <v>15</v>
      </c>
      <c r="B15" s="13">
        <f>SUMIF(EXPENSES!$B:$B,'P&amp;L WITH EXP.'!A15,EXPENSES!$F:$F)</f>
        <v>0</v>
      </c>
      <c r="C15" s="16">
        <f t="shared" si="1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9.75" customHeight="1">
      <c r="A16" s="20"/>
      <c r="B16" s="21"/>
      <c r="C16" s="2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23" t="s">
        <v>16</v>
      </c>
      <c r="B17" s="24">
        <f>SUM(B5:B16)</f>
        <v>2177821.282</v>
      </c>
      <c r="C17" s="25">
        <f>B17/B$4</f>
        <v>0.7777483169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6"/>
      <c r="B18" s="27"/>
      <c r="C18" s="22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28" t="s">
        <v>17</v>
      </c>
      <c r="B19" s="24">
        <f>B4-B17</f>
        <v>622340.7175</v>
      </c>
      <c r="C19" s="25">
        <f>B19/B$4</f>
        <v>0.2222516831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9"/>
      <c r="B20" s="30"/>
      <c r="C20" s="2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31" t="s">
        <v>18</v>
      </c>
      <c r="B21" s="32">
        <f>SUMIF(EXPENSES!$B:$B,'P&amp;L WITH EXP.'!A21,EXPENSES!$F:$F)</f>
        <v>620000</v>
      </c>
      <c r="C21" s="33">
        <f>B21/B$4</f>
        <v>0.2214157609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34"/>
      <c r="B22" s="35"/>
      <c r="C22" s="36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29" t="s">
        <v>19</v>
      </c>
      <c r="B23" s="37">
        <f>B19-B21</f>
        <v>2340.717516</v>
      </c>
      <c r="C23" s="25">
        <f>B23/B$4</f>
        <v>0.0008359221775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38" t="s">
        <v>20</v>
      </c>
      <c r="B24" s="39">
        <f>+B21+B17</f>
        <v>2797821.282</v>
      </c>
      <c r="C24" s="40"/>
      <c r="D24" s="11"/>
      <c r="E24" s="4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7.5" customHeight="1">
      <c r="A25" s="42"/>
      <c r="B25" s="43"/>
      <c r="C25" s="44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45" t="s">
        <v>21</v>
      </c>
      <c r="B26" s="2"/>
      <c r="C26" s="3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46" t="s">
        <v>22</v>
      </c>
      <c r="B27" s="47">
        <f>'DAILY UPDATE'!BQ5</f>
        <v>420</v>
      </c>
      <c r="C27" s="48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49" t="s">
        <v>23</v>
      </c>
      <c r="B28" s="50">
        <f>B4</f>
        <v>2800162</v>
      </c>
      <c r="C28" s="5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49" t="s">
        <v>24</v>
      </c>
      <c r="B29" s="50">
        <f>EXPENSES!F1</f>
        <v>2796174</v>
      </c>
      <c r="C29" s="5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49" t="s">
        <v>25</v>
      </c>
      <c r="B30" s="50">
        <f>B27+B29-B29</f>
        <v>420</v>
      </c>
      <c r="C30" s="5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 t="s">
        <v>26</v>
      </c>
      <c r="B31" s="54">
        <f>+B30-B27</f>
        <v>0</v>
      </c>
      <c r="C31" s="55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56" t="s">
        <v>27</v>
      </c>
      <c r="B32" s="57">
        <f>+B23-B31</f>
        <v>2340.717516</v>
      </c>
      <c r="C32" s="5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9.25" customHeight="1">
      <c r="A33" s="59" t="s">
        <v>28</v>
      </c>
      <c r="B33" s="60" t="s">
        <v>29</v>
      </c>
      <c r="C33" s="61" t="s">
        <v>30</v>
      </c>
      <c r="D33" s="62" t="s">
        <v>26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3" t="str">
        <f>'INVONTERY FEB'!C326</f>
        <v>PHYSICAL INVENTORY</v>
      </c>
      <c r="B34" s="64">
        <f>'INVONTERY FEB'!L326</f>
        <v>2010397.131</v>
      </c>
      <c r="C34" s="65">
        <f>'INVONTERY FEB'!F326</f>
        <v>2019838.037</v>
      </c>
      <c r="D34" s="66">
        <f t="shared" ref="D34:D36" si="2">+B34-C34</f>
        <v>-9440.905963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customHeight="1">
      <c r="A35" s="68" t="str">
        <f>'INVONTERY FEB'!C327</f>
        <v>CREDIT AMOUNT</v>
      </c>
      <c r="B35" s="69">
        <f>'INVONTERY FEB'!L327</f>
        <v>-0.3765203596</v>
      </c>
      <c r="C35" s="70">
        <f>'INVONTERY FEB'!F327</f>
        <v>0</v>
      </c>
      <c r="D35" s="71">
        <f t="shared" si="2"/>
        <v>-0.3765203596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72" t="str">
        <f>'INVONTERY FEB'!C328</f>
        <v>STOCK IN HAND</v>
      </c>
      <c r="B36" s="73">
        <f>'INVONTERY FEB'!L328</f>
        <v>2010396.754</v>
      </c>
      <c r="C36" s="74">
        <f>'INVONTERY FEB'!F328</f>
        <v>2019838.037</v>
      </c>
      <c r="D36" s="75">
        <f t="shared" si="2"/>
        <v>-9441.282484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11"/>
      <c r="B37" s="11"/>
      <c r="C37" s="76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77" t="s">
        <v>31</v>
      </c>
      <c r="B38" s="78">
        <f>+B21</f>
        <v>620000</v>
      </c>
      <c r="C38" s="76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79" t="s">
        <v>32</v>
      </c>
      <c r="B39" s="80">
        <f>+B31</f>
        <v>0</v>
      </c>
      <c r="C39" s="76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81" t="s">
        <v>33</v>
      </c>
      <c r="B40" s="82">
        <f>+D36</f>
        <v>-9441.282484</v>
      </c>
      <c r="C40" s="76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83" t="s">
        <v>34</v>
      </c>
      <c r="B41" s="84">
        <f>+B40+B39+B38</f>
        <v>610558.7175</v>
      </c>
      <c r="C41" s="7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/>
      <c r="B42" s="11"/>
      <c r="C42" s="76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76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76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76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76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76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76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76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76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76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76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76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76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76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76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76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76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76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76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76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76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76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76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76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76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76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76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76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76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76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76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76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76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76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76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76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76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76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76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76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76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76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76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76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76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76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76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76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76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76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76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76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76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76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76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76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76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76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76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76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76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76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76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76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76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76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76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76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76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76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76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76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76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76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76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76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76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76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76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76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76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76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76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76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76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76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76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76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76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7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76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76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76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76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76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76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76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76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76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76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76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76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76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76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76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76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76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76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76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76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76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76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76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76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76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76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76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76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76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76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76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76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76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76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76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76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76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76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76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76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76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76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76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76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76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76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76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76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76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76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76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76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76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76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76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76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76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76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76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76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76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76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76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76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76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76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76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76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76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76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76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76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76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76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76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76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76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76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76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76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76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76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76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76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76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76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76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76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76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76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76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76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76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76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76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76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76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76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76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76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76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76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76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76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76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76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76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76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76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76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26:C26"/>
  </mergeCells>
  <hyperlinks>
    <hyperlink display="Product Sales" location="null!D2" ref="A4"/>
    <hyperlink display="FOOD" location="EXPENSES!B3" ref="A5"/>
    <hyperlink display="PAPER ITEMS" location="EXPENSES!B3" ref="A6"/>
    <hyperlink display="DISTRIBUTION COST" location="EXPENSES!B3" ref="A7"/>
    <hyperlink display="EMPLOYEE MEAL" location="EXPENSES!B3" ref="A10"/>
    <hyperlink display="M&amp;R" location="EXPENSES!B3" ref="A12"/>
    <hyperlink display="UNIFORM" location="EXPENSES!B3" ref="A13"/>
    <hyperlink display="UTILITIES" location="null!AB301" ref="A1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29"/>
    <col customWidth="1" min="2" max="2" width="11.29"/>
    <col customWidth="1" min="3" max="3" width="25.14"/>
    <col customWidth="1" min="4" max="4" width="11.43"/>
    <col customWidth="1" min="5" max="5" width="43.14"/>
    <col customWidth="1" min="6" max="6" width="10.71"/>
    <col customWidth="1" min="7" max="7" width="12.29"/>
    <col customWidth="1" min="8" max="8" width="11.0"/>
    <col customWidth="1" min="9" max="9" width="14.0"/>
    <col customWidth="1" min="10" max="10" width="15.29"/>
    <col customWidth="1" min="11" max="11" width="33.0"/>
    <col customWidth="1" min="12" max="12" width="12.86"/>
    <col customWidth="1" min="13" max="27" width="10.0"/>
  </cols>
  <sheetData>
    <row r="1">
      <c r="A1" s="85" t="s">
        <v>35</v>
      </c>
      <c r="B1" s="86"/>
      <c r="C1" s="86"/>
      <c r="D1" s="86"/>
      <c r="E1" s="86"/>
      <c r="F1" s="86"/>
      <c r="G1" s="86"/>
      <c r="H1" s="86"/>
      <c r="I1" s="86"/>
      <c r="J1" s="86"/>
      <c r="K1" s="87"/>
    </row>
    <row r="2">
      <c r="A2" s="88" t="s">
        <v>36</v>
      </c>
      <c r="B2" s="89" t="s">
        <v>37</v>
      </c>
      <c r="C2" s="89" t="s">
        <v>38</v>
      </c>
      <c r="D2" s="90" t="s">
        <v>39</v>
      </c>
      <c r="E2" s="91" t="s">
        <v>40</v>
      </c>
      <c r="F2" s="91" t="s">
        <v>41</v>
      </c>
      <c r="G2" s="91" t="s">
        <v>42</v>
      </c>
      <c r="H2" s="91" t="s">
        <v>43</v>
      </c>
      <c r="I2" s="91" t="s">
        <v>44</v>
      </c>
      <c r="J2" s="91" t="s">
        <v>45</v>
      </c>
      <c r="K2" s="92" t="s">
        <v>46</v>
      </c>
    </row>
    <row r="3">
      <c r="A3" s="93"/>
      <c r="B3" s="94">
        <v>46055.0</v>
      </c>
      <c r="C3" s="95" t="s">
        <v>47</v>
      </c>
      <c r="D3" s="96">
        <v>7.0</v>
      </c>
      <c r="E3" s="97" t="str">
        <f>IFERROR(VLOOKUP(D3,'INVONTERY FEB'!$A$6:$B$432,2,FALSE),"")</f>
        <v>EGGS</v>
      </c>
      <c r="F3" s="98" t="str">
        <f>IFERROR(VLOOKUP(E3,'INVONTERY FEB'!$B$6:$C$432,2,FALSE),"")</f>
        <v>PCS</v>
      </c>
      <c r="G3" s="99">
        <f>20600/720</f>
        <v>28.61111111</v>
      </c>
      <c r="H3" s="100">
        <v>720.0</v>
      </c>
      <c r="I3" s="101">
        <f t="shared" ref="I3:I468" si="1">IFERROR((H3*G3),"")</f>
        <v>20600</v>
      </c>
      <c r="J3" s="102"/>
      <c r="K3" s="103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>
      <c r="A4" s="93"/>
      <c r="B4" s="94">
        <v>46056.0</v>
      </c>
      <c r="C4" s="95" t="s">
        <v>48</v>
      </c>
      <c r="D4" s="96">
        <v>42.0</v>
      </c>
      <c r="E4" s="97" t="str">
        <f>IFERROR(VLOOKUP(D4,'INVONTERY FEB'!$A$6:$B$432,2,FALSE),"")</f>
        <v>PISTACHIO SAPREAD</v>
      </c>
      <c r="F4" s="98" t="str">
        <f>IFERROR(VLOOKUP(E4,'INVONTERY FEB'!$B$6:$C$432,2,FALSE),"")</f>
        <v>KG</v>
      </c>
      <c r="G4" s="99">
        <f>IFERROR(VLOOKUP(E4,'INVONTERY FEB'!$B$6:$D$131,3,FALSE),"")</f>
        <v>5200</v>
      </c>
      <c r="H4" s="100">
        <v>9.0</v>
      </c>
      <c r="I4" s="101">
        <f t="shared" si="1"/>
        <v>46800</v>
      </c>
      <c r="J4" s="102"/>
      <c r="K4" s="103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</row>
    <row r="5">
      <c r="A5" s="93"/>
      <c r="B5" s="94">
        <v>46057.0</v>
      </c>
      <c r="C5" s="95" t="s">
        <v>47</v>
      </c>
      <c r="D5" s="96">
        <v>7.0</v>
      </c>
      <c r="E5" s="97" t="str">
        <f>IFERROR(VLOOKUP(D5,'INVONTERY FEB'!$A$6:$B$432,2,FALSE),"")</f>
        <v>EGGS</v>
      </c>
      <c r="F5" s="98" t="str">
        <f>IFERROR(VLOOKUP(E5,'INVONTERY FEB'!$B$6:$C$432,2,FALSE),"")</f>
        <v>PCS</v>
      </c>
      <c r="G5" s="99">
        <f>9500/360</f>
        <v>26.38888889</v>
      </c>
      <c r="H5" s="100">
        <v>360.0</v>
      </c>
      <c r="I5" s="101">
        <f t="shared" si="1"/>
        <v>9500</v>
      </c>
      <c r="J5" s="102"/>
      <c r="K5" s="103"/>
      <c r="L5" s="105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</row>
    <row r="6">
      <c r="A6" s="93"/>
      <c r="B6" s="94">
        <v>46057.0</v>
      </c>
      <c r="C6" s="95" t="s">
        <v>49</v>
      </c>
      <c r="D6" s="96">
        <v>56.0</v>
      </c>
      <c r="E6" s="97" t="str">
        <f>IFERROR(VLOOKUP(D6,'INVONTERY FEB'!$A$6:$B$432,2,FALSE),"")</f>
        <v>FERRY ROSE</v>
      </c>
      <c r="F6" s="98" t="str">
        <f>IFERROR(VLOOKUP(E6,'INVONTERY FEB'!$B$6:$C$432,2,FALSE),"")</f>
        <v>BOX</v>
      </c>
      <c r="G6" s="99">
        <f>IFERROR(VLOOKUP(E6,'INVONTERY FEB'!$B$6:$D$131,3,FALSE),"")</f>
        <v>1000</v>
      </c>
      <c r="H6" s="100">
        <v>10.0</v>
      </c>
      <c r="I6" s="101">
        <f t="shared" si="1"/>
        <v>10000</v>
      </c>
      <c r="J6" s="102"/>
      <c r="K6" s="106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</row>
    <row r="7">
      <c r="A7" s="93"/>
      <c r="B7" s="94">
        <v>46057.0</v>
      </c>
      <c r="C7" s="95" t="s">
        <v>49</v>
      </c>
      <c r="D7" s="96">
        <v>37.0</v>
      </c>
      <c r="E7" s="97" t="str">
        <f>IFERROR(VLOOKUP(D7,'INVONTERY FEB'!$A$6:$B$432,2,FALSE),"")</f>
        <v>HISS CHOCLATE 2 RINGS</v>
      </c>
      <c r="F7" s="98" t="str">
        <f>IFERROR(VLOOKUP(E7,'INVONTERY FEB'!$B$6:$C$432,2,FALSE),"")</f>
        <v>BOX</v>
      </c>
      <c r="G7" s="99">
        <f>16000/18</f>
        <v>888.8888889</v>
      </c>
      <c r="H7" s="100">
        <v>18.0</v>
      </c>
      <c r="I7" s="101">
        <f t="shared" si="1"/>
        <v>16000</v>
      </c>
      <c r="J7" s="102"/>
      <c r="K7" s="106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</row>
    <row r="8">
      <c r="A8" s="93"/>
      <c r="B8" s="94">
        <v>46057.0</v>
      </c>
      <c r="C8" s="95" t="s">
        <v>49</v>
      </c>
      <c r="D8" s="96">
        <v>38.0</v>
      </c>
      <c r="E8" s="97" t="str">
        <f>IFERROR(VLOOKUP(D8,'INVONTERY FEB'!$A$6:$B$432,2,FALSE),"")</f>
        <v>DAIRY MILK</v>
      </c>
      <c r="F8" s="98" t="str">
        <f>IFERROR(VLOOKUP(E8,'INVONTERY FEB'!$B$6:$C$432,2,FALSE),"")</f>
        <v>BOX</v>
      </c>
      <c r="G8" s="99">
        <f>10500/24</f>
        <v>437.5</v>
      </c>
      <c r="H8" s="100">
        <v>24.0</v>
      </c>
      <c r="I8" s="101">
        <f t="shared" si="1"/>
        <v>10500</v>
      </c>
      <c r="J8" s="102"/>
      <c r="K8" s="106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</row>
    <row r="9">
      <c r="A9" s="93"/>
      <c r="B9" s="94">
        <v>46057.0</v>
      </c>
      <c r="C9" s="95" t="s">
        <v>49</v>
      </c>
      <c r="D9" s="96">
        <v>50.0</v>
      </c>
      <c r="E9" s="97" t="str">
        <f>IFERROR(VLOOKUP(D9,'INVONTERY FEB'!$A$6:$B$432,2,FALSE),"")</f>
        <v>ALMONDS</v>
      </c>
      <c r="F9" s="98" t="str">
        <f>IFERROR(VLOOKUP(E9,'INVONTERY FEB'!$B$6:$C$432,2,FALSE),"")</f>
        <v>KG</v>
      </c>
      <c r="G9" s="99">
        <f>13250/5</f>
        <v>2650</v>
      </c>
      <c r="H9" s="100">
        <v>5.0</v>
      </c>
      <c r="I9" s="101">
        <f t="shared" si="1"/>
        <v>13250</v>
      </c>
      <c r="J9" s="102"/>
      <c r="K9" s="106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</row>
    <row r="10">
      <c r="A10" s="93"/>
      <c r="B10" s="94">
        <v>46057.0</v>
      </c>
      <c r="C10" s="95" t="s">
        <v>49</v>
      </c>
      <c r="D10" s="96">
        <v>52.0</v>
      </c>
      <c r="E10" s="97" t="str">
        <f>IFERROR(VLOOKUP(D10,'INVONTERY FEB'!$A$6:$B$432,2,FALSE),"")</f>
        <v>PISTACHIO</v>
      </c>
      <c r="F10" s="98" t="str">
        <f>IFERROR(VLOOKUP(E10,'INVONTERY FEB'!$B$6:$C$432,2,FALSE),"")</f>
        <v>KG</v>
      </c>
      <c r="G10" s="99">
        <f>18600/3</f>
        <v>6200</v>
      </c>
      <c r="H10" s="100">
        <v>3.0</v>
      </c>
      <c r="I10" s="101">
        <f t="shared" si="1"/>
        <v>18600</v>
      </c>
      <c r="J10" s="102"/>
      <c r="K10" s="106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</row>
    <row r="11">
      <c r="A11" s="93"/>
      <c r="B11" s="94">
        <v>46057.0</v>
      </c>
      <c r="C11" s="95" t="s">
        <v>49</v>
      </c>
      <c r="D11" s="96">
        <v>83.0</v>
      </c>
      <c r="E11" s="97" t="str">
        <f>IFERROR(VLOOKUP(D11,'INVONTERY FEB'!$A$6:$B$432,2,FALSE),"")</f>
        <v>RED SPONCH FOOD COLOUR 400GMS</v>
      </c>
      <c r="F11" s="98" t="str">
        <f>IFERROR(VLOOKUP(E11,'INVONTERY FEB'!$B$6:$C$432,2,FALSE),"")</f>
        <v>BOTT</v>
      </c>
      <c r="G11" s="99">
        <f>IFERROR(VLOOKUP(E11,'INVONTERY FEB'!$B$6:$D$131,3,FALSE),"")</f>
        <v>650</v>
      </c>
      <c r="H11" s="100">
        <v>2.0</v>
      </c>
      <c r="I11" s="101">
        <f t="shared" si="1"/>
        <v>1300</v>
      </c>
      <c r="J11" s="102"/>
      <c r="K11" s="106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</row>
    <row r="12">
      <c r="A12" s="93"/>
      <c r="B12" s="94">
        <v>46057.0</v>
      </c>
      <c r="C12" s="95" t="s">
        <v>49</v>
      </c>
      <c r="D12" s="96">
        <v>13.0</v>
      </c>
      <c r="E12" s="97" t="str">
        <f>IFERROR(VLOOKUP(D12,'INVONTERY FEB'!$A$6:$B$432,2,FALSE),"")</f>
        <v>BAKING POWDER HOLIDAY</v>
      </c>
      <c r="F12" s="98" t="str">
        <f>IFERROR(VLOOKUP(E12,'INVONTERY FEB'!$B$6:$C$432,2,FALSE),"")</f>
        <v>KG</v>
      </c>
      <c r="G12" s="99">
        <f>IFERROR(VLOOKUP(E12,'INVONTERY FEB'!$B$6:$D$131,3,FALSE),"")</f>
        <v>2000</v>
      </c>
      <c r="H12" s="100">
        <v>5.0</v>
      </c>
      <c r="I12" s="101">
        <f t="shared" si="1"/>
        <v>10000</v>
      </c>
      <c r="J12" s="102"/>
      <c r="K12" s="106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</row>
    <row r="13">
      <c r="A13" s="93"/>
      <c r="B13" s="94">
        <v>46057.0</v>
      </c>
      <c r="C13" s="95" t="s">
        <v>50</v>
      </c>
      <c r="D13" s="96">
        <v>56.0</v>
      </c>
      <c r="E13" s="97" t="str">
        <f>IFERROR(VLOOKUP(D13,'INVONTERY FEB'!$A$6:$B$432,2,FALSE),"")</f>
        <v>FERRY ROSE</v>
      </c>
      <c r="F13" s="98" t="str">
        <f>IFERROR(VLOOKUP(E13,'INVONTERY FEB'!$B$6:$C$432,2,FALSE),"")</f>
        <v>BOX</v>
      </c>
      <c r="G13" s="99">
        <f>IFERROR(VLOOKUP(E13,'INVONTERY FEB'!$B$6:$D$131,3,FALSE),"")</f>
        <v>1000</v>
      </c>
      <c r="H13" s="100">
        <v>1.0</v>
      </c>
      <c r="I13" s="101">
        <f t="shared" si="1"/>
        <v>1000</v>
      </c>
      <c r="J13" s="102"/>
      <c r="K13" s="106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</row>
    <row r="14">
      <c r="A14" s="93"/>
      <c r="B14" s="94">
        <v>46057.0</v>
      </c>
      <c r="C14" s="95" t="s">
        <v>50</v>
      </c>
      <c r="D14" s="96">
        <v>122.0</v>
      </c>
      <c r="E14" s="97" t="str">
        <f>IFERROR(VLOOKUP(D14,'INVONTERY FEB'!$A$6:$B$432,2,FALSE),"")</f>
        <v>DISSPOSSABLE PACKING</v>
      </c>
      <c r="F14" s="98" t="str">
        <f>IFERROR(VLOOKUP(E14,'INVONTERY FEB'!$B$6:$C$432,2,FALSE),"")</f>
        <v>PCS</v>
      </c>
      <c r="G14" s="99">
        <f>4200/600</f>
        <v>7</v>
      </c>
      <c r="H14" s="100">
        <v>600.0</v>
      </c>
      <c r="I14" s="101">
        <f t="shared" si="1"/>
        <v>4200</v>
      </c>
      <c r="J14" s="102"/>
      <c r="K14" s="106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</row>
    <row r="15">
      <c r="A15" s="93"/>
      <c r="B15" s="94">
        <v>46058.0</v>
      </c>
      <c r="C15" s="95" t="s">
        <v>47</v>
      </c>
      <c r="D15" s="96">
        <v>7.0</v>
      </c>
      <c r="E15" s="97" t="str">
        <f>IFERROR(VLOOKUP(D15,'INVONTERY FEB'!$A$6:$B$432,2,FALSE),"")</f>
        <v>EGGS</v>
      </c>
      <c r="F15" s="98" t="str">
        <f>IFERROR(VLOOKUP(E15,'INVONTERY FEB'!$B$6:$C$432,2,FALSE),"")</f>
        <v>PCS</v>
      </c>
      <c r="G15" s="99">
        <f t="shared" ref="G15:G16" si="2">9000/360</f>
        <v>25</v>
      </c>
      <c r="H15" s="100">
        <v>360.0</v>
      </c>
      <c r="I15" s="101">
        <f t="shared" si="1"/>
        <v>9000</v>
      </c>
      <c r="J15" s="102"/>
      <c r="K15" s="106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</row>
    <row r="16">
      <c r="A16" s="93"/>
      <c r="B16" s="94">
        <v>46061.0</v>
      </c>
      <c r="C16" s="95" t="s">
        <v>47</v>
      </c>
      <c r="D16" s="96">
        <v>7.0</v>
      </c>
      <c r="E16" s="97" t="str">
        <f>IFERROR(VLOOKUP(D16,'INVONTERY FEB'!$A$6:$B$432,2,FALSE),"")</f>
        <v>EGGS</v>
      </c>
      <c r="F16" s="98" t="str">
        <f>IFERROR(VLOOKUP(E16,'INVONTERY FEB'!$B$6:$C$432,2,FALSE),"")</f>
        <v>PCS</v>
      </c>
      <c r="G16" s="99">
        <f t="shared" si="2"/>
        <v>25</v>
      </c>
      <c r="H16" s="100">
        <v>360.0</v>
      </c>
      <c r="I16" s="101">
        <f t="shared" si="1"/>
        <v>9000</v>
      </c>
      <c r="J16" s="102"/>
      <c r="K16" s="106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</row>
    <row r="17">
      <c r="A17" s="93"/>
      <c r="B17" s="94">
        <v>46062.0</v>
      </c>
      <c r="C17" s="95" t="s">
        <v>47</v>
      </c>
      <c r="D17" s="96">
        <v>7.0</v>
      </c>
      <c r="E17" s="97" t="str">
        <f>IFERROR(VLOOKUP(D17,'INVONTERY FEB'!$A$6:$B$432,2,FALSE),"")</f>
        <v>EGGS</v>
      </c>
      <c r="F17" s="98" t="str">
        <f>IFERROR(VLOOKUP(E17,'INVONTERY FEB'!$B$6:$C$432,2,FALSE),"")</f>
        <v>PCS</v>
      </c>
      <c r="G17" s="99">
        <f>8500/360</f>
        <v>23.61111111</v>
      </c>
      <c r="H17" s="100">
        <v>360.0</v>
      </c>
      <c r="I17" s="101">
        <f t="shared" si="1"/>
        <v>8500</v>
      </c>
      <c r="J17" s="102"/>
      <c r="K17" s="106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</row>
    <row r="18">
      <c r="A18" s="93"/>
      <c r="B18" s="94">
        <v>46062.0</v>
      </c>
      <c r="C18" s="95" t="s">
        <v>51</v>
      </c>
      <c r="D18" s="96">
        <v>43.0</v>
      </c>
      <c r="E18" s="97" t="str">
        <f>IFERROR(VLOOKUP(D18,'INVONTERY FEB'!$A$6:$B$432,2,FALSE),"")</f>
        <v>OLPERS CREAM 200 ML</v>
      </c>
      <c r="F18" s="98" t="str">
        <f>IFERROR(VLOOKUP(E18,'INVONTERY FEB'!$B$6:$C$432,2,FALSE),"")</f>
        <v>PCS</v>
      </c>
      <c r="G18" s="99">
        <f>IFERROR(VLOOKUP(E18,'INVONTERY FEB'!$B$6:$D$131,3,FALSE),"")</f>
        <v>207.2819672</v>
      </c>
      <c r="H18" s="100">
        <v>240.0</v>
      </c>
      <c r="I18" s="101">
        <f t="shared" si="1"/>
        <v>49747.67213</v>
      </c>
      <c r="J18" s="102"/>
      <c r="K18" s="106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</row>
    <row r="19">
      <c r="A19" s="93"/>
      <c r="B19" s="94">
        <v>46062.0</v>
      </c>
      <c r="C19" s="95" t="s">
        <v>50</v>
      </c>
      <c r="D19" s="96">
        <v>31.0</v>
      </c>
      <c r="E19" s="97" t="str">
        <f>IFERROR(VLOOKUP(D19,'INVONTERY FEB'!$A$6:$B$432,2,FALSE),"")</f>
        <v>NURPUR BUTTER</v>
      </c>
      <c r="F19" s="98" t="str">
        <f>IFERROR(VLOOKUP(E19,'INVONTERY FEB'!$B$6:$C$432,2,FALSE),"")</f>
        <v>KG</v>
      </c>
      <c r="G19" s="99">
        <f>19500/10</f>
        <v>1950</v>
      </c>
      <c r="H19" s="100">
        <v>10.0</v>
      </c>
      <c r="I19" s="101">
        <f t="shared" si="1"/>
        <v>19500</v>
      </c>
      <c r="J19" s="102"/>
      <c r="K19" s="106"/>
      <c r="L19" s="107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</row>
    <row r="20">
      <c r="A20" s="93"/>
      <c r="B20" s="94">
        <v>46062.0</v>
      </c>
      <c r="C20" s="95" t="s">
        <v>48</v>
      </c>
      <c r="D20" s="96">
        <v>61.0</v>
      </c>
      <c r="E20" s="97" t="str">
        <f>IFERROR(VLOOKUP(D20,'INVONTERY FEB'!$A$6:$B$432,2,FALSE),"")</f>
        <v>LOTO SPREAD 400G</v>
      </c>
      <c r="F20" s="98" t="str">
        <f>IFERROR(VLOOKUP(E20,'INVONTERY FEB'!$B$6:$C$432,2,FALSE),"")</f>
        <v>PCS</v>
      </c>
      <c r="G20" s="99">
        <f>IFERROR(VLOOKUP(E20,'INVONTERY FEB'!$B$6:$D$131,3,FALSE),"")</f>
        <v>1750</v>
      </c>
      <c r="H20" s="108">
        <f>12*12</f>
        <v>144</v>
      </c>
      <c r="I20" s="101">
        <f t="shared" si="1"/>
        <v>252000</v>
      </c>
      <c r="J20" s="102"/>
      <c r="K20" s="106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</row>
    <row r="21" ht="15.75" customHeight="1">
      <c r="A21" s="93"/>
      <c r="B21" s="94">
        <v>46063.0</v>
      </c>
      <c r="C21" s="95" t="s">
        <v>48</v>
      </c>
      <c r="D21" s="96">
        <v>47.0</v>
      </c>
      <c r="E21" s="97" t="str">
        <f>IFERROR(VLOOKUP(D21,'INVONTERY FEB'!$A$6:$B$432,2,FALSE),"")</f>
        <v>LOTUS BISCOFF</v>
      </c>
      <c r="F21" s="98" t="str">
        <f>IFERROR(VLOOKUP(E21,'INVONTERY FEB'!$B$6:$C$432,2,FALSE),"")</f>
        <v>PKT</v>
      </c>
      <c r="G21" s="99">
        <f>IFERROR(VLOOKUP(E21,'INVONTERY FEB'!$B$6:$D$131,3,FALSE),"")</f>
        <v>1100</v>
      </c>
      <c r="H21" s="100">
        <v>50.0</v>
      </c>
      <c r="I21" s="101">
        <f t="shared" si="1"/>
        <v>55000</v>
      </c>
      <c r="J21" s="102"/>
      <c r="K21" s="106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</row>
    <row r="22" ht="15.75" customHeight="1">
      <c r="A22" s="93"/>
      <c r="B22" s="94">
        <v>46064.0</v>
      </c>
      <c r="C22" s="95" t="s">
        <v>48</v>
      </c>
      <c r="D22" s="96">
        <v>29.0</v>
      </c>
      <c r="E22" s="97" t="str">
        <f>IFERROR(VLOOKUP(D22,'INVONTERY FEB'!$A$6:$B$432,2,FALSE),"")</f>
        <v>WHIPPING CREAM</v>
      </c>
      <c r="F22" s="98" t="str">
        <f>IFERROR(VLOOKUP(E22,'INVONTERY FEB'!$B$6:$C$432,2,FALSE),"")</f>
        <v>PCS</v>
      </c>
      <c r="G22" s="99">
        <f>IFERROR(VLOOKUP(E22,'INVONTERY FEB'!$B$6:$D$131,3,FALSE),"")</f>
        <v>700</v>
      </c>
      <c r="H22" s="100">
        <v>216.0</v>
      </c>
      <c r="I22" s="101">
        <f t="shared" si="1"/>
        <v>151200</v>
      </c>
      <c r="J22" s="102"/>
      <c r="K22" s="106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ht="15.75" customHeight="1">
      <c r="A23" s="93"/>
      <c r="B23" s="94">
        <v>46064.0</v>
      </c>
      <c r="C23" s="95" t="s">
        <v>48</v>
      </c>
      <c r="D23" s="96">
        <v>10.0</v>
      </c>
      <c r="E23" s="97" t="str">
        <f>IFERROR(VLOOKUP(D23,'INVONTERY FEB'!$A$6:$B$432,2,FALSE),"")</f>
        <v>COCO POWDER MALASIAN</v>
      </c>
      <c r="F23" s="98" t="str">
        <f>IFERROR(VLOOKUP(E23,'INVONTERY FEB'!$B$6:$C$432,2,FALSE),"")</f>
        <v>KG</v>
      </c>
      <c r="G23" s="99">
        <f>195800/50</f>
        <v>3916</v>
      </c>
      <c r="H23" s="100">
        <v>50.0</v>
      </c>
      <c r="I23" s="101">
        <f t="shared" si="1"/>
        <v>195800</v>
      </c>
      <c r="J23" s="102"/>
      <c r="K23" s="106"/>
      <c r="L23" s="109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ht="15.75" customHeight="1">
      <c r="A24" s="93"/>
      <c r="B24" s="94">
        <v>46064.0</v>
      </c>
      <c r="C24" s="95" t="s">
        <v>52</v>
      </c>
      <c r="D24" s="96">
        <v>98.0</v>
      </c>
      <c r="E24" s="97" t="str">
        <f>IFERROR(VLOOKUP(D24,'INVONTERY FEB'!$A$6:$B$432,2,FALSE),"")</f>
        <v>VIBGOR FOOD COLOUR</v>
      </c>
      <c r="F24" s="98" t="str">
        <f>IFERROR(VLOOKUP(E24,'INVONTERY FEB'!$B$6:$C$432,2,FALSE),"")</f>
        <v>BOTT</v>
      </c>
      <c r="G24" s="99">
        <f>1875/3</f>
        <v>625</v>
      </c>
      <c r="H24" s="100">
        <v>3.0</v>
      </c>
      <c r="I24" s="101">
        <f t="shared" si="1"/>
        <v>1875</v>
      </c>
      <c r="J24" s="102"/>
      <c r="K24" s="106"/>
      <c r="L24" s="109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ht="15.75" customHeight="1">
      <c r="A25" s="93"/>
      <c r="B25" s="94">
        <v>46064.0</v>
      </c>
      <c r="C25" s="95" t="s">
        <v>47</v>
      </c>
      <c r="D25" s="96">
        <v>7.0</v>
      </c>
      <c r="E25" s="97" t="str">
        <f>IFERROR(VLOOKUP(D25,'INVONTERY FEB'!$A$6:$B$432,2,FALSE),"")</f>
        <v>EGGS</v>
      </c>
      <c r="F25" s="98" t="str">
        <f>IFERROR(VLOOKUP(E25,'INVONTERY FEB'!$B$6:$C$432,2,FALSE),"")</f>
        <v>PCS</v>
      </c>
      <c r="G25" s="99">
        <f>8500/360</f>
        <v>23.61111111</v>
      </c>
      <c r="H25" s="100">
        <v>360.0</v>
      </c>
      <c r="I25" s="101">
        <f t="shared" si="1"/>
        <v>8500</v>
      </c>
      <c r="J25" s="102"/>
      <c r="K25" s="106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ht="15.75" customHeight="1">
      <c r="A26" s="93"/>
      <c r="B26" s="94">
        <v>46064.0</v>
      </c>
      <c r="C26" s="95" t="s">
        <v>49</v>
      </c>
      <c r="D26" s="96">
        <v>19.0</v>
      </c>
      <c r="E26" s="97" t="str">
        <f>IFERROR(VLOOKUP(D26,'INVONTERY FEB'!$A$6:$B$432,2,FALSE),"")</f>
        <v>GULCOSE LIQUID</v>
      </c>
      <c r="F26" s="98" t="str">
        <f>IFERROR(VLOOKUP(E26,'INVONTERY FEB'!$B$6:$C$432,2,FALSE),"")</f>
        <v>BOTT</v>
      </c>
      <c r="G26" s="99">
        <f>1750/1</f>
        <v>1750</v>
      </c>
      <c r="H26" s="100">
        <v>1.0</v>
      </c>
      <c r="I26" s="101">
        <f t="shared" si="1"/>
        <v>1750</v>
      </c>
      <c r="J26" s="102"/>
      <c r="K26" s="106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ht="15.75" customHeight="1">
      <c r="A27" s="93"/>
      <c r="B27" s="94">
        <v>46064.0</v>
      </c>
      <c r="C27" s="95" t="s">
        <v>49</v>
      </c>
      <c r="D27" s="96">
        <v>8.0</v>
      </c>
      <c r="E27" s="97" t="str">
        <f>IFERROR(VLOOKUP(D27,'INVONTERY FEB'!$A$6:$B$432,2,FALSE),"")</f>
        <v>POLAC CONDENSED MILK 1-LTR</v>
      </c>
      <c r="F27" s="98" t="str">
        <f>IFERROR(VLOOKUP(E27,'INVONTERY FEB'!$B$6:$C$432,2,FALSE),"")</f>
        <v>TIN</v>
      </c>
      <c r="G27" s="99">
        <f>11900/17</f>
        <v>700</v>
      </c>
      <c r="H27" s="100">
        <v>17.0</v>
      </c>
      <c r="I27" s="101">
        <f t="shared" si="1"/>
        <v>11900</v>
      </c>
      <c r="J27" s="102"/>
      <c r="K27" s="106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ht="15.75" customHeight="1">
      <c r="A28" s="93"/>
      <c r="B28" s="94">
        <v>46065.0</v>
      </c>
      <c r="C28" s="95" t="s">
        <v>47</v>
      </c>
      <c r="D28" s="96">
        <v>7.0</v>
      </c>
      <c r="E28" s="97" t="str">
        <f>IFERROR(VLOOKUP(D28,'INVONTERY FEB'!$A$6:$B$432,2,FALSE),"")</f>
        <v>EGGS</v>
      </c>
      <c r="F28" s="98" t="str">
        <f>IFERROR(VLOOKUP(E28,'INVONTERY FEB'!$B$6:$C$432,2,FALSE),"")</f>
        <v>PCS</v>
      </c>
      <c r="G28" s="99">
        <f>8500/360</f>
        <v>23.61111111</v>
      </c>
      <c r="H28" s="100">
        <v>360.0</v>
      </c>
      <c r="I28" s="101">
        <f t="shared" si="1"/>
        <v>8500</v>
      </c>
      <c r="J28" s="102"/>
      <c r="K28" s="106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ht="15.75" customHeight="1">
      <c r="A29" s="93"/>
      <c r="B29" s="94">
        <v>46066.0</v>
      </c>
      <c r="C29" s="95" t="s">
        <v>53</v>
      </c>
      <c r="D29" s="96">
        <v>28.0</v>
      </c>
      <c r="E29" s="97" t="str">
        <f>IFERROR(VLOOKUP(D29,'INVONTERY FEB'!$A$6:$B$432,2,FALSE),"")</f>
        <v>NESTLE BUTTER</v>
      </c>
      <c r="F29" s="98" t="str">
        <f>IFERROR(VLOOKUP(E29,'INVONTERY FEB'!$B$6:$C$432,2,FALSE),"")</f>
        <v>KG</v>
      </c>
      <c r="G29" s="99">
        <f>IFERROR(VLOOKUP(E29,'INVONTERY FEB'!$B$6:$D$131,3,FALSE),"")</f>
        <v>1850</v>
      </c>
      <c r="H29" s="100">
        <v>20.0</v>
      </c>
      <c r="I29" s="101">
        <f t="shared" si="1"/>
        <v>37000</v>
      </c>
      <c r="J29" s="102"/>
      <c r="K29" s="106"/>
      <c r="L29" s="109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ht="15.75" customHeight="1">
      <c r="A30" s="93"/>
      <c r="B30" s="94">
        <v>46066.0</v>
      </c>
      <c r="C30" s="95" t="s">
        <v>47</v>
      </c>
      <c r="D30" s="96">
        <v>7.0</v>
      </c>
      <c r="E30" s="97" t="str">
        <f>IFERROR(VLOOKUP(D30,'INVONTERY FEB'!$A$6:$B$432,2,FALSE),"")</f>
        <v>EGGS</v>
      </c>
      <c r="F30" s="98" t="str">
        <f>IFERROR(VLOOKUP(E30,'INVONTERY FEB'!$B$6:$C$432,2,FALSE),"")</f>
        <v>PCS</v>
      </c>
      <c r="G30" s="99">
        <f>8500/360</f>
        <v>23.61111111</v>
      </c>
      <c r="H30" s="100">
        <v>360.0</v>
      </c>
      <c r="I30" s="101">
        <f t="shared" si="1"/>
        <v>8500</v>
      </c>
      <c r="J30" s="102"/>
      <c r="K30" s="106"/>
      <c r="L30" s="109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ht="15.75" customHeight="1">
      <c r="A31" s="93"/>
      <c r="B31" s="94">
        <v>46066.0</v>
      </c>
      <c r="C31" s="95" t="s">
        <v>50</v>
      </c>
      <c r="D31" s="96">
        <v>138.0</v>
      </c>
      <c r="E31" s="97" t="str">
        <f>IFERROR(VLOOKUP(D31,'INVONTERY FEB'!$A$6:$B$432,2,FALSE),"")</f>
        <v>DUSTER</v>
      </c>
      <c r="F31" s="98" t="str">
        <f>IFERROR(VLOOKUP(E31,'INVONTERY FEB'!$B$6:$C$432,2,FALSE),"")</f>
        <v>KG</v>
      </c>
      <c r="G31" s="99">
        <f>25069/58.3</f>
        <v>430</v>
      </c>
      <c r="H31" s="100">
        <v>58.3</v>
      </c>
      <c r="I31" s="101">
        <f t="shared" si="1"/>
        <v>25069</v>
      </c>
      <c r="J31" s="102"/>
      <c r="K31" s="106"/>
      <c r="L31" s="109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ht="15.75" customHeight="1">
      <c r="A32" s="93"/>
      <c r="B32" s="94">
        <v>46067.0</v>
      </c>
      <c r="C32" s="95" t="s">
        <v>47</v>
      </c>
      <c r="D32" s="96">
        <v>7.0</v>
      </c>
      <c r="E32" s="97" t="str">
        <f>IFERROR(VLOOKUP(D32,'INVONTERY FEB'!$A$6:$B$432,2,FALSE),"")</f>
        <v>EGGS</v>
      </c>
      <c r="F32" s="98" t="str">
        <f>IFERROR(VLOOKUP(E32,'INVONTERY FEB'!$B$6:$C$432,2,FALSE),"")</f>
        <v>PCS</v>
      </c>
      <c r="G32" s="99">
        <f>8000/360</f>
        <v>22.22222222</v>
      </c>
      <c r="H32" s="100">
        <v>360.0</v>
      </c>
      <c r="I32" s="101">
        <f t="shared" si="1"/>
        <v>8000</v>
      </c>
      <c r="J32" s="102"/>
      <c r="K32" s="106"/>
      <c r="L32" s="109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ht="15.75" customHeight="1">
      <c r="A33" s="93"/>
      <c r="B33" s="94">
        <v>46067.0</v>
      </c>
      <c r="C33" s="95" t="s">
        <v>52</v>
      </c>
      <c r="D33" s="96">
        <v>85.0</v>
      </c>
      <c r="E33" s="97" t="str">
        <f>IFERROR(VLOOKUP(D33,'INVONTERY FEB'!$A$6:$B$432,2,FALSE),"")</f>
        <v>VIBGYOR BASE FOUNDANT COLOURE</v>
      </c>
      <c r="F33" s="98" t="str">
        <f>IFERROR(VLOOKUP(E33,'INVONTERY FEB'!$B$6:$C$432,2,FALSE),"")</f>
        <v>BOTT</v>
      </c>
      <c r="G33" s="99">
        <f>11130/9</f>
        <v>1236.666667</v>
      </c>
      <c r="H33" s="100">
        <v>9.0</v>
      </c>
      <c r="I33" s="101">
        <f t="shared" si="1"/>
        <v>11130</v>
      </c>
      <c r="J33" s="102"/>
      <c r="K33" s="106"/>
      <c r="L33" s="109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ht="15.75" customHeight="1">
      <c r="A34" s="93"/>
      <c r="B34" s="94">
        <v>46067.0</v>
      </c>
      <c r="C34" s="95" t="s">
        <v>52</v>
      </c>
      <c r="D34" s="96">
        <v>96.0</v>
      </c>
      <c r="E34" s="97" t="str">
        <f>IFERROR(VLOOKUP(D34,'INVONTERY FEB'!$A$6:$B$432,2,FALSE),"")</f>
        <v>SILVER EATABLE COLOURE</v>
      </c>
      <c r="F34" s="98" t="str">
        <f>IFERROR(VLOOKUP(E34,'INVONTERY FEB'!$B$6:$C$432,2,FALSE),"")</f>
        <v>BOTT</v>
      </c>
      <c r="G34" s="99">
        <f>1000/1</f>
        <v>1000</v>
      </c>
      <c r="H34" s="100">
        <v>1.0</v>
      </c>
      <c r="I34" s="101">
        <f t="shared" si="1"/>
        <v>1000</v>
      </c>
      <c r="J34" s="102"/>
      <c r="K34" s="106"/>
      <c r="L34" s="109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ht="15.75" customHeight="1">
      <c r="A35" s="93"/>
      <c r="B35" s="94">
        <v>46067.0</v>
      </c>
      <c r="C35" s="95" t="s">
        <v>51</v>
      </c>
      <c r="D35" s="96">
        <v>9.0</v>
      </c>
      <c r="E35" s="97" t="str">
        <f>IFERROR(VLOOKUP(D35,'INVONTERY FEB'!$A$6:$B$432,2,FALSE),"")</f>
        <v>OLPERS MILK 1.5 LTR</v>
      </c>
      <c r="F35" s="98" t="str">
        <f>IFERROR(VLOOKUP(E35,'INVONTERY FEB'!$B$6:$C$432,2,FALSE),"")</f>
        <v>PCS</v>
      </c>
      <c r="G35" s="99">
        <f>39195/80</f>
        <v>489.9375</v>
      </c>
      <c r="H35" s="100">
        <v>80.0</v>
      </c>
      <c r="I35" s="101">
        <f t="shared" si="1"/>
        <v>39195</v>
      </c>
      <c r="J35" s="102"/>
      <c r="K35" s="106"/>
      <c r="L35" s="109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ht="15.75" customHeight="1">
      <c r="A36" s="93"/>
      <c r="B36" s="94">
        <v>46068.0</v>
      </c>
      <c r="C36" s="95" t="s">
        <v>47</v>
      </c>
      <c r="D36" s="96">
        <v>7.0</v>
      </c>
      <c r="E36" s="97" t="str">
        <f>IFERROR(VLOOKUP(D36,'INVONTERY FEB'!$A$6:$B$432,2,FALSE),"")</f>
        <v>EGGS</v>
      </c>
      <c r="F36" s="98" t="str">
        <f>IFERROR(VLOOKUP(E36,'INVONTERY FEB'!$B$6:$C$432,2,FALSE),"")</f>
        <v>PCS</v>
      </c>
      <c r="G36" s="99">
        <f>7500/360</f>
        <v>20.83333333</v>
      </c>
      <c r="H36" s="100">
        <v>360.0</v>
      </c>
      <c r="I36" s="101">
        <f t="shared" si="1"/>
        <v>7500</v>
      </c>
      <c r="J36" s="102"/>
      <c r="K36" s="106"/>
      <c r="L36" s="109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ht="15.75" customHeight="1">
      <c r="A37" s="93"/>
      <c r="B37" s="94">
        <v>46068.0</v>
      </c>
      <c r="C37" s="95" t="s">
        <v>50</v>
      </c>
      <c r="D37" s="96">
        <v>108.0</v>
      </c>
      <c r="E37" s="97" t="str">
        <f>IFERROR(VLOOKUP(D37,'INVONTERY FEB'!$A$6:$B$432,2,FALSE),"")</f>
        <v>PAPER TRAY 5 POUND</v>
      </c>
      <c r="F37" s="98" t="str">
        <f>IFERROR(VLOOKUP(E37,'INVONTERY FEB'!$B$6:$C$432,2,FALSE),"")</f>
        <v>PCS</v>
      </c>
      <c r="G37" s="99">
        <f>IFERROR(VLOOKUP(E37,'INVONTERY FEB'!$B$6:$D$131,3,FALSE),"")</f>
        <v>40</v>
      </c>
      <c r="H37" s="100">
        <v>20.0</v>
      </c>
      <c r="I37" s="101">
        <f t="shared" si="1"/>
        <v>800</v>
      </c>
      <c r="J37" s="102"/>
      <c r="K37" s="106"/>
      <c r="L37" s="109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ht="15.75" customHeight="1">
      <c r="A38" s="93"/>
      <c r="B38" s="94">
        <v>46068.0</v>
      </c>
      <c r="C38" s="95" t="s">
        <v>50</v>
      </c>
      <c r="D38" s="96">
        <v>110.0</v>
      </c>
      <c r="E38" s="97" t="str">
        <f>IFERROR(VLOOKUP(D38,'INVONTERY FEB'!$A$6:$B$432,2,FALSE),"")</f>
        <v>PAPER TRAY 7 POUND</v>
      </c>
      <c r="F38" s="98" t="str">
        <f>IFERROR(VLOOKUP(E38,'INVONTERY FEB'!$B$6:$C$432,2,FALSE),"")</f>
        <v>PCS</v>
      </c>
      <c r="G38" s="99">
        <f>1100/20</f>
        <v>55</v>
      </c>
      <c r="H38" s="100">
        <v>20.0</v>
      </c>
      <c r="I38" s="101">
        <f t="shared" si="1"/>
        <v>1100</v>
      </c>
      <c r="J38" s="102"/>
      <c r="K38" s="106"/>
      <c r="L38" s="109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ht="15.75" customHeight="1">
      <c r="A39" s="93"/>
      <c r="B39" s="94">
        <v>46068.0</v>
      </c>
      <c r="C39" s="95" t="s">
        <v>50</v>
      </c>
      <c r="D39" s="96">
        <v>111.0</v>
      </c>
      <c r="E39" s="97" t="str">
        <f>IFERROR(VLOOKUP(D39,'INVONTERY FEB'!$A$6:$B$432,2,FALSE),"")</f>
        <v>PAPER TRAY 8 POUND</v>
      </c>
      <c r="F39" s="98" t="str">
        <f>IFERROR(VLOOKUP(E39,'INVONTERY FEB'!$B$6:$C$432,2,FALSE),"")</f>
        <v>PCS</v>
      </c>
      <c r="G39" s="99">
        <f>1300/20</f>
        <v>65</v>
      </c>
      <c r="H39" s="100">
        <v>20.0</v>
      </c>
      <c r="I39" s="101">
        <f t="shared" si="1"/>
        <v>1300</v>
      </c>
      <c r="J39" s="102"/>
      <c r="K39" s="106"/>
      <c r="L39" s="109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ht="15.75" customHeight="1">
      <c r="A40" s="93"/>
      <c r="B40" s="94">
        <v>46068.0</v>
      </c>
      <c r="C40" s="95" t="s">
        <v>50</v>
      </c>
      <c r="D40" s="96">
        <v>107.0</v>
      </c>
      <c r="E40" s="97" t="str">
        <f>IFERROR(VLOOKUP(D40,'INVONTERY FEB'!$A$6:$B$432,2,FALSE),"")</f>
        <v>CAKE SHEET 4 POUND</v>
      </c>
      <c r="F40" s="98" t="str">
        <f>IFERROR(VLOOKUP(E40,'INVONTERY FEB'!$B$6:$C$432,2,FALSE),"")</f>
        <v>PKT</v>
      </c>
      <c r="G40" s="99">
        <f>700/20</f>
        <v>35</v>
      </c>
      <c r="H40" s="100">
        <v>20.0</v>
      </c>
      <c r="I40" s="101">
        <f t="shared" si="1"/>
        <v>700</v>
      </c>
      <c r="J40" s="102"/>
      <c r="K40" s="106"/>
      <c r="L40" s="109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</row>
    <row r="41" ht="15.75" customHeight="1">
      <c r="A41" s="93"/>
      <c r="B41" s="94">
        <v>46068.0</v>
      </c>
      <c r="C41" s="95" t="s">
        <v>50</v>
      </c>
      <c r="D41" s="96">
        <v>116.0</v>
      </c>
      <c r="E41" s="97" t="str">
        <f>IFERROR(VLOOKUP(D41,'INVONTERY FEB'!$A$6:$B$432,2,FALSE),"")</f>
        <v>BROWN PAPER RIM</v>
      </c>
      <c r="F41" s="98" t="str">
        <f>IFERROR(VLOOKUP(E41,'INVONTERY FEB'!$B$6:$C$432,2,FALSE),"")</f>
        <v>RIM</v>
      </c>
      <c r="G41" s="99">
        <f>7000/1</f>
        <v>7000</v>
      </c>
      <c r="H41" s="100">
        <v>1.0</v>
      </c>
      <c r="I41" s="101">
        <f t="shared" si="1"/>
        <v>7000</v>
      </c>
      <c r="J41" s="102"/>
      <c r="K41" s="106"/>
      <c r="L41" s="109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</row>
    <row r="42" ht="15.75" customHeight="1">
      <c r="A42" s="93"/>
      <c r="B42" s="94">
        <v>46068.0</v>
      </c>
      <c r="C42" s="95" t="s">
        <v>50</v>
      </c>
      <c r="D42" s="96">
        <v>117.0</v>
      </c>
      <c r="E42" s="97" t="str">
        <f>IFERROR(VLOOKUP(D42,'INVONTERY FEB'!$A$6:$B$432,2,FALSE),"")</f>
        <v>CAKE PAN PAPER</v>
      </c>
      <c r="F42" s="98" t="str">
        <f>IFERROR(VLOOKUP(E42,'INVONTERY FEB'!$B$6:$C$432,2,FALSE),"")</f>
        <v>PKT</v>
      </c>
      <c r="G42" s="99">
        <f>IFERROR(VLOOKUP(E42,'INVONTERY FEB'!$B$6:$D$131,3,FALSE),"")</f>
        <v>100</v>
      </c>
      <c r="H42" s="100">
        <v>50.0</v>
      </c>
      <c r="I42" s="101">
        <f t="shared" si="1"/>
        <v>5000</v>
      </c>
      <c r="J42" s="102"/>
      <c r="K42" s="106"/>
      <c r="L42" s="109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</row>
    <row r="43" ht="15.75" customHeight="1">
      <c r="A43" s="93"/>
      <c r="B43" s="94">
        <v>46068.0</v>
      </c>
      <c r="C43" s="95" t="s">
        <v>50</v>
      </c>
      <c r="D43" s="96">
        <v>119.0</v>
      </c>
      <c r="E43" s="97" t="str">
        <f>IFERROR(VLOOKUP(D43,'INVONTERY FEB'!$A$6:$B$432,2,FALSE),"")</f>
        <v>THERMAPOL BOLL SHEET</v>
      </c>
      <c r="F43" s="98" t="str">
        <f>IFERROR(VLOOKUP(E43,'INVONTERY FEB'!$B$6:$C$432,2,FALSE),"")</f>
        <v>PKT</v>
      </c>
      <c r="G43" s="99">
        <f>1400/7</f>
        <v>200</v>
      </c>
      <c r="H43" s="100">
        <v>7.0</v>
      </c>
      <c r="I43" s="101">
        <f t="shared" si="1"/>
        <v>1400</v>
      </c>
      <c r="J43" s="102"/>
      <c r="K43" s="106"/>
      <c r="L43" s="109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</row>
    <row r="44" ht="15.75" customHeight="1">
      <c r="A44" s="93"/>
      <c r="B44" s="94">
        <v>46068.0</v>
      </c>
      <c r="C44" s="95" t="s">
        <v>50</v>
      </c>
      <c r="D44" s="96">
        <v>113.0</v>
      </c>
      <c r="E44" s="97" t="str">
        <f>IFERROR(VLOOKUP(D44,'INVONTERY FEB'!$A$6:$B$432,2,FALSE),"")</f>
        <v>MINI MUFFIN CASE</v>
      </c>
      <c r="F44" s="98" t="str">
        <f>IFERROR(VLOOKUP(E44,'INVONTERY FEB'!$B$6:$C$432,2,FALSE),"")</f>
        <v>PCS</v>
      </c>
      <c r="G44" s="99">
        <f>2000/4</f>
        <v>500</v>
      </c>
      <c r="H44" s="100">
        <v>4.0</v>
      </c>
      <c r="I44" s="101">
        <f t="shared" si="1"/>
        <v>2000</v>
      </c>
      <c r="J44" s="102"/>
      <c r="K44" s="111"/>
      <c r="L44" s="105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</row>
    <row r="45" ht="15.75" customHeight="1">
      <c r="A45" s="93"/>
      <c r="B45" s="94">
        <v>46069.0</v>
      </c>
      <c r="C45" s="95" t="s">
        <v>49</v>
      </c>
      <c r="D45" s="96">
        <v>20.0</v>
      </c>
      <c r="E45" s="97" t="str">
        <f>IFERROR(VLOOKUP(D45,'INVONTERY FEB'!$A$6:$B$432,2,FALSE),"")</f>
        <v>POLAC MILK 390 GM</v>
      </c>
      <c r="F45" s="98" t="str">
        <f>IFERROR(VLOOKUP(E45,'INVONTERY FEB'!$B$6:$C$432,2,FALSE),"")</f>
        <v>TIN</v>
      </c>
      <c r="G45" s="99">
        <f>25000/96</f>
        <v>260.4166667</v>
      </c>
      <c r="H45" s="100">
        <f>48+48</f>
        <v>96</v>
      </c>
      <c r="I45" s="101">
        <f t="shared" si="1"/>
        <v>25000</v>
      </c>
      <c r="J45" s="102"/>
      <c r="K45" s="106"/>
      <c r="L45" s="109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</row>
    <row r="46" ht="15.75" customHeight="1">
      <c r="A46" s="93"/>
      <c r="B46" s="94">
        <v>46069.0</v>
      </c>
      <c r="C46" s="95" t="s">
        <v>49</v>
      </c>
      <c r="D46" s="96">
        <v>11.0</v>
      </c>
      <c r="E46" s="97" t="str">
        <f>IFERROR(VLOOKUP(D46,'INVONTERY FEB'!$A$6:$B$432,2,FALSE),"")</f>
        <v>VANILLA ESSENCE 500 GM</v>
      </c>
      <c r="F46" s="98" t="str">
        <f>IFERROR(VLOOKUP(E46,'INVONTERY FEB'!$B$6:$C$432,2,FALSE),"")</f>
        <v>BOTT</v>
      </c>
      <c r="G46" s="99">
        <f>13200/12</f>
        <v>1100</v>
      </c>
      <c r="H46" s="100">
        <v>12.0</v>
      </c>
      <c r="I46" s="101">
        <f t="shared" si="1"/>
        <v>13200</v>
      </c>
      <c r="J46" s="102"/>
      <c r="K46" s="106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</row>
    <row r="47" ht="15.75" customHeight="1">
      <c r="A47" s="93"/>
      <c r="B47" s="94">
        <v>46070.0</v>
      </c>
      <c r="C47" s="95" t="s">
        <v>47</v>
      </c>
      <c r="D47" s="96">
        <v>7.0</v>
      </c>
      <c r="E47" s="97" t="str">
        <f>IFERROR(VLOOKUP(D47,'INVONTERY FEB'!$A$6:$B$432,2,FALSE),"")</f>
        <v>EGGS</v>
      </c>
      <c r="F47" s="98" t="str">
        <f>IFERROR(VLOOKUP(E47,'INVONTERY FEB'!$B$6:$C$432,2,FALSE),"")</f>
        <v>PCS</v>
      </c>
      <c r="G47" s="99">
        <f>7500/360</f>
        <v>20.83333333</v>
      </c>
      <c r="H47" s="100">
        <v>360.0</v>
      </c>
      <c r="I47" s="101">
        <f t="shared" si="1"/>
        <v>7500</v>
      </c>
      <c r="J47" s="102"/>
      <c r="K47" s="106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</row>
    <row r="48" ht="15.75" customHeight="1">
      <c r="A48" s="93"/>
      <c r="B48" s="94">
        <v>46070.0</v>
      </c>
      <c r="C48" s="95" t="s">
        <v>49</v>
      </c>
      <c r="D48" s="96">
        <v>133.0</v>
      </c>
      <c r="E48" s="97" t="str">
        <f>IFERROR(VLOOKUP(D48,'INVONTERY FEB'!$A$6:$B$432,2,FALSE),"")</f>
        <v>VISORS</v>
      </c>
      <c r="F48" s="98" t="str">
        <f>IFERROR(VLOOKUP(E48,'INVONTERY FEB'!$B$6:$C$432,2,FALSE),"")</f>
        <v>PKT</v>
      </c>
      <c r="G48" s="99">
        <f>1800/10</f>
        <v>180</v>
      </c>
      <c r="H48" s="100">
        <v>10.0</v>
      </c>
      <c r="I48" s="101">
        <f t="shared" si="1"/>
        <v>1800</v>
      </c>
      <c r="J48" s="102"/>
      <c r="K48" s="106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</row>
    <row r="49" ht="15.75" customHeight="1">
      <c r="A49" s="93"/>
      <c r="B49" s="94">
        <v>46073.0</v>
      </c>
      <c r="C49" s="95" t="s">
        <v>47</v>
      </c>
      <c r="D49" s="96">
        <v>7.0</v>
      </c>
      <c r="E49" s="97" t="str">
        <f>IFERROR(VLOOKUP(D49,'INVONTERY FEB'!$A$6:$B$432,2,FALSE),"")</f>
        <v>EGGS</v>
      </c>
      <c r="F49" s="98" t="str">
        <f>IFERROR(VLOOKUP(E49,'INVONTERY FEB'!$B$6:$C$432,2,FALSE),"")</f>
        <v>PCS</v>
      </c>
      <c r="G49" s="99">
        <f t="shared" ref="G49:G50" si="3">7500/360</f>
        <v>20.83333333</v>
      </c>
      <c r="H49" s="100">
        <v>360.0</v>
      </c>
      <c r="I49" s="101">
        <f t="shared" si="1"/>
        <v>7500</v>
      </c>
      <c r="J49" s="102"/>
      <c r="K49" s="106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</row>
    <row r="50" ht="15.75" customHeight="1">
      <c r="A50" s="93"/>
      <c r="B50" s="94">
        <v>46075.0</v>
      </c>
      <c r="C50" s="95" t="s">
        <v>47</v>
      </c>
      <c r="D50" s="96">
        <v>7.0</v>
      </c>
      <c r="E50" s="97" t="str">
        <f>IFERROR(VLOOKUP(D50,'INVONTERY FEB'!$A$6:$B$432,2,FALSE),"")</f>
        <v>EGGS</v>
      </c>
      <c r="F50" s="98" t="str">
        <f>IFERROR(VLOOKUP(E50,'INVONTERY FEB'!$B$6:$C$432,2,FALSE),"")</f>
        <v>PCS</v>
      </c>
      <c r="G50" s="99">
        <f t="shared" si="3"/>
        <v>20.83333333</v>
      </c>
      <c r="H50" s="100">
        <v>360.0</v>
      </c>
      <c r="I50" s="101">
        <f t="shared" si="1"/>
        <v>7500</v>
      </c>
      <c r="J50" s="102"/>
      <c r="K50" s="106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</row>
    <row r="51" ht="15.75" customHeight="1">
      <c r="A51" s="93"/>
      <c r="B51" s="94">
        <v>46075.0</v>
      </c>
      <c r="C51" s="95" t="s">
        <v>50</v>
      </c>
      <c r="D51" s="96">
        <v>8.0</v>
      </c>
      <c r="E51" s="97" t="str">
        <f>IFERROR(VLOOKUP(D51,'INVONTERY FEB'!$A$6:$B$432,2,FALSE),"")</f>
        <v>POLAC CONDENSED MILK 1-LTR</v>
      </c>
      <c r="F51" s="98" t="str">
        <f>IFERROR(VLOOKUP(E51,'INVONTERY FEB'!$B$6:$C$432,2,FALSE),"")</f>
        <v>TIN</v>
      </c>
      <c r="G51" s="99">
        <f>IFERROR(VLOOKUP(E51,'INVONTERY FEB'!$B$6:$D$131,3,FALSE),"")</f>
        <v>625</v>
      </c>
      <c r="H51" s="108">
        <f>24*3</f>
        <v>72</v>
      </c>
      <c r="I51" s="101">
        <f t="shared" si="1"/>
        <v>45000</v>
      </c>
      <c r="J51" s="102"/>
      <c r="K51" s="106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</row>
    <row r="52" ht="15.75" customHeight="1">
      <c r="A52" s="93"/>
      <c r="B52" s="94">
        <v>46076.0</v>
      </c>
      <c r="C52" s="95" t="s">
        <v>54</v>
      </c>
      <c r="D52" s="96">
        <v>105.0</v>
      </c>
      <c r="E52" s="97" t="str">
        <f>IFERROR(VLOOKUP(D52,'INVONTERY FEB'!$A$6:$B$432,2,FALSE),"")</f>
        <v>CAKE BOARD PRINTED</v>
      </c>
      <c r="F52" s="98" t="str">
        <f>IFERROR(VLOOKUP(E52,'INVONTERY FEB'!$B$6:$C$432,2,FALSE),"")</f>
        <v>PCS</v>
      </c>
      <c r="G52" s="113">
        <v>31.5</v>
      </c>
      <c r="H52" s="100">
        <v>2000.0</v>
      </c>
      <c r="I52" s="101">
        <f t="shared" si="1"/>
        <v>63000</v>
      </c>
      <c r="J52" s="102"/>
      <c r="K52" s="106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</row>
    <row r="53" ht="15.75" customHeight="1">
      <c r="A53" s="93"/>
      <c r="B53" s="94">
        <v>46074.0</v>
      </c>
      <c r="C53" s="95" t="s">
        <v>51</v>
      </c>
      <c r="D53" s="96">
        <v>43.0</v>
      </c>
      <c r="E53" s="97" t="str">
        <f>IFERROR(VLOOKUP(D53,'INVONTERY FEB'!$A$6:$B$432,2,FALSE),"")</f>
        <v>OLPERS CREAM 200 ML</v>
      </c>
      <c r="F53" s="98" t="str">
        <f>IFERROR(VLOOKUP(E53,'INVONTERY FEB'!$B$6:$C$432,2,FALSE),"")</f>
        <v>PCS</v>
      </c>
      <c r="G53" s="99">
        <f>IFERROR(VLOOKUP(E53,'INVONTERY FEB'!$B$6:$D$131,3,FALSE),"")</f>
        <v>207.2819672</v>
      </c>
      <c r="H53" s="100">
        <v>240.0</v>
      </c>
      <c r="I53" s="101">
        <f t="shared" si="1"/>
        <v>49747.67213</v>
      </c>
      <c r="J53" s="102"/>
      <c r="K53" s="106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</row>
    <row r="54" ht="15.75" customHeight="1">
      <c r="A54" s="93"/>
      <c r="B54" s="94">
        <v>46081.0</v>
      </c>
      <c r="C54" s="95" t="s">
        <v>51</v>
      </c>
      <c r="D54" s="96">
        <v>9.0</v>
      </c>
      <c r="E54" s="97" t="str">
        <f>IFERROR(VLOOKUP(D54,'INVONTERY FEB'!$A$6:$B$432,2,FALSE),"")</f>
        <v>OLPERS MILK 1.5 LTR</v>
      </c>
      <c r="F54" s="98" t="str">
        <f>IFERROR(VLOOKUP(E54,'INVONTERY FEB'!$B$6:$C$432,2,FALSE),"")</f>
        <v>PCS</v>
      </c>
      <c r="G54" s="99">
        <f>IFERROR(VLOOKUP(E54,'INVONTERY FEB'!$B$6:$D$131,3,FALSE),"")</f>
        <v>488.1129032</v>
      </c>
      <c r="H54" s="100">
        <v>80.0</v>
      </c>
      <c r="I54" s="101">
        <f t="shared" si="1"/>
        <v>39049.03226</v>
      </c>
      <c r="J54" s="102"/>
      <c r="K54" s="106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</row>
    <row r="55" ht="15.75" customHeight="1">
      <c r="A55" s="93"/>
      <c r="B55" s="94">
        <v>46081.0</v>
      </c>
      <c r="C55" s="95" t="s">
        <v>53</v>
      </c>
      <c r="D55" s="96">
        <v>28.0</v>
      </c>
      <c r="E55" s="97" t="str">
        <f>IFERROR(VLOOKUP(D55,'INVONTERY FEB'!$A$6:$B$432,2,FALSE),"")</f>
        <v>NESTLE BUTTER</v>
      </c>
      <c r="F55" s="98" t="str">
        <f>IFERROR(VLOOKUP(E55,'INVONTERY FEB'!$B$6:$C$432,2,FALSE),"")</f>
        <v>KG</v>
      </c>
      <c r="G55" s="99">
        <f>IFERROR(VLOOKUP(E55,'INVONTERY FEB'!$B$6:$D$131,3,FALSE),"")</f>
        <v>1850</v>
      </c>
      <c r="H55" s="100">
        <v>20.0</v>
      </c>
      <c r="I55" s="101">
        <f t="shared" si="1"/>
        <v>37000</v>
      </c>
      <c r="J55" s="102"/>
      <c r="K55" s="106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</row>
    <row r="56" ht="15.75" customHeight="1">
      <c r="A56" s="93"/>
      <c r="B56" s="94">
        <v>46081.0</v>
      </c>
      <c r="C56" s="95" t="s">
        <v>49</v>
      </c>
      <c r="D56" s="96">
        <v>6.0</v>
      </c>
      <c r="E56" s="97" t="str">
        <f>IFERROR(VLOOKUP(D56,'INVONTERY FEB'!$A$6:$B$432,2,FALSE),"")</f>
        <v>LOSSE SUGAR 50KG</v>
      </c>
      <c r="F56" s="98" t="str">
        <f>IFERROR(VLOOKUP(E56,'INVONTERY FEB'!$B$6:$C$432,2,FALSE),"")</f>
        <v>KG</v>
      </c>
      <c r="G56" s="113">
        <v>184.0</v>
      </c>
      <c r="H56" s="100">
        <v>100.0</v>
      </c>
      <c r="I56" s="101">
        <f t="shared" si="1"/>
        <v>18400</v>
      </c>
      <c r="J56" s="102"/>
      <c r="K56" s="106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</row>
    <row r="57" ht="15.75" customHeight="1">
      <c r="A57" s="93"/>
      <c r="B57" s="94">
        <v>46081.0</v>
      </c>
      <c r="C57" s="95" t="s">
        <v>55</v>
      </c>
      <c r="D57" s="96">
        <v>315.0</v>
      </c>
      <c r="E57" s="97" t="str">
        <f>IFERROR(VLOOKUP(D57,'INVONTERY FEB'!$A$6:$B$432,2,FALSE),"")</f>
        <v>LPG</v>
      </c>
      <c r="F57" s="98" t="str">
        <f>IFERROR(VLOOKUP(E57,'INVONTERY FEB'!$B$6:$C$432,2,FALSE),"")</f>
        <v>CLY</v>
      </c>
      <c r="G57" s="99">
        <f>97610/H57</f>
        <v>13944.28571</v>
      </c>
      <c r="H57" s="100">
        <v>7.0</v>
      </c>
      <c r="I57" s="101">
        <f t="shared" si="1"/>
        <v>97610</v>
      </c>
      <c r="J57" s="102"/>
      <c r="K57" s="106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</row>
    <row r="58" ht="15.75" customHeight="1">
      <c r="A58" s="93"/>
      <c r="B58" s="114"/>
      <c r="C58" s="115"/>
      <c r="D58" s="116"/>
      <c r="E58" s="97" t="str">
        <f>IFERROR(VLOOKUP(D58,'INVONTERY FEB'!$A$6:$B$432,2,FALSE),"")</f>
        <v/>
      </c>
      <c r="F58" s="98" t="str">
        <f>IFERROR(VLOOKUP(E58,'INVONTERY FEB'!$B$6:$C$432,2,FALSE),"")</f>
        <v/>
      </c>
      <c r="G58" s="99" t="str">
        <f>IFERROR(VLOOKUP(E58,'INVONTERY FEB'!$B$6:$D$131,3,FALSE),"")</f>
        <v/>
      </c>
      <c r="H58" s="108"/>
      <c r="I58" s="101">
        <f t="shared" si="1"/>
        <v>0</v>
      </c>
      <c r="J58" s="102"/>
      <c r="K58" s="106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</row>
    <row r="59" ht="15.75" customHeight="1">
      <c r="A59" s="93"/>
      <c r="B59" s="114"/>
      <c r="C59" s="115"/>
      <c r="D59" s="116"/>
      <c r="E59" s="97" t="str">
        <f>IFERROR(VLOOKUP(D59,'INVONTERY FEB'!$A$6:$B$432,2,FALSE),"")</f>
        <v/>
      </c>
      <c r="F59" s="98" t="str">
        <f>IFERROR(VLOOKUP(E59,'INVONTERY FEB'!$B$6:$C$432,2,FALSE),"")</f>
        <v/>
      </c>
      <c r="G59" s="99" t="str">
        <f>IFERROR(VLOOKUP(E59,'INVONTERY FEB'!$B$6:$D$131,3,FALSE),"")</f>
        <v/>
      </c>
      <c r="H59" s="108"/>
      <c r="I59" s="101">
        <f t="shared" si="1"/>
        <v>0</v>
      </c>
      <c r="J59" s="102"/>
      <c r="K59" s="106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</row>
    <row r="60" ht="15.75" customHeight="1">
      <c r="A60" s="93"/>
      <c r="B60" s="114"/>
      <c r="C60" s="115"/>
      <c r="D60" s="116"/>
      <c r="E60" s="97" t="str">
        <f>IFERROR(VLOOKUP(D60,'INVONTERY FEB'!$A$6:$B$432,2,FALSE),"")</f>
        <v/>
      </c>
      <c r="F60" s="98" t="str">
        <f>IFERROR(VLOOKUP(E60,'INVONTERY FEB'!$B$6:$C$432,2,FALSE),"")</f>
        <v/>
      </c>
      <c r="G60" s="99" t="str">
        <f>IFERROR(VLOOKUP(E60,'INVONTERY FEB'!$B$6:$D$131,3,FALSE),"")</f>
        <v/>
      </c>
      <c r="H60" s="108"/>
      <c r="I60" s="101">
        <f t="shared" si="1"/>
        <v>0</v>
      </c>
      <c r="J60" s="102"/>
      <c r="K60" s="106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</row>
    <row r="61" ht="15.75" customHeight="1">
      <c r="A61" s="93"/>
      <c r="B61" s="114"/>
      <c r="C61" s="115"/>
      <c r="D61" s="116"/>
      <c r="E61" s="97" t="str">
        <f>IFERROR(VLOOKUP(D61,'INVONTERY FEB'!$A$6:$B$432,2,FALSE),"")</f>
        <v/>
      </c>
      <c r="F61" s="98" t="str">
        <f>IFERROR(VLOOKUP(E61,'INVONTERY FEB'!$B$6:$C$432,2,FALSE),"")</f>
        <v/>
      </c>
      <c r="G61" s="99" t="str">
        <f>IFERROR(VLOOKUP(E61,'INVONTERY FEB'!$B$6:$D$131,3,FALSE),"")</f>
        <v/>
      </c>
      <c r="H61" s="108"/>
      <c r="I61" s="101">
        <f t="shared" si="1"/>
        <v>0</v>
      </c>
      <c r="J61" s="102"/>
      <c r="K61" s="106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</row>
    <row r="62" ht="15.75" customHeight="1">
      <c r="A62" s="93"/>
      <c r="B62" s="114"/>
      <c r="C62" s="115"/>
      <c r="D62" s="116"/>
      <c r="E62" s="97" t="str">
        <f>IFERROR(VLOOKUP(D62,'INVONTERY FEB'!$A$6:$B$432,2,FALSE),"")</f>
        <v/>
      </c>
      <c r="F62" s="98" t="str">
        <f>IFERROR(VLOOKUP(E62,'INVONTERY FEB'!$B$6:$C$432,2,FALSE),"")</f>
        <v/>
      </c>
      <c r="G62" s="99" t="str">
        <f>IFERROR(VLOOKUP(E62,'INVONTERY FEB'!$B$6:$D$131,3,FALSE),"")</f>
        <v/>
      </c>
      <c r="H62" s="108"/>
      <c r="I62" s="101">
        <f t="shared" si="1"/>
        <v>0</v>
      </c>
      <c r="J62" s="102"/>
      <c r="K62" s="106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</row>
    <row r="63" ht="15.75" customHeight="1">
      <c r="A63" s="93"/>
      <c r="B63" s="114"/>
      <c r="C63" s="115"/>
      <c r="D63" s="116"/>
      <c r="E63" s="97" t="str">
        <f>IFERROR(VLOOKUP(D63,'INVONTERY FEB'!$A$6:$B$432,2,FALSE),"")</f>
        <v/>
      </c>
      <c r="F63" s="98" t="str">
        <f>IFERROR(VLOOKUP(E63,'INVONTERY FEB'!$B$6:$C$432,2,FALSE),"")</f>
        <v/>
      </c>
      <c r="G63" s="99" t="str">
        <f>IFERROR(VLOOKUP(E63,'INVONTERY FEB'!$B$6:$D$131,3,FALSE),"")</f>
        <v/>
      </c>
      <c r="H63" s="108"/>
      <c r="I63" s="101">
        <f t="shared" si="1"/>
        <v>0</v>
      </c>
      <c r="J63" s="102"/>
      <c r="K63" s="106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</row>
    <row r="64" ht="15.75" customHeight="1">
      <c r="A64" s="93"/>
      <c r="B64" s="114"/>
      <c r="C64" s="115"/>
      <c r="D64" s="116"/>
      <c r="E64" s="97" t="str">
        <f>IFERROR(VLOOKUP(D64,'INVONTERY FEB'!$A$6:$B$432,2,FALSE),"")</f>
        <v/>
      </c>
      <c r="F64" s="98" t="str">
        <f>IFERROR(VLOOKUP(E64,'INVONTERY FEB'!$B$6:$C$432,2,FALSE),"")</f>
        <v/>
      </c>
      <c r="G64" s="99" t="str">
        <f>IFERROR(VLOOKUP(E64,'INVONTERY FEB'!$B$6:$D$131,3,FALSE),"")</f>
        <v/>
      </c>
      <c r="H64" s="108"/>
      <c r="I64" s="101">
        <f t="shared" si="1"/>
        <v>0</v>
      </c>
      <c r="J64" s="102"/>
      <c r="K64" s="106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</row>
    <row r="65" ht="15.75" customHeight="1">
      <c r="A65" s="93"/>
      <c r="B65" s="114"/>
      <c r="C65" s="115"/>
      <c r="D65" s="116"/>
      <c r="E65" s="97" t="str">
        <f>IFERROR(VLOOKUP(D65,'INVONTERY FEB'!$A$6:$B$432,2,FALSE),"")</f>
        <v/>
      </c>
      <c r="F65" s="98" t="str">
        <f>IFERROR(VLOOKUP(E65,'INVONTERY FEB'!$B$6:$C$432,2,FALSE),"")</f>
        <v/>
      </c>
      <c r="G65" s="99" t="str">
        <f>IFERROR(VLOOKUP(E65,'INVONTERY FEB'!$B$6:$D$131,3,FALSE),"")</f>
        <v/>
      </c>
      <c r="H65" s="108"/>
      <c r="I65" s="101">
        <f t="shared" si="1"/>
        <v>0</v>
      </c>
      <c r="J65" s="102"/>
      <c r="K65" s="106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</row>
    <row r="66" ht="15.75" customHeight="1">
      <c r="A66" s="93"/>
      <c r="B66" s="114"/>
      <c r="C66" s="115"/>
      <c r="D66" s="116"/>
      <c r="E66" s="97" t="str">
        <f>IFERROR(VLOOKUP(D66,'INVONTERY FEB'!$A$6:$B$432,2,FALSE),"")</f>
        <v/>
      </c>
      <c r="F66" s="98" t="str">
        <f>IFERROR(VLOOKUP(E66,'INVONTERY FEB'!$B$6:$C$432,2,FALSE),"")</f>
        <v/>
      </c>
      <c r="G66" s="99" t="str">
        <f>IFERROR(VLOOKUP(E66,'INVONTERY FEB'!$B$6:$D$131,3,FALSE),"")</f>
        <v/>
      </c>
      <c r="H66" s="108"/>
      <c r="I66" s="101">
        <f t="shared" si="1"/>
        <v>0</v>
      </c>
      <c r="J66" s="102"/>
      <c r="K66" s="106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</row>
    <row r="67" ht="15.75" customHeight="1">
      <c r="A67" s="93"/>
      <c r="B67" s="114"/>
      <c r="C67" s="115"/>
      <c r="D67" s="116"/>
      <c r="E67" s="97" t="str">
        <f>IFERROR(VLOOKUP(D67,'INVONTERY FEB'!$A$6:$B$432,2,FALSE),"")</f>
        <v/>
      </c>
      <c r="F67" s="98" t="str">
        <f>IFERROR(VLOOKUP(E67,'INVONTERY FEB'!$B$6:$C$432,2,FALSE),"")</f>
        <v/>
      </c>
      <c r="G67" s="99" t="str">
        <f>IFERROR(VLOOKUP(E67,'INVONTERY FEB'!$B$6:$D$131,3,FALSE),"")</f>
        <v/>
      </c>
      <c r="H67" s="108"/>
      <c r="I67" s="101">
        <f t="shared" si="1"/>
        <v>0</v>
      </c>
      <c r="J67" s="102"/>
      <c r="K67" s="106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</row>
    <row r="68" ht="15.75" customHeight="1">
      <c r="A68" s="93"/>
      <c r="B68" s="114"/>
      <c r="C68" s="115"/>
      <c r="D68" s="116"/>
      <c r="E68" s="97" t="str">
        <f>IFERROR(VLOOKUP(D68,'INVONTERY FEB'!$A$6:$B$432,2,FALSE),"")</f>
        <v/>
      </c>
      <c r="F68" s="98" t="str">
        <f>IFERROR(VLOOKUP(E68,'INVONTERY FEB'!$B$6:$C$432,2,FALSE),"")</f>
        <v/>
      </c>
      <c r="G68" s="99" t="str">
        <f>IFERROR(VLOOKUP(E68,'INVONTERY FEB'!$B$6:$D$131,3,FALSE),"")</f>
        <v/>
      </c>
      <c r="H68" s="108"/>
      <c r="I68" s="101">
        <f t="shared" si="1"/>
        <v>0</v>
      </c>
      <c r="J68" s="102"/>
      <c r="K68" s="106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</row>
    <row r="69" ht="15.75" customHeight="1">
      <c r="A69" s="93"/>
      <c r="B69" s="114"/>
      <c r="C69" s="115"/>
      <c r="D69" s="116"/>
      <c r="E69" s="97" t="str">
        <f>IFERROR(VLOOKUP(D69,'INVONTERY FEB'!$A$6:$B$432,2,FALSE),"")</f>
        <v/>
      </c>
      <c r="F69" s="98" t="str">
        <f>IFERROR(VLOOKUP(E69,'INVONTERY FEB'!$B$6:$C$432,2,FALSE),"")</f>
        <v/>
      </c>
      <c r="G69" s="99" t="str">
        <f>IFERROR(VLOOKUP(E69,'INVONTERY FEB'!$B$6:$D$131,3,FALSE),"")</f>
        <v/>
      </c>
      <c r="H69" s="108"/>
      <c r="I69" s="101">
        <f t="shared" si="1"/>
        <v>0</v>
      </c>
      <c r="J69" s="102"/>
      <c r="K69" s="106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</row>
    <row r="70" ht="15.75" customHeight="1">
      <c r="A70" s="93"/>
      <c r="B70" s="114"/>
      <c r="C70" s="115"/>
      <c r="D70" s="116"/>
      <c r="E70" s="97" t="str">
        <f>IFERROR(VLOOKUP(D70,'INVONTERY FEB'!$A$6:$B$432,2,FALSE),"")</f>
        <v/>
      </c>
      <c r="F70" s="98" t="str">
        <f>IFERROR(VLOOKUP(E70,'INVONTERY FEB'!$B$6:$C$432,2,FALSE),"")</f>
        <v/>
      </c>
      <c r="G70" s="99" t="str">
        <f>IFERROR(VLOOKUP(E70,'INVONTERY FEB'!$B$6:$D$131,3,FALSE),"")</f>
        <v/>
      </c>
      <c r="H70" s="108"/>
      <c r="I70" s="101">
        <f t="shared" si="1"/>
        <v>0</v>
      </c>
      <c r="J70" s="102"/>
      <c r="K70" s="106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</row>
    <row r="71" ht="15.75" customHeight="1">
      <c r="A71" s="93"/>
      <c r="B71" s="114"/>
      <c r="C71" s="115"/>
      <c r="D71" s="116"/>
      <c r="E71" s="97" t="str">
        <f>IFERROR(VLOOKUP(D71,'INVONTERY FEB'!$A$6:$B$432,2,FALSE),"")</f>
        <v/>
      </c>
      <c r="F71" s="98" t="str">
        <f>IFERROR(VLOOKUP(E71,'INVONTERY FEB'!$B$6:$C$432,2,FALSE),"")</f>
        <v/>
      </c>
      <c r="G71" s="99" t="str">
        <f>IFERROR(VLOOKUP(E71,'INVONTERY FEB'!$B$6:$D$131,3,FALSE),"")</f>
        <v/>
      </c>
      <c r="H71" s="108"/>
      <c r="I71" s="101">
        <f t="shared" si="1"/>
        <v>0</v>
      </c>
      <c r="J71" s="102"/>
      <c r="K71" s="106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</row>
    <row r="72" ht="15.75" customHeight="1">
      <c r="A72" s="93"/>
      <c r="B72" s="114"/>
      <c r="C72" s="115"/>
      <c r="D72" s="116"/>
      <c r="E72" s="97" t="str">
        <f>IFERROR(VLOOKUP(D72,'INVONTERY FEB'!$A$6:$B$432,2,FALSE),"")</f>
        <v/>
      </c>
      <c r="F72" s="98" t="str">
        <f>IFERROR(VLOOKUP(E72,'INVONTERY FEB'!$B$6:$C$432,2,FALSE),"")</f>
        <v/>
      </c>
      <c r="G72" s="99" t="str">
        <f>IFERROR(VLOOKUP(E72,'INVONTERY FEB'!$B$6:$D$131,3,FALSE),"")</f>
        <v/>
      </c>
      <c r="H72" s="108"/>
      <c r="I72" s="101">
        <f t="shared" si="1"/>
        <v>0</v>
      </c>
      <c r="J72" s="102"/>
      <c r="K72" s="106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</row>
    <row r="73" ht="15.75" customHeight="1">
      <c r="A73" s="93"/>
      <c r="B73" s="114"/>
      <c r="C73" s="115"/>
      <c r="D73" s="116"/>
      <c r="E73" s="97" t="str">
        <f>IFERROR(VLOOKUP(D73,'INVONTERY FEB'!$A$6:$B$432,2,FALSE),"")</f>
        <v/>
      </c>
      <c r="F73" s="98" t="str">
        <f>IFERROR(VLOOKUP(E73,'INVONTERY FEB'!$B$6:$C$432,2,FALSE),"")</f>
        <v/>
      </c>
      <c r="G73" s="99" t="str">
        <f>IFERROR(VLOOKUP(E73,'INVONTERY FEB'!$B$6:$D$131,3,FALSE),"")</f>
        <v/>
      </c>
      <c r="H73" s="108"/>
      <c r="I73" s="101">
        <f t="shared" si="1"/>
        <v>0</v>
      </c>
      <c r="J73" s="102"/>
      <c r="K73" s="106"/>
      <c r="L73" s="105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</row>
    <row r="74" ht="15.75" customHeight="1">
      <c r="A74" s="93"/>
      <c r="B74" s="114"/>
      <c r="C74" s="115"/>
      <c r="D74" s="116"/>
      <c r="E74" s="97" t="str">
        <f>IFERROR(VLOOKUP(D74,'INVONTERY FEB'!$A$6:$B$432,2,FALSE),"")</f>
        <v/>
      </c>
      <c r="F74" s="98" t="str">
        <f>IFERROR(VLOOKUP(E74,'INVONTERY FEB'!$B$6:$C$432,2,FALSE),"")</f>
        <v/>
      </c>
      <c r="G74" s="99" t="str">
        <f>IFERROR(VLOOKUP(E74,'INVONTERY FEB'!$B$6:$D$131,3,FALSE),"")</f>
        <v/>
      </c>
      <c r="H74" s="108"/>
      <c r="I74" s="101">
        <f t="shared" si="1"/>
        <v>0</v>
      </c>
      <c r="J74" s="102"/>
      <c r="K74" s="106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</row>
    <row r="75" ht="15.75" customHeight="1">
      <c r="A75" s="93"/>
      <c r="B75" s="114"/>
      <c r="C75" s="115"/>
      <c r="D75" s="116"/>
      <c r="E75" s="97" t="str">
        <f>IFERROR(VLOOKUP(D75,'INVONTERY FEB'!$A$6:$B$432,2,FALSE),"")</f>
        <v/>
      </c>
      <c r="F75" s="98" t="str">
        <f>IFERROR(VLOOKUP(E75,'INVONTERY FEB'!$B$6:$C$432,2,FALSE),"")</f>
        <v/>
      </c>
      <c r="G75" s="99" t="str">
        <f>IFERROR(VLOOKUP(E75,'INVONTERY FEB'!$B$6:$D$131,3,FALSE),"")</f>
        <v/>
      </c>
      <c r="H75" s="108"/>
      <c r="I75" s="101">
        <f t="shared" si="1"/>
        <v>0</v>
      </c>
      <c r="J75" s="102"/>
      <c r="K75" s="106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</row>
    <row r="76" ht="15.75" customHeight="1">
      <c r="A76" s="93"/>
      <c r="B76" s="114"/>
      <c r="C76" s="115"/>
      <c r="D76" s="116"/>
      <c r="E76" s="97" t="str">
        <f>IFERROR(VLOOKUP(D76,'INVONTERY FEB'!$A$6:$B$432,2,FALSE),"")</f>
        <v/>
      </c>
      <c r="F76" s="98" t="str">
        <f>IFERROR(VLOOKUP(E76,'INVONTERY FEB'!$B$6:$C$432,2,FALSE),"")</f>
        <v/>
      </c>
      <c r="G76" s="99" t="str">
        <f>IFERROR(VLOOKUP(E76,'INVONTERY FEB'!$B$6:$D$131,3,FALSE),"")</f>
        <v/>
      </c>
      <c r="H76" s="108"/>
      <c r="I76" s="101">
        <f t="shared" si="1"/>
        <v>0</v>
      </c>
      <c r="J76" s="102"/>
      <c r="K76" s="106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</row>
    <row r="77" ht="15.75" customHeight="1">
      <c r="A77" s="93"/>
      <c r="B77" s="114"/>
      <c r="C77" s="115"/>
      <c r="D77" s="116"/>
      <c r="E77" s="97" t="str">
        <f>IFERROR(VLOOKUP(D77,'INVONTERY FEB'!$A$6:$B$432,2,FALSE),"")</f>
        <v/>
      </c>
      <c r="F77" s="98" t="str">
        <f>IFERROR(VLOOKUP(E77,'INVONTERY FEB'!$B$6:$C$432,2,FALSE),"")</f>
        <v/>
      </c>
      <c r="G77" s="99" t="str">
        <f>IFERROR(VLOOKUP(E77,'INVONTERY FEB'!$B$6:$D$131,3,FALSE),"")</f>
        <v/>
      </c>
      <c r="H77" s="108"/>
      <c r="I77" s="101">
        <f t="shared" si="1"/>
        <v>0</v>
      </c>
      <c r="J77" s="102"/>
      <c r="K77" s="106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</row>
    <row r="78" ht="15.75" customHeight="1">
      <c r="A78" s="93"/>
      <c r="B78" s="114"/>
      <c r="C78" s="115"/>
      <c r="D78" s="116"/>
      <c r="E78" s="97" t="str">
        <f>IFERROR(VLOOKUP(D78,'INVONTERY FEB'!$A$6:$B$432,2,FALSE),"")</f>
        <v/>
      </c>
      <c r="F78" s="98" t="str">
        <f>IFERROR(VLOOKUP(E78,'INVONTERY FEB'!$B$6:$C$432,2,FALSE),"")</f>
        <v/>
      </c>
      <c r="G78" s="99" t="str">
        <f>IFERROR(VLOOKUP(E78,'INVONTERY FEB'!$B$6:$D$131,3,FALSE),"")</f>
        <v/>
      </c>
      <c r="H78" s="108"/>
      <c r="I78" s="101">
        <f t="shared" si="1"/>
        <v>0</v>
      </c>
      <c r="J78" s="102"/>
      <c r="K78" s="106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</row>
    <row r="79" ht="15.75" customHeight="1">
      <c r="A79" s="93"/>
      <c r="B79" s="114"/>
      <c r="C79" s="115"/>
      <c r="D79" s="116"/>
      <c r="E79" s="97" t="str">
        <f>IFERROR(VLOOKUP(D79,'INVONTERY FEB'!$A$6:$B$432,2,FALSE),"")</f>
        <v/>
      </c>
      <c r="F79" s="98" t="str">
        <f>IFERROR(VLOOKUP(E79,'INVONTERY FEB'!$B$6:$C$432,2,FALSE),"")</f>
        <v/>
      </c>
      <c r="G79" s="99" t="str">
        <f>IFERROR(VLOOKUP(E79,'INVONTERY FEB'!$B$6:$D$131,3,FALSE),"")</f>
        <v/>
      </c>
      <c r="H79" s="108"/>
      <c r="I79" s="101">
        <f t="shared" si="1"/>
        <v>0</v>
      </c>
      <c r="J79" s="102"/>
      <c r="K79" s="106"/>
      <c r="L79" s="105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</row>
    <row r="80" ht="15.75" customHeight="1">
      <c r="A80" s="93"/>
      <c r="B80" s="114"/>
      <c r="C80" s="115"/>
      <c r="D80" s="116"/>
      <c r="E80" s="97" t="str">
        <f>IFERROR(VLOOKUP(D80,'INVONTERY FEB'!$A$6:$B$432,2,FALSE),"")</f>
        <v/>
      </c>
      <c r="F80" s="98" t="str">
        <f>IFERROR(VLOOKUP(E80,'INVONTERY FEB'!$B$6:$C$432,2,FALSE),"")</f>
        <v/>
      </c>
      <c r="G80" s="99" t="str">
        <f>IFERROR(VLOOKUP(E80,'INVONTERY FEB'!$B$6:$D$131,3,FALSE),"")</f>
        <v/>
      </c>
      <c r="H80" s="108"/>
      <c r="I80" s="101">
        <f t="shared" si="1"/>
        <v>0</v>
      </c>
      <c r="J80" s="102"/>
      <c r="K80" s="106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</row>
    <row r="81" ht="15.75" customHeight="1">
      <c r="A81" s="93"/>
      <c r="B81" s="114"/>
      <c r="C81" s="115"/>
      <c r="D81" s="116"/>
      <c r="E81" s="97" t="str">
        <f>IFERROR(VLOOKUP(D81,'INVONTERY FEB'!$A$6:$B$432,2,FALSE),"")</f>
        <v/>
      </c>
      <c r="F81" s="98" t="str">
        <f>IFERROR(VLOOKUP(E81,'INVONTERY FEB'!$B$6:$C$432,2,FALSE),"")</f>
        <v/>
      </c>
      <c r="G81" s="99" t="str">
        <f>IFERROR(VLOOKUP(E81,'INVONTERY FEB'!$B$6:$D$131,3,FALSE),"")</f>
        <v/>
      </c>
      <c r="H81" s="108"/>
      <c r="I81" s="101">
        <f t="shared" si="1"/>
        <v>0</v>
      </c>
      <c r="J81" s="102"/>
      <c r="K81" s="106"/>
      <c r="L81" s="105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</row>
    <row r="82" ht="15.75" customHeight="1">
      <c r="A82" s="93"/>
      <c r="B82" s="114"/>
      <c r="C82" s="115"/>
      <c r="D82" s="116"/>
      <c r="E82" s="97" t="str">
        <f>IFERROR(VLOOKUP(D82,'INVONTERY FEB'!$A$6:$B$432,2,FALSE),"")</f>
        <v/>
      </c>
      <c r="F82" s="98" t="str">
        <f>IFERROR(VLOOKUP(E82,'INVONTERY FEB'!$B$6:$C$432,2,FALSE),"")</f>
        <v/>
      </c>
      <c r="G82" s="99" t="str">
        <f>IFERROR(VLOOKUP(E82,'INVONTERY FEB'!$B$6:$D$131,3,FALSE),"")</f>
        <v/>
      </c>
      <c r="H82" s="108"/>
      <c r="I82" s="101">
        <f t="shared" si="1"/>
        <v>0</v>
      </c>
      <c r="J82" s="102"/>
      <c r="K82" s="106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</row>
    <row r="83" ht="15.75" customHeight="1">
      <c r="A83" s="93"/>
      <c r="B83" s="114"/>
      <c r="C83" s="115"/>
      <c r="D83" s="116"/>
      <c r="E83" s="97" t="str">
        <f>IFERROR(VLOOKUP(D83,'INVONTERY FEB'!$A$6:$B$432,2,FALSE),"")</f>
        <v/>
      </c>
      <c r="F83" s="98" t="str">
        <f>IFERROR(VLOOKUP(E83,'INVONTERY FEB'!$B$6:$C$432,2,FALSE),"")</f>
        <v/>
      </c>
      <c r="G83" s="99" t="str">
        <f>IFERROR(VLOOKUP(E83,'INVONTERY FEB'!$B$6:$D$131,3,FALSE),"")</f>
        <v/>
      </c>
      <c r="H83" s="108"/>
      <c r="I83" s="101">
        <f t="shared" si="1"/>
        <v>0</v>
      </c>
      <c r="J83" s="102"/>
      <c r="K83" s="106"/>
      <c r="L83" s="105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</row>
    <row r="84" ht="15.75" customHeight="1">
      <c r="A84" s="93"/>
      <c r="B84" s="114"/>
      <c r="C84" s="115"/>
      <c r="D84" s="116"/>
      <c r="E84" s="97" t="str">
        <f>IFERROR(VLOOKUP(D84,'INVONTERY FEB'!$A$6:$B$432,2,FALSE),"")</f>
        <v/>
      </c>
      <c r="F84" s="98" t="str">
        <f>IFERROR(VLOOKUP(E84,'INVONTERY FEB'!$B$6:$C$432,2,FALSE),"")</f>
        <v/>
      </c>
      <c r="G84" s="99" t="str">
        <f>IFERROR(VLOOKUP(E84,'INVONTERY FEB'!$B$6:$D$131,3,FALSE),"")</f>
        <v/>
      </c>
      <c r="H84" s="108"/>
      <c r="I84" s="101">
        <f t="shared" si="1"/>
        <v>0</v>
      </c>
      <c r="J84" s="102"/>
      <c r="K84" s="106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</row>
    <row r="85" ht="15.75" customHeight="1">
      <c r="A85" s="93"/>
      <c r="B85" s="114"/>
      <c r="C85" s="115"/>
      <c r="D85" s="116"/>
      <c r="E85" s="97" t="str">
        <f>IFERROR(VLOOKUP(D85,'INVONTERY FEB'!$A$6:$B$432,2,FALSE),"")</f>
        <v/>
      </c>
      <c r="F85" s="98" t="str">
        <f>IFERROR(VLOOKUP(E85,'INVONTERY FEB'!$B$6:$C$432,2,FALSE),"")</f>
        <v/>
      </c>
      <c r="G85" s="99" t="str">
        <f>IFERROR(VLOOKUP(E85,'INVONTERY FEB'!$B$6:$D$131,3,FALSE),"")</f>
        <v/>
      </c>
      <c r="H85" s="108"/>
      <c r="I85" s="101">
        <f t="shared" si="1"/>
        <v>0</v>
      </c>
      <c r="J85" s="102"/>
      <c r="K85" s="106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</row>
    <row r="86" ht="15.75" customHeight="1">
      <c r="A86" s="93"/>
      <c r="B86" s="114"/>
      <c r="C86" s="115"/>
      <c r="D86" s="116"/>
      <c r="E86" s="97" t="str">
        <f>IFERROR(VLOOKUP(D86,'INVONTERY FEB'!$A$6:$B$432,2,FALSE),"")</f>
        <v/>
      </c>
      <c r="F86" s="98" t="str">
        <f>IFERROR(VLOOKUP(E86,'INVONTERY FEB'!$B$6:$C$432,2,FALSE),"")</f>
        <v/>
      </c>
      <c r="G86" s="99" t="str">
        <f>IFERROR(VLOOKUP(E86,'INVONTERY FEB'!$B$6:$D$131,3,FALSE),"")</f>
        <v/>
      </c>
      <c r="H86" s="108"/>
      <c r="I86" s="101">
        <f t="shared" si="1"/>
        <v>0</v>
      </c>
      <c r="J86" s="102"/>
      <c r="K86" s="106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</row>
    <row r="87" ht="15.75" customHeight="1">
      <c r="A87" s="93"/>
      <c r="B87" s="114"/>
      <c r="C87" s="115"/>
      <c r="D87" s="116"/>
      <c r="E87" s="97" t="str">
        <f>IFERROR(VLOOKUP(D87,'INVONTERY FEB'!$A$6:$B$432,2,FALSE),"")</f>
        <v/>
      </c>
      <c r="F87" s="98" t="str">
        <f>IFERROR(VLOOKUP(E87,'INVONTERY FEB'!$B$6:$C$432,2,FALSE),"")</f>
        <v/>
      </c>
      <c r="G87" s="99" t="str">
        <f>IFERROR(VLOOKUP(E87,'INVONTERY FEB'!$B$6:$D$131,3,FALSE),"")</f>
        <v/>
      </c>
      <c r="H87" s="108"/>
      <c r="I87" s="101">
        <f t="shared" si="1"/>
        <v>0</v>
      </c>
      <c r="J87" s="102"/>
      <c r="K87" s="106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</row>
    <row r="88" ht="15.75" customHeight="1">
      <c r="A88" s="93"/>
      <c r="B88" s="114"/>
      <c r="C88" s="115"/>
      <c r="D88" s="116"/>
      <c r="E88" s="97" t="str">
        <f>IFERROR(VLOOKUP(D88,'INVONTERY FEB'!$A$6:$B$432,2,FALSE),"")</f>
        <v/>
      </c>
      <c r="F88" s="98" t="str">
        <f>IFERROR(VLOOKUP(E88,'INVONTERY FEB'!$B$6:$C$432,2,FALSE),"")</f>
        <v/>
      </c>
      <c r="G88" s="99" t="str">
        <f>IFERROR(VLOOKUP(E88,'INVONTERY FEB'!$B$6:$D$131,3,FALSE),"")</f>
        <v/>
      </c>
      <c r="H88" s="108"/>
      <c r="I88" s="101">
        <f t="shared" si="1"/>
        <v>0</v>
      </c>
      <c r="J88" s="102"/>
      <c r="K88" s="106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</row>
    <row r="89" ht="15.75" customHeight="1">
      <c r="A89" s="93"/>
      <c r="B89" s="114"/>
      <c r="C89" s="115"/>
      <c r="D89" s="116"/>
      <c r="E89" s="97" t="str">
        <f>IFERROR(VLOOKUP(D89,'INVONTERY FEB'!$A$6:$B$432,2,FALSE),"")</f>
        <v/>
      </c>
      <c r="F89" s="98" t="str">
        <f>IFERROR(VLOOKUP(E89,'INVONTERY FEB'!$B$6:$C$432,2,FALSE),"")</f>
        <v/>
      </c>
      <c r="G89" s="99" t="str">
        <f>IFERROR(VLOOKUP(E89,'INVONTERY FEB'!$B$6:$D$131,3,FALSE),"")</f>
        <v/>
      </c>
      <c r="H89" s="108"/>
      <c r="I89" s="101">
        <f t="shared" si="1"/>
        <v>0</v>
      </c>
      <c r="J89" s="102"/>
      <c r="K89" s="106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</row>
    <row r="90" ht="15.75" customHeight="1">
      <c r="A90" s="93"/>
      <c r="B90" s="114"/>
      <c r="C90" s="115"/>
      <c r="D90" s="116"/>
      <c r="E90" s="97" t="str">
        <f>IFERROR(VLOOKUP(D90,'INVONTERY FEB'!$A$6:$B$432,2,FALSE),"")</f>
        <v/>
      </c>
      <c r="F90" s="98" t="str">
        <f>IFERROR(VLOOKUP(E90,'INVONTERY FEB'!$B$6:$C$432,2,FALSE),"")</f>
        <v/>
      </c>
      <c r="G90" s="99" t="str">
        <f>IFERROR(VLOOKUP(E90,'INVONTERY FEB'!$B$6:$D$131,3,FALSE),"")</f>
        <v/>
      </c>
      <c r="H90" s="108"/>
      <c r="I90" s="101">
        <f t="shared" si="1"/>
        <v>0</v>
      </c>
      <c r="J90" s="102"/>
      <c r="K90" s="106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</row>
    <row r="91" ht="15.75" customHeight="1">
      <c r="A91" s="93"/>
      <c r="B91" s="114"/>
      <c r="C91" s="115"/>
      <c r="D91" s="116"/>
      <c r="E91" s="97" t="str">
        <f>IFERROR(VLOOKUP(D91,'INVONTERY FEB'!$A$6:$B$432,2,FALSE),"")</f>
        <v/>
      </c>
      <c r="F91" s="98" t="str">
        <f>IFERROR(VLOOKUP(E91,'INVONTERY FEB'!$B$6:$C$432,2,FALSE),"")</f>
        <v/>
      </c>
      <c r="G91" s="99" t="str">
        <f>IFERROR(VLOOKUP(E91,'INVONTERY FEB'!$B$6:$D$131,3,FALSE),"")</f>
        <v/>
      </c>
      <c r="H91" s="108"/>
      <c r="I91" s="101">
        <f t="shared" si="1"/>
        <v>0</v>
      </c>
      <c r="J91" s="102"/>
      <c r="K91" s="106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</row>
    <row r="92" ht="15.75" customHeight="1">
      <c r="A92" s="93"/>
      <c r="B92" s="114"/>
      <c r="C92" s="115"/>
      <c r="D92" s="116"/>
      <c r="E92" s="97" t="str">
        <f>IFERROR(VLOOKUP(D92,'INVONTERY FEB'!$A$6:$B$432,2,FALSE),"")</f>
        <v/>
      </c>
      <c r="F92" s="98" t="str">
        <f>IFERROR(VLOOKUP(E92,'INVONTERY FEB'!$B$6:$C$432,2,FALSE),"")</f>
        <v/>
      </c>
      <c r="G92" s="99" t="str">
        <f>IFERROR(VLOOKUP(E92,'INVONTERY FEB'!$B$6:$D$131,3,FALSE),"")</f>
        <v/>
      </c>
      <c r="H92" s="108"/>
      <c r="I92" s="101">
        <f t="shared" si="1"/>
        <v>0</v>
      </c>
      <c r="J92" s="102"/>
      <c r="K92" s="106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</row>
    <row r="93" ht="15.75" customHeight="1">
      <c r="A93" s="93"/>
      <c r="B93" s="114"/>
      <c r="C93" s="115"/>
      <c r="D93" s="116"/>
      <c r="E93" s="97" t="str">
        <f>IFERROR(VLOOKUP(D93,'INVONTERY FEB'!$A$6:$B$432,2,FALSE),"")</f>
        <v/>
      </c>
      <c r="F93" s="98" t="str">
        <f>IFERROR(VLOOKUP(E93,'INVONTERY FEB'!$B$6:$C$432,2,FALSE),"")</f>
        <v/>
      </c>
      <c r="G93" s="99" t="str">
        <f>IFERROR(VLOOKUP(E93,'INVONTERY FEB'!$B$6:$D$131,3,FALSE),"")</f>
        <v/>
      </c>
      <c r="H93" s="108"/>
      <c r="I93" s="101">
        <f t="shared" si="1"/>
        <v>0</v>
      </c>
      <c r="J93" s="102"/>
      <c r="K93" s="106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</row>
    <row r="94" ht="15.75" customHeight="1">
      <c r="A94" s="93"/>
      <c r="B94" s="114"/>
      <c r="C94" s="115"/>
      <c r="D94" s="116"/>
      <c r="E94" s="97" t="str">
        <f>IFERROR(VLOOKUP(D94,'INVONTERY FEB'!$A$6:$B$432,2,FALSE),"")</f>
        <v/>
      </c>
      <c r="F94" s="98" t="str">
        <f>IFERROR(VLOOKUP(E94,'INVONTERY FEB'!$B$6:$C$432,2,FALSE),"")</f>
        <v/>
      </c>
      <c r="G94" s="99" t="str">
        <f>IFERROR(VLOOKUP(E94,'INVONTERY FEB'!$B$6:$D$131,3,FALSE),"")</f>
        <v/>
      </c>
      <c r="H94" s="108"/>
      <c r="I94" s="101">
        <f t="shared" si="1"/>
        <v>0</v>
      </c>
      <c r="J94" s="102"/>
      <c r="K94" s="106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</row>
    <row r="95" ht="15.75" customHeight="1">
      <c r="A95" s="93"/>
      <c r="B95" s="114"/>
      <c r="C95" s="115"/>
      <c r="D95" s="116"/>
      <c r="E95" s="97" t="str">
        <f>IFERROR(VLOOKUP(D95,'INVONTERY FEB'!$A$6:$B$432,2,FALSE),"")</f>
        <v/>
      </c>
      <c r="F95" s="98" t="str">
        <f>IFERROR(VLOOKUP(E95,'INVONTERY FEB'!$B$6:$C$432,2,FALSE),"")</f>
        <v/>
      </c>
      <c r="G95" s="99" t="str">
        <f>IFERROR(VLOOKUP(E95,'INVONTERY FEB'!$B$6:$D$131,3,FALSE),"")</f>
        <v/>
      </c>
      <c r="H95" s="108"/>
      <c r="I95" s="101">
        <f t="shared" si="1"/>
        <v>0</v>
      </c>
      <c r="J95" s="102"/>
      <c r="K95" s="106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</row>
    <row r="96" ht="15.75" customHeight="1">
      <c r="A96" s="93"/>
      <c r="B96" s="114"/>
      <c r="C96" s="115"/>
      <c r="D96" s="116"/>
      <c r="E96" s="97" t="str">
        <f>IFERROR(VLOOKUP(D96,'INVONTERY FEB'!$A$6:$B$432,2,FALSE),"")</f>
        <v/>
      </c>
      <c r="F96" s="98" t="str">
        <f>IFERROR(VLOOKUP(E96,'INVONTERY FEB'!$B$6:$C$432,2,FALSE),"")</f>
        <v/>
      </c>
      <c r="G96" s="99" t="str">
        <f>IFERROR(VLOOKUP(E96,'INVONTERY FEB'!$B$6:$D$131,3,FALSE),"")</f>
        <v/>
      </c>
      <c r="H96" s="108"/>
      <c r="I96" s="101">
        <f t="shared" si="1"/>
        <v>0</v>
      </c>
      <c r="J96" s="102"/>
      <c r="K96" s="106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</row>
    <row r="97" ht="15.75" customHeight="1">
      <c r="A97" s="93"/>
      <c r="B97" s="114"/>
      <c r="C97" s="115"/>
      <c r="D97" s="116"/>
      <c r="E97" s="97" t="str">
        <f>IFERROR(VLOOKUP(D97,'INVONTERY FEB'!$A$6:$B$432,2,FALSE),"")</f>
        <v/>
      </c>
      <c r="F97" s="98" t="str">
        <f>IFERROR(VLOOKUP(E97,'INVONTERY FEB'!$B$6:$C$432,2,FALSE),"")</f>
        <v/>
      </c>
      <c r="G97" s="99" t="str">
        <f>IFERROR(VLOOKUP(E97,'INVONTERY FEB'!$B$6:$D$131,3,FALSE),"")</f>
        <v/>
      </c>
      <c r="H97" s="108"/>
      <c r="I97" s="101">
        <f t="shared" si="1"/>
        <v>0</v>
      </c>
      <c r="J97" s="102"/>
      <c r="K97" s="106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</row>
    <row r="98" ht="15.75" customHeight="1">
      <c r="A98" s="93"/>
      <c r="B98" s="114"/>
      <c r="C98" s="115"/>
      <c r="D98" s="116"/>
      <c r="E98" s="97" t="str">
        <f>IFERROR(VLOOKUP(D98,'INVONTERY FEB'!$A$6:$B$432,2,FALSE),"")</f>
        <v/>
      </c>
      <c r="F98" s="98" t="str">
        <f>IFERROR(VLOOKUP(E98,'INVONTERY FEB'!$B$6:$C$432,2,FALSE),"")</f>
        <v/>
      </c>
      <c r="G98" s="99" t="str">
        <f>IFERROR(VLOOKUP(E98,'INVONTERY FEB'!$B$6:$D$131,3,FALSE),"")</f>
        <v/>
      </c>
      <c r="H98" s="108"/>
      <c r="I98" s="101">
        <f t="shared" si="1"/>
        <v>0</v>
      </c>
      <c r="J98" s="102"/>
      <c r="K98" s="106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</row>
    <row r="99" ht="15.75" customHeight="1">
      <c r="A99" s="93"/>
      <c r="B99" s="114"/>
      <c r="C99" s="115"/>
      <c r="D99" s="116"/>
      <c r="E99" s="97" t="str">
        <f>IFERROR(VLOOKUP(D99,'INVONTERY FEB'!$A$6:$B$432,2,FALSE),"")</f>
        <v/>
      </c>
      <c r="F99" s="98" t="str">
        <f>IFERROR(VLOOKUP(E99,'INVONTERY FEB'!$B$6:$C$432,2,FALSE),"")</f>
        <v/>
      </c>
      <c r="G99" s="99" t="str">
        <f>IFERROR(VLOOKUP(E99,'INVONTERY FEB'!$B$6:$D$131,3,FALSE),"")</f>
        <v/>
      </c>
      <c r="H99" s="108"/>
      <c r="I99" s="101">
        <f t="shared" si="1"/>
        <v>0</v>
      </c>
      <c r="J99" s="102"/>
      <c r="K99" s="106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</row>
    <row r="100" ht="15.75" customHeight="1">
      <c r="A100" s="93"/>
      <c r="B100" s="114"/>
      <c r="C100" s="115"/>
      <c r="D100" s="116"/>
      <c r="E100" s="97" t="str">
        <f>IFERROR(VLOOKUP(D100,'INVONTERY FEB'!$A$6:$B$432,2,FALSE),"")</f>
        <v/>
      </c>
      <c r="F100" s="98" t="str">
        <f>IFERROR(VLOOKUP(E100,'INVONTERY FEB'!$B$6:$C$432,2,FALSE),"")</f>
        <v/>
      </c>
      <c r="G100" s="99" t="str">
        <f>IFERROR(VLOOKUP(E100,'INVONTERY FEB'!$B$6:$D$131,3,FALSE),"")</f>
        <v/>
      </c>
      <c r="H100" s="108"/>
      <c r="I100" s="101">
        <f t="shared" si="1"/>
        <v>0</v>
      </c>
      <c r="J100" s="102"/>
      <c r="K100" s="106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</row>
    <row r="101" ht="15.75" customHeight="1">
      <c r="A101" s="93"/>
      <c r="B101" s="114"/>
      <c r="C101" s="115"/>
      <c r="D101" s="116"/>
      <c r="E101" s="97" t="str">
        <f>IFERROR(VLOOKUP(D101,'INVONTERY FEB'!$A$6:$B$432,2,FALSE),"")</f>
        <v/>
      </c>
      <c r="F101" s="98" t="str">
        <f>IFERROR(VLOOKUP(E101,'INVONTERY FEB'!$B$6:$C$432,2,FALSE),"")</f>
        <v/>
      </c>
      <c r="G101" s="99" t="str">
        <f>IFERROR(VLOOKUP(E101,'INVONTERY FEB'!$B$6:$D$131,3,FALSE),"")</f>
        <v/>
      </c>
      <c r="H101" s="108"/>
      <c r="I101" s="101">
        <f t="shared" si="1"/>
        <v>0</v>
      </c>
      <c r="J101" s="102"/>
      <c r="K101" s="106"/>
      <c r="L101" s="109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5.75" customHeight="1">
      <c r="A102" s="93"/>
      <c r="B102" s="114"/>
      <c r="C102" s="115"/>
      <c r="D102" s="116"/>
      <c r="E102" s="97" t="str">
        <f>IFERROR(VLOOKUP(D102,'INVONTERY FEB'!$A$6:$B$432,2,FALSE),"")</f>
        <v/>
      </c>
      <c r="F102" s="98" t="str">
        <f>IFERROR(VLOOKUP(E102,'INVONTERY FEB'!$B$6:$C$432,2,FALSE),"")</f>
        <v/>
      </c>
      <c r="G102" s="99" t="str">
        <f>IFERROR(VLOOKUP(E102,'INVONTERY FEB'!$B$6:$D$131,3,FALSE),"")</f>
        <v/>
      </c>
      <c r="H102" s="108"/>
      <c r="I102" s="101">
        <f t="shared" si="1"/>
        <v>0</v>
      </c>
      <c r="J102" s="102"/>
      <c r="K102" s="106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</row>
    <row r="103" ht="15.75" customHeight="1">
      <c r="A103" s="93"/>
      <c r="B103" s="114"/>
      <c r="C103" s="115"/>
      <c r="D103" s="116"/>
      <c r="E103" s="97" t="str">
        <f>IFERROR(VLOOKUP(D103,'INVONTERY FEB'!$A$6:$B$432,2,FALSE),"")</f>
        <v/>
      </c>
      <c r="F103" s="98" t="str">
        <f>IFERROR(VLOOKUP(E103,'INVONTERY FEB'!$B$6:$C$432,2,FALSE),"")</f>
        <v/>
      </c>
      <c r="G103" s="99" t="str">
        <f>IFERROR(VLOOKUP(E103,'INVONTERY FEB'!$B$6:$D$131,3,FALSE),"")</f>
        <v/>
      </c>
      <c r="H103" s="108"/>
      <c r="I103" s="101">
        <f t="shared" si="1"/>
        <v>0</v>
      </c>
      <c r="J103" s="102"/>
      <c r="K103" s="106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</row>
    <row r="104" ht="15.75" customHeight="1">
      <c r="A104" s="93"/>
      <c r="B104" s="114"/>
      <c r="C104" s="115"/>
      <c r="D104" s="116"/>
      <c r="E104" s="97" t="str">
        <f>IFERROR(VLOOKUP(D104,'INVONTERY FEB'!$A$6:$B$432,2,FALSE),"")</f>
        <v/>
      </c>
      <c r="F104" s="98" t="str">
        <f>IFERROR(VLOOKUP(E104,'INVONTERY FEB'!$B$6:$C$432,2,FALSE),"")</f>
        <v/>
      </c>
      <c r="G104" s="99" t="str">
        <f>IFERROR(VLOOKUP(E104,'INVONTERY FEB'!$B$6:$D$131,3,FALSE),"")</f>
        <v/>
      </c>
      <c r="H104" s="108"/>
      <c r="I104" s="101">
        <f t="shared" si="1"/>
        <v>0</v>
      </c>
      <c r="J104" s="102"/>
      <c r="K104" s="106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</row>
    <row r="105" ht="15.75" customHeight="1">
      <c r="A105" s="93"/>
      <c r="B105" s="114"/>
      <c r="C105" s="115"/>
      <c r="D105" s="116"/>
      <c r="E105" s="97" t="str">
        <f>IFERROR(VLOOKUP(D105,'INVONTERY FEB'!$A$6:$B$432,2,FALSE),"")</f>
        <v/>
      </c>
      <c r="F105" s="98" t="str">
        <f>IFERROR(VLOOKUP(E105,'INVONTERY FEB'!$B$6:$C$432,2,FALSE),"")</f>
        <v/>
      </c>
      <c r="G105" s="99" t="str">
        <f>IFERROR(VLOOKUP(E105,'INVONTERY FEB'!$B$6:$D$131,3,FALSE),"")</f>
        <v/>
      </c>
      <c r="H105" s="108"/>
      <c r="I105" s="101">
        <f t="shared" si="1"/>
        <v>0</v>
      </c>
      <c r="J105" s="102"/>
      <c r="K105" s="106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</row>
    <row r="106" ht="15.75" customHeight="1">
      <c r="A106" s="93"/>
      <c r="B106" s="114"/>
      <c r="C106" s="115"/>
      <c r="D106" s="116"/>
      <c r="E106" s="97" t="str">
        <f>IFERROR(VLOOKUP(D106,'INVONTERY FEB'!$A$6:$B$432,2,FALSE),"")</f>
        <v/>
      </c>
      <c r="F106" s="98" t="str">
        <f>IFERROR(VLOOKUP(E106,'INVONTERY FEB'!$B$6:$C$432,2,FALSE),"")</f>
        <v/>
      </c>
      <c r="G106" s="99" t="str">
        <f>IFERROR(VLOOKUP(E106,'INVONTERY FEB'!$B$6:$D$131,3,FALSE),"")</f>
        <v/>
      </c>
      <c r="H106" s="108"/>
      <c r="I106" s="101">
        <f t="shared" si="1"/>
        <v>0</v>
      </c>
      <c r="J106" s="102"/>
      <c r="K106" s="106"/>
      <c r="L106" s="109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5.75" customHeight="1">
      <c r="A107" s="93"/>
      <c r="B107" s="114"/>
      <c r="C107" s="115"/>
      <c r="D107" s="116"/>
      <c r="E107" s="97" t="str">
        <f>IFERROR(VLOOKUP(D107,'INVONTERY FEB'!$A$6:$B$432,2,FALSE),"")</f>
        <v/>
      </c>
      <c r="F107" s="98" t="str">
        <f>IFERROR(VLOOKUP(E107,'INVONTERY FEB'!$B$6:$C$432,2,FALSE),"")</f>
        <v/>
      </c>
      <c r="G107" s="99" t="str">
        <f>IFERROR(VLOOKUP(E107,'INVONTERY FEB'!$B$6:$D$131,3,FALSE),"")</f>
        <v/>
      </c>
      <c r="H107" s="108"/>
      <c r="I107" s="101">
        <f t="shared" si="1"/>
        <v>0</v>
      </c>
      <c r="J107" s="102"/>
      <c r="K107" s="106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</row>
    <row r="108" ht="15.75" customHeight="1">
      <c r="A108" s="93"/>
      <c r="B108" s="114"/>
      <c r="C108" s="115"/>
      <c r="D108" s="116"/>
      <c r="E108" s="97" t="str">
        <f>IFERROR(VLOOKUP(D108,'INVONTERY FEB'!$A$6:$B$432,2,FALSE),"")</f>
        <v/>
      </c>
      <c r="F108" s="98" t="str">
        <f>IFERROR(VLOOKUP(E108,'INVONTERY FEB'!$B$6:$C$432,2,FALSE),"")</f>
        <v/>
      </c>
      <c r="G108" s="99" t="str">
        <f>IFERROR(VLOOKUP(E108,'INVONTERY FEB'!$B$6:$D$131,3,FALSE),"")</f>
        <v/>
      </c>
      <c r="H108" s="108"/>
      <c r="I108" s="101">
        <f t="shared" si="1"/>
        <v>0</v>
      </c>
      <c r="J108" s="102"/>
      <c r="K108" s="106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</row>
    <row r="109" ht="15.75" customHeight="1">
      <c r="A109" s="93"/>
      <c r="B109" s="114"/>
      <c r="C109" s="115"/>
      <c r="D109" s="116"/>
      <c r="E109" s="97" t="str">
        <f>IFERROR(VLOOKUP(D109,'INVONTERY FEB'!$A$6:$B$432,2,FALSE),"")</f>
        <v/>
      </c>
      <c r="F109" s="98" t="str">
        <f>IFERROR(VLOOKUP(E109,'INVONTERY FEB'!$B$6:$C$432,2,FALSE),"")</f>
        <v/>
      </c>
      <c r="G109" s="99" t="str">
        <f>IFERROR(VLOOKUP(E109,'INVONTERY FEB'!$B$6:$D$131,3,FALSE),"")</f>
        <v/>
      </c>
      <c r="H109" s="108"/>
      <c r="I109" s="101">
        <f t="shared" si="1"/>
        <v>0</v>
      </c>
      <c r="J109" s="102"/>
      <c r="K109" s="106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</row>
    <row r="110" ht="15.75" customHeight="1">
      <c r="A110" s="93"/>
      <c r="B110" s="114"/>
      <c r="C110" s="115"/>
      <c r="D110" s="116"/>
      <c r="E110" s="97" t="str">
        <f>IFERROR(VLOOKUP(D110,'INVONTERY FEB'!$A$6:$B$432,2,FALSE),"")</f>
        <v/>
      </c>
      <c r="F110" s="98" t="str">
        <f>IFERROR(VLOOKUP(E110,'INVONTERY FEB'!$B$6:$C$432,2,FALSE),"")</f>
        <v/>
      </c>
      <c r="G110" s="99" t="str">
        <f>IFERROR(VLOOKUP(E110,'INVONTERY FEB'!$B$6:$D$131,3,FALSE),"")</f>
        <v/>
      </c>
      <c r="H110" s="108"/>
      <c r="I110" s="101">
        <f t="shared" si="1"/>
        <v>0</v>
      </c>
      <c r="J110" s="102"/>
      <c r="K110" s="106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</row>
    <row r="111" ht="15.75" customHeight="1">
      <c r="A111" s="93"/>
      <c r="B111" s="114"/>
      <c r="C111" s="115"/>
      <c r="D111" s="116"/>
      <c r="E111" s="97" t="str">
        <f>IFERROR(VLOOKUP(D111,'INVONTERY FEB'!$A$6:$B$432,2,FALSE),"")</f>
        <v/>
      </c>
      <c r="F111" s="98" t="str">
        <f>IFERROR(VLOOKUP(E111,'INVONTERY FEB'!$B$6:$C$432,2,FALSE),"")</f>
        <v/>
      </c>
      <c r="G111" s="99" t="str">
        <f>IFERROR(VLOOKUP(E111,'INVONTERY FEB'!$B$6:$D$131,3,FALSE),"")</f>
        <v/>
      </c>
      <c r="H111" s="108"/>
      <c r="I111" s="101">
        <f t="shared" si="1"/>
        <v>0</v>
      </c>
      <c r="J111" s="102"/>
      <c r="K111" s="106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</row>
    <row r="112" ht="15.75" customHeight="1">
      <c r="A112" s="93"/>
      <c r="B112" s="114"/>
      <c r="C112" s="115"/>
      <c r="D112" s="116"/>
      <c r="E112" s="97" t="str">
        <f>IFERROR(VLOOKUP(D112,'INVONTERY FEB'!$A$6:$B$432,2,FALSE),"")</f>
        <v/>
      </c>
      <c r="F112" s="98" t="str">
        <f>IFERROR(VLOOKUP(E112,'INVONTERY FEB'!$B$6:$C$432,2,FALSE),"")</f>
        <v/>
      </c>
      <c r="G112" s="99" t="str">
        <f>IFERROR(VLOOKUP(E112,'INVONTERY FEB'!$B$6:$D$131,3,FALSE),"")</f>
        <v/>
      </c>
      <c r="H112" s="108"/>
      <c r="I112" s="101">
        <f t="shared" si="1"/>
        <v>0</v>
      </c>
      <c r="J112" s="102"/>
      <c r="K112" s="106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</row>
    <row r="113" ht="15.75" customHeight="1">
      <c r="A113" s="93"/>
      <c r="B113" s="114"/>
      <c r="C113" s="115"/>
      <c r="D113" s="116"/>
      <c r="E113" s="97" t="str">
        <f>IFERROR(VLOOKUP(D113,'INVONTERY FEB'!$A$6:$B$432,2,FALSE),"")</f>
        <v/>
      </c>
      <c r="F113" s="98" t="str">
        <f>IFERROR(VLOOKUP(E113,'INVONTERY FEB'!$B$6:$C$432,2,FALSE),"")</f>
        <v/>
      </c>
      <c r="G113" s="99" t="str">
        <f>IFERROR(VLOOKUP(E113,'INVONTERY FEB'!$B$6:$D$131,3,FALSE),"")</f>
        <v/>
      </c>
      <c r="H113" s="108"/>
      <c r="I113" s="101">
        <f t="shared" si="1"/>
        <v>0</v>
      </c>
      <c r="J113" s="102"/>
      <c r="K113" s="106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</row>
    <row r="114" ht="15.75" customHeight="1">
      <c r="A114" s="93"/>
      <c r="B114" s="114"/>
      <c r="C114" s="115"/>
      <c r="D114" s="116"/>
      <c r="E114" s="97" t="str">
        <f>IFERROR(VLOOKUP(D114,'INVONTERY FEB'!$A$6:$B$432,2,FALSE),"")</f>
        <v/>
      </c>
      <c r="F114" s="98" t="str">
        <f>IFERROR(VLOOKUP(E114,'INVONTERY FEB'!$B$6:$C$432,2,FALSE),"")</f>
        <v/>
      </c>
      <c r="G114" s="99" t="str">
        <f>IFERROR(VLOOKUP(E114,'INVONTERY FEB'!$B$6:$D$131,3,FALSE),"")</f>
        <v/>
      </c>
      <c r="H114" s="108"/>
      <c r="I114" s="101">
        <f t="shared" si="1"/>
        <v>0</v>
      </c>
      <c r="J114" s="102"/>
      <c r="K114" s="106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</row>
    <row r="115" ht="15.75" customHeight="1">
      <c r="A115" s="93"/>
      <c r="B115" s="114"/>
      <c r="C115" s="115"/>
      <c r="D115" s="116"/>
      <c r="E115" s="97" t="str">
        <f>IFERROR(VLOOKUP(D115,'INVONTERY FEB'!$A$6:$B$432,2,FALSE),"")</f>
        <v/>
      </c>
      <c r="F115" s="98" t="str">
        <f>IFERROR(VLOOKUP(E115,'INVONTERY FEB'!$B$6:$C$432,2,FALSE),"")</f>
        <v/>
      </c>
      <c r="G115" s="99" t="str">
        <f>IFERROR(VLOOKUP(E115,'INVONTERY FEB'!$B$6:$D$131,3,FALSE),"")</f>
        <v/>
      </c>
      <c r="H115" s="108"/>
      <c r="I115" s="101">
        <f t="shared" si="1"/>
        <v>0</v>
      </c>
      <c r="J115" s="102"/>
      <c r="K115" s="106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</row>
    <row r="116" ht="15.75" customHeight="1">
      <c r="A116" s="93"/>
      <c r="B116" s="114"/>
      <c r="C116" s="115"/>
      <c r="D116" s="116"/>
      <c r="E116" s="97" t="str">
        <f>IFERROR(VLOOKUP(D116,'INVONTERY FEB'!$A$6:$B$432,2,FALSE),"")</f>
        <v/>
      </c>
      <c r="F116" s="98" t="str">
        <f>IFERROR(VLOOKUP(E116,'INVONTERY FEB'!$B$6:$C$432,2,FALSE),"")</f>
        <v/>
      </c>
      <c r="G116" s="99" t="str">
        <f>IFERROR(VLOOKUP(E116,'INVONTERY FEB'!$B$6:$D$131,3,FALSE),"")</f>
        <v/>
      </c>
      <c r="H116" s="108"/>
      <c r="I116" s="101">
        <f t="shared" si="1"/>
        <v>0</v>
      </c>
      <c r="J116" s="102"/>
      <c r="K116" s="106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</row>
    <row r="117" ht="15.75" customHeight="1">
      <c r="A117" s="93"/>
      <c r="B117" s="114"/>
      <c r="C117" s="115"/>
      <c r="D117" s="116"/>
      <c r="E117" s="97" t="str">
        <f>IFERROR(VLOOKUP(D117,'INVONTERY FEB'!$A$6:$B$432,2,FALSE),"")</f>
        <v/>
      </c>
      <c r="F117" s="98" t="str">
        <f>IFERROR(VLOOKUP(E117,'INVONTERY FEB'!$B$6:$C$432,2,FALSE),"")</f>
        <v/>
      </c>
      <c r="G117" s="99" t="str">
        <f>IFERROR(VLOOKUP(E117,'INVONTERY FEB'!$B$6:$D$131,3,FALSE),"")</f>
        <v/>
      </c>
      <c r="H117" s="108"/>
      <c r="I117" s="101">
        <f t="shared" si="1"/>
        <v>0</v>
      </c>
      <c r="J117" s="102"/>
      <c r="K117" s="106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</row>
    <row r="118" ht="15.75" customHeight="1">
      <c r="A118" s="93"/>
      <c r="B118" s="114"/>
      <c r="C118" s="115"/>
      <c r="D118" s="116"/>
      <c r="E118" s="97" t="str">
        <f>IFERROR(VLOOKUP(D118,'INVONTERY FEB'!$A$6:$B$432,2,FALSE),"")</f>
        <v/>
      </c>
      <c r="F118" s="98" t="str">
        <f>IFERROR(VLOOKUP(E118,'INVONTERY FEB'!$B$6:$C$432,2,FALSE),"")</f>
        <v/>
      </c>
      <c r="G118" s="99" t="str">
        <f>IFERROR(VLOOKUP(E118,'INVONTERY FEB'!$B$6:$D$131,3,FALSE),"")</f>
        <v/>
      </c>
      <c r="H118" s="108"/>
      <c r="I118" s="101">
        <f t="shared" si="1"/>
        <v>0</v>
      </c>
      <c r="J118" s="102"/>
      <c r="K118" s="106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</row>
    <row r="119" ht="15.75" customHeight="1">
      <c r="A119" s="93"/>
      <c r="B119" s="114"/>
      <c r="C119" s="115"/>
      <c r="D119" s="116"/>
      <c r="E119" s="97" t="str">
        <f>IFERROR(VLOOKUP(D119,'INVONTERY FEB'!$A$6:$B$432,2,FALSE),"")</f>
        <v/>
      </c>
      <c r="F119" s="98" t="str">
        <f>IFERROR(VLOOKUP(E119,'INVONTERY FEB'!$B$6:$C$432,2,FALSE),"")</f>
        <v/>
      </c>
      <c r="G119" s="99" t="str">
        <f>IFERROR(VLOOKUP(E119,'INVONTERY FEB'!$B$6:$D$131,3,FALSE),"")</f>
        <v/>
      </c>
      <c r="H119" s="108"/>
      <c r="I119" s="101">
        <f t="shared" si="1"/>
        <v>0</v>
      </c>
      <c r="J119" s="102"/>
      <c r="K119" s="106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</row>
    <row r="120" ht="15.75" customHeight="1">
      <c r="A120" s="93"/>
      <c r="B120" s="114"/>
      <c r="C120" s="115"/>
      <c r="D120" s="116"/>
      <c r="E120" s="97" t="str">
        <f>IFERROR(VLOOKUP(D120,'INVONTERY FEB'!$A$6:$B$432,2,FALSE),"")</f>
        <v/>
      </c>
      <c r="F120" s="98" t="str">
        <f>IFERROR(VLOOKUP(E120,'INVONTERY FEB'!$B$6:$C$432,2,FALSE),"")</f>
        <v/>
      </c>
      <c r="G120" s="99" t="str">
        <f>IFERROR(VLOOKUP(E120,'INVONTERY FEB'!$B$6:$D$131,3,FALSE),"")</f>
        <v/>
      </c>
      <c r="H120" s="108"/>
      <c r="I120" s="101">
        <f t="shared" si="1"/>
        <v>0</v>
      </c>
      <c r="J120" s="102"/>
      <c r="K120" s="106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</row>
    <row r="121" ht="15.75" customHeight="1">
      <c r="A121" s="93"/>
      <c r="B121" s="114"/>
      <c r="C121" s="115"/>
      <c r="D121" s="116"/>
      <c r="E121" s="97" t="str">
        <f>IFERROR(VLOOKUP(D121,'INVONTERY FEB'!$A$6:$B$432,2,FALSE),"")</f>
        <v/>
      </c>
      <c r="F121" s="98" t="str">
        <f>IFERROR(VLOOKUP(E121,'INVONTERY FEB'!$B$6:$C$432,2,FALSE),"")</f>
        <v/>
      </c>
      <c r="G121" s="99" t="str">
        <f>IFERROR(VLOOKUP(E121,'INVONTERY FEB'!$B$6:$D$131,3,FALSE),"")</f>
        <v/>
      </c>
      <c r="H121" s="108"/>
      <c r="I121" s="101">
        <f t="shared" si="1"/>
        <v>0</v>
      </c>
      <c r="J121" s="102"/>
      <c r="K121" s="106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</row>
    <row r="122" ht="15.75" customHeight="1">
      <c r="A122" s="93"/>
      <c r="B122" s="114"/>
      <c r="C122" s="115"/>
      <c r="D122" s="116"/>
      <c r="E122" s="97" t="str">
        <f>IFERROR(VLOOKUP(D122,'INVONTERY FEB'!$A$6:$B$432,2,FALSE),"")</f>
        <v/>
      </c>
      <c r="F122" s="98" t="str">
        <f>IFERROR(VLOOKUP(E122,'INVONTERY FEB'!$B$6:$C$432,2,FALSE),"")</f>
        <v/>
      </c>
      <c r="G122" s="99" t="str">
        <f>IFERROR(VLOOKUP(E122,'INVONTERY FEB'!$B$6:$D$131,3,FALSE),"")</f>
        <v/>
      </c>
      <c r="H122" s="108"/>
      <c r="I122" s="101">
        <f t="shared" si="1"/>
        <v>0</v>
      </c>
      <c r="J122" s="102"/>
      <c r="K122" s="106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</row>
    <row r="123" ht="15.75" customHeight="1">
      <c r="A123" s="93"/>
      <c r="B123" s="114"/>
      <c r="C123" s="115"/>
      <c r="D123" s="116"/>
      <c r="E123" s="97" t="str">
        <f>IFERROR(VLOOKUP(D123,'INVONTERY FEB'!$A$6:$B$432,2,FALSE),"")</f>
        <v/>
      </c>
      <c r="F123" s="98" t="str">
        <f>IFERROR(VLOOKUP(E123,'INVONTERY FEB'!$B$6:$C$432,2,FALSE),"")</f>
        <v/>
      </c>
      <c r="G123" s="99" t="str">
        <f>IFERROR(VLOOKUP(E123,'INVONTERY FEB'!$B$6:$D$131,3,FALSE),"")</f>
        <v/>
      </c>
      <c r="H123" s="108"/>
      <c r="I123" s="101">
        <f t="shared" si="1"/>
        <v>0</v>
      </c>
      <c r="J123" s="102"/>
      <c r="K123" s="106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</row>
    <row r="124" ht="15.75" customHeight="1">
      <c r="A124" s="93"/>
      <c r="B124" s="114"/>
      <c r="C124" s="115"/>
      <c r="D124" s="116"/>
      <c r="E124" s="97" t="str">
        <f>IFERROR(VLOOKUP(D124,'INVONTERY FEB'!$A$6:$B$432,2,FALSE),"")</f>
        <v/>
      </c>
      <c r="F124" s="98" t="str">
        <f>IFERROR(VLOOKUP(E124,'INVONTERY FEB'!$B$6:$C$432,2,FALSE),"")</f>
        <v/>
      </c>
      <c r="G124" s="99" t="str">
        <f>IFERROR(VLOOKUP(E124,'INVONTERY FEB'!$B$6:$D$131,3,FALSE),"")</f>
        <v/>
      </c>
      <c r="H124" s="108"/>
      <c r="I124" s="101">
        <f t="shared" si="1"/>
        <v>0</v>
      </c>
      <c r="J124" s="102"/>
      <c r="K124" s="106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</row>
    <row r="125" ht="15.75" customHeight="1">
      <c r="A125" s="93"/>
      <c r="B125" s="114"/>
      <c r="C125" s="115"/>
      <c r="D125" s="116"/>
      <c r="E125" s="97" t="str">
        <f>IFERROR(VLOOKUP(D125,'INVONTERY FEB'!$A$6:$B$432,2,FALSE),"")</f>
        <v/>
      </c>
      <c r="F125" s="98" t="str">
        <f>IFERROR(VLOOKUP(E125,'INVONTERY FEB'!$B$6:$C$432,2,FALSE),"")</f>
        <v/>
      </c>
      <c r="G125" s="99" t="str">
        <f>IFERROR(VLOOKUP(E125,'INVONTERY FEB'!$B$6:$D$131,3,FALSE),"")</f>
        <v/>
      </c>
      <c r="H125" s="108"/>
      <c r="I125" s="101">
        <f t="shared" si="1"/>
        <v>0</v>
      </c>
      <c r="J125" s="102"/>
      <c r="K125" s="106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</row>
    <row r="126" ht="15.75" customHeight="1">
      <c r="A126" s="93"/>
      <c r="B126" s="114"/>
      <c r="C126" s="115"/>
      <c r="D126" s="116"/>
      <c r="E126" s="97" t="str">
        <f>IFERROR(VLOOKUP(D126,'INVONTERY FEB'!$A$6:$B$432,2,FALSE),"")</f>
        <v/>
      </c>
      <c r="F126" s="98" t="str">
        <f>IFERROR(VLOOKUP(E126,'INVONTERY FEB'!$B$6:$C$432,2,FALSE),"")</f>
        <v/>
      </c>
      <c r="G126" s="99" t="str">
        <f>IFERROR(VLOOKUP(E126,'INVONTERY FEB'!$B$6:$D$131,3,FALSE),"")</f>
        <v/>
      </c>
      <c r="H126" s="108"/>
      <c r="I126" s="101">
        <f t="shared" si="1"/>
        <v>0</v>
      </c>
      <c r="J126" s="102"/>
      <c r="K126" s="106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</row>
    <row r="127" ht="15.75" customHeight="1">
      <c r="A127" s="93"/>
      <c r="B127" s="114"/>
      <c r="C127" s="115"/>
      <c r="D127" s="116"/>
      <c r="E127" s="97" t="str">
        <f>IFERROR(VLOOKUP(D127,'INVONTERY FEB'!$A$6:$B$432,2,FALSE),"")</f>
        <v/>
      </c>
      <c r="F127" s="98" t="str">
        <f>IFERROR(VLOOKUP(E127,'INVONTERY FEB'!$B$6:$C$432,2,FALSE),"")</f>
        <v/>
      </c>
      <c r="G127" s="99" t="str">
        <f>IFERROR(VLOOKUP(E127,'INVONTERY FEB'!$B$6:$D$131,3,FALSE),"")</f>
        <v/>
      </c>
      <c r="H127" s="108"/>
      <c r="I127" s="101">
        <f t="shared" si="1"/>
        <v>0</v>
      </c>
      <c r="J127" s="102"/>
      <c r="K127" s="106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</row>
    <row r="128" ht="15.75" customHeight="1">
      <c r="A128" s="93"/>
      <c r="B128" s="114"/>
      <c r="C128" s="115"/>
      <c r="D128" s="116"/>
      <c r="E128" s="97" t="str">
        <f>IFERROR(VLOOKUP(D128,'INVONTERY FEB'!$A$6:$B$432,2,FALSE),"")</f>
        <v/>
      </c>
      <c r="F128" s="98" t="str">
        <f>IFERROR(VLOOKUP(E128,'INVONTERY FEB'!$B$6:$C$432,2,FALSE),"")</f>
        <v/>
      </c>
      <c r="G128" s="99" t="str">
        <f>IFERROR(VLOOKUP(E128,'INVONTERY FEB'!$B$6:$D$131,3,FALSE),"")</f>
        <v/>
      </c>
      <c r="H128" s="108"/>
      <c r="I128" s="101">
        <f t="shared" si="1"/>
        <v>0</v>
      </c>
      <c r="J128" s="102"/>
      <c r="K128" s="106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</row>
    <row r="129" ht="15.75" customHeight="1">
      <c r="A129" s="93"/>
      <c r="B129" s="114"/>
      <c r="C129" s="115"/>
      <c r="D129" s="116"/>
      <c r="E129" s="97" t="str">
        <f>IFERROR(VLOOKUP(D129,'INVONTERY FEB'!$A$6:$B$432,2,FALSE),"")</f>
        <v/>
      </c>
      <c r="F129" s="98" t="str">
        <f>IFERROR(VLOOKUP(E129,'INVONTERY FEB'!$B$6:$C$432,2,FALSE),"")</f>
        <v/>
      </c>
      <c r="G129" s="99" t="str">
        <f>IFERROR(VLOOKUP(E129,'INVONTERY FEB'!$B$6:$D$131,3,FALSE),"")</f>
        <v/>
      </c>
      <c r="H129" s="108"/>
      <c r="I129" s="101">
        <f t="shared" si="1"/>
        <v>0</v>
      </c>
      <c r="J129" s="102"/>
      <c r="K129" s="106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</row>
    <row r="130" ht="15.75" customHeight="1">
      <c r="A130" s="93"/>
      <c r="B130" s="114"/>
      <c r="C130" s="115"/>
      <c r="D130" s="116"/>
      <c r="E130" s="97" t="str">
        <f>IFERROR(VLOOKUP(D130,'INVONTERY FEB'!$A$6:$B$432,2,FALSE),"")</f>
        <v/>
      </c>
      <c r="F130" s="98" t="str">
        <f>IFERROR(VLOOKUP(E130,'INVONTERY FEB'!$B$6:$C$432,2,FALSE),"")</f>
        <v/>
      </c>
      <c r="G130" s="99" t="str">
        <f>IFERROR(VLOOKUP(E130,'INVONTERY FEB'!$B$6:$D$131,3,FALSE),"")</f>
        <v/>
      </c>
      <c r="H130" s="108"/>
      <c r="I130" s="101">
        <f t="shared" si="1"/>
        <v>0</v>
      </c>
      <c r="J130" s="102"/>
      <c r="K130" s="106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</row>
    <row r="131" ht="15.75" customHeight="1">
      <c r="A131" s="93"/>
      <c r="B131" s="114"/>
      <c r="C131" s="115"/>
      <c r="D131" s="116"/>
      <c r="E131" s="97" t="str">
        <f>IFERROR(VLOOKUP(D131,'INVONTERY FEB'!$A$6:$B$432,2,FALSE),"")</f>
        <v/>
      </c>
      <c r="F131" s="98" t="str">
        <f>IFERROR(VLOOKUP(E131,'INVONTERY FEB'!$B$6:$C$432,2,FALSE),"")</f>
        <v/>
      </c>
      <c r="G131" s="99" t="str">
        <f>IFERROR(VLOOKUP(E131,'INVONTERY FEB'!$B$6:$D$131,3,FALSE),"")</f>
        <v/>
      </c>
      <c r="H131" s="108"/>
      <c r="I131" s="101">
        <f t="shared" si="1"/>
        <v>0</v>
      </c>
      <c r="J131" s="102"/>
      <c r="K131" s="106"/>
      <c r="L131" s="109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5.75" customHeight="1">
      <c r="A132" s="93"/>
      <c r="B132" s="114"/>
      <c r="C132" s="115"/>
      <c r="D132" s="116"/>
      <c r="E132" s="97" t="str">
        <f>IFERROR(VLOOKUP(D132,'INVONTERY FEB'!$A$6:$B$432,2,FALSE),"")</f>
        <v/>
      </c>
      <c r="F132" s="98" t="str">
        <f>IFERROR(VLOOKUP(E132,'INVONTERY FEB'!$B$6:$C$432,2,FALSE),"")</f>
        <v/>
      </c>
      <c r="G132" s="99" t="str">
        <f>IFERROR(VLOOKUP(E132,'INVONTERY FEB'!$B$6:$D$131,3,FALSE),"")</f>
        <v/>
      </c>
      <c r="H132" s="108"/>
      <c r="I132" s="101">
        <f t="shared" si="1"/>
        <v>0</v>
      </c>
      <c r="J132" s="102"/>
      <c r="K132" s="106"/>
      <c r="L132" s="109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5.75" customHeight="1">
      <c r="A133" s="93"/>
      <c r="B133" s="114"/>
      <c r="C133" s="115"/>
      <c r="D133" s="116"/>
      <c r="E133" s="97" t="str">
        <f>IFERROR(VLOOKUP(D133,'INVONTERY FEB'!$A$6:$B$432,2,FALSE),"")</f>
        <v/>
      </c>
      <c r="F133" s="98" t="str">
        <f>IFERROR(VLOOKUP(E133,'INVONTERY FEB'!$B$6:$C$432,2,FALSE),"")</f>
        <v/>
      </c>
      <c r="G133" s="99" t="str">
        <f>IFERROR(VLOOKUP(E133,'INVONTERY FEB'!$B$6:$D$131,3,FALSE),"")</f>
        <v/>
      </c>
      <c r="H133" s="108"/>
      <c r="I133" s="101">
        <f t="shared" si="1"/>
        <v>0</v>
      </c>
      <c r="J133" s="102"/>
      <c r="K133" s="106"/>
      <c r="L133" s="109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5.75" customHeight="1">
      <c r="A134" s="93"/>
      <c r="B134" s="114"/>
      <c r="C134" s="115"/>
      <c r="D134" s="116"/>
      <c r="E134" s="97" t="str">
        <f>IFERROR(VLOOKUP(D134,'INVONTERY FEB'!$A$6:$B$432,2,FALSE),"")</f>
        <v/>
      </c>
      <c r="F134" s="98" t="str">
        <f>IFERROR(VLOOKUP(E134,'INVONTERY FEB'!$B$6:$C$432,2,FALSE),"")</f>
        <v/>
      </c>
      <c r="G134" s="99" t="str">
        <f>IFERROR(VLOOKUP(E134,'INVONTERY FEB'!$B$6:$D$131,3,FALSE),"")</f>
        <v/>
      </c>
      <c r="H134" s="108"/>
      <c r="I134" s="101">
        <f t="shared" si="1"/>
        <v>0</v>
      </c>
      <c r="J134" s="102"/>
      <c r="K134" s="106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</row>
    <row r="135" ht="15.75" customHeight="1">
      <c r="A135" s="93"/>
      <c r="B135" s="114"/>
      <c r="C135" s="115"/>
      <c r="D135" s="116"/>
      <c r="E135" s="97" t="str">
        <f>IFERROR(VLOOKUP(D135,'INVONTERY FEB'!$A$6:$B$432,2,FALSE),"")</f>
        <v/>
      </c>
      <c r="F135" s="98" t="str">
        <f>IFERROR(VLOOKUP(E135,'INVONTERY FEB'!$B$6:$C$432,2,FALSE),"")</f>
        <v/>
      </c>
      <c r="G135" s="99" t="str">
        <f>IFERROR(VLOOKUP(E135,'INVONTERY FEB'!$B$6:$D$131,3,FALSE),"")</f>
        <v/>
      </c>
      <c r="H135" s="108"/>
      <c r="I135" s="101">
        <f t="shared" si="1"/>
        <v>0</v>
      </c>
      <c r="J135" s="102"/>
      <c r="K135" s="106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</row>
    <row r="136" ht="15.75" customHeight="1">
      <c r="A136" s="93"/>
      <c r="B136" s="114"/>
      <c r="C136" s="115"/>
      <c r="D136" s="116"/>
      <c r="E136" s="97" t="str">
        <f>IFERROR(VLOOKUP(D136,'INVONTERY FEB'!$A$6:$B$432,2,FALSE),"")</f>
        <v/>
      </c>
      <c r="F136" s="98" t="str">
        <f>IFERROR(VLOOKUP(E136,'INVONTERY FEB'!$B$6:$C$432,2,FALSE),"")</f>
        <v/>
      </c>
      <c r="G136" s="99" t="str">
        <f>IFERROR(VLOOKUP(E136,'INVONTERY FEB'!$B$6:$D$131,3,FALSE),"")</f>
        <v/>
      </c>
      <c r="H136" s="108"/>
      <c r="I136" s="101">
        <f t="shared" si="1"/>
        <v>0</v>
      </c>
      <c r="J136" s="102"/>
      <c r="K136" s="106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</row>
    <row r="137" ht="15.75" customHeight="1">
      <c r="A137" s="93"/>
      <c r="B137" s="114"/>
      <c r="C137" s="115"/>
      <c r="D137" s="116"/>
      <c r="E137" s="97" t="str">
        <f>IFERROR(VLOOKUP(D137,'INVONTERY FEB'!$A$6:$B$432,2,FALSE),"")</f>
        <v/>
      </c>
      <c r="F137" s="98" t="str">
        <f>IFERROR(VLOOKUP(E137,'INVONTERY FEB'!$B$6:$C$432,2,FALSE),"")</f>
        <v/>
      </c>
      <c r="G137" s="99" t="str">
        <f>IFERROR(VLOOKUP(E137,'INVONTERY FEB'!$B$6:$D$131,3,FALSE),"")</f>
        <v/>
      </c>
      <c r="H137" s="108"/>
      <c r="I137" s="101">
        <f t="shared" si="1"/>
        <v>0</v>
      </c>
      <c r="J137" s="102"/>
      <c r="K137" s="106"/>
    </row>
    <row r="138" ht="15.75" customHeight="1">
      <c r="A138" s="93"/>
      <c r="B138" s="114"/>
      <c r="C138" s="115"/>
      <c r="D138" s="116"/>
      <c r="E138" s="97" t="str">
        <f>IFERROR(VLOOKUP(D138,'INVONTERY FEB'!$A$6:$B$432,2,FALSE),"")</f>
        <v/>
      </c>
      <c r="F138" s="98" t="str">
        <f>IFERROR(VLOOKUP(E138,'INVONTERY FEB'!$B$6:$C$432,2,FALSE),"")</f>
        <v/>
      </c>
      <c r="G138" s="99" t="str">
        <f>IFERROR(VLOOKUP(E138,'INVONTERY FEB'!$B$6:$D$131,3,FALSE),"")</f>
        <v/>
      </c>
      <c r="H138" s="108"/>
      <c r="I138" s="101">
        <f t="shared" si="1"/>
        <v>0</v>
      </c>
      <c r="J138" s="102"/>
      <c r="K138" s="106"/>
      <c r="L138" s="109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</row>
    <row r="139" ht="15.75" customHeight="1">
      <c r="A139" s="93"/>
      <c r="B139" s="114"/>
      <c r="C139" s="115"/>
      <c r="D139" s="116"/>
      <c r="E139" s="97" t="str">
        <f>IFERROR(VLOOKUP(D139,'INVONTERY FEB'!$A$6:$B$432,2,FALSE),"")</f>
        <v/>
      </c>
      <c r="F139" s="98" t="str">
        <f>IFERROR(VLOOKUP(E139,'INVONTERY FEB'!$B$6:$C$432,2,FALSE),"")</f>
        <v/>
      </c>
      <c r="G139" s="99" t="str">
        <f>IFERROR(VLOOKUP(E139,'INVONTERY FEB'!$B$6:$D$131,3,FALSE),"")</f>
        <v/>
      </c>
      <c r="H139" s="108"/>
      <c r="I139" s="101">
        <f t="shared" si="1"/>
        <v>0</v>
      </c>
      <c r="J139" s="102"/>
      <c r="K139" s="106"/>
    </row>
    <row r="140" ht="15.75" customHeight="1">
      <c r="A140" s="93"/>
      <c r="B140" s="114"/>
      <c r="C140" s="115"/>
      <c r="D140" s="116"/>
      <c r="E140" s="97" t="str">
        <f>IFERROR(VLOOKUP(D140,'INVONTERY FEB'!$A$6:$B$432,2,FALSE),"")</f>
        <v/>
      </c>
      <c r="F140" s="98" t="str">
        <f>IFERROR(VLOOKUP(E140,'INVONTERY FEB'!$B$6:$C$432,2,FALSE),"")</f>
        <v/>
      </c>
      <c r="G140" s="99" t="str">
        <f>IFERROR(VLOOKUP(E140,'INVONTERY FEB'!$B$6:$D$131,3,FALSE),"")</f>
        <v/>
      </c>
      <c r="H140" s="108"/>
      <c r="I140" s="101">
        <f t="shared" si="1"/>
        <v>0</v>
      </c>
      <c r="J140" s="102"/>
      <c r="K140" s="106"/>
    </row>
    <row r="141" ht="15.75" customHeight="1">
      <c r="A141" s="93"/>
      <c r="B141" s="114"/>
      <c r="C141" s="115"/>
      <c r="D141" s="116"/>
      <c r="E141" s="97" t="str">
        <f>IFERROR(VLOOKUP(D141,'INVONTERY FEB'!$A$6:$B$432,2,FALSE),"")</f>
        <v/>
      </c>
      <c r="F141" s="98" t="str">
        <f>IFERROR(VLOOKUP(E141,'INVONTERY FEB'!$B$6:$C$432,2,FALSE),"")</f>
        <v/>
      </c>
      <c r="G141" s="99" t="str">
        <f>IFERROR(VLOOKUP(E141,'INVONTERY FEB'!$B$6:$D$131,3,FALSE),"")</f>
        <v/>
      </c>
      <c r="H141" s="108"/>
      <c r="I141" s="101">
        <f t="shared" si="1"/>
        <v>0</v>
      </c>
      <c r="J141" s="102"/>
      <c r="K141" s="106"/>
    </row>
    <row r="142" ht="15.75" customHeight="1">
      <c r="A142" s="93"/>
      <c r="B142" s="114"/>
      <c r="C142" s="115"/>
      <c r="D142" s="116"/>
      <c r="E142" s="97" t="str">
        <f>IFERROR(VLOOKUP(D142,'INVONTERY FEB'!$A$6:$B$432,2,FALSE),"")</f>
        <v/>
      </c>
      <c r="F142" s="98" t="str">
        <f>IFERROR(VLOOKUP(E142,'INVONTERY FEB'!$B$6:$C$432,2,FALSE),"")</f>
        <v/>
      </c>
      <c r="G142" s="99" t="str">
        <f>IFERROR(VLOOKUP(E142,'INVONTERY FEB'!$B$6:$D$131,3,FALSE),"")</f>
        <v/>
      </c>
      <c r="H142" s="108"/>
      <c r="I142" s="101">
        <f t="shared" si="1"/>
        <v>0</v>
      </c>
      <c r="J142" s="102"/>
      <c r="K142" s="106"/>
    </row>
    <row r="143" ht="15.75" customHeight="1">
      <c r="A143" s="93"/>
      <c r="B143" s="114"/>
      <c r="C143" s="115"/>
      <c r="D143" s="116"/>
      <c r="E143" s="97" t="str">
        <f>IFERROR(VLOOKUP(D143,'INVONTERY FEB'!$A$6:$B$432,2,FALSE),"")</f>
        <v/>
      </c>
      <c r="F143" s="98" t="str">
        <f>IFERROR(VLOOKUP(E143,'INVONTERY FEB'!$B$6:$C$432,2,FALSE),"")</f>
        <v/>
      </c>
      <c r="G143" s="99" t="str">
        <f>IFERROR(VLOOKUP(E143,'INVONTERY FEB'!$B$6:$D$131,3,FALSE),"")</f>
        <v/>
      </c>
      <c r="H143" s="108"/>
      <c r="I143" s="101">
        <f t="shared" si="1"/>
        <v>0</v>
      </c>
      <c r="J143" s="102"/>
      <c r="K143" s="106"/>
    </row>
    <row r="144" ht="15.75" customHeight="1">
      <c r="A144" s="93"/>
      <c r="B144" s="114"/>
      <c r="C144" s="115"/>
      <c r="D144" s="116"/>
      <c r="E144" s="97" t="str">
        <f>IFERROR(VLOOKUP(D144,'INVONTERY FEB'!$A$6:$B$432,2,FALSE),"")</f>
        <v/>
      </c>
      <c r="F144" s="98" t="str">
        <f>IFERROR(VLOOKUP(E144,'INVONTERY FEB'!$B$6:$C$432,2,FALSE),"")</f>
        <v/>
      </c>
      <c r="G144" s="99" t="str">
        <f>IFERROR(VLOOKUP(E144,'INVONTERY FEB'!$B$6:$D$131,3,FALSE),"")</f>
        <v/>
      </c>
      <c r="H144" s="108"/>
      <c r="I144" s="101">
        <f t="shared" si="1"/>
        <v>0</v>
      </c>
      <c r="J144" s="102"/>
      <c r="K144" s="106"/>
    </row>
    <row r="145" ht="15.75" customHeight="1">
      <c r="A145" s="93"/>
      <c r="B145" s="114"/>
      <c r="C145" s="115"/>
      <c r="D145" s="116"/>
      <c r="E145" s="97" t="str">
        <f>IFERROR(VLOOKUP(D145,'INVONTERY FEB'!$A$6:$B$432,2,FALSE),"")</f>
        <v/>
      </c>
      <c r="F145" s="98" t="str">
        <f>IFERROR(VLOOKUP(E145,'INVONTERY FEB'!$B$6:$C$432,2,FALSE),"")</f>
        <v/>
      </c>
      <c r="G145" s="99" t="str">
        <f>IFERROR(VLOOKUP(E145,'INVONTERY FEB'!$B$6:$D$131,3,FALSE),"")</f>
        <v/>
      </c>
      <c r="H145" s="108"/>
      <c r="I145" s="101">
        <f t="shared" si="1"/>
        <v>0</v>
      </c>
      <c r="J145" s="102"/>
      <c r="K145" s="106"/>
    </row>
    <row r="146" ht="15.75" customHeight="1">
      <c r="A146" s="93"/>
      <c r="B146" s="114"/>
      <c r="C146" s="115"/>
      <c r="D146" s="116"/>
      <c r="E146" s="97" t="str">
        <f>IFERROR(VLOOKUP(D146,'INVONTERY FEB'!$A$6:$B$432,2,FALSE),"")</f>
        <v/>
      </c>
      <c r="F146" s="98" t="str">
        <f>IFERROR(VLOOKUP(E146,'INVONTERY FEB'!$B$6:$C$432,2,FALSE),"")</f>
        <v/>
      </c>
      <c r="G146" s="99" t="str">
        <f>IFERROR(VLOOKUP(E146,'INVONTERY FEB'!$B$6:$D$131,3,FALSE),"")</f>
        <v/>
      </c>
      <c r="H146" s="108"/>
      <c r="I146" s="101">
        <f t="shared" si="1"/>
        <v>0</v>
      </c>
      <c r="J146" s="102"/>
      <c r="K146" s="106"/>
    </row>
    <row r="147" ht="15.75" customHeight="1">
      <c r="A147" s="93"/>
      <c r="B147" s="114"/>
      <c r="C147" s="115"/>
      <c r="D147" s="116"/>
      <c r="E147" s="97" t="str">
        <f>IFERROR(VLOOKUP(D147,'INVONTERY FEB'!$A$6:$B$432,2,FALSE),"")</f>
        <v/>
      </c>
      <c r="F147" s="98" t="str">
        <f>IFERROR(VLOOKUP(E147,'INVONTERY FEB'!$B$6:$C$432,2,FALSE),"")</f>
        <v/>
      </c>
      <c r="G147" s="99" t="str">
        <f>IFERROR(VLOOKUP(E147,'INVONTERY FEB'!$B$6:$D$131,3,FALSE),"")</f>
        <v/>
      </c>
      <c r="H147" s="108"/>
      <c r="I147" s="101">
        <f t="shared" si="1"/>
        <v>0</v>
      </c>
      <c r="J147" s="102"/>
      <c r="K147" s="106"/>
    </row>
    <row r="148" ht="15.75" customHeight="1">
      <c r="A148" s="93"/>
      <c r="B148" s="114"/>
      <c r="C148" s="115"/>
      <c r="D148" s="116"/>
      <c r="E148" s="97" t="str">
        <f>IFERROR(VLOOKUP(D148,'INVONTERY FEB'!$A$6:$B$432,2,FALSE),"")</f>
        <v/>
      </c>
      <c r="F148" s="98" t="str">
        <f>IFERROR(VLOOKUP(E148,'INVONTERY FEB'!$B$6:$C$432,2,FALSE),"")</f>
        <v/>
      </c>
      <c r="G148" s="99" t="str">
        <f>IFERROR(VLOOKUP(E148,'INVONTERY FEB'!$B$6:$D$131,3,FALSE),"")</f>
        <v/>
      </c>
      <c r="H148" s="108"/>
      <c r="I148" s="101">
        <f t="shared" si="1"/>
        <v>0</v>
      </c>
      <c r="J148" s="102"/>
      <c r="K148" s="106"/>
    </row>
    <row r="149" ht="15.75" customHeight="1">
      <c r="A149" s="93"/>
      <c r="B149" s="114"/>
      <c r="C149" s="115"/>
      <c r="D149" s="116"/>
      <c r="E149" s="97" t="str">
        <f>IFERROR(VLOOKUP(D149,'INVONTERY FEB'!$A$6:$B$432,2,FALSE),"")</f>
        <v/>
      </c>
      <c r="F149" s="98" t="str">
        <f>IFERROR(VLOOKUP(E149,'INVONTERY FEB'!$B$6:$C$432,2,FALSE),"")</f>
        <v/>
      </c>
      <c r="G149" s="99" t="str">
        <f>IFERROR(VLOOKUP(E149,'INVONTERY FEB'!$B$6:$D$131,3,FALSE),"")</f>
        <v/>
      </c>
      <c r="H149" s="108"/>
      <c r="I149" s="101">
        <f t="shared" si="1"/>
        <v>0</v>
      </c>
      <c r="J149" s="102"/>
      <c r="K149" s="106"/>
    </row>
    <row r="150" ht="15.75" customHeight="1">
      <c r="A150" s="93"/>
      <c r="B150" s="114"/>
      <c r="C150" s="115"/>
      <c r="D150" s="116"/>
      <c r="E150" s="97" t="str">
        <f>IFERROR(VLOOKUP(D150,'INVONTERY FEB'!$A$6:$B$432,2,FALSE),"")</f>
        <v/>
      </c>
      <c r="F150" s="98" t="str">
        <f>IFERROR(VLOOKUP(E150,'INVONTERY FEB'!$B$6:$C$432,2,FALSE),"")</f>
        <v/>
      </c>
      <c r="G150" s="99" t="str">
        <f>IFERROR(VLOOKUP(E150,'INVONTERY FEB'!$B$6:$D$131,3,FALSE),"")</f>
        <v/>
      </c>
      <c r="H150" s="108"/>
      <c r="I150" s="101">
        <f t="shared" si="1"/>
        <v>0</v>
      </c>
      <c r="J150" s="102"/>
      <c r="K150" s="106"/>
    </row>
    <row r="151" ht="15.75" customHeight="1">
      <c r="A151" s="93"/>
      <c r="B151" s="114"/>
      <c r="C151" s="115"/>
      <c r="D151" s="116"/>
      <c r="E151" s="97" t="str">
        <f>IFERROR(VLOOKUP(D151,'INVONTERY FEB'!$A$6:$B$432,2,FALSE),"")</f>
        <v/>
      </c>
      <c r="F151" s="98" t="str">
        <f>IFERROR(VLOOKUP(E151,'INVONTERY FEB'!$B$6:$C$432,2,FALSE),"")</f>
        <v/>
      </c>
      <c r="G151" s="99" t="str">
        <f>IFERROR(VLOOKUP(E151,'INVONTERY FEB'!$B$6:$D$131,3,FALSE),"")</f>
        <v/>
      </c>
      <c r="H151" s="108"/>
      <c r="I151" s="101">
        <f t="shared" si="1"/>
        <v>0</v>
      </c>
      <c r="J151" s="102"/>
      <c r="K151" s="106"/>
    </row>
    <row r="152" ht="15.75" customHeight="1">
      <c r="A152" s="93"/>
      <c r="B152" s="114"/>
      <c r="C152" s="115"/>
      <c r="D152" s="116"/>
      <c r="E152" s="97" t="str">
        <f>IFERROR(VLOOKUP(D152,'INVONTERY FEB'!$A$6:$B$432,2,FALSE),"")</f>
        <v/>
      </c>
      <c r="F152" s="98" t="str">
        <f>IFERROR(VLOOKUP(E152,'INVONTERY FEB'!$B$6:$C$432,2,FALSE),"")</f>
        <v/>
      </c>
      <c r="G152" s="99" t="str">
        <f>IFERROR(VLOOKUP(E152,'INVONTERY FEB'!$B$6:$D$131,3,FALSE),"")</f>
        <v/>
      </c>
      <c r="H152" s="108"/>
      <c r="I152" s="101">
        <f t="shared" si="1"/>
        <v>0</v>
      </c>
      <c r="J152" s="102"/>
      <c r="K152" s="106"/>
      <c r="L152" s="109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</row>
    <row r="153" ht="15.75" customHeight="1">
      <c r="A153" s="93"/>
      <c r="B153" s="114"/>
      <c r="C153" s="115"/>
      <c r="D153" s="116"/>
      <c r="E153" s="97" t="str">
        <f>IFERROR(VLOOKUP(D153,'INVONTERY FEB'!$A$6:$B$432,2,FALSE),"")</f>
        <v/>
      </c>
      <c r="F153" s="98" t="str">
        <f>IFERROR(VLOOKUP(E153,'INVONTERY FEB'!$B$6:$C$432,2,FALSE),"")</f>
        <v/>
      </c>
      <c r="G153" s="99" t="str">
        <f>IFERROR(VLOOKUP(E153,'INVONTERY FEB'!$B$6:$D$131,3,FALSE),"")</f>
        <v/>
      </c>
      <c r="H153" s="108"/>
      <c r="I153" s="101">
        <f t="shared" si="1"/>
        <v>0</v>
      </c>
      <c r="J153" s="102"/>
      <c r="K153" s="106"/>
    </row>
    <row r="154" ht="15.75" customHeight="1">
      <c r="A154" s="93"/>
      <c r="B154" s="114"/>
      <c r="C154" s="115"/>
      <c r="D154" s="116"/>
      <c r="E154" s="97" t="str">
        <f>IFERROR(VLOOKUP(D154,'INVONTERY FEB'!$A$6:$B$432,2,FALSE),"")</f>
        <v/>
      </c>
      <c r="F154" s="98" t="str">
        <f>IFERROR(VLOOKUP(E154,'INVONTERY FEB'!$B$6:$C$432,2,FALSE),"")</f>
        <v/>
      </c>
      <c r="G154" s="99" t="str">
        <f>IFERROR(VLOOKUP(E154,'INVONTERY FEB'!$B$6:$D$131,3,FALSE),"")</f>
        <v/>
      </c>
      <c r="H154" s="108"/>
      <c r="I154" s="101">
        <f t="shared" si="1"/>
        <v>0</v>
      </c>
      <c r="J154" s="102"/>
      <c r="K154" s="106"/>
      <c r="L154" s="109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</row>
    <row r="155" ht="15.75" customHeight="1">
      <c r="A155" s="93"/>
      <c r="B155" s="114"/>
      <c r="C155" s="115"/>
      <c r="D155" s="116"/>
      <c r="E155" s="97" t="str">
        <f>IFERROR(VLOOKUP(D155,'INVONTERY FEB'!$A$6:$B$432,2,FALSE),"")</f>
        <v/>
      </c>
      <c r="F155" s="98" t="str">
        <f>IFERROR(VLOOKUP(E155,'INVONTERY FEB'!$B$6:$C$432,2,FALSE),"")</f>
        <v/>
      </c>
      <c r="G155" s="99" t="str">
        <f>IFERROR(VLOOKUP(E155,'INVONTERY FEB'!$B$6:$D$131,3,FALSE),"")</f>
        <v/>
      </c>
      <c r="H155" s="108"/>
      <c r="I155" s="101">
        <f t="shared" si="1"/>
        <v>0</v>
      </c>
      <c r="J155" s="102"/>
      <c r="K155" s="106"/>
    </row>
    <row r="156" ht="15.75" customHeight="1">
      <c r="A156" s="93"/>
      <c r="B156" s="114"/>
      <c r="C156" s="115"/>
      <c r="D156" s="116"/>
      <c r="E156" s="97" t="str">
        <f>IFERROR(VLOOKUP(D156,'INVONTERY FEB'!$A$6:$B$432,2,FALSE),"")</f>
        <v/>
      </c>
      <c r="F156" s="98" t="str">
        <f>IFERROR(VLOOKUP(E156,'INVONTERY FEB'!$B$6:$C$432,2,FALSE),"")</f>
        <v/>
      </c>
      <c r="G156" s="99" t="str">
        <f>IFERROR(VLOOKUP(E156,'INVONTERY FEB'!$B$6:$D$131,3,FALSE),"")</f>
        <v/>
      </c>
      <c r="H156" s="108"/>
      <c r="I156" s="101">
        <f t="shared" si="1"/>
        <v>0</v>
      </c>
      <c r="J156" s="102"/>
      <c r="K156" s="106"/>
    </row>
    <row r="157" ht="15.75" customHeight="1">
      <c r="A157" s="93"/>
      <c r="B157" s="114"/>
      <c r="C157" s="115"/>
      <c r="D157" s="116"/>
      <c r="E157" s="97" t="str">
        <f>IFERROR(VLOOKUP(D157,'INVONTERY FEB'!$A$6:$B$432,2,FALSE),"")</f>
        <v/>
      </c>
      <c r="F157" s="98" t="str">
        <f>IFERROR(VLOOKUP(E157,'INVONTERY FEB'!$B$6:$C$432,2,FALSE),"")</f>
        <v/>
      </c>
      <c r="G157" s="99" t="str">
        <f>IFERROR(VLOOKUP(E157,'INVONTERY FEB'!$B$6:$D$131,3,FALSE),"")</f>
        <v/>
      </c>
      <c r="H157" s="108"/>
      <c r="I157" s="101">
        <f t="shared" si="1"/>
        <v>0</v>
      </c>
      <c r="J157" s="102"/>
      <c r="K157" s="106"/>
    </row>
    <row r="158" ht="15.75" customHeight="1">
      <c r="A158" s="93"/>
      <c r="B158" s="114"/>
      <c r="C158" s="115"/>
      <c r="D158" s="116"/>
      <c r="E158" s="97" t="str">
        <f>IFERROR(VLOOKUP(D158,'INVONTERY FEB'!$A$6:$B$432,2,FALSE),"")</f>
        <v/>
      </c>
      <c r="F158" s="98" t="str">
        <f>IFERROR(VLOOKUP(E158,'INVONTERY FEB'!$B$6:$C$432,2,FALSE),"")</f>
        <v/>
      </c>
      <c r="G158" s="99" t="str">
        <f>IFERROR(VLOOKUP(E158,'INVONTERY FEB'!$B$6:$D$131,3,FALSE),"")</f>
        <v/>
      </c>
      <c r="H158" s="108"/>
      <c r="I158" s="101">
        <f t="shared" si="1"/>
        <v>0</v>
      </c>
      <c r="J158" s="102"/>
      <c r="K158" s="106"/>
    </row>
    <row r="159" ht="15.75" customHeight="1">
      <c r="A159" s="93"/>
      <c r="B159" s="114"/>
      <c r="C159" s="115"/>
      <c r="D159" s="116"/>
      <c r="E159" s="97" t="str">
        <f>IFERROR(VLOOKUP(D159,'INVONTERY FEB'!$A$6:$B$432,2,FALSE),"")</f>
        <v/>
      </c>
      <c r="F159" s="98" t="str">
        <f>IFERROR(VLOOKUP(E159,'INVONTERY FEB'!$B$6:$C$432,2,FALSE),"")</f>
        <v/>
      </c>
      <c r="G159" s="99" t="str">
        <f>IFERROR(VLOOKUP(E159,'INVONTERY FEB'!$B$6:$D$131,3,FALSE),"")</f>
        <v/>
      </c>
      <c r="H159" s="108"/>
      <c r="I159" s="101">
        <f t="shared" si="1"/>
        <v>0</v>
      </c>
      <c r="J159" s="102"/>
      <c r="K159" s="106"/>
    </row>
    <row r="160" ht="15.75" customHeight="1">
      <c r="A160" s="93"/>
      <c r="B160" s="114"/>
      <c r="C160" s="115"/>
      <c r="D160" s="116"/>
      <c r="E160" s="97" t="str">
        <f>IFERROR(VLOOKUP(D160,'INVONTERY FEB'!$A$6:$B$432,2,FALSE),"")</f>
        <v/>
      </c>
      <c r="F160" s="98" t="str">
        <f>IFERROR(VLOOKUP(E160,'INVONTERY FEB'!$B$6:$C$432,2,FALSE),"")</f>
        <v/>
      </c>
      <c r="G160" s="99" t="str">
        <f>IFERROR(VLOOKUP(E160,'INVONTERY FEB'!$B$6:$D$131,3,FALSE),"")</f>
        <v/>
      </c>
      <c r="H160" s="108"/>
      <c r="I160" s="101">
        <f t="shared" si="1"/>
        <v>0</v>
      </c>
      <c r="J160" s="102"/>
      <c r="K160" s="106"/>
    </row>
    <row r="161" ht="15.75" customHeight="1">
      <c r="A161" s="93"/>
      <c r="B161" s="114"/>
      <c r="C161" s="115"/>
      <c r="D161" s="116"/>
      <c r="E161" s="97" t="str">
        <f>IFERROR(VLOOKUP(D161,'INVONTERY FEB'!$A$6:$B$432,2,FALSE),"")</f>
        <v/>
      </c>
      <c r="F161" s="98" t="str">
        <f>IFERROR(VLOOKUP(E161,'INVONTERY FEB'!$B$6:$C$432,2,FALSE),"")</f>
        <v/>
      </c>
      <c r="G161" s="99" t="str">
        <f>IFERROR(VLOOKUP(E161,'INVONTERY FEB'!$B$6:$D$131,3,FALSE),"")</f>
        <v/>
      </c>
      <c r="H161" s="108"/>
      <c r="I161" s="101">
        <f t="shared" si="1"/>
        <v>0</v>
      </c>
      <c r="J161" s="102"/>
      <c r="K161" s="106"/>
    </row>
    <row r="162" ht="15.75" customHeight="1">
      <c r="A162" s="93"/>
      <c r="B162" s="114"/>
      <c r="C162" s="115"/>
      <c r="D162" s="116"/>
      <c r="E162" s="97" t="str">
        <f>IFERROR(VLOOKUP(D162,'INVONTERY FEB'!$A$6:$B$432,2,FALSE),"")</f>
        <v/>
      </c>
      <c r="F162" s="98" t="str">
        <f>IFERROR(VLOOKUP(E162,'INVONTERY FEB'!$B$6:$C$432,2,FALSE),"")</f>
        <v/>
      </c>
      <c r="G162" s="99" t="str">
        <f>IFERROR(VLOOKUP(E162,'INVONTERY FEB'!$B$6:$D$131,3,FALSE),"")</f>
        <v/>
      </c>
      <c r="H162" s="108"/>
      <c r="I162" s="101">
        <f t="shared" si="1"/>
        <v>0</v>
      </c>
      <c r="J162" s="102"/>
      <c r="K162" s="106"/>
    </row>
    <row r="163" ht="15.75" customHeight="1">
      <c r="A163" s="93"/>
      <c r="B163" s="114"/>
      <c r="C163" s="115"/>
      <c r="D163" s="116"/>
      <c r="E163" s="97" t="str">
        <f>IFERROR(VLOOKUP(D163,'INVONTERY FEB'!$A$6:$B$432,2,FALSE),"")</f>
        <v/>
      </c>
      <c r="F163" s="98" t="str">
        <f>IFERROR(VLOOKUP(E163,'INVONTERY FEB'!$B$6:$C$432,2,FALSE),"")</f>
        <v/>
      </c>
      <c r="G163" s="99" t="str">
        <f>IFERROR(VLOOKUP(E163,'INVONTERY FEB'!$B$6:$D$131,3,FALSE),"")</f>
        <v/>
      </c>
      <c r="H163" s="108"/>
      <c r="I163" s="101">
        <f t="shared" si="1"/>
        <v>0</v>
      </c>
      <c r="J163" s="102"/>
      <c r="K163" s="106"/>
    </row>
    <row r="164" ht="15.75" customHeight="1">
      <c r="A164" s="93"/>
      <c r="B164" s="114"/>
      <c r="C164" s="115"/>
      <c r="D164" s="116"/>
      <c r="E164" s="97" t="str">
        <f>IFERROR(VLOOKUP(D164,'INVONTERY FEB'!$A$6:$B$432,2,FALSE),"")</f>
        <v/>
      </c>
      <c r="F164" s="98" t="str">
        <f>IFERROR(VLOOKUP(E164,'INVONTERY FEB'!$B$6:$C$432,2,FALSE),"")</f>
        <v/>
      </c>
      <c r="G164" s="99" t="str">
        <f>IFERROR(VLOOKUP(E164,'INVONTERY FEB'!$B$6:$D$131,3,FALSE),"")</f>
        <v/>
      </c>
      <c r="H164" s="108"/>
      <c r="I164" s="101">
        <f t="shared" si="1"/>
        <v>0</v>
      </c>
      <c r="J164" s="102"/>
      <c r="K164" s="106"/>
    </row>
    <row r="165" ht="15.75" customHeight="1">
      <c r="A165" s="93"/>
      <c r="B165" s="114"/>
      <c r="C165" s="115"/>
      <c r="D165" s="116"/>
      <c r="E165" s="97" t="str">
        <f>IFERROR(VLOOKUP(D165,'INVONTERY FEB'!$A$6:$B$432,2,FALSE),"")</f>
        <v/>
      </c>
      <c r="F165" s="98" t="str">
        <f>IFERROR(VLOOKUP(E165,'INVONTERY FEB'!$B$6:$C$432,2,FALSE),"")</f>
        <v/>
      </c>
      <c r="G165" s="99" t="str">
        <f>IFERROR(VLOOKUP(E165,'INVONTERY FEB'!$B$6:$D$131,3,FALSE),"")</f>
        <v/>
      </c>
      <c r="H165" s="108"/>
      <c r="I165" s="101">
        <f t="shared" si="1"/>
        <v>0</v>
      </c>
      <c r="J165" s="102"/>
      <c r="K165" s="106"/>
    </row>
    <row r="166" ht="15.75" customHeight="1">
      <c r="A166" s="93"/>
      <c r="B166" s="114"/>
      <c r="C166" s="115"/>
      <c r="D166" s="116"/>
      <c r="E166" s="97" t="str">
        <f>IFERROR(VLOOKUP(D166,'INVONTERY FEB'!$A$6:$B$432,2,FALSE),"")</f>
        <v/>
      </c>
      <c r="F166" s="98" t="str">
        <f>IFERROR(VLOOKUP(E166,'INVONTERY FEB'!$B$6:$C$432,2,FALSE),"")</f>
        <v/>
      </c>
      <c r="G166" s="99" t="str">
        <f>IFERROR(VLOOKUP(E166,'INVONTERY FEB'!$B$6:$D$131,3,FALSE),"")</f>
        <v/>
      </c>
      <c r="H166" s="108"/>
      <c r="I166" s="101">
        <f t="shared" si="1"/>
        <v>0</v>
      </c>
      <c r="J166" s="102"/>
      <c r="K166" s="106"/>
    </row>
    <row r="167" ht="15.75" customHeight="1">
      <c r="A167" s="93"/>
      <c r="B167" s="114"/>
      <c r="C167" s="115"/>
      <c r="D167" s="116"/>
      <c r="E167" s="97" t="str">
        <f>IFERROR(VLOOKUP(D167,'INVONTERY FEB'!$A$6:$B$432,2,FALSE),"")</f>
        <v/>
      </c>
      <c r="F167" s="98" t="str">
        <f>IFERROR(VLOOKUP(E167,'INVONTERY FEB'!$B$6:$C$432,2,FALSE),"")</f>
        <v/>
      </c>
      <c r="G167" s="99" t="str">
        <f>IFERROR(VLOOKUP(E167,'INVONTERY FEB'!$B$6:$D$131,3,FALSE),"")</f>
        <v/>
      </c>
      <c r="H167" s="108"/>
      <c r="I167" s="101">
        <f t="shared" si="1"/>
        <v>0</v>
      </c>
      <c r="J167" s="102"/>
      <c r="K167" s="106"/>
    </row>
    <row r="168" ht="15.75" customHeight="1">
      <c r="A168" s="93"/>
      <c r="B168" s="114"/>
      <c r="C168" s="115"/>
      <c r="D168" s="116"/>
      <c r="E168" s="97" t="str">
        <f>IFERROR(VLOOKUP(D168,'INVONTERY FEB'!$A$6:$B$432,2,FALSE),"")</f>
        <v/>
      </c>
      <c r="F168" s="98" t="str">
        <f>IFERROR(VLOOKUP(E168,'INVONTERY FEB'!$B$6:$C$432,2,FALSE),"")</f>
        <v/>
      </c>
      <c r="G168" s="99" t="str">
        <f>IFERROR(VLOOKUP(E168,'INVONTERY FEB'!$B$6:$D$131,3,FALSE),"")</f>
        <v/>
      </c>
      <c r="H168" s="108"/>
      <c r="I168" s="101">
        <f t="shared" si="1"/>
        <v>0</v>
      </c>
      <c r="J168" s="102"/>
      <c r="K168" s="106"/>
    </row>
    <row r="169" ht="15.75" customHeight="1">
      <c r="A169" s="93"/>
      <c r="B169" s="114"/>
      <c r="C169" s="115"/>
      <c r="D169" s="116"/>
      <c r="E169" s="97" t="str">
        <f>IFERROR(VLOOKUP(D169,'INVONTERY FEB'!$A$6:$B$432,2,FALSE),"")</f>
        <v/>
      </c>
      <c r="F169" s="98" t="str">
        <f>IFERROR(VLOOKUP(E169,'INVONTERY FEB'!$B$6:$C$432,2,FALSE),"")</f>
        <v/>
      </c>
      <c r="G169" s="99" t="str">
        <f>IFERROR(VLOOKUP(E169,'INVONTERY FEB'!$B$6:$D$131,3,FALSE),"")</f>
        <v/>
      </c>
      <c r="H169" s="108"/>
      <c r="I169" s="101">
        <f t="shared" si="1"/>
        <v>0</v>
      </c>
      <c r="J169" s="102"/>
      <c r="K169" s="118"/>
    </row>
    <row r="170" ht="15.75" customHeight="1">
      <c r="A170" s="93"/>
      <c r="B170" s="114"/>
      <c r="C170" s="115"/>
      <c r="D170" s="116"/>
      <c r="E170" s="97" t="str">
        <f>IFERROR(VLOOKUP(D170,'INVONTERY FEB'!$A$6:$B$432,2,FALSE),"")</f>
        <v/>
      </c>
      <c r="F170" s="98" t="str">
        <f>IFERROR(VLOOKUP(E170,'INVONTERY FEB'!$B$6:$C$432,2,FALSE),"")</f>
        <v/>
      </c>
      <c r="G170" s="99" t="str">
        <f>IFERROR(VLOOKUP(E170,'INVONTERY FEB'!$B$6:$D$131,3,FALSE),"")</f>
        <v/>
      </c>
      <c r="H170" s="108"/>
      <c r="I170" s="101">
        <f t="shared" si="1"/>
        <v>0</v>
      </c>
      <c r="J170" s="102"/>
      <c r="K170" s="106"/>
    </row>
    <row r="171" ht="15.75" customHeight="1">
      <c r="A171" s="93"/>
      <c r="B171" s="114"/>
      <c r="C171" s="115"/>
      <c r="D171" s="116"/>
      <c r="E171" s="97" t="str">
        <f>IFERROR(VLOOKUP(D171,'INVONTERY FEB'!$A$6:$B$432,2,FALSE),"")</f>
        <v/>
      </c>
      <c r="F171" s="98" t="str">
        <f>IFERROR(VLOOKUP(E171,'INVONTERY FEB'!$B$6:$C$432,2,FALSE),"")</f>
        <v/>
      </c>
      <c r="G171" s="99" t="str">
        <f>IFERROR(VLOOKUP(E171,'INVONTERY FEB'!$B$6:$D$131,3,FALSE),"")</f>
        <v/>
      </c>
      <c r="H171" s="108"/>
      <c r="I171" s="101">
        <f t="shared" si="1"/>
        <v>0</v>
      </c>
      <c r="J171" s="102"/>
      <c r="K171" s="106"/>
    </row>
    <row r="172" ht="15.75" customHeight="1">
      <c r="A172" s="93"/>
      <c r="B172" s="114"/>
      <c r="C172" s="115"/>
      <c r="D172" s="116"/>
      <c r="E172" s="97" t="str">
        <f>IFERROR(VLOOKUP(D172,'INVONTERY FEB'!$A$6:$B$432,2,FALSE),"")</f>
        <v/>
      </c>
      <c r="F172" s="98" t="str">
        <f>IFERROR(VLOOKUP(E172,'INVONTERY FEB'!$B$6:$C$432,2,FALSE),"")</f>
        <v/>
      </c>
      <c r="G172" s="99" t="str">
        <f>IFERROR(VLOOKUP(E172,'INVONTERY FEB'!$B$6:$D$131,3,FALSE),"")</f>
        <v/>
      </c>
      <c r="H172" s="108"/>
      <c r="I172" s="101">
        <f t="shared" si="1"/>
        <v>0</v>
      </c>
      <c r="J172" s="102"/>
      <c r="K172" s="106"/>
    </row>
    <row r="173" ht="15.75" customHeight="1">
      <c r="A173" s="93"/>
      <c r="B173" s="114"/>
      <c r="C173" s="115"/>
      <c r="D173" s="116"/>
      <c r="E173" s="97" t="str">
        <f>IFERROR(VLOOKUP(D173,'INVONTERY FEB'!$A$6:$B$432,2,FALSE),"")</f>
        <v/>
      </c>
      <c r="F173" s="98" t="str">
        <f>IFERROR(VLOOKUP(E173,'INVONTERY FEB'!$B$6:$C$432,2,FALSE),"")</f>
        <v/>
      </c>
      <c r="G173" s="99" t="str">
        <f>IFERROR(VLOOKUP(E173,'INVONTERY FEB'!$B$6:$D$131,3,FALSE),"")</f>
        <v/>
      </c>
      <c r="H173" s="108"/>
      <c r="I173" s="101">
        <f t="shared" si="1"/>
        <v>0</v>
      </c>
      <c r="J173" s="102"/>
      <c r="K173" s="106"/>
      <c r="L173" s="109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</row>
    <row r="174" ht="15.75" customHeight="1">
      <c r="A174" s="93"/>
      <c r="B174" s="114"/>
      <c r="C174" s="115"/>
      <c r="D174" s="116"/>
      <c r="E174" s="97" t="str">
        <f>IFERROR(VLOOKUP(D174,'INVONTERY FEB'!$A$6:$B$432,2,FALSE),"")</f>
        <v/>
      </c>
      <c r="F174" s="98" t="str">
        <f>IFERROR(VLOOKUP(E174,'INVONTERY FEB'!$B$6:$C$432,2,FALSE),"")</f>
        <v/>
      </c>
      <c r="G174" s="99" t="str">
        <f>IFERROR(VLOOKUP(E174,'INVONTERY FEB'!$B$6:$D$131,3,FALSE),"")</f>
        <v/>
      </c>
      <c r="H174" s="108"/>
      <c r="I174" s="101">
        <f t="shared" si="1"/>
        <v>0</v>
      </c>
      <c r="J174" s="102"/>
      <c r="K174" s="118"/>
    </row>
    <row r="175" ht="15.75" customHeight="1">
      <c r="A175" s="93"/>
      <c r="B175" s="114"/>
      <c r="C175" s="115"/>
      <c r="D175" s="116"/>
      <c r="E175" s="97" t="str">
        <f>IFERROR(VLOOKUP(D175,'INVONTERY FEB'!$A$6:$B$432,2,FALSE),"")</f>
        <v/>
      </c>
      <c r="F175" s="98" t="str">
        <f>IFERROR(VLOOKUP(E175,'INVONTERY FEB'!$B$6:$C$432,2,FALSE),"")</f>
        <v/>
      </c>
      <c r="G175" s="99" t="str">
        <f>IFERROR(VLOOKUP(E175,'INVONTERY FEB'!$B$6:$D$131,3,FALSE),"")</f>
        <v/>
      </c>
      <c r="H175" s="108"/>
      <c r="I175" s="101">
        <f t="shared" si="1"/>
        <v>0</v>
      </c>
      <c r="J175" s="102"/>
      <c r="K175" s="118"/>
    </row>
    <row r="176" ht="15.75" customHeight="1">
      <c r="A176" s="93"/>
      <c r="B176" s="114"/>
      <c r="C176" s="115"/>
      <c r="D176" s="116"/>
      <c r="E176" s="97" t="str">
        <f>IFERROR(VLOOKUP(D176,'INVONTERY FEB'!$A$6:$B$432,2,FALSE),"")</f>
        <v/>
      </c>
      <c r="F176" s="98" t="str">
        <f>IFERROR(VLOOKUP(E176,'INVONTERY FEB'!$B$6:$C$432,2,FALSE),"")</f>
        <v/>
      </c>
      <c r="G176" s="99" t="str">
        <f>IFERROR(VLOOKUP(E176,'INVONTERY FEB'!$B$6:$D$131,3,FALSE),"")</f>
        <v/>
      </c>
      <c r="H176" s="108"/>
      <c r="I176" s="101">
        <f t="shared" si="1"/>
        <v>0</v>
      </c>
      <c r="J176" s="102"/>
      <c r="K176" s="106"/>
    </row>
    <row r="177" ht="15.75" customHeight="1">
      <c r="A177" s="93"/>
      <c r="B177" s="114"/>
      <c r="C177" s="115"/>
      <c r="D177" s="116"/>
      <c r="E177" s="97" t="str">
        <f>IFERROR(VLOOKUP(D177,'INVONTERY FEB'!$A$6:$B$432,2,FALSE),"")</f>
        <v/>
      </c>
      <c r="F177" s="98" t="str">
        <f>IFERROR(VLOOKUP(E177,'INVONTERY FEB'!$B$6:$C$432,2,FALSE),"")</f>
        <v/>
      </c>
      <c r="G177" s="99" t="str">
        <f>IFERROR(VLOOKUP(E177,'INVONTERY FEB'!$B$6:$D$131,3,FALSE),"")</f>
        <v/>
      </c>
      <c r="H177" s="108"/>
      <c r="I177" s="101">
        <f t="shared" si="1"/>
        <v>0</v>
      </c>
      <c r="J177" s="102"/>
      <c r="K177" s="106"/>
    </row>
    <row r="178" ht="15.75" customHeight="1">
      <c r="A178" s="93"/>
      <c r="B178" s="114"/>
      <c r="C178" s="115"/>
      <c r="D178" s="116"/>
      <c r="E178" s="97" t="str">
        <f>IFERROR(VLOOKUP(D178,'INVONTERY FEB'!$A$6:$B$432,2,FALSE),"")</f>
        <v/>
      </c>
      <c r="F178" s="98" t="str">
        <f>IFERROR(VLOOKUP(E178,'INVONTERY FEB'!$B$6:$C$432,2,FALSE),"")</f>
        <v/>
      </c>
      <c r="G178" s="99" t="str">
        <f>IFERROR(VLOOKUP(E178,'INVONTERY FEB'!$B$6:$D$131,3,FALSE),"")</f>
        <v/>
      </c>
      <c r="H178" s="108"/>
      <c r="I178" s="101">
        <f t="shared" si="1"/>
        <v>0</v>
      </c>
      <c r="J178" s="102"/>
      <c r="K178" s="106"/>
    </row>
    <row r="179" ht="15.75" customHeight="1">
      <c r="A179" s="93"/>
      <c r="B179" s="114"/>
      <c r="C179" s="115"/>
      <c r="D179" s="116"/>
      <c r="E179" s="97" t="str">
        <f>IFERROR(VLOOKUP(D179,'INVONTERY FEB'!$A$6:$B$432,2,FALSE),"")</f>
        <v/>
      </c>
      <c r="F179" s="98" t="str">
        <f>IFERROR(VLOOKUP(E179,'INVONTERY FEB'!$B$6:$C$432,2,FALSE),"")</f>
        <v/>
      </c>
      <c r="G179" s="99" t="str">
        <f>IFERROR(VLOOKUP(E179,'INVONTERY FEB'!$B$6:$D$131,3,FALSE),"")</f>
        <v/>
      </c>
      <c r="H179" s="108"/>
      <c r="I179" s="101">
        <f t="shared" si="1"/>
        <v>0</v>
      </c>
      <c r="J179" s="102"/>
      <c r="K179" s="106"/>
    </row>
    <row r="180" ht="15.75" customHeight="1">
      <c r="A180" s="93"/>
      <c r="B180" s="114"/>
      <c r="C180" s="115"/>
      <c r="D180" s="116"/>
      <c r="E180" s="97" t="str">
        <f>IFERROR(VLOOKUP(D180,'INVONTERY FEB'!$A$6:$B$432,2,FALSE),"")</f>
        <v/>
      </c>
      <c r="F180" s="98" t="str">
        <f>IFERROR(VLOOKUP(E180,'INVONTERY FEB'!$B$6:$C$432,2,FALSE),"")</f>
        <v/>
      </c>
      <c r="G180" s="99" t="str">
        <f>IFERROR(VLOOKUP(E180,'INVONTERY FEB'!$B$6:$D$131,3,FALSE),"")</f>
        <v/>
      </c>
      <c r="H180" s="108"/>
      <c r="I180" s="101">
        <f t="shared" si="1"/>
        <v>0</v>
      </c>
      <c r="J180" s="102"/>
      <c r="K180" s="106"/>
    </row>
    <row r="181" ht="15.75" customHeight="1">
      <c r="A181" s="93"/>
      <c r="B181" s="114"/>
      <c r="C181" s="115"/>
      <c r="D181" s="116"/>
      <c r="E181" s="97" t="str">
        <f>IFERROR(VLOOKUP(D181,'INVONTERY FEB'!$A$6:$B$432,2,FALSE),"")</f>
        <v/>
      </c>
      <c r="F181" s="98" t="str">
        <f>IFERROR(VLOOKUP(E181,'INVONTERY FEB'!$B$6:$C$432,2,FALSE),"")</f>
        <v/>
      </c>
      <c r="G181" s="99" t="str">
        <f>IFERROR(VLOOKUP(E181,'INVONTERY FEB'!$B$6:$D$131,3,FALSE),"")</f>
        <v/>
      </c>
      <c r="H181" s="108"/>
      <c r="I181" s="101">
        <f t="shared" si="1"/>
        <v>0</v>
      </c>
      <c r="J181" s="102"/>
      <c r="K181" s="106"/>
    </row>
    <row r="182" ht="15.75" customHeight="1">
      <c r="A182" s="93"/>
      <c r="B182" s="114"/>
      <c r="C182" s="115"/>
      <c r="D182" s="116"/>
      <c r="E182" s="97" t="str">
        <f>IFERROR(VLOOKUP(D182,'INVONTERY FEB'!$A$6:$B$432,2,FALSE),"")</f>
        <v/>
      </c>
      <c r="F182" s="98" t="str">
        <f>IFERROR(VLOOKUP(E182,'INVONTERY FEB'!$B$6:$C$432,2,FALSE),"")</f>
        <v/>
      </c>
      <c r="G182" s="99" t="str">
        <f>IFERROR(VLOOKUP(E182,'INVONTERY FEB'!$B$6:$D$131,3,FALSE),"")</f>
        <v/>
      </c>
      <c r="H182" s="108"/>
      <c r="I182" s="101">
        <f t="shared" si="1"/>
        <v>0</v>
      </c>
      <c r="J182" s="102"/>
      <c r="K182" s="106"/>
    </row>
    <row r="183" ht="15.75" customHeight="1">
      <c r="A183" s="93"/>
      <c r="B183" s="114"/>
      <c r="C183" s="115"/>
      <c r="D183" s="116"/>
      <c r="E183" s="97" t="str">
        <f>IFERROR(VLOOKUP(D183,'INVONTERY FEB'!$A$6:$B$432,2,FALSE),"")</f>
        <v/>
      </c>
      <c r="F183" s="98" t="str">
        <f>IFERROR(VLOOKUP(E183,'INVONTERY FEB'!$B$6:$C$432,2,FALSE),"")</f>
        <v/>
      </c>
      <c r="G183" s="99" t="str">
        <f>IFERROR(VLOOKUP(E183,'INVONTERY FEB'!$B$6:$D$131,3,FALSE),"")</f>
        <v/>
      </c>
      <c r="H183" s="108"/>
      <c r="I183" s="101">
        <f t="shared" si="1"/>
        <v>0</v>
      </c>
      <c r="J183" s="102"/>
      <c r="K183" s="106"/>
    </row>
    <row r="184" ht="15.75" customHeight="1">
      <c r="A184" s="93"/>
      <c r="B184" s="114"/>
      <c r="C184" s="115"/>
      <c r="D184" s="116"/>
      <c r="E184" s="97" t="str">
        <f>IFERROR(VLOOKUP(D184,'INVONTERY FEB'!$A$6:$B$432,2,FALSE),"")</f>
        <v/>
      </c>
      <c r="F184" s="98" t="str">
        <f>IFERROR(VLOOKUP(E184,'INVONTERY FEB'!$B$6:$C$432,2,FALSE),"")</f>
        <v/>
      </c>
      <c r="G184" s="99" t="str">
        <f>IFERROR(VLOOKUP(E184,'INVONTERY FEB'!$B$6:$D$131,3,FALSE),"")</f>
        <v/>
      </c>
      <c r="H184" s="108"/>
      <c r="I184" s="101">
        <f t="shared" si="1"/>
        <v>0</v>
      </c>
      <c r="J184" s="102"/>
      <c r="K184" s="106"/>
    </row>
    <row r="185" ht="15.75" customHeight="1">
      <c r="A185" s="93"/>
      <c r="B185" s="114"/>
      <c r="C185" s="115"/>
      <c r="D185" s="116"/>
      <c r="E185" s="97" t="str">
        <f>IFERROR(VLOOKUP(D185,'INVONTERY FEB'!$A$6:$B$432,2,FALSE),"")</f>
        <v/>
      </c>
      <c r="F185" s="98" t="str">
        <f>IFERROR(VLOOKUP(E185,'INVONTERY FEB'!$B$6:$C$432,2,FALSE),"")</f>
        <v/>
      </c>
      <c r="G185" s="99" t="str">
        <f>IFERROR(VLOOKUP(E185,'INVONTERY FEB'!$B$6:$D$131,3,FALSE),"")</f>
        <v/>
      </c>
      <c r="H185" s="108"/>
      <c r="I185" s="101">
        <f t="shared" si="1"/>
        <v>0</v>
      </c>
      <c r="J185" s="102"/>
      <c r="K185" s="106"/>
    </row>
    <row r="186" ht="15.75" customHeight="1">
      <c r="A186" s="93"/>
      <c r="B186" s="114"/>
      <c r="C186" s="115"/>
      <c r="D186" s="116"/>
      <c r="E186" s="97" t="str">
        <f>IFERROR(VLOOKUP(D186,'INVONTERY FEB'!$A$6:$B$432,2,FALSE),"")</f>
        <v/>
      </c>
      <c r="F186" s="98" t="str">
        <f>IFERROR(VLOOKUP(E186,'INVONTERY FEB'!$B$6:$C$432,2,FALSE),"")</f>
        <v/>
      </c>
      <c r="G186" s="99" t="str">
        <f>IFERROR(VLOOKUP(E186,'INVONTERY FEB'!$B$6:$D$131,3,FALSE),"")</f>
        <v/>
      </c>
      <c r="H186" s="108"/>
      <c r="I186" s="101">
        <f t="shared" si="1"/>
        <v>0</v>
      </c>
      <c r="J186" s="102"/>
      <c r="K186" s="106"/>
    </row>
    <row r="187" ht="15.75" customHeight="1">
      <c r="A187" s="93"/>
      <c r="B187" s="114"/>
      <c r="C187" s="115"/>
      <c r="D187" s="116"/>
      <c r="E187" s="97" t="str">
        <f>IFERROR(VLOOKUP(D187,'INVONTERY FEB'!$A$6:$B$432,2,FALSE),"")</f>
        <v/>
      </c>
      <c r="F187" s="98" t="str">
        <f>IFERROR(VLOOKUP(E187,'INVONTERY FEB'!$B$6:$C$432,2,FALSE),"")</f>
        <v/>
      </c>
      <c r="G187" s="99" t="str">
        <f>IFERROR(VLOOKUP(E187,'INVONTERY FEB'!$B$6:$D$131,3,FALSE),"")</f>
        <v/>
      </c>
      <c r="H187" s="108"/>
      <c r="I187" s="101">
        <f t="shared" si="1"/>
        <v>0</v>
      </c>
      <c r="J187" s="102"/>
      <c r="K187" s="106"/>
    </row>
    <row r="188" ht="15.75" customHeight="1">
      <c r="A188" s="93"/>
      <c r="B188" s="114"/>
      <c r="C188" s="115"/>
      <c r="D188" s="116"/>
      <c r="E188" s="97" t="str">
        <f>IFERROR(VLOOKUP(D188,'INVONTERY FEB'!$A$6:$B$432,2,FALSE),"")</f>
        <v/>
      </c>
      <c r="F188" s="98" t="str">
        <f>IFERROR(VLOOKUP(E188,'INVONTERY FEB'!$B$6:$C$432,2,FALSE),"")</f>
        <v/>
      </c>
      <c r="G188" s="99" t="str">
        <f>IFERROR(VLOOKUP(E188,'INVONTERY FEB'!$B$6:$D$131,3,FALSE),"")</f>
        <v/>
      </c>
      <c r="H188" s="108"/>
      <c r="I188" s="101">
        <f t="shared" si="1"/>
        <v>0</v>
      </c>
      <c r="J188" s="102"/>
      <c r="K188" s="106"/>
    </row>
    <row r="189" ht="15.75" customHeight="1">
      <c r="A189" s="93"/>
      <c r="B189" s="114"/>
      <c r="C189" s="115"/>
      <c r="D189" s="116"/>
      <c r="E189" s="97" t="str">
        <f>IFERROR(VLOOKUP(D189,'INVONTERY FEB'!$A$6:$B$432,2,FALSE),"")</f>
        <v/>
      </c>
      <c r="F189" s="98" t="str">
        <f>IFERROR(VLOOKUP(E189,'INVONTERY FEB'!$B$6:$C$432,2,FALSE),"")</f>
        <v/>
      </c>
      <c r="G189" s="99" t="str">
        <f>IFERROR(VLOOKUP(E189,'INVONTERY FEB'!$B$6:$D$131,3,FALSE),"")</f>
        <v/>
      </c>
      <c r="H189" s="108"/>
      <c r="I189" s="101">
        <f t="shared" si="1"/>
        <v>0</v>
      </c>
      <c r="J189" s="102"/>
      <c r="K189" s="106"/>
    </row>
    <row r="190" ht="15.75" customHeight="1">
      <c r="A190" s="93"/>
      <c r="B190" s="114"/>
      <c r="C190" s="115"/>
      <c r="D190" s="116"/>
      <c r="E190" s="97" t="str">
        <f>IFERROR(VLOOKUP(D190,'INVONTERY FEB'!$A$6:$B$432,2,FALSE),"")</f>
        <v/>
      </c>
      <c r="F190" s="98" t="str">
        <f>IFERROR(VLOOKUP(E190,'INVONTERY FEB'!$B$6:$C$432,2,FALSE),"")</f>
        <v/>
      </c>
      <c r="G190" s="99" t="str">
        <f>IFERROR(VLOOKUP(E190,'INVONTERY FEB'!$B$6:$D$131,3,FALSE),"")</f>
        <v/>
      </c>
      <c r="H190" s="108"/>
      <c r="I190" s="101">
        <f t="shared" si="1"/>
        <v>0</v>
      </c>
      <c r="J190" s="102"/>
      <c r="K190" s="106"/>
    </row>
    <row r="191" ht="15.75" customHeight="1">
      <c r="A191" s="93"/>
      <c r="B191" s="114"/>
      <c r="C191" s="115"/>
      <c r="D191" s="116"/>
      <c r="E191" s="97" t="str">
        <f>IFERROR(VLOOKUP(D191,'INVONTERY FEB'!$A$6:$B$432,2,FALSE),"")</f>
        <v/>
      </c>
      <c r="F191" s="98" t="str">
        <f>IFERROR(VLOOKUP(E191,'INVONTERY FEB'!$B$6:$C$432,2,FALSE),"")</f>
        <v/>
      </c>
      <c r="G191" s="99" t="str">
        <f>IFERROR(VLOOKUP(E191,'INVONTERY FEB'!$B$6:$D$131,3,FALSE),"")</f>
        <v/>
      </c>
      <c r="H191" s="108"/>
      <c r="I191" s="101">
        <f t="shared" si="1"/>
        <v>0</v>
      </c>
      <c r="J191" s="102"/>
      <c r="K191" s="106"/>
    </row>
    <row r="192" ht="15.75" customHeight="1">
      <c r="A192" s="93"/>
      <c r="B192" s="114"/>
      <c r="C192" s="115"/>
      <c r="D192" s="116"/>
      <c r="E192" s="97" t="str">
        <f>IFERROR(VLOOKUP(D192,'INVONTERY FEB'!$A$6:$B$432,2,FALSE),"")</f>
        <v/>
      </c>
      <c r="F192" s="98" t="str">
        <f>IFERROR(VLOOKUP(E192,'INVONTERY FEB'!$B$6:$C$432,2,FALSE),"")</f>
        <v/>
      </c>
      <c r="G192" s="99" t="str">
        <f>IFERROR(VLOOKUP(E192,'INVONTERY FEB'!$B$6:$D$131,3,FALSE),"")</f>
        <v/>
      </c>
      <c r="H192" s="108"/>
      <c r="I192" s="101">
        <f t="shared" si="1"/>
        <v>0</v>
      </c>
      <c r="J192" s="102"/>
      <c r="K192" s="106"/>
    </row>
    <row r="193" ht="15.75" customHeight="1">
      <c r="A193" s="93"/>
      <c r="B193" s="114"/>
      <c r="C193" s="115"/>
      <c r="D193" s="116"/>
      <c r="E193" s="97" t="str">
        <f>IFERROR(VLOOKUP(D193,'INVONTERY FEB'!$A$6:$B$432,2,FALSE),"")</f>
        <v/>
      </c>
      <c r="F193" s="98" t="str">
        <f>IFERROR(VLOOKUP(E193,'INVONTERY FEB'!$B$6:$C$432,2,FALSE),"")</f>
        <v/>
      </c>
      <c r="G193" s="99" t="str">
        <f>IFERROR(VLOOKUP(E193,'INVONTERY FEB'!$B$6:$D$131,3,FALSE),"")</f>
        <v/>
      </c>
      <c r="H193" s="108"/>
      <c r="I193" s="101">
        <f t="shared" si="1"/>
        <v>0</v>
      </c>
      <c r="J193" s="102"/>
      <c r="K193" s="106"/>
    </row>
    <row r="194" ht="15.75" customHeight="1">
      <c r="A194" s="93"/>
      <c r="B194" s="114"/>
      <c r="C194" s="115"/>
      <c r="D194" s="116"/>
      <c r="E194" s="97" t="str">
        <f>IFERROR(VLOOKUP(D194,'INVONTERY FEB'!$A$6:$B$432,2,FALSE),"")</f>
        <v/>
      </c>
      <c r="F194" s="98" t="str">
        <f>IFERROR(VLOOKUP(E194,'INVONTERY FEB'!$B$6:$C$432,2,FALSE),"")</f>
        <v/>
      </c>
      <c r="G194" s="99" t="str">
        <f>IFERROR(VLOOKUP(E194,'INVONTERY FEB'!$B$6:$D$131,3,FALSE),"")</f>
        <v/>
      </c>
      <c r="H194" s="108"/>
      <c r="I194" s="101">
        <f t="shared" si="1"/>
        <v>0</v>
      </c>
      <c r="J194" s="102"/>
      <c r="K194" s="106"/>
    </row>
    <row r="195" ht="15.75" customHeight="1">
      <c r="A195" s="93"/>
      <c r="B195" s="114"/>
      <c r="C195" s="115"/>
      <c r="D195" s="116"/>
      <c r="E195" s="97" t="str">
        <f>IFERROR(VLOOKUP(D195,'INVONTERY FEB'!$A$6:$B$432,2,FALSE),"")</f>
        <v/>
      </c>
      <c r="F195" s="98" t="str">
        <f>IFERROR(VLOOKUP(E195,'INVONTERY FEB'!$B$6:$C$432,2,FALSE),"")</f>
        <v/>
      </c>
      <c r="G195" s="99" t="str">
        <f>IFERROR(VLOOKUP(E195,'INVONTERY FEB'!$B$6:$D$131,3,FALSE),"")</f>
        <v/>
      </c>
      <c r="H195" s="108"/>
      <c r="I195" s="101">
        <f t="shared" si="1"/>
        <v>0</v>
      </c>
      <c r="J195" s="102"/>
      <c r="K195" s="106"/>
    </row>
    <row r="196" ht="15.75" customHeight="1">
      <c r="A196" s="93"/>
      <c r="B196" s="114"/>
      <c r="C196" s="115"/>
      <c r="D196" s="116"/>
      <c r="E196" s="97" t="str">
        <f>IFERROR(VLOOKUP(D196,'INVONTERY FEB'!$A$6:$B$432,2,FALSE),"")</f>
        <v/>
      </c>
      <c r="F196" s="98" t="str">
        <f>IFERROR(VLOOKUP(E196,'INVONTERY FEB'!$B$6:$C$432,2,FALSE),"")</f>
        <v/>
      </c>
      <c r="G196" s="99" t="str">
        <f>IFERROR(VLOOKUP(E196,'INVONTERY FEB'!$B$6:$D$131,3,FALSE),"")</f>
        <v/>
      </c>
      <c r="H196" s="108"/>
      <c r="I196" s="101">
        <f t="shared" si="1"/>
        <v>0</v>
      </c>
      <c r="J196" s="102"/>
      <c r="K196" s="106"/>
    </row>
    <row r="197" ht="15.75" customHeight="1">
      <c r="A197" s="93"/>
      <c r="B197" s="114"/>
      <c r="C197" s="115"/>
      <c r="D197" s="116"/>
      <c r="E197" s="97" t="str">
        <f>IFERROR(VLOOKUP(D197,'INVONTERY FEB'!$A$6:$B$432,2,FALSE),"")</f>
        <v/>
      </c>
      <c r="F197" s="98" t="str">
        <f>IFERROR(VLOOKUP(E197,'INVONTERY FEB'!$B$6:$C$432,2,FALSE),"")</f>
        <v/>
      </c>
      <c r="G197" s="99" t="str">
        <f>IFERROR(VLOOKUP(E197,'INVONTERY FEB'!$B$6:$D$131,3,FALSE),"")</f>
        <v/>
      </c>
      <c r="H197" s="108"/>
      <c r="I197" s="101">
        <f t="shared" si="1"/>
        <v>0</v>
      </c>
      <c r="J197" s="102"/>
      <c r="K197" s="106"/>
    </row>
    <row r="198" ht="15.75" customHeight="1">
      <c r="A198" s="93"/>
      <c r="B198" s="114"/>
      <c r="C198" s="115"/>
      <c r="D198" s="116"/>
      <c r="E198" s="97" t="str">
        <f>IFERROR(VLOOKUP(D198,'INVONTERY FEB'!$A$6:$B$432,2,FALSE),"")</f>
        <v/>
      </c>
      <c r="F198" s="98" t="str">
        <f>IFERROR(VLOOKUP(E198,'INVONTERY FEB'!$B$6:$C$432,2,FALSE),"")</f>
        <v/>
      </c>
      <c r="G198" s="99" t="str">
        <f>IFERROR(VLOOKUP(E198,'INVONTERY FEB'!$B$6:$D$131,3,FALSE),"")</f>
        <v/>
      </c>
      <c r="H198" s="108"/>
      <c r="I198" s="101">
        <f t="shared" si="1"/>
        <v>0</v>
      </c>
      <c r="J198" s="102"/>
      <c r="K198" s="106"/>
    </row>
    <row r="199" ht="15.75" customHeight="1">
      <c r="A199" s="93"/>
      <c r="B199" s="114"/>
      <c r="C199" s="115"/>
      <c r="D199" s="116"/>
      <c r="E199" s="97" t="str">
        <f>IFERROR(VLOOKUP(D199,'INVONTERY FEB'!$A$6:$B$432,2,FALSE),"")</f>
        <v/>
      </c>
      <c r="F199" s="98" t="str">
        <f>IFERROR(VLOOKUP(E199,'INVONTERY FEB'!$B$6:$C$432,2,FALSE),"")</f>
        <v/>
      </c>
      <c r="G199" s="99" t="str">
        <f>IFERROR(VLOOKUP(E199,'INVONTERY FEB'!$B$6:$D$131,3,FALSE),"")</f>
        <v/>
      </c>
      <c r="H199" s="108"/>
      <c r="I199" s="101">
        <f t="shared" si="1"/>
        <v>0</v>
      </c>
      <c r="J199" s="102"/>
      <c r="K199" s="106"/>
    </row>
    <row r="200" ht="15.75" customHeight="1">
      <c r="A200" s="93"/>
      <c r="B200" s="114"/>
      <c r="C200" s="115"/>
      <c r="D200" s="116"/>
      <c r="E200" s="97" t="str">
        <f>IFERROR(VLOOKUP(D200,'INVONTERY FEB'!$A$6:$B$432,2,FALSE),"")</f>
        <v/>
      </c>
      <c r="F200" s="98" t="str">
        <f>IFERROR(VLOOKUP(E200,'INVONTERY FEB'!$B$6:$C$432,2,FALSE),"")</f>
        <v/>
      </c>
      <c r="G200" s="99" t="str">
        <f>IFERROR(VLOOKUP(E200,'INVONTERY FEB'!$B$6:$D$131,3,FALSE),"")</f>
        <v/>
      </c>
      <c r="H200" s="108"/>
      <c r="I200" s="101">
        <f t="shared" si="1"/>
        <v>0</v>
      </c>
      <c r="J200" s="102"/>
      <c r="K200" s="106"/>
    </row>
    <row r="201" ht="15.75" customHeight="1">
      <c r="A201" s="93"/>
      <c r="B201" s="114"/>
      <c r="C201" s="115"/>
      <c r="D201" s="116"/>
      <c r="E201" s="97" t="str">
        <f>IFERROR(VLOOKUP(D201,'INVONTERY FEB'!$A$6:$B$432,2,FALSE),"")</f>
        <v/>
      </c>
      <c r="F201" s="98" t="str">
        <f>IFERROR(VLOOKUP(E201,'INVONTERY FEB'!$B$6:$C$432,2,FALSE),"")</f>
        <v/>
      </c>
      <c r="G201" s="99" t="str">
        <f>IFERROR(VLOOKUP(E201,'INVONTERY FEB'!$B$6:$D$131,3,FALSE),"")</f>
        <v/>
      </c>
      <c r="H201" s="108"/>
      <c r="I201" s="101">
        <f t="shared" si="1"/>
        <v>0</v>
      </c>
      <c r="J201" s="102"/>
      <c r="K201" s="106"/>
    </row>
    <row r="202" ht="15.75" customHeight="1">
      <c r="A202" s="93"/>
      <c r="B202" s="114"/>
      <c r="C202" s="115"/>
      <c r="D202" s="116"/>
      <c r="E202" s="97" t="str">
        <f>IFERROR(VLOOKUP(D202,'INVONTERY FEB'!$A$6:$B$432,2,FALSE),"")</f>
        <v/>
      </c>
      <c r="F202" s="98" t="str">
        <f>IFERROR(VLOOKUP(E202,'INVONTERY FEB'!$B$6:$C$432,2,FALSE),"")</f>
        <v/>
      </c>
      <c r="G202" s="99" t="str">
        <f>IFERROR(VLOOKUP(E202,'INVONTERY FEB'!$B$6:$D$131,3,FALSE),"")</f>
        <v/>
      </c>
      <c r="H202" s="108"/>
      <c r="I202" s="101">
        <f t="shared" si="1"/>
        <v>0</v>
      </c>
      <c r="J202" s="102"/>
      <c r="K202" s="106"/>
    </row>
    <row r="203" ht="15.75" customHeight="1">
      <c r="A203" s="93"/>
      <c r="B203" s="114"/>
      <c r="C203" s="115"/>
      <c r="D203" s="116"/>
      <c r="E203" s="97" t="str">
        <f>IFERROR(VLOOKUP(D203,'INVONTERY FEB'!$A$6:$B$432,2,FALSE),"")</f>
        <v/>
      </c>
      <c r="F203" s="98" t="str">
        <f>IFERROR(VLOOKUP(E203,'INVONTERY FEB'!$B$6:$C$432,2,FALSE),"")</f>
        <v/>
      </c>
      <c r="G203" s="99" t="str">
        <f>IFERROR(VLOOKUP(E203,'INVONTERY FEB'!$B$6:$D$131,3,FALSE),"")</f>
        <v/>
      </c>
      <c r="H203" s="108"/>
      <c r="I203" s="101">
        <f t="shared" si="1"/>
        <v>0</v>
      </c>
      <c r="J203" s="102"/>
      <c r="K203" s="106"/>
    </row>
    <row r="204" ht="15.75" customHeight="1">
      <c r="A204" s="93"/>
      <c r="B204" s="114"/>
      <c r="C204" s="115"/>
      <c r="D204" s="116"/>
      <c r="E204" s="97" t="str">
        <f>IFERROR(VLOOKUP(D204,'INVONTERY FEB'!$A$6:$B$432,2,FALSE),"")</f>
        <v/>
      </c>
      <c r="F204" s="98" t="str">
        <f>IFERROR(VLOOKUP(E204,'INVONTERY FEB'!$B$6:$C$432,2,FALSE),"")</f>
        <v/>
      </c>
      <c r="G204" s="99" t="str">
        <f>IFERROR(VLOOKUP(E204,'INVONTERY FEB'!$B$6:$D$131,3,FALSE),"")</f>
        <v/>
      </c>
      <c r="H204" s="108"/>
      <c r="I204" s="101">
        <f t="shared" si="1"/>
        <v>0</v>
      </c>
      <c r="J204" s="102"/>
      <c r="K204" s="106"/>
    </row>
    <row r="205" ht="15.75" customHeight="1">
      <c r="A205" s="93"/>
      <c r="B205" s="114"/>
      <c r="C205" s="115"/>
      <c r="D205" s="116"/>
      <c r="E205" s="97" t="str">
        <f>IFERROR(VLOOKUP(D205,'INVONTERY FEB'!$A$6:$B$432,2,FALSE),"")</f>
        <v/>
      </c>
      <c r="F205" s="98" t="str">
        <f>IFERROR(VLOOKUP(E205,'INVONTERY FEB'!$B$6:$C$432,2,FALSE),"")</f>
        <v/>
      </c>
      <c r="G205" s="99" t="str">
        <f>IFERROR(VLOOKUP(E205,'INVONTERY FEB'!$B$6:$D$131,3,FALSE),"")</f>
        <v/>
      </c>
      <c r="H205" s="108"/>
      <c r="I205" s="101">
        <f t="shared" si="1"/>
        <v>0</v>
      </c>
      <c r="J205" s="102"/>
      <c r="K205" s="106"/>
    </row>
    <row r="206" ht="15.75" customHeight="1">
      <c r="A206" s="93"/>
      <c r="B206" s="114"/>
      <c r="C206" s="115"/>
      <c r="D206" s="116"/>
      <c r="E206" s="97" t="str">
        <f>IFERROR(VLOOKUP(D206,'INVONTERY FEB'!$A$6:$B$432,2,FALSE),"")</f>
        <v/>
      </c>
      <c r="F206" s="98" t="str">
        <f>IFERROR(VLOOKUP(E206,'INVONTERY FEB'!$B$6:$C$432,2,FALSE),"")</f>
        <v/>
      </c>
      <c r="G206" s="99" t="str">
        <f>IFERROR(VLOOKUP(E206,'INVONTERY FEB'!$B$6:$D$131,3,FALSE),"")</f>
        <v/>
      </c>
      <c r="H206" s="108"/>
      <c r="I206" s="101">
        <f t="shared" si="1"/>
        <v>0</v>
      </c>
      <c r="J206" s="102"/>
      <c r="K206" s="106"/>
    </row>
    <row r="207" ht="15.75" customHeight="1">
      <c r="A207" s="93"/>
      <c r="B207" s="114"/>
      <c r="C207" s="115"/>
      <c r="D207" s="116"/>
      <c r="E207" s="97" t="str">
        <f>IFERROR(VLOOKUP(D207,'INVONTERY FEB'!$A$6:$B$432,2,FALSE),"")</f>
        <v/>
      </c>
      <c r="F207" s="98" t="str">
        <f>IFERROR(VLOOKUP(E207,'INVONTERY FEB'!$B$6:$C$432,2,FALSE),"")</f>
        <v/>
      </c>
      <c r="G207" s="99" t="str">
        <f>IFERROR(VLOOKUP(E207,'INVONTERY FEB'!$B$6:$D$131,3,FALSE),"")</f>
        <v/>
      </c>
      <c r="H207" s="108"/>
      <c r="I207" s="101">
        <f t="shared" si="1"/>
        <v>0</v>
      </c>
      <c r="J207" s="102"/>
      <c r="K207" s="106"/>
    </row>
    <row r="208" ht="15.75" customHeight="1">
      <c r="A208" s="93"/>
      <c r="B208" s="114"/>
      <c r="C208" s="115"/>
      <c r="D208" s="116"/>
      <c r="E208" s="97" t="str">
        <f>IFERROR(VLOOKUP(D208,'INVONTERY FEB'!$A$6:$B$432,2,FALSE),"")</f>
        <v/>
      </c>
      <c r="F208" s="98" t="str">
        <f>IFERROR(VLOOKUP(E208,'INVONTERY FEB'!$B$6:$C$432,2,FALSE),"")</f>
        <v/>
      </c>
      <c r="G208" s="99" t="str">
        <f>IFERROR(VLOOKUP(E208,'INVONTERY FEB'!$B$6:$D$131,3,FALSE),"")</f>
        <v/>
      </c>
      <c r="H208" s="108"/>
      <c r="I208" s="101">
        <f t="shared" si="1"/>
        <v>0</v>
      </c>
      <c r="J208" s="102"/>
      <c r="K208" s="106"/>
    </row>
    <row r="209" ht="15.75" customHeight="1">
      <c r="A209" s="93"/>
      <c r="B209" s="114"/>
      <c r="C209" s="115"/>
      <c r="D209" s="116"/>
      <c r="E209" s="97" t="str">
        <f>IFERROR(VLOOKUP(D209,'INVONTERY FEB'!$A$6:$B$432,2,FALSE),"")</f>
        <v/>
      </c>
      <c r="F209" s="98" t="str">
        <f>IFERROR(VLOOKUP(E209,'INVONTERY FEB'!$B$6:$C$432,2,FALSE),"")</f>
        <v/>
      </c>
      <c r="G209" s="99" t="str">
        <f>IFERROR(VLOOKUP(E209,'INVONTERY FEB'!$B$6:$D$131,3,FALSE),"")</f>
        <v/>
      </c>
      <c r="H209" s="108"/>
      <c r="I209" s="101">
        <f t="shared" si="1"/>
        <v>0</v>
      </c>
      <c r="J209" s="102"/>
      <c r="K209" s="106"/>
    </row>
    <row r="210" ht="15.75" customHeight="1">
      <c r="A210" s="93"/>
      <c r="B210" s="114"/>
      <c r="C210" s="115"/>
      <c r="D210" s="116"/>
      <c r="E210" s="97" t="str">
        <f>IFERROR(VLOOKUP(D210,'INVONTERY FEB'!$A$6:$B$432,2,FALSE),"")</f>
        <v/>
      </c>
      <c r="F210" s="98" t="str">
        <f>IFERROR(VLOOKUP(E210,'INVONTERY FEB'!$B$6:$C$432,2,FALSE),"")</f>
        <v/>
      </c>
      <c r="G210" s="99" t="str">
        <f>IFERROR(VLOOKUP(E210,'INVONTERY FEB'!$B$6:$D$131,3,FALSE),"")</f>
        <v/>
      </c>
      <c r="H210" s="108"/>
      <c r="I210" s="101">
        <f t="shared" si="1"/>
        <v>0</v>
      </c>
      <c r="J210" s="102"/>
      <c r="K210" s="106"/>
    </row>
    <row r="211" ht="15.75" customHeight="1">
      <c r="A211" s="93"/>
      <c r="B211" s="114"/>
      <c r="C211" s="115"/>
      <c r="D211" s="116"/>
      <c r="E211" s="97" t="str">
        <f>IFERROR(VLOOKUP(D211,'INVONTERY FEB'!$A$6:$B$432,2,FALSE),"")</f>
        <v/>
      </c>
      <c r="F211" s="98" t="str">
        <f>IFERROR(VLOOKUP(E211,'INVONTERY FEB'!$B$6:$C$432,2,FALSE),"")</f>
        <v/>
      </c>
      <c r="G211" s="99" t="str">
        <f>IFERROR(VLOOKUP(E211,'INVONTERY FEB'!$B$6:$D$131,3,FALSE),"")</f>
        <v/>
      </c>
      <c r="H211" s="108"/>
      <c r="I211" s="101">
        <f t="shared" si="1"/>
        <v>0</v>
      </c>
      <c r="J211" s="102"/>
      <c r="K211" s="106"/>
    </row>
    <row r="212" ht="15.75" customHeight="1">
      <c r="A212" s="93"/>
      <c r="B212" s="114"/>
      <c r="C212" s="115"/>
      <c r="D212" s="116"/>
      <c r="E212" s="97" t="str">
        <f>IFERROR(VLOOKUP(D212,'INVONTERY FEB'!$A$6:$B$432,2,FALSE),"")</f>
        <v/>
      </c>
      <c r="F212" s="98" t="str">
        <f>IFERROR(VLOOKUP(E212,'INVONTERY FEB'!$B$6:$C$432,2,FALSE),"")</f>
        <v/>
      </c>
      <c r="G212" s="99" t="str">
        <f>IFERROR(VLOOKUP(E212,'INVONTERY FEB'!$B$6:$D$131,3,FALSE),"")</f>
        <v/>
      </c>
      <c r="H212" s="108"/>
      <c r="I212" s="101">
        <f t="shared" si="1"/>
        <v>0</v>
      </c>
      <c r="J212" s="102"/>
      <c r="K212" s="106"/>
    </row>
    <row r="213" ht="15.75" customHeight="1">
      <c r="A213" s="93"/>
      <c r="B213" s="114"/>
      <c r="C213" s="115"/>
      <c r="D213" s="116"/>
      <c r="E213" s="97" t="str">
        <f>IFERROR(VLOOKUP(D213,'INVONTERY FEB'!$A$6:$B$432,2,FALSE),"")</f>
        <v/>
      </c>
      <c r="F213" s="98" t="str">
        <f>IFERROR(VLOOKUP(E213,'INVONTERY FEB'!$B$6:$C$432,2,FALSE),"")</f>
        <v/>
      </c>
      <c r="G213" s="99" t="str">
        <f>IFERROR(VLOOKUP(E213,'INVONTERY FEB'!$B$6:$D$131,3,FALSE),"")</f>
        <v/>
      </c>
      <c r="H213" s="108"/>
      <c r="I213" s="101">
        <f t="shared" si="1"/>
        <v>0</v>
      </c>
      <c r="J213" s="102"/>
      <c r="K213" s="106"/>
    </row>
    <row r="214" ht="15.75" customHeight="1">
      <c r="A214" s="93"/>
      <c r="B214" s="114"/>
      <c r="C214" s="115"/>
      <c r="D214" s="116"/>
      <c r="E214" s="97" t="str">
        <f>IFERROR(VLOOKUP(D214,'INVONTERY FEB'!$A$6:$B$432,2,FALSE),"")</f>
        <v/>
      </c>
      <c r="F214" s="98" t="str">
        <f>IFERROR(VLOOKUP(E214,'INVONTERY FEB'!$B$6:$C$432,2,FALSE),"")</f>
        <v/>
      </c>
      <c r="G214" s="99" t="str">
        <f>IFERROR(VLOOKUP(E214,'INVONTERY FEB'!$B$6:$D$131,3,FALSE),"")</f>
        <v/>
      </c>
      <c r="H214" s="108"/>
      <c r="I214" s="101">
        <f t="shared" si="1"/>
        <v>0</v>
      </c>
      <c r="J214" s="102"/>
      <c r="K214" s="106"/>
    </row>
    <row r="215" ht="15.75" customHeight="1">
      <c r="A215" s="93"/>
      <c r="B215" s="114"/>
      <c r="C215" s="115"/>
      <c r="D215" s="116"/>
      <c r="E215" s="97" t="str">
        <f>IFERROR(VLOOKUP(D215,'INVONTERY FEB'!$A$6:$B$432,2,FALSE),"")</f>
        <v/>
      </c>
      <c r="F215" s="98" t="str">
        <f>IFERROR(VLOOKUP(E215,'INVONTERY FEB'!$B$6:$C$432,2,FALSE),"")</f>
        <v/>
      </c>
      <c r="G215" s="99" t="str">
        <f>IFERROR(VLOOKUP(E215,'INVONTERY FEB'!$B$6:$D$131,3,FALSE),"")</f>
        <v/>
      </c>
      <c r="H215" s="108"/>
      <c r="I215" s="101">
        <f t="shared" si="1"/>
        <v>0</v>
      </c>
      <c r="J215" s="102"/>
      <c r="K215" s="106"/>
    </row>
    <row r="216" ht="15.75" customHeight="1">
      <c r="A216" s="93"/>
      <c r="B216" s="119"/>
      <c r="C216" s="115"/>
      <c r="D216" s="116"/>
      <c r="E216" s="97" t="str">
        <f>IFERROR(VLOOKUP(D216,'INVONTERY FEB'!$A$6:$B$432,2,FALSE),"")</f>
        <v/>
      </c>
      <c r="F216" s="98" t="str">
        <f>IFERROR(VLOOKUP(E216,'INVONTERY FEB'!$B$6:$C$432,2,FALSE),"")</f>
        <v/>
      </c>
      <c r="G216" s="99" t="str">
        <f>IFERROR(VLOOKUP(E216,'INVONTERY FEB'!$B$6:$D$131,3,FALSE),"")</f>
        <v/>
      </c>
      <c r="H216" s="108"/>
      <c r="I216" s="101">
        <f t="shared" si="1"/>
        <v>0</v>
      </c>
      <c r="J216" s="102"/>
      <c r="K216" s="120"/>
    </row>
    <row r="217" ht="15.75" customHeight="1">
      <c r="A217" s="93"/>
      <c r="B217" s="119"/>
      <c r="C217" s="115"/>
      <c r="D217" s="116"/>
      <c r="E217" s="97" t="str">
        <f>IFERROR(VLOOKUP(D217,'INVONTERY FEB'!$A$6:$B$432,2,FALSE),"")</f>
        <v/>
      </c>
      <c r="F217" s="98" t="str">
        <f>IFERROR(VLOOKUP(E217,'INVONTERY FEB'!$B$6:$C$432,2,FALSE),"")</f>
        <v/>
      </c>
      <c r="G217" s="99" t="str">
        <f>IFERROR(VLOOKUP(E217,'INVONTERY FEB'!$B$6:$D$131,3,FALSE),"")</f>
        <v/>
      </c>
      <c r="H217" s="108"/>
      <c r="I217" s="101">
        <f t="shared" si="1"/>
        <v>0</v>
      </c>
      <c r="J217" s="102"/>
      <c r="K217" s="120"/>
    </row>
    <row r="218" ht="15.75" customHeight="1">
      <c r="A218" s="93"/>
      <c r="B218" s="119"/>
      <c r="C218" s="115"/>
      <c r="D218" s="116"/>
      <c r="E218" s="97" t="str">
        <f>IFERROR(VLOOKUP(D218,'INVONTERY FEB'!$A$6:$B$432,2,FALSE),"")</f>
        <v/>
      </c>
      <c r="F218" s="98" t="str">
        <f>IFERROR(VLOOKUP(E218,'INVONTERY FEB'!$B$6:$C$432,2,FALSE),"")</f>
        <v/>
      </c>
      <c r="G218" s="99" t="str">
        <f>IFERROR(VLOOKUP(E218,'INVONTERY FEB'!$B$6:$D$131,3,FALSE),"")</f>
        <v/>
      </c>
      <c r="H218" s="108"/>
      <c r="I218" s="101">
        <f t="shared" si="1"/>
        <v>0</v>
      </c>
      <c r="J218" s="102"/>
      <c r="K218" s="120"/>
    </row>
    <row r="219" ht="15.75" customHeight="1">
      <c r="A219" s="93"/>
      <c r="B219" s="119"/>
      <c r="C219" s="115"/>
      <c r="D219" s="116"/>
      <c r="E219" s="97" t="str">
        <f>IFERROR(VLOOKUP(D219,'INVONTERY FEB'!$A$6:$B$432,2,FALSE),"")</f>
        <v/>
      </c>
      <c r="F219" s="98" t="str">
        <f>IFERROR(VLOOKUP(E219,'INVONTERY FEB'!$B$6:$C$432,2,FALSE),"")</f>
        <v/>
      </c>
      <c r="G219" s="99" t="str">
        <f>IFERROR(VLOOKUP(E219,'INVONTERY FEB'!$B$6:$D$131,3,FALSE),"")</f>
        <v/>
      </c>
      <c r="H219" s="108"/>
      <c r="I219" s="101">
        <f t="shared" si="1"/>
        <v>0</v>
      </c>
      <c r="J219" s="102"/>
      <c r="K219" s="120"/>
    </row>
    <row r="220" ht="15.75" customHeight="1">
      <c r="A220" s="93"/>
      <c r="B220" s="119"/>
      <c r="C220" s="115"/>
      <c r="D220" s="116"/>
      <c r="E220" s="97" t="str">
        <f>IFERROR(VLOOKUP(D220,'INVONTERY FEB'!$A$6:$B$432,2,FALSE),"")</f>
        <v/>
      </c>
      <c r="F220" s="98" t="str">
        <f>IFERROR(VLOOKUP(E220,'INVONTERY FEB'!$B$6:$C$432,2,FALSE),"")</f>
        <v/>
      </c>
      <c r="G220" s="99" t="str">
        <f>IFERROR(VLOOKUP(E220,'INVONTERY FEB'!$B$6:$D$131,3,FALSE),"")</f>
        <v/>
      </c>
      <c r="H220" s="108"/>
      <c r="I220" s="101">
        <f t="shared" si="1"/>
        <v>0</v>
      </c>
      <c r="J220" s="102"/>
      <c r="K220" s="120"/>
    </row>
    <row r="221" ht="15.75" customHeight="1">
      <c r="A221" s="93"/>
      <c r="B221" s="119"/>
      <c r="C221" s="115"/>
      <c r="D221" s="116"/>
      <c r="E221" s="97" t="str">
        <f>IFERROR(VLOOKUP(D221,'INVONTERY FEB'!$A$6:$B$432,2,FALSE),"")</f>
        <v/>
      </c>
      <c r="F221" s="98" t="str">
        <f>IFERROR(VLOOKUP(E221,'INVONTERY FEB'!$B$6:$C$432,2,FALSE),"")</f>
        <v/>
      </c>
      <c r="G221" s="99" t="str">
        <f>IFERROR(VLOOKUP(E221,'INVONTERY FEB'!$B$6:$D$131,3,FALSE),"")</f>
        <v/>
      </c>
      <c r="H221" s="108"/>
      <c r="I221" s="101">
        <f t="shared" si="1"/>
        <v>0</v>
      </c>
      <c r="J221" s="102"/>
      <c r="K221" s="120"/>
    </row>
    <row r="222" ht="15.75" customHeight="1">
      <c r="A222" s="93"/>
      <c r="B222" s="119"/>
      <c r="C222" s="115"/>
      <c r="D222" s="116"/>
      <c r="E222" s="97" t="str">
        <f>IFERROR(VLOOKUP(D222,'INVONTERY FEB'!$A$6:$B$432,2,FALSE),"")</f>
        <v/>
      </c>
      <c r="F222" s="98" t="str">
        <f>IFERROR(VLOOKUP(E222,'INVONTERY FEB'!$B$6:$C$432,2,FALSE),"")</f>
        <v/>
      </c>
      <c r="G222" s="99" t="str">
        <f>IFERROR(VLOOKUP(E222,'INVONTERY FEB'!$B$6:$D$131,3,FALSE),"")</f>
        <v/>
      </c>
      <c r="H222" s="108"/>
      <c r="I222" s="101">
        <f t="shared" si="1"/>
        <v>0</v>
      </c>
      <c r="J222" s="102"/>
      <c r="K222" s="120"/>
    </row>
    <row r="223" ht="15.75" customHeight="1">
      <c r="A223" s="93"/>
      <c r="B223" s="119"/>
      <c r="C223" s="115"/>
      <c r="D223" s="116"/>
      <c r="E223" s="97" t="str">
        <f>IFERROR(VLOOKUP(D223,'INVONTERY FEB'!$A$6:$B$432,2,FALSE),"")</f>
        <v/>
      </c>
      <c r="F223" s="98" t="str">
        <f>IFERROR(VLOOKUP(E223,'INVONTERY FEB'!$B$6:$C$432,2,FALSE),"")</f>
        <v/>
      </c>
      <c r="G223" s="99" t="str">
        <f>IFERROR(VLOOKUP(E223,'INVONTERY FEB'!$B$6:$D$131,3,FALSE),"")</f>
        <v/>
      </c>
      <c r="H223" s="108"/>
      <c r="I223" s="101">
        <f t="shared" si="1"/>
        <v>0</v>
      </c>
      <c r="J223" s="102"/>
      <c r="K223" s="120"/>
    </row>
    <row r="224" ht="15.75" customHeight="1">
      <c r="A224" s="93"/>
      <c r="B224" s="119"/>
      <c r="C224" s="115"/>
      <c r="D224" s="116"/>
      <c r="E224" s="97" t="str">
        <f>IFERROR(VLOOKUP(D224,'INVONTERY FEB'!$A$6:$B$432,2,FALSE),"")</f>
        <v/>
      </c>
      <c r="F224" s="98" t="str">
        <f>IFERROR(VLOOKUP(E224,'INVONTERY FEB'!$B$6:$C$432,2,FALSE),"")</f>
        <v/>
      </c>
      <c r="G224" s="99" t="str">
        <f>IFERROR(VLOOKUP(E224,'INVONTERY FEB'!$B$6:$D$131,3,FALSE),"")</f>
        <v/>
      </c>
      <c r="H224" s="108"/>
      <c r="I224" s="101">
        <f t="shared" si="1"/>
        <v>0</v>
      </c>
      <c r="J224" s="102"/>
      <c r="K224" s="120"/>
    </row>
    <row r="225" ht="15.75" customHeight="1">
      <c r="A225" s="93"/>
      <c r="B225" s="119"/>
      <c r="C225" s="115"/>
      <c r="D225" s="116"/>
      <c r="E225" s="97" t="str">
        <f>IFERROR(VLOOKUP(D225,'INVONTERY FEB'!$A$6:$B$432,2,FALSE),"")</f>
        <v/>
      </c>
      <c r="F225" s="98" t="str">
        <f>IFERROR(VLOOKUP(E225,'INVONTERY FEB'!$B$6:$C$432,2,FALSE),"")</f>
        <v/>
      </c>
      <c r="G225" s="99" t="str">
        <f>IFERROR(VLOOKUP(E225,'INVONTERY FEB'!$B$6:$D$131,3,FALSE),"")</f>
        <v/>
      </c>
      <c r="H225" s="108"/>
      <c r="I225" s="101">
        <f t="shared" si="1"/>
        <v>0</v>
      </c>
      <c r="J225" s="102"/>
      <c r="K225" s="120"/>
    </row>
    <row r="226" ht="15.75" customHeight="1">
      <c r="A226" s="93"/>
      <c r="B226" s="119"/>
      <c r="C226" s="115"/>
      <c r="D226" s="116"/>
      <c r="E226" s="97" t="str">
        <f>IFERROR(VLOOKUP(D226,'INVONTERY FEB'!$A$6:$B$432,2,FALSE),"")</f>
        <v/>
      </c>
      <c r="F226" s="98" t="str">
        <f>IFERROR(VLOOKUP(E226,'INVONTERY FEB'!$B$6:$C$432,2,FALSE),"")</f>
        <v/>
      </c>
      <c r="G226" s="99" t="str">
        <f>IFERROR(VLOOKUP(E226,'INVONTERY FEB'!$B$6:$D$131,3,FALSE),"")</f>
        <v/>
      </c>
      <c r="H226" s="108"/>
      <c r="I226" s="101">
        <f t="shared" si="1"/>
        <v>0</v>
      </c>
      <c r="J226" s="102"/>
      <c r="K226" s="120"/>
    </row>
    <row r="227" ht="15.75" customHeight="1">
      <c r="A227" s="93"/>
      <c r="B227" s="119"/>
      <c r="C227" s="115"/>
      <c r="D227" s="116"/>
      <c r="E227" s="97" t="str">
        <f>IFERROR(VLOOKUP(D227,'INVONTERY FEB'!$A$6:$B$432,2,FALSE),"")</f>
        <v/>
      </c>
      <c r="F227" s="98" t="str">
        <f>IFERROR(VLOOKUP(E227,'INVONTERY FEB'!$B$6:$C$432,2,FALSE),"")</f>
        <v/>
      </c>
      <c r="G227" s="99" t="str">
        <f>IFERROR(VLOOKUP(E227,'INVONTERY FEB'!$B$6:$D$131,3,FALSE),"")</f>
        <v/>
      </c>
      <c r="H227" s="108"/>
      <c r="I227" s="101">
        <f t="shared" si="1"/>
        <v>0</v>
      </c>
      <c r="J227" s="102"/>
      <c r="K227" s="120"/>
    </row>
    <row r="228" ht="15.75" customHeight="1">
      <c r="A228" s="93"/>
      <c r="B228" s="119"/>
      <c r="C228" s="115"/>
      <c r="D228" s="116"/>
      <c r="E228" s="97" t="str">
        <f>IFERROR(VLOOKUP(D228,'INVONTERY FEB'!$A$6:$B$432,2,FALSE),"")</f>
        <v/>
      </c>
      <c r="F228" s="98" t="str">
        <f>IFERROR(VLOOKUP(E228,'INVONTERY FEB'!$B$6:$C$432,2,FALSE),"")</f>
        <v/>
      </c>
      <c r="G228" s="99" t="str">
        <f>IFERROR(VLOOKUP(E228,'INVONTERY FEB'!$B$6:$D$131,3,FALSE),"")</f>
        <v/>
      </c>
      <c r="H228" s="108"/>
      <c r="I228" s="101">
        <f t="shared" si="1"/>
        <v>0</v>
      </c>
      <c r="J228" s="102"/>
      <c r="K228" s="120"/>
    </row>
    <row r="229" ht="15.75" customHeight="1">
      <c r="A229" s="93"/>
      <c r="B229" s="119"/>
      <c r="C229" s="115"/>
      <c r="D229" s="116"/>
      <c r="E229" s="97" t="str">
        <f>IFERROR(VLOOKUP(D229,'INVONTERY FEB'!$A$6:$B$432,2,FALSE),"")</f>
        <v/>
      </c>
      <c r="F229" s="98" t="str">
        <f>IFERROR(VLOOKUP(E229,'INVONTERY FEB'!$B$6:$C$432,2,FALSE),"")</f>
        <v/>
      </c>
      <c r="G229" s="99" t="str">
        <f>IFERROR(VLOOKUP(E229,'INVONTERY FEB'!$B$6:$D$131,3,FALSE),"")</f>
        <v/>
      </c>
      <c r="H229" s="108"/>
      <c r="I229" s="101">
        <f t="shared" si="1"/>
        <v>0</v>
      </c>
      <c r="J229" s="102"/>
      <c r="K229" s="120"/>
    </row>
    <row r="230" ht="15.75" customHeight="1">
      <c r="A230" s="93"/>
      <c r="B230" s="119"/>
      <c r="C230" s="115"/>
      <c r="D230" s="116"/>
      <c r="E230" s="97" t="str">
        <f>IFERROR(VLOOKUP(D230,'INVONTERY FEB'!$A$6:$B$432,2,FALSE),"")</f>
        <v/>
      </c>
      <c r="F230" s="98" t="str">
        <f>IFERROR(VLOOKUP(E230,'INVONTERY FEB'!$B$6:$C$432,2,FALSE),"")</f>
        <v/>
      </c>
      <c r="G230" s="99" t="str">
        <f>IFERROR(VLOOKUP(E230,'INVONTERY FEB'!$B$6:$D$131,3,FALSE),"")</f>
        <v/>
      </c>
      <c r="H230" s="108"/>
      <c r="I230" s="101">
        <f t="shared" si="1"/>
        <v>0</v>
      </c>
      <c r="J230" s="102"/>
      <c r="K230" s="120"/>
    </row>
    <row r="231" ht="15.75" customHeight="1">
      <c r="A231" s="93"/>
      <c r="B231" s="119"/>
      <c r="C231" s="115"/>
      <c r="D231" s="116"/>
      <c r="E231" s="97" t="str">
        <f>IFERROR(VLOOKUP(D231,'INVONTERY FEB'!$A$6:$B$432,2,FALSE),"")</f>
        <v/>
      </c>
      <c r="F231" s="98" t="str">
        <f>IFERROR(VLOOKUP(E231,'INVONTERY FEB'!$B$6:$C$432,2,FALSE),"")</f>
        <v/>
      </c>
      <c r="G231" s="99" t="str">
        <f>IFERROR(VLOOKUP(E231,'INVONTERY FEB'!$B$6:$D$131,3,FALSE),"")</f>
        <v/>
      </c>
      <c r="H231" s="108"/>
      <c r="I231" s="101">
        <f t="shared" si="1"/>
        <v>0</v>
      </c>
      <c r="J231" s="102"/>
      <c r="K231" s="120"/>
    </row>
    <row r="232" ht="15.75" customHeight="1">
      <c r="A232" s="93"/>
      <c r="B232" s="119"/>
      <c r="C232" s="115"/>
      <c r="D232" s="116"/>
      <c r="E232" s="97" t="str">
        <f>IFERROR(VLOOKUP(D232,'INVONTERY FEB'!$A$6:$B$432,2,FALSE),"")</f>
        <v/>
      </c>
      <c r="F232" s="98" t="str">
        <f>IFERROR(VLOOKUP(E232,'INVONTERY FEB'!$B$6:$C$432,2,FALSE),"")</f>
        <v/>
      </c>
      <c r="G232" s="99" t="str">
        <f>IFERROR(VLOOKUP(E232,'INVONTERY FEB'!$B$6:$D$131,3,FALSE),"")</f>
        <v/>
      </c>
      <c r="H232" s="108"/>
      <c r="I232" s="101">
        <f t="shared" si="1"/>
        <v>0</v>
      </c>
      <c r="J232" s="102"/>
      <c r="K232" s="120"/>
    </row>
    <row r="233" ht="15.75" customHeight="1">
      <c r="A233" s="93"/>
      <c r="B233" s="119"/>
      <c r="C233" s="115"/>
      <c r="D233" s="116"/>
      <c r="E233" s="97" t="str">
        <f>IFERROR(VLOOKUP(D233,'INVONTERY FEB'!$A$6:$B$432,2,FALSE),"")</f>
        <v/>
      </c>
      <c r="F233" s="98" t="str">
        <f>IFERROR(VLOOKUP(E233,'INVONTERY FEB'!$B$6:$C$432,2,FALSE),"")</f>
        <v/>
      </c>
      <c r="G233" s="99" t="str">
        <f>IFERROR(VLOOKUP(E233,'INVONTERY FEB'!$B$6:$D$131,3,FALSE),"")</f>
        <v/>
      </c>
      <c r="H233" s="108"/>
      <c r="I233" s="101">
        <f t="shared" si="1"/>
        <v>0</v>
      </c>
      <c r="J233" s="102"/>
      <c r="K233" s="120"/>
    </row>
    <row r="234" ht="15.75" customHeight="1">
      <c r="A234" s="93"/>
      <c r="B234" s="119"/>
      <c r="C234" s="115"/>
      <c r="D234" s="116"/>
      <c r="E234" s="97" t="str">
        <f>IFERROR(VLOOKUP(D234,'INVONTERY FEB'!$A$6:$B$432,2,FALSE),"")</f>
        <v/>
      </c>
      <c r="F234" s="98" t="str">
        <f>IFERROR(VLOOKUP(E234,'INVONTERY FEB'!$B$6:$C$432,2,FALSE),"")</f>
        <v/>
      </c>
      <c r="G234" s="99" t="str">
        <f>IFERROR(VLOOKUP(E234,'INVONTERY FEB'!$B$6:$D$131,3,FALSE),"")</f>
        <v/>
      </c>
      <c r="H234" s="108"/>
      <c r="I234" s="101">
        <f t="shared" si="1"/>
        <v>0</v>
      </c>
      <c r="J234" s="102"/>
      <c r="K234" s="120"/>
    </row>
    <row r="235" ht="15.75" customHeight="1">
      <c r="A235" s="93"/>
      <c r="B235" s="119"/>
      <c r="C235" s="115"/>
      <c r="D235" s="116"/>
      <c r="E235" s="97" t="str">
        <f>IFERROR(VLOOKUP(D235,'INVONTERY FEB'!$A$6:$B$432,2,FALSE),"")</f>
        <v/>
      </c>
      <c r="F235" s="98" t="str">
        <f>IFERROR(VLOOKUP(E235,'INVONTERY FEB'!$B$6:$C$432,2,FALSE),"")</f>
        <v/>
      </c>
      <c r="G235" s="99" t="str">
        <f>IFERROR(VLOOKUP(E235,'INVONTERY FEB'!$B$6:$D$131,3,FALSE),"")</f>
        <v/>
      </c>
      <c r="H235" s="108"/>
      <c r="I235" s="101">
        <f t="shared" si="1"/>
        <v>0</v>
      </c>
      <c r="J235" s="102"/>
      <c r="K235" s="120"/>
    </row>
    <row r="236" ht="15.75" customHeight="1">
      <c r="A236" s="93"/>
      <c r="B236" s="119"/>
      <c r="C236" s="115"/>
      <c r="D236" s="116"/>
      <c r="E236" s="97" t="str">
        <f>IFERROR(VLOOKUP(D236,'INVONTERY FEB'!$A$6:$B$432,2,FALSE),"")</f>
        <v/>
      </c>
      <c r="F236" s="98" t="str">
        <f>IFERROR(VLOOKUP(E236,'INVONTERY FEB'!$B$6:$C$432,2,FALSE),"")</f>
        <v/>
      </c>
      <c r="G236" s="99" t="str">
        <f>IFERROR(VLOOKUP(E236,'INVONTERY FEB'!$B$6:$D$131,3,FALSE),"")</f>
        <v/>
      </c>
      <c r="H236" s="108"/>
      <c r="I236" s="101">
        <f t="shared" si="1"/>
        <v>0</v>
      </c>
      <c r="J236" s="102"/>
      <c r="K236" s="120"/>
    </row>
    <row r="237" ht="15.75" customHeight="1">
      <c r="A237" s="93"/>
      <c r="B237" s="119"/>
      <c r="C237" s="115"/>
      <c r="D237" s="116"/>
      <c r="E237" s="97" t="str">
        <f>IFERROR(VLOOKUP(D237,'INVONTERY FEB'!$A$6:$B$432,2,FALSE),"")</f>
        <v/>
      </c>
      <c r="F237" s="98" t="str">
        <f>IFERROR(VLOOKUP(E237,'INVONTERY FEB'!$B$6:$C$432,2,FALSE),"")</f>
        <v/>
      </c>
      <c r="G237" s="99" t="str">
        <f>IFERROR(VLOOKUP(E237,'INVONTERY FEB'!$B$6:$D$131,3,FALSE),"")</f>
        <v/>
      </c>
      <c r="H237" s="108"/>
      <c r="I237" s="101">
        <f t="shared" si="1"/>
        <v>0</v>
      </c>
      <c r="J237" s="102"/>
      <c r="K237" s="120"/>
    </row>
    <row r="238" ht="15.75" customHeight="1">
      <c r="A238" s="93"/>
      <c r="B238" s="119"/>
      <c r="C238" s="115"/>
      <c r="D238" s="116"/>
      <c r="E238" s="97" t="str">
        <f>IFERROR(VLOOKUP(D238,'INVONTERY FEB'!$A$6:$B$432,2,FALSE),"")</f>
        <v/>
      </c>
      <c r="F238" s="98" t="str">
        <f>IFERROR(VLOOKUP(E238,'INVONTERY FEB'!$B$6:$C$432,2,FALSE),"")</f>
        <v/>
      </c>
      <c r="G238" s="99" t="str">
        <f>IFERROR(VLOOKUP(E238,'INVONTERY FEB'!$B$6:$D$131,3,FALSE),"")</f>
        <v/>
      </c>
      <c r="H238" s="108"/>
      <c r="I238" s="101">
        <f t="shared" si="1"/>
        <v>0</v>
      </c>
      <c r="J238" s="102"/>
      <c r="K238" s="120"/>
    </row>
    <row r="239" ht="15.75" customHeight="1">
      <c r="A239" s="93"/>
      <c r="B239" s="119"/>
      <c r="C239" s="115"/>
      <c r="D239" s="116"/>
      <c r="E239" s="97" t="str">
        <f>IFERROR(VLOOKUP(D239,'INVONTERY FEB'!$A$6:$B$432,2,FALSE),"")</f>
        <v/>
      </c>
      <c r="F239" s="98" t="str">
        <f>IFERROR(VLOOKUP(E239,'INVONTERY FEB'!$B$6:$C$432,2,FALSE),"")</f>
        <v/>
      </c>
      <c r="G239" s="99" t="str">
        <f>IFERROR(VLOOKUP(E239,'INVONTERY FEB'!$B$6:$D$131,3,FALSE),"")</f>
        <v/>
      </c>
      <c r="H239" s="108"/>
      <c r="I239" s="101">
        <f t="shared" si="1"/>
        <v>0</v>
      </c>
      <c r="J239" s="102"/>
      <c r="K239" s="120"/>
    </row>
    <row r="240" ht="15.75" customHeight="1">
      <c r="A240" s="93"/>
      <c r="B240" s="119"/>
      <c r="C240" s="115"/>
      <c r="D240" s="116"/>
      <c r="E240" s="97" t="str">
        <f>IFERROR(VLOOKUP(D240,'INVONTERY FEB'!$A$6:$B$432,2,FALSE),"")</f>
        <v/>
      </c>
      <c r="F240" s="98" t="str">
        <f>IFERROR(VLOOKUP(E240,'INVONTERY FEB'!$B$6:$C$432,2,FALSE),"")</f>
        <v/>
      </c>
      <c r="G240" s="99" t="str">
        <f>IFERROR(VLOOKUP(E240,'INVONTERY FEB'!$B$6:$D$131,3,FALSE),"")</f>
        <v/>
      </c>
      <c r="H240" s="108"/>
      <c r="I240" s="101">
        <f t="shared" si="1"/>
        <v>0</v>
      </c>
      <c r="J240" s="102"/>
      <c r="K240" s="120"/>
    </row>
    <row r="241" ht="15.75" customHeight="1">
      <c r="A241" s="93"/>
      <c r="B241" s="119"/>
      <c r="C241" s="115"/>
      <c r="D241" s="116"/>
      <c r="E241" s="97" t="str">
        <f>IFERROR(VLOOKUP(D241,'INVONTERY FEB'!$A$6:$B$432,2,FALSE),"")</f>
        <v/>
      </c>
      <c r="F241" s="98" t="str">
        <f>IFERROR(VLOOKUP(E241,'INVONTERY FEB'!$B$6:$C$432,2,FALSE),"")</f>
        <v/>
      </c>
      <c r="G241" s="99" t="str">
        <f>IFERROR(VLOOKUP(E241,'INVONTERY FEB'!$B$6:$D$131,3,FALSE),"")</f>
        <v/>
      </c>
      <c r="H241" s="108"/>
      <c r="I241" s="101">
        <f t="shared" si="1"/>
        <v>0</v>
      </c>
      <c r="J241" s="102"/>
      <c r="K241" s="120"/>
    </row>
    <row r="242" ht="15.75" customHeight="1">
      <c r="A242" s="93"/>
      <c r="B242" s="119"/>
      <c r="C242" s="115"/>
      <c r="D242" s="116"/>
      <c r="E242" s="97" t="str">
        <f>IFERROR(VLOOKUP(D242,'INVONTERY FEB'!$A$6:$B$432,2,FALSE),"")</f>
        <v/>
      </c>
      <c r="F242" s="98" t="str">
        <f>IFERROR(VLOOKUP(E242,'INVONTERY FEB'!$B$6:$C$432,2,FALSE),"")</f>
        <v/>
      </c>
      <c r="G242" s="99" t="str">
        <f>IFERROR(VLOOKUP(E242,'INVONTERY FEB'!$B$6:$D$131,3,FALSE),"")</f>
        <v/>
      </c>
      <c r="H242" s="108"/>
      <c r="I242" s="101">
        <f t="shared" si="1"/>
        <v>0</v>
      </c>
      <c r="J242" s="102"/>
      <c r="K242" s="120"/>
    </row>
    <row r="243" ht="15.75" customHeight="1">
      <c r="A243" s="93"/>
      <c r="B243" s="119"/>
      <c r="C243" s="115"/>
      <c r="D243" s="116"/>
      <c r="E243" s="97" t="str">
        <f>IFERROR(VLOOKUP(D243,'INVONTERY FEB'!$A$6:$B$432,2,FALSE),"")</f>
        <v/>
      </c>
      <c r="F243" s="98" t="str">
        <f>IFERROR(VLOOKUP(E243,'INVONTERY FEB'!$B$6:$C$432,2,FALSE),"")</f>
        <v/>
      </c>
      <c r="G243" s="99" t="str">
        <f>IFERROR(VLOOKUP(E243,'INVONTERY FEB'!$B$6:$D$131,3,FALSE),"")</f>
        <v/>
      </c>
      <c r="H243" s="108"/>
      <c r="I243" s="101">
        <f t="shared" si="1"/>
        <v>0</v>
      </c>
      <c r="J243" s="102"/>
      <c r="K243" s="120"/>
    </row>
    <row r="244" ht="15.75" customHeight="1">
      <c r="A244" s="93"/>
      <c r="B244" s="119"/>
      <c r="C244" s="115"/>
      <c r="D244" s="116"/>
      <c r="E244" s="97" t="str">
        <f>IFERROR(VLOOKUP(D244,'INVONTERY FEB'!$A$6:$B$432,2,FALSE),"")</f>
        <v/>
      </c>
      <c r="F244" s="98" t="str">
        <f>IFERROR(VLOOKUP(E244,'INVONTERY FEB'!$B$6:$C$432,2,FALSE),"")</f>
        <v/>
      </c>
      <c r="G244" s="99" t="str">
        <f>IFERROR(VLOOKUP(E244,'INVONTERY FEB'!$B$6:$D$131,3,FALSE),"")</f>
        <v/>
      </c>
      <c r="H244" s="108"/>
      <c r="I244" s="101">
        <f t="shared" si="1"/>
        <v>0</v>
      </c>
      <c r="J244" s="102"/>
      <c r="K244" s="120"/>
    </row>
    <row r="245" ht="15.75" customHeight="1">
      <c r="A245" s="93"/>
      <c r="B245" s="119"/>
      <c r="C245" s="115"/>
      <c r="D245" s="116"/>
      <c r="E245" s="97" t="str">
        <f>IFERROR(VLOOKUP(D245,'INVONTERY FEB'!$A$6:$B$432,2,FALSE),"")</f>
        <v/>
      </c>
      <c r="F245" s="98" t="str">
        <f>IFERROR(VLOOKUP(E245,'INVONTERY FEB'!$B$6:$C$432,2,FALSE),"")</f>
        <v/>
      </c>
      <c r="G245" s="99" t="str">
        <f>IFERROR(VLOOKUP(E245,'INVONTERY FEB'!$B$6:$D$131,3,FALSE),"")</f>
        <v/>
      </c>
      <c r="H245" s="108"/>
      <c r="I245" s="101">
        <f t="shared" si="1"/>
        <v>0</v>
      </c>
      <c r="J245" s="102"/>
      <c r="K245" s="120"/>
    </row>
    <row r="246" ht="15.75" customHeight="1">
      <c r="A246" s="93"/>
      <c r="B246" s="119"/>
      <c r="C246" s="115"/>
      <c r="D246" s="116"/>
      <c r="E246" s="97" t="str">
        <f>IFERROR(VLOOKUP(D246,'INVONTERY FEB'!$A$6:$B$432,2,FALSE),"")</f>
        <v/>
      </c>
      <c r="F246" s="98" t="str">
        <f>IFERROR(VLOOKUP(E246,'INVONTERY FEB'!$B$6:$C$432,2,FALSE),"")</f>
        <v/>
      </c>
      <c r="G246" s="99" t="str">
        <f>IFERROR(VLOOKUP(E246,'INVONTERY FEB'!$B$6:$D$131,3,FALSE),"")</f>
        <v/>
      </c>
      <c r="H246" s="108"/>
      <c r="I246" s="101">
        <f t="shared" si="1"/>
        <v>0</v>
      </c>
      <c r="J246" s="102"/>
      <c r="K246" s="120"/>
    </row>
    <row r="247" ht="15.75" customHeight="1">
      <c r="A247" s="93"/>
      <c r="B247" s="119"/>
      <c r="C247" s="115"/>
      <c r="D247" s="116"/>
      <c r="E247" s="97" t="str">
        <f>IFERROR(VLOOKUP(D247,'INVONTERY FEB'!$A$6:$B$432,2,FALSE),"")</f>
        <v/>
      </c>
      <c r="F247" s="98" t="str">
        <f>IFERROR(VLOOKUP(E247,'INVONTERY FEB'!$B$6:$C$432,2,FALSE),"")</f>
        <v/>
      </c>
      <c r="G247" s="99" t="str">
        <f>IFERROR(VLOOKUP(E247,'INVONTERY FEB'!$B$6:$D$131,3,FALSE),"")</f>
        <v/>
      </c>
      <c r="H247" s="108"/>
      <c r="I247" s="101">
        <f t="shared" si="1"/>
        <v>0</v>
      </c>
      <c r="J247" s="102"/>
      <c r="K247" s="120"/>
    </row>
    <row r="248" ht="15.75" customHeight="1">
      <c r="A248" s="93"/>
      <c r="B248" s="119"/>
      <c r="C248" s="115"/>
      <c r="D248" s="116"/>
      <c r="E248" s="97" t="str">
        <f>IFERROR(VLOOKUP(D248,'INVONTERY FEB'!$A$6:$B$432,2,FALSE),"")</f>
        <v/>
      </c>
      <c r="F248" s="98" t="str">
        <f>IFERROR(VLOOKUP(E248,'INVONTERY FEB'!$B$6:$C$432,2,FALSE),"")</f>
        <v/>
      </c>
      <c r="G248" s="99" t="str">
        <f>IFERROR(VLOOKUP(E248,'INVONTERY FEB'!$B$6:$D$131,3,FALSE),"")</f>
        <v/>
      </c>
      <c r="H248" s="108"/>
      <c r="I248" s="101">
        <f t="shared" si="1"/>
        <v>0</v>
      </c>
      <c r="J248" s="102"/>
      <c r="K248" s="120"/>
    </row>
    <row r="249" ht="15.75" customHeight="1">
      <c r="A249" s="93"/>
      <c r="B249" s="119"/>
      <c r="C249" s="115"/>
      <c r="D249" s="116"/>
      <c r="E249" s="97" t="str">
        <f>IFERROR(VLOOKUP(D249,'INVONTERY FEB'!$A$6:$B$432,2,FALSE),"")</f>
        <v/>
      </c>
      <c r="F249" s="98" t="str">
        <f>IFERROR(VLOOKUP(E249,'INVONTERY FEB'!$B$6:$C$432,2,FALSE),"")</f>
        <v/>
      </c>
      <c r="G249" s="99" t="str">
        <f>IFERROR(VLOOKUP(E249,'INVONTERY FEB'!$B$6:$D$131,3,FALSE),"")</f>
        <v/>
      </c>
      <c r="H249" s="108"/>
      <c r="I249" s="101">
        <f t="shared" si="1"/>
        <v>0</v>
      </c>
      <c r="J249" s="102"/>
      <c r="K249" s="120"/>
    </row>
    <row r="250" ht="15.75" customHeight="1">
      <c r="A250" s="93"/>
      <c r="B250" s="119"/>
      <c r="C250" s="115"/>
      <c r="D250" s="116"/>
      <c r="E250" s="97" t="str">
        <f>IFERROR(VLOOKUP(D250,'INVONTERY FEB'!$A$6:$B$432,2,FALSE),"")</f>
        <v/>
      </c>
      <c r="F250" s="98" t="str">
        <f>IFERROR(VLOOKUP(E250,'INVONTERY FEB'!$B$6:$C$432,2,FALSE),"")</f>
        <v/>
      </c>
      <c r="G250" s="99" t="str">
        <f>IFERROR(VLOOKUP(E250,'INVONTERY FEB'!$B$6:$D$131,3,FALSE),"")</f>
        <v/>
      </c>
      <c r="H250" s="108"/>
      <c r="I250" s="101">
        <f t="shared" si="1"/>
        <v>0</v>
      </c>
      <c r="J250" s="102"/>
      <c r="K250" s="120"/>
    </row>
    <row r="251" ht="15.75" customHeight="1">
      <c r="A251" s="93"/>
      <c r="B251" s="119"/>
      <c r="C251" s="115"/>
      <c r="D251" s="116"/>
      <c r="E251" s="97" t="str">
        <f>IFERROR(VLOOKUP(D251,'INVONTERY FEB'!$A$6:$B$432,2,FALSE),"")</f>
        <v/>
      </c>
      <c r="F251" s="98" t="str">
        <f>IFERROR(VLOOKUP(E251,'INVONTERY FEB'!$B$6:$C$432,2,FALSE),"")</f>
        <v/>
      </c>
      <c r="G251" s="99" t="str">
        <f>IFERROR(VLOOKUP(E251,'INVONTERY FEB'!$B$6:$D$131,3,FALSE),"")</f>
        <v/>
      </c>
      <c r="H251" s="108"/>
      <c r="I251" s="101">
        <f t="shared" si="1"/>
        <v>0</v>
      </c>
      <c r="J251" s="102"/>
      <c r="K251" s="120"/>
    </row>
    <row r="252" ht="15.75" customHeight="1">
      <c r="A252" s="93"/>
      <c r="B252" s="119"/>
      <c r="C252" s="115"/>
      <c r="D252" s="116"/>
      <c r="E252" s="97" t="str">
        <f>IFERROR(VLOOKUP(D252,'INVONTERY FEB'!$A$6:$B$432,2,FALSE),"")</f>
        <v/>
      </c>
      <c r="F252" s="98" t="str">
        <f>IFERROR(VLOOKUP(E252,'INVONTERY FEB'!$B$6:$C$432,2,FALSE),"")</f>
        <v/>
      </c>
      <c r="G252" s="99" t="str">
        <f>IFERROR(VLOOKUP(E252,'INVONTERY FEB'!$B$6:$D$131,3,FALSE),"")</f>
        <v/>
      </c>
      <c r="H252" s="108"/>
      <c r="I252" s="101">
        <f t="shared" si="1"/>
        <v>0</v>
      </c>
      <c r="J252" s="102"/>
      <c r="K252" s="120"/>
    </row>
    <row r="253" ht="15.75" customHeight="1">
      <c r="A253" s="93"/>
      <c r="B253" s="119"/>
      <c r="C253" s="115"/>
      <c r="D253" s="116"/>
      <c r="E253" s="97" t="str">
        <f>IFERROR(VLOOKUP(D253,'INVONTERY FEB'!$A$6:$B$432,2,FALSE),"")</f>
        <v/>
      </c>
      <c r="F253" s="98" t="str">
        <f>IFERROR(VLOOKUP(E253,'INVONTERY FEB'!$B$6:$C$432,2,FALSE),"")</f>
        <v/>
      </c>
      <c r="G253" s="99" t="str">
        <f>IFERROR(VLOOKUP(E253,'INVONTERY FEB'!$B$6:$D$131,3,FALSE),"")</f>
        <v/>
      </c>
      <c r="H253" s="108"/>
      <c r="I253" s="101">
        <f t="shared" si="1"/>
        <v>0</v>
      </c>
      <c r="J253" s="102"/>
      <c r="K253" s="120"/>
    </row>
    <row r="254" ht="15.75" customHeight="1">
      <c r="A254" s="93"/>
      <c r="B254" s="119"/>
      <c r="C254" s="115"/>
      <c r="D254" s="116"/>
      <c r="E254" s="97" t="str">
        <f>IFERROR(VLOOKUP(D254,'INVONTERY FEB'!$A$6:$B$432,2,FALSE),"")</f>
        <v/>
      </c>
      <c r="F254" s="98" t="str">
        <f>IFERROR(VLOOKUP(E254,'INVONTERY FEB'!$B$6:$C$432,2,FALSE),"")</f>
        <v/>
      </c>
      <c r="G254" s="99" t="str">
        <f>IFERROR(VLOOKUP(E254,'INVONTERY FEB'!$B$6:$D$131,3,FALSE),"")</f>
        <v/>
      </c>
      <c r="H254" s="108"/>
      <c r="I254" s="101">
        <f t="shared" si="1"/>
        <v>0</v>
      </c>
      <c r="J254" s="102"/>
      <c r="K254" s="120"/>
    </row>
    <row r="255" ht="15.75" customHeight="1">
      <c r="A255" s="93"/>
      <c r="B255" s="119"/>
      <c r="C255" s="115"/>
      <c r="D255" s="116"/>
      <c r="E255" s="97" t="str">
        <f>IFERROR(VLOOKUP(D255,'INVONTERY FEB'!$A$6:$B$432,2,FALSE),"")</f>
        <v/>
      </c>
      <c r="F255" s="98" t="str">
        <f>IFERROR(VLOOKUP(E255,'INVONTERY FEB'!$B$6:$C$432,2,FALSE),"")</f>
        <v/>
      </c>
      <c r="G255" s="99" t="str">
        <f>IFERROR(VLOOKUP(E255,'INVONTERY FEB'!$B$6:$D$131,3,FALSE),"")</f>
        <v/>
      </c>
      <c r="H255" s="108"/>
      <c r="I255" s="101">
        <f t="shared" si="1"/>
        <v>0</v>
      </c>
      <c r="J255" s="102"/>
      <c r="K255" s="120"/>
    </row>
    <row r="256" ht="15.75" customHeight="1">
      <c r="A256" s="93"/>
      <c r="B256" s="119"/>
      <c r="C256" s="115"/>
      <c r="D256" s="116"/>
      <c r="E256" s="97" t="str">
        <f>IFERROR(VLOOKUP(D256,'INVONTERY FEB'!$A$6:$B$432,2,FALSE),"")</f>
        <v/>
      </c>
      <c r="F256" s="98" t="str">
        <f>IFERROR(VLOOKUP(E256,'INVONTERY FEB'!$B$6:$C$432,2,FALSE),"")</f>
        <v/>
      </c>
      <c r="G256" s="99" t="str">
        <f>IFERROR(VLOOKUP(E256,'INVONTERY FEB'!$B$6:$D$131,3,FALSE),"")</f>
        <v/>
      </c>
      <c r="H256" s="108"/>
      <c r="I256" s="101">
        <f t="shared" si="1"/>
        <v>0</v>
      </c>
      <c r="J256" s="102"/>
      <c r="K256" s="120"/>
    </row>
    <row r="257" ht="15.75" customHeight="1">
      <c r="A257" s="93"/>
      <c r="B257" s="119"/>
      <c r="C257" s="115"/>
      <c r="D257" s="116"/>
      <c r="E257" s="97" t="str">
        <f>IFERROR(VLOOKUP(D257,'INVONTERY FEB'!$A$6:$B$432,2,FALSE),"")</f>
        <v/>
      </c>
      <c r="F257" s="98" t="str">
        <f>IFERROR(VLOOKUP(E257,'INVONTERY FEB'!$B$6:$C$432,2,FALSE),"")</f>
        <v/>
      </c>
      <c r="G257" s="99" t="str">
        <f>IFERROR(VLOOKUP(E257,'INVONTERY FEB'!$B$6:$D$131,3,FALSE),"")</f>
        <v/>
      </c>
      <c r="H257" s="108"/>
      <c r="I257" s="101">
        <f t="shared" si="1"/>
        <v>0</v>
      </c>
      <c r="J257" s="102"/>
      <c r="K257" s="120"/>
    </row>
    <row r="258" ht="15.75" customHeight="1">
      <c r="A258" s="93"/>
      <c r="B258" s="119"/>
      <c r="C258" s="115"/>
      <c r="D258" s="116"/>
      <c r="E258" s="97" t="str">
        <f>IFERROR(VLOOKUP(D258,'INVONTERY FEB'!$A$6:$B$432,2,FALSE),"")</f>
        <v/>
      </c>
      <c r="F258" s="98" t="str">
        <f>IFERROR(VLOOKUP(E258,'INVONTERY FEB'!$B$6:$C$432,2,FALSE),"")</f>
        <v/>
      </c>
      <c r="G258" s="99" t="str">
        <f>IFERROR(VLOOKUP(E258,'INVONTERY FEB'!$B$6:$D$131,3,FALSE),"")</f>
        <v/>
      </c>
      <c r="H258" s="108"/>
      <c r="I258" s="101">
        <f t="shared" si="1"/>
        <v>0</v>
      </c>
      <c r="J258" s="102"/>
      <c r="K258" s="120"/>
    </row>
    <row r="259" ht="15.75" customHeight="1">
      <c r="A259" s="93"/>
      <c r="B259" s="119"/>
      <c r="C259" s="115"/>
      <c r="D259" s="116"/>
      <c r="E259" s="97" t="str">
        <f>IFERROR(VLOOKUP(D259,'INVONTERY FEB'!$A$6:$B$432,2,FALSE),"")</f>
        <v/>
      </c>
      <c r="F259" s="98" t="str">
        <f>IFERROR(VLOOKUP(E259,'INVONTERY FEB'!$B$6:$C$432,2,FALSE),"")</f>
        <v/>
      </c>
      <c r="G259" s="99" t="str">
        <f>IFERROR(VLOOKUP(E259,'INVONTERY FEB'!$B$6:$D$131,3,FALSE),"")</f>
        <v/>
      </c>
      <c r="H259" s="108"/>
      <c r="I259" s="101">
        <f t="shared" si="1"/>
        <v>0</v>
      </c>
      <c r="J259" s="102"/>
      <c r="K259" s="120"/>
    </row>
    <row r="260" ht="15.75" customHeight="1">
      <c r="A260" s="93"/>
      <c r="B260" s="119"/>
      <c r="C260" s="115"/>
      <c r="D260" s="116"/>
      <c r="E260" s="97" t="str">
        <f>IFERROR(VLOOKUP(D260,'INVONTERY FEB'!$A$6:$B$432,2,FALSE),"")</f>
        <v/>
      </c>
      <c r="F260" s="98" t="str">
        <f>IFERROR(VLOOKUP(E260,'INVONTERY FEB'!$B$6:$C$432,2,FALSE),"")</f>
        <v/>
      </c>
      <c r="G260" s="99" t="str">
        <f>IFERROR(VLOOKUP(E260,'INVONTERY FEB'!$B$6:$D$131,3,FALSE),"")</f>
        <v/>
      </c>
      <c r="H260" s="108"/>
      <c r="I260" s="101">
        <f t="shared" si="1"/>
        <v>0</v>
      </c>
      <c r="J260" s="102"/>
      <c r="K260" s="120"/>
    </row>
    <row r="261" ht="15.75" customHeight="1">
      <c r="A261" s="93"/>
      <c r="B261" s="119"/>
      <c r="C261" s="115"/>
      <c r="D261" s="116"/>
      <c r="E261" s="97" t="str">
        <f>IFERROR(VLOOKUP(D261,'INVONTERY FEB'!$A$6:$B$432,2,FALSE),"")</f>
        <v/>
      </c>
      <c r="F261" s="98" t="str">
        <f>IFERROR(VLOOKUP(E261,'INVONTERY FEB'!$B$6:$C$432,2,FALSE),"")</f>
        <v/>
      </c>
      <c r="G261" s="99" t="str">
        <f>IFERROR(VLOOKUP(E261,'INVONTERY FEB'!$B$6:$D$131,3,FALSE),"")</f>
        <v/>
      </c>
      <c r="H261" s="108"/>
      <c r="I261" s="101">
        <f t="shared" si="1"/>
        <v>0</v>
      </c>
      <c r="J261" s="102"/>
      <c r="K261" s="120"/>
    </row>
    <row r="262" ht="15.75" customHeight="1">
      <c r="A262" s="93"/>
      <c r="B262" s="119"/>
      <c r="C262" s="115"/>
      <c r="D262" s="116"/>
      <c r="E262" s="97" t="str">
        <f>IFERROR(VLOOKUP(D262,'INVONTERY FEB'!$A$6:$B$432,2,FALSE),"")</f>
        <v/>
      </c>
      <c r="F262" s="98" t="str">
        <f>IFERROR(VLOOKUP(E262,'INVONTERY FEB'!$B$6:$C$432,2,FALSE),"")</f>
        <v/>
      </c>
      <c r="G262" s="99" t="str">
        <f>IFERROR(VLOOKUP(E262,'INVONTERY FEB'!$B$6:$D$131,3,FALSE),"")</f>
        <v/>
      </c>
      <c r="H262" s="108"/>
      <c r="I262" s="101">
        <f t="shared" si="1"/>
        <v>0</v>
      </c>
      <c r="J262" s="102"/>
      <c r="K262" s="120"/>
    </row>
    <row r="263" ht="15.75" customHeight="1">
      <c r="A263" s="93"/>
      <c r="B263" s="119"/>
      <c r="C263" s="115"/>
      <c r="D263" s="116"/>
      <c r="E263" s="97" t="str">
        <f>IFERROR(VLOOKUP(D263,'INVONTERY FEB'!$A$6:$B$432,2,FALSE),"")</f>
        <v/>
      </c>
      <c r="F263" s="98" t="str">
        <f>IFERROR(VLOOKUP(E263,'INVONTERY FEB'!$B$6:$C$432,2,FALSE),"")</f>
        <v/>
      </c>
      <c r="G263" s="99" t="str">
        <f>IFERROR(VLOOKUP(E263,'INVONTERY FEB'!$B$6:$D$131,3,FALSE),"")</f>
        <v/>
      </c>
      <c r="H263" s="108"/>
      <c r="I263" s="101">
        <f t="shared" si="1"/>
        <v>0</v>
      </c>
      <c r="J263" s="102"/>
      <c r="K263" s="120"/>
    </row>
    <row r="264" ht="15.75" customHeight="1">
      <c r="A264" s="93"/>
      <c r="B264" s="119"/>
      <c r="C264" s="115"/>
      <c r="D264" s="116"/>
      <c r="E264" s="97" t="str">
        <f>IFERROR(VLOOKUP(D264,'INVONTERY FEB'!$A$6:$B$432,2,FALSE),"")</f>
        <v/>
      </c>
      <c r="F264" s="98" t="str">
        <f>IFERROR(VLOOKUP(E264,'INVONTERY FEB'!$B$6:$C$432,2,FALSE),"")</f>
        <v/>
      </c>
      <c r="G264" s="99" t="str">
        <f>IFERROR(VLOOKUP(E264,'INVONTERY FEB'!$B$6:$D$131,3,FALSE),"")</f>
        <v/>
      </c>
      <c r="H264" s="108"/>
      <c r="I264" s="101">
        <f t="shared" si="1"/>
        <v>0</v>
      </c>
      <c r="J264" s="102"/>
      <c r="K264" s="120"/>
    </row>
    <row r="265" ht="15.75" customHeight="1">
      <c r="A265" s="93"/>
      <c r="B265" s="119"/>
      <c r="C265" s="115"/>
      <c r="D265" s="116"/>
      <c r="E265" s="97" t="str">
        <f>IFERROR(VLOOKUP(D265,'INVONTERY FEB'!$A$6:$B$432,2,FALSE),"")</f>
        <v/>
      </c>
      <c r="F265" s="98" t="str">
        <f>IFERROR(VLOOKUP(E265,'INVONTERY FEB'!$B$6:$C$432,2,FALSE),"")</f>
        <v/>
      </c>
      <c r="G265" s="99" t="str">
        <f>IFERROR(VLOOKUP(E265,'INVONTERY FEB'!$B$6:$D$131,3,FALSE),"")</f>
        <v/>
      </c>
      <c r="H265" s="108"/>
      <c r="I265" s="101">
        <f t="shared" si="1"/>
        <v>0</v>
      </c>
      <c r="J265" s="102"/>
      <c r="K265" s="120"/>
    </row>
    <row r="266" ht="15.75" customHeight="1">
      <c r="A266" s="93"/>
      <c r="B266" s="119"/>
      <c r="C266" s="115"/>
      <c r="D266" s="116"/>
      <c r="E266" s="97" t="str">
        <f>IFERROR(VLOOKUP(D266,'INVONTERY FEB'!$A$6:$B$432,2,FALSE),"")</f>
        <v/>
      </c>
      <c r="F266" s="98" t="str">
        <f>IFERROR(VLOOKUP(E266,'INVONTERY FEB'!$B$6:$C$432,2,FALSE),"")</f>
        <v/>
      </c>
      <c r="G266" s="99" t="str">
        <f>IFERROR(VLOOKUP(E266,'INVONTERY FEB'!$B$6:$D$131,3,FALSE),"")</f>
        <v/>
      </c>
      <c r="H266" s="108"/>
      <c r="I266" s="101">
        <f t="shared" si="1"/>
        <v>0</v>
      </c>
      <c r="J266" s="102"/>
      <c r="K266" s="120"/>
    </row>
    <row r="267" ht="15.75" customHeight="1">
      <c r="A267" s="93"/>
      <c r="B267" s="119"/>
      <c r="C267" s="115"/>
      <c r="D267" s="116"/>
      <c r="E267" s="97" t="str">
        <f>IFERROR(VLOOKUP(D267,'INVONTERY FEB'!$A$6:$B$432,2,FALSE),"")</f>
        <v/>
      </c>
      <c r="F267" s="98" t="str">
        <f>IFERROR(VLOOKUP(E267,'INVONTERY FEB'!$B$6:$C$432,2,FALSE),"")</f>
        <v/>
      </c>
      <c r="G267" s="99" t="str">
        <f>IFERROR(VLOOKUP(E267,'INVONTERY FEB'!$B$6:$D$131,3,FALSE),"")</f>
        <v/>
      </c>
      <c r="H267" s="108"/>
      <c r="I267" s="101">
        <f t="shared" si="1"/>
        <v>0</v>
      </c>
      <c r="J267" s="102"/>
      <c r="K267" s="120"/>
    </row>
    <row r="268" ht="15.75" customHeight="1">
      <c r="A268" s="93"/>
      <c r="B268" s="119"/>
      <c r="C268" s="115"/>
      <c r="D268" s="116"/>
      <c r="E268" s="97" t="str">
        <f>IFERROR(VLOOKUP(D268,'INVONTERY FEB'!$A$6:$B$432,2,FALSE),"")</f>
        <v/>
      </c>
      <c r="F268" s="98" t="str">
        <f>IFERROR(VLOOKUP(E268,'INVONTERY FEB'!$B$6:$C$432,2,FALSE),"")</f>
        <v/>
      </c>
      <c r="G268" s="99" t="str">
        <f>IFERROR(VLOOKUP(E268,'INVONTERY FEB'!$B$6:$D$131,3,FALSE),"")</f>
        <v/>
      </c>
      <c r="H268" s="108"/>
      <c r="I268" s="101">
        <f t="shared" si="1"/>
        <v>0</v>
      </c>
      <c r="J268" s="102"/>
      <c r="K268" s="120"/>
    </row>
    <row r="269" ht="15.75" customHeight="1">
      <c r="A269" s="93"/>
      <c r="B269" s="119"/>
      <c r="C269" s="115"/>
      <c r="D269" s="116"/>
      <c r="E269" s="97" t="str">
        <f>IFERROR(VLOOKUP(D269,'INVONTERY FEB'!$A$6:$B$432,2,FALSE),"")</f>
        <v/>
      </c>
      <c r="F269" s="98" t="str">
        <f>IFERROR(VLOOKUP(E269,'INVONTERY FEB'!$B$6:$C$432,2,FALSE),"")</f>
        <v/>
      </c>
      <c r="G269" s="99" t="str">
        <f>IFERROR(VLOOKUP(E269,'INVONTERY FEB'!$B$6:$D$131,3,FALSE),"")</f>
        <v/>
      </c>
      <c r="H269" s="108"/>
      <c r="I269" s="101">
        <f t="shared" si="1"/>
        <v>0</v>
      </c>
      <c r="J269" s="102"/>
      <c r="K269" s="120"/>
    </row>
    <row r="270" ht="15.75" customHeight="1">
      <c r="A270" s="93"/>
      <c r="B270" s="119"/>
      <c r="C270" s="115"/>
      <c r="D270" s="116"/>
      <c r="E270" s="97" t="str">
        <f>IFERROR(VLOOKUP(D270,'INVONTERY FEB'!$A$6:$B$432,2,FALSE),"")</f>
        <v/>
      </c>
      <c r="F270" s="98" t="str">
        <f>IFERROR(VLOOKUP(E270,'INVONTERY FEB'!$B$6:$C$432,2,FALSE),"")</f>
        <v/>
      </c>
      <c r="G270" s="99" t="str">
        <f>IFERROR(VLOOKUP(E270,'INVONTERY FEB'!$B$6:$D$131,3,FALSE),"")</f>
        <v/>
      </c>
      <c r="H270" s="108"/>
      <c r="I270" s="101">
        <f t="shared" si="1"/>
        <v>0</v>
      </c>
      <c r="J270" s="102"/>
      <c r="K270" s="120"/>
    </row>
    <row r="271" ht="15.75" customHeight="1">
      <c r="A271" s="93"/>
      <c r="B271" s="119"/>
      <c r="C271" s="115"/>
      <c r="D271" s="116"/>
      <c r="E271" s="97" t="str">
        <f>IFERROR(VLOOKUP(D271,'INVONTERY FEB'!$A$6:$B$432,2,FALSE),"")</f>
        <v/>
      </c>
      <c r="F271" s="98" t="str">
        <f>IFERROR(VLOOKUP(E271,'INVONTERY FEB'!$B$6:$C$432,2,FALSE),"")</f>
        <v/>
      </c>
      <c r="G271" s="99" t="str">
        <f>IFERROR(VLOOKUP(E271,'INVONTERY FEB'!$B$6:$D$131,3,FALSE),"")</f>
        <v/>
      </c>
      <c r="H271" s="108"/>
      <c r="I271" s="101">
        <f t="shared" si="1"/>
        <v>0</v>
      </c>
      <c r="J271" s="102"/>
      <c r="K271" s="120"/>
    </row>
    <row r="272" ht="15.75" customHeight="1">
      <c r="A272" s="93"/>
      <c r="B272" s="119"/>
      <c r="C272" s="115"/>
      <c r="D272" s="116"/>
      <c r="E272" s="97" t="str">
        <f>IFERROR(VLOOKUP(D272,'INVONTERY FEB'!$A$6:$B$432,2,FALSE),"")</f>
        <v/>
      </c>
      <c r="F272" s="98" t="str">
        <f>IFERROR(VLOOKUP(E272,'INVONTERY FEB'!$B$6:$C$432,2,FALSE),"")</f>
        <v/>
      </c>
      <c r="G272" s="99" t="str">
        <f>IFERROR(VLOOKUP(E272,'INVONTERY FEB'!$B$6:$D$131,3,FALSE),"")</f>
        <v/>
      </c>
      <c r="H272" s="108"/>
      <c r="I272" s="101">
        <f t="shared" si="1"/>
        <v>0</v>
      </c>
      <c r="J272" s="102"/>
      <c r="K272" s="120"/>
    </row>
    <row r="273" ht="15.75" customHeight="1">
      <c r="A273" s="93"/>
      <c r="B273" s="119"/>
      <c r="C273" s="115"/>
      <c r="D273" s="116"/>
      <c r="E273" s="97" t="str">
        <f>IFERROR(VLOOKUP(D273,'INVONTERY FEB'!$A$6:$B$432,2,FALSE),"")</f>
        <v/>
      </c>
      <c r="F273" s="98" t="str">
        <f>IFERROR(VLOOKUP(E273,'INVONTERY FEB'!$B$6:$C$432,2,FALSE),"")</f>
        <v/>
      </c>
      <c r="G273" s="99" t="str">
        <f>IFERROR(VLOOKUP(E273,'INVONTERY FEB'!$B$6:$D$131,3,FALSE),"")</f>
        <v/>
      </c>
      <c r="H273" s="108"/>
      <c r="I273" s="101">
        <f t="shared" si="1"/>
        <v>0</v>
      </c>
      <c r="J273" s="102"/>
      <c r="K273" s="120"/>
    </row>
    <row r="274" ht="15.75" customHeight="1">
      <c r="A274" s="93"/>
      <c r="B274" s="119"/>
      <c r="C274" s="115"/>
      <c r="D274" s="116"/>
      <c r="E274" s="97" t="str">
        <f>IFERROR(VLOOKUP(D274,'INVONTERY FEB'!$A$6:$B$432,2,FALSE),"")</f>
        <v/>
      </c>
      <c r="F274" s="98" t="str">
        <f>IFERROR(VLOOKUP(E274,'INVONTERY FEB'!$B$6:$C$432,2,FALSE),"")</f>
        <v/>
      </c>
      <c r="G274" s="99" t="str">
        <f>IFERROR(VLOOKUP(E274,'INVONTERY FEB'!$B$6:$D$131,3,FALSE),"")</f>
        <v/>
      </c>
      <c r="H274" s="108"/>
      <c r="I274" s="101">
        <f t="shared" si="1"/>
        <v>0</v>
      </c>
      <c r="J274" s="102"/>
      <c r="K274" s="120"/>
    </row>
    <row r="275" ht="15.75" customHeight="1">
      <c r="A275" s="93"/>
      <c r="B275" s="119"/>
      <c r="C275" s="115"/>
      <c r="D275" s="116"/>
      <c r="E275" s="97" t="str">
        <f>IFERROR(VLOOKUP(D275,'INVONTERY FEB'!$A$6:$B$432,2,FALSE),"")</f>
        <v/>
      </c>
      <c r="F275" s="98" t="str">
        <f>IFERROR(VLOOKUP(E275,'INVONTERY FEB'!$B$6:$C$432,2,FALSE),"")</f>
        <v/>
      </c>
      <c r="G275" s="99" t="str">
        <f>IFERROR(VLOOKUP(E275,'INVONTERY FEB'!$B$6:$D$131,3,FALSE),"")</f>
        <v/>
      </c>
      <c r="H275" s="108"/>
      <c r="I275" s="101">
        <f t="shared" si="1"/>
        <v>0</v>
      </c>
      <c r="J275" s="102"/>
      <c r="K275" s="120"/>
    </row>
    <row r="276" ht="15.75" customHeight="1">
      <c r="A276" s="93"/>
      <c r="B276" s="119"/>
      <c r="C276" s="115"/>
      <c r="D276" s="116"/>
      <c r="E276" s="97" t="str">
        <f>IFERROR(VLOOKUP(D276,'INVONTERY FEB'!$A$6:$B$432,2,FALSE),"")</f>
        <v/>
      </c>
      <c r="F276" s="98" t="str">
        <f>IFERROR(VLOOKUP(E276,'INVONTERY FEB'!$B$6:$C$432,2,FALSE),"")</f>
        <v/>
      </c>
      <c r="G276" s="99" t="str">
        <f>IFERROR(VLOOKUP(E276,'INVONTERY FEB'!$B$6:$D$131,3,FALSE),"")</f>
        <v/>
      </c>
      <c r="H276" s="108"/>
      <c r="I276" s="101">
        <f t="shared" si="1"/>
        <v>0</v>
      </c>
      <c r="J276" s="102"/>
      <c r="K276" s="120"/>
    </row>
    <row r="277" ht="15.75" customHeight="1">
      <c r="A277" s="93"/>
      <c r="B277" s="119"/>
      <c r="C277" s="115"/>
      <c r="D277" s="116"/>
      <c r="E277" s="97" t="str">
        <f>IFERROR(VLOOKUP(D277,'INVONTERY FEB'!$A$6:$B$432,2,FALSE),"")</f>
        <v/>
      </c>
      <c r="F277" s="98" t="str">
        <f>IFERROR(VLOOKUP(E277,'INVONTERY FEB'!$B$6:$C$432,2,FALSE),"")</f>
        <v/>
      </c>
      <c r="G277" s="99" t="str">
        <f>IFERROR(VLOOKUP(E277,'INVONTERY FEB'!$B$6:$D$131,3,FALSE),"")</f>
        <v/>
      </c>
      <c r="H277" s="108"/>
      <c r="I277" s="101">
        <f t="shared" si="1"/>
        <v>0</v>
      </c>
      <c r="J277" s="102"/>
      <c r="K277" s="120"/>
    </row>
    <row r="278" ht="15.75" customHeight="1">
      <c r="A278" s="93"/>
      <c r="B278" s="119"/>
      <c r="C278" s="115"/>
      <c r="D278" s="116"/>
      <c r="E278" s="97" t="str">
        <f>IFERROR(VLOOKUP(D278,'INVONTERY FEB'!$A$6:$B$432,2,FALSE),"")</f>
        <v/>
      </c>
      <c r="F278" s="98" t="str">
        <f>IFERROR(VLOOKUP(E278,'INVONTERY FEB'!$B$6:$C$432,2,FALSE),"")</f>
        <v/>
      </c>
      <c r="G278" s="99" t="str">
        <f>IFERROR(VLOOKUP(E278,'INVONTERY FEB'!$B$6:$D$131,3,FALSE),"")</f>
        <v/>
      </c>
      <c r="H278" s="108"/>
      <c r="I278" s="101">
        <f t="shared" si="1"/>
        <v>0</v>
      </c>
      <c r="J278" s="102"/>
      <c r="K278" s="120"/>
    </row>
    <row r="279" ht="15.75" customHeight="1">
      <c r="A279" s="93"/>
      <c r="B279" s="119"/>
      <c r="C279" s="115"/>
      <c r="D279" s="116"/>
      <c r="E279" s="97" t="str">
        <f>IFERROR(VLOOKUP(D279,'INVONTERY FEB'!$A$6:$B$432,2,FALSE),"")</f>
        <v/>
      </c>
      <c r="F279" s="98" t="str">
        <f>IFERROR(VLOOKUP(E279,'INVONTERY FEB'!$B$6:$C$432,2,FALSE),"")</f>
        <v/>
      </c>
      <c r="G279" s="99" t="str">
        <f>IFERROR(VLOOKUP(E279,'INVONTERY FEB'!$B$6:$D$131,3,FALSE),"")</f>
        <v/>
      </c>
      <c r="H279" s="108"/>
      <c r="I279" s="101">
        <f t="shared" si="1"/>
        <v>0</v>
      </c>
      <c r="J279" s="102"/>
      <c r="K279" s="120"/>
    </row>
    <row r="280" ht="15.75" customHeight="1">
      <c r="A280" s="93"/>
      <c r="B280" s="119"/>
      <c r="C280" s="115"/>
      <c r="D280" s="116"/>
      <c r="E280" s="97" t="str">
        <f>IFERROR(VLOOKUP(D280,'INVONTERY FEB'!$A$6:$B$432,2,FALSE),"")</f>
        <v/>
      </c>
      <c r="F280" s="98" t="str">
        <f>IFERROR(VLOOKUP(E280,'INVONTERY FEB'!$B$6:$C$432,2,FALSE),"")</f>
        <v/>
      </c>
      <c r="G280" s="99" t="str">
        <f>IFERROR(VLOOKUP(E280,'INVONTERY FEB'!$B$6:$D$131,3,FALSE),"")</f>
        <v/>
      </c>
      <c r="H280" s="108"/>
      <c r="I280" s="101">
        <f t="shared" si="1"/>
        <v>0</v>
      </c>
      <c r="J280" s="102"/>
      <c r="K280" s="120"/>
    </row>
    <row r="281" ht="15.75" customHeight="1">
      <c r="A281" s="93"/>
      <c r="B281" s="119"/>
      <c r="C281" s="115"/>
      <c r="D281" s="116"/>
      <c r="E281" s="97" t="str">
        <f>IFERROR(VLOOKUP(D281,'INVONTERY FEB'!$A$6:$B$432,2,FALSE),"")</f>
        <v/>
      </c>
      <c r="F281" s="98" t="str">
        <f>IFERROR(VLOOKUP(E281,'INVONTERY FEB'!$B$6:$C$432,2,FALSE),"")</f>
        <v/>
      </c>
      <c r="G281" s="99" t="str">
        <f>IFERROR(VLOOKUP(E281,'INVONTERY FEB'!$B$6:$D$131,3,FALSE),"")</f>
        <v/>
      </c>
      <c r="H281" s="108"/>
      <c r="I281" s="101">
        <f t="shared" si="1"/>
        <v>0</v>
      </c>
      <c r="J281" s="102"/>
      <c r="K281" s="120"/>
    </row>
    <row r="282" ht="15.75" customHeight="1">
      <c r="A282" s="93"/>
      <c r="B282" s="119"/>
      <c r="C282" s="115"/>
      <c r="D282" s="116"/>
      <c r="E282" s="97" t="str">
        <f>IFERROR(VLOOKUP(D282,'INVONTERY FEB'!$A$6:$B$432,2,FALSE),"")</f>
        <v/>
      </c>
      <c r="F282" s="98" t="str">
        <f>IFERROR(VLOOKUP(E282,'INVONTERY FEB'!$B$6:$C$432,2,FALSE),"")</f>
        <v/>
      </c>
      <c r="G282" s="99" t="str">
        <f>IFERROR(VLOOKUP(E282,'INVONTERY FEB'!$B$6:$D$131,3,FALSE),"")</f>
        <v/>
      </c>
      <c r="H282" s="108"/>
      <c r="I282" s="101">
        <f t="shared" si="1"/>
        <v>0</v>
      </c>
      <c r="J282" s="102"/>
      <c r="K282" s="120"/>
    </row>
    <row r="283" ht="15.75" customHeight="1">
      <c r="A283" s="93"/>
      <c r="B283" s="119"/>
      <c r="C283" s="115"/>
      <c r="D283" s="116"/>
      <c r="E283" s="97" t="str">
        <f>IFERROR(VLOOKUP(D283,'INVONTERY FEB'!$A$6:$B$432,2,FALSE),"")</f>
        <v/>
      </c>
      <c r="F283" s="98" t="str">
        <f>IFERROR(VLOOKUP(E283,'INVONTERY FEB'!$B$6:$C$432,2,FALSE),"")</f>
        <v/>
      </c>
      <c r="G283" s="99" t="str">
        <f>IFERROR(VLOOKUP(E283,'INVONTERY FEB'!$B$6:$D$131,3,FALSE),"")</f>
        <v/>
      </c>
      <c r="H283" s="108"/>
      <c r="I283" s="101">
        <f t="shared" si="1"/>
        <v>0</v>
      </c>
      <c r="J283" s="102"/>
      <c r="K283" s="120"/>
    </row>
    <row r="284" ht="15.75" customHeight="1">
      <c r="A284" s="93"/>
      <c r="B284" s="119"/>
      <c r="C284" s="115"/>
      <c r="D284" s="116"/>
      <c r="E284" s="97" t="str">
        <f>IFERROR(VLOOKUP(D284,'INVONTERY FEB'!$A$6:$B$432,2,FALSE),"")</f>
        <v/>
      </c>
      <c r="F284" s="98" t="str">
        <f>IFERROR(VLOOKUP(E284,'INVONTERY FEB'!$B$6:$C$432,2,FALSE),"")</f>
        <v/>
      </c>
      <c r="G284" s="99" t="str">
        <f>IFERROR(VLOOKUP(E284,'INVONTERY FEB'!$B$6:$D$131,3,FALSE),"")</f>
        <v/>
      </c>
      <c r="H284" s="108"/>
      <c r="I284" s="101">
        <f t="shared" si="1"/>
        <v>0</v>
      </c>
      <c r="J284" s="102"/>
      <c r="K284" s="120"/>
    </row>
    <row r="285" ht="15.75" customHeight="1">
      <c r="A285" s="93"/>
      <c r="B285" s="119"/>
      <c r="C285" s="115"/>
      <c r="D285" s="116"/>
      <c r="E285" s="97" t="str">
        <f>IFERROR(VLOOKUP(D285,'INVONTERY FEB'!$A$6:$B$432,2,FALSE),"")</f>
        <v/>
      </c>
      <c r="F285" s="98" t="str">
        <f>IFERROR(VLOOKUP(E285,'INVONTERY FEB'!$B$6:$C$432,2,FALSE),"")</f>
        <v/>
      </c>
      <c r="G285" s="99" t="str">
        <f>IFERROR(VLOOKUP(E285,'INVONTERY FEB'!$B$6:$D$131,3,FALSE),"")</f>
        <v/>
      </c>
      <c r="H285" s="108"/>
      <c r="I285" s="101">
        <f t="shared" si="1"/>
        <v>0</v>
      </c>
      <c r="J285" s="102"/>
      <c r="K285" s="120"/>
    </row>
    <row r="286" ht="15.75" customHeight="1">
      <c r="A286" s="93"/>
      <c r="B286" s="119"/>
      <c r="C286" s="115"/>
      <c r="D286" s="116"/>
      <c r="E286" s="97" t="str">
        <f>IFERROR(VLOOKUP(D286,'INVONTERY FEB'!$A$6:$B$432,2,FALSE),"")</f>
        <v/>
      </c>
      <c r="F286" s="98" t="str">
        <f>IFERROR(VLOOKUP(E286,'INVONTERY FEB'!$B$6:$C$432,2,FALSE),"")</f>
        <v/>
      </c>
      <c r="G286" s="99" t="str">
        <f>IFERROR(VLOOKUP(E286,'INVONTERY FEB'!$B$6:$D$131,3,FALSE),"")</f>
        <v/>
      </c>
      <c r="H286" s="108"/>
      <c r="I286" s="101">
        <f t="shared" si="1"/>
        <v>0</v>
      </c>
      <c r="J286" s="102"/>
      <c r="K286" s="120"/>
    </row>
    <row r="287" ht="15.75" customHeight="1">
      <c r="A287" s="93"/>
      <c r="B287" s="119"/>
      <c r="C287" s="115"/>
      <c r="D287" s="116"/>
      <c r="E287" s="97" t="str">
        <f>IFERROR(VLOOKUP(D287,'INVONTERY FEB'!$A$6:$B$432,2,FALSE),"")</f>
        <v/>
      </c>
      <c r="F287" s="98" t="str">
        <f>IFERROR(VLOOKUP(E287,'INVONTERY FEB'!$B$6:$C$432,2,FALSE),"")</f>
        <v/>
      </c>
      <c r="G287" s="99" t="str">
        <f>IFERROR(VLOOKUP(E287,'INVONTERY FEB'!$B$6:$D$131,3,FALSE),"")</f>
        <v/>
      </c>
      <c r="H287" s="108"/>
      <c r="I287" s="101">
        <f t="shared" si="1"/>
        <v>0</v>
      </c>
      <c r="J287" s="102"/>
      <c r="K287" s="120"/>
    </row>
    <row r="288" ht="15.75" customHeight="1">
      <c r="A288" s="93"/>
      <c r="B288" s="119"/>
      <c r="C288" s="115"/>
      <c r="D288" s="116"/>
      <c r="E288" s="97" t="str">
        <f>IFERROR(VLOOKUP(D288,'INVONTERY FEB'!$A$6:$B$432,2,FALSE),"")</f>
        <v/>
      </c>
      <c r="F288" s="98" t="str">
        <f>IFERROR(VLOOKUP(E288,'INVONTERY FEB'!$B$6:$C$432,2,FALSE),"")</f>
        <v/>
      </c>
      <c r="G288" s="99" t="str">
        <f>IFERROR(VLOOKUP(E288,'INVONTERY FEB'!$B$6:$D$131,3,FALSE),"")</f>
        <v/>
      </c>
      <c r="H288" s="108"/>
      <c r="I288" s="101">
        <f t="shared" si="1"/>
        <v>0</v>
      </c>
      <c r="J288" s="102"/>
      <c r="K288" s="120"/>
    </row>
    <row r="289" ht="15.75" customHeight="1">
      <c r="A289" s="93"/>
      <c r="B289" s="119"/>
      <c r="C289" s="115"/>
      <c r="D289" s="116"/>
      <c r="E289" s="97" t="str">
        <f>IFERROR(VLOOKUP(D289,'INVONTERY FEB'!$A$6:$B$432,2,FALSE),"")</f>
        <v/>
      </c>
      <c r="F289" s="98" t="str">
        <f>IFERROR(VLOOKUP(E289,'INVONTERY FEB'!$B$6:$C$432,2,FALSE),"")</f>
        <v/>
      </c>
      <c r="G289" s="99" t="str">
        <f>IFERROR(VLOOKUP(E289,'INVONTERY FEB'!$B$6:$D$131,3,FALSE),"")</f>
        <v/>
      </c>
      <c r="H289" s="108"/>
      <c r="I289" s="101">
        <f t="shared" si="1"/>
        <v>0</v>
      </c>
      <c r="J289" s="102"/>
      <c r="K289" s="120"/>
    </row>
    <row r="290" ht="15.75" customHeight="1">
      <c r="A290" s="93"/>
      <c r="B290" s="119"/>
      <c r="C290" s="115"/>
      <c r="D290" s="116"/>
      <c r="E290" s="97" t="str">
        <f>IFERROR(VLOOKUP(D290,'INVONTERY FEB'!$A$6:$B$432,2,FALSE),"")</f>
        <v/>
      </c>
      <c r="F290" s="98" t="str">
        <f>IFERROR(VLOOKUP(E290,'INVONTERY FEB'!$B$6:$C$432,2,FALSE),"")</f>
        <v/>
      </c>
      <c r="G290" s="99" t="str">
        <f>IFERROR(VLOOKUP(E290,'INVONTERY FEB'!$B$6:$D$131,3,FALSE),"")</f>
        <v/>
      </c>
      <c r="H290" s="108"/>
      <c r="I290" s="101">
        <f t="shared" si="1"/>
        <v>0</v>
      </c>
      <c r="J290" s="102"/>
      <c r="K290" s="120"/>
    </row>
    <row r="291" ht="15.75" customHeight="1">
      <c r="A291" s="93"/>
      <c r="B291" s="119"/>
      <c r="C291" s="115"/>
      <c r="D291" s="116"/>
      <c r="E291" s="97" t="str">
        <f>IFERROR(VLOOKUP(D291,'INVONTERY FEB'!$A$6:$B$432,2,FALSE),"")</f>
        <v/>
      </c>
      <c r="F291" s="98" t="str">
        <f>IFERROR(VLOOKUP(E291,'INVONTERY FEB'!$B$6:$C$432,2,FALSE),"")</f>
        <v/>
      </c>
      <c r="G291" s="99" t="str">
        <f>IFERROR(VLOOKUP(E291,'INVONTERY FEB'!$B$6:$D$131,3,FALSE),"")</f>
        <v/>
      </c>
      <c r="H291" s="108"/>
      <c r="I291" s="101">
        <f t="shared" si="1"/>
        <v>0</v>
      </c>
      <c r="J291" s="102"/>
      <c r="K291" s="120"/>
    </row>
    <row r="292" ht="15.75" customHeight="1">
      <c r="A292" s="93"/>
      <c r="B292" s="119"/>
      <c r="C292" s="115"/>
      <c r="D292" s="116"/>
      <c r="E292" s="97" t="str">
        <f>IFERROR(VLOOKUP(D292,'INVONTERY FEB'!$A$6:$B$432,2,FALSE),"")</f>
        <v/>
      </c>
      <c r="F292" s="98" t="str">
        <f>IFERROR(VLOOKUP(E292,'INVONTERY FEB'!$B$6:$C$432,2,FALSE),"")</f>
        <v/>
      </c>
      <c r="G292" s="99" t="str">
        <f>IFERROR(VLOOKUP(E292,'INVONTERY FEB'!$B$6:$D$131,3,FALSE),"")</f>
        <v/>
      </c>
      <c r="H292" s="108"/>
      <c r="I292" s="101">
        <f t="shared" si="1"/>
        <v>0</v>
      </c>
      <c r="J292" s="102"/>
      <c r="K292" s="120"/>
    </row>
    <row r="293" ht="15.75" customHeight="1">
      <c r="A293" s="93"/>
      <c r="B293" s="119"/>
      <c r="C293" s="115"/>
      <c r="D293" s="116"/>
      <c r="E293" s="97" t="str">
        <f>IFERROR(VLOOKUP(D293,'INVONTERY FEB'!$A$6:$B$432,2,FALSE),"")</f>
        <v/>
      </c>
      <c r="F293" s="98" t="str">
        <f>IFERROR(VLOOKUP(E293,'INVONTERY FEB'!$B$6:$C$432,2,FALSE),"")</f>
        <v/>
      </c>
      <c r="G293" s="99" t="str">
        <f>IFERROR(VLOOKUP(E293,'INVONTERY FEB'!$B$6:$D$131,3,FALSE),"")</f>
        <v/>
      </c>
      <c r="H293" s="108"/>
      <c r="I293" s="101">
        <f t="shared" si="1"/>
        <v>0</v>
      </c>
      <c r="J293" s="102"/>
      <c r="K293" s="120"/>
    </row>
    <row r="294" ht="15.75" customHeight="1">
      <c r="A294" s="93"/>
      <c r="B294" s="119"/>
      <c r="C294" s="115"/>
      <c r="D294" s="116"/>
      <c r="E294" s="97" t="str">
        <f>IFERROR(VLOOKUP(D294,'INVONTERY FEB'!$A$6:$B$432,2,FALSE),"")</f>
        <v/>
      </c>
      <c r="F294" s="98" t="str">
        <f>IFERROR(VLOOKUP(E294,'INVONTERY FEB'!$B$6:$C$432,2,FALSE),"")</f>
        <v/>
      </c>
      <c r="G294" s="99" t="str">
        <f>IFERROR(VLOOKUP(E294,'INVONTERY FEB'!$B$6:$D$131,3,FALSE),"")</f>
        <v/>
      </c>
      <c r="H294" s="108"/>
      <c r="I294" s="101">
        <f t="shared" si="1"/>
        <v>0</v>
      </c>
      <c r="J294" s="102"/>
      <c r="K294" s="120"/>
    </row>
    <row r="295" ht="15.75" customHeight="1">
      <c r="A295" s="93"/>
      <c r="B295" s="119"/>
      <c r="C295" s="115"/>
      <c r="D295" s="116"/>
      <c r="E295" s="97" t="str">
        <f>IFERROR(VLOOKUP(D295,'INVONTERY FEB'!$A$6:$B$432,2,FALSE),"")</f>
        <v/>
      </c>
      <c r="F295" s="98" t="str">
        <f>IFERROR(VLOOKUP(E295,'INVONTERY FEB'!$B$6:$C$432,2,FALSE),"")</f>
        <v/>
      </c>
      <c r="G295" s="99" t="str">
        <f>IFERROR(VLOOKUP(E295,'INVONTERY FEB'!$B$6:$D$131,3,FALSE),"")</f>
        <v/>
      </c>
      <c r="H295" s="108"/>
      <c r="I295" s="101">
        <f t="shared" si="1"/>
        <v>0</v>
      </c>
      <c r="J295" s="102"/>
      <c r="K295" s="120"/>
    </row>
    <row r="296" ht="15.75" customHeight="1">
      <c r="A296" s="93"/>
      <c r="B296" s="119"/>
      <c r="C296" s="115"/>
      <c r="D296" s="116"/>
      <c r="E296" s="97" t="str">
        <f>IFERROR(VLOOKUP(D296,'INVONTERY FEB'!$A$6:$B$432,2,FALSE),"")</f>
        <v/>
      </c>
      <c r="F296" s="98" t="str">
        <f>IFERROR(VLOOKUP(E296,'INVONTERY FEB'!$B$6:$C$432,2,FALSE),"")</f>
        <v/>
      </c>
      <c r="G296" s="99" t="str">
        <f>IFERROR(VLOOKUP(E296,'INVONTERY FEB'!$B$6:$D$131,3,FALSE),"")</f>
        <v/>
      </c>
      <c r="H296" s="108"/>
      <c r="I296" s="101">
        <f t="shared" si="1"/>
        <v>0</v>
      </c>
      <c r="J296" s="102"/>
      <c r="K296" s="120"/>
    </row>
    <row r="297" ht="15.75" customHeight="1">
      <c r="A297" s="93"/>
      <c r="B297" s="119"/>
      <c r="C297" s="115"/>
      <c r="D297" s="116"/>
      <c r="E297" s="97" t="str">
        <f>IFERROR(VLOOKUP(D297,'INVONTERY FEB'!$A$6:$B$432,2,FALSE),"")</f>
        <v/>
      </c>
      <c r="F297" s="98" t="str">
        <f>IFERROR(VLOOKUP(E297,'INVONTERY FEB'!$B$6:$C$432,2,FALSE),"")</f>
        <v/>
      </c>
      <c r="G297" s="99" t="str">
        <f>IFERROR(VLOOKUP(E297,'INVONTERY FEB'!$B$6:$D$131,3,FALSE),"")</f>
        <v/>
      </c>
      <c r="H297" s="108"/>
      <c r="I297" s="101">
        <f t="shared" si="1"/>
        <v>0</v>
      </c>
      <c r="J297" s="102"/>
      <c r="K297" s="120"/>
    </row>
    <row r="298" ht="15.75" customHeight="1">
      <c r="A298" s="93"/>
      <c r="B298" s="119"/>
      <c r="C298" s="115"/>
      <c r="D298" s="116"/>
      <c r="E298" s="97" t="str">
        <f>IFERROR(VLOOKUP(D298,'INVONTERY FEB'!$A$6:$B$432,2,FALSE),"")</f>
        <v/>
      </c>
      <c r="F298" s="98" t="str">
        <f>IFERROR(VLOOKUP(E298,'INVONTERY FEB'!$B$6:$C$432,2,FALSE),"")</f>
        <v/>
      </c>
      <c r="G298" s="99" t="str">
        <f>IFERROR(VLOOKUP(E298,'INVONTERY FEB'!$B$6:$D$131,3,FALSE),"")</f>
        <v/>
      </c>
      <c r="H298" s="108"/>
      <c r="I298" s="101">
        <f t="shared" si="1"/>
        <v>0</v>
      </c>
      <c r="J298" s="102"/>
      <c r="K298" s="120"/>
    </row>
    <row r="299" ht="15.75" customHeight="1">
      <c r="A299" s="93"/>
      <c r="B299" s="119"/>
      <c r="C299" s="115"/>
      <c r="D299" s="116"/>
      <c r="E299" s="97" t="str">
        <f>IFERROR(VLOOKUP(D299,'INVONTERY FEB'!$A$6:$B$432,2,FALSE),"")</f>
        <v/>
      </c>
      <c r="F299" s="98" t="str">
        <f>IFERROR(VLOOKUP(E299,'INVONTERY FEB'!$B$6:$C$432,2,FALSE),"")</f>
        <v/>
      </c>
      <c r="G299" s="99" t="str">
        <f>IFERROR(VLOOKUP(E299,'INVONTERY FEB'!$B$6:$D$131,3,FALSE),"")</f>
        <v/>
      </c>
      <c r="H299" s="108"/>
      <c r="I299" s="101">
        <f t="shared" si="1"/>
        <v>0</v>
      </c>
      <c r="J299" s="102"/>
      <c r="K299" s="120"/>
    </row>
    <row r="300" ht="15.75" customHeight="1">
      <c r="A300" s="93"/>
      <c r="B300" s="119"/>
      <c r="C300" s="115"/>
      <c r="D300" s="116"/>
      <c r="E300" s="97" t="str">
        <f>IFERROR(VLOOKUP(D300,'INVONTERY FEB'!$A$6:$B$432,2,FALSE),"")</f>
        <v/>
      </c>
      <c r="F300" s="98" t="str">
        <f>IFERROR(VLOOKUP(E300,'INVONTERY FEB'!$B$6:$C$432,2,FALSE),"")</f>
        <v/>
      </c>
      <c r="G300" s="99" t="str">
        <f>IFERROR(VLOOKUP(E300,'INVONTERY FEB'!$B$6:$D$131,3,FALSE),"")</f>
        <v/>
      </c>
      <c r="H300" s="108"/>
      <c r="I300" s="101">
        <f t="shared" si="1"/>
        <v>0</v>
      </c>
      <c r="J300" s="102"/>
      <c r="K300" s="120"/>
    </row>
    <row r="301" ht="15.75" customHeight="1">
      <c r="A301" s="93"/>
      <c r="B301" s="119"/>
      <c r="C301" s="115"/>
      <c r="D301" s="116"/>
      <c r="E301" s="97" t="str">
        <f>IFERROR(VLOOKUP(D301,'INVONTERY FEB'!$A$6:$B$432,2,FALSE),"")</f>
        <v/>
      </c>
      <c r="F301" s="98" t="str">
        <f>IFERROR(VLOOKUP(E301,'INVONTERY FEB'!$B$6:$C$432,2,FALSE),"")</f>
        <v/>
      </c>
      <c r="G301" s="99" t="str">
        <f>IFERROR(VLOOKUP(E301,'INVONTERY FEB'!$B$6:$D$131,3,FALSE),"")</f>
        <v/>
      </c>
      <c r="H301" s="108"/>
      <c r="I301" s="101">
        <f t="shared" si="1"/>
        <v>0</v>
      </c>
      <c r="J301" s="102"/>
      <c r="K301" s="120"/>
    </row>
    <row r="302" ht="15.75" customHeight="1">
      <c r="A302" s="93"/>
      <c r="B302" s="119"/>
      <c r="C302" s="115"/>
      <c r="D302" s="116"/>
      <c r="E302" s="97" t="str">
        <f>IFERROR(VLOOKUP(D302,'INVONTERY FEB'!$A$6:$B$432,2,FALSE),"")</f>
        <v/>
      </c>
      <c r="F302" s="98" t="str">
        <f>IFERROR(VLOOKUP(E302,'INVONTERY FEB'!$B$6:$C$432,2,FALSE),"")</f>
        <v/>
      </c>
      <c r="G302" s="99" t="str">
        <f>IFERROR(VLOOKUP(E302,'INVONTERY FEB'!$B$6:$D$131,3,FALSE),"")</f>
        <v/>
      </c>
      <c r="H302" s="108"/>
      <c r="I302" s="101">
        <f t="shared" si="1"/>
        <v>0</v>
      </c>
      <c r="J302" s="102"/>
      <c r="K302" s="120"/>
    </row>
    <row r="303" ht="15.75" customHeight="1">
      <c r="A303" s="93"/>
      <c r="B303" s="119"/>
      <c r="C303" s="115"/>
      <c r="D303" s="116"/>
      <c r="E303" s="97" t="str">
        <f>IFERROR(VLOOKUP(D303,'INVONTERY FEB'!$A$6:$B$432,2,FALSE),"")</f>
        <v/>
      </c>
      <c r="F303" s="98" t="str">
        <f>IFERROR(VLOOKUP(E303,'INVONTERY FEB'!$B$6:$C$432,2,FALSE),"")</f>
        <v/>
      </c>
      <c r="G303" s="99" t="str">
        <f>IFERROR(VLOOKUP(E303,'INVONTERY FEB'!$B$6:$D$131,3,FALSE),"")</f>
        <v/>
      </c>
      <c r="H303" s="108"/>
      <c r="I303" s="101">
        <f t="shared" si="1"/>
        <v>0</v>
      </c>
      <c r="J303" s="102"/>
      <c r="K303" s="120"/>
    </row>
    <row r="304" ht="15.75" customHeight="1">
      <c r="A304" s="93"/>
      <c r="B304" s="119"/>
      <c r="C304" s="115"/>
      <c r="D304" s="116"/>
      <c r="E304" s="97" t="str">
        <f>IFERROR(VLOOKUP(D304,'INVONTERY FEB'!$A$6:$B$432,2,FALSE),"")</f>
        <v/>
      </c>
      <c r="F304" s="98" t="str">
        <f>IFERROR(VLOOKUP(E304,'INVONTERY FEB'!$B$6:$C$432,2,FALSE),"")</f>
        <v/>
      </c>
      <c r="G304" s="99" t="str">
        <f>IFERROR(VLOOKUP(E304,'INVONTERY FEB'!$B$6:$D$131,3,FALSE),"")</f>
        <v/>
      </c>
      <c r="H304" s="108"/>
      <c r="I304" s="101">
        <f t="shared" si="1"/>
        <v>0</v>
      </c>
      <c r="J304" s="102"/>
      <c r="K304" s="120"/>
    </row>
    <row r="305" ht="15.75" customHeight="1">
      <c r="A305" s="93"/>
      <c r="B305" s="119"/>
      <c r="C305" s="115"/>
      <c r="D305" s="116"/>
      <c r="E305" s="97" t="str">
        <f>IFERROR(VLOOKUP(D305,'INVONTERY FEB'!$A$6:$B$432,2,FALSE),"")</f>
        <v/>
      </c>
      <c r="F305" s="98" t="str">
        <f>IFERROR(VLOOKUP(E305,'INVONTERY FEB'!$B$6:$C$432,2,FALSE),"")</f>
        <v/>
      </c>
      <c r="G305" s="99" t="str">
        <f>IFERROR(VLOOKUP(E305,'INVONTERY FEB'!$B$6:$D$131,3,FALSE),"")</f>
        <v/>
      </c>
      <c r="H305" s="108"/>
      <c r="I305" s="101">
        <f t="shared" si="1"/>
        <v>0</v>
      </c>
      <c r="J305" s="102"/>
      <c r="K305" s="120"/>
    </row>
    <row r="306" ht="15.75" customHeight="1">
      <c r="A306" s="93"/>
      <c r="B306" s="97"/>
      <c r="C306" s="115"/>
      <c r="D306" s="116"/>
      <c r="E306" s="97" t="str">
        <f>IFERROR(VLOOKUP(D306,'INVONTERY FEB'!$A$6:$B$432,2,FALSE),"")</f>
        <v/>
      </c>
      <c r="F306" s="98" t="str">
        <f>IFERROR(VLOOKUP(E306,'INVONTERY FEB'!$B$6:$C$432,2,FALSE),"")</f>
        <v/>
      </c>
      <c r="G306" s="99" t="str">
        <f>IFERROR(VLOOKUP(E306,'INVONTERY FEB'!$B$6:$D$131,3,FALSE),"")</f>
        <v/>
      </c>
      <c r="H306" s="108"/>
      <c r="I306" s="101">
        <f t="shared" si="1"/>
        <v>0</v>
      </c>
      <c r="J306" s="102"/>
      <c r="K306" s="120"/>
    </row>
    <row r="307" ht="15.75" customHeight="1">
      <c r="A307" s="93"/>
      <c r="B307" s="97"/>
      <c r="C307" s="115"/>
      <c r="D307" s="116"/>
      <c r="E307" s="97" t="str">
        <f>IFERROR(VLOOKUP(D307,'INVONTERY FEB'!$A$6:$B$432,2,FALSE),"")</f>
        <v/>
      </c>
      <c r="F307" s="98" t="str">
        <f>IFERROR(VLOOKUP(E307,'INVONTERY FEB'!$B$6:$C$432,2,FALSE),"")</f>
        <v/>
      </c>
      <c r="G307" s="99" t="str">
        <f>IFERROR(VLOOKUP(E307,'INVONTERY FEB'!$B$6:$D$131,3,FALSE),"")</f>
        <v/>
      </c>
      <c r="H307" s="108"/>
      <c r="I307" s="101">
        <f t="shared" si="1"/>
        <v>0</v>
      </c>
      <c r="J307" s="102"/>
      <c r="K307" s="120"/>
    </row>
    <row r="308" ht="15.75" customHeight="1">
      <c r="A308" s="93"/>
      <c r="B308" s="97"/>
      <c r="C308" s="115"/>
      <c r="D308" s="116"/>
      <c r="E308" s="97" t="str">
        <f>IFERROR(VLOOKUP(D308,'INVONTERY FEB'!$A$6:$B$432,2,FALSE),"")</f>
        <v/>
      </c>
      <c r="F308" s="98" t="str">
        <f>IFERROR(VLOOKUP(E308,'INVONTERY FEB'!$B$6:$C$432,2,FALSE),"")</f>
        <v/>
      </c>
      <c r="G308" s="99" t="str">
        <f>IFERROR(VLOOKUP(E308,'INVONTERY FEB'!$B$6:$D$131,3,FALSE),"")</f>
        <v/>
      </c>
      <c r="H308" s="108"/>
      <c r="I308" s="101">
        <f t="shared" si="1"/>
        <v>0</v>
      </c>
      <c r="J308" s="102"/>
      <c r="K308" s="120"/>
    </row>
    <row r="309" ht="15.75" customHeight="1">
      <c r="A309" s="93"/>
      <c r="B309" s="97"/>
      <c r="C309" s="115"/>
      <c r="D309" s="116"/>
      <c r="E309" s="97" t="str">
        <f>IFERROR(VLOOKUP(D309,'INVONTERY FEB'!$A$6:$B$432,2,FALSE),"")</f>
        <v/>
      </c>
      <c r="F309" s="98" t="str">
        <f>IFERROR(VLOOKUP(E309,'INVONTERY FEB'!$B$6:$C$432,2,FALSE),"")</f>
        <v/>
      </c>
      <c r="G309" s="99" t="str">
        <f>IFERROR(VLOOKUP(E309,'INVONTERY FEB'!$B$6:$D$131,3,FALSE),"")</f>
        <v/>
      </c>
      <c r="H309" s="108"/>
      <c r="I309" s="101">
        <f t="shared" si="1"/>
        <v>0</v>
      </c>
      <c r="J309" s="102"/>
      <c r="K309" s="120"/>
    </row>
    <row r="310" ht="15.75" customHeight="1">
      <c r="A310" s="93"/>
      <c r="B310" s="97"/>
      <c r="C310" s="115"/>
      <c r="D310" s="116"/>
      <c r="E310" s="97" t="str">
        <f>IFERROR(VLOOKUP(D310,'INVONTERY FEB'!$A$6:$B$432,2,FALSE),"")</f>
        <v/>
      </c>
      <c r="F310" s="98" t="str">
        <f>IFERROR(VLOOKUP(E310,'INVONTERY FEB'!$B$6:$C$432,2,FALSE),"")</f>
        <v/>
      </c>
      <c r="G310" s="99" t="str">
        <f>IFERROR(VLOOKUP(E310,'INVONTERY FEB'!$B$6:$D$131,3,FALSE),"")</f>
        <v/>
      </c>
      <c r="H310" s="108"/>
      <c r="I310" s="101">
        <f t="shared" si="1"/>
        <v>0</v>
      </c>
      <c r="J310" s="102"/>
      <c r="K310" s="120"/>
    </row>
    <row r="311" ht="15.75" customHeight="1">
      <c r="A311" s="93"/>
      <c r="B311" s="97"/>
      <c r="C311" s="115"/>
      <c r="D311" s="116"/>
      <c r="E311" s="97" t="str">
        <f>IFERROR(VLOOKUP(D311,'INVONTERY FEB'!$A$6:$B$432,2,FALSE),"")</f>
        <v/>
      </c>
      <c r="F311" s="98" t="str">
        <f>IFERROR(VLOOKUP(E311,'INVONTERY FEB'!$B$6:$C$432,2,FALSE),"")</f>
        <v/>
      </c>
      <c r="G311" s="99" t="str">
        <f>IFERROR(VLOOKUP(E311,'INVONTERY FEB'!$B$6:$D$131,3,FALSE),"")</f>
        <v/>
      </c>
      <c r="H311" s="108"/>
      <c r="I311" s="101">
        <f t="shared" si="1"/>
        <v>0</v>
      </c>
      <c r="J311" s="102"/>
      <c r="K311" s="120"/>
    </row>
    <row r="312" ht="15.75" customHeight="1">
      <c r="A312" s="93"/>
      <c r="B312" s="97"/>
      <c r="C312" s="115"/>
      <c r="D312" s="116"/>
      <c r="E312" s="97" t="str">
        <f>IFERROR(VLOOKUP(D312,'INVONTERY FEB'!$A$6:$B$432,2,FALSE),"")</f>
        <v/>
      </c>
      <c r="F312" s="98" t="str">
        <f>IFERROR(VLOOKUP(E312,'INVONTERY FEB'!$B$6:$C$432,2,FALSE),"")</f>
        <v/>
      </c>
      <c r="G312" s="99" t="str">
        <f>IFERROR(VLOOKUP(E312,'INVONTERY FEB'!$B$6:$D$131,3,FALSE),"")</f>
        <v/>
      </c>
      <c r="H312" s="108"/>
      <c r="I312" s="101">
        <f t="shared" si="1"/>
        <v>0</v>
      </c>
      <c r="J312" s="102"/>
      <c r="K312" s="120"/>
    </row>
    <row r="313" ht="15.75" customHeight="1">
      <c r="A313" s="93"/>
      <c r="B313" s="97"/>
      <c r="C313" s="115"/>
      <c r="D313" s="116"/>
      <c r="E313" s="97" t="str">
        <f>IFERROR(VLOOKUP(D313,'INVONTERY FEB'!$A$6:$B$432,2,FALSE),"")</f>
        <v/>
      </c>
      <c r="F313" s="98" t="str">
        <f>IFERROR(VLOOKUP(E313,'INVONTERY FEB'!$B$6:$C$432,2,FALSE),"")</f>
        <v/>
      </c>
      <c r="G313" s="99" t="str">
        <f>IFERROR(VLOOKUP(E313,'INVONTERY FEB'!$B$6:$D$131,3,FALSE),"")</f>
        <v/>
      </c>
      <c r="H313" s="108"/>
      <c r="I313" s="101">
        <f t="shared" si="1"/>
        <v>0</v>
      </c>
      <c r="J313" s="102"/>
      <c r="K313" s="120"/>
    </row>
    <row r="314" ht="15.75" customHeight="1">
      <c r="A314" s="93"/>
      <c r="B314" s="97"/>
      <c r="C314" s="115"/>
      <c r="D314" s="116"/>
      <c r="E314" s="97" t="str">
        <f>IFERROR(VLOOKUP(D314,'INVONTERY FEB'!$A$6:$B$432,2,FALSE),"")</f>
        <v/>
      </c>
      <c r="F314" s="98" t="str">
        <f>IFERROR(VLOOKUP(E314,'INVONTERY FEB'!$B$6:$C$432,2,FALSE),"")</f>
        <v/>
      </c>
      <c r="G314" s="99" t="str">
        <f>IFERROR(VLOOKUP(E314,'INVONTERY FEB'!$B$6:$D$131,3,FALSE),"")</f>
        <v/>
      </c>
      <c r="H314" s="108"/>
      <c r="I314" s="101">
        <f t="shared" si="1"/>
        <v>0</v>
      </c>
      <c r="J314" s="102"/>
      <c r="K314" s="120"/>
    </row>
    <row r="315" ht="15.75" customHeight="1">
      <c r="A315" s="93"/>
      <c r="B315" s="97"/>
      <c r="C315" s="115"/>
      <c r="D315" s="116"/>
      <c r="E315" s="97" t="str">
        <f>IFERROR(VLOOKUP(D315,'INVONTERY FEB'!$A$6:$B$432,2,FALSE),"")</f>
        <v/>
      </c>
      <c r="F315" s="98" t="str">
        <f>IFERROR(VLOOKUP(E315,'INVONTERY FEB'!$B$6:$C$432,2,FALSE),"")</f>
        <v/>
      </c>
      <c r="G315" s="99" t="str">
        <f>IFERROR(VLOOKUP(E315,'INVONTERY FEB'!$B$6:$D$131,3,FALSE),"")</f>
        <v/>
      </c>
      <c r="H315" s="108"/>
      <c r="I315" s="101">
        <f t="shared" si="1"/>
        <v>0</v>
      </c>
      <c r="J315" s="102"/>
      <c r="K315" s="120"/>
    </row>
    <row r="316" ht="15.75" customHeight="1">
      <c r="A316" s="93"/>
      <c r="B316" s="97"/>
      <c r="C316" s="115"/>
      <c r="D316" s="116"/>
      <c r="E316" s="97" t="str">
        <f>IFERROR(VLOOKUP(D316,'INVONTERY FEB'!$A$6:$B$432,2,FALSE),"")</f>
        <v/>
      </c>
      <c r="F316" s="98" t="str">
        <f>IFERROR(VLOOKUP(E316,'INVONTERY FEB'!$B$6:$C$432,2,FALSE),"")</f>
        <v/>
      </c>
      <c r="G316" s="99" t="str">
        <f>IFERROR(VLOOKUP(E316,'INVONTERY FEB'!$B$6:$D$131,3,FALSE),"")</f>
        <v/>
      </c>
      <c r="H316" s="108"/>
      <c r="I316" s="101">
        <f t="shared" si="1"/>
        <v>0</v>
      </c>
      <c r="J316" s="102"/>
      <c r="K316" s="120"/>
    </row>
    <row r="317" ht="15.75" customHeight="1">
      <c r="A317" s="93"/>
      <c r="B317" s="97"/>
      <c r="C317" s="115"/>
      <c r="D317" s="116"/>
      <c r="E317" s="97" t="str">
        <f>IFERROR(VLOOKUP(D317,'INVONTERY FEB'!$A$6:$B$432,2,FALSE),"")</f>
        <v/>
      </c>
      <c r="F317" s="98" t="str">
        <f>IFERROR(VLOOKUP(E317,'INVONTERY FEB'!$B$6:$C$432,2,FALSE),"")</f>
        <v/>
      </c>
      <c r="G317" s="99" t="str">
        <f>IFERROR(VLOOKUP(E317,'INVONTERY FEB'!$B$6:$D$131,3,FALSE),"")</f>
        <v/>
      </c>
      <c r="H317" s="108"/>
      <c r="I317" s="101">
        <f t="shared" si="1"/>
        <v>0</v>
      </c>
      <c r="J317" s="102"/>
      <c r="K317" s="120"/>
    </row>
    <row r="318" ht="15.75" customHeight="1">
      <c r="A318" s="93"/>
      <c r="B318" s="97"/>
      <c r="C318" s="115"/>
      <c r="D318" s="116"/>
      <c r="E318" s="97" t="str">
        <f>IFERROR(VLOOKUP(D318,'INVONTERY FEB'!$A$6:$B$432,2,FALSE),"")</f>
        <v/>
      </c>
      <c r="F318" s="98" t="str">
        <f>IFERROR(VLOOKUP(E318,'INVONTERY FEB'!$B$6:$C$432,2,FALSE),"")</f>
        <v/>
      </c>
      <c r="G318" s="99" t="str">
        <f>IFERROR(VLOOKUP(E318,'INVONTERY FEB'!$B$6:$D$131,3,FALSE),"")</f>
        <v/>
      </c>
      <c r="H318" s="108"/>
      <c r="I318" s="101">
        <f t="shared" si="1"/>
        <v>0</v>
      </c>
      <c r="J318" s="102"/>
      <c r="K318" s="120"/>
    </row>
    <row r="319" ht="15.75" customHeight="1">
      <c r="A319" s="93"/>
      <c r="B319" s="97"/>
      <c r="C319" s="115"/>
      <c r="D319" s="116"/>
      <c r="E319" s="97" t="str">
        <f>IFERROR(VLOOKUP(D319,'INVONTERY FEB'!$A$6:$B$432,2,FALSE),"")</f>
        <v/>
      </c>
      <c r="F319" s="98" t="str">
        <f>IFERROR(VLOOKUP(E319,'INVONTERY FEB'!$B$6:$C$432,2,FALSE),"")</f>
        <v/>
      </c>
      <c r="G319" s="99" t="str">
        <f>IFERROR(VLOOKUP(E319,'INVONTERY FEB'!$B$6:$D$131,3,FALSE),"")</f>
        <v/>
      </c>
      <c r="H319" s="108"/>
      <c r="I319" s="101">
        <f t="shared" si="1"/>
        <v>0</v>
      </c>
      <c r="J319" s="102"/>
      <c r="K319" s="120"/>
    </row>
    <row r="320" ht="15.75" customHeight="1">
      <c r="A320" s="93"/>
      <c r="B320" s="97"/>
      <c r="C320" s="115"/>
      <c r="D320" s="116"/>
      <c r="E320" s="97" t="str">
        <f>IFERROR(VLOOKUP(D320,'INVONTERY FEB'!$A$6:$B$432,2,FALSE),"")</f>
        <v/>
      </c>
      <c r="F320" s="98" t="str">
        <f>IFERROR(VLOOKUP(E320,'INVONTERY FEB'!$B$6:$C$432,2,FALSE),"")</f>
        <v/>
      </c>
      <c r="G320" s="99" t="str">
        <f>IFERROR(VLOOKUP(E320,'INVONTERY FEB'!$B$6:$D$131,3,FALSE),"")</f>
        <v/>
      </c>
      <c r="H320" s="108"/>
      <c r="I320" s="101">
        <f t="shared" si="1"/>
        <v>0</v>
      </c>
      <c r="J320" s="102"/>
      <c r="K320" s="120"/>
    </row>
    <row r="321" ht="15.75" customHeight="1">
      <c r="A321" s="93"/>
      <c r="B321" s="97"/>
      <c r="C321" s="115"/>
      <c r="D321" s="116"/>
      <c r="E321" s="97" t="str">
        <f>IFERROR(VLOOKUP(D321,'INVONTERY FEB'!$A$6:$B$432,2,FALSE),"")</f>
        <v/>
      </c>
      <c r="F321" s="98" t="str">
        <f>IFERROR(VLOOKUP(E321,'INVONTERY FEB'!$B$6:$C$432,2,FALSE),"")</f>
        <v/>
      </c>
      <c r="G321" s="99" t="str">
        <f>IFERROR(VLOOKUP(E321,'INVONTERY FEB'!$B$6:$D$131,3,FALSE),"")</f>
        <v/>
      </c>
      <c r="H321" s="108"/>
      <c r="I321" s="101">
        <f t="shared" si="1"/>
        <v>0</v>
      </c>
      <c r="J321" s="102"/>
      <c r="K321" s="120"/>
    </row>
    <row r="322" ht="15.75" customHeight="1">
      <c r="A322" s="93"/>
      <c r="B322" s="97"/>
      <c r="C322" s="115"/>
      <c r="D322" s="116"/>
      <c r="E322" s="97" t="str">
        <f>IFERROR(VLOOKUP(D322,'INVONTERY FEB'!$A$6:$B$432,2,FALSE),"")</f>
        <v/>
      </c>
      <c r="F322" s="98" t="str">
        <f>IFERROR(VLOOKUP(E322,'INVONTERY FEB'!$B$6:$C$432,2,FALSE),"")</f>
        <v/>
      </c>
      <c r="G322" s="99" t="str">
        <f>IFERROR(VLOOKUP(E322,'INVONTERY FEB'!$B$6:$D$131,3,FALSE),"")</f>
        <v/>
      </c>
      <c r="H322" s="108"/>
      <c r="I322" s="101">
        <f t="shared" si="1"/>
        <v>0</v>
      </c>
      <c r="J322" s="102"/>
      <c r="K322" s="120"/>
    </row>
    <row r="323" ht="15.75" customHeight="1">
      <c r="A323" s="93"/>
      <c r="B323" s="97"/>
      <c r="C323" s="115"/>
      <c r="D323" s="116"/>
      <c r="E323" s="97" t="str">
        <f>IFERROR(VLOOKUP(D323,'INVONTERY FEB'!$A$6:$B$432,2,FALSE),"")</f>
        <v/>
      </c>
      <c r="F323" s="98" t="str">
        <f>IFERROR(VLOOKUP(E323,'INVONTERY FEB'!$B$6:$C$432,2,FALSE),"")</f>
        <v/>
      </c>
      <c r="G323" s="99" t="str">
        <f>IFERROR(VLOOKUP(E323,'INVONTERY FEB'!$B$6:$D$131,3,FALSE),"")</f>
        <v/>
      </c>
      <c r="H323" s="108"/>
      <c r="I323" s="101">
        <f t="shared" si="1"/>
        <v>0</v>
      </c>
      <c r="J323" s="102"/>
      <c r="K323" s="120"/>
    </row>
    <row r="324" ht="15.75" customHeight="1">
      <c r="A324" s="93"/>
      <c r="B324" s="97"/>
      <c r="C324" s="115"/>
      <c r="D324" s="116"/>
      <c r="E324" s="97" t="str">
        <f>IFERROR(VLOOKUP(D324,'INVONTERY FEB'!$A$6:$B$432,2,FALSE),"")</f>
        <v/>
      </c>
      <c r="F324" s="98" t="str">
        <f>IFERROR(VLOOKUP(E324,'INVONTERY FEB'!$B$6:$C$432,2,FALSE),"")</f>
        <v/>
      </c>
      <c r="G324" s="99" t="str">
        <f>IFERROR(VLOOKUP(E324,'INVONTERY FEB'!$B$6:$D$131,3,FALSE),"")</f>
        <v/>
      </c>
      <c r="H324" s="108"/>
      <c r="I324" s="101">
        <f t="shared" si="1"/>
        <v>0</v>
      </c>
      <c r="J324" s="102"/>
      <c r="K324" s="120"/>
    </row>
    <row r="325" ht="15.75" customHeight="1">
      <c r="A325" s="93"/>
      <c r="B325" s="97"/>
      <c r="C325" s="115"/>
      <c r="D325" s="116"/>
      <c r="E325" s="97" t="str">
        <f>IFERROR(VLOOKUP(D325,'INVONTERY FEB'!$A$6:$B$432,2,FALSE),"")</f>
        <v/>
      </c>
      <c r="F325" s="98" t="str">
        <f>IFERROR(VLOOKUP(E325,'INVONTERY FEB'!$B$6:$C$432,2,FALSE),"")</f>
        <v/>
      </c>
      <c r="G325" s="99" t="str">
        <f>IFERROR(VLOOKUP(E325,'INVONTERY FEB'!$B$6:$D$131,3,FALSE),"")</f>
        <v/>
      </c>
      <c r="H325" s="108"/>
      <c r="I325" s="101">
        <f t="shared" si="1"/>
        <v>0</v>
      </c>
      <c r="J325" s="102"/>
      <c r="K325" s="120"/>
    </row>
    <row r="326" ht="15.75" customHeight="1">
      <c r="A326" s="93"/>
      <c r="B326" s="97"/>
      <c r="C326" s="115"/>
      <c r="D326" s="116"/>
      <c r="E326" s="97" t="str">
        <f>IFERROR(VLOOKUP(D326,'INVONTERY FEB'!$A$6:$B$432,2,FALSE),"")</f>
        <v/>
      </c>
      <c r="F326" s="98" t="str">
        <f>IFERROR(VLOOKUP(E326,'INVONTERY FEB'!$B$6:$C$432,2,FALSE),"")</f>
        <v/>
      </c>
      <c r="G326" s="99" t="str">
        <f>IFERROR(VLOOKUP(E326,'INVONTERY FEB'!$B$6:$D$131,3,FALSE),"")</f>
        <v/>
      </c>
      <c r="H326" s="108"/>
      <c r="I326" s="101">
        <f t="shared" si="1"/>
        <v>0</v>
      </c>
      <c r="J326" s="102"/>
      <c r="K326" s="120"/>
    </row>
    <row r="327" ht="15.75" customHeight="1">
      <c r="A327" s="93"/>
      <c r="B327" s="97"/>
      <c r="C327" s="115"/>
      <c r="D327" s="116"/>
      <c r="E327" s="97" t="str">
        <f>IFERROR(VLOOKUP(D327,'INVONTERY FEB'!$A$6:$B$432,2,FALSE),"")</f>
        <v/>
      </c>
      <c r="F327" s="98" t="str">
        <f>IFERROR(VLOOKUP(E327,'INVONTERY FEB'!$B$6:$C$432,2,FALSE),"")</f>
        <v/>
      </c>
      <c r="G327" s="99" t="str">
        <f>IFERROR(VLOOKUP(E327,'INVONTERY FEB'!$B$6:$D$131,3,FALSE),"")</f>
        <v/>
      </c>
      <c r="H327" s="108"/>
      <c r="I327" s="101">
        <f t="shared" si="1"/>
        <v>0</v>
      </c>
      <c r="J327" s="102"/>
      <c r="K327" s="120"/>
    </row>
    <row r="328" ht="15.75" customHeight="1">
      <c r="A328" s="93"/>
      <c r="B328" s="97"/>
      <c r="C328" s="115"/>
      <c r="D328" s="116"/>
      <c r="E328" s="97" t="str">
        <f>IFERROR(VLOOKUP(D328,'INVONTERY FEB'!$A$6:$B$432,2,FALSE),"")</f>
        <v/>
      </c>
      <c r="F328" s="98" t="str">
        <f>IFERROR(VLOOKUP(E328,'INVONTERY FEB'!$B$6:$C$432,2,FALSE),"")</f>
        <v/>
      </c>
      <c r="G328" s="99" t="str">
        <f>IFERROR(VLOOKUP(E328,'INVONTERY FEB'!$B$6:$D$131,3,FALSE),"")</f>
        <v/>
      </c>
      <c r="H328" s="108"/>
      <c r="I328" s="101">
        <f t="shared" si="1"/>
        <v>0</v>
      </c>
      <c r="J328" s="102"/>
      <c r="K328" s="120"/>
    </row>
    <row r="329" ht="15.75" customHeight="1">
      <c r="A329" s="93"/>
      <c r="B329" s="97"/>
      <c r="C329" s="115"/>
      <c r="D329" s="116"/>
      <c r="E329" s="97" t="str">
        <f>IFERROR(VLOOKUP(D329,'INVONTERY FEB'!$A$6:$B$432,2,FALSE),"")</f>
        <v/>
      </c>
      <c r="F329" s="98" t="str">
        <f>IFERROR(VLOOKUP(E329,'INVONTERY FEB'!$B$6:$C$432,2,FALSE),"")</f>
        <v/>
      </c>
      <c r="G329" s="99" t="str">
        <f>IFERROR(VLOOKUP(E329,'INVONTERY FEB'!$B$6:$D$131,3,FALSE),"")</f>
        <v/>
      </c>
      <c r="H329" s="108"/>
      <c r="I329" s="101">
        <f t="shared" si="1"/>
        <v>0</v>
      </c>
      <c r="J329" s="102"/>
      <c r="K329" s="120"/>
    </row>
    <row r="330" ht="15.75" customHeight="1">
      <c r="A330" s="93"/>
      <c r="B330" s="97"/>
      <c r="C330" s="115"/>
      <c r="D330" s="116"/>
      <c r="E330" s="97" t="str">
        <f>IFERROR(VLOOKUP(D330,'INVONTERY FEB'!$A$6:$B$432,2,FALSE),"")</f>
        <v/>
      </c>
      <c r="F330" s="98" t="str">
        <f>IFERROR(VLOOKUP(E330,'INVONTERY FEB'!$B$6:$C$432,2,FALSE),"")</f>
        <v/>
      </c>
      <c r="G330" s="99" t="str">
        <f>IFERROR(VLOOKUP(E330,'INVONTERY FEB'!$B$6:$D$131,3,FALSE),"")</f>
        <v/>
      </c>
      <c r="H330" s="108"/>
      <c r="I330" s="101">
        <f t="shared" si="1"/>
        <v>0</v>
      </c>
      <c r="J330" s="102"/>
      <c r="K330" s="120"/>
    </row>
    <row r="331" ht="15.75" customHeight="1">
      <c r="A331" s="93"/>
      <c r="B331" s="97"/>
      <c r="C331" s="115"/>
      <c r="D331" s="116"/>
      <c r="E331" s="97" t="str">
        <f>IFERROR(VLOOKUP(D331,'INVONTERY FEB'!$A$6:$B$432,2,FALSE),"")</f>
        <v/>
      </c>
      <c r="F331" s="98" t="str">
        <f>IFERROR(VLOOKUP(E331,'INVONTERY FEB'!$B$6:$C$432,2,FALSE),"")</f>
        <v/>
      </c>
      <c r="G331" s="99" t="str">
        <f>IFERROR(VLOOKUP(E331,'INVONTERY FEB'!$B$6:$D$131,3,FALSE),"")</f>
        <v/>
      </c>
      <c r="H331" s="108"/>
      <c r="I331" s="101">
        <f t="shared" si="1"/>
        <v>0</v>
      </c>
      <c r="J331" s="102"/>
      <c r="K331" s="120"/>
    </row>
    <row r="332" ht="15.75" customHeight="1">
      <c r="A332" s="93"/>
      <c r="B332" s="97"/>
      <c r="C332" s="115"/>
      <c r="D332" s="116"/>
      <c r="E332" s="97" t="str">
        <f>IFERROR(VLOOKUP(D332,'INVONTERY FEB'!$A$6:$B$432,2,FALSE),"")</f>
        <v/>
      </c>
      <c r="F332" s="98" t="str">
        <f>IFERROR(VLOOKUP(E332,'INVONTERY FEB'!$B$6:$C$432,2,FALSE),"")</f>
        <v/>
      </c>
      <c r="G332" s="99" t="str">
        <f>IFERROR(VLOOKUP(E332,'INVONTERY FEB'!$B$6:$D$131,3,FALSE),"")</f>
        <v/>
      </c>
      <c r="H332" s="108"/>
      <c r="I332" s="101">
        <f t="shared" si="1"/>
        <v>0</v>
      </c>
      <c r="J332" s="102"/>
      <c r="K332" s="120"/>
    </row>
    <row r="333" ht="15.75" customHeight="1">
      <c r="A333" s="93"/>
      <c r="B333" s="97"/>
      <c r="C333" s="115"/>
      <c r="D333" s="116"/>
      <c r="E333" s="97" t="str">
        <f>IFERROR(VLOOKUP(D333,'INVONTERY FEB'!$A$6:$B$432,2,FALSE),"")</f>
        <v/>
      </c>
      <c r="F333" s="98" t="str">
        <f>IFERROR(VLOOKUP(E333,'INVONTERY FEB'!$B$6:$C$432,2,FALSE),"")</f>
        <v/>
      </c>
      <c r="G333" s="99" t="str">
        <f>IFERROR(VLOOKUP(E333,'INVONTERY FEB'!$B$6:$D$131,3,FALSE),"")</f>
        <v/>
      </c>
      <c r="H333" s="108"/>
      <c r="I333" s="101">
        <f t="shared" si="1"/>
        <v>0</v>
      </c>
      <c r="J333" s="102"/>
      <c r="K333" s="120"/>
    </row>
    <row r="334" ht="15.75" customHeight="1">
      <c r="A334" s="93"/>
      <c r="B334" s="97"/>
      <c r="C334" s="115"/>
      <c r="D334" s="116"/>
      <c r="E334" s="97" t="str">
        <f>IFERROR(VLOOKUP(D334,'INVONTERY FEB'!$A$6:$B$432,2,FALSE),"")</f>
        <v/>
      </c>
      <c r="F334" s="98" t="str">
        <f>IFERROR(VLOOKUP(E334,'INVONTERY FEB'!$B$6:$C$432,2,FALSE),"")</f>
        <v/>
      </c>
      <c r="G334" s="99" t="str">
        <f>IFERROR(VLOOKUP(E334,'INVONTERY FEB'!$B$6:$D$131,3,FALSE),"")</f>
        <v/>
      </c>
      <c r="H334" s="108"/>
      <c r="I334" s="101">
        <f t="shared" si="1"/>
        <v>0</v>
      </c>
      <c r="J334" s="102"/>
      <c r="K334" s="120"/>
    </row>
    <row r="335" ht="15.75" customHeight="1">
      <c r="A335" s="93"/>
      <c r="B335" s="97"/>
      <c r="C335" s="115"/>
      <c r="D335" s="116"/>
      <c r="E335" s="97" t="str">
        <f>IFERROR(VLOOKUP(D335,'INVONTERY FEB'!$A$6:$B$432,2,FALSE),"")</f>
        <v/>
      </c>
      <c r="F335" s="98" t="str">
        <f>IFERROR(VLOOKUP(E335,'INVONTERY FEB'!$B$6:$C$432,2,FALSE),"")</f>
        <v/>
      </c>
      <c r="G335" s="99" t="str">
        <f>IFERROR(VLOOKUP(E335,'INVONTERY FEB'!$B$6:$D$131,3,FALSE),"")</f>
        <v/>
      </c>
      <c r="H335" s="108"/>
      <c r="I335" s="101">
        <f t="shared" si="1"/>
        <v>0</v>
      </c>
      <c r="J335" s="102"/>
      <c r="K335" s="120"/>
    </row>
    <row r="336" ht="15.75" customHeight="1">
      <c r="A336" s="93"/>
      <c r="B336" s="97"/>
      <c r="C336" s="115"/>
      <c r="D336" s="116"/>
      <c r="E336" s="97" t="str">
        <f>IFERROR(VLOOKUP(D336,'INVONTERY FEB'!$A$6:$B$432,2,FALSE),"")</f>
        <v/>
      </c>
      <c r="F336" s="98" t="str">
        <f>IFERROR(VLOOKUP(E336,'INVONTERY FEB'!$B$6:$C$432,2,FALSE),"")</f>
        <v/>
      </c>
      <c r="G336" s="99" t="str">
        <f>IFERROR(VLOOKUP(E336,'INVONTERY FEB'!$B$6:$D$131,3,FALSE),"")</f>
        <v/>
      </c>
      <c r="H336" s="108"/>
      <c r="I336" s="101">
        <f t="shared" si="1"/>
        <v>0</v>
      </c>
      <c r="J336" s="102"/>
      <c r="K336" s="120"/>
    </row>
    <row r="337" ht="15.75" customHeight="1">
      <c r="A337" s="93"/>
      <c r="B337" s="97"/>
      <c r="C337" s="115"/>
      <c r="D337" s="116"/>
      <c r="E337" s="97" t="str">
        <f>IFERROR(VLOOKUP(D337,'INVONTERY FEB'!$A$6:$B$432,2,FALSE),"")</f>
        <v/>
      </c>
      <c r="F337" s="98" t="str">
        <f>IFERROR(VLOOKUP(E337,'INVONTERY FEB'!$B$6:$C$432,2,FALSE),"")</f>
        <v/>
      </c>
      <c r="G337" s="99" t="str">
        <f>IFERROR(VLOOKUP(E337,'INVONTERY FEB'!$B$6:$D$131,3,FALSE),"")</f>
        <v/>
      </c>
      <c r="H337" s="108"/>
      <c r="I337" s="101">
        <f t="shared" si="1"/>
        <v>0</v>
      </c>
      <c r="J337" s="102"/>
      <c r="K337" s="120"/>
    </row>
    <row r="338" ht="15.75" customHeight="1">
      <c r="A338" s="93"/>
      <c r="B338" s="97"/>
      <c r="C338" s="115"/>
      <c r="D338" s="116"/>
      <c r="E338" s="97" t="str">
        <f>IFERROR(VLOOKUP(D338,'INVONTERY FEB'!$A$6:$B$432,2,FALSE),"")</f>
        <v/>
      </c>
      <c r="F338" s="98" t="str">
        <f>IFERROR(VLOOKUP(E338,'INVONTERY FEB'!$B$6:$C$432,2,FALSE),"")</f>
        <v/>
      </c>
      <c r="G338" s="99" t="str">
        <f>IFERROR(VLOOKUP(E338,'INVONTERY FEB'!$B$6:$D$131,3,FALSE),"")</f>
        <v/>
      </c>
      <c r="H338" s="108"/>
      <c r="I338" s="101">
        <f t="shared" si="1"/>
        <v>0</v>
      </c>
      <c r="J338" s="102"/>
      <c r="K338" s="120"/>
    </row>
    <row r="339" ht="15.75" customHeight="1">
      <c r="A339" s="93"/>
      <c r="B339" s="97"/>
      <c r="C339" s="115"/>
      <c r="D339" s="116"/>
      <c r="E339" s="97" t="str">
        <f>IFERROR(VLOOKUP(D339,'INVONTERY FEB'!$A$6:$B$432,2,FALSE),"")</f>
        <v/>
      </c>
      <c r="F339" s="98" t="str">
        <f>IFERROR(VLOOKUP(E339,'INVONTERY FEB'!$B$6:$C$432,2,FALSE),"")</f>
        <v/>
      </c>
      <c r="G339" s="99" t="str">
        <f>IFERROR(VLOOKUP(E339,'INVONTERY FEB'!$B$6:$D$131,3,FALSE),"")</f>
        <v/>
      </c>
      <c r="H339" s="108"/>
      <c r="I339" s="101">
        <f t="shared" si="1"/>
        <v>0</v>
      </c>
      <c r="J339" s="102"/>
      <c r="K339" s="120"/>
    </row>
    <row r="340" ht="15.75" customHeight="1">
      <c r="A340" s="93"/>
      <c r="B340" s="97"/>
      <c r="C340" s="115"/>
      <c r="D340" s="116"/>
      <c r="E340" s="97" t="str">
        <f>IFERROR(VLOOKUP(D340,'INVONTERY FEB'!$A$6:$B$432,2,FALSE),"")</f>
        <v/>
      </c>
      <c r="F340" s="98" t="str">
        <f>IFERROR(VLOOKUP(E340,'INVONTERY FEB'!$B$6:$C$432,2,FALSE),"")</f>
        <v/>
      </c>
      <c r="G340" s="99" t="str">
        <f>IFERROR(VLOOKUP(E340,'INVONTERY FEB'!$B$6:$D$131,3,FALSE),"")</f>
        <v/>
      </c>
      <c r="H340" s="108"/>
      <c r="I340" s="101">
        <f t="shared" si="1"/>
        <v>0</v>
      </c>
      <c r="J340" s="102"/>
      <c r="K340" s="120"/>
    </row>
    <row r="341" ht="15.75" customHeight="1">
      <c r="A341" s="93"/>
      <c r="B341" s="97"/>
      <c r="C341" s="115"/>
      <c r="D341" s="116"/>
      <c r="E341" s="97" t="str">
        <f>IFERROR(VLOOKUP(D341,'INVONTERY FEB'!$A$6:$B$432,2,FALSE),"")</f>
        <v/>
      </c>
      <c r="F341" s="98" t="str">
        <f>IFERROR(VLOOKUP(E341,'INVONTERY FEB'!$B$6:$C$432,2,FALSE),"")</f>
        <v/>
      </c>
      <c r="G341" s="99" t="str">
        <f>IFERROR(VLOOKUP(E341,'INVONTERY FEB'!$B$6:$D$131,3,FALSE),"")</f>
        <v/>
      </c>
      <c r="H341" s="108"/>
      <c r="I341" s="101">
        <f t="shared" si="1"/>
        <v>0</v>
      </c>
      <c r="J341" s="102"/>
      <c r="K341" s="120"/>
    </row>
    <row r="342" ht="15.75" customHeight="1">
      <c r="A342" s="93"/>
      <c r="B342" s="97"/>
      <c r="C342" s="115"/>
      <c r="D342" s="116"/>
      <c r="E342" s="97" t="str">
        <f>IFERROR(VLOOKUP(D342,'INVONTERY FEB'!$A$6:$B$432,2,FALSE),"")</f>
        <v/>
      </c>
      <c r="F342" s="98" t="str">
        <f>IFERROR(VLOOKUP(E342,'INVONTERY FEB'!$B$6:$C$432,2,FALSE),"")</f>
        <v/>
      </c>
      <c r="G342" s="99" t="str">
        <f>IFERROR(VLOOKUP(E342,'INVONTERY FEB'!$B$6:$D$131,3,FALSE),"")</f>
        <v/>
      </c>
      <c r="H342" s="108"/>
      <c r="I342" s="101">
        <f t="shared" si="1"/>
        <v>0</v>
      </c>
      <c r="J342" s="102"/>
      <c r="K342" s="120"/>
    </row>
    <row r="343" ht="15.75" customHeight="1">
      <c r="A343" s="93"/>
      <c r="B343" s="97"/>
      <c r="C343" s="115"/>
      <c r="D343" s="116"/>
      <c r="E343" s="97" t="str">
        <f>IFERROR(VLOOKUP(D343,'INVONTERY FEB'!$A$6:$B$432,2,FALSE),"")</f>
        <v/>
      </c>
      <c r="F343" s="98" t="str">
        <f>IFERROR(VLOOKUP(E343,'INVONTERY FEB'!$B$6:$C$432,2,FALSE),"")</f>
        <v/>
      </c>
      <c r="G343" s="99" t="str">
        <f>IFERROR(VLOOKUP(E343,'INVONTERY FEB'!$B$6:$D$131,3,FALSE),"")</f>
        <v/>
      </c>
      <c r="H343" s="108"/>
      <c r="I343" s="101">
        <f t="shared" si="1"/>
        <v>0</v>
      </c>
      <c r="J343" s="102"/>
      <c r="K343" s="120"/>
    </row>
    <row r="344" ht="15.75" customHeight="1">
      <c r="A344" s="93"/>
      <c r="B344" s="97"/>
      <c r="C344" s="115"/>
      <c r="D344" s="116"/>
      <c r="E344" s="97" t="str">
        <f>IFERROR(VLOOKUP(D344,'INVONTERY FEB'!$A$6:$B$432,2,FALSE),"")</f>
        <v/>
      </c>
      <c r="F344" s="98" t="str">
        <f>IFERROR(VLOOKUP(E344,'INVONTERY FEB'!$B$6:$C$432,2,FALSE),"")</f>
        <v/>
      </c>
      <c r="G344" s="99" t="str">
        <f>IFERROR(VLOOKUP(E344,'INVONTERY FEB'!$B$6:$D$131,3,FALSE),"")</f>
        <v/>
      </c>
      <c r="H344" s="108"/>
      <c r="I344" s="101">
        <f t="shared" si="1"/>
        <v>0</v>
      </c>
      <c r="J344" s="102"/>
      <c r="K344" s="120"/>
    </row>
    <row r="345" ht="15.75" customHeight="1">
      <c r="A345" s="93"/>
      <c r="B345" s="97"/>
      <c r="C345" s="115"/>
      <c r="D345" s="116"/>
      <c r="E345" s="97" t="str">
        <f>IFERROR(VLOOKUP(D345,'INVONTERY FEB'!$A$6:$B$432,2,FALSE),"")</f>
        <v/>
      </c>
      <c r="F345" s="98" t="str">
        <f>IFERROR(VLOOKUP(E345,'INVONTERY FEB'!$B$6:$C$432,2,FALSE),"")</f>
        <v/>
      </c>
      <c r="G345" s="99" t="str">
        <f>IFERROR(VLOOKUP(E345,'INVONTERY FEB'!$B$6:$D$131,3,FALSE),"")</f>
        <v/>
      </c>
      <c r="H345" s="108"/>
      <c r="I345" s="101">
        <f t="shared" si="1"/>
        <v>0</v>
      </c>
      <c r="J345" s="102"/>
      <c r="K345" s="120"/>
    </row>
    <row r="346" ht="15.75" customHeight="1">
      <c r="A346" s="93"/>
      <c r="B346" s="97"/>
      <c r="C346" s="115"/>
      <c r="D346" s="116"/>
      <c r="E346" s="97" t="str">
        <f>IFERROR(VLOOKUP(D346,'INVONTERY FEB'!$A$6:$B$432,2,FALSE),"")</f>
        <v/>
      </c>
      <c r="F346" s="98" t="str">
        <f>IFERROR(VLOOKUP(E346,'INVONTERY FEB'!$B$6:$C$432,2,FALSE),"")</f>
        <v/>
      </c>
      <c r="G346" s="99" t="str">
        <f>IFERROR(VLOOKUP(E346,'INVONTERY FEB'!$B$6:$D$131,3,FALSE),"")</f>
        <v/>
      </c>
      <c r="H346" s="108"/>
      <c r="I346" s="101">
        <f t="shared" si="1"/>
        <v>0</v>
      </c>
      <c r="J346" s="102"/>
      <c r="K346" s="120"/>
    </row>
    <row r="347" ht="15.75" customHeight="1">
      <c r="A347" s="93"/>
      <c r="B347" s="97"/>
      <c r="C347" s="115"/>
      <c r="D347" s="116"/>
      <c r="E347" s="97" t="str">
        <f>IFERROR(VLOOKUP(D347,'INVONTERY FEB'!$A$6:$B$432,2,FALSE),"")</f>
        <v/>
      </c>
      <c r="F347" s="98" t="str">
        <f>IFERROR(VLOOKUP(E347,'INVONTERY FEB'!$B$6:$C$432,2,FALSE),"")</f>
        <v/>
      </c>
      <c r="G347" s="99" t="str">
        <f>IFERROR(VLOOKUP(E347,'INVONTERY FEB'!$B$6:$D$131,3,FALSE),"")</f>
        <v/>
      </c>
      <c r="H347" s="108"/>
      <c r="I347" s="101">
        <f t="shared" si="1"/>
        <v>0</v>
      </c>
      <c r="J347" s="102"/>
      <c r="K347" s="120"/>
    </row>
    <row r="348" ht="15.75" customHeight="1">
      <c r="A348" s="93"/>
      <c r="B348" s="97"/>
      <c r="C348" s="115"/>
      <c r="D348" s="116"/>
      <c r="E348" s="97" t="str">
        <f>IFERROR(VLOOKUP(D348,'INVONTERY FEB'!$A$6:$B$432,2,FALSE),"")</f>
        <v/>
      </c>
      <c r="F348" s="98" t="str">
        <f>IFERROR(VLOOKUP(E348,'INVONTERY FEB'!$B$6:$C$432,2,FALSE),"")</f>
        <v/>
      </c>
      <c r="G348" s="99" t="str">
        <f>IFERROR(VLOOKUP(E348,'INVONTERY FEB'!$B$6:$D$131,3,FALSE),"")</f>
        <v/>
      </c>
      <c r="H348" s="108"/>
      <c r="I348" s="101">
        <f t="shared" si="1"/>
        <v>0</v>
      </c>
      <c r="J348" s="102"/>
      <c r="K348" s="120"/>
    </row>
    <row r="349" ht="15.75" customHeight="1">
      <c r="A349" s="93"/>
      <c r="B349" s="97"/>
      <c r="C349" s="115"/>
      <c r="D349" s="116"/>
      <c r="E349" s="97" t="str">
        <f>IFERROR(VLOOKUP(D349,'INVONTERY FEB'!$A$6:$B$432,2,FALSE),"")</f>
        <v/>
      </c>
      <c r="F349" s="98" t="str">
        <f>IFERROR(VLOOKUP(E349,'INVONTERY FEB'!$B$6:$C$432,2,FALSE),"")</f>
        <v/>
      </c>
      <c r="G349" s="99" t="str">
        <f>IFERROR(VLOOKUP(E349,'INVONTERY FEB'!$B$6:$D$131,3,FALSE),"")</f>
        <v/>
      </c>
      <c r="H349" s="108"/>
      <c r="I349" s="101">
        <f t="shared" si="1"/>
        <v>0</v>
      </c>
      <c r="J349" s="102"/>
      <c r="K349" s="120"/>
    </row>
    <row r="350" ht="15.75" customHeight="1">
      <c r="A350" s="93"/>
      <c r="B350" s="97"/>
      <c r="C350" s="115"/>
      <c r="D350" s="116"/>
      <c r="E350" s="97" t="str">
        <f>IFERROR(VLOOKUP(D350,'INVONTERY FEB'!$A$6:$B$432,2,FALSE),"")</f>
        <v/>
      </c>
      <c r="F350" s="98" t="str">
        <f>IFERROR(VLOOKUP(E350,'INVONTERY FEB'!$B$6:$C$432,2,FALSE),"")</f>
        <v/>
      </c>
      <c r="G350" s="99" t="str">
        <f>IFERROR(VLOOKUP(E350,'INVONTERY FEB'!$B$6:$D$131,3,FALSE),"")</f>
        <v/>
      </c>
      <c r="H350" s="108"/>
      <c r="I350" s="101">
        <f t="shared" si="1"/>
        <v>0</v>
      </c>
      <c r="J350" s="102"/>
      <c r="K350" s="120"/>
    </row>
    <row r="351" ht="15.75" customHeight="1">
      <c r="A351" s="93"/>
      <c r="B351" s="97"/>
      <c r="C351" s="115"/>
      <c r="D351" s="116"/>
      <c r="E351" s="97" t="str">
        <f>IFERROR(VLOOKUP(D351,'INVONTERY FEB'!$A$6:$B$432,2,FALSE),"")</f>
        <v/>
      </c>
      <c r="F351" s="98" t="str">
        <f>IFERROR(VLOOKUP(E351,'INVONTERY FEB'!$B$6:$C$432,2,FALSE),"")</f>
        <v/>
      </c>
      <c r="G351" s="99" t="str">
        <f>IFERROR(VLOOKUP(E351,'INVONTERY FEB'!$B$6:$D$131,3,FALSE),"")</f>
        <v/>
      </c>
      <c r="H351" s="108"/>
      <c r="I351" s="101">
        <f t="shared" si="1"/>
        <v>0</v>
      </c>
      <c r="J351" s="102"/>
      <c r="K351" s="120"/>
    </row>
    <row r="352" ht="15.75" customHeight="1">
      <c r="A352" s="93"/>
      <c r="B352" s="97"/>
      <c r="C352" s="115"/>
      <c r="D352" s="116"/>
      <c r="E352" s="97" t="str">
        <f>IFERROR(VLOOKUP(D352,'INVONTERY FEB'!$A$6:$B$432,2,FALSE),"")</f>
        <v/>
      </c>
      <c r="F352" s="98" t="str">
        <f>IFERROR(VLOOKUP(E352,'INVONTERY FEB'!$B$6:$C$432,2,FALSE),"")</f>
        <v/>
      </c>
      <c r="G352" s="99" t="str">
        <f>IFERROR(VLOOKUP(E352,'INVONTERY FEB'!$B$6:$D$131,3,FALSE),"")</f>
        <v/>
      </c>
      <c r="H352" s="108"/>
      <c r="I352" s="101">
        <f t="shared" si="1"/>
        <v>0</v>
      </c>
      <c r="J352" s="102"/>
      <c r="K352" s="120"/>
    </row>
    <row r="353" ht="15.75" customHeight="1">
      <c r="A353" s="93"/>
      <c r="B353" s="97"/>
      <c r="C353" s="115"/>
      <c r="D353" s="116"/>
      <c r="E353" s="97" t="str">
        <f>IFERROR(VLOOKUP(D353,'INVONTERY FEB'!$A$6:$B$432,2,FALSE),"")</f>
        <v/>
      </c>
      <c r="F353" s="98" t="str">
        <f>IFERROR(VLOOKUP(E353,'INVONTERY FEB'!$B$6:$C$432,2,FALSE),"")</f>
        <v/>
      </c>
      <c r="G353" s="99" t="str">
        <f>IFERROR(VLOOKUP(E353,'INVONTERY FEB'!$B$6:$D$131,3,FALSE),"")</f>
        <v/>
      </c>
      <c r="H353" s="108"/>
      <c r="I353" s="101">
        <f t="shared" si="1"/>
        <v>0</v>
      </c>
      <c r="J353" s="102"/>
      <c r="K353" s="120"/>
    </row>
    <row r="354" ht="15.75" customHeight="1">
      <c r="A354" s="93"/>
      <c r="B354" s="97"/>
      <c r="C354" s="115"/>
      <c r="D354" s="116"/>
      <c r="E354" s="97" t="str">
        <f>IFERROR(VLOOKUP(D354,'INVONTERY FEB'!$A$6:$B$432,2,FALSE),"")</f>
        <v/>
      </c>
      <c r="F354" s="98" t="str">
        <f>IFERROR(VLOOKUP(E354,'INVONTERY FEB'!$B$6:$C$432,2,FALSE),"")</f>
        <v/>
      </c>
      <c r="G354" s="99" t="str">
        <f>IFERROR(VLOOKUP(E354,'INVONTERY FEB'!$B$6:$D$131,3,FALSE),"")</f>
        <v/>
      </c>
      <c r="H354" s="108"/>
      <c r="I354" s="101">
        <f t="shared" si="1"/>
        <v>0</v>
      </c>
      <c r="J354" s="102"/>
      <c r="K354" s="120"/>
    </row>
    <row r="355" ht="15.75" customHeight="1">
      <c r="A355" s="93"/>
      <c r="B355" s="97"/>
      <c r="C355" s="115"/>
      <c r="D355" s="116"/>
      <c r="E355" s="97" t="str">
        <f>IFERROR(VLOOKUP(D355,'INVONTERY FEB'!$A$6:$B$432,2,FALSE),"")</f>
        <v/>
      </c>
      <c r="F355" s="98" t="str">
        <f>IFERROR(VLOOKUP(E355,'INVONTERY FEB'!$B$6:$C$432,2,FALSE),"")</f>
        <v/>
      </c>
      <c r="G355" s="99" t="str">
        <f>IFERROR(VLOOKUP(E355,'INVONTERY FEB'!$B$6:$D$131,3,FALSE),"")</f>
        <v/>
      </c>
      <c r="H355" s="108"/>
      <c r="I355" s="101">
        <f t="shared" si="1"/>
        <v>0</v>
      </c>
      <c r="J355" s="102"/>
      <c r="K355" s="120"/>
    </row>
    <row r="356" ht="15.75" customHeight="1">
      <c r="A356" s="93"/>
      <c r="B356" s="97"/>
      <c r="C356" s="115"/>
      <c r="D356" s="116"/>
      <c r="E356" s="97" t="str">
        <f>IFERROR(VLOOKUP(D356,'INVONTERY FEB'!$A$6:$B$432,2,FALSE),"")</f>
        <v/>
      </c>
      <c r="F356" s="98" t="str">
        <f>IFERROR(VLOOKUP(E356,'INVONTERY FEB'!$B$6:$C$432,2,FALSE),"")</f>
        <v/>
      </c>
      <c r="G356" s="99" t="str">
        <f>IFERROR(VLOOKUP(E356,'INVONTERY FEB'!$B$6:$D$131,3,FALSE),"")</f>
        <v/>
      </c>
      <c r="H356" s="108"/>
      <c r="I356" s="101">
        <f t="shared" si="1"/>
        <v>0</v>
      </c>
      <c r="J356" s="102"/>
      <c r="K356" s="120"/>
    </row>
    <row r="357" ht="15.75" customHeight="1">
      <c r="A357" s="93"/>
      <c r="B357" s="97"/>
      <c r="C357" s="115"/>
      <c r="D357" s="116"/>
      <c r="E357" s="97" t="str">
        <f>IFERROR(VLOOKUP(D357,'INVONTERY FEB'!$A$6:$B$432,2,FALSE),"")</f>
        <v/>
      </c>
      <c r="F357" s="98" t="str">
        <f>IFERROR(VLOOKUP(E357,'INVONTERY FEB'!$B$6:$C$432,2,FALSE),"")</f>
        <v/>
      </c>
      <c r="G357" s="99" t="str">
        <f>IFERROR(VLOOKUP(E357,'INVONTERY FEB'!$B$6:$D$131,3,FALSE),"")</f>
        <v/>
      </c>
      <c r="H357" s="108"/>
      <c r="I357" s="101">
        <f t="shared" si="1"/>
        <v>0</v>
      </c>
      <c r="J357" s="102"/>
      <c r="K357" s="120"/>
    </row>
    <row r="358" ht="15.75" customHeight="1">
      <c r="A358" s="93"/>
      <c r="B358" s="97"/>
      <c r="C358" s="115"/>
      <c r="D358" s="116"/>
      <c r="E358" s="97" t="str">
        <f>IFERROR(VLOOKUP(D358,'INVONTERY FEB'!$A$6:$B$432,2,FALSE),"")</f>
        <v/>
      </c>
      <c r="F358" s="98" t="str">
        <f>IFERROR(VLOOKUP(E358,'INVONTERY FEB'!$B$6:$C$432,2,FALSE),"")</f>
        <v/>
      </c>
      <c r="G358" s="99" t="str">
        <f>IFERROR(VLOOKUP(E358,'INVONTERY FEB'!$B$6:$D$131,3,FALSE),"")</f>
        <v/>
      </c>
      <c r="H358" s="108"/>
      <c r="I358" s="101">
        <f t="shared" si="1"/>
        <v>0</v>
      </c>
      <c r="J358" s="102"/>
      <c r="K358" s="120"/>
    </row>
    <row r="359" ht="15.75" customHeight="1">
      <c r="A359" s="93"/>
      <c r="B359" s="97"/>
      <c r="C359" s="115"/>
      <c r="D359" s="116"/>
      <c r="E359" s="97" t="str">
        <f>IFERROR(VLOOKUP(D359,'INVONTERY FEB'!$A$6:$B$432,2,FALSE),"")</f>
        <v/>
      </c>
      <c r="F359" s="98" t="str">
        <f>IFERROR(VLOOKUP(E359,'INVONTERY FEB'!$B$6:$C$432,2,FALSE),"")</f>
        <v/>
      </c>
      <c r="G359" s="99" t="str">
        <f>IFERROR(VLOOKUP(E359,'INVONTERY FEB'!$B$6:$D$131,3,FALSE),"")</f>
        <v/>
      </c>
      <c r="H359" s="108"/>
      <c r="I359" s="101">
        <f t="shared" si="1"/>
        <v>0</v>
      </c>
      <c r="J359" s="102"/>
      <c r="K359" s="120"/>
    </row>
    <row r="360" ht="15.75" customHeight="1">
      <c r="A360" s="93"/>
      <c r="B360" s="97"/>
      <c r="C360" s="115"/>
      <c r="D360" s="116"/>
      <c r="E360" s="97" t="str">
        <f>IFERROR(VLOOKUP(D360,'INVONTERY FEB'!$A$6:$B$432,2,FALSE),"")</f>
        <v/>
      </c>
      <c r="F360" s="98" t="str">
        <f>IFERROR(VLOOKUP(E360,'INVONTERY FEB'!$B$6:$C$432,2,FALSE),"")</f>
        <v/>
      </c>
      <c r="G360" s="99" t="str">
        <f>IFERROR(VLOOKUP(E360,'INVONTERY FEB'!$B$6:$D$131,3,FALSE),"")</f>
        <v/>
      </c>
      <c r="H360" s="108"/>
      <c r="I360" s="101">
        <f t="shared" si="1"/>
        <v>0</v>
      </c>
      <c r="J360" s="102"/>
      <c r="K360" s="120"/>
    </row>
    <row r="361" ht="15.75" customHeight="1">
      <c r="A361" s="93"/>
      <c r="B361" s="97"/>
      <c r="C361" s="115"/>
      <c r="D361" s="116"/>
      <c r="E361" s="97" t="str">
        <f>IFERROR(VLOOKUP(D361,'INVONTERY FEB'!$A$6:$B$432,2,FALSE),"")</f>
        <v/>
      </c>
      <c r="F361" s="98" t="str">
        <f>IFERROR(VLOOKUP(E361,'INVONTERY FEB'!$B$6:$C$432,2,FALSE),"")</f>
        <v/>
      </c>
      <c r="G361" s="99" t="str">
        <f>IFERROR(VLOOKUP(E361,'INVONTERY FEB'!$B$6:$D$131,3,FALSE),"")</f>
        <v/>
      </c>
      <c r="H361" s="108"/>
      <c r="I361" s="101">
        <f t="shared" si="1"/>
        <v>0</v>
      </c>
      <c r="J361" s="102"/>
      <c r="K361" s="120"/>
    </row>
    <row r="362" ht="15.75" customHeight="1">
      <c r="A362" s="93"/>
      <c r="B362" s="97"/>
      <c r="C362" s="115"/>
      <c r="D362" s="116"/>
      <c r="E362" s="97" t="str">
        <f>IFERROR(VLOOKUP(D362,'INVONTERY FEB'!$A$6:$B$432,2,FALSE),"")</f>
        <v/>
      </c>
      <c r="F362" s="98" t="str">
        <f>IFERROR(VLOOKUP(E362,'INVONTERY FEB'!$B$6:$C$432,2,FALSE),"")</f>
        <v/>
      </c>
      <c r="G362" s="99" t="str">
        <f>IFERROR(VLOOKUP(E362,'INVONTERY FEB'!$B$6:$D$131,3,FALSE),"")</f>
        <v/>
      </c>
      <c r="H362" s="108"/>
      <c r="I362" s="101">
        <f t="shared" si="1"/>
        <v>0</v>
      </c>
      <c r="J362" s="102"/>
      <c r="K362" s="120"/>
    </row>
    <row r="363" ht="15.75" customHeight="1">
      <c r="A363" s="93"/>
      <c r="B363" s="97"/>
      <c r="C363" s="115"/>
      <c r="D363" s="116"/>
      <c r="E363" s="97" t="str">
        <f>IFERROR(VLOOKUP(D363,'INVONTERY FEB'!$A$6:$B$432,2,FALSE),"")</f>
        <v/>
      </c>
      <c r="F363" s="98" t="str">
        <f>IFERROR(VLOOKUP(E363,'INVONTERY FEB'!$B$6:$C$432,2,FALSE),"")</f>
        <v/>
      </c>
      <c r="G363" s="99" t="str">
        <f>IFERROR(VLOOKUP(E363,'INVONTERY FEB'!$B$6:$D$131,3,FALSE),"")</f>
        <v/>
      </c>
      <c r="H363" s="108"/>
      <c r="I363" s="101">
        <f t="shared" si="1"/>
        <v>0</v>
      </c>
      <c r="J363" s="102"/>
      <c r="K363" s="120"/>
    </row>
    <row r="364" ht="15.75" customHeight="1">
      <c r="A364" s="93"/>
      <c r="B364" s="97"/>
      <c r="C364" s="115"/>
      <c r="D364" s="116"/>
      <c r="E364" s="97" t="str">
        <f>IFERROR(VLOOKUP(D364,'INVONTERY FEB'!$A$6:$B$432,2,FALSE),"")</f>
        <v/>
      </c>
      <c r="F364" s="98" t="str">
        <f>IFERROR(VLOOKUP(E364,'INVONTERY FEB'!$B$6:$C$432,2,FALSE),"")</f>
        <v/>
      </c>
      <c r="G364" s="99" t="str">
        <f>IFERROR(VLOOKUP(E364,'INVONTERY FEB'!$B$6:$D$131,3,FALSE),"")</f>
        <v/>
      </c>
      <c r="H364" s="108"/>
      <c r="I364" s="101">
        <f t="shared" si="1"/>
        <v>0</v>
      </c>
      <c r="J364" s="102"/>
      <c r="K364" s="120"/>
    </row>
    <row r="365" ht="15.75" customHeight="1">
      <c r="A365" s="93"/>
      <c r="B365" s="97"/>
      <c r="C365" s="115"/>
      <c r="D365" s="116"/>
      <c r="E365" s="97" t="str">
        <f>IFERROR(VLOOKUP(D365,'INVONTERY FEB'!$A$6:$B$432,2,FALSE),"")</f>
        <v/>
      </c>
      <c r="F365" s="98" t="str">
        <f>IFERROR(VLOOKUP(E365,'INVONTERY FEB'!$B$6:$C$432,2,FALSE),"")</f>
        <v/>
      </c>
      <c r="G365" s="99" t="str">
        <f>IFERROR(VLOOKUP(E365,'INVONTERY FEB'!$B$6:$D$131,3,FALSE),"")</f>
        <v/>
      </c>
      <c r="H365" s="108"/>
      <c r="I365" s="101">
        <f t="shared" si="1"/>
        <v>0</v>
      </c>
      <c r="J365" s="102"/>
      <c r="K365" s="120"/>
    </row>
    <row r="366" ht="15.75" customHeight="1">
      <c r="A366" s="93"/>
      <c r="B366" s="97"/>
      <c r="C366" s="115"/>
      <c r="D366" s="116"/>
      <c r="E366" s="97" t="str">
        <f>IFERROR(VLOOKUP(D366,'INVONTERY FEB'!$A$6:$B$432,2,FALSE),"")</f>
        <v/>
      </c>
      <c r="F366" s="98" t="str">
        <f>IFERROR(VLOOKUP(E366,'INVONTERY FEB'!$B$6:$C$432,2,FALSE),"")</f>
        <v/>
      </c>
      <c r="G366" s="99" t="str">
        <f>IFERROR(VLOOKUP(E366,'INVONTERY FEB'!$B$6:$D$131,3,FALSE),"")</f>
        <v/>
      </c>
      <c r="H366" s="108"/>
      <c r="I366" s="101">
        <f t="shared" si="1"/>
        <v>0</v>
      </c>
      <c r="J366" s="102"/>
      <c r="K366" s="120"/>
    </row>
    <row r="367" ht="15.75" customHeight="1">
      <c r="A367" s="93"/>
      <c r="B367" s="97"/>
      <c r="C367" s="115"/>
      <c r="D367" s="116"/>
      <c r="E367" s="97" t="str">
        <f>IFERROR(VLOOKUP(D367,'INVONTERY FEB'!$A$6:$B$432,2,FALSE),"")</f>
        <v/>
      </c>
      <c r="F367" s="98" t="str">
        <f>IFERROR(VLOOKUP(E367,'INVONTERY FEB'!$B$6:$C$432,2,FALSE),"")</f>
        <v/>
      </c>
      <c r="G367" s="99" t="str">
        <f>IFERROR(VLOOKUP(E367,'INVONTERY FEB'!$B$6:$D$131,3,FALSE),"")</f>
        <v/>
      </c>
      <c r="H367" s="108"/>
      <c r="I367" s="101">
        <f t="shared" si="1"/>
        <v>0</v>
      </c>
      <c r="J367" s="102"/>
      <c r="K367" s="120"/>
    </row>
    <row r="368" ht="15.75" customHeight="1">
      <c r="A368" s="93"/>
      <c r="B368" s="97"/>
      <c r="C368" s="115"/>
      <c r="D368" s="116"/>
      <c r="E368" s="97" t="str">
        <f>IFERROR(VLOOKUP(D368,'INVONTERY FEB'!$A$6:$B$432,2,FALSE),"")</f>
        <v/>
      </c>
      <c r="F368" s="98" t="str">
        <f>IFERROR(VLOOKUP(E368,'INVONTERY FEB'!$B$6:$C$432,2,FALSE),"")</f>
        <v/>
      </c>
      <c r="G368" s="99" t="str">
        <f>IFERROR(VLOOKUP(E368,'INVONTERY FEB'!$B$6:$D$131,3,FALSE),"")</f>
        <v/>
      </c>
      <c r="H368" s="108"/>
      <c r="I368" s="101">
        <f t="shared" si="1"/>
        <v>0</v>
      </c>
      <c r="J368" s="102"/>
      <c r="K368" s="120"/>
    </row>
    <row r="369" ht="15.75" customHeight="1">
      <c r="A369" s="93"/>
      <c r="B369" s="97"/>
      <c r="C369" s="115"/>
      <c r="D369" s="116"/>
      <c r="E369" s="97" t="str">
        <f>IFERROR(VLOOKUP(D369,'INVONTERY FEB'!$A$6:$B$432,2,FALSE),"")</f>
        <v/>
      </c>
      <c r="F369" s="98" t="str">
        <f>IFERROR(VLOOKUP(E369,'INVONTERY FEB'!$B$6:$C$432,2,FALSE),"")</f>
        <v/>
      </c>
      <c r="G369" s="99" t="str">
        <f>IFERROR(VLOOKUP(E369,'INVONTERY FEB'!$B$6:$D$131,3,FALSE),"")</f>
        <v/>
      </c>
      <c r="H369" s="108"/>
      <c r="I369" s="101">
        <f t="shared" si="1"/>
        <v>0</v>
      </c>
      <c r="J369" s="102"/>
      <c r="K369" s="120"/>
    </row>
    <row r="370" ht="15.75" customHeight="1">
      <c r="A370" s="93"/>
      <c r="B370" s="97"/>
      <c r="C370" s="115"/>
      <c r="D370" s="116"/>
      <c r="E370" s="97" t="str">
        <f>IFERROR(VLOOKUP(D370,'INVONTERY FEB'!$A$6:$B$432,2,FALSE),"")</f>
        <v/>
      </c>
      <c r="F370" s="98" t="str">
        <f>IFERROR(VLOOKUP(E370,'INVONTERY FEB'!$B$6:$C$432,2,FALSE),"")</f>
        <v/>
      </c>
      <c r="G370" s="99" t="str">
        <f>IFERROR(VLOOKUP(E370,'INVONTERY FEB'!$B$6:$D$131,3,FALSE),"")</f>
        <v/>
      </c>
      <c r="H370" s="108"/>
      <c r="I370" s="101">
        <f t="shared" si="1"/>
        <v>0</v>
      </c>
      <c r="J370" s="102"/>
      <c r="K370" s="120"/>
    </row>
    <row r="371" ht="15.75" customHeight="1">
      <c r="A371" s="93"/>
      <c r="B371" s="97"/>
      <c r="C371" s="115"/>
      <c r="D371" s="116"/>
      <c r="E371" s="97" t="str">
        <f>IFERROR(VLOOKUP(D371,'INVONTERY FEB'!$A$6:$B$432,2,FALSE),"")</f>
        <v/>
      </c>
      <c r="F371" s="98" t="str">
        <f>IFERROR(VLOOKUP(E371,'INVONTERY FEB'!$B$6:$C$432,2,FALSE),"")</f>
        <v/>
      </c>
      <c r="G371" s="99" t="str">
        <f>IFERROR(VLOOKUP(E371,'INVONTERY FEB'!$B$6:$D$131,3,FALSE),"")</f>
        <v/>
      </c>
      <c r="H371" s="108"/>
      <c r="I371" s="101">
        <f t="shared" si="1"/>
        <v>0</v>
      </c>
      <c r="J371" s="102"/>
      <c r="K371" s="120"/>
    </row>
    <row r="372" ht="15.75" customHeight="1">
      <c r="A372" s="93"/>
      <c r="B372" s="97"/>
      <c r="C372" s="115"/>
      <c r="D372" s="116"/>
      <c r="E372" s="97" t="str">
        <f>IFERROR(VLOOKUP(D372,'INVONTERY FEB'!$A$6:$B$432,2,FALSE),"")</f>
        <v/>
      </c>
      <c r="F372" s="98" t="str">
        <f>IFERROR(VLOOKUP(E372,'INVONTERY FEB'!$B$6:$C$432,2,FALSE),"")</f>
        <v/>
      </c>
      <c r="G372" s="99" t="str">
        <f>IFERROR(VLOOKUP(E372,'INVONTERY FEB'!$B$6:$D$131,3,FALSE),"")</f>
        <v/>
      </c>
      <c r="H372" s="108"/>
      <c r="I372" s="101">
        <f t="shared" si="1"/>
        <v>0</v>
      </c>
      <c r="J372" s="102"/>
      <c r="K372" s="120"/>
    </row>
    <row r="373" ht="15.75" customHeight="1">
      <c r="A373" s="93"/>
      <c r="B373" s="97"/>
      <c r="C373" s="115"/>
      <c r="D373" s="116"/>
      <c r="E373" s="97" t="str">
        <f>IFERROR(VLOOKUP(D373,'INVONTERY FEB'!$A$6:$B$432,2,FALSE),"")</f>
        <v/>
      </c>
      <c r="F373" s="98" t="str">
        <f>IFERROR(VLOOKUP(E373,'INVONTERY FEB'!$B$6:$C$432,2,FALSE),"")</f>
        <v/>
      </c>
      <c r="G373" s="99" t="str">
        <f>IFERROR(VLOOKUP(E373,'INVONTERY FEB'!$B$6:$D$131,3,FALSE),"")</f>
        <v/>
      </c>
      <c r="H373" s="108"/>
      <c r="I373" s="101">
        <f t="shared" si="1"/>
        <v>0</v>
      </c>
      <c r="J373" s="102"/>
      <c r="K373" s="120"/>
    </row>
    <row r="374" ht="15.75" customHeight="1">
      <c r="A374" s="93"/>
      <c r="B374" s="97"/>
      <c r="C374" s="115"/>
      <c r="D374" s="116"/>
      <c r="E374" s="97" t="str">
        <f>IFERROR(VLOOKUP(D374,'INVONTERY FEB'!$A$6:$B$432,2,FALSE),"")</f>
        <v/>
      </c>
      <c r="F374" s="98" t="str">
        <f>IFERROR(VLOOKUP(E374,'INVONTERY FEB'!$B$6:$C$432,2,FALSE),"")</f>
        <v/>
      </c>
      <c r="G374" s="99" t="str">
        <f>IFERROR(VLOOKUP(E374,'INVONTERY FEB'!$B$6:$D$131,3,FALSE),"")</f>
        <v/>
      </c>
      <c r="H374" s="108"/>
      <c r="I374" s="101">
        <f t="shared" si="1"/>
        <v>0</v>
      </c>
      <c r="J374" s="102"/>
      <c r="K374" s="120"/>
    </row>
    <row r="375" ht="15.75" customHeight="1">
      <c r="A375" s="93"/>
      <c r="B375" s="97"/>
      <c r="C375" s="115"/>
      <c r="D375" s="116"/>
      <c r="E375" s="97" t="str">
        <f>IFERROR(VLOOKUP(D375,'INVONTERY FEB'!$A$6:$B$432,2,FALSE),"")</f>
        <v/>
      </c>
      <c r="F375" s="98" t="str">
        <f>IFERROR(VLOOKUP(E375,'INVONTERY FEB'!$B$6:$C$432,2,FALSE),"")</f>
        <v/>
      </c>
      <c r="G375" s="99" t="str">
        <f>IFERROR(VLOOKUP(E375,'INVONTERY FEB'!$B$6:$D$131,3,FALSE),"")</f>
        <v/>
      </c>
      <c r="H375" s="108"/>
      <c r="I375" s="101">
        <f t="shared" si="1"/>
        <v>0</v>
      </c>
      <c r="J375" s="102"/>
      <c r="K375" s="120"/>
    </row>
    <row r="376" ht="15.75" customHeight="1">
      <c r="A376" s="93"/>
      <c r="B376" s="97"/>
      <c r="C376" s="115"/>
      <c r="D376" s="116"/>
      <c r="E376" s="97" t="str">
        <f>IFERROR(VLOOKUP(D376,'INVONTERY FEB'!$A$6:$B$432,2,FALSE),"")</f>
        <v/>
      </c>
      <c r="F376" s="98" t="str">
        <f>IFERROR(VLOOKUP(E376,'INVONTERY FEB'!$B$6:$C$432,2,FALSE),"")</f>
        <v/>
      </c>
      <c r="G376" s="99" t="str">
        <f>IFERROR(VLOOKUP(E376,'INVONTERY FEB'!$B$6:$D$131,3,FALSE),"")</f>
        <v/>
      </c>
      <c r="H376" s="108"/>
      <c r="I376" s="101">
        <f t="shared" si="1"/>
        <v>0</v>
      </c>
      <c r="J376" s="102"/>
      <c r="K376" s="120"/>
    </row>
    <row r="377" ht="15.75" customHeight="1">
      <c r="A377" s="93"/>
      <c r="B377" s="97"/>
      <c r="C377" s="115"/>
      <c r="D377" s="116"/>
      <c r="E377" s="97" t="str">
        <f>IFERROR(VLOOKUP(D377,'INVONTERY FEB'!$A$6:$B$432,2,FALSE),"")</f>
        <v/>
      </c>
      <c r="F377" s="98" t="str">
        <f>IFERROR(VLOOKUP(E377,'INVONTERY FEB'!$B$6:$C$432,2,FALSE),"")</f>
        <v/>
      </c>
      <c r="G377" s="99" t="str">
        <f>IFERROR(VLOOKUP(E377,'INVONTERY FEB'!$B$6:$D$131,3,FALSE),"")</f>
        <v/>
      </c>
      <c r="H377" s="108"/>
      <c r="I377" s="101">
        <f t="shared" si="1"/>
        <v>0</v>
      </c>
      <c r="J377" s="102"/>
      <c r="K377" s="120"/>
    </row>
    <row r="378" ht="15.75" customHeight="1">
      <c r="A378" s="93"/>
      <c r="B378" s="97"/>
      <c r="C378" s="115"/>
      <c r="D378" s="116"/>
      <c r="E378" s="97" t="str">
        <f>IFERROR(VLOOKUP(D378,'INVONTERY FEB'!$A$6:$B$432,2,FALSE),"")</f>
        <v/>
      </c>
      <c r="F378" s="98" t="str">
        <f>IFERROR(VLOOKUP(E378,'INVONTERY FEB'!$B$6:$C$432,2,FALSE),"")</f>
        <v/>
      </c>
      <c r="G378" s="99" t="str">
        <f>IFERROR(VLOOKUP(E378,'INVONTERY FEB'!$B$6:$D$131,3,FALSE),"")</f>
        <v/>
      </c>
      <c r="H378" s="108"/>
      <c r="I378" s="101">
        <f t="shared" si="1"/>
        <v>0</v>
      </c>
      <c r="J378" s="102"/>
      <c r="K378" s="120"/>
    </row>
    <row r="379" ht="15.75" customHeight="1">
      <c r="A379" s="93"/>
      <c r="B379" s="97"/>
      <c r="C379" s="115"/>
      <c r="D379" s="116"/>
      <c r="E379" s="97" t="str">
        <f>IFERROR(VLOOKUP(D379,'INVONTERY FEB'!$A$6:$B$432,2,FALSE),"")</f>
        <v/>
      </c>
      <c r="F379" s="98" t="str">
        <f>IFERROR(VLOOKUP(E379,'INVONTERY FEB'!$B$6:$C$432,2,FALSE),"")</f>
        <v/>
      </c>
      <c r="G379" s="99" t="str">
        <f>IFERROR(VLOOKUP(E379,'INVONTERY FEB'!$B$6:$D$131,3,FALSE),"")</f>
        <v/>
      </c>
      <c r="H379" s="108"/>
      <c r="I379" s="101">
        <f t="shared" si="1"/>
        <v>0</v>
      </c>
      <c r="J379" s="102"/>
      <c r="K379" s="120"/>
    </row>
    <row r="380" ht="15.75" customHeight="1">
      <c r="A380" s="93"/>
      <c r="B380" s="97"/>
      <c r="C380" s="115"/>
      <c r="D380" s="116"/>
      <c r="E380" s="97" t="str">
        <f>IFERROR(VLOOKUP(D380,'INVONTERY FEB'!$A$6:$B$432,2,FALSE),"")</f>
        <v/>
      </c>
      <c r="F380" s="98" t="str">
        <f>IFERROR(VLOOKUP(E380,'INVONTERY FEB'!$B$6:$C$432,2,FALSE),"")</f>
        <v/>
      </c>
      <c r="G380" s="99" t="str">
        <f>IFERROR(VLOOKUP(E380,'INVONTERY FEB'!$B$6:$D$131,3,FALSE),"")</f>
        <v/>
      </c>
      <c r="H380" s="108"/>
      <c r="I380" s="101">
        <f t="shared" si="1"/>
        <v>0</v>
      </c>
      <c r="J380" s="102"/>
      <c r="K380" s="120"/>
    </row>
    <row r="381" ht="15.75" customHeight="1">
      <c r="A381" s="93"/>
      <c r="B381" s="97"/>
      <c r="C381" s="115"/>
      <c r="D381" s="116"/>
      <c r="E381" s="97" t="str">
        <f>IFERROR(VLOOKUP(D381,'INVONTERY FEB'!$A$6:$B$432,2,FALSE),"")</f>
        <v/>
      </c>
      <c r="F381" s="98" t="str">
        <f>IFERROR(VLOOKUP(E381,'INVONTERY FEB'!$B$6:$C$432,2,FALSE),"")</f>
        <v/>
      </c>
      <c r="G381" s="99" t="str">
        <f>IFERROR(VLOOKUP(E381,'INVONTERY FEB'!$B$6:$D$131,3,FALSE),"")</f>
        <v/>
      </c>
      <c r="H381" s="108"/>
      <c r="I381" s="101">
        <f t="shared" si="1"/>
        <v>0</v>
      </c>
      <c r="J381" s="102"/>
      <c r="K381" s="120"/>
    </row>
    <row r="382" ht="15.75" customHeight="1">
      <c r="A382" s="93"/>
      <c r="B382" s="97"/>
      <c r="C382" s="115"/>
      <c r="D382" s="116"/>
      <c r="E382" s="97" t="str">
        <f>IFERROR(VLOOKUP(D382,'INVONTERY FEB'!$A$6:$B$432,2,FALSE),"")</f>
        <v/>
      </c>
      <c r="F382" s="98" t="str">
        <f>IFERROR(VLOOKUP(E382,'INVONTERY FEB'!$B$6:$C$432,2,FALSE),"")</f>
        <v/>
      </c>
      <c r="G382" s="99" t="str">
        <f>IFERROR(VLOOKUP(E382,'INVONTERY FEB'!$B$6:$D$131,3,FALSE),"")</f>
        <v/>
      </c>
      <c r="H382" s="108"/>
      <c r="I382" s="101">
        <f t="shared" si="1"/>
        <v>0</v>
      </c>
      <c r="J382" s="102"/>
      <c r="K382" s="120"/>
    </row>
    <row r="383" ht="15.75" customHeight="1">
      <c r="A383" s="93"/>
      <c r="B383" s="97"/>
      <c r="C383" s="115"/>
      <c r="D383" s="116"/>
      <c r="E383" s="97" t="str">
        <f>IFERROR(VLOOKUP(D383,'INVONTERY FEB'!$A$6:$B$432,2,FALSE),"")</f>
        <v/>
      </c>
      <c r="F383" s="98" t="str">
        <f>IFERROR(VLOOKUP(E383,'INVONTERY FEB'!$B$6:$C$432,2,FALSE),"")</f>
        <v/>
      </c>
      <c r="G383" s="99" t="str">
        <f>IFERROR(VLOOKUP(E383,'INVONTERY FEB'!$B$6:$D$131,3,FALSE),"")</f>
        <v/>
      </c>
      <c r="H383" s="108"/>
      <c r="I383" s="101">
        <f t="shared" si="1"/>
        <v>0</v>
      </c>
      <c r="J383" s="102"/>
      <c r="K383" s="120"/>
    </row>
    <row r="384" ht="15.75" customHeight="1">
      <c r="A384" s="93"/>
      <c r="B384" s="97"/>
      <c r="C384" s="115"/>
      <c r="D384" s="116"/>
      <c r="E384" s="97" t="str">
        <f>IFERROR(VLOOKUP(D384,'INVONTERY FEB'!$A$6:$B$432,2,FALSE),"")</f>
        <v/>
      </c>
      <c r="F384" s="98" t="str">
        <f>IFERROR(VLOOKUP(E384,'INVONTERY FEB'!$B$6:$C$432,2,FALSE),"")</f>
        <v/>
      </c>
      <c r="G384" s="99" t="str">
        <f>IFERROR(VLOOKUP(E384,'INVONTERY FEB'!$B$6:$D$131,3,FALSE),"")</f>
        <v/>
      </c>
      <c r="H384" s="108"/>
      <c r="I384" s="101">
        <f t="shared" si="1"/>
        <v>0</v>
      </c>
      <c r="J384" s="102"/>
      <c r="K384" s="120"/>
    </row>
    <row r="385" ht="15.75" customHeight="1">
      <c r="A385" s="93"/>
      <c r="B385" s="97"/>
      <c r="C385" s="115"/>
      <c r="D385" s="116"/>
      <c r="E385" s="97" t="str">
        <f>IFERROR(VLOOKUP(D385,'INVONTERY FEB'!$A$6:$B$432,2,FALSE),"")</f>
        <v/>
      </c>
      <c r="F385" s="98" t="str">
        <f>IFERROR(VLOOKUP(E385,'INVONTERY FEB'!$B$6:$C$432,2,FALSE),"")</f>
        <v/>
      </c>
      <c r="G385" s="99" t="str">
        <f>IFERROR(VLOOKUP(E385,'INVONTERY FEB'!$B$6:$D$131,3,FALSE),"")</f>
        <v/>
      </c>
      <c r="H385" s="108"/>
      <c r="I385" s="101">
        <f t="shared" si="1"/>
        <v>0</v>
      </c>
      <c r="J385" s="102"/>
      <c r="K385" s="120"/>
    </row>
    <row r="386" ht="15.75" customHeight="1">
      <c r="A386" s="93"/>
      <c r="B386" s="97"/>
      <c r="C386" s="115"/>
      <c r="D386" s="116"/>
      <c r="E386" s="97" t="str">
        <f>IFERROR(VLOOKUP(D386,'INVONTERY FEB'!$A$6:$B$432,2,FALSE),"")</f>
        <v/>
      </c>
      <c r="F386" s="98" t="str">
        <f>IFERROR(VLOOKUP(E386,'INVONTERY FEB'!$B$6:$C$432,2,FALSE),"")</f>
        <v/>
      </c>
      <c r="G386" s="99" t="str">
        <f>IFERROR(VLOOKUP(E386,'INVONTERY FEB'!$B$6:$D$131,3,FALSE),"")</f>
        <v/>
      </c>
      <c r="H386" s="108"/>
      <c r="I386" s="101">
        <f t="shared" si="1"/>
        <v>0</v>
      </c>
      <c r="J386" s="102"/>
      <c r="K386" s="120"/>
    </row>
    <row r="387" ht="15.75" customHeight="1">
      <c r="A387" s="93"/>
      <c r="B387" s="97"/>
      <c r="C387" s="115"/>
      <c r="D387" s="116"/>
      <c r="E387" s="97" t="str">
        <f>IFERROR(VLOOKUP(D387,'INVONTERY FEB'!$A$6:$B$432,2,FALSE),"")</f>
        <v/>
      </c>
      <c r="F387" s="98" t="str">
        <f>IFERROR(VLOOKUP(E387,'INVONTERY FEB'!$B$6:$C$432,2,FALSE),"")</f>
        <v/>
      </c>
      <c r="G387" s="99" t="str">
        <f>IFERROR(VLOOKUP(E387,'INVONTERY FEB'!$B$6:$D$131,3,FALSE),"")</f>
        <v/>
      </c>
      <c r="H387" s="108"/>
      <c r="I387" s="101">
        <f t="shared" si="1"/>
        <v>0</v>
      </c>
      <c r="J387" s="102"/>
      <c r="K387" s="120"/>
    </row>
    <row r="388" ht="15.75" customHeight="1">
      <c r="A388" s="93"/>
      <c r="B388" s="97"/>
      <c r="C388" s="115"/>
      <c r="D388" s="116"/>
      <c r="E388" s="97" t="str">
        <f>IFERROR(VLOOKUP(D388,'INVONTERY FEB'!$A$6:$B$432,2,FALSE),"")</f>
        <v/>
      </c>
      <c r="F388" s="98" t="str">
        <f>IFERROR(VLOOKUP(E388,'INVONTERY FEB'!$B$6:$C$432,2,FALSE),"")</f>
        <v/>
      </c>
      <c r="G388" s="99" t="str">
        <f>IFERROR(VLOOKUP(E388,'INVONTERY FEB'!$B$6:$D$131,3,FALSE),"")</f>
        <v/>
      </c>
      <c r="H388" s="108"/>
      <c r="I388" s="101">
        <f t="shared" si="1"/>
        <v>0</v>
      </c>
      <c r="J388" s="102"/>
      <c r="K388" s="120"/>
    </row>
    <row r="389" ht="15.75" customHeight="1">
      <c r="A389" s="93"/>
      <c r="B389" s="97"/>
      <c r="C389" s="115"/>
      <c r="D389" s="116"/>
      <c r="E389" s="97" t="str">
        <f>IFERROR(VLOOKUP(D389,'INVONTERY FEB'!$A$6:$B$432,2,FALSE),"")</f>
        <v/>
      </c>
      <c r="F389" s="98" t="str">
        <f>IFERROR(VLOOKUP(E389,'INVONTERY FEB'!$B$6:$C$432,2,FALSE),"")</f>
        <v/>
      </c>
      <c r="G389" s="99" t="str">
        <f>IFERROR(VLOOKUP(E389,'INVONTERY FEB'!$B$6:$D$131,3,FALSE),"")</f>
        <v/>
      </c>
      <c r="H389" s="108"/>
      <c r="I389" s="101">
        <f t="shared" si="1"/>
        <v>0</v>
      </c>
      <c r="J389" s="102"/>
      <c r="K389" s="120"/>
    </row>
    <row r="390" ht="15.75" customHeight="1">
      <c r="A390" s="93"/>
      <c r="B390" s="97"/>
      <c r="C390" s="115"/>
      <c r="D390" s="116"/>
      <c r="E390" s="97" t="str">
        <f>IFERROR(VLOOKUP(D390,'INVONTERY FEB'!$A$6:$B$432,2,FALSE),"")</f>
        <v/>
      </c>
      <c r="F390" s="98" t="str">
        <f>IFERROR(VLOOKUP(E390,'INVONTERY FEB'!$B$6:$C$432,2,FALSE),"")</f>
        <v/>
      </c>
      <c r="G390" s="99" t="str">
        <f>IFERROR(VLOOKUP(E390,'INVONTERY FEB'!$B$6:$D$131,3,FALSE),"")</f>
        <v/>
      </c>
      <c r="H390" s="108"/>
      <c r="I390" s="101">
        <f t="shared" si="1"/>
        <v>0</v>
      </c>
      <c r="J390" s="102"/>
      <c r="K390" s="120"/>
    </row>
    <row r="391" ht="15.75" customHeight="1">
      <c r="A391" s="93"/>
      <c r="B391" s="97"/>
      <c r="C391" s="115"/>
      <c r="D391" s="116"/>
      <c r="E391" s="97" t="str">
        <f>IFERROR(VLOOKUP(D391,'INVONTERY FEB'!$A$6:$B$432,2,FALSE),"")</f>
        <v/>
      </c>
      <c r="F391" s="98" t="str">
        <f>IFERROR(VLOOKUP(E391,'INVONTERY FEB'!$B$6:$C$432,2,FALSE),"")</f>
        <v/>
      </c>
      <c r="G391" s="99" t="str">
        <f>IFERROR(VLOOKUP(E391,'INVONTERY FEB'!$B$6:$D$131,3,FALSE),"")</f>
        <v/>
      </c>
      <c r="H391" s="108"/>
      <c r="I391" s="101">
        <f t="shared" si="1"/>
        <v>0</v>
      </c>
      <c r="J391" s="102"/>
      <c r="K391" s="120"/>
    </row>
    <row r="392" ht="15.75" customHeight="1">
      <c r="A392" s="93"/>
      <c r="B392" s="97"/>
      <c r="C392" s="115"/>
      <c r="D392" s="116"/>
      <c r="E392" s="97" t="str">
        <f>IFERROR(VLOOKUP(D392,'INVONTERY FEB'!$A$6:$B$432,2,FALSE),"")</f>
        <v/>
      </c>
      <c r="F392" s="98" t="str">
        <f>IFERROR(VLOOKUP(E392,'INVONTERY FEB'!$B$6:$C$432,2,FALSE),"")</f>
        <v/>
      </c>
      <c r="G392" s="99" t="str">
        <f>IFERROR(VLOOKUP(E392,'INVONTERY FEB'!$B$6:$D$131,3,FALSE),"")</f>
        <v/>
      </c>
      <c r="H392" s="108"/>
      <c r="I392" s="101">
        <f t="shared" si="1"/>
        <v>0</v>
      </c>
      <c r="J392" s="102"/>
      <c r="K392" s="120"/>
    </row>
    <row r="393" ht="15.75" customHeight="1">
      <c r="A393" s="93"/>
      <c r="B393" s="97"/>
      <c r="C393" s="115"/>
      <c r="D393" s="116"/>
      <c r="E393" s="97" t="str">
        <f>IFERROR(VLOOKUP(D393,'INVONTERY FEB'!$A$6:$B$432,2,FALSE),"")</f>
        <v/>
      </c>
      <c r="F393" s="98" t="str">
        <f>IFERROR(VLOOKUP(E393,'INVONTERY FEB'!$B$6:$C$432,2,FALSE),"")</f>
        <v/>
      </c>
      <c r="G393" s="99" t="str">
        <f>IFERROR(VLOOKUP(E393,'INVONTERY FEB'!$B$6:$D$131,3,FALSE),"")</f>
        <v/>
      </c>
      <c r="H393" s="108"/>
      <c r="I393" s="101">
        <f t="shared" si="1"/>
        <v>0</v>
      </c>
      <c r="J393" s="102"/>
      <c r="K393" s="120"/>
    </row>
    <row r="394" ht="15.75" customHeight="1">
      <c r="A394" s="93"/>
      <c r="B394" s="97"/>
      <c r="C394" s="115"/>
      <c r="D394" s="116"/>
      <c r="E394" s="97" t="str">
        <f>IFERROR(VLOOKUP(D394,'INVONTERY FEB'!$A$6:$B$432,2,FALSE),"")</f>
        <v/>
      </c>
      <c r="F394" s="98" t="str">
        <f>IFERROR(VLOOKUP(E394,'INVONTERY FEB'!$B$6:$C$432,2,FALSE),"")</f>
        <v/>
      </c>
      <c r="G394" s="99" t="str">
        <f>IFERROR(VLOOKUP(E394,'INVONTERY FEB'!$B$6:$D$131,3,FALSE),"")</f>
        <v/>
      </c>
      <c r="H394" s="108"/>
      <c r="I394" s="101">
        <f t="shared" si="1"/>
        <v>0</v>
      </c>
      <c r="J394" s="102"/>
      <c r="K394" s="120"/>
    </row>
    <row r="395" ht="15.75" customHeight="1">
      <c r="A395" s="93"/>
      <c r="B395" s="97"/>
      <c r="C395" s="115"/>
      <c r="D395" s="116"/>
      <c r="E395" s="97" t="str">
        <f>IFERROR(VLOOKUP(D395,'INVONTERY FEB'!$A$6:$B$432,2,FALSE),"")</f>
        <v/>
      </c>
      <c r="F395" s="98" t="str">
        <f>IFERROR(VLOOKUP(E395,'INVONTERY FEB'!$B$6:$C$432,2,FALSE),"")</f>
        <v/>
      </c>
      <c r="G395" s="99" t="str">
        <f>IFERROR(VLOOKUP(E395,'INVONTERY FEB'!$B$6:$D$131,3,FALSE),"")</f>
        <v/>
      </c>
      <c r="H395" s="108"/>
      <c r="I395" s="101">
        <f t="shared" si="1"/>
        <v>0</v>
      </c>
      <c r="J395" s="102"/>
      <c r="K395" s="120"/>
    </row>
    <row r="396" ht="15.75" customHeight="1">
      <c r="A396" s="93"/>
      <c r="B396" s="97"/>
      <c r="C396" s="115"/>
      <c r="D396" s="116"/>
      <c r="E396" s="97" t="str">
        <f>IFERROR(VLOOKUP(D396,'INVONTERY FEB'!$A$6:$B$432,2,FALSE),"")</f>
        <v/>
      </c>
      <c r="F396" s="98" t="str">
        <f>IFERROR(VLOOKUP(E396,'INVONTERY FEB'!$B$6:$C$432,2,FALSE),"")</f>
        <v/>
      </c>
      <c r="G396" s="99" t="str">
        <f>IFERROR(VLOOKUP(E396,'INVONTERY FEB'!$B$6:$D$131,3,FALSE),"")</f>
        <v/>
      </c>
      <c r="H396" s="108"/>
      <c r="I396" s="101">
        <f t="shared" si="1"/>
        <v>0</v>
      </c>
      <c r="J396" s="102"/>
      <c r="K396" s="120"/>
    </row>
    <row r="397" ht="15.75" customHeight="1">
      <c r="A397" s="93"/>
      <c r="B397" s="97"/>
      <c r="C397" s="115"/>
      <c r="D397" s="116"/>
      <c r="E397" s="97" t="str">
        <f>IFERROR(VLOOKUP(D397,'INVONTERY FEB'!$A$6:$B$432,2,FALSE),"")</f>
        <v/>
      </c>
      <c r="F397" s="98" t="str">
        <f>IFERROR(VLOOKUP(E397,'INVONTERY FEB'!$B$6:$C$432,2,FALSE),"")</f>
        <v/>
      </c>
      <c r="G397" s="99" t="str">
        <f>IFERROR(VLOOKUP(E397,'INVONTERY FEB'!$B$6:$D$131,3,FALSE),"")</f>
        <v/>
      </c>
      <c r="H397" s="108"/>
      <c r="I397" s="101">
        <f t="shared" si="1"/>
        <v>0</v>
      </c>
      <c r="J397" s="102"/>
      <c r="K397" s="120"/>
    </row>
    <row r="398" ht="15.75" customHeight="1">
      <c r="A398" s="93"/>
      <c r="B398" s="97"/>
      <c r="C398" s="115"/>
      <c r="D398" s="116"/>
      <c r="E398" s="97" t="str">
        <f>IFERROR(VLOOKUP(D398,'INVONTERY FEB'!$A$6:$B$432,2,FALSE),"")</f>
        <v/>
      </c>
      <c r="F398" s="98" t="str">
        <f>IFERROR(VLOOKUP(E398,'INVONTERY FEB'!$B$6:$C$432,2,FALSE),"")</f>
        <v/>
      </c>
      <c r="G398" s="99" t="str">
        <f>IFERROR(VLOOKUP(E398,'INVONTERY FEB'!$B$6:$D$131,3,FALSE),"")</f>
        <v/>
      </c>
      <c r="H398" s="108"/>
      <c r="I398" s="101">
        <f t="shared" si="1"/>
        <v>0</v>
      </c>
      <c r="J398" s="102"/>
      <c r="K398" s="120"/>
    </row>
    <row r="399" ht="15.75" customHeight="1">
      <c r="A399" s="93"/>
      <c r="B399" s="97"/>
      <c r="C399" s="115"/>
      <c r="D399" s="116"/>
      <c r="E399" s="97" t="str">
        <f>IFERROR(VLOOKUP(D399,'INVONTERY FEB'!$A$6:$B$131,2,FALSE),"")</f>
        <v/>
      </c>
      <c r="F399" s="97" t="str">
        <f>IFERROR(VLOOKUP(E399,'INVONTERY FEB'!$B$6:$C$131,2,FALSE),"")</f>
        <v/>
      </c>
      <c r="G399" s="99" t="str">
        <f>IFERROR(VLOOKUP(E399,'INVONTERY FEB'!$B$6:$D$131,3,FALSE),"")</f>
        <v/>
      </c>
      <c r="H399" s="108"/>
      <c r="I399" s="101">
        <f t="shared" si="1"/>
        <v>0</v>
      </c>
      <c r="J399" s="102"/>
      <c r="K399" s="120"/>
    </row>
    <row r="400" ht="15.75" customHeight="1">
      <c r="A400" s="93"/>
      <c r="B400" s="97"/>
      <c r="C400" s="115"/>
      <c r="D400" s="116"/>
      <c r="E400" s="97" t="str">
        <f>IFERROR(VLOOKUP(D400,'INVONTERY FEB'!$A$6:$B$131,2,FALSE),"")</f>
        <v/>
      </c>
      <c r="F400" s="97" t="str">
        <f>IFERROR(VLOOKUP(E400,'INVONTERY FEB'!$B$6:$C$131,2,FALSE),"")</f>
        <v/>
      </c>
      <c r="G400" s="99" t="str">
        <f>IFERROR(VLOOKUP(E400,'INVONTERY FEB'!$B$6:$D$131,3,FALSE),"")</f>
        <v/>
      </c>
      <c r="H400" s="108"/>
      <c r="I400" s="101">
        <f t="shared" si="1"/>
        <v>0</v>
      </c>
      <c r="J400" s="102"/>
      <c r="K400" s="120"/>
    </row>
    <row r="401" ht="15.75" customHeight="1">
      <c r="A401" s="93"/>
      <c r="B401" s="97"/>
      <c r="C401" s="115"/>
      <c r="D401" s="116"/>
      <c r="E401" s="97" t="str">
        <f>IFERROR(VLOOKUP(D401,'INVONTERY FEB'!$A$6:$B$131,2,FALSE),"")</f>
        <v/>
      </c>
      <c r="F401" s="97" t="str">
        <f>IFERROR(VLOOKUP(E401,'INVONTERY FEB'!$B$6:$C$131,2,FALSE),"")</f>
        <v/>
      </c>
      <c r="G401" s="99" t="str">
        <f>IFERROR(VLOOKUP(E401,'INVONTERY FEB'!$B$6:$D$131,3,FALSE),"")</f>
        <v/>
      </c>
      <c r="H401" s="108"/>
      <c r="I401" s="101">
        <f t="shared" si="1"/>
        <v>0</v>
      </c>
      <c r="J401" s="102"/>
      <c r="K401" s="120"/>
    </row>
    <row r="402" ht="15.75" customHeight="1">
      <c r="A402" s="93"/>
      <c r="B402" s="97"/>
      <c r="C402" s="115"/>
      <c r="D402" s="116"/>
      <c r="E402" s="97" t="str">
        <f>IFERROR(VLOOKUP(D402,'INVONTERY FEB'!$A$6:$B$131,2,FALSE),"")</f>
        <v/>
      </c>
      <c r="F402" s="97" t="str">
        <f>IFERROR(VLOOKUP(E402,'INVONTERY FEB'!$B$6:$C$131,2,FALSE),"")</f>
        <v/>
      </c>
      <c r="G402" s="99" t="str">
        <f>IFERROR(VLOOKUP(E402,'INVONTERY FEB'!$B$6:$D$131,3,FALSE),"")</f>
        <v/>
      </c>
      <c r="H402" s="108"/>
      <c r="I402" s="101">
        <f t="shared" si="1"/>
        <v>0</v>
      </c>
      <c r="J402" s="102"/>
      <c r="K402" s="120"/>
    </row>
    <row r="403" ht="15.75" customHeight="1">
      <c r="A403" s="93"/>
      <c r="B403" s="97"/>
      <c r="C403" s="115"/>
      <c r="D403" s="116"/>
      <c r="E403" s="97" t="str">
        <f>IFERROR(VLOOKUP(D403,'INVONTERY FEB'!$A$6:$B$131,2,FALSE),"")</f>
        <v/>
      </c>
      <c r="F403" s="97" t="str">
        <f>IFERROR(VLOOKUP(E403,'INVONTERY FEB'!$B$6:$C$131,2,FALSE),"")</f>
        <v/>
      </c>
      <c r="G403" s="99" t="str">
        <f>IFERROR(VLOOKUP(E403,'INVONTERY FEB'!$B$6:$D$131,3,FALSE),"")</f>
        <v/>
      </c>
      <c r="H403" s="108"/>
      <c r="I403" s="101">
        <f t="shared" si="1"/>
        <v>0</v>
      </c>
      <c r="J403" s="102"/>
      <c r="K403" s="120"/>
    </row>
    <row r="404" ht="15.75" customHeight="1">
      <c r="A404" s="93"/>
      <c r="B404" s="97"/>
      <c r="C404" s="115"/>
      <c r="D404" s="116"/>
      <c r="E404" s="97" t="str">
        <f>IFERROR(VLOOKUP(D404,'INVONTERY FEB'!$A$6:$B$131,2,FALSE),"")</f>
        <v/>
      </c>
      <c r="F404" s="97" t="str">
        <f>IFERROR(VLOOKUP(E404,'INVONTERY FEB'!$B$6:$C$131,2,FALSE),"")</f>
        <v/>
      </c>
      <c r="G404" s="99" t="str">
        <f>IFERROR(VLOOKUP(E404,'INVONTERY FEB'!$B$6:$D$131,3,FALSE),"")</f>
        <v/>
      </c>
      <c r="H404" s="108"/>
      <c r="I404" s="101">
        <f t="shared" si="1"/>
        <v>0</v>
      </c>
      <c r="J404" s="102"/>
      <c r="K404" s="120"/>
    </row>
    <row r="405" ht="15.75" customHeight="1">
      <c r="A405" s="93"/>
      <c r="B405" s="97"/>
      <c r="C405" s="115"/>
      <c r="D405" s="116"/>
      <c r="E405" s="97" t="str">
        <f>IFERROR(VLOOKUP(D405,'INVONTERY FEB'!$A$6:$B$131,2,FALSE),"")</f>
        <v/>
      </c>
      <c r="F405" s="97" t="str">
        <f>IFERROR(VLOOKUP(E405,'INVONTERY FEB'!$B$6:$C$131,2,FALSE),"")</f>
        <v/>
      </c>
      <c r="G405" s="99" t="str">
        <f>IFERROR(VLOOKUP(E405,'INVONTERY FEB'!$B$6:$D$131,3,FALSE),"")</f>
        <v/>
      </c>
      <c r="H405" s="108"/>
      <c r="I405" s="101">
        <f t="shared" si="1"/>
        <v>0</v>
      </c>
      <c r="J405" s="102"/>
      <c r="K405" s="120"/>
    </row>
    <row r="406" ht="15.75" customHeight="1">
      <c r="A406" s="93"/>
      <c r="B406" s="97"/>
      <c r="C406" s="115"/>
      <c r="D406" s="116"/>
      <c r="E406" s="97" t="str">
        <f>IFERROR(VLOOKUP(D406,'INVONTERY FEB'!$A$6:$B$131,2,FALSE),"")</f>
        <v/>
      </c>
      <c r="F406" s="97" t="str">
        <f>IFERROR(VLOOKUP(E406,'INVONTERY FEB'!$B$6:$C$131,2,FALSE),"")</f>
        <v/>
      </c>
      <c r="G406" s="99" t="str">
        <f>IFERROR(VLOOKUP(E406,'INVONTERY FEB'!$B$6:$D$131,3,FALSE),"")</f>
        <v/>
      </c>
      <c r="H406" s="108"/>
      <c r="I406" s="101">
        <f t="shared" si="1"/>
        <v>0</v>
      </c>
      <c r="J406" s="102"/>
      <c r="K406" s="120"/>
    </row>
    <row r="407" ht="15.75" customHeight="1">
      <c r="A407" s="93"/>
      <c r="B407" s="97"/>
      <c r="C407" s="115"/>
      <c r="D407" s="116"/>
      <c r="E407" s="97" t="str">
        <f>IFERROR(VLOOKUP(D407,'INVONTERY FEB'!$A$6:$B$131,2,FALSE),"")</f>
        <v/>
      </c>
      <c r="F407" s="97" t="str">
        <f>IFERROR(VLOOKUP(E407,'INVONTERY FEB'!$B$6:$C$131,2,FALSE),"")</f>
        <v/>
      </c>
      <c r="G407" s="99" t="str">
        <f>IFERROR(VLOOKUP(E407,'INVONTERY FEB'!$B$6:$D$131,3,FALSE),"")</f>
        <v/>
      </c>
      <c r="H407" s="108"/>
      <c r="I407" s="101">
        <f t="shared" si="1"/>
        <v>0</v>
      </c>
      <c r="J407" s="102"/>
      <c r="K407" s="120"/>
    </row>
    <row r="408" ht="15.75" customHeight="1">
      <c r="A408" s="93"/>
      <c r="B408" s="97"/>
      <c r="C408" s="115"/>
      <c r="D408" s="116"/>
      <c r="E408" s="97" t="str">
        <f>IFERROR(VLOOKUP(D408,'INVONTERY FEB'!$A$6:$B$131,2,FALSE),"")</f>
        <v/>
      </c>
      <c r="F408" s="97" t="str">
        <f>IFERROR(VLOOKUP(E408,'INVONTERY FEB'!$B$6:$C$131,2,FALSE),"")</f>
        <v/>
      </c>
      <c r="G408" s="99" t="str">
        <f>IFERROR(VLOOKUP(E408,'INVONTERY FEB'!$B$6:$D$131,3,FALSE),"")</f>
        <v/>
      </c>
      <c r="H408" s="108"/>
      <c r="I408" s="101">
        <f t="shared" si="1"/>
        <v>0</v>
      </c>
      <c r="J408" s="102"/>
      <c r="K408" s="120"/>
    </row>
    <row r="409" ht="15.75" customHeight="1">
      <c r="A409" s="93"/>
      <c r="B409" s="97"/>
      <c r="C409" s="115"/>
      <c r="D409" s="116"/>
      <c r="E409" s="97" t="str">
        <f>IFERROR(VLOOKUP(D409,'INVONTERY FEB'!$A$6:$B$131,2,FALSE),"")</f>
        <v/>
      </c>
      <c r="F409" s="97" t="str">
        <f>IFERROR(VLOOKUP(E409,'INVONTERY FEB'!$B$6:$C$131,2,FALSE),"")</f>
        <v/>
      </c>
      <c r="G409" s="99" t="str">
        <f>IFERROR(VLOOKUP(E409,'INVONTERY FEB'!$B$6:$D$131,3,FALSE),"")</f>
        <v/>
      </c>
      <c r="H409" s="108"/>
      <c r="I409" s="101">
        <f t="shared" si="1"/>
        <v>0</v>
      </c>
      <c r="J409" s="102"/>
      <c r="K409" s="120"/>
    </row>
    <row r="410" ht="15.75" customHeight="1">
      <c r="A410" s="93"/>
      <c r="B410" s="97"/>
      <c r="C410" s="115"/>
      <c r="D410" s="116"/>
      <c r="E410" s="97" t="str">
        <f>IFERROR(VLOOKUP(D410,'INVONTERY FEB'!$A$6:$B$131,2,FALSE),"")</f>
        <v/>
      </c>
      <c r="F410" s="97" t="str">
        <f>IFERROR(VLOOKUP(E410,'INVONTERY FEB'!$B$6:$C$131,2,FALSE),"")</f>
        <v/>
      </c>
      <c r="G410" s="99" t="str">
        <f>IFERROR(VLOOKUP(E410,'INVONTERY FEB'!$B$6:$D$131,3,FALSE),"")</f>
        <v/>
      </c>
      <c r="H410" s="108"/>
      <c r="I410" s="101">
        <f t="shared" si="1"/>
        <v>0</v>
      </c>
      <c r="J410" s="102"/>
      <c r="K410" s="120"/>
    </row>
    <row r="411" ht="15.75" customHeight="1">
      <c r="A411" s="93"/>
      <c r="B411" s="97"/>
      <c r="C411" s="115"/>
      <c r="D411" s="116"/>
      <c r="E411" s="97" t="str">
        <f>IFERROR(VLOOKUP(D411,'INVONTERY FEB'!$A$6:$B$131,2,FALSE),"")</f>
        <v/>
      </c>
      <c r="F411" s="97" t="str">
        <f>IFERROR(VLOOKUP(E411,'INVONTERY FEB'!$B$6:$C$131,2,FALSE),"")</f>
        <v/>
      </c>
      <c r="G411" s="99" t="str">
        <f>IFERROR(VLOOKUP(E411,'INVONTERY FEB'!$B$6:$D$131,3,FALSE),"")</f>
        <v/>
      </c>
      <c r="H411" s="108"/>
      <c r="I411" s="101">
        <f t="shared" si="1"/>
        <v>0</v>
      </c>
      <c r="J411" s="102"/>
      <c r="K411" s="120"/>
    </row>
    <row r="412" ht="15.75" customHeight="1">
      <c r="A412" s="93"/>
      <c r="B412" s="97"/>
      <c r="C412" s="115"/>
      <c r="D412" s="116"/>
      <c r="E412" s="97" t="str">
        <f>IFERROR(VLOOKUP(D412,'INVONTERY FEB'!$A$6:$B$131,2,FALSE),"")</f>
        <v/>
      </c>
      <c r="F412" s="97" t="str">
        <f>IFERROR(VLOOKUP(E412,'INVONTERY FEB'!$B$6:$C$131,2,FALSE),"")</f>
        <v/>
      </c>
      <c r="G412" s="99" t="str">
        <f>IFERROR(VLOOKUP(E412,'INVONTERY FEB'!$B$6:$D$131,3,FALSE),"")</f>
        <v/>
      </c>
      <c r="H412" s="108"/>
      <c r="I412" s="101">
        <f t="shared" si="1"/>
        <v>0</v>
      </c>
      <c r="J412" s="102"/>
      <c r="K412" s="120"/>
    </row>
    <row r="413" ht="15.75" customHeight="1">
      <c r="A413" s="93"/>
      <c r="B413" s="97"/>
      <c r="C413" s="115"/>
      <c r="D413" s="116"/>
      <c r="E413" s="97" t="str">
        <f>IFERROR(VLOOKUP(D413,'INVONTERY FEB'!$A$6:$B$131,2,FALSE),"")</f>
        <v/>
      </c>
      <c r="F413" s="97" t="str">
        <f>IFERROR(VLOOKUP(E413,'INVONTERY FEB'!$B$6:$C$131,2,FALSE),"")</f>
        <v/>
      </c>
      <c r="G413" s="99" t="str">
        <f>IFERROR(VLOOKUP(E413,'INVONTERY FEB'!$B$6:$D$131,3,FALSE),"")</f>
        <v/>
      </c>
      <c r="H413" s="108"/>
      <c r="I413" s="101">
        <f t="shared" si="1"/>
        <v>0</v>
      </c>
      <c r="J413" s="102"/>
      <c r="K413" s="120"/>
    </row>
    <row r="414" ht="15.75" customHeight="1">
      <c r="A414" s="93"/>
      <c r="B414" s="97"/>
      <c r="C414" s="115"/>
      <c r="D414" s="116"/>
      <c r="E414" s="97" t="str">
        <f>IFERROR(VLOOKUP(D414,'INVONTERY FEB'!$A$6:$B$131,2,FALSE),"")</f>
        <v/>
      </c>
      <c r="F414" s="97" t="str">
        <f>IFERROR(VLOOKUP(E414,'INVONTERY FEB'!$B$6:$C$131,2,FALSE),"")</f>
        <v/>
      </c>
      <c r="G414" s="99" t="str">
        <f>IFERROR(VLOOKUP(E414,'INVONTERY FEB'!$B$6:$D$131,3,FALSE),"")</f>
        <v/>
      </c>
      <c r="H414" s="108"/>
      <c r="I414" s="101">
        <f t="shared" si="1"/>
        <v>0</v>
      </c>
      <c r="J414" s="102"/>
      <c r="K414" s="120"/>
    </row>
    <row r="415" ht="15.75" customHeight="1">
      <c r="A415" s="93"/>
      <c r="B415" s="97"/>
      <c r="C415" s="115"/>
      <c r="D415" s="116"/>
      <c r="E415" s="97" t="str">
        <f>IFERROR(VLOOKUP(D415,'INVONTERY FEB'!$A$6:$B$131,2,FALSE),"")</f>
        <v/>
      </c>
      <c r="F415" s="97" t="str">
        <f>IFERROR(VLOOKUP(E415,'INVONTERY FEB'!$B$6:$C$131,2,FALSE),"")</f>
        <v/>
      </c>
      <c r="G415" s="99" t="str">
        <f>IFERROR(VLOOKUP(E415,'INVONTERY FEB'!$B$6:$D$131,3,FALSE),"")</f>
        <v/>
      </c>
      <c r="H415" s="108"/>
      <c r="I415" s="101">
        <f t="shared" si="1"/>
        <v>0</v>
      </c>
      <c r="J415" s="102"/>
      <c r="K415" s="120"/>
    </row>
    <row r="416" ht="15.75" customHeight="1">
      <c r="A416" s="93"/>
      <c r="B416" s="97"/>
      <c r="C416" s="115"/>
      <c r="D416" s="116"/>
      <c r="E416" s="97" t="str">
        <f>IFERROR(VLOOKUP(D416,'INVONTERY FEB'!$A$6:$B$131,2,FALSE),"")</f>
        <v/>
      </c>
      <c r="F416" s="97" t="str">
        <f>IFERROR(VLOOKUP(E416,'INVONTERY FEB'!$B$6:$C$131,2,FALSE),"")</f>
        <v/>
      </c>
      <c r="G416" s="99" t="str">
        <f>IFERROR(VLOOKUP(E416,'INVONTERY FEB'!$B$6:$D$131,3,FALSE),"")</f>
        <v/>
      </c>
      <c r="H416" s="108"/>
      <c r="I416" s="101">
        <f t="shared" si="1"/>
        <v>0</v>
      </c>
      <c r="J416" s="102"/>
      <c r="K416" s="120"/>
    </row>
    <row r="417" ht="15.75" customHeight="1">
      <c r="A417" s="93"/>
      <c r="B417" s="97"/>
      <c r="C417" s="115"/>
      <c r="D417" s="116"/>
      <c r="E417" s="97" t="str">
        <f>IFERROR(VLOOKUP(D417,'INVONTERY FEB'!$A$6:$B$131,2,FALSE),"")</f>
        <v/>
      </c>
      <c r="F417" s="97" t="str">
        <f>IFERROR(VLOOKUP(E417,'INVONTERY FEB'!$B$6:$C$131,2,FALSE),"")</f>
        <v/>
      </c>
      <c r="G417" s="99" t="str">
        <f>IFERROR(VLOOKUP(E417,'INVONTERY FEB'!$B$6:$D$131,3,FALSE),"")</f>
        <v/>
      </c>
      <c r="H417" s="108"/>
      <c r="I417" s="101">
        <f t="shared" si="1"/>
        <v>0</v>
      </c>
      <c r="J417" s="102"/>
      <c r="K417" s="120"/>
    </row>
    <row r="418" ht="15.75" customHeight="1">
      <c r="A418" s="93"/>
      <c r="B418" s="97"/>
      <c r="C418" s="115"/>
      <c r="D418" s="116"/>
      <c r="E418" s="97" t="str">
        <f>IFERROR(VLOOKUP(D418,'INVONTERY FEB'!$A$6:$B$131,2,FALSE),"")</f>
        <v/>
      </c>
      <c r="F418" s="97" t="str">
        <f>IFERROR(VLOOKUP(E418,'INVONTERY FEB'!$B$6:$C$131,2,FALSE),"")</f>
        <v/>
      </c>
      <c r="G418" s="99" t="str">
        <f>IFERROR(VLOOKUP(E418,'INVONTERY FEB'!$B$6:$D$131,3,FALSE),"")</f>
        <v/>
      </c>
      <c r="H418" s="108"/>
      <c r="I418" s="101">
        <f t="shared" si="1"/>
        <v>0</v>
      </c>
      <c r="J418" s="102"/>
      <c r="K418" s="120"/>
    </row>
    <row r="419" ht="15.75" customHeight="1">
      <c r="A419" s="93"/>
      <c r="B419" s="97"/>
      <c r="C419" s="115"/>
      <c r="D419" s="116"/>
      <c r="E419" s="97" t="str">
        <f>IFERROR(VLOOKUP(D419,'INVONTERY FEB'!$A$6:$B$131,2,FALSE),"")</f>
        <v/>
      </c>
      <c r="F419" s="97" t="str">
        <f>IFERROR(VLOOKUP(E419,'INVONTERY FEB'!$B$6:$C$131,2,FALSE),"")</f>
        <v/>
      </c>
      <c r="G419" s="99" t="str">
        <f>IFERROR(VLOOKUP(E419,'INVONTERY FEB'!$B$6:$D$131,3,FALSE),"")</f>
        <v/>
      </c>
      <c r="H419" s="108"/>
      <c r="I419" s="101">
        <f t="shared" si="1"/>
        <v>0</v>
      </c>
      <c r="J419" s="102"/>
      <c r="K419" s="120"/>
    </row>
    <row r="420" ht="15.75" customHeight="1">
      <c r="A420" s="93"/>
      <c r="B420" s="97"/>
      <c r="C420" s="115"/>
      <c r="D420" s="116"/>
      <c r="E420" s="97" t="str">
        <f>IFERROR(VLOOKUP(D420,'INVONTERY FEB'!$A$6:$B$131,2,FALSE),"")</f>
        <v/>
      </c>
      <c r="F420" s="97" t="str">
        <f>IFERROR(VLOOKUP(E420,'INVONTERY FEB'!$B$6:$C$131,2,FALSE),"")</f>
        <v/>
      </c>
      <c r="G420" s="99" t="str">
        <f>IFERROR(VLOOKUP(E420,'INVONTERY FEB'!$B$6:$D$131,3,FALSE),"")</f>
        <v/>
      </c>
      <c r="H420" s="108"/>
      <c r="I420" s="101">
        <f t="shared" si="1"/>
        <v>0</v>
      </c>
      <c r="J420" s="102"/>
      <c r="K420" s="120"/>
    </row>
    <row r="421" ht="15.75" customHeight="1">
      <c r="A421" s="93"/>
      <c r="B421" s="97"/>
      <c r="C421" s="115"/>
      <c r="D421" s="116"/>
      <c r="E421" s="97" t="str">
        <f>IFERROR(VLOOKUP(D421,'INVONTERY FEB'!$A$6:$B$131,2,FALSE),"")</f>
        <v/>
      </c>
      <c r="F421" s="97" t="str">
        <f>IFERROR(VLOOKUP(E421,'INVONTERY FEB'!$B$6:$C$131,2,FALSE),"")</f>
        <v/>
      </c>
      <c r="G421" s="99" t="str">
        <f>IFERROR(VLOOKUP(E421,'INVONTERY FEB'!$B$6:$D$131,3,FALSE),"")</f>
        <v/>
      </c>
      <c r="H421" s="108"/>
      <c r="I421" s="101">
        <f t="shared" si="1"/>
        <v>0</v>
      </c>
      <c r="J421" s="102"/>
      <c r="K421" s="120"/>
    </row>
    <row r="422" ht="15.75" customHeight="1">
      <c r="A422" s="93"/>
      <c r="B422" s="97"/>
      <c r="C422" s="115"/>
      <c r="D422" s="116"/>
      <c r="E422" s="97" t="str">
        <f>IFERROR(VLOOKUP(D422,'INVONTERY FEB'!$A$6:$B$131,2,FALSE),"")</f>
        <v/>
      </c>
      <c r="F422" s="97" t="str">
        <f>IFERROR(VLOOKUP(E422,'INVONTERY FEB'!$B$6:$C$131,2,FALSE),"")</f>
        <v/>
      </c>
      <c r="G422" s="99" t="str">
        <f>IFERROR(VLOOKUP(E422,'INVONTERY FEB'!$B$6:$D$131,3,FALSE),"")</f>
        <v/>
      </c>
      <c r="H422" s="108"/>
      <c r="I422" s="101">
        <f t="shared" si="1"/>
        <v>0</v>
      </c>
      <c r="J422" s="102"/>
      <c r="K422" s="120"/>
    </row>
    <row r="423" ht="15.75" customHeight="1">
      <c r="A423" s="93"/>
      <c r="B423" s="97"/>
      <c r="C423" s="115"/>
      <c r="D423" s="116"/>
      <c r="E423" s="97" t="str">
        <f>IFERROR(VLOOKUP(D423,'INVONTERY FEB'!$A$6:$B$131,2,FALSE),"")</f>
        <v/>
      </c>
      <c r="F423" s="97" t="str">
        <f>IFERROR(VLOOKUP(E423,'INVONTERY FEB'!$B$6:$C$131,2,FALSE),"")</f>
        <v/>
      </c>
      <c r="G423" s="99" t="str">
        <f>IFERROR(VLOOKUP(E423,'INVONTERY FEB'!$B$6:$D$131,3,FALSE),"")</f>
        <v/>
      </c>
      <c r="H423" s="108"/>
      <c r="I423" s="101">
        <f t="shared" si="1"/>
        <v>0</v>
      </c>
      <c r="J423" s="102"/>
      <c r="K423" s="120"/>
    </row>
    <row r="424" ht="15.75" customHeight="1">
      <c r="A424" s="93"/>
      <c r="B424" s="97"/>
      <c r="C424" s="115"/>
      <c r="D424" s="116"/>
      <c r="E424" s="97" t="str">
        <f>IFERROR(VLOOKUP(D424,'INVONTERY FEB'!$A$6:$B$131,2,FALSE),"")</f>
        <v/>
      </c>
      <c r="F424" s="97" t="str">
        <f>IFERROR(VLOOKUP(E424,'INVONTERY FEB'!$B$6:$C$131,2,FALSE),"")</f>
        <v/>
      </c>
      <c r="G424" s="99" t="str">
        <f>IFERROR(VLOOKUP(E424,'INVONTERY FEB'!$B$6:$D$131,3,FALSE),"")</f>
        <v/>
      </c>
      <c r="H424" s="108"/>
      <c r="I424" s="101">
        <f t="shared" si="1"/>
        <v>0</v>
      </c>
      <c r="J424" s="102"/>
      <c r="K424" s="120"/>
    </row>
    <row r="425" ht="15.75" customHeight="1">
      <c r="A425" s="93"/>
      <c r="B425" s="97"/>
      <c r="C425" s="115"/>
      <c r="D425" s="116"/>
      <c r="E425" s="97" t="str">
        <f>IFERROR(VLOOKUP(D425,'INVONTERY FEB'!$A$6:$B$131,2,FALSE),"")</f>
        <v/>
      </c>
      <c r="F425" s="97" t="str">
        <f>IFERROR(VLOOKUP(E425,'INVONTERY FEB'!$B$6:$C$131,2,FALSE),"")</f>
        <v/>
      </c>
      <c r="G425" s="99" t="str">
        <f>IFERROR(VLOOKUP(E425,'INVONTERY FEB'!$B$6:$D$131,3,FALSE),"")</f>
        <v/>
      </c>
      <c r="H425" s="108"/>
      <c r="I425" s="101">
        <f t="shared" si="1"/>
        <v>0</v>
      </c>
      <c r="J425" s="102"/>
      <c r="K425" s="120"/>
    </row>
    <row r="426" ht="15.75" customHeight="1">
      <c r="A426" s="93"/>
      <c r="B426" s="97"/>
      <c r="C426" s="115"/>
      <c r="D426" s="116"/>
      <c r="E426" s="97" t="str">
        <f>IFERROR(VLOOKUP(D426,'INVONTERY FEB'!$A$6:$B$131,2,FALSE),"")</f>
        <v/>
      </c>
      <c r="F426" s="97" t="str">
        <f>IFERROR(VLOOKUP(E426,'INVONTERY FEB'!$B$6:$C$131,2,FALSE),"")</f>
        <v/>
      </c>
      <c r="G426" s="99" t="str">
        <f>IFERROR(VLOOKUP(E426,'INVONTERY FEB'!$B$6:$D$131,3,FALSE),"")</f>
        <v/>
      </c>
      <c r="H426" s="108"/>
      <c r="I426" s="101">
        <f t="shared" si="1"/>
        <v>0</v>
      </c>
      <c r="J426" s="102"/>
      <c r="K426" s="120"/>
    </row>
    <row r="427" ht="15.75" customHeight="1">
      <c r="A427" s="93"/>
      <c r="B427" s="97"/>
      <c r="C427" s="115"/>
      <c r="D427" s="116"/>
      <c r="E427" s="97" t="str">
        <f>IFERROR(VLOOKUP(D427,'INVONTERY FEB'!$A$6:$B$131,2,FALSE),"")</f>
        <v/>
      </c>
      <c r="F427" s="97" t="str">
        <f>IFERROR(VLOOKUP(E427,'INVONTERY FEB'!$B$6:$C$131,2,FALSE),"")</f>
        <v/>
      </c>
      <c r="G427" s="99" t="str">
        <f>IFERROR(VLOOKUP(E427,'INVONTERY FEB'!$B$6:$D$131,3,FALSE),"")</f>
        <v/>
      </c>
      <c r="H427" s="108"/>
      <c r="I427" s="101">
        <f t="shared" si="1"/>
        <v>0</v>
      </c>
      <c r="J427" s="102"/>
      <c r="K427" s="120"/>
    </row>
    <row r="428" ht="15.75" customHeight="1">
      <c r="A428" s="93"/>
      <c r="B428" s="97"/>
      <c r="C428" s="115"/>
      <c r="D428" s="116"/>
      <c r="E428" s="97" t="str">
        <f>IFERROR(VLOOKUP(D428,'INVONTERY FEB'!$A$6:$B$131,2,FALSE),"")</f>
        <v/>
      </c>
      <c r="F428" s="97" t="str">
        <f>IFERROR(VLOOKUP(E428,'INVONTERY FEB'!$B$6:$C$131,2,FALSE),"")</f>
        <v/>
      </c>
      <c r="G428" s="99" t="str">
        <f>IFERROR(VLOOKUP(E428,'INVONTERY FEB'!$B$6:$D$131,3,FALSE),"")</f>
        <v/>
      </c>
      <c r="H428" s="108"/>
      <c r="I428" s="101">
        <f t="shared" si="1"/>
        <v>0</v>
      </c>
      <c r="J428" s="102"/>
      <c r="K428" s="120"/>
    </row>
    <row r="429" ht="15.75" customHeight="1">
      <c r="A429" s="93"/>
      <c r="B429" s="97"/>
      <c r="C429" s="115"/>
      <c r="D429" s="116"/>
      <c r="E429" s="97" t="str">
        <f>IFERROR(VLOOKUP(D429,'INVONTERY FEB'!$A$6:$B$131,2,FALSE),"")</f>
        <v/>
      </c>
      <c r="F429" s="97" t="str">
        <f>IFERROR(VLOOKUP(E429,'INVONTERY FEB'!$B$6:$C$131,2,FALSE),"")</f>
        <v/>
      </c>
      <c r="G429" s="99" t="str">
        <f>IFERROR(VLOOKUP(E429,'INVONTERY FEB'!$B$6:$D$131,3,FALSE),"")</f>
        <v/>
      </c>
      <c r="H429" s="108"/>
      <c r="I429" s="101">
        <f t="shared" si="1"/>
        <v>0</v>
      </c>
      <c r="J429" s="102"/>
      <c r="K429" s="120"/>
    </row>
    <row r="430" ht="15.75" customHeight="1">
      <c r="A430" s="93"/>
      <c r="B430" s="97"/>
      <c r="C430" s="115"/>
      <c r="D430" s="116"/>
      <c r="E430" s="97" t="str">
        <f>IFERROR(VLOOKUP(D430,'INVONTERY FEB'!$A$6:$B$131,2,FALSE),"")</f>
        <v/>
      </c>
      <c r="F430" s="97" t="str">
        <f>IFERROR(VLOOKUP(E430,'INVONTERY FEB'!$B$6:$C$131,2,FALSE),"")</f>
        <v/>
      </c>
      <c r="G430" s="99" t="str">
        <f>IFERROR(VLOOKUP(E430,'INVONTERY FEB'!$B$6:$D$131,3,FALSE),"")</f>
        <v/>
      </c>
      <c r="H430" s="108"/>
      <c r="I430" s="101">
        <f t="shared" si="1"/>
        <v>0</v>
      </c>
      <c r="J430" s="102"/>
      <c r="K430" s="120"/>
    </row>
    <row r="431" ht="15.75" customHeight="1">
      <c r="A431" s="93"/>
      <c r="B431" s="97"/>
      <c r="C431" s="115"/>
      <c r="D431" s="116"/>
      <c r="E431" s="97" t="str">
        <f>IFERROR(VLOOKUP(D431,'INVONTERY FEB'!$A$6:$B$131,2,FALSE),"")</f>
        <v/>
      </c>
      <c r="F431" s="97" t="str">
        <f>IFERROR(VLOOKUP(E431,'INVONTERY FEB'!$B$6:$C$131,2,FALSE),"")</f>
        <v/>
      </c>
      <c r="G431" s="99" t="str">
        <f>IFERROR(VLOOKUP(E431,'INVONTERY FEB'!$B$6:$D$131,3,FALSE),"")</f>
        <v/>
      </c>
      <c r="H431" s="108"/>
      <c r="I431" s="101">
        <f t="shared" si="1"/>
        <v>0</v>
      </c>
      <c r="J431" s="102"/>
      <c r="K431" s="120"/>
    </row>
    <row r="432" ht="15.75" customHeight="1">
      <c r="A432" s="93"/>
      <c r="B432" s="97"/>
      <c r="C432" s="115"/>
      <c r="D432" s="116"/>
      <c r="E432" s="97" t="str">
        <f>IFERROR(VLOOKUP(D432,'INVONTERY FEB'!$A$6:$B$131,2,FALSE),"")</f>
        <v/>
      </c>
      <c r="F432" s="97" t="str">
        <f>IFERROR(VLOOKUP(E432,'INVONTERY FEB'!$B$6:$C$131,2,FALSE),"")</f>
        <v/>
      </c>
      <c r="G432" s="99" t="str">
        <f>IFERROR(VLOOKUP(E432,'INVONTERY FEB'!$B$6:$D$131,3,FALSE),"")</f>
        <v/>
      </c>
      <c r="H432" s="108"/>
      <c r="I432" s="101">
        <f t="shared" si="1"/>
        <v>0</v>
      </c>
      <c r="J432" s="102"/>
      <c r="K432" s="120"/>
    </row>
    <row r="433" ht="15.75" customHeight="1">
      <c r="A433" s="93"/>
      <c r="B433" s="97"/>
      <c r="C433" s="115"/>
      <c r="D433" s="116"/>
      <c r="E433" s="97" t="str">
        <f>IFERROR(VLOOKUP(D433,'INVONTERY FEB'!$A$6:$B$131,2,FALSE),"")</f>
        <v/>
      </c>
      <c r="F433" s="97" t="str">
        <f>IFERROR(VLOOKUP(E433,'INVONTERY FEB'!$B$6:$C$131,2,FALSE),"")</f>
        <v/>
      </c>
      <c r="G433" s="99" t="str">
        <f>IFERROR(VLOOKUP(E433,'INVONTERY FEB'!$B$6:$D$131,3,FALSE),"")</f>
        <v/>
      </c>
      <c r="H433" s="108"/>
      <c r="I433" s="101">
        <f t="shared" si="1"/>
        <v>0</v>
      </c>
      <c r="J433" s="102"/>
      <c r="K433" s="120"/>
    </row>
    <row r="434" ht="15.75" customHeight="1">
      <c r="A434" s="93"/>
      <c r="B434" s="97"/>
      <c r="C434" s="115"/>
      <c r="D434" s="116"/>
      <c r="E434" s="97" t="str">
        <f>IFERROR(VLOOKUP(D434,'INVONTERY FEB'!$A$6:$B$131,2,FALSE),"")</f>
        <v/>
      </c>
      <c r="F434" s="97" t="str">
        <f>IFERROR(VLOOKUP(E434,'INVONTERY FEB'!$B$6:$C$131,2,FALSE),"")</f>
        <v/>
      </c>
      <c r="G434" s="99" t="str">
        <f>IFERROR(VLOOKUP(E434,'INVONTERY FEB'!$B$6:$D$131,3,FALSE),"")</f>
        <v/>
      </c>
      <c r="H434" s="108"/>
      <c r="I434" s="101">
        <f t="shared" si="1"/>
        <v>0</v>
      </c>
      <c r="J434" s="102"/>
      <c r="K434" s="120"/>
    </row>
    <row r="435" ht="15.75" customHeight="1">
      <c r="A435" s="93"/>
      <c r="B435" s="97"/>
      <c r="C435" s="115"/>
      <c r="D435" s="116"/>
      <c r="E435" s="97" t="str">
        <f>IFERROR(VLOOKUP(D435,'INVONTERY FEB'!$A$6:$B$131,2,FALSE),"")</f>
        <v/>
      </c>
      <c r="F435" s="97" t="str">
        <f>IFERROR(VLOOKUP(E435,'INVONTERY FEB'!$B$6:$C$131,2,FALSE),"")</f>
        <v/>
      </c>
      <c r="G435" s="99" t="str">
        <f>IFERROR(VLOOKUP(E435,'INVONTERY FEB'!$B$6:$D$131,3,FALSE),"")</f>
        <v/>
      </c>
      <c r="H435" s="108"/>
      <c r="I435" s="101">
        <f t="shared" si="1"/>
        <v>0</v>
      </c>
      <c r="J435" s="102"/>
      <c r="K435" s="120"/>
    </row>
    <row r="436" ht="15.75" customHeight="1">
      <c r="A436" s="93"/>
      <c r="B436" s="97"/>
      <c r="C436" s="115"/>
      <c r="D436" s="116"/>
      <c r="E436" s="97" t="str">
        <f>IFERROR(VLOOKUP(D436,'INVONTERY FEB'!$A$6:$B$131,2,FALSE),"")</f>
        <v/>
      </c>
      <c r="F436" s="97" t="str">
        <f>IFERROR(VLOOKUP(E436,'INVONTERY FEB'!$B$6:$C$131,2,FALSE),"")</f>
        <v/>
      </c>
      <c r="G436" s="99" t="str">
        <f>IFERROR(VLOOKUP(E436,'INVONTERY FEB'!$B$6:$D$131,3,FALSE),"")</f>
        <v/>
      </c>
      <c r="H436" s="108"/>
      <c r="I436" s="101">
        <f t="shared" si="1"/>
        <v>0</v>
      </c>
      <c r="J436" s="102"/>
      <c r="K436" s="120"/>
    </row>
    <row r="437" ht="15.75" customHeight="1">
      <c r="A437" s="93"/>
      <c r="B437" s="97"/>
      <c r="C437" s="115"/>
      <c r="D437" s="116"/>
      <c r="E437" s="97" t="str">
        <f>IFERROR(VLOOKUP(D437,'INVONTERY FEB'!$A$6:$B$131,2,FALSE),"")</f>
        <v/>
      </c>
      <c r="F437" s="97" t="str">
        <f>IFERROR(VLOOKUP(E437,'INVONTERY FEB'!$B$6:$C$131,2,FALSE),"")</f>
        <v/>
      </c>
      <c r="G437" s="99" t="str">
        <f>IFERROR(VLOOKUP(E437,'INVONTERY FEB'!$B$6:$D$131,3,FALSE),"")</f>
        <v/>
      </c>
      <c r="H437" s="108"/>
      <c r="I437" s="101">
        <f t="shared" si="1"/>
        <v>0</v>
      </c>
      <c r="J437" s="102"/>
      <c r="K437" s="120"/>
    </row>
    <row r="438" ht="15.75" customHeight="1">
      <c r="A438" s="93"/>
      <c r="B438" s="97"/>
      <c r="C438" s="115"/>
      <c r="D438" s="116"/>
      <c r="E438" s="97" t="str">
        <f>IFERROR(VLOOKUP(D438,'INVONTERY FEB'!$A$6:$B$131,2,FALSE),"")</f>
        <v/>
      </c>
      <c r="F438" s="97" t="str">
        <f>IFERROR(VLOOKUP(E438,'INVONTERY FEB'!$B$6:$C$131,2,FALSE),"")</f>
        <v/>
      </c>
      <c r="G438" s="99" t="str">
        <f>IFERROR(VLOOKUP(E438,'INVONTERY FEB'!$B$6:$D$131,3,FALSE),"")</f>
        <v/>
      </c>
      <c r="H438" s="108"/>
      <c r="I438" s="101">
        <f t="shared" si="1"/>
        <v>0</v>
      </c>
      <c r="J438" s="102"/>
      <c r="K438" s="120"/>
    </row>
    <row r="439" ht="15.75" customHeight="1">
      <c r="A439" s="93"/>
      <c r="B439" s="97"/>
      <c r="C439" s="115"/>
      <c r="D439" s="116"/>
      <c r="E439" s="97" t="str">
        <f>IFERROR(VLOOKUP(D439,'INVONTERY FEB'!$A$6:$B$131,2,FALSE),"")</f>
        <v/>
      </c>
      <c r="F439" s="97" t="str">
        <f>IFERROR(VLOOKUP(E439,'INVONTERY FEB'!$B$6:$C$131,2,FALSE),"")</f>
        <v/>
      </c>
      <c r="G439" s="99" t="str">
        <f>IFERROR(VLOOKUP(E439,'INVONTERY FEB'!$B$6:$D$131,3,FALSE),"")</f>
        <v/>
      </c>
      <c r="H439" s="108"/>
      <c r="I439" s="101">
        <f t="shared" si="1"/>
        <v>0</v>
      </c>
      <c r="J439" s="102"/>
      <c r="K439" s="120"/>
    </row>
    <row r="440" ht="15.75" customHeight="1">
      <c r="A440" s="93"/>
      <c r="B440" s="97"/>
      <c r="C440" s="115"/>
      <c r="D440" s="116"/>
      <c r="E440" s="97" t="str">
        <f>IFERROR(VLOOKUP(D440,'INVONTERY FEB'!$A$6:$B$131,2,FALSE),"")</f>
        <v/>
      </c>
      <c r="F440" s="97" t="str">
        <f>IFERROR(VLOOKUP(E440,'INVONTERY FEB'!$B$6:$C$131,2,FALSE),"")</f>
        <v/>
      </c>
      <c r="G440" s="99" t="str">
        <f>IFERROR(VLOOKUP(E440,'INVONTERY FEB'!$B$6:$D$131,3,FALSE),"")</f>
        <v/>
      </c>
      <c r="H440" s="108"/>
      <c r="I440" s="101">
        <f t="shared" si="1"/>
        <v>0</v>
      </c>
      <c r="J440" s="102"/>
      <c r="K440" s="120"/>
    </row>
    <row r="441" ht="15.75" customHeight="1">
      <c r="A441" s="93"/>
      <c r="B441" s="97"/>
      <c r="C441" s="115"/>
      <c r="D441" s="116"/>
      <c r="E441" s="97" t="str">
        <f>IFERROR(VLOOKUP(D441,'INVONTERY FEB'!$A$6:$B$131,2,FALSE),"")</f>
        <v/>
      </c>
      <c r="F441" s="97" t="str">
        <f>IFERROR(VLOOKUP(E441,'INVONTERY FEB'!$B$6:$C$131,2,FALSE),"")</f>
        <v/>
      </c>
      <c r="G441" s="99" t="str">
        <f>IFERROR(VLOOKUP(E441,'INVONTERY FEB'!$B$6:$D$131,3,FALSE),"")</f>
        <v/>
      </c>
      <c r="H441" s="108"/>
      <c r="I441" s="101">
        <f t="shared" si="1"/>
        <v>0</v>
      </c>
      <c r="J441" s="102"/>
      <c r="K441" s="120"/>
    </row>
    <row r="442" ht="15.75" customHeight="1">
      <c r="A442" s="93"/>
      <c r="B442" s="97"/>
      <c r="C442" s="115"/>
      <c r="D442" s="116"/>
      <c r="E442" s="97" t="str">
        <f>IFERROR(VLOOKUP(D442,'INVONTERY FEB'!$A$6:$B$131,2,FALSE),"")</f>
        <v/>
      </c>
      <c r="F442" s="97" t="str">
        <f>IFERROR(VLOOKUP(E442,'INVONTERY FEB'!$B$6:$C$131,2,FALSE),"")</f>
        <v/>
      </c>
      <c r="G442" s="99" t="str">
        <f>IFERROR(VLOOKUP(E442,'INVONTERY FEB'!$B$6:$D$131,3,FALSE),"")</f>
        <v/>
      </c>
      <c r="H442" s="108"/>
      <c r="I442" s="101">
        <f t="shared" si="1"/>
        <v>0</v>
      </c>
      <c r="J442" s="102"/>
      <c r="K442" s="120"/>
    </row>
    <row r="443" ht="15.75" customHeight="1">
      <c r="A443" s="93"/>
      <c r="B443" s="97"/>
      <c r="C443" s="115"/>
      <c r="D443" s="116"/>
      <c r="E443" s="97" t="str">
        <f>IFERROR(VLOOKUP(D443,'INVONTERY FEB'!$A$6:$B$131,2,FALSE),"")</f>
        <v/>
      </c>
      <c r="F443" s="97" t="str">
        <f>IFERROR(VLOOKUP(E443,'INVONTERY FEB'!$B$6:$C$131,2,FALSE),"")</f>
        <v/>
      </c>
      <c r="G443" s="99" t="str">
        <f>IFERROR(VLOOKUP(E443,'INVONTERY FEB'!$B$6:$D$131,3,FALSE),"")</f>
        <v/>
      </c>
      <c r="H443" s="108"/>
      <c r="I443" s="101">
        <f t="shared" si="1"/>
        <v>0</v>
      </c>
      <c r="J443" s="102"/>
      <c r="K443" s="120"/>
    </row>
    <row r="444" ht="15.75" customHeight="1">
      <c r="A444" s="93"/>
      <c r="B444" s="97"/>
      <c r="C444" s="115"/>
      <c r="D444" s="116"/>
      <c r="E444" s="97" t="str">
        <f>IFERROR(VLOOKUP(D444,'INVONTERY FEB'!$A$6:$B$131,2,FALSE),"")</f>
        <v/>
      </c>
      <c r="F444" s="97" t="str">
        <f>IFERROR(VLOOKUP(E444,'INVONTERY FEB'!$B$6:$C$131,2,FALSE),"")</f>
        <v/>
      </c>
      <c r="G444" s="99" t="str">
        <f>IFERROR(VLOOKUP(E444,'INVONTERY FEB'!$B$6:$D$131,3,FALSE),"")</f>
        <v/>
      </c>
      <c r="H444" s="108"/>
      <c r="I444" s="101">
        <f t="shared" si="1"/>
        <v>0</v>
      </c>
      <c r="J444" s="102"/>
      <c r="K444" s="120"/>
    </row>
    <row r="445" ht="15.75" customHeight="1">
      <c r="A445" s="93"/>
      <c r="B445" s="97"/>
      <c r="C445" s="115"/>
      <c r="D445" s="116"/>
      <c r="E445" s="97" t="str">
        <f>IFERROR(VLOOKUP(D445,'INVONTERY FEB'!$A$6:$B$131,2,FALSE),"")</f>
        <v/>
      </c>
      <c r="F445" s="97" t="str">
        <f>IFERROR(VLOOKUP(E445,'INVONTERY FEB'!$B$6:$C$131,2,FALSE),"")</f>
        <v/>
      </c>
      <c r="G445" s="99" t="str">
        <f>IFERROR(VLOOKUP(E445,'INVONTERY FEB'!$B$6:$D$131,3,FALSE),"")</f>
        <v/>
      </c>
      <c r="H445" s="108"/>
      <c r="I445" s="101">
        <f t="shared" si="1"/>
        <v>0</v>
      </c>
      <c r="J445" s="102"/>
      <c r="K445" s="120"/>
    </row>
    <row r="446" ht="15.75" customHeight="1">
      <c r="A446" s="93"/>
      <c r="B446" s="97"/>
      <c r="C446" s="115"/>
      <c r="D446" s="116"/>
      <c r="E446" s="97" t="str">
        <f>IFERROR(VLOOKUP(D446,'INVONTERY FEB'!$A$6:$B$131,2,FALSE),"")</f>
        <v/>
      </c>
      <c r="F446" s="97" t="str">
        <f>IFERROR(VLOOKUP(E446,'INVONTERY FEB'!$B$6:$C$131,2,FALSE),"")</f>
        <v/>
      </c>
      <c r="G446" s="99" t="str">
        <f>IFERROR(VLOOKUP(E446,'INVONTERY FEB'!$B$6:$D$131,3,FALSE),"")</f>
        <v/>
      </c>
      <c r="H446" s="108"/>
      <c r="I446" s="101">
        <f t="shared" si="1"/>
        <v>0</v>
      </c>
      <c r="J446" s="102"/>
      <c r="K446" s="120"/>
    </row>
    <row r="447" ht="15.75" customHeight="1">
      <c r="A447" s="93"/>
      <c r="B447" s="97"/>
      <c r="C447" s="115"/>
      <c r="D447" s="116"/>
      <c r="E447" s="97" t="str">
        <f>IFERROR(VLOOKUP(D447,'INVONTERY FEB'!$A$6:$B$131,2,FALSE),"")</f>
        <v/>
      </c>
      <c r="F447" s="97" t="str">
        <f>IFERROR(VLOOKUP(E447,'INVONTERY FEB'!$B$6:$C$131,2,FALSE),"")</f>
        <v/>
      </c>
      <c r="G447" s="99" t="str">
        <f>IFERROR(VLOOKUP(E447,'INVONTERY FEB'!$B$6:$D$131,3,FALSE),"")</f>
        <v/>
      </c>
      <c r="H447" s="108"/>
      <c r="I447" s="101">
        <f t="shared" si="1"/>
        <v>0</v>
      </c>
      <c r="J447" s="102"/>
      <c r="K447" s="120"/>
    </row>
    <row r="448" ht="15.75" customHeight="1">
      <c r="A448" s="93"/>
      <c r="B448" s="97"/>
      <c r="C448" s="115"/>
      <c r="D448" s="116"/>
      <c r="E448" s="97" t="str">
        <f>IFERROR(VLOOKUP(D448,'INVONTERY FEB'!$A$6:$B$131,2,FALSE),"")</f>
        <v/>
      </c>
      <c r="F448" s="97" t="str">
        <f>IFERROR(VLOOKUP(E448,'INVONTERY FEB'!$B$6:$C$131,2,FALSE),"")</f>
        <v/>
      </c>
      <c r="G448" s="99" t="str">
        <f>IFERROR(VLOOKUP(E448,'INVONTERY FEB'!$B$6:$D$131,3,FALSE),"")</f>
        <v/>
      </c>
      <c r="H448" s="108"/>
      <c r="I448" s="101">
        <f t="shared" si="1"/>
        <v>0</v>
      </c>
      <c r="J448" s="102"/>
      <c r="K448" s="120"/>
    </row>
    <row r="449" ht="15.75" customHeight="1">
      <c r="A449" s="93"/>
      <c r="B449" s="97"/>
      <c r="C449" s="115"/>
      <c r="D449" s="116"/>
      <c r="E449" s="97" t="str">
        <f>IFERROR(VLOOKUP(D449,'INVONTERY FEB'!$A$6:$B$131,2,FALSE),"")</f>
        <v/>
      </c>
      <c r="F449" s="97" t="str">
        <f>IFERROR(VLOOKUP(E449,'INVONTERY FEB'!$B$6:$C$131,2,FALSE),"")</f>
        <v/>
      </c>
      <c r="G449" s="99" t="str">
        <f>IFERROR(VLOOKUP(E449,'INVONTERY FEB'!$B$6:$D$131,3,FALSE),"")</f>
        <v/>
      </c>
      <c r="H449" s="108"/>
      <c r="I449" s="101">
        <f t="shared" si="1"/>
        <v>0</v>
      </c>
      <c r="J449" s="102"/>
      <c r="K449" s="120"/>
    </row>
    <row r="450" ht="15.75" customHeight="1">
      <c r="A450" s="93"/>
      <c r="B450" s="97"/>
      <c r="C450" s="115"/>
      <c r="D450" s="116"/>
      <c r="E450" s="97" t="str">
        <f>IFERROR(VLOOKUP(D450,'INVONTERY FEB'!$A$6:$B$131,2,FALSE),"")</f>
        <v/>
      </c>
      <c r="F450" s="97" t="str">
        <f>IFERROR(VLOOKUP(E450,'INVONTERY FEB'!$B$6:$C$131,2,FALSE),"")</f>
        <v/>
      </c>
      <c r="G450" s="99" t="str">
        <f>IFERROR(VLOOKUP(E450,'INVONTERY FEB'!$B$6:$D$131,3,FALSE),"")</f>
        <v/>
      </c>
      <c r="H450" s="108"/>
      <c r="I450" s="101">
        <f t="shared" si="1"/>
        <v>0</v>
      </c>
      <c r="J450" s="102"/>
      <c r="K450" s="120"/>
    </row>
    <row r="451" ht="15.75" customHeight="1">
      <c r="A451" s="93"/>
      <c r="B451" s="97"/>
      <c r="C451" s="115"/>
      <c r="D451" s="116"/>
      <c r="E451" s="97" t="str">
        <f>IFERROR(VLOOKUP(D451,'INVONTERY FEB'!$A$6:$B$131,2,FALSE),"")</f>
        <v/>
      </c>
      <c r="F451" s="97" t="str">
        <f>IFERROR(VLOOKUP(E451,'INVONTERY FEB'!$B$6:$C$131,2,FALSE),"")</f>
        <v/>
      </c>
      <c r="G451" s="99" t="str">
        <f>IFERROR(VLOOKUP(E451,'INVONTERY FEB'!$B$6:$D$131,3,FALSE),"")</f>
        <v/>
      </c>
      <c r="H451" s="108"/>
      <c r="I451" s="101">
        <f t="shared" si="1"/>
        <v>0</v>
      </c>
      <c r="J451" s="102"/>
      <c r="K451" s="120"/>
    </row>
    <row r="452" ht="15.75" customHeight="1">
      <c r="A452" s="93"/>
      <c r="B452" s="97"/>
      <c r="C452" s="115"/>
      <c r="D452" s="116"/>
      <c r="E452" s="97" t="str">
        <f>IFERROR(VLOOKUP(D452,'INVONTERY FEB'!$A$6:$B$131,2,FALSE),"")</f>
        <v/>
      </c>
      <c r="F452" s="97" t="str">
        <f>IFERROR(VLOOKUP(E452,'INVONTERY FEB'!$B$6:$C$131,2,FALSE),"")</f>
        <v/>
      </c>
      <c r="G452" s="99" t="str">
        <f>IFERROR(VLOOKUP(E452,'INVONTERY FEB'!$B$6:$D$131,3,FALSE),"")</f>
        <v/>
      </c>
      <c r="H452" s="108"/>
      <c r="I452" s="101">
        <f t="shared" si="1"/>
        <v>0</v>
      </c>
      <c r="J452" s="102"/>
      <c r="K452" s="120"/>
    </row>
    <row r="453" ht="15.75" customHeight="1">
      <c r="A453" s="93"/>
      <c r="B453" s="97"/>
      <c r="C453" s="115"/>
      <c r="D453" s="116"/>
      <c r="E453" s="97" t="str">
        <f>IFERROR(VLOOKUP(D453,'INVONTERY FEB'!$A$6:$B$131,2,FALSE),"")</f>
        <v/>
      </c>
      <c r="F453" s="97" t="str">
        <f>IFERROR(VLOOKUP(E453,'INVONTERY FEB'!$B$6:$C$131,2,FALSE),"")</f>
        <v/>
      </c>
      <c r="G453" s="99" t="str">
        <f>IFERROR(VLOOKUP(E453,'INVONTERY FEB'!$B$6:$D$131,3,FALSE),"")</f>
        <v/>
      </c>
      <c r="H453" s="108"/>
      <c r="I453" s="101">
        <f t="shared" si="1"/>
        <v>0</v>
      </c>
      <c r="J453" s="102"/>
      <c r="K453" s="120"/>
    </row>
    <row r="454" ht="15.75" customHeight="1">
      <c r="A454" s="93"/>
      <c r="B454" s="97"/>
      <c r="C454" s="115"/>
      <c r="D454" s="116"/>
      <c r="E454" s="97" t="str">
        <f>IFERROR(VLOOKUP(D454,'INVONTERY FEB'!$A$6:$B$131,2,FALSE),"")</f>
        <v/>
      </c>
      <c r="F454" s="97" t="str">
        <f>IFERROR(VLOOKUP(E454,'INVONTERY FEB'!$B$6:$C$131,2,FALSE),"")</f>
        <v/>
      </c>
      <c r="G454" s="99" t="str">
        <f>IFERROR(VLOOKUP(E454,'INVONTERY FEB'!$B$6:$D$131,3,FALSE),"")</f>
        <v/>
      </c>
      <c r="H454" s="108"/>
      <c r="I454" s="101">
        <f t="shared" si="1"/>
        <v>0</v>
      </c>
      <c r="J454" s="102"/>
      <c r="K454" s="120"/>
    </row>
    <row r="455" ht="15.75" customHeight="1">
      <c r="A455" s="93"/>
      <c r="B455" s="97"/>
      <c r="C455" s="115"/>
      <c r="D455" s="116"/>
      <c r="E455" s="97" t="str">
        <f>IFERROR(VLOOKUP(D455,'INVONTERY FEB'!$A$6:$B$131,2,FALSE),"")</f>
        <v/>
      </c>
      <c r="F455" s="97" t="str">
        <f>IFERROR(VLOOKUP(E455,'INVONTERY FEB'!$B$6:$C$131,2,FALSE),"")</f>
        <v/>
      </c>
      <c r="G455" s="99" t="str">
        <f>IFERROR(VLOOKUP(E455,'INVONTERY FEB'!$B$6:$D$131,3,FALSE),"")</f>
        <v/>
      </c>
      <c r="H455" s="108"/>
      <c r="I455" s="101">
        <f t="shared" si="1"/>
        <v>0</v>
      </c>
      <c r="J455" s="102"/>
      <c r="K455" s="120"/>
    </row>
    <row r="456" ht="15.75" customHeight="1">
      <c r="A456" s="93"/>
      <c r="B456" s="97"/>
      <c r="C456" s="115"/>
      <c r="D456" s="116"/>
      <c r="E456" s="97" t="str">
        <f>IFERROR(VLOOKUP(D456,'INVONTERY FEB'!$A$6:$B$131,2,FALSE),"")</f>
        <v/>
      </c>
      <c r="F456" s="97" t="str">
        <f>IFERROR(VLOOKUP(E456,'INVONTERY FEB'!$B$6:$C$131,2,FALSE),"")</f>
        <v/>
      </c>
      <c r="G456" s="99" t="str">
        <f>IFERROR(VLOOKUP(E456,'INVONTERY FEB'!$B$6:$D$131,3,FALSE),"")</f>
        <v/>
      </c>
      <c r="H456" s="108"/>
      <c r="I456" s="101">
        <f t="shared" si="1"/>
        <v>0</v>
      </c>
      <c r="J456" s="102"/>
      <c r="K456" s="120"/>
    </row>
    <row r="457" ht="15.75" customHeight="1">
      <c r="A457" s="93"/>
      <c r="B457" s="97"/>
      <c r="C457" s="115"/>
      <c r="D457" s="116"/>
      <c r="E457" s="97" t="str">
        <f>IFERROR(VLOOKUP(D457,'INVONTERY FEB'!$A$6:$B$131,2,FALSE),"")</f>
        <v/>
      </c>
      <c r="F457" s="97" t="str">
        <f>IFERROR(VLOOKUP(E457,'INVONTERY FEB'!$B$6:$C$131,2,FALSE),"")</f>
        <v/>
      </c>
      <c r="G457" s="99" t="str">
        <f>IFERROR(VLOOKUP(E457,'INVONTERY FEB'!$B$6:$D$131,3,FALSE),"")</f>
        <v/>
      </c>
      <c r="H457" s="108"/>
      <c r="I457" s="101">
        <f t="shared" si="1"/>
        <v>0</v>
      </c>
      <c r="J457" s="102"/>
      <c r="K457" s="120"/>
    </row>
    <row r="458" ht="15.75" customHeight="1">
      <c r="A458" s="93"/>
      <c r="B458" s="97"/>
      <c r="C458" s="115"/>
      <c r="D458" s="116"/>
      <c r="E458" s="97" t="str">
        <f>IFERROR(VLOOKUP(D458,'INVONTERY FEB'!$A$6:$B$131,2,FALSE),"")</f>
        <v/>
      </c>
      <c r="F458" s="97" t="str">
        <f>IFERROR(VLOOKUP(E458,'INVONTERY FEB'!$B$6:$C$131,2,FALSE),"")</f>
        <v/>
      </c>
      <c r="G458" s="99" t="str">
        <f>IFERROR(VLOOKUP(E458,'INVONTERY FEB'!$B$6:$D$131,3,FALSE),"")</f>
        <v/>
      </c>
      <c r="H458" s="108"/>
      <c r="I458" s="101">
        <f t="shared" si="1"/>
        <v>0</v>
      </c>
      <c r="J458" s="102"/>
      <c r="K458" s="120"/>
    </row>
    <row r="459" ht="15.75" customHeight="1">
      <c r="A459" s="93"/>
      <c r="B459" s="97"/>
      <c r="C459" s="115"/>
      <c r="D459" s="116"/>
      <c r="E459" s="97" t="str">
        <f>IFERROR(VLOOKUP(D459,'INVONTERY FEB'!$A$6:$B$131,2,FALSE),"")</f>
        <v/>
      </c>
      <c r="F459" s="97" t="str">
        <f>IFERROR(VLOOKUP(E459,'INVONTERY FEB'!$B$6:$C$131,2,FALSE),"")</f>
        <v/>
      </c>
      <c r="G459" s="99" t="str">
        <f>IFERROR(VLOOKUP(E459,'INVONTERY FEB'!$B$6:$D$131,3,FALSE),"")</f>
        <v/>
      </c>
      <c r="H459" s="108"/>
      <c r="I459" s="101">
        <f t="shared" si="1"/>
        <v>0</v>
      </c>
      <c r="J459" s="102"/>
      <c r="K459" s="120"/>
    </row>
    <row r="460" ht="15.75" customHeight="1">
      <c r="A460" s="93"/>
      <c r="B460" s="97"/>
      <c r="C460" s="115"/>
      <c r="D460" s="116"/>
      <c r="E460" s="97" t="str">
        <f>IFERROR(VLOOKUP(D460,'INVONTERY FEB'!$A$6:$B$131,2,FALSE),"")</f>
        <v/>
      </c>
      <c r="F460" s="97" t="str">
        <f>IFERROR(VLOOKUP(E460,'INVONTERY FEB'!$B$6:$C$131,2,FALSE),"")</f>
        <v/>
      </c>
      <c r="G460" s="99" t="str">
        <f>IFERROR(VLOOKUP(E460,'INVONTERY FEB'!$B$6:$D$131,3,FALSE),"")</f>
        <v/>
      </c>
      <c r="H460" s="108"/>
      <c r="I460" s="101">
        <f t="shared" si="1"/>
        <v>0</v>
      </c>
      <c r="J460" s="102"/>
      <c r="K460" s="120"/>
    </row>
    <row r="461" ht="15.75" customHeight="1">
      <c r="A461" s="93"/>
      <c r="B461" s="97"/>
      <c r="C461" s="115"/>
      <c r="D461" s="116"/>
      <c r="E461" s="97" t="str">
        <f>IFERROR(VLOOKUP(D461,'INVONTERY FEB'!$A$6:$B$131,2,FALSE),"")</f>
        <v/>
      </c>
      <c r="F461" s="97" t="str">
        <f>IFERROR(VLOOKUP(E461,'INVONTERY FEB'!$B$6:$C$131,2,FALSE),"")</f>
        <v/>
      </c>
      <c r="G461" s="99" t="str">
        <f>IFERROR(VLOOKUP(E461,'INVONTERY FEB'!$B$6:$D$131,3,FALSE),"")</f>
        <v/>
      </c>
      <c r="H461" s="108"/>
      <c r="I461" s="101">
        <f t="shared" si="1"/>
        <v>0</v>
      </c>
      <c r="J461" s="102"/>
      <c r="K461" s="120"/>
    </row>
    <row r="462" ht="15.75" customHeight="1">
      <c r="A462" s="93"/>
      <c r="B462" s="97"/>
      <c r="C462" s="115"/>
      <c r="D462" s="116"/>
      <c r="E462" s="97" t="str">
        <f>IFERROR(VLOOKUP(D462,'INVONTERY FEB'!$A$6:$B$131,2,FALSE),"")</f>
        <v/>
      </c>
      <c r="F462" s="97" t="str">
        <f>IFERROR(VLOOKUP(E462,'INVONTERY FEB'!$B$6:$C$131,2,FALSE),"")</f>
        <v/>
      </c>
      <c r="G462" s="99" t="str">
        <f>IFERROR(VLOOKUP(E462,'INVONTERY FEB'!$B$6:$D$131,3,FALSE),"")</f>
        <v/>
      </c>
      <c r="H462" s="108"/>
      <c r="I462" s="101">
        <f t="shared" si="1"/>
        <v>0</v>
      </c>
      <c r="J462" s="102"/>
      <c r="K462" s="120"/>
    </row>
    <row r="463" ht="15.75" customHeight="1">
      <c r="A463" s="93"/>
      <c r="B463" s="97"/>
      <c r="C463" s="115"/>
      <c r="D463" s="116"/>
      <c r="E463" s="97" t="str">
        <f>IFERROR(VLOOKUP(D463,'INVONTERY FEB'!$A$6:$B$131,2,FALSE),"")</f>
        <v/>
      </c>
      <c r="F463" s="97" t="str">
        <f>IFERROR(VLOOKUP(E463,'INVONTERY FEB'!$B$6:$C$131,2,FALSE),"")</f>
        <v/>
      </c>
      <c r="G463" s="99" t="str">
        <f>IFERROR(VLOOKUP(E463,'INVONTERY FEB'!$B$6:$D$131,3,FALSE),"")</f>
        <v/>
      </c>
      <c r="H463" s="108"/>
      <c r="I463" s="101">
        <f t="shared" si="1"/>
        <v>0</v>
      </c>
      <c r="J463" s="102"/>
      <c r="K463" s="120"/>
    </row>
    <row r="464" ht="15.75" customHeight="1">
      <c r="A464" s="93"/>
      <c r="B464" s="97"/>
      <c r="C464" s="115"/>
      <c r="D464" s="116"/>
      <c r="E464" s="97" t="str">
        <f>IFERROR(VLOOKUP(D464,'INVONTERY FEB'!$A$6:$B$131,2,FALSE),"")</f>
        <v/>
      </c>
      <c r="F464" s="97" t="str">
        <f>IFERROR(VLOOKUP(E464,'INVONTERY FEB'!$B$6:$C$131,2,FALSE),"")</f>
        <v/>
      </c>
      <c r="G464" s="99" t="str">
        <f>IFERROR(VLOOKUP(E464,'INVONTERY FEB'!$B$6:$D$131,3,FALSE),"")</f>
        <v/>
      </c>
      <c r="H464" s="108"/>
      <c r="I464" s="101">
        <f t="shared" si="1"/>
        <v>0</v>
      </c>
      <c r="J464" s="102"/>
      <c r="K464" s="120"/>
    </row>
    <row r="465" ht="15.75" customHeight="1">
      <c r="A465" s="93"/>
      <c r="B465" s="97"/>
      <c r="C465" s="115"/>
      <c r="D465" s="116"/>
      <c r="E465" s="97" t="str">
        <f>IFERROR(VLOOKUP(D465,'INVONTERY FEB'!$A$6:$B$131,2,FALSE),"")</f>
        <v/>
      </c>
      <c r="F465" s="97" t="str">
        <f>IFERROR(VLOOKUP(E465,'INVONTERY FEB'!$B$6:$C$131,2,FALSE),"")</f>
        <v/>
      </c>
      <c r="G465" s="99" t="str">
        <f>IFERROR(VLOOKUP(E465,'INVONTERY FEB'!$B$6:$D$131,3,FALSE),"")</f>
        <v/>
      </c>
      <c r="H465" s="108"/>
      <c r="I465" s="101">
        <f t="shared" si="1"/>
        <v>0</v>
      </c>
      <c r="J465" s="102"/>
      <c r="K465" s="120"/>
    </row>
    <row r="466" ht="15.75" customHeight="1">
      <c r="A466" s="93"/>
      <c r="B466" s="97"/>
      <c r="C466" s="115"/>
      <c r="D466" s="116"/>
      <c r="E466" s="97" t="str">
        <f>IFERROR(VLOOKUP(D466,'INVONTERY FEB'!$A$6:$B$131,2,FALSE),"")</f>
        <v/>
      </c>
      <c r="F466" s="97" t="str">
        <f>IFERROR(VLOOKUP(E466,'INVONTERY FEB'!$B$6:$C$131,2,FALSE),"")</f>
        <v/>
      </c>
      <c r="G466" s="99" t="str">
        <f>IFERROR(VLOOKUP(E466,'INVONTERY FEB'!$B$6:$D$131,3,FALSE),"")</f>
        <v/>
      </c>
      <c r="H466" s="108"/>
      <c r="I466" s="101">
        <f t="shared" si="1"/>
        <v>0</v>
      </c>
      <c r="J466" s="102"/>
      <c r="K466" s="120"/>
    </row>
    <row r="467" ht="15.75" customHeight="1">
      <c r="A467" s="93"/>
      <c r="B467" s="97"/>
      <c r="C467" s="115"/>
      <c r="D467" s="116"/>
      <c r="E467" s="97" t="str">
        <f>IFERROR(VLOOKUP(D467,'INVONTERY FEB'!$A$6:$B$131,2,FALSE),"")</f>
        <v/>
      </c>
      <c r="F467" s="97" t="str">
        <f>IFERROR(VLOOKUP(E467,'INVONTERY FEB'!$B$6:$C$131,2,FALSE),"")</f>
        <v/>
      </c>
      <c r="G467" s="99" t="str">
        <f>IFERROR(VLOOKUP(E467,'INVONTERY FEB'!$B$6:$D$131,3,FALSE),"")</f>
        <v/>
      </c>
      <c r="H467" s="108"/>
      <c r="I467" s="101">
        <f t="shared" si="1"/>
        <v>0</v>
      </c>
      <c r="J467" s="102"/>
      <c r="K467" s="120"/>
    </row>
    <row r="468" ht="15.75" customHeight="1">
      <c r="A468" s="93"/>
      <c r="B468" s="97"/>
      <c r="C468" s="115"/>
      <c r="D468" s="116"/>
      <c r="E468" s="97" t="str">
        <f>IFERROR(VLOOKUP(D468,'INVONTERY FEB'!$A$6:$B$131,2,FALSE),"")</f>
        <v/>
      </c>
      <c r="F468" s="97" t="str">
        <f>IFERROR(VLOOKUP(E468,'INVONTERY FEB'!$B$6:$C$131,2,FALSE),"")</f>
        <v/>
      </c>
      <c r="G468" s="99" t="str">
        <f>IFERROR(VLOOKUP(E468,'INVONTERY FEB'!$B$6:$D$131,3,FALSE),"")</f>
        <v/>
      </c>
      <c r="H468" s="108"/>
      <c r="I468" s="101">
        <f t="shared" si="1"/>
        <v>0</v>
      </c>
      <c r="J468" s="102"/>
      <c r="K468" s="120"/>
    </row>
    <row r="469" ht="15.75" customHeight="1">
      <c r="A469" s="93"/>
      <c r="B469" s="97"/>
      <c r="C469" s="115"/>
      <c r="D469" s="116"/>
      <c r="E469" s="97" t="str">
        <f>IFERROR(VLOOKUP(D469,'INVONTERY FEB'!$A$6:$B$131,2,FALSE),"")</f>
        <v/>
      </c>
      <c r="F469" s="97" t="str">
        <f>IFERROR(VLOOKUP(E469,'INVONTERY FEB'!$B$6:$C$131,2,FALSE),"")</f>
        <v/>
      </c>
      <c r="G469" s="99"/>
      <c r="H469" s="108"/>
      <c r="I469" s="121" t="s">
        <v>56</v>
      </c>
      <c r="J469" s="102"/>
      <c r="K469" s="120"/>
    </row>
    <row r="470" ht="15.75" customHeight="1">
      <c r="A470" s="93"/>
      <c r="B470" s="97"/>
      <c r="C470" s="115"/>
      <c r="D470" s="116"/>
      <c r="E470" s="97" t="str">
        <f>IFERROR(VLOOKUP(D470,'INVONTERY FEB'!$A$6:$B$131,2,FALSE),"")</f>
        <v/>
      </c>
      <c r="F470" s="97" t="str">
        <f>IFERROR(VLOOKUP(E470,'INVONTERY FEB'!$B$6:$C$131,2,FALSE),"")</f>
        <v/>
      </c>
      <c r="G470" s="99" t="str">
        <f>IFERROR(VLOOKUP(E470,'INVONTERY FEB'!$B$6:$D$131,3,FALSE),"")</f>
        <v/>
      </c>
      <c r="H470" s="108"/>
      <c r="I470" s="121" t="s">
        <v>56</v>
      </c>
      <c r="J470" s="102"/>
      <c r="K470" s="120"/>
    </row>
    <row r="471" ht="15.75" customHeight="1">
      <c r="A471" s="93"/>
      <c r="B471" s="97"/>
      <c r="C471" s="115"/>
      <c r="D471" s="116"/>
      <c r="E471" s="97" t="str">
        <f>IFERROR(VLOOKUP(D471,'INVONTERY FEB'!$A$6:$B$131,2,FALSE),"")</f>
        <v/>
      </c>
      <c r="F471" s="97" t="str">
        <f>IFERROR(VLOOKUP(E471,'INVONTERY FEB'!$B$6:$C$131,2,FALSE),"")</f>
        <v/>
      </c>
      <c r="G471" s="99" t="str">
        <f>IFERROR(VLOOKUP(E471,'INVONTERY FEB'!$B$6:$D$131,3,FALSE),"")</f>
        <v/>
      </c>
      <c r="H471" s="108"/>
      <c r="I471" s="121" t="s">
        <v>56</v>
      </c>
      <c r="J471" s="102"/>
      <c r="K471" s="120"/>
    </row>
    <row r="472" ht="15.75" customHeight="1">
      <c r="A472" s="93"/>
      <c r="B472" s="97"/>
      <c r="C472" s="115"/>
      <c r="D472" s="116"/>
      <c r="E472" s="97" t="str">
        <f>IFERROR(VLOOKUP(D472,'INVONTERY FEB'!$A$6:$B$131,2,FALSE),"")</f>
        <v/>
      </c>
      <c r="F472" s="97" t="str">
        <f>IFERROR(VLOOKUP(E472,'INVONTERY FEB'!$B$6:$C$131,2,FALSE),"")</f>
        <v/>
      </c>
      <c r="G472" s="99" t="str">
        <f>IFERROR(VLOOKUP(E472,'INVONTERY FEB'!$B$6:$D$131,3,FALSE),"")</f>
        <v/>
      </c>
      <c r="H472" s="108"/>
      <c r="I472" s="121" t="s">
        <v>56</v>
      </c>
      <c r="J472" s="102"/>
      <c r="K472" s="120"/>
    </row>
    <row r="473" ht="15.75" customHeight="1">
      <c r="A473" s="93"/>
      <c r="B473" s="97"/>
      <c r="C473" s="115"/>
      <c r="D473" s="116"/>
      <c r="E473" s="97" t="str">
        <f>IFERROR(VLOOKUP(D473,'INVONTERY FEB'!$A$6:$B$131,2,FALSE),"")</f>
        <v/>
      </c>
      <c r="F473" s="97" t="str">
        <f>IFERROR(VLOOKUP(E473,'INVONTERY FEB'!$B$6:$C$131,2,FALSE),"")</f>
        <v/>
      </c>
      <c r="G473" s="99" t="str">
        <f>IFERROR(VLOOKUP(E473,'INVONTERY FEB'!$B$6:$D$131,3,FALSE),"")</f>
        <v/>
      </c>
      <c r="H473" s="108"/>
      <c r="I473" s="121" t="s">
        <v>56</v>
      </c>
      <c r="J473" s="102"/>
      <c r="K473" s="120"/>
    </row>
    <row r="474" ht="15.75" customHeight="1">
      <c r="A474" s="93"/>
      <c r="B474" s="97"/>
      <c r="C474" s="115"/>
      <c r="D474" s="116"/>
      <c r="E474" s="97" t="str">
        <f>IFERROR(VLOOKUP(D474,'INVONTERY FEB'!$A$6:$B$131,2,FALSE),"")</f>
        <v/>
      </c>
      <c r="F474" s="97" t="str">
        <f>IFERROR(VLOOKUP(E474,'INVONTERY FEB'!$B$6:$C$131,2,FALSE),"")</f>
        <v/>
      </c>
      <c r="G474" s="99" t="str">
        <f>IFERROR(VLOOKUP(E474,'INVONTERY FEB'!$B$6:$D$131,3,FALSE),"")</f>
        <v/>
      </c>
      <c r="H474" s="108"/>
      <c r="I474" s="121" t="s">
        <v>56</v>
      </c>
      <c r="J474" s="102"/>
      <c r="K474" s="120"/>
    </row>
    <row r="475" ht="15.75" customHeight="1">
      <c r="A475" s="93"/>
      <c r="B475" s="97"/>
      <c r="C475" s="115"/>
      <c r="D475" s="116"/>
      <c r="E475" s="97" t="str">
        <f>IFERROR(VLOOKUP(D475,'INVONTERY FEB'!$A$6:$B$131,2,FALSE),"")</f>
        <v/>
      </c>
      <c r="F475" s="97" t="str">
        <f>IFERROR(VLOOKUP(E475,'INVONTERY FEB'!$B$6:$C$131,2,FALSE),"")</f>
        <v/>
      </c>
      <c r="G475" s="99" t="str">
        <f>IFERROR(VLOOKUP(E475,'INVONTERY FEB'!$B$6:$D$131,3,FALSE),"")</f>
        <v/>
      </c>
      <c r="H475" s="108"/>
      <c r="I475" s="121" t="s">
        <v>56</v>
      </c>
      <c r="J475" s="102"/>
      <c r="K475" s="120"/>
    </row>
    <row r="476" ht="15.75" customHeight="1">
      <c r="A476" s="93"/>
      <c r="B476" s="97"/>
      <c r="C476" s="115"/>
      <c r="D476" s="116"/>
      <c r="E476" s="97" t="str">
        <f>IFERROR(VLOOKUP(D476,'INVONTERY FEB'!$A$6:$B$131,2,FALSE),"")</f>
        <v/>
      </c>
      <c r="F476" s="97" t="str">
        <f>IFERROR(VLOOKUP(E476,'INVONTERY FEB'!$B$6:$C$131,2,FALSE),"")</f>
        <v/>
      </c>
      <c r="G476" s="99" t="str">
        <f>IFERROR(VLOOKUP(E476,'INVONTERY FEB'!$B$6:$D$131,3,FALSE),"")</f>
        <v/>
      </c>
      <c r="H476" s="108"/>
      <c r="I476" s="121" t="s">
        <v>56</v>
      </c>
      <c r="J476" s="102"/>
      <c r="K476" s="120"/>
    </row>
    <row r="477" ht="15.75" customHeight="1">
      <c r="A477" s="93"/>
      <c r="B477" s="97"/>
      <c r="C477" s="115"/>
      <c r="D477" s="116"/>
      <c r="E477" s="97" t="str">
        <f>IFERROR(VLOOKUP(D477,'INVONTERY FEB'!$A$6:$B$131,2,FALSE),"")</f>
        <v/>
      </c>
      <c r="F477" s="97" t="str">
        <f>IFERROR(VLOOKUP(E477,'INVONTERY FEB'!$B$6:$C$131,2,FALSE),"")</f>
        <v/>
      </c>
      <c r="G477" s="99" t="str">
        <f>IFERROR(VLOOKUP(E477,'INVONTERY FEB'!$B$6:$D$131,3,FALSE),"")</f>
        <v/>
      </c>
      <c r="H477" s="108"/>
      <c r="I477" s="121" t="s">
        <v>56</v>
      </c>
      <c r="J477" s="102"/>
      <c r="K477" s="120"/>
    </row>
    <row r="478" ht="15.75" customHeight="1">
      <c r="A478" s="93"/>
      <c r="B478" s="97"/>
      <c r="C478" s="115"/>
      <c r="D478" s="116"/>
      <c r="E478" s="97" t="str">
        <f>IFERROR(VLOOKUP(D478,'INVONTERY FEB'!$A$6:$B$131,2,FALSE),"")</f>
        <v/>
      </c>
      <c r="F478" s="97" t="str">
        <f>IFERROR(VLOOKUP(E478,'INVONTERY FEB'!$B$6:$C$131,2,FALSE),"")</f>
        <v/>
      </c>
      <c r="G478" s="99" t="str">
        <f>IFERROR(VLOOKUP(E478,'INVONTERY FEB'!$B$6:$D$131,3,FALSE),"")</f>
        <v/>
      </c>
      <c r="H478" s="108"/>
      <c r="I478" s="121" t="s">
        <v>56</v>
      </c>
      <c r="J478" s="102"/>
      <c r="K478" s="120"/>
    </row>
    <row r="479" ht="15.75" customHeight="1">
      <c r="A479" s="93"/>
      <c r="B479" s="97"/>
      <c r="C479" s="115"/>
      <c r="D479" s="116"/>
      <c r="E479" s="97" t="str">
        <f>IFERROR(VLOOKUP(D479,'INVONTERY FEB'!$A$6:$B$131,2,FALSE),"")</f>
        <v/>
      </c>
      <c r="F479" s="97" t="str">
        <f>IFERROR(VLOOKUP(E479,'INVONTERY FEB'!$B$6:$C$131,2,FALSE),"")</f>
        <v/>
      </c>
      <c r="G479" s="99" t="str">
        <f>IFERROR(VLOOKUP(E479,'INVONTERY FEB'!$B$6:$D$131,3,FALSE),"")</f>
        <v/>
      </c>
      <c r="H479" s="108"/>
      <c r="I479" s="121" t="s">
        <v>56</v>
      </c>
      <c r="J479" s="102"/>
      <c r="K479" s="120"/>
    </row>
    <row r="480" ht="15.75" customHeight="1">
      <c r="A480" s="93"/>
      <c r="B480" s="97"/>
      <c r="C480" s="115"/>
      <c r="D480" s="116"/>
      <c r="E480" s="97" t="str">
        <f>IFERROR(VLOOKUP(D480,'INVONTERY FEB'!$A$6:$B$131,2,FALSE),"")</f>
        <v/>
      </c>
      <c r="F480" s="97" t="str">
        <f>IFERROR(VLOOKUP(E480,'INVONTERY FEB'!$B$6:$C$131,2,FALSE),"")</f>
        <v/>
      </c>
      <c r="G480" s="99" t="str">
        <f>IFERROR(VLOOKUP(E480,'INVONTERY FEB'!$B$6:$D$131,3,FALSE),"")</f>
        <v/>
      </c>
      <c r="H480" s="108"/>
      <c r="I480" s="121" t="s">
        <v>56</v>
      </c>
      <c r="J480" s="102"/>
      <c r="K480" s="120"/>
    </row>
    <row r="481" ht="15.75" customHeight="1">
      <c r="A481" s="93"/>
      <c r="B481" s="97"/>
      <c r="C481" s="115"/>
      <c r="D481" s="116"/>
      <c r="E481" s="97" t="str">
        <f>IFERROR(VLOOKUP(D481,'INVONTERY FEB'!$A$6:$B$131,2,FALSE),"")</f>
        <v/>
      </c>
      <c r="F481" s="97" t="str">
        <f>IFERROR(VLOOKUP(E481,'INVONTERY FEB'!$B$6:$C$131,2,FALSE),"")</f>
        <v/>
      </c>
      <c r="G481" s="99" t="str">
        <f>IFERROR(VLOOKUP(E481,'INVONTERY FEB'!$B$6:$D$131,3,FALSE),"")</f>
        <v/>
      </c>
      <c r="H481" s="108"/>
      <c r="I481" s="121" t="s">
        <v>56</v>
      </c>
      <c r="J481" s="102"/>
      <c r="K481" s="120"/>
    </row>
    <row r="482" ht="15.75" customHeight="1">
      <c r="A482" s="93"/>
      <c r="B482" s="97"/>
      <c r="C482" s="115"/>
      <c r="D482" s="116"/>
      <c r="E482" s="97" t="str">
        <f>IFERROR(VLOOKUP(D482,'INVONTERY FEB'!$A$6:$B$131,2,FALSE),"")</f>
        <v/>
      </c>
      <c r="F482" s="97" t="str">
        <f>IFERROR(VLOOKUP(E482,'INVONTERY FEB'!$B$6:$C$131,2,FALSE),"")</f>
        <v/>
      </c>
      <c r="G482" s="99" t="str">
        <f>IFERROR(VLOOKUP(E482,'INVONTERY FEB'!$B$6:$D$131,3,FALSE),"")</f>
        <v/>
      </c>
      <c r="H482" s="108"/>
      <c r="I482" s="121" t="s">
        <v>56</v>
      </c>
      <c r="J482" s="102"/>
      <c r="K482" s="120"/>
    </row>
    <row r="483" ht="15.75" customHeight="1">
      <c r="A483" s="93"/>
      <c r="B483" s="97"/>
      <c r="C483" s="115"/>
      <c r="D483" s="116"/>
      <c r="E483" s="97" t="str">
        <f>IFERROR(VLOOKUP(D483,'INVONTERY FEB'!$A$6:$B$131,2,FALSE),"")</f>
        <v/>
      </c>
      <c r="F483" s="97" t="str">
        <f>IFERROR(VLOOKUP(E483,'INVONTERY FEB'!$B$6:$C$131,2,FALSE),"")</f>
        <v/>
      </c>
      <c r="G483" s="99" t="str">
        <f>IFERROR(VLOOKUP(E483,'INVONTERY FEB'!$B$6:$D$131,3,FALSE),"")</f>
        <v/>
      </c>
      <c r="H483" s="108"/>
      <c r="I483" s="121" t="s">
        <v>56</v>
      </c>
      <c r="J483" s="102"/>
      <c r="K483" s="120"/>
    </row>
    <row r="484" ht="15.75" customHeight="1">
      <c r="A484" s="93"/>
      <c r="B484" s="97"/>
      <c r="C484" s="115"/>
      <c r="D484" s="116"/>
      <c r="E484" s="97" t="str">
        <f>IFERROR(VLOOKUP(D484,'INVONTERY FEB'!$A$6:$B$131,2,FALSE),"")</f>
        <v/>
      </c>
      <c r="F484" s="97" t="str">
        <f>IFERROR(VLOOKUP(E484,'INVONTERY FEB'!$B$6:$C$131,2,FALSE),"")</f>
        <v/>
      </c>
      <c r="G484" s="99" t="str">
        <f>IFERROR(VLOOKUP(E484,'INVONTERY FEB'!$B$6:$D$131,3,FALSE),"")</f>
        <v/>
      </c>
      <c r="H484" s="108"/>
      <c r="I484" s="121" t="s">
        <v>56</v>
      </c>
      <c r="J484" s="102"/>
      <c r="K484" s="120"/>
    </row>
    <row r="485" ht="15.75" customHeight="1">
      <c r="A485" s="93"/>
      <c r="B485" s="97"/>
      <c r="C485" s="115"/>
      <c r="D485" s="116"/>
      <c r="E485" s="97" t="str">
        <f>IFERROR(VLOOKUP(D485,'INVONTERY FEB'!$A$6:$B$131,2,FALSE),"")</f>
        <v/>
      </c>
      <c r="F485" s="97" t="str">
        <f>IFERROR(VLOOKUP(E485,'INVONTERY FEB'!$B$6:$C$131,2,FALSE),"")</f>
        <v/>
      </c>
      <c r="G485" s="99" t="str">
        <f>IFERROR(VLOOKUP(E485,'INVONTERY FEB'!$B$6:$D$131,3,FALSE),"")</f>
        <v/>
      </c>
      <c r="H485" s="108"/>
      <c r="I485" s="121" t="s">
        <v>56</v>
      </c>
      <c r="J485" s="102"/>
      <c r="K485" s="120"/>
    </row>
    <row r="486" ht="15.75" customHeight="1">
      <c r="A486" s="93"/>
      <c r="B486" s="97"/>
      <c r="C486" s="115"/>
      <c r="D486" s="116"/>
      <c r="E486" s="97" t="str">
        <f>IFERROR(VLOOKUP(D486,'INVONTERY FEB'!$A$6:$B$131,2,FALSE),"")</f>
        <v/>
      </c>
      <c r="F486" s="97" t="str">
        <f>IFERROR(VLOOKUP(E486,'INVONTERY FEB'!$B$6:$C$131,2,FALSE),"")</f>
        <v/>
      </c>
      <c r="G486" s="99" t="str">
        <f>IFERROR(VLOOKUP(E486,'INVONTERY FEB'!$B$6:$D$131,3,FALSE),"")</f>
        <v/>
      </c>
      <c r="H486" s="108"/>
      <c r="I486" s="121" t="s">
        <v>56</v>
      </c>
      <c r="J486" s="102"/>
      <c r="K486" s="120"/>
    </row>
    <row r="487" ht="15.75" customHeight="1">
      <c r="A487" s="93"/>
      <c r="B487" s="97"/>
      <c r="C487" s="115"/>
      <c r="D487" s="116"/>
      <c r="E487" s="97" t="str">
        <f>IFERROR(VLOOKUP(D487,'INVONTERY FEB'!$A$6:$B$131,2,FALSE),"")</f>
        <v/>
      </c>
      <c r="F487" s="97" t="str">
        <f>IFERROR(VLOOKUP(E487,'INVONTERY FEB'!$B$6:$C$131,2,FALSE),"")</f>
        <v/>
      </c>
      <c r="G487" s="99" t="str">
        <f>IFERROR(VLOOKUP(E487,'INVONTERY FEB'!$B$6:$D$131,3,FALSE),"")</f>
        <v/>
      </c>
      <c r="H487" s="108"/>
      <c r="I487" s="121" t="s">
        <v>56</v>
      </c>
      <c r="J487" s="102"/>
      <c r="K487" s="120"/>
    </row>
    <row r="488" ht="15.75" customHeight="1">
      <c r="A488" s="93"/>
      <c r="B488" s="97"/>
      <c r="C488" s="115"/>
      <c r="D488" s="116"/>
      <c r="E488" s="97" t="str">
        <f>IFERROR(VLOOKUP(D488,'INVONTERY FEB'!$A$6:$B$131,2,FALSE),"")</f>
        <v/>
      </c>
      <c r="F488" s="97" t="str">
        <f>IFERROR(VLOOKUP(E488,'INVONTERY FEB'!$B$6:$C$131,2,FALSE),"")</f>
        <v/>
      </c>
      <c r="G488" s="99" t="str">
        <f>IFERROR(VLOOKUP(E488,'INVONTERY FEB'!$B$6:$D$131,3,FALSE),"")</f>
        <v/>
      </c>
      <c r="H488" s="108"/>
      <c r="I488" s="121" t="s">
        <v>56</v>
      </c>
      <c r="J488" s="102"/>
      <c r="K488" s="120"/>
    </row>
    <row r="489" ht="15.75" customHeight="1">
      <c r="A489" s="93"/>
      <c r="B489" s="97"/>
      <c r="C489" s="115"/>
      <c r="D489" s="116"/>
      <c r="E489" s="97" t="str">
        <f>IFERROR(VLOOKUP(D489,'INVONTERY FEB'!$A$6:$B$131,2,FALSE),"")</f>
        <v/>
      </c>
      <c r="F489" s="97" t="str">
        <f>IFERROR(VLOOKUP(E489,'INVONTERY FEB'!$B$6:$C$131,2,FALSE),"")</f>
        <v/>
      </c>
      <c r="G489" s="99" t="str">
        <f>IFERROR(VLOOKUP(E489,'INVONTERY FEB'!$B$6:$D$131,3,FALSE),"")</f>
        <v/>
      </c>
      <c r="H489" s="108"/>
      <c r="I489" s="121" t="s">
        <v>56</v>
      </c>
      <c r="J489" s="102"/>
      <c r="K489" s="120"/>
    </row>
    <row r="490" ht="15.75" customHeight="1">
      <c r="A490" s="93"/>
      <c r="B490" s="97"/>
      <c r="C490" s="115"/>
      <c r="D490" s="116"/>
      <c r="E490" s="97" t="str">
        <f>IFERROR(VLOOKUP(D490,'INVONTERY FEB'!$A$6:$B$131,2,FALSE),"")</f>
        <v/>
      </c>
      <c r="F490" s="97" t="str">
        <f>IFERROR(VLOOKUP(E490,'INVONTERY FEB'!$B$6:$C$131,2,FALSE),"")</f>
        <v/>
      </c>
      <c r="G490" s="99" t="str">
        <f>IFERROR(VLOOKUP(E490,'INVONTERY FEB'!$B$6:$D$131,3,FALSE),"")</f>
        <v/>
      </c>
      <c r="H490" s="108"/>
      <c r="I490" s="121" t="s">
        <v>56</v>
      </c>
      <c r="J490" s="102"/>
      <c r="K490" s="120"/>
    </row>
    <row r="491" ht="15.75" customHeight="1">
      <c r="A491" s="93"/>
      <c r="B491" s="97"/>
      <c r="C491" s="115"/>
      <c r="D491" s="116"/>
      <c r="E491" s="97" t="str">
        <f>IFERROR(VLOOKUP(D491,'INVONTERY FEB'!$A$6:$B$131,2,FALSE),"")</f>
        <v/>
      </c>
      <c r="F491" s="97" t="str">
        <f>IFERROR(VLOOKUP(E491,'INVONTERY FEB'!$B$6:$C$131,2,FALSE),"")</f>
        <v/>
      </c>
      <c r="G491" s="99" t="str">
        <f>IFERROR(VLOOKUP(E491,'INVONTERY FEB'!$B$6:$D$131,3,FALSE),"")</f>
        <v/>
      </c>
      <c r="H491" s="108"/>
      <c r="I491" s="121" t="s">
        <v>56</v>
      </c>
      <c r="J491" s="102"/>
      <c r="K491" s="120"/>
    </row>
    <row r="492" ht="15.75" customHeight="1">
      <c r="A492" s="93"/>
      <c r="B492" s="97"/>
      <c r="C492" s="115"/>
      <c r="D492" s="116"/>
      <c r="E492" s="97" t="str">
        <f>IFERROR(VLOOKUP(D492,'INVONTERY FEB'!$A$6:$B$131,2,FALSE),"")</f>
        <v/>
      </c>
      <c r="F492" s="97" t="str">
        <f>IFERROR(VLOOKUP(E492,'INVONTERY FEB'!$B$6:$C$131,2,FALSE),"")</f>
        <v/>
      </c>
      <c r="G492" s="99" t="str">
        <f>IFERROR(VLOOKUP(E492,'INVONTERY FEB'!$B$6:$D$131,3,FALSE),"")</f>
        <v/>
      </c>
      <c r="H492" s="108"/>
      <c r="I492" s="121" t="s">
        <v>56</v>
      </c>
      <c r="J492" s="102"/>
      <c r="K492" s="120"/>
    </row>
    <row r="493" ht="15.75" customHeight="1">
      <c r="A493" s="93"/>
      <c r="B493" s="97"/>
      <c r="C493" s="115"/>
      <c r="D493" s="116"/>
      <c r="E493" s="97" t="str">
        <f>IFERROR(VLOOKUP(D493,'INVONTERY FEB'!$A$6:$B$131,2,FALSE),"")</f>
        <v/>
      </c>
      <c r="F493" s="97" t="str">
        <f>IFERROR(VLOOKUP(E493,'INVONTERY FEB'!$B$6:$C$131,2,FALSE),"")</f>
        <v/>
      </c>
      <c r="G493" s="99" t="str">
        <f>IFERROR(VLOOKUP(E493,'INVONTERY FEB'!$B$6:$D$131,3,FALSE),"")</f>
        <v/>
      </c>
      <c r="H493" s="108"/>
      <c r="I493" s="121" t="s">
        <v>56</v>
      </c>
      <c r="J493" s="102"/>
      <c r="K493" s="120"/>
    </row>
    <row r="494" ht="15.75" customHeight="1">
      <c r="A494" s="93"/>
      <c r="B494" s="97"/>
      <c r="C494" s="115"/>
      <c r="D494" s="116"/>
      <c r="E494" s="97" t="str">
        <f>IFERROR(VLOOKUP(D494,'INVONTERY FEB'!$A$6:$B$131,2,FALSE),"")</f>
        <v/>
      </c>
      <c r="F494" s="97" t="str">
        <f>IFERROR(VLOOKUP(E494,'INVONTERY FEB'!$B$6:$C$131,2,FALSE),"")</f>
        <v/>
      </c>
      <c r="G494" s="99" t="str">
        <f>IFERROR(VLOOKUP(E494,'INVONTERY FEB'!$B$6:$D$131,3,FALSE),"")</f>
        <v/>
      </c>
      <c r="H494" s="108"/>
      <c r="I494" s="121" t="s">
        <v>56</v>
      </c>
      <c r="J494" s="102"/>
      <c r="K494" s="120"/>
    </row>
    <row r="495" ht="15.75" customHeight="1">
      <c r="A495" s="93"/>
      <c r="B495" s="97"/>
      <c r="C495" s="115"/>
      <c r="D495" s="116"/>
      <c r="E495" s="97" t="str">
        <f>IFERROR(VLOOKUP(D495,'INVONTERY FEB'!$A$6:$B$131,2,FALSE),"")</f>
        <v/>
      </c>
      <c r="F495" s="97" t="str">
        <f>IFERROR(VLOOKUP(E495,'INVONTERY FEB'!$B$6:$C$131,2,FALSE),"")</f>
        <v/>
      </c>
      <c r="G495" s="99" t="str">
        <f>IFERROR(VLOOKUP(E495,'INVONTERY FEB'!$B$6:$D$131,3,FALSE),"")</f>
        <v/>
      </c>
      <c r="H495" s="108"/>
      <c r="I495" s="121" t="s">
        <v>56</v>
      </c>
      <c r="J495" s="102"/>
      <c r="K495" s="120"/>
    </row>
    <row r="496" ht="15.75" customHeight="1">
      <c r="A496" s="93"/>
      <c r="B496" s="97"/>
      <c r="C496" s="115"/>
      <c r="D496" s="116"/>
      <c r="E496" s="97" t="str">
        <f>IFERROR(VLOOKUP(D496,'INVONTERY FEB'!$A$6:$B$131,2,FALSE),"")</f>
        <v/>
      </c>
      <c r="F496" s="97" t="str">
        <f>IFERROR(VLOOKUP(E496,'INVONTERY FEB'!$B$6:$C$131,2,FALSE),"")</f>
        <v/>
      </c>
      <c r="G496" s="99" t="str">
        <f>IFERROR(VLOOKUP(E496,'INVONTERY FEB'!$B$6:$D$131,3,FALSE),"")</f>
        <v/>
      </c>
      <c r="H496" s="108"/>
      <c r="I496" s="121" t="s">
        <v>56</v>
      </c>
      <c r="J496" s="102"/>
      <c r="K496" s="120"/>
    </row>
    <row r="497" ht="15.75" customHeight="1">
      <c r="A497" s="93"/>
      <c r="B497" s="97"/>
      <c r="C497" s="115"/>
      <c r="D497" s="116"/>
      <c r="E497" s="97" t="str">
        <f>IFERROR(VLOOKUP(D497,'INVONTERY FEB'!$A$6:$B$131,2,FALSE),"")</f>
        <v/>
      </c>
      <c r="F497" s="97" t="str">
        <f>IFERROR(VLOOKUP(E497,'INVONTERY FEB'!$B$6:$C$131,2,FALSE),"")</f>
        <v/>
      </c>
      <c r="G497" s="99" t="str">
        <f>IFERROR(VLOOKUP(E497,'INVONTERY FEB'!$B$6:$D$131,3,FALSE),"")</f>
        <v/>
      </c>
      <c r="H497" s="108"/>
      <c r="I497" s="121" t="s">
        <v>56</v>
      </c>
      <c r="J497" s="102"/>
      <c r="K497" s="120"/>
    </row>
    <row r="498" ht="15.75" customHeight="1">
      <c r="A498" s="93"/>
      <c r="B498" s="97"/>
      <c r="C498" s="115"/>
      <c r="D498" s="116"/>
      <c r="E498" s="97" t="str">
        <f>IFERROR(VLOOKUP(D498,'INVONTERY FEB'!$A$6:$B$131,2,FALSE),"")</f>
        <v/>
      </c>
      <c r="F498" s="97" t="str">
        <f>IFERROR(VLOOKUP(E498,'INVONTERY FEB'!$B$6:$C$131,2,FALSE),"")</f>
        <v/>
      </c>
      <c r="G498" s="99" t="str">
        <f>IFERROR(VLOOKUP(E498,'INVONTERY FEB'!$B$6:$D$131,3,FALSE),"")</f>
        <v/>
      </c>
      <c r="H498" s="108"/>
      <c r="I498" s="121" t="s">
        <v>56</v>
      </c>
      <c r="J498" s="102"/>
      <c r="K498" s="120"/>
    </row>
    <row r="499" ht="15.75" customHeight="1">
      <c r="A499" s="93"/>
      <c r="B499" s="97"/>
      <c r="C499" s="115"/>
      <c r="D499" s="116"/>
      <c r="E499" s="97" t="str">
        <f>IFERROR(VLOOKUP(D499,'INVONTERY FEB'!$A$6:$B$131,2,FALSE),"")</f>
        <v/>
      </c>
      <c r="F499" s="97" t="str">
        <f>IFERROR(VLOOKUP(E499,'INVONTERY FEB'!$B$6:$C$131,2,FALSE),"")</f>
        <v/>
      </c>
      <c r="G499" s="99" t="str">
        <f>IFERROR(VLOOKUP(E499,'INVONTERY FEB'!$B$6:$D$131,3,FALSE),"")</f>
        <v/>
      </c>
      <c r="H499" s="108"/>
      <c r="I499" s="121" t="s">
        <v>56</v>
      </c>
      <c r="J499" s="102"/>
      <c r="K499" s="120"/>
    </row>
    <row r="500" ht="15.75" customHeight="1">
      <c r="A500" s="93"/>
      <c r="B500" s="97"/>
      <c r="C500" s="115"/>
      <c r="D500" s="116"/>
      <c r="E500" s="97" t="str">
        <f>IFERROR(VLOOKUP(D500,'INVONTERY FEB'!$A$6:$B$131,2,FALSE),"")</f>
        <v/>
      </c>
      <c r="F500" s="97" t="str">
        <f>IFERROR(VLOOKUP(E500,'INVONTERY FEB'!$B$6:$C$131,2,FALSE),"")</f>
        <v/>
      </c>
      <c r="G500" s="99" t="str">
        <f>IFERROR(VLOOKUP(E500,'INVONTERY FEB'!$B$6:$D$131,3,FALSE),"")</f>
        <v/>
      </c>
      <c r="H500" s="108"/>
      <c r="I500" s="121" t="s">
        <v>56</v>
      </c>
      <c r="J500" s="102"/>
      <c r="K500" s="120"/>
    </row>
    <row r="501" ht="15.75" customHeight="1">
      <c r="A501" s="93"/>
      <c r="B501" s="97"/>
      <c r="C501" s="115"/>
      <c r="D501" s="116"/>
      <c r="E501" s="97" t="str">
        <f>IFERROR(VLOOKUP(D501,'INVONTERY FEB'!$A$6:$B$131,2,FALSE),"")</f>
        <v/>
      </c>
      <c r="F501" s="97" t="str">
        <f>IFERROR(VLOOKUP(E501,'INVONTERY FEB'!$B$6:$C$131,2,FALSE),"")</f>
        <v/>
      </c>
      <c r="G501" s="99" t="str">
        <f>IFERROR(VLOOKUP(E501,'INVONTERY FEB'!$B$6:$D$131,3,FALSE),"")</f>
        <v/>
      </c>
      <c r="H501" s="108"/>
      <c r="I501" s="121" t="s">
        <v>56</v>
      </c>
      <c r="J501" s="102"/>
      <c r="K501" s="120"/>
    </row>
    <row r="502" ht="15.75" customHeight="1">
      <c r="A502" s="93"/>
      <c r="B502" s="97"/>
      <c r="C502" s="115"/>
      <c r="D502" s="116"/>
      <c r="E502" s="97" t="str">
        <f>IFERROR(VLOOKUP(D502,'INVONTERY FEB'!$A$6:$B$131,2,FALSE),"")</f>
        <v/>
      </c>
      <c r="F502" s="97" t="str">
        <f>IFERROR(VLOOKUP(E502,'INVONTERY FEB'!$B$6:$C$131,2,FALSE),"")</f>
        <v/>
      </c>
      <c r="G502" s="99" t="str">
        <f>IFERROR(VLOOKUP(E502,'INVONTERY FEB'!$B$6:$D$131,3,FALSE),"")</f>
        <v/>
      </c>
      <c r="H502" s="108"/>
      <c r="I502" s="121" t="s">
        <v>56</v>
      </c>
      <c r="J502" s="102"/>
      <c r="K502" s="120"/>
    </row>
    <row r="503" ht="15.75" customHeight="1">
      <c r="A503" s="93"/>
      <c r="B503" s="97"/>
      <c r="C503" s="115"/>
      <c r="D503" s="116"/>
      <c r="E503" s="97" t="str">
        <f>IFERROR(VLOOKUP(D503,'INVONTERY FEB'!$A$6:$B$131,2,FALSE),"")</f>
        <v/>
      </c>
      <c r="F503" s="97" t="str">
        <f>IFERROR(VLOOKUP(E503,'INVONTERY FEB'!$B$6:$C$131,2,FALSE),"")</f>
        <v/>
      </c>
      <c r="G503" s="99" t="str">
        <f>IFERROR(VLOOKUP(E503,'INVONTERY FEB'!$B$6:$D$131,3,FALSE),"")</f>
        <v/>
      </c>
      <c r="H503" s="108"/>
      <c r="I503" s="121" t="s">
        <v>56</v>
      </c>
      <c r="J503" s="102"/>
      <c r="K503" s="120"/>
    </row>
    <row r="504" ht="15.75" customHeight="1">
      <c r="A504" s="93"/>
      <c r="B504" s="97"/>
      <c r="C504" s="115"/>
      <c r="D504" s="116"/>
      <c r="E504" s="97" t="str">
        <f>IFERROR(VLOOKUP(D504,'INVONTERY FEB'!$A$6:$B$131,2,FALSE),"")</f>
        <v/>
      </c>
      <c r="F504" s="97" t="str">
        <f>IFERROR(VLOOKUP(E504,'INVONTERY FEB'!$B$6:$C$131,2,FALSE),"")</f>
        <v/>
      </c>
      <c r="G504" s="99" t="str">
        <f>IFERROR(VLOOKUP(E504,'INVONTERY FEB'!$B$6:$D$131,3,FALSE),"")</f>
        <v/>
      </c>
      <c r="H504" s="108"/>
      <c r="I504" s="121" t="s">
        <v>56</v>
      </c>
      <c r="J504" s="102"/>
      <c r="K504" s="120"/>
    </row>
    <row r="505" ht="15.75" customHeight="1">
      <c r="A505" s="93"/>
      <c r="B505" s="97"/>
      <c r="C505" s="115"/>
      <c r="D505" s="116"/>
      <c r="E505" s="97" t="str">
        <f>IFERROR(VLOOKUP(D505,'INVONTERY FEB'!$A$6:$B$131,2,FALSE),"")</f>
        <v/>
      </c>
      <c r="F505" s="97" t="str">
        <f>IFERROR(VLOOKUP(E505,'INVONTERY FEB'!$B$6:$C$131,2,FALSE),"")</f>
        <v/>
      </c>
      <c r="G505" s="99" t="str">
        <f>IFERROR(VLOOKUP(E505,'INVONTERY FEB'!$B$6:$D$131,3,FALSE),"")</f>
        <v/>
      </c>
      <c r="H505" s="108"/>
      <c r="I505" s="121" t="s">
        <v>56</v>
      </c>
      <c r="J505" s="102"/>
      <c r="K505" s="120"/>
    </row>
    <row r="506" ht="15.75" customHeight="1">
      <c r="A506" s="122"/>
      <c r="B506" s="123"/>
      <c r="C506" s="124"/>
      <c r="D506" s="125"/>
      <c r="E506" s="123" t="str">
        <f>IFERROR(VLOOKUP(D506,'INVONTERY FEB'!$A$6:$B$131,2,FALSE),"")</f>
        <v/>
      </c>
      <c r="F506" s="123" t="str">
        <f>IFERROR(VLOOKUP(E506,'INVONTERY FEB'!$B$6:$C$131,2,FALSE),"")</f>
        <v/>
      </c>
      <c r="G506" s="126" t="str">
        <f>IFERROR(VLOOKUP(E506,'INVONTERY FEB'!$B$6:$D$131,3,FALSE),"")</f>
        <v/>
      </c>
      <c r="H506" s="127"/>
      <c r="I506" s="121" t="s">
        <v>56</v>
      </c>
      <c r="J506" s="102"/>
      <c r="K506" s="128"/>
    </row>
    <row r="507" ht="15.75" customHeight="1">
      <c r="B507" s="129"/>
      <c r="C507" s="130"/>
      <c r="D507" s="131"/>
      <c r="G507" s="132"/>
      <c r="H507" s="133"/>
      <c r="J507" s="105" t="s">
        <v>57</v>
      </c>
    </row>
    <row r="508" ht="15.75" customHeight="1">
      <c r="C508" s="130"/>
      <c r="D508" s="131"/>
      <c r="G508" s="132"/>
      <c r="H508" s="134"/>
      <c r="I508" s="135"/>
      <c r="J508" s="136"/>
    </row>
    <row r="509" ht="15.75" customHeight="1">
      <c r="C509" s="130"/>
      <c r="D509" s="131"/>
      <c r="G509" s="137"/>
      <c r="H509" s="138"/>
      <c r="I509" s="139"/>
      <c r="J509" s="140"/>
      <c r="K509" s="140"/>
      <c r="M509" s="140"/>
    </row>
    <row r="510" ht="15.75" customHeight="1">
      <c r="C510" s="130"/>
      <c r="D510" s="131"/>
      <c r="G510" s="137"/>
      <c r="H510" s="138"/>
      <c r="I510" s="139"/>
      <c r="J510" s="140"/>
      <c r="K510" s="140"/>
      <c r="M510" s="140"/>
    </row>
    <row r="511" ht="15.75" customHeight="1">
      <c r="C511" s="130"/>
      <c r="D511" s="131"/>
      <c r="G511" s="137"/>
      <c r="H511" s="138"/>
      <c r="I511" s="139"/>
      <c r="J511" s="140"/>
      <c r="K511" s="140"/>
      <c r="M511" s="140"/>
    </row>
    <row r="512" ht="15.75" customHeight="1">
      <c r="C512" s="130"/>
      <c r="D512" s="131"/>
      <c r="G512" s="137"/>
      <c r="H512" s="138"/>
      <c r="I512" s="139"/>
      <c r="J512" s="140"/>
      <c r="K512" s="140"/>
      <c r="M512" s="140"/>
    </row>
    <row r="513" ht="15.75" customHeight="1">
      <c r="C513" s="130"/>
      <c r="D513" s="131"/>
      <c r="G513" s="132"/>
      <c r="H513" s="133"/>
      <c r="K513" s="140"/>
      <c r="M513" s="140"/>
    </row>
    <row r="514" ht="15.75" customHeight="1">
      <c r="C514" s="130"/>
      <c r="D514" s="131"/>
      <c r="G514" s="132"/>
      <c r="H514" s="133"/>
      <c r="K514" s="140"/>
    </row>
    <row r="515" ht="15.75" customHeight="1">
      <c r="C515" s="130"/>
      <c r="D515" s="131"/>
      <c r="G515" s="132"/>
      <c r="H515" s="133"/>
    </row>
    <row r="516" ht="15.75" customHeight="1">
      <c r="C516" s="130"/>
      <c r="D516" s="131"/>
      <c r="G516" s="132"/>
      <c r="H516" s="133"/>
    </row>
    <row r="517" ht="15.75" customHeight="1">
      <c r="C517" s="130"/>
      <c r="D517" s="131"/>
      <c r="G517" s="132"/>
      <c r="H517" s="133"/>
    </row>
    <row r="518" ht="15.75" customHeight="1">
      <c r="C518" s="130"/>
      <c r="D518" s="131"/>
      <c r="G518" s="132"/>
      <c r="H518" s="133"/>
    </row>
    <row r="519" ht="15.75" customHeight="1">
      <c r="C519" s="130"/>
      <c r="D519" s="131"/>
      <c r="G519" s="132"/>
      <c r="H519" s="133"/>
    </row>
    <row r="520" ht="15.75" customHeight="1">
      <c r="C520" s="130"/>
      <c r="D520" s="131"/>
      <c r="G520" s="132"/>
      <c r="H520" s="133"/>
    </row>
    <row r="521" ht="15.75" customHeight="1">
      <c r="C521" s="130"/>
      <c r="D521" s="131"/>
      <c r="G521" s="132"/>
      <c r="H521" s="133"/>
    </row>
    <row r="522" ht="15.75" customHeight="1">
      <c r="C522" s="130"/>
      <c r="D522" s="131"/>
      <c r="G522" s="132"/>
      <c r="H522" s="133"/>
    </row>
    <row r="523" ht="15.75" customHeight="1">
      <c r="C523" s="130"/>
      <c r="D523" s="131"/>
      <c r="G523" s="132"/>
      <c r="H523" s="133"/>
    </row>
    <row r="524" ht="15.75" customHeight="1">
      <c r="C524" s="130"/>
      <c r="D524" s="131"/>
      <c r="G524" s="132"/>
      <c r="H524" s="133"/>
    </row>
    <row r="525" ht="15.75" customHeight="1">
      <c r="C525" s="130"/>
      <c r="D525" s="131"/>
      <c r="G525" s="132"/>
      <c r="H525" s="133"/>
    </row>
    <row r="526" ht="15.75" customHeight="1">
      <c r="C526" s="130"/>
      <c r="D526" s="131"/>
      <c r="G526" s="132"/>
      <c r="H526" s="133"/>
    </row>
    <row r="527" ht="15.75" customHeight="1">
      <c r="C527" s="130"/>
      <c r="D527" s="131"/>
      <c r="G527" s="132"/>
      <c r="H527" s="133"/>
    </row>
    <row r="528" ht="15.75" customHeight="1">
      <c r="C528" s="130"/>
      <c r="D528" s="131"/>
      <c r="G528" s="132"/>
      <c r="H528" s="133"/>
    </row>
    <row r="529" ht="15.75" customHeight="1">
      <c r="C529" s="130"/>
      <c r="D529" s="131"/>
      <c r="G529" s="132"/>
      <c r="H529" s="133"/>
    </row>
    <row r="530" ht="15.75" customHeight="1">
      <c r="C530" s="130"/>
      <c r="D530" s="131"/>
      <c r="G530" s="132"/>
      <c r="H530" s="133"/>
    </row>
    <row r="531" ht="15.75" customHeight="1">
      <c r="C531" s="130"/>
      <c r="D531" s="131"/>
      <c r="G531" s="132"/>
      <c r="H531" s="133"/>
    </row>
    <row r="532" ht="15.75" customHeight="1">
      <c r="C532" s="130"/>
      <c r="D532" s="131"/>
      <c r="G532" s="132"/>
      <c r="H532" s="133"/>
    </row>
    <row r="533" ht="15.75" customHeight="1">
      <c r="C533" s="130"/>
      <c r="D533" s="131"/>
      <c r="G533" s="132"/>
      <c r="H533" s="133"/>
    </row>
    <row r="534" ht="15.75" customHeight="1">
      <c r="C534" s="130"/>
      <c r="D534" s="131"/>
      <c r="G534" s="132"/>
      <c r="H534" s="133"/>
    </row>
    <row r="535" ht="15.75" customHeight="1">
      <c r="C535" s="130"/>
      <c r="D535" s="131"/>
      <c r="G535" s="132"/>
      <c r="H535" s="133"/>
    </row>
    <row r="536" ht="15.75" customHeight="1">
      <c r="C536" s="130"/>
      <c r="D536" s="131"/>
      <c r="G536" s="132"/>
      <c r="H536" s="133"/>
    </row>
    <row r="537" ht="15.75" customHeight="1">
      <c r="C537" s="130"/>
      <c r="D537" s="131"/>
      <c r="G537" s="132"/>
      <c r="H537" s="133"/>
    </row>
    <row r="538" ht="15.75" customHeight="1">
      <c r="C538" s="130"/>
      <c r="D538" s="131"/>
      <c r="G538" s="132"/>
      <c r="H538" s="133"/>
    </row>
    <row r="539" ht="15.75" customHeight="1">
      <c r="C539" s="130"/>
      <c r="D539" s="131"/>
      <c r="G539" s="132"/>
      <c r="H539" s="133"/>
    </row>
    <row r="540" ht="15.75" customHeight="1">
      <c r="C540" s="130"/>
      <c r="D540" s="131"/>
      <c r="G540" s="132"/>
      <c r="H540" s="133"/>
    </row>
    <row r="541" ht="15.75" customHeight="1">
      <c r="C541" s="130"/>
      <c r="D541" s="131"/>
      <c r="G541" s="132"/>
      <c r="H541" s="133"/>
    </row>
    <row r="542" ht="15.75" customHeight="1">
      <c r="C542" s="130"/>
      <c r="D542" s="131"/>
      <c r="G542" s="132"/>
      <c r="H542" s="133"/>
    </row>
    <row r="543" ht="15.75" customHeight="1">
      <c r="C543" s="130"/>
      <c r="D543" s="131"/>
      <c r="G543" s="132"/>
      <c r="H543" s="133"/>
    </row>
    <row r="544" ht="15.75" customHeight="1">
      <c r="C544" s="130"/>
      <c r="D544" s="131"/>
      <c r="G544" s="132"/>
      <c r="H544" s="133"/>
    </row>
    <row r="545" ht="15.75" customHeight="1">
      <c r="C545" s="130"/>
      <c r="D545" s="131"/>
      <c r="G545" s="132"/>
      <c r="H545" s="133"/>
    </row>
    <row r="546" ht="15.75" customHeight="1">
      <c r="C546" s="130"/>
      <c r="D546" s="131"/>
      <c r="G546" s="132"/>
      <c r="H546" s="133"/>
    </row>
    <row r="547" ht="15.75" customHeight="1">
      <c r="C547" s="130"/>
      <c r="D547" s="131"/>
      <c r="G547" s="132"/>
      <c r="H547" s="133"/>
    </row>
    <row r="548" ht="15.75" customHeight="1">
      <c r="C548" s="130"/>
      <c r="D548" s="131"/>
      <c r="G548" s="132"/>
      <c r="H548" s="133"/>
    </row>
    <row r="549" ht="15.75" customHeight="1">
      <c r="C549" s="130"/>
      <c r="D549" s="131"/>
      <c r="G549" s="132"/>
      <c r="H549" s="133"/>
    </row>
    <row r="550" ht="15.75" customHeight="1">
      <c r="C550" s="130"/>
      <c r="D550" s="131"/>
      <c r="G550" s="132"/>
      <c r="H550" s="133"/>
    </row>
    <row r="551" ht="15.75" customHeight="1">
      <c r="C551" s="130"/>
      <c r="D551" s="131"/>
      <c r="G551" s="132"/>
      <c r="H551" s="133"/>
    </row>
    <row r="552" ht="15.75" customHeight="1">
      <c r="C552" s="130"/>
      <c r="D552" s="131"/>
      <c r="G552" s="132"/>
      <c r="H552" s="133"/>
    </row>
    <row r="553" ht="15.75" customHeight="1">
      <c r="C553" s="130"/>
      <c r="D553" s="131"/>
      <c r="G553" s="132"/>
      <c r="H553" s="133"/>
    </row>
    <row r="554" ht="15.75" customHeight="1">
      <c r="C554" s="130"/>
      <c r="D554" s="131"/>
      <c r="G554" s="132"/>
      <c r="H554" s="133"/>
    </row>
    <row r="555" ht="15.75" customHeight="1">
      <c r="C555" s="130"/>
      <c r="D555" s="131"/>
      <c r="G555" s="132"/>
      <c r="H555" s="133"/>
    </row>
    <row r="556" ht="15.75" customHeight="1">
      <c r="C556" s="130"/>
      <c r="D556" s="131"/>
      <c r="G556" s="132"/>
      <c r="H556" s="133"/>
    </row>
    <row r="557" ht="15.75" customHeight="1">
      <c r="C557" s="130"/>
      <c r="D557" s="131"/>
      <c r="G557" s="132"/>
      <c r="H557" s="133"/>
    </row>
    <row r="558" ht="15.75" customHeight="1">
      <c r="C558" s="130"/>
      <c r="D558" s="131"/>
      <c r="G558" s="132"/>
      <c r="H558" s="133"/>
    </row>
    <row r="559" ht="15.75" customHeight="1">
      <c r="C559" s="130"/>
      <c r="D559" s="131"/>
      <c r="G559" s="132"/>
      <c r="H559" s="133"/>
    </row>
    <row r="560" ht="15.75" customHeight="1">
      <c r="C560" s="130"/>
      <c r="D560" s="131"/>
      <c r="G560" s="132"/>
      <c r="H560" s="133"/>
    </row>
    <row r="561" ht="15.75" customHeight="1">
      <c r="C561" s="130"/>
      <c r="D561" s="131"/>
      <c r="G561" s="132"/>
      <c r="H561" s="133"/>
    </row>
    <row r="562" ht="15.75" customHeight="1">
      <c r="C562" s="130"/>
      <c r="D562" s="131"/>
      <c r="G562" s="132"/>
      <c r="H562" s="133"/>
    </row>
    <row r="563" ht="15.75" customHeight="1">
      <c r="C563" s="130"/>
      <c r="D563" s="131"/>
      <c r="G563" s="132"/>
      <c r="H563" s="133"/>
    </row>
    <row r="564" ht="15.75" customHeight="1">
      <c r="C564" s="130"/>
      <c r="D564" s="131"/>
      <c r="G564" s="132"/>
      <c r="H564" s="133"/>
    </row>
    <row r="565" ht="15.75" customHeight="1">
      <c r="C565" s="130"/>
      <c r="D565" s="131"/>
      <c r="G565" s="132"/>
      <c r="H565" s="133"/>
    </row>
    <row r="566" ht="15.75" customHeight="1">
      <c r="C566" s="130"/>
      <c r="D566" s="131"/>
      <c r="G566" s="132"/>
      <c r="H566" s="133"/>
    </row>
    <row r="567" ht="15.75" customHeight="1">
      <c r="C567" s="130"/>
      <c r="D567" s="131"/>
      <c r="G567" s="132"/>
      <c r="H567" s="133"/>
    </row>
    <row r="568" ht="15.75" customHeight="1">
      <c r="C568" s="130"/>
      <c r="D568" s="131"/>
      <c r="G568" s="132"/>
      <c r="H568" s="133"/>
    </row>
    <row r="569" ht="15.75" customHeight="1">
      <c r="C569" s="130"/>
      <c r="D569" s="131"/>
      <c r="G569" s="132"/>
      <c r="H569" s="133"/>
    </row>
    <row r="570" ht="15.75" customHeight="1">
      <c r="C570" s="130"/>
      <c r="D570" s="131"/>
      <c r="G570" s="132"/>
      <c r="H570" s="133"/>
    </row>
    <row r="571" ht="15.75" customHeight="1">
      <c r="C571" s="130"/>
      <c r="D571" s="131"/>
      <c r="G571" s="132"/>
      <c r="H571" s="133"/>
    </row>
    <row r="572" ht="15.75" customHeight="1">
      <c r="C572" s="130"/>
      <c r="D572" s="131"/>
      <c r="G572" s="132"/>
      <c r="H572" s="133"/>
    </row>
    <row r="573" ht="15.75" customHeight="1">
      <c r="C573" s="130"/>
      <c r="D573" s="131"/>
      <c r="G573" s="132"/>
      <c r="H573" s="133"/>
    </row>
    <row r="574" ht="15.75" customHeight="1">
      <c r="C574" s="130"/>
      <c r="D574" s="131"/>
      <c r="G574" s="132"/>
      <c r="H574" s="133"/>
    </row>
    <row r="575" ht="15.75" customHeight="1">
      <c r="C575" s="130"/>
      <c r="D575" s="131"/>
      <c r="G575" s="132"/>
      <c r="H575" s="133"/>
    </row>
    <row r="576" ht="15.75" customHeight="1">
      <c r="C576" s="130"/>
      <c r="D576" s="131"/>
      <c r="G576" s="132"/>
      <c r="H576" s="133"/>
    </row>
    <row r="577" ht="15.75" customHeight="1">
      <c r="C577" s="130"/>
      <c r="D577" s="131"/>
      <c r="G577" s="132"/>
      <c r="H577" s="133"/>
    </row>
    <row r="578" ht="15.75" customHeight="1">
      <c r="C578" s="130"/>
      <c r="D578" s="131"/>
      <c r="G578" s="132"/>
      <c r="H578" s="133"/>
    </row>
    <row r="579" ht="15.75" customHeight="1">
      <c r="C579" s="130"/>
      <c r="D579" s="131"/>
      <c r="G579" s="132"/>
      <c r="H579" s="133"/>
    </row>
    <row r="580" ht="15.75" customHeight="1">
      <c r="C580" s="130"/>
      <c r="D580" s="131"/>
      <c r="G580" s="132"/>
      <c r="H580" s="133"/>
    </row>
    <row r="581" ht="15.75" customHeight="1">
      <c r="C581" s="130"/>
      <c r="D581" s="131"/>
      <c r="G581" s="132"/>
      <c r="H581" s="133"/>
    </row>
    <row r="582" ht="15.75" customHeight="1">
      <c r="C582" s="130"/>
      <c r="D582" s="131"/>
      <c r="G582" s="132"/>
      <c r="H582" s="133"/>
    </row>
    <row r="583" ht="15.75" customHeight="1">
      <c r="C583" s="130"/>
      <c r="D583" s="131"/>
      <c r="G583" s="132"/>
      <c r="H583" s="133"/>
    </row>
    <row r="584" ht="15.75" customHeight="1">
      <c r="C584" s="130"/>
      <c r="D584" s="131"/>
      <c r="G584" s="132"/>
      <c r="H584" s="133"/>
    </row>
    <row r="585" ht="15.75" customHeight="1">
      <c r="C585" s="130"/>
      <c r="D585" s="131"/>
      <c r="G585" s="132"/>
      <c r="H585" s="133"/>
    </row>
    <row r="586" ht="15.75" customHeight="1">
      <c r="C586" s="130"/>
      <c r="D586" s="131"/>
      <c r="G586" s="132"/>
      <c r="H586" s="133"/>
    </row>
    <row r="587" ht="15.75" customHeight="1">
      <c r="C587" s="130"/>
      <c r="D587" s="131"/>
      <c r="G587" s="132"/>
      <c r="H587" s="133"/>
    </row>
    <row r="588" ht="15.75" customHeight="1">
      <c r="C588" s="130"/>
      <c r="D588" s="131"/>
      <c r="G588" s="132"/>
      <c r="H588" s="133"/>
    </row>
    <row r="589" ht="15.75" customHeight="1">
      <c r="C589" s="130"/>
      <c r="D589" s="131"/>
      <c r="G589" s="132"/>
      <c r="H589" s="133"/>
    </row>
    <row r="590" ht="15.75" customHeight="1">
      <c r="C590" s="130"/>
      <c r="D590" s="131"/>
      <c r="G590" s="132"/>
      <c r="H590" s="133"/>
    </row>
    <row r="591" ht="15.75" customHeight="1">
      <c r="C591" s="130"/>
      <c r="D591" s="131"/>
      <c r="G591" s="132"/>
      <c r="H591" s="133"/>
    </row>
    <row r="592" ht="15.75" customHeight="1">
      <c r="C592" s="130"/>
      <c r="D592" s="131"/>
      <c r="G592" s="132"/>
      <c r="H592" s="133"/>
    </row>
    <row r="593" ht="15.75" customHeight="1">
      <c r="C593" s="130"/>
      <c r="D593" s="131"/>
      <c r="G593" s="132"/>
      <c r="H593" s="133"/>
    </row>
    <row r="594" ht="15.75" customHeight="1">
      <c r="C594" s="130"/>
      <c r="D594" s="131"/>
      <c r="G594" s="132"/>
      <c r="H594" s="133"/>
    </row>
    <row r="595" ht="15.75" customHeight="1">
      <c r="C595" s="130"/>
      <c r="D595" s="131"/>
      <c r="G595" s="132"/>
      <c r="H595" s="133"/>
    </row>
    <row r="596" ht="15.75" customHeight="1">
      <c r="C596" s="130"/>
      <c r="D596" s="131"/>
      <c r="G596" s="132"/>
      <c r="H596" s="133"/>
    </row>
    <row r="597" ht="15.75" customHeight="1">
      <c r="C597" s="130"/>
      <c r="D597" s="131"/>
      <c r="G597" s="132"/>
      <c r="H597" s="133"/>
    </row>
    <row r="598" ht="15.75" customHeight="1">
      <c r="C598" s="130"/>
      <c r="D598" s="131"/>
      <c r="G598" s="132"/>
      <c r="H598" s="133"/>
    </row>
    <row r="599" ht="15.75" customHeight="1">
      <c r="C599" s="130"/>
      <c r="D599" s="131"/>
      <c r="G599" s="132"/>
      <c r="H599" s="133"/>
    </row>
    <row r="600" ht="15.75" customHeight="1">
      <c r="C600" s="130"/>
      <c r="D600" s="131"/>
      <c r="G600" s="132"/>
      <c r="H600" s="133"/>
    </row>
    <row r="601" ht="15.75" customHeight="1">
      <c r="C601" s="130"/>
      <c r="D601" s="131"/>
      <c r="G601" s="132"/>
      <c r="H601" s="133"/>
    </row>
    <row r="602" ht="15.75" customHeight="1">
      <c r="C602" s="130"/>
      <c r="D602" s="131"/>
      <c r="G602" s="132"/>
      <c r="H602" s="133"/>
    </row>
    <row r="603" ht="15.75" customHeight="1">
      <c r="C603" s="130"/>
      <c r="D603" s="131"/>
      <c r="G603" s="132"/>
      <c r="H603" s="133"/>
    </row>
    <row r="604" ht="15.75" customHeight="1">
      <c r="C604" s="130"/>
      <c r="D604" s="131"/>
      <c r="G604" s="132"/>
      <c r="H604" s="133"/>
    </row>
    <row r="605" ht="15.75" customHeight="1">
      <c r="C605" s="130"/>
      <c r="D605" s="131"/>
      <c r="G605" s="132"/>
      <c r="H605" s="133"/>
    </row>
    <row r="606" ht="15.75" customHeight="1">
      <c r="C606" s="130"/>
      <c r="D606" s="131"/>
      <c r="G606" s="132"/>
      <c r="H606" s="133"/>
    </row>
    <row r="607" ht="15.75" customHeight="1">
      <c r="C607" s="130"/>
      <c r="D607" s="131"/>
      <c r="G607" s="132"/>
      <c r="H607" s="133"/>
    </row>
    <row r="608" ht="15.75" customHeight="1">
      <c r="C608" s="130"/>
      <c r="D608" s="131"/>
      <c r="G608" s="132"/>
      <c r="H608" s="133"/>
    </row>
    <row r="609" ht="15.75" customHeight="1">
      <c r="C609" s="130"/>
      <c r="D609" s="131"/>
      <c r="G609" s="132"/>
      <c r="H609" s="133"/>
    </row>
    <row r="610" ht="15.75" customHeight="1">
      <c r="C610" s="130"/>
      <c r="D610" s="131"/>
      <c r="G610" s="132"/>
      <c r="H610" s="133"/>
    </row>
    <row r="611" ht="15.75" customHeight="1">
      <c r="C611" s="130"/>
      <c r="D611" s="131"/>
      <c r="G611" s="132"/>
      <c r="H611" s="133"/>
    </row>
    <row r="612" ht="15.75" customHeight="1">
      <c r="C612" s="130"/>
      <c r="D612" s="131"/>
      <c r="G612" s="132"/>
      <c r="H612" s="133"/>
    </row>
    <row r="613" ht="15.75" customHeight="1">
      <c r="C613" s="130"/>
      <c r="D613" s="131"/>
      <c r="G613" s="132"/>
      <c r="H613" s="133"/>
    </row>
    <row r="614" ht="15.75" customHeight="1">
      <c r="C614" s="130"/>
      <c r="D614" s="131"/>
      <c r="G614" s="132"/>
      <c r="H614" s="133"/>
    </row>
    <row r="615" ht="15.75" customHeight="1">
      <c r="C615" s="130"/>
      <c r="D615" s="131"/>
      <c r="G615" s="132"/>
      <c r="H615" s="133"/>
    </row>
    <row r="616" ht="15.75" customHeight="1">
      <c r="C616" s="130"/>
      <c r="D616" s="131"/>
      <c r="G616" s="132"/>
      <c r="H616" s="133"/>
    </row>
    <row r="617" ht="15.75" customHeight="1">
      <c r="C617" s="130"/>
      <c r="D617" s="131"/>
      <c r="G617" s="132"/>
      <c r="H617" s="133"/>
    </row>
    <row r="618" ht="15.75" customHeight="1">
      <c r="C618" s="130"/>
      <c r="D618" s="131"/>
      <c r="G618" s="132"/>
      <c r="H618" s="133"/>
    </row>
    <row r="619" ht="15.75" customHeight="1">
      <c r="C619" s="130"/>
      <c r="D619" s="131"/>
      <c r="G619" s="132"/>
      <c r="H619" s="133"/>
    </row>
    <row r="620" ht="15.75" customHeight="1">
      <c r="C620" s="130"/>
      <c r="D620" s="131"/>
      <c r="G620" s="132"/>
      <c r="H620" s="133"/>
    </row>
    <row r="621" ht="15.75" customHeight="1">
      <c r="C621" s="130"/>
      <c r="D621" s="131"/>
      <c r="G621" s="132"/>
      <c r="H621" s="133"/>
    </row>
    <row r="622" ht="15.75" customHeight="1">
      <c r="C622" s="130"/>
      <c r="D622" s="131"/>
      <c r="G622" s="132"/>
      <c r="H622" s="133"/>
    </row>
    <row r="623" ht="15.75" customHeight="1">
      <c r="C623" s="130"/>
      <c r="D623" s="131"/>
      <c r="G623" s="132"/>
      <c r="H623" s="133"/>
    </row>
    <row r="624" ht="15.75" customHeight="1">
      <c r="C624" s="130"/>
      <c r="D624" s="131"/>
      <c r="G624" s="132"/>
      <c r="H624" s="133"/>
    </row>
    <row r="625" ht="15.75" customHeight="1">
      <c r="C625" s="130"/>
      <c r="D625" s="131"/>
      <c r="G625" s="132"/>
      <c r="H625" s="133"/>
    </row>
    <row r="626" ht="15.75" customHeight="1">
      <c r="C626" s="130"/>
      <c r="D626" s="131"/>
      <c r="G626" s="132"/>
      <c r="H626" s="133"/>
    </row>
    <row r="627" ht="15.75" customHeight="1">
      <c r="C627" s="130"/>
      <c r="D627" s="131"/>
      <c r="G627" s="132"/>
      <c r="H627" s="133"/>
    </row>
    <row r="628" ht="15.75" customHeight="1">
      <c r="C628" s="130"/>
      <c r="D628" s="131"/>
      <c r="G628" s="132"/>
      <c r="H628" s="133"/>
    </row>
    <row r="629" ht="15.75" customHeight="1">
      <c r="C629" s="130"/>
      <c r="D629" s="131"/>
      <c r="G629" s="132"/>
      <c r="H629" s="133"/>
    </row>
    <row r="630" ht="15.75" customHeight="1">
      <c r="C630" s="130"/>
      <c r="D630" s="131"/>
      <c r="G630" s="132"/>
      <c r="H630" s="133"/>
    </row>
    <row r="631" ht="15.75" customHeight="1">
      <c r="C631" s="130"/>
      <c r="D631" s="131"/>
      <c r="G631" s="132"/>
      <c r="H631" s="133"/>
    </row>
    <row r="632" ht="15.75" customHeight="1">
      <c r="C632" s="130"/>
      <c r="D632" s="131"/>
      <c r="G632" s="132"/>
      <c r="H632" s="133"/>
    </row>
    <row r="633" ht="15.75" customHeight="1">
      <c r="C633" s="130"/>
      <c r="D633" s="131"/>
      <c r="G633" s="132"/>
      <c r="H633" s="133"/>
    </row>
    <row r="634" ht="15.75" customHeight="1">
      <c r="C634" s="130"/>
      <c r="D634" s="131"/>
      <c r="G634" s="132"/>
      <c r="H634" s="133"/>
    </row>
    <row r="635" ht="15.75" customHeight="1">
      <c r="C635" s="130"/>
      <c r="D635" s="131"/>
      <c r="G635" s="132"/>
      <c r="H635" s="133"/>
    </row>
    <row r="636" ht="15.75" customHeight="1">
      <c r="C636" s="130"/>
      <c r="D636" s="131"/>
      <c r="G636" s="132"/>
      <c r="H636" s="133"/>
    </row>
    <row r="637" ht="15.75" customHeight="1">
      <c r="C637" s="130"/>
      <c r="D637" s="131"/>
      <c r="G637" s="132"/>
      <c r="H637" s="133"/>
    </row>
    <row r="638" ht="15.75" customHeight="1">
      <c r="C638" s="130"/>
      <c r="D638" s="131"/>
      <c r="G638" s="132"/>
      <c r="H638" s="133"/>
    </row>
    <row r="639" ht="15.75" customHeight="1">
      <c r="C639" s="130"/>
      <c r="D639" s="131"/>
      <c r="G639" s="132"/>
      <c r="H639" s="133"/>
    </row>
    <row r="640" ht="15.75" customHeight="1">
      <c r="C640" s="130"/>
      <c r="D640" s="131"/>
      <c r="G640" s="132"/>
      <c r="H640" s="133"/>
    </row>
    <row r="641" ht="15.75" customHeight="1">
      <c r="C641" s="130"/>
      <c r="D641" s="131"/>
      <c r="G641" s="132"/>
      <c r="H641" s="133"/>
    </row>
    <row r="642" ht="15.75" customHeight="1">
      <c r="C642" s="130"/>
      <c r="D642" s="131"/>
      <c r="G642" s="132"/>
      <c r="H642" s="133"/>
    </row>
    <row r="643" ht="15.75" customHeight="1">
      <c r="C643" s="130"/>
      <c r="D643" s="131"/>
      <c r="G643" s="132"/>
      <c r="H643" s="133"/>
    </row>
    <row r="644" ht="15.75" customHeight="1">
      <c r="C644" s="130"/>
      <c r="D644" s="131"/>
      <c r="G644" s="132"/>
      <c r="H644" s="133"/>
    </row>
    <row r="645" ht="15.75" customHeight="1">
      <c r="C645" s="130"/>
      <c r="D645" s="131"/>
      <c r="G645" s="132"/>
      <c r="H645" s="133"/>
    </row>
    <row r="646" ht="15.75" customHeight="1">
      <c r="C646" s="130"/>
      <c r="D646" s="131"/>
      <c r="G646" s="132"/>
      <c r="H646" s="133"/>
    </row>
    <row r="647" ht="15.75" customHeight="1">
      <c r="C647" s="130"/>
      <c r="D647" s="131"/>
      <c r="G647" s="132"/>
      <c r="H647" s="133"/>
    </row>
    <row r="648" ht="15.75" customHeight="1">
      <c r="C648" s="130"/>
      <c r="D648" s="131"/>
      <c r="G648" s="132"/>
      <c r="H648" s="133"/>
    </row>
    <row r="649" ht="15.75" customHeight="1">
      <c r="C649" s="130"/>
      <c r="D649" s="131"/>
      <c r="G649" s="132"/>
      <c r="H649" s="133"/>
    </row>
    <row r="650" ht="15.75" customHeight="1">
      <c r="C650" s="130"/>
      <c r="D650" s="131"/>
      <c r="G650" s="132"/>
      <c r="H650" s="133"/>
    </row>
    <row r="651" ht="15.75" customHeight="1">
      <c r="C651" s="130"/>
      <c r="D651" s="131"/>
      <c r="G651" s="132"/>
      <c r="H651" s="133"/>
    </row>
    <row r="652" ht="15.75" customHeight="1">
      <c r="C652" s="130"/>
      <c r="D652" s="131"/>
      <c r="G652" s="132"/>
      <c r="H652" s="133"/>
    </row>
    <row r="653" ht="15.75" customHeight="1">
      <c r="C653" s="130"/>
      <c r="D653" s="131"/>
      <c r="G653" s="132"/>
      <c r="H653" s="133"/>
    </row>
    <row r="654" ht="15.75" customHeight="1">
      <c r="C654" s="130"/>
      <c r="D654" s="131"/>
      <c r="G654" s="132"/>
      <c r="H654" s="133"/>
    </row>
    <row r="655" ht="15.75" customHeight="1">
      <c r="C655" s="130"/>
      <c r="D655" s="131"/>
      <c r="G655" s="132"/>
      <c r="H655" s="133"/>
    </row>
    <row r="656" ht="15.75" customHeight="1">
      <c r="C656" s="130"/>
      <c r="D656" s="131"/>
      <c r="G656" s="132"/>
      <c r="H656" s="133"/>
    </row>
    <row r="657" ht="15.75" customHeight="1">
      <c r="C657" s="130"/>
      <c r="D657" s="131"/>
      <c r="G657" s="132"/>
      <c r="H657" s="133"/>
    </row>
    <row r="658" ht="15.75" customHeight="1">
      <c r="C658" s="130"/>
      <c r="D658" s="131"/>
      <c r="G658" s="132"/>
      <c r="H658" s="133"/>
    </row>
    <row r="659" ht="15.75" customHeight="1">
      <c r="C659" s="130"/>
      <c r="D659" s="131"/>
      <c r="G659" s="132"/>
      <c r="H659" s="133"/>
    </row>
    <row r="660" ht="15.75" customHeight="1">
      <c r="C660" s="130"/>
      <c r="D660" s="131"/>
      <c r="G660" s="132"/>
      <c r="H660" s="133"/>
    </row>
    <row r="661" ht="15.75" customHeight="1">
      <c r="C661" s="130"/>
      <c r="D661" s="131"/>
      <c r="G661" s="132"/>
      <c r="H661" s="133"/>
    </row>
    <row r="662" ht="15.75" customHeight="1">
      <c r="C662" s="130"/>
      <c r="D662" s="131"/>
      <c r="G662" s="132"/>
      <c r="H662" s="133"/>
    </row>
    <row r="663" ht="15.75" customHeight="1">
      <c r="C663" s="130"/>
      <c r="D663" s="131"/>
      <c r="G663" s="132"/>
      <c r="H663" s="133"/>
    </row>
    <row r="664" ht="15.75" customHeight="1">
      <c r="C664" s="130"/>
      <c r="D664" s="131"/>
      <c r="G664" s="132"/>
      <c r="H664" s="133"/>
    </row>
    <row r="665" ht="15.75" customHeight="1">
      <c r="C665" s="130"/>
      <c r="D665" s="131"/>
      <c r="G665" s="132"/>
      <c r="H665" s="133"/>
    </row>
    <row r="666" ht="15.75" customHeight="1">
      <c r="C666" s="130"/>
      <c r="D666" s="131"/>
      <c r="G666" s="132"/>
      <c r="H666" s="133"/>
    </row>
    <row r="667" ht="15.75" customHeight="1">
      <c r="C667" s="130"/>
      <c r="D667" s="131"/>
      <c r="G667" s="132"/>
      <c r="H667" s="133"/>
    </row>
    <row r="668" ht="15.75" customHeight="1">
      <c r="C668" s="130"/>
      <c r="D668" s="131"/>
      <c r="G668" s="132"/>
      <c r="H668" s="133"/>
    </row>
    <row r="669" ht="15.75" customHeight="1">
      <c r="C669" s="130"/>
      <c r="D669" s="131"/>
      <c r="G669" s="132"/>
      <c r="H669" s="133"/>
    </row>
    <row r="670" ht="15.75" customHeight="1">
      <c r="C670" s="130"/>
      <c r="D670" s="131"/>
      <c r="G670" s="132"/>
      <c r="H670" s="133"/>
    </row>
    <row r="671" ht="15.75" customHeight="1">
      <c r="C671" s="130"/>
      <c r="D671" s="131"/>
      <c r="G671" s="132"/>
      <c r="H671" s="133"/>
    </row>
    <row r="672" ht="15.75" customHeight="1">
      <c r="C672" s="130"/>
      <c r="D672" s="131"/>
      <c r="G672" s="132"/>
      <c r="H672" s="133"/>
    </row>
    <row r="673" ht="15.75" customHeight="1">
      <c r="C673" s="130"/>
      <c r="D673" s="131"/>
      <c r="G673" s="132"/>
      <c r="H673" s="133"/>
    </row>
    <row r="674" ht="15.75" customHeight="1">
      <c r="C674" s="130"/>
      <c r="D674" s="131"/>
      <c r="G674" s="132"/>
      <c r="H674" s="133"/>
    </row>
    <row r="675" ht="15.75" customHeight="1">
      <c r="C675" s="130"/>
      <c r="D675" s="131"/>
      <c r="G675" s="132"/>
      <c r="H675" s="133"/>
    </row>
    <row r="676" ht="15.75" customHeight="1">
      <c r="C676" s="130"/>
      <c r="D676" s="131"/>
      <c r="G676" s="132"/>
      <c r="H676" s="133"/>
    </row>
    <row r="677" ht="15.75" customHeight="1">
      <c r="C677" s="130"/>
      <c r="D677" s="131"/>
      <c r="G677" s="132"/>
      <c r="H677" s="133"/>
    </row>
    <row r="678" ht="15.75" customHeight="1">
      <c r="C678" s="130"/>
      <c r="D678" s="131"/>
      <c r="G678" s="132"/>
      <c r="H678" s="133"/>
    </row>
    <row r="679" ht="15.75" customHeight="1">
      <c r="C679" s="130"/>
      <c r="D679" s="131"/>
      <c r="G679" s="132"/>
      <c r="H679" s="133"/>
    </row>
    <row r="680" ht="15.75" customHeight="1">
      <c r="C680" s="130"/>
      <c r="D680" s="131"/>
      <c r="G680" s="132"/>
      <c r="H680" s="133"/>
    </row>
    <row r="681" ht="15.75" customHeight="1">
      <c r="C681" s="130"/>
      <c r="D681" s="131"/>
      <c r="G681" s="132"/>
      <c r="H681" s="133"/>
    </row>
    <row r="682" ht="15.75" customHeight="1">
      <c r="C682" s="130"/>
      <c r="D682" s="131"/>
      <c r="G682" s="132"/>
      <c r="H682" s="133"/>
    </row>
    <row r="683" ht="15.75" customHeight="1">
      <c r="C683" s="130"/>
      <c r="D683" s="131"/>
      <c r="G683" s="132"/>
      <c r="H683" s="133"/>
    </row>
    <row r="684" ht="15.75" customHeight="1">
      <c r="C684" s="130"/>
      <c r="D684" s="131"/>
      <c r="G684" s="132"/>
      <c r="H684" s="133"/>
    </row>
    <row r="685" ht="15.75" customHeight="1">
      <c r="C685" s="130"/>
      <c r="D685" s="131"/>
      <c r="G685" s="132"/>
      <c r="H685" s="133"/>
    </row>
    <row r="686" ht="15.75" customHeight="1">
      <c r="C686" s="130"/>
      <c r="D686" s="131"/>
      <c r="G686" s="132"/>
      <c r="H686" s="133"/>
    </row>
    <row r="687" ht="15.75" customHeight="1">
      <c r="C687" s="130"/>
      <c r="D687" s="131"/>
      <c r="G687" s="132"/>
      <c r="H687" s="133"/>
    </row>
    <row r="688" ht="15.75" customHeight="1">
      <c r="C688" s="130"/>
      <c r="D688" s="131"/>
      <c r="G688" s="132"/>
      <c r="H688" s="133"/>
    </row>
    <row r="689" ht="15.75" customHeight="1">
      <c r="C689" s="130"/>
      <c r="D689" s="131"/>
      <c r="G689" s="132"/>
      <c r="H689" s="133"/>
    </row>
    <row r="690" ht="15.75" customHeight="1">
      <c r="C690" s="130"/>
      <c r="D690" s="131"/>
      <c r="G690" s="132"/>
      <c r="H690" s="133"/>
    </row>
    <row r="691" ht="15.75" customHeight="1">
      <c r="C691" s="130"/>
      <c r="D691" s="131"/>
      <c r="G691" s="132"/>
      <c r="H691" s="133"/>
    </row>
    <row r="692" ht="15.75" customHeight="1">
      <c r="C692" s="130"/>
      <c r="D692" s="131"/>
      <c r="G692" s="132"/>
      <c r="H692" s="133"/>
    </row>
    <row r="693" ht="15.75" customHeight="1">
      <c r="C693" s="130"/>
      <c r="D693" s="131"/>
      <c r="G693" s="132"/>
      <c r="H693" s="133"/>
    </row>
    <row r="694" ht="15.75" customHeight="1">
      <c r="C694" s="130"/>
      <c r="D694" s="131"/>
      <c r="G694" s="132"/>
      <c r="H694" s="133"/>
    </row>
    <row r="695" ht="15.75" customHeight="1">
      <c r="C695" s="130"/>
      <c r="D695" s="131"/>
      <c r="G695" s="132"/>
      <c r="H695" s="133"/>
    </row>
    <row r="696" ht="15.75" customHeight="1">
      <c r="C696" s="130"/>
      <c r="D696" s="131"/>
      <c r="G696" s="132"/>
      <c r="H696" s="133"/>
    </row>
    <row r="697" ht="15.75" customHeight="1">
      <c r="C697" s="130"/>
      <c r="D697" s="131"/>
      <c r="G697" s="132"/>
      <c r="H697" s="133"/>
    </row>
    <row r="698" ht="15.75" customHeight="1">
      <c r="C698" s="130"/>
      <c r="D698" s="131"/>
      <c r="G698" s="132"/>
      <c r="H698" s="133"/>
    </row>
    <row r="699" ht="15.75" customHeight="1">
      <c r="C699" s="130"/>
      <c r="D699" s="131"/>
      <c r="G699" s="132"/>
      <c r="H699" s="133"/>
    </row>
    <row r="700" ht="15.75" customHeight="1">
      <c r="C700" s="130"/>
      <c r="D700" s="131"/>
      <c r="G700" s="132"/>
      <c r="H700" s="133"/>
    </row>
    <row r="701" ht="15.75" customHeight="1">
      <c r="C701" s="130"/>
      <c r="D701" s="131"/>
      <c r="G701" s="132"/>
      <c r="H701" s="133"/>
    </row>
    <row r="702" ht="15.75" customHeight="1">
      <c r="C702" s="130"/>
      <c r="D702" s="131"/>
      <c r="G702" s="132"/>
      <c r="H702" s="133"/>
    </row>
    <row r="703" ht="15.75" customHeight="1">
      <c r="C703" s="130"/>
      <c r="D703" s="131"/>
      <c r="G703" s="132"/>
      <c r="H703" s="133"/>
    </row>
    <row r="704" ht="15.75" customHeight="1">
      <c r="C704" s="130"/>
      <c r="D704" s="131"/>
      <c r="G704" s="132"/>
      <c r="H704" s="133"/>
    </row>
    <row r="705" ht="15.75" customHeight="1">
      <c r="C705" s="130"/>
      <c r="D705" s="131"/>
      <c r="G705" s="132"/>
      <c r="H705" s="133"/>
    </row>
    <row r="706" ht="15.75" customHeight="1">
      <c r="C706" s="130"/>
      <c r="D706" s="131"/>
      <c r="G706" s="132"/>
      <c r="H706" s="133"/>
    </row>
    <row r="707" ht="15.75" customHeight="1">
      <c r="C707" s="130"/>
      <c r="D707" s="131"/>
      <c r="G707" s="132"/>
      <c r="H707" s="133"/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468"/>
  <mergeCells count="1">
    <mergeCell ref="A1:K1"/>
  </mergeCells>
  <conditionalFormatting sqref="B3:B172">
    <cfRule type="expression" dxfId="0" priority="1">
      <formula>AND(B3&lt;TODAY(),TODAY()-B3&gt;=WEEKDAY(TODAY()),TODAY()-B3&lt;WEEKDAY(TODAY())+7)</formula>
    </cfRule>
  </conditionalFormatting>
  <conditionalFormatting sqref="B3:B172">
    <cfRule type="timePeriod" dxfId="1" priority="2" timePeriod="today"/>
  </conditionalFormatting>
  <conditionalFormatting sqref="B3:B172">
    <cfRule type="timePeriod" dxfId="2" priority="3" timePeriod="yesterday"/>
  </conditionalFormatting>
  <conditionalFormatting sqref="B3:B172">
    <cfRule type="expression" dxfId="0" priority="4">
      <formula>AND(B3&lt;TODAY(),TODAY()-B3&gt;=WEEKDAY(TODAY()),TODAY()-B3&lt;WEEKDAY(TODAY())+7)</formula>
    </cfRule>
  </conditionalFormatting>
  <conditionalFormatting sqref="B3:B172">
    <cfRule type="timePeriod" dxfId="1" priority="5" timePeriod="today"/>
  </conditionalFormatting>
  <conditionalFormatting sqref="B3:B172">
    <cfRule type="timePeriod" dxfId="2" priority="6" timePeriod="yesterday"/>
  </conditionalFormatting>
  <conditionalFormatting sqref="B3:B172">
    <cfRule type="expression" dxfId="0" priority="7">
      <formula>AND(B3&lt;TODAY(),TODAY()-B3&gt;=WEEKDAY(TODAY()),TODAY()-B3&lt;WEEKDAY(TODAY())+7)</formula>
    </cfRule>
  </conditionalFormatting>
  <conditionalFormatting sqref="B3:B172">
    <cfRule type="timePeriod" dxfId="1" priority="8" timePeriod="today"/>
  </conditionalFormatting>
  <conditionalFormatting sqref="B3:B172">
    <cfRule type="timePeriod" dxfId="2" priority="9" timePeriod="yesterday"/>
  </conditionalFormatting>
  <conditionalFormatting sqref="B3:B172">
    <cfRule type="expression" dxfId="0" priority="10">
      <formula>AND(B3&lt;TODAY(),TODAY()-B3&gt;=WEEKDAY(TODAY()),TODAY()-B3&lt;WEEKDAY(TODAY())+7)</formula>
    </cfRule>
  </conditionalFormatting>
  <conditionalFormatting sqref="B3:B172">
    <cfRule type="timePeriod" dxfId="1" priority="11" timePeriod="today"/>
  </conditionalFormatting>
  <conditionalFormatting sqref="B3:B172">
    <cfRule type="timePeriod" dxfId="2" priority="12" timePeriod="yesterday"/>
  </conditionalFormatting>
  <dataValidations>
    <dataValidation type="list" allowBlank="1" showErrorMessage="1" sqref="C3:C505">
      <formula1>SUPPLIERS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14"/>
    <col customWidth="1" min="2" max="2" width="24.43"/>
    <col customWidth="1" min="3" max="3" width="8.0"/>
    <col customWidth="1" min="4" max="4" width="22.0"/>
    <col customWidth="1" min="5" max="5" width="49.29"/>
    <col customWidth="1" min="6" max="6" width="12.29"/>
    <col customWidth="1" min="7" max="7" width="11.14"/>
    <col customWidth="1" min="8" max="8" width="9.71"/>
    <col customWidth="1" min="9" max="9" width="8.86"/>
    <col customWidth="1" min="10" max="10" width="9.71"/>
    <col customWidth="1" min="11" max="11" width="27.14"/>
    <col customWidth="1" min="12" max="12" width="13.14"/>
    <col customWidth="1" min="13" max="13" width="16.29"/>
    <col customWidth="1" min="14" max="14" width="23.71"/>
    <col customWidth="1" min="15" max="15" width="18.43"/>
    <col customWidth="1" min="16" max="16" width="8.71"/>
    <col customWidth="1" min="17" max="17" width="10.14"/>
    <col customWidth="1" min="18" max="18" width="13.29"/>
    <col customWidth="1" min="19" max="19" width="11.71"/>
    <col customWidth="1" min="20" max="20" width="9.29"/>
    <col customWidth="1" min="21" max="21" width="9.71"/>
    <col customWidth="1" min="22" max="22" width="13.71"/>
    <col customWidth="1" min="23" max="23" width="18.86"/>
    <col customWidth="1" min="24" max="24" width="17.43"/>
    <col customWidth="1" min="25" max="25" width="26.86"/>
    <col customWidth="1" min="26" max="26" width="13.86"/>
    <col customWidth="1" min="27" max="27" width="15.43"/>
    <col customWidth="1" min="28" max="28" width="8.29"/>
    <col customWidth="1" min="29" max="30" width="5.43"/>
    <col customWidth="1" min="31" max="31" width="15.86"/>
    <col customWidth="1" min="32" max="33" width="12.43"/>
    <col customWidth="1" min="34" max="34" width="6.71"/>
    <col customWidth="1" min="35" max="35" width="8.86"/>
    <col customWidth="1" min="36" max="36" width="16.43"/>
    <col customWidth="1" min="37" max="37" width="5.86"/>
    <col customWidth="1" min="38" max="38" width="18.14"/>
    <col customWidth="1" min="39" max="39" width="9.0"/>
    <col customWidth="1" min="40" max="40" width="11.0"/>
    <col customWidth="1" min="41" max="41" width="10.29"/>
  </cols>
  <sheetData>
    <row r="1">
      <c r="A1" s="141"/>
      <c r="B1" s="142"/>
      <c r="C1" s="143"/>
      <c r="D1" s="144"/>
      <c r="E1" s="142"/>
      <c r="F1" s="145">
        <f t="shared" ref="F1:G1" si="1">SUM(F3:F840)</f>
        <v>2796174</v>
      </c>
      <c r="G1" s="145">
        <f t="shared" si="1"/>
        <v>2796174</v>
      </c>
      <c r="H1" s="146" t="str">
        <f>G1-'DAILY UPDATE'!#REF!</f>
        <v>#ERROR!</v>
      </c>
      <c r="I1" s="147"/>
      <c r="J1" s="147"/>
      <c r="K1" s="148">
        <f>G1-F1</f>
        <v>0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</row>
    <row r="2" ht="30.75" customHeight="1">
      <c r="A2" s="149" t="s">
        <v>37</v>
      </c>
      <c r="B2" s="150" t="s">
        <v>58</v>
      </c>
      <c r="C2" s="151" t="s">
        <v>39</v>
      </c>
      <c r="D2" s="152" t="s">
        <v>59</v>
      </c>
      <c r="E2" s="150" t="s">
        <v>60</v>
      </c>
      <c r="F2" s="153" t="s">
        <v>61</v>
      </c>
      <c r="G2" s="150" t="s">
        <v>62</v>
      </c>
      <c r="H2" s="150" t="s">
        <v>41</v>
      </c>
      <c r="I2" s="150" t="s">
        <v>43</v>
      </c>
      <c r="J2" s="150" t="s">
        <v>42</v>
      </c>
      <c r="K2" s="154" t="s">
        <v>63</v>
      </c>
      <c r="L2" s="155"/>
      <c r="M2" s="156"/>
      <c r="N2" s="157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</row>
    <row r="3">
      <c r="A3" s="158">
        <v>46057.0</v>
      </c>
      <c r="B3" s="159" t="s">
        <v>10</v>
      </c>
      <c r="C3" s="160"/>
      <c r="D3" s="161" t="s">
        <v>64</v>
      </c>
      <c r="E3" s="162" t="s">
        <v>65</v>
      </c>
      <c r="F3" s="163">
        <v>40475.0</v>
      </c>
      <c r="G3" s="164"/>
      <c r="H3" s="165"/>
      <c r="I3" s="166"/>
      <c r="J3" s="167"/>
      <c r="K3" s="168"/>
      <c r="L3" s="169"/>
      <c r="M3" s="170"/>
      <c r="N3" s="171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</row>
    <row r="4">
      <c r="A4" s="158">
        <v>46057.0</v>
      </c>
      <c r="B4" s="172" t="s">
        <v>5</v>
      </c>
      <c r="C4" s="160"/>
      <c r="D4" s="161" t="s">
        <v>66</v>
      </c>
      <c r="E4" s="162" t="s">
        <v>67</v>
      </c>
      <c r="F4" s="173">
        <v>30100.0</v>
      </c>
      <c r="G4" s="164"/>
      <c r="H4" s="165"/>
      <c r="I4" s="166"/>
      <c r="J4" s="166"/>
      <c r="K4" s="174" t="s">
        <v>47</v>
      </c>
      <c r="L4" s="169"/>
      <c r="M4" s="170"/>
      <c r="N4" s="171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</row>
    <row r="5">
      <c r="A5" s="158">
        <v>46057.0</v>
      </c>
      <c r="B5" s="172" t="s">
        <v>5</v>
      </c>
      <c r="C5" s="160"/>
      <c r="D5" s="161" t="s">
        <v>68</v>
      </c>
      <c r="E5" s="162" t="s">
        <v>69</v>
      </c>
      <c r="F5" s="173">
        <v>1000.0</v>
      </c>
      <c r="G5" s="164"/>
      <c r="H5" s="165"/>
      <c r="I5" s="166"/>
      <c r="J5" s="167"/>
      <c r="K5" s="174" t="s">
        <v>50</v>
      </c>
      <c r="L5" s="169"/>
      <c r="M5" s="170"/>
      <c r="N5" s="171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</row>
    <row r="6">
      <c r="A6" s="158">
        <v>46057.0</v>
      </c>
      <c r="B6" s="175" t="s">
        <v>70</v>
      </c>
      <c r="C6" s="160"/>
      <c r="D6" s="161" t="s">
        <v>70</v>
      </c>
      <c r="E6" s="162" t="s">
        <v>71</v>
      </c>
      <c r="F6" s="173">
        <v>4200.0</v>
      </c>
      <c r="G6" s="164"/>
      <c r="H6" s="176" t="s">
        <v>72</v>
      </c>
      <c r="I6" s="177">
        <v>600.0</v>
      </c>
      <c r="J6" s="167">
        <f>4200/600</f>
        <v>7</v>
      </c>
      <c r="K6" s="174" t="s">
        <v>50</v>
      </c>
      <c r="L6" s="169"/>
      <c r="M6" s="170"/>
      <c r="N6" s="171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</row>
    <row r="7">
      <c r="A7" s="158">
        <v>46057.0</v>
      </c>
      <c r="B7" s="175" t="s">
        <v>73</v>
      </c>
      <c r="C7" s="160"/>
      <c r="D7" s="161" t="s">
        <v>74</v>
      </c>
      <c r="E7" s="162" t="s">
        <v>75</v>
      </c>
      <c r="F7" s="173">
        <v>2010.0</v>
      </c>
      <c r="G7" s="164"/>
      <c r="H7" s="165"/>
      <c r="I7" s="166"/>
      <c r="J7" s="167"/>
      <c r="K7" s="168"/>
      <c r="L7" s="169"/>
      <c r="M7" s="170"/>
      <c r="N7" s="171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</row>
    <row r="8">
      <c r="A8" s="158">
        <v>46057.0</v>
      </c>
      <c r="B8" s="159" t="s">
        <v>7</v>
      </c>
      <c r="C8" s="160"/>
      <c r="D8" s="161" t="s">
        <v>76</v>
      </c>
      <c r="E8" s="162" t="s">
        <v>76</v>
      </c>
      <c r="F8" s="173">
        <v>3000.0</v>
      </c>
      <c r="G8" s="164"/>
      <c r="H8" s="165"/>
      <c r="I8" s="166"/>
      <c r="J8" s="167"/>
      <c r="K8" s="168"/>
      <c r="L8" s="169"/>
      <c r="M8" s="170"/>
      <c r="N8" s="171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</row>
    <row r="9">
      <c r="A9" s="158">
        <v>46057.0</v>
      </c>
      <c r="B9" s="159" t="s">
        <v>7</v>
      </c>
      <c r="C9" s="160"/>
      <c r="D9" s="161" t="s">
        <v>77</v>
      </c>
      <c r="E9" s="162" t="s">
        <v>77</v>
      </c>
      <c r="F9" s="173">
        <v>300.0</v>
      </c>
      <c r="G9" s="164"/>
      <c r="H9" s="165"/>
      <c r="I9" s="166"/>
      <c r="J9" s="167"/>
      <c r="K9" s="168"/>
      <c r="L9" s="169"/>
      <c r="M9" s="170"/>
      <c r="N9" s="171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</row>
    <row r="10">
      <c r="A10" s="158">
        <v>46057.0</v>
      </c>
      <c r="B10" s="175" t="s">
        <v>14</v>
      </c>
      <c r="C10" s="160"/>
      <c r="D10" s="161" t="s">
        <v>78</v>
      </c>
      <c r="E10" s="162" t="s">
        <v>79</v>
      </c>
      <c r="F10" s="173">
        <v>5310.0</v>
      </c>
      <c r="G10" s="164"/>
      <c r="H10" s="165"/>
      <c r="I10" s="178"/>
      <c r="J10" s="167"/>
      <c r="K10" s="168"/>
      <c r="L10" s="169"/>
      <c r="M10" s="170"/>
      <c r="N10" s="171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</row>
    <row r="11">
      <c r="A11" s="158">
        <v>46057.0</v>
      </c>
      <c r="B11" s="175" t="s">
        <v>14</v>
      </c>
      <c r="C11" s="160"/>
      <c r="D11" s="161" t="s">
        <v>80</v>
      </c>
      <c r="E11" s="162" t="s">
        <v>80</v>
      </c>
      <c r="F11" s="173">
        <v>8000.0</v>
      </c>
      <c r="G11" s="164"/>
      <c r="H11" s="165"/>
      <c r="I11" s="178"/>
      <c r="J11" s="167"/>
      <c r="K11" s="168"/>
      <c r="L11" s="169"/>
      <c r="M11" s="170"/>
      <c r="N11" s="171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</row>
    <row r="12">
      <c r="A12" s="158">
        <v>46057.0</v>
      </c>
      <c r="B12" s="175" t="s">
        <v>81</v>
      </c>
      <c r="C12" s="160"/>
      <c r="D12" s="161" t="s">
        <v>81</v>
      </c>
      <c r="E12" s="162" t="s">
        <v>82</v>
      </c>
      <c r="F12" s="173">
        <v>2480.0</v>
      </c>
      <c r="G12" s="164">
        <f>SUM(F3:F12)</f>
        <v>96875</v>
      </c>
      <c r="H12" s="165"/>
      <c r="I12" s="178"/>
      <c r="J12" s="167"/>
      <c r="K12" s="168"/>
      <c r="L12" s="169"/>
      <c r="M12" s="170"/>
      <c r="N12" s="171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</row>
    <row r="13">
      <c r="A13" s="158">
        <v>46061.0</v>
      </c>
      <c r="B13" s="175" t="s">
        <v>10</v>
      </c>
      <c r="C13" s="160"/>
      <c r="D13" s="161" t="s">
        <v>64</v>
      </c>
      <c r="E13" s="162" t="s">
        <v>65</v>
      </c>
      <c r="F13" s="163">
        <v>3525.0</v>
      </c>
      <c r="G13" s="164"/>
      <c r="H13" s="165"/>
      <c r="I13" s="178"/>
      <c r="J13" s="167"/>
      <c r="K13" s="168"/>
      <c r="L13" s="169"/>
      <c r="M13" s="170"/>
      <c r="N13" s="171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</row>
    <row r="14">
      <c r="A14" s="158">
        <v>46061.0</v>
      </c>
      <c r="B14" s="175" t="s">
        <v>5</v>
      </c>
      <c r="C14" s="160"/>
      <c r="D14" s="161" t="s">
        <v>66</v>
      </c>
      <c r="E14" s="162" t="s">
        <v>67</v>
      </c>
      <c r="F14" s="173">
        <v>26500.0</v>
      </c>
      <c r="G14" s="164"/>
      <c r="H14" s="165"/>
      <c r="I14" s="178"/>
      <c r="J14" s="167"/>
      <c r="K14" s="174" t="s">
        <v>47</v>
      </c>
      <c r="L14" s="179"/>
      <c r="M14" s="180"/>
      <c r="N14" s="181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</row>
    <row r="15">
      <c r="A15" s="158">
        <v>46061.0</v>
      </c>
      <c r="B15" s="175" t="s">
        <v>5</v>
      </c>
      <c r="C15" s="160"/>
      <c r="D15" s="161" t="s">
        <v>83</v>
      </c>
      <c r="E15" s="162" t="s">
        <v>84</v>
      </c>
      <c r="F15" s="173">
        <v>19500.0</v>
      </c>
      <c r="G15" s="164"/>
      <c r="H15" s="165"/>
      <c r="I15" s="178"/>
      <c r="J15" s="167"/>
      <c r="K15" s="174" t="s">
        <v>50</v>
      </c>
      <c r="L15" s="104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</row>
    <row r="16">
      <c r="A16" s="158">
        <v>46061.0</v>
      </c>
      <c r="B16" s="175" t="s">
        <v>9</v>
      </c>
      <c r="C16" s="160"/>
      <c r="D16" s="161" t="s">
        <v>85</v>
      </c>
      <c r="E16" s="162" t="s">
        <v>86</v>
      </c>
      <c r="F16" s="173">
        <v>286167.0</v>
      </c>
      <c r="G16" s="164"/>
      <c r="H16" s="165"/>
      <c r="I16" s="178"/>
      <c r="J16" s="167"/>
      <c r="K16" s="168"/>
      <c r="L16" s="104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</row>
    <row r="17">
      <c r="A17" s="158">
        <v>46061.0</v>
      </c>
      <c r="B17" s="175" t="s">
        <v>73</v>
      </c>
      <c r="C17" s="160"/>
      <c r="D17" s="161" t="s">
        <v>74</v>
      </c>
      <c r="E17" s="162" t="s">
        <v>87</v>
      </c>
      <c r="F17" s="173">
        <v>1990.0</v>
      </c>
      <c r="G17" s="164"/>
      <c r="H17" s="165"/>
      <c r="I17" s="178"/>
      <c r="J17" s="167"/>
      <c r="K17" s="168"/>
      <c r="L17" s="104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</row>
    <row r="18">
      <c r="A18" s="158">
        <v>46061.0</v>
      </c>
      <c r="B18" s="175" t="s">
        <v>73</v>
      </c>
      <c r="C18" s="160"/>
      <c r="D18" s="161" t="s">
        <v>74</v>
      </c>
      <c r="E18" s="162" t="s">
        <v>88</v>
      </c>
      <c r="F18" s="173">
        <v>150.0</v>
      </c>
      <c r="G18" s="164"/>
      <c r="H18" s="165"/>
      <c r="I18" s="178"/>
      <c r="J18" s="167"/>
      <c r="K18" s="168"/>
      <c r="L18" s="104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</row>
    <row r="19">
      <c r="A19" s="158">
        <v>46061.0</v>
      </c>
      <c r="B19" s="175" t="s">
        <v>7</v>
      </c>
      <c r="C19" s="160"/>
      <c r="D19" s="161" t="s">
        <v>76</v>
      </c>
      <c r="E19" s="162" t="s">
        <v>76</v>
      </c>
      <c r="F19" s="173">
        <v>6000.0</v>
      </c>
      <c r="G19" s="164"/>
      <c r="H19" s="165"/>
      <c r="I19" s="178"/>
      <c r="J19" s="167"/>
      <c r="K19" s="168"/>
      <c r="L19" s="104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</row>
    <row r="20">
      <c r="A20" s="158">
        <v>46061.0</v>
      </c>
      <c r="B20" s="175" t="s">
        <v>14</v>
      </c>
      <c r="C20" s="160"/>
      <c r="D20" s="161" t="s">
        <v>89</v>
      </c>
      <c r="E20" s="162" t="s">
        <v>90</v>
      </c>
      <c r="F20" s="173">
        <v>136234.0</v>
      </c>
      <c r="G20" s="164"/>
      <c r="H20" s="165"/>
      <c r="I20" s="178"/>
      <c r="J20" s="167"/>
      <c r="K20" s="168"/>
      <c r="L20" s="104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</row>
    <row r="21" ht="15.75" customHeight="1">
      <c r="A21" s="158">
        <v>46061.0</v>
      </c>
      <c r="B21" s="175" t="s">
        <v>14</v>
      </c>
      <c r="C21" s="160"/>
      <c r="D21" s="161" t="s">
        <v>91</v>
      </c>
      <c r="E21" s="162" t="s">
        <v>92</v>
      </c>
      <c r="F21" s="173">
        <v>28480.0</v>
      </c>
      <c r="G21" s="164"/>
      <c r="H21" s="165"/>
      <c r="I21" s="178"/>
      <c r="J21" s="167"/>
      <c r="K21" s="168"/>
      <c r="L21" s="104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</row>
    <row r="22" ht="15.75" customHeight="1">
      <c r="A22" s="158">
        <v>46061.0</v>
      </c>
      <c r="B22" s="175" t="s">
        <v>81</v>
      </c>
      <c r="C22" s="160"/>
      <c r="D22" s="161" t="s">
        <v>12</v>
      </c>
      <c r="E22" s="162" t="s">
        <v>93</v>
      </c>
      <c r="F22" s="173">
        <v>600.0</v>
      </c>
      <c r="G22" s="164">
        <f>SUM(F13:F22)</f>
        <v>509146</v>
      </c>
      <c r="H22" s="165"/>
      <c r="I22" s="178"/>
      <c r="J22" s="167"/>
      <c r="K22" s="168"/>
      <c r="L22" s="104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</row>
    <row r="23" ht="15.75" customHeight="1">
      <c r="A23" s="158">
        <v>46063.0</v>
      </c>
      <c r="B23" s="175" t="s">
        <v>5</v>
      </c>
      <c r="C23" s="160"/>
      <c r="D23" s="161" t="s">
        <v>83</v>
      </c>
      <c r="E23" s="162" t="s">
        <v>94</v>
      </c>
      <c r="F23" s="163">
        <v>46800.0</v>
      </c>
      <c r="G23" s="164"/>
      <c r="H23" s="165"/>
      <c r="I23" s="178"/>
      <c r="J23" s="167"/>
      <c r="K23" s="174" t="s">
        <v>48</v>
      </c>
      <c r="L23" s="104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</row>
    <row r="24" ht="15.75" customHeight="1">
      <c r="A24" s="158">
        <v>46063.0</v>
      </c>
      <c r="B24" s="175" t="s">
        <v>14</v>
      </c>
      <c r="C24" s="160"/>
      <c r="D24" s="161" t="s">
        <v>91</v>
      </c>
      <c r="E24" s="162" t="s">
        <v>95</v>
      </c>
      <c r="F24" s="173">
        <v>8000.0</v>
      </c>
      <c r="G24" s="164"/>
      <c r="H24" s="165"/>
      <c r="I24" s="178"/>
      <c r="J24" s="167"/>
      <c r="K24" s="168"/>
      <c r="L24" s="104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</row>
    <row r="25" ht="15.75" customHeight="1">
      <c r="A25" s="158">
        <v>46063.0</v>
      </c>
      <c r="B25" s="175" t="s">
        <v>73</v>
      </c>
      <c r="C25" s="160"/>
      <c r="D25" s="161" t="s">
        <v>74</v>
      </c>
      <c r="E25" s="162" t="s">
        <v>96</v>
      </c>
      <c r="F25" s="173">
        <v>1830.0</v>
      </c>
      <c r="G25" s="164">
        <f>SUM(F23:F25)</f>
        <v>56630</v>
      </c>
      <c r="H25" s="165"/>
      <c r="I25" s="178"/>
      <c r="J25" s="167"/>
      <c r="K25" s="168"/>
      <c r="L25" s="104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</row>
    <row r="26" ht="15.75" customHeight="1">
      <c r="A26" s="158">
        <v>46064.0</v>
      </c>
      <c r="B26" s="175" t="s">
        <v>18</v>
      </c>
      <c r="C26" s="160"/>
      <c r="D26" s="161" t="s">
        <v>97</v>
      </c>
      <c r="E26" s="162" t="s">
        <v>98</v>
      </c>
      <c r="F26" s="163">
        <v>350000.0</v>
      </c>
      <c r="G26" s="164"/>
      <c r="H26" s="165"/>
      <c r="I26" s="178"/>
      <c r="J26" s="167"/>
      <c r="K26" s="168"/>
      <c r="L26" s="104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</row>
    <row r="27" ht="15.75" customHeight="1">
      <c r="A27" s="158">
        <v>46064.0</v>
      </c>
      <c r="B27" s="175" t="s">
        <v>5</v>
      </c>
      <c r="C27" s="160"/>
      <c r="D27" s="161" t="s">
        <v>66</v>
      </c>
      <c r="E27" s="162" t="s">
        <v>67</v>
      </c>
      <c r="F27" s="173">
        <v>17000.0</v>
      </c>
      <c r="G27" s="164"/>
      <c r="H27" s="165"/>
      <c r="I27" s="178"/>
      <c r="J27" s="167"/>
      <c r="K27" s="174" t="s">
        <v>47</v>
      </c>
      <c r="L27" s="104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</row>
    <row r="28" ht="15.75" customHeight="1">
      <c r="A28" s="158">
        <v>46064.0</v>
      </c>
      <c r="B28" s="175" t="s">
        <v>5</v>
      </c>
      <c r="C28" s="160"/>
      <c r="D28" s="161" t="s">
        <v>68</v>
      </c>
      <c r="E28" s="162" t="s">
        <v>99</v>
      </c>
      <c r="F28" s="173">
        <v>1875.0</v>
      </c>
      <c r="G28" s="164"/>
      <c r="H28" s="165"/>
      <c r="I28" s="178"/>
      <c r="J28" s="167"/>
      <c r="K28" s="174" t="s">
        <v>52</v>
      </c>
      <c r="L28" s="104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</row>
    <row r="29" ht="15.75" customHeight="1">
      <c r="A29" s="158">
        <v>46066.0</v>
      </c>
      <c r="B29" s="175" t="s">
        <v>9</v>
      </c>
      <c r="C29" s="160"/>
      <c r="D29" s="161" t="s">
        <v>100</v>
      </c>
      <c r="E29" s="162" t="s">
        <v>101</v>
      </c>
      <c r="F29" s="173">
        <v>15000.0</v>
      </c>
      <c r="G29" s="164">
        <f>SUM(F26:F29)</f>
        <v>383875</v>
      </c>
      <c r="H29" s="165"/>
      <c r="I29" s="178"/>
      <c r="J29" s="167"/>
      <c r="K29" s="168"/>
      <c r="L29" s="104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</row>
    <row r="30" ht="15.75" customHeight="1">
      <c r="A30" s="158">
        <v>46066.0</v>
      </c>
      <c r="B30" s="175" t="s">
        <v>5</v>
      </c>
      <c r="C30" s="160"/>
      <c r="D30" s="161" t="s">
        <v>66</v>
      </c>
      <c r="E30" s="162" t="s">
        <v>67</v>
      </c>
      <c r="F30" s="182">
        <v>16500.0</v>
      </c>
      <c r="G30" s="164"/>
      <c r="H30" s="165"/>
      <c r="I30" s="178"/>
      <c r="J30" s="167"/>
      <c r="K30" s="174" t="s">
        <v>47</v>
      </c>
      <c r="L30" s="104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</row>
    <row r="31" ht="15.75" customHeight="1">
      <c r="A31" s="158">
        <v>46066.0</v>
      </c>
      <c r="B31" s="175" t="s">
        <v>5</v>
      </c>
      <c r="C31" s="160"/>
      <c r="D31" s="161" t="s">
        <v>74</v>
      </c>
      <c r="E31" s="162" t="s">
        <v>73</v>
      </c>
      <c r="F31" s="173">
        <v>11130.0</v>
      </c>
      <c r="G31" s="164"/>
      <c r="H31" s="165"/>
      <c r="I31" s="178"/>
      <c r="J31" s="167"/>
      <c r="K31" s="174" t="s">
        <v>52</v>
      </c>
      <c r="L31" s="104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</row>
    <row r="32" ht="15.75" customHeight="1">
      <c r="A32" s="158">
        <v>46066.0</v>
      </c>
      <c r="B32" s="175" t="s">
        <v>5</v>
      </c>
      <c r="C32" s="160"/>
      <c r="D32" s="161" t="s">
        <v>74</v>
      </c>
      <c r="E32" s="162" t="s">
        <v>99</v>
      </c>
      <c r="F32" s="173">
        <v>1000.0</v>
      </c>
      <c r="G32" s="164"/>
      <c r="H32" s="165"/>
      <c r="I32" s="178"/>
      <c r="J32" s="167"/>
      <c r="K32" s="174" t="s">
        <v>52</v>
      </c>
      <c r="L32" s="104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</row>
    <row r="33" ht="15.75" customHeight="1">
      <c r="A33" s="158">
        <v>46066.0</v>
      </c>
      <c r="B33" s="175" t="s">
        <v>8</v>
      </c>
      <c r="C33" s="160"/>
      <c r="D33" s="161" t="s">
        <v>8</v>
      </c>
      <c r="E33" s="162" t="s">
        <v>102</v>
      </c>
      <c r="F33" s="173">
        <v>25069.0</v>
      </c>
      <c r="G33" s="164"/>
      <c r="H33" s="165"/>
      <c r="I33" s="178"/>
      <c r="J33" s="167"/>
      <c r="K33" s="174" t="s">
        <v>50</v>
      </c>
      <c r="L33" s="104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</row>
    <row r="34" ht="15.75" customHeight="1">
      <c r="A34" s="158">
        <v>46066.0</v>
      </c>
      <c r="B34" s="175" t="s">
        <v>73</v>
      </c>
      <c r="C34" s="160"/>
      <c r="D34" s="161" t="s">
        <v>74</v>
      </c>
      <c r="E34" s="162" t="s">
        <v>103</v>
      </c>
      <c r="F34" s="173">
        <v>350.0</v>
      </c>
      <c r="G34" s="164"/>
      <c r="H34" s="165"/>
      <c r="I34" s="178"/>
      <c r="J34" s="167"/>
      <c r="K34" s="168"/>
      <c r="L34" s="104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</row>
    <row r="35" ht="15.75" customHeight="1">
      <c r="A35" s="158">
        <v>46066.0</v>
      </c>
      <c r="B35" s="175" t="s">
        <v>73</v>
      </c>
      <c r="C35" s="160"/>
      <c r="D35" s="161" t="s">
        <v>74</v>
      </c>
      <c r="E35" s="162" t="s">
        <v>104</v>
      </c>
      <c r="F35" s="173">
        <v>500.0</v>
      </c>
      <c r="G35" s="164"/>
      <c r="H35" s="165"/>
      <c r="I35" s="178"/>
      <c r="J35" s="167"/>
      <c r="K35" s="168"/>
      <c r="L35" s="104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</row>
    <row r="36" ht="15.75" customHeight="1">
      <c r="A36" s="158">
        <v>46066.0</v>
      </c>
      <c r="B36" s="175" t="s">
        <v>73</v>
      </c>
      <c r="C36" s="160"/>
      <c r="D36" s="161" t="s">
        <v>74</v>
      </c>
      <c r="E36" s="162" t="s">
        <v>88</v>
      </c>
      <c r="F36" s="173">
        <v>450.0</v>
      </c>
      <c r="G36" s="164"/>
      <c r="H36" s="165"/>
      <c r="I36" s="183"/>
      <c r="J36" s="167"/>
      <c r="K36" s="168"/>
      <c r="L36" s="104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</row>
    <row r="37" ht="15.75" customHeight="1">
      <c r="A37" s="158">
        <v>46066.0</v>
      </c>
      <c r="B37" s="175" t="s">
        <v>73</v>
      </c>
      <c r="C37" s="160"/>
      <c r="D37" s="161" t="s">
        <v>74</v>
      </c>
      <c r="E37" s="162" t="s">
        <v>105</v>
      </c>
      <c r="F37" s="173">
        <v>400.0</v>
      </c>
      <c r="G37" s="164">
        <f>SUM(F30:F37)</f>
        <v>55399</v>
      </c>
      <c r="H37" s="165"/>
      <c r="I37" s="178"/>
      <c r="J37" s="167"/>
      <c r="K37" s="168"/>
      <c r="L37" s="104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</row>
    <row r="38" ht="15.75" customHeight="1">
      <c r="A38" s="158">
        <v>46068.0</v>
      </c>
      <c r="B38" s="175" t="s">
        <v>5</v>
      </c>
      <c r="C38" s="160"/>
      <c r="D38" s="161" t="s">
        <v>68</v>
      </c>
      <c r="E38" s="162" t="s">
        <v>106</v>
      </c>
      <c r="F38" s="182">
        <v>93300.0</v>
      </c>
      <c r="G38" s="164"/>
      <c r="H38" s="165"/>
      <c r="I38" s="178"/>
      <c r="J38" s="167"/>
      <c r="K38" s="174" t="s">
        <v>49</v>
      </c>
      <c r="L38" s="104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</row>
    <row r="39" ht="15.75" customHeight="1">
      <c r="A39" s="158">
        <v>46068.0</v>
      </c>
      <c r="B39" s="175" t="s">
        <v>5</v>
      </c>
      <c r="C39" s="160"/>
      <c r="D39" s="161" t="s">
        <v>66</v>
      </c>
      <c r="E39" s="162" t="s">
        <v>67</v>
      </c>
      <c r="F39" s="173">
        <v>7500.0</v>
      </c>
      <c r="G39" s="164"/>
      <c r="H39" s="165"/>
      <c r="I39" s="178"/>
      <c r="J39" s="167"/>
      <c r="K39" s="174" t="s">
        <v>47</v>
      </c>
      <c r="L39" s="104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</row>
    <row r="40" ht="15.75" customHeight="1">
      <c r="A40" s="158">
        <v>46068.0</v>
      </c>
      <c r="B40" s="175" t="s">
        <v>5</v>
      </c>
      <c r="C40" s="160"/>
      <c r="D40" s="161" t="s">
        <v>83</v>
      </c>
      <c r="E40" s="162" t="s">
        <v>107</v>
      </c>
      <c r="F40" s="173">
        <v>307000.0</v>
      </c>
      <c r="G40" s="164"/>
      <c r="H40" s="165"/>
      <c r="I40" s="178"/>
      <c r="J40" s="167"/>
      <c r="K40" s="174" t="s">
        <v>48</v>
      </c>
      <c r="L40" s="104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</row>
    <row r="41" ht="15.75" customHeight="1">
      <c r="A41" s="158">
        <v>46068.0</v>
      </c>
      <c r="B41" s="175" t="s">
        <v>5</v>
      </c>
      <c r="C41" s="160"/>
      <c r="D41" s="161" t="s">
        <v>83</v>
      </c>
      <c r="E41" s="162" t="s">
        <v>108</v>
      </c>
      <c r="F41" s="173">
        <v>37000.0</v>
      </c>
      <c r="G41" s="164"/>
      <c r="H41" s="165"/>
      <c r="I41" s="178"/>
      <c r="J41" s="167"/>
      <c r="K41" s="174" t="s">
        <v>53</v>
      </c>
      <c r="L41" s="104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</row>
    <row r="42" ht="15.75" customHeight="1">
      <c r="A42" s="158">
        <v>46068.0</v>
      </c>
      <c r="B42" s="175" t="s">
        <v>5</v>
      </c>
      <c r="C42" s="160"/>
      <c r="D42" s="161" t="s">
        <v>83</v>
      </c>
      <c r="E42" s="162" t="s">
        <v>109</v>
      </c>
      <c r="F42" s="173">
        <v>49748.0</v>
      </c>
      <c r="G42" s="164"/>
      <c r="H42" s="165"/>
      <c r="I42" s="178"/>
      <c r="J42" s="167"/>
      <c r="K42" s="174" t="s">
        <v>51</v>
      </c>
      <c r="L42" s="104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</row>
    <row r="43" ht="15.75" customHeight="1">
      <c r="A43" s="158">
        <v>46068.0</v>
      </c>
      <c r="B43" s="175" t="s">
        <v>7</v>
      </c>
      <c r="C43" s="160"/>
      <c r="D43" s="161" t="s">
        <v>76</v>
      </c>
      <c r="E43" s="162" t="s">
        <v>76</v>
      </c>
      <c r="F43" s="173">
        <v>3000.0</v>
      </c>
      <c r="G43" s="164"/>
      <c r="H43" s="165"/>
      <c r="I43" s="178"/>
      <c r="J43" s="178"/>
      <c r="K43" s="168"/>
      <c r="L43" s="104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</row>
    <row r="44" ht="15.75" customHeight="1">
      <c r="A44" s="158">
        <v>46068.0</v>
      </c>
      <c r="B44" s="175" t="s">
        <v>7</v>
      </c>
      <c r="C44" s="160"/>
      <c r="D44" s="161" t="s">
        <v>77</v>
      </c>
      <c r="E44" s="162" t="s">
        <v>77</v>
      </c>
      <c r="F44" s="173">
        <v>1400.0</v>
      </c>
      <c r="G44" s="164"/>
      <c r="H44" s="165"/>
      <c r="I44" s="178"/>
      <c r="J44" s="167"/>
      <c r="K44" s="168"/>
      <c r="L44" s="104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</row>
    <row r="45" ht="15.75" customHeight="1">
      <c r="A45" s="158">
        <v>46068.0</v>
      </c>
      <c r="B45" s="175" t="s">
        <v>70</v>
      </c>
      <c r="C45" s="160"/>
      <c r="D45" s="161" t="s">
        <v>70</v>
      </c>
      <c r="E45" s="162" t="s">
        <v>110</v>
      </c>
      <c r="F45" s="173">
        <v>800.0</v>
      </c>
      <c r="G45" s="164"/>
      <c r="H45" s="165"/>
      <c r="I45" s="166"/>
      <c r="J45" s="167"/>
      <c r="K45" s="174" t="s">
        <v>50</v>
      </c>
      <c r="L45" s="104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</row>
    <row r="46" ht="15.75" customHeight="1">
      <c r="A46" s="158">
        <v>46068.0</v>
      </c>
      <c r="B46" s="175" t="s">
        <v>70</v>
      </c>
      <c r="C46" s="160"/>
      <c r="D46" s="161" t="s">
        <v>70</v>
      </c>
      <c r="E46" s="162" t="s">
        <v>111</v>
      </c>
      <c r="F46" s="173">
        <v>1100.0</v>
      </c>
      <c r="G46" s="164"/>
      <c r="H46" s="165"/>
      <c r="I46" s="166"/>
      <c r="J46" s="167"/>
      <c r="K46" s="174" t="s">
        <v>50</v>
      </c>
      <c r="L46" s="104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</row>
    <row r="47" ht="15.75" customHeight="1">
      <c r="A47" s="158">
        <v>46068.0</v>
      </c>
      <c r="B47" s="175" t="s">
        <v>70</v>
      </c>
      <c r="C47" s="160"/>
      <c r="D47" s="161" t="s">
        <v>70</v>
      </c>
      <c r="E47" s="162" t="s">
        <v>112</v>
      </c>
      <c r="F47" s="173">
        <v>1300.0</v>
      </c>
      <c r="G47" s="164"/>
      <c r="H47" s="165"/>
      <c r="I47" s="166"/>
      <c r="J47" s="167"/>
      <c r="K47" s="174" t="s">
        <v>50</v>
      </c>
      <c r="L47" s="104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</row>
    <row r="48" ht="15.75" customHeight="1">
      <c r="A48" s="158">
        <v>46068.0</v>
      </c>
      <c r="B48" s="175" t="s">
        <v>70</v>
      </c>
      <c r="C48" s="160"/>
      <c r="D48" s="161" t="s">
        <v>70</v>
      </c>
      <c r="E48" s="162" t="s">
        <v>113</v>
      </c>
      <c r="F48" s="173">
        <v>700.0</v>
      </c>
      <c r="G48" s="164"/>
      <c r="H48" s="165"/>
      <c r="I48" s="166"/>
      <c r="J48" s="167"/>
      <c r="K48" s="174" t="s">
        <v>50</v>
      </c>
      <c r="L48" s="104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</row>
    <row r="49" ht="15.75" customHeight="1">
      <c r="A49" s="158">
        <v>46068.0</v>
      </c>
      <c r="B49" s="175" t="s">
        <v>70</v>
      </c>
      <c r="C49" s="160"/>
      <c r="D49" s="161" t="s">
        <v>70</v>
      </c>
      <c r="E49" s="162" t="s">
        <v>114</v>
      </c>
      <c r="F49" s="173">
        <v>7000.0</v>
      </c>
      <c r="G49" s="164"/>
      <c r="H49" s="165"/>
      <c r="I49" s="166"/>
      <c r="J49" s="167"/>
      <c r="K49" s="174" t="s">
        <v>50</v>
      </c>
      <c r="L49" s="104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</row>
    <row r="50" ht="15.75" customHeight="1">
      <c r="A50" s="158">
        <v>46068.0</v>
      </c>
      <c r="B50" s="175" t="s">
        <v>70</v>
      </c>
      <c r="C50" s="160"/>
      <c r="D50" s="161" t="s">
        <v>70</v>
      </c>
      <c r="E50" s="184" t="s">
        <v>115</v>
      </c>
      <c r="F50" s="185">
        <v>5000.0</v>
      </c>
      <c r="G50" s="164"/>
      <c r="H50" s="165"/>
      <c r="I50" s="166"/>
      <c r="J50" s="167"/>
      <c r="K50" s="174" t="s">
        <v>50</v>
      </c>
      <c r="L50" s="104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</row>
    <row r="51" ht="15.75" customHeight="1">
      <c r="A51" s="158">
        <v>46068.0</v>
      </c>
      <c r="B51" s="175" t="s">
        <v>70</v>
      </c>
      <c r="C51" s="160"/>
      <c r="D51" s="161" t="s">
        <v>70</v>
      </c>
      <c r="E51" s="186" t="s">
        <v>116</v>
      </c>
      <c r="F51" s="185">
        <v>1400.0</v>
      </c>
      <c r="G51" s="164"/>
      <c r="H51" s="165"/>
      <c r="I51" s="178"/>
      <c r="J51" s="167"/>
      <c r="K51" s="174" t="s">
        <v>50</v>
      </c>
      <c r="L51" s="104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</row>
    <row r="52" ht="15.75" customHeight="1">
      <c r="A52" s="158">
        <v>46068.0</v>
      </c>
      <c r="B52" s="175" t="s">
        <v>70</v>
      </c>
      <c r="C52" s="160"/>
      <c r="D52" s="161" t="s">
        <v>70</v>
      </c>
      <c r="E52" s="186" t="s">
        <v>117</v>
      </c>
      <c r="F52" s="185">
        <v>2000.0</v>
      </c>
      <c r="G52" s="164"/>
      <c r="H52" s="165"/>
      <c r="I52" s="178"/>
      <c r="J52" s="167"/>
      <c r="K52" s="174" t="s">
        <v>50</v>
      </c>
      <c r="L52" s="104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</row>
    <row r="53" ht="15.75" customHeight="1">
      <c r="A53" s="158">
        <v>46068.0</v>
      </c>
      <c r="B53" s="175" t="s">
        <v>73</v>
      </c>
      <c r="C53" s="160"/>
      <c r="D53" s="161" t="s">
        <v>74</v>
      </c>
      <c r="E53" s="186" t="s">
        <v>118</v>
      </c>
      <c r="F53" s="185">
        <v>1000.0</v>
      </c>
      <c r="G53" s="164"/>
      <c r="H53" s="165"/>
      <c r="I53" s="178"/>
      <c r="J53" s="167"/>
      <c r="K53" s="168"/>
      <c r="L53" s="104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</row>
    <row r="54" ht="15.75" customHeight="1">
      <c r="A54" s="158">
        <v>46068.0</v>
      </c>
      <c r="B54" s="175" t="s">
        <v>73</v>
      </c>
      <c r="C54" s="160"/>
      <c r="D54" s="161" t="s">
        <v>74</v>
      </c>
      <c r="E54" s="187" t="s">
        <v>119</v>
      </c>
      <c r="F54" s="185">
        <v>630.0</v>
      </c>
      <c r="G54" s="164"/>
      <c r="H54" s="165"/>
      <c r="I54" s="178"/>
      <c r="J54" s="167"/>
      <c r="K54" s="168"/>
      <c r="L54" s="104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</row>
    <row r="55" ht="15.75" customHeight="1">
      <c r="A55" s="158">
        <v>46068.0</v>
      </c>
      <c r="B55" s="175" t="s">
        <v>9</v>
      </c>
      <c r="C55" s="160"/>
      <c r="D55" s="161" t="s">
        <v>120</v>
      </c>
      <c r="E55" s="187" t="s">
        <v>121</v>
      </c>
      <c r="F55" s="185">
        <v>2500.0</v>
      </c>
      <c r="G55" s="164"/>
      <c r="H55" s="165"/>
      <c r="I55" s="178"/>
      <c r="J55" s="167"/>
      <c r="K55" s="168"/>
      <c r="L55" s="104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</row>
    <row r="56" ht="15.75" customHeight="1">
      <c r="A56" s="158">
        <v>46068.0</v>
      </c>
      <c r="B56" s="175" t="s">
        <v>81</v>
      </c>
      <c r="C56" s="160"/>
      <c r="D56" s="161" t="s">
        <v>81</v>
      </c>
      <c r="E56" s="188" t="s">
        <v>122</v>
      </c>
      <c r="F56" s="189">
        <v>2500.0</v>
      </c>
      <c r="G56" s="164">
        <f>SUM(F38:F56)</f>
        <v>524878</v>
      </c>
      <c r="H56" s="165"/>
      <c r="I56" s="178"/>
      <c r="J56" s="167"/>
      <c r="K56" s="168"/>
      <c r="L56" s="104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</row>
    <row r="57" ht="15.75" customHeight="1">
      <c r="A57" s="158">
        <v>46070.0</v>
      </c>
      <c r="B57" s="175" t="s">
        <v>18</v>
      </c>
      <c r="C57" s="160"/>
      <c r="D57" s="161" t="s">
        <v>97</v>
      </c>
      <c r="E57" s="162" t="s">
        <v>98</v>
      </c>
      <c r="F57" s="182">
        <v>200000.0</v>
      </c>
      <c r="G57" s="164"/>
      <c r="H57" s="165"/>
      <c r="I57" s="178"/>
      <c r="J57" s="167"/>
      <c r="K57" s="168"/>
      <c r="L57" s="104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</row>
    <row r="58" ht="15.75" customHeight="1">
      <c r="A58" s="158">
        <v>46070.0</v>
      </c>
      <c r="B58" s="175" t="s">
        <v>5</v>
      </c>
      <c r="C58" s="160"/>
      <c r="D58" s="161" t="s">
        <v>83</v>
      </c>
      <c r="E58" s="162" t="s">
        <v>123</v>
      </c>
      <c r="F58" s="173">
        <v>100800.0</v>
      </c>
      <c r="G58" s="164"/>
      <c r="H58" s="165"/>
      <c r="I58" s="178"/>
      <c r="J58" s="167"/>
      <c r="K58" s="174" t="s">
        <v>48</v>
      </c>
      <c r="L58" s="104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</row>
    <row r="59" ht="15.75" customHeight="1">
      <c r="A59" s="158">
        <v>46070.0</v>
      </c>
      <c r="B59" s="175" t="s">
        <v>73</v>
      </c>
      <c r="C59" s="160"/>
      <c r="D59" s="161" t="s">
        <v>74</v>
      </c>
      <c r="E59" s="162" t="s">
        <v>124</v>
      </c>
      <c r="F59" s="173">
        <v>3040.0</v>
      </c>
      <c r="G59" s="164">
        <f>SUM(F57:F59)</f>
        <v>303840</v>
      </c>
      <c r="H59" s="165"/>
      <c r="I59" s="178"/>
      <c r="J59" s="167"/>
      <c r="K59" s="168"/>
      <c r="L59" s="104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</row>
    <row r="60" ht="15.75" customHeight="1">
      <c r="A60" s="158">
        <v>46073.0</v>
      </c>
      <c r="B60" s="175" t="s">
        <v>5</v>
      </c>
      <c r="C60" s="160"/>
      <c r="D60" s="161" t="s">
        <v>66</v>
      </c>
      <c r="E60" s="162" t="s">
        <v>125</v>
      </c>
      <c r="F60" s="189">
        <v>40000.0</v>
      </c>
      <c r="G60" s="164"/>
      <c r="H60" s="165"/>
      <c r="I60" s="166"/>
      <c r="J60" s="167"/>
      <c r="K60" s="174" t="s">
        <v>49</v>
      </c>
      <c r="L60" s="104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</row>
    <row r="61" ht="15.75" customHeight="1">
      <c r="A61" s="158">
        <v>46073.0</v>
      </c>
      <c r="B61" s="175" t="s">
        <v>5</v>
      </c>
      <c r="C61" s="160"/>
      <c r="D61" s="161" t="s">
        <v>66</v>
      </c>
      <c r="E61" s="162" t="s">
        <v>126</v>
      </c>
      <c r="F61" s="189">
        <v>39195.0</v>
      </c>
      <c r="G61" s="164"/>
      <c r="H61" s="165"/>
      <c r="I61" s="166"/>
      <c r="J61" s="167"/>
      <c r="K61" s="174" t="s">
        <v>51</v>
      </c>
      <c r="L61" s="104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</row>
    <row r="62" ht="15.75" customHeight="1">
      <c r="A62" s="158">
        <v>46073.0</v>
      </c>
      <c r="B62" s="175" t="s">
        <v>9</v>
      </c>
      <c r="C62" s="160"/>
      <c r="D62" s="161" t="s">
        <v>127</v>
      </c>
      <c r="E62" s="162" t="s">
        <v>128</v>
      </c>
      <c r="F62" s="189">
        <v>25000.0</v>
      </c>
      <c r="G62" s="164"/>
      <c r="H62" s="165"/>
      <c r="I62" s="166"/>
      <c r="J62" s="167"/>
      <c r="K62" s="168"/>
      <c r="L62" s="104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</row>
    <row r="63" ht="15.75" customHeight="1">
      <c r="A63" s="158">
        <v>46073.0</v>
      </c>
      <c r="B63" s="175" t="s">
        <v>9</v>
      </c>
      <c r="C63" s="160"/>
      <c r="D63" s="161" t="s">
        <v>100</v>
      </c>
      <c r="E63" s="162" t="s">
        <v>128</v>
      </c>
      <c r="F63" s="189">
        <v>10000.0</v>
      </c>
      <c r="G63" s="164"/>
      <c r="H63" s="165"/>
      <c r="I63" s="166"/>
      <c r="J63" s="167"/>
      <c r="K63" s="168"/>
      <c r="L63" s="104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</row>
    <row r="64" ht="15.75" customHeight="1">
      <c r="A64" s="158">
        <v>46073.0</v>
      </c>
      <c r="B64" s="175" t="s">
        <v>9</v>
      </c>
      <c r="C64" s="160"/>
      <c r="D64" s="161" t="s">
        <v>129</v>
      </c>
      <c r="E64" s="162" t="s">
        <v>128</v>
      </c>
      <c r="F64" s="189">
        <v>7000.0</v>
      </c>
      <c r="G64" s="164"/>
      <c r="H64" s="165"/>
      <c r="I64" s="166"/>
      <c r="J64" s="167"/>
      <c r="K64" s="168"/>
      <c r="L64" s="104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</row>
    <row r="65" ht="15.75" customHeight="1">
      <c r="A65" s="158">
        <v>46073.0</v>
      </c>
      <c r="B65" s="175" t="s">
        <v>9</v>
      </c>
      <c r="C65" s="160"/>
      <c r="D65" s="161" t="s">
        <v>130</v>
      </c>
      <c r="E65" s="162" t="s">
        <v>128</v>
      </c>
      <c r="F65" s="189">
        <v>7000.0</v>
      </c>
      <c r="G65" s="164"/>
      <c r="H65" s="165"/>
      <c r="I65" s="166"/>
      <c r="J65" s="167"/>
      <c r="K65" s="168"/>
      <c r="L65" s="104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</row>
    <row r="66" ht="15.75" customHeight="1">
      <c r="A66" s="158">
        <v>46073.0</v>
      </c>
      <c r="B66" s="175" t="s">
        <v>9</v>
      </c>
      <c r="C66" s="160"/>
      <c r="D66" s="161" t="s">
        <v>131</v>
      </c>
      <c r="E66" s="162" t="s">
        <v>128</v>
      </c>
      <c r="F66" s="189">
        <v>3000.0</v>
      </c>
      <c r="G66" s="164"/>
      <c r="H66" s="165"/>
      <c r="I66" s="166"/>
      <c r="J66" s="167"/>
      <c r="K66" s="168"/>
      <c r="L66" s="104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</row>
    <row r="67" ht="15.75" customHeight="1">
      <c r="A67" s="158">
        <v>46073.0</v>
      </c>
      <c r="B67" s="175" t="s">
        <v>9</v>
      </c>
      <c r="C67" s="160"/>
      <c r="D67" s="161" t="s">
        <v>120</v>
      </c>
      <c r="E67" s="162" t="s">
        <v>128</v>
      </c>
      <c r="F67" s="189">
        <v>20000.0</v>
      </c>
      <c r="G67" s="164"/>
      <c r="H67" s="165"/>
      <c r="I67" s="166"/>
      <c r="J67" s="167"/>
      <c r="K67" s="168"/>
      <c r="L67" s="104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</row>
    <row r="68" ht="15.75" customHeight="1">
      <c r="A68" s="158">
        <v>46073.0</v>
      </c>
      <c r="B68" s="175" t="s">
        <v>7</v>
      </c>
      <c r="C68" s="160"/>
      <c r="D68" s="161" t="s">
        <v>132</v>
      </c>
      <c r="E68" s="162" t="s">
        <v>76</v>
      </c>
      <c r="F68" s="189">
        <v>3000.0</v>
      </c>
      <c r="G68" s="164"/>
      <c r="H68" s="165"/>
      <c r="I68" s="166"/>
      <c r="J68" s="167"/>
      <c r="K68" s="168"/>
      <c r="L68" s="104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</row>
    <row r="69" ht="15.75" customHeight="1">
      <c r="A69" s="158">
        <v>46073.0</v>
      </c>
      <c r="B69" s="175" t="s">
        <v>81</v>
      </c>
      <c r="C69" s="160"/>
      <c r="D69" s="161" t="s">
        <v>81</v>
      </c>
      <c r="E69" s="162" t="s">
        <v>133</v>
      </c>
      <c r="F69" s="189">
        <v>1280.0</v>
      </c>
      <c r="G69" s="164">
        <f>SUM(F60:F69)</f>
        <v>155475</v>
      </c>
      <c r="H69" s="165"/>
      <c r="I69" s="178"/>
      <c r="J69" s="167"/>
      <c r="K69" s="168"/>
      <c r="L69" s="104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</row>
    <row r="70" ht="15.75" customHeight="1">
      <c r="A70" s="158">
        <v>46078.0</v>
      </c>
      <c r="B70" s="175" t="s">
        <v>5</v>
      </c>
      <c r="C70" s="160"/>
      <c r="D70" s="161" t="s">
        <v>66</v>
      </c>
      <c r="E70" s="188" t="s">
        <v>67</v>
      </c>
      <c r="F70" s="189">
        <v>22500.0</v>
      </c>
      <c r="G70" s="164"/>
      <c r="H70" s="165"/>
      <c r="I70" s="178"/>
      <c r="J70" s="167"/>
      <c r="K70" s="174" t="s">
        <v>47</v>
      </c>
      <c r="L70" s="104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</row>
    <row r="71" ht="15.75" customHeight="1">
      <c r="A71" s="158">
        <v>46078.0</v>
      </c>
      <c r="B71" s="175" t="s">
        <v>14</v>
      </c>
      <c r="C71" s="160"/>
      <c r="D71" s="161" t="s">
        <v>134</v>
      </c>
      <c r="E71" s="188" t="s">
        <v>135</v>
      </c>
      <c r="F71" s="189">
        <v>55388.0</v>
      </c>
      <c r="G71" s="164"/>
      <c r="H71" s="165"/>
      <c r="I71" s="178"/>
      <c r="J71" s="167"/>
      <c r="K71" s="174" t="s">
        <v>55</v>
      </c>
      <c r="L71" s="104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</row>
    <row r="72" ht="15.75" customHeight="1">
      <c r="A72" s="158">
        <v>46078.0</v>
      </c>
      <c r="B72" s="175" t="s">
        <v>73</v>
      </c>
      <c r="C72" s="160"/>
      <c r="D72" s="161" t="s">
        <v>74</v>
      </c>
      <c r="E72" s="188" t="s">
        <v>136</v>
      </c>
      <c r="F72" s="189">
        <v>1550.0</v>
      </c>
      <c r="G72" s="164"/>
      <c r="H72" s="165"/>
      <c r="I72" s="178"/>
      <c r="J72" s="167"/>
      <c r="K72" s="168"/>
      <c r="L72" s="104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</row>
    <row r="73" ht="15.75" customHeight="1">
      <c r="A73" s="158">
        <v>46078.0</v>
      </c>
      <c r="B73" s="175" t="s">
        <v>9</v>
      </c>
      <c r="C73" s="160"/>
      <c r="D73" s="161" t="s">
        <v>137</v>
      </c>
      <c r="E73" s="188" t="s">
        <v>138</v>
      </c>
      <c r="F73" s="189">
        <v>15000.0</v>
      </c>
      <c r="G73" s="164"/>
      <c r="H73" s="165"/>
      <c r="I73" s="178"/>
      <c r="J73" s="167"/>
      <c r="K73" s="168"/>
      <c r="L73" s="104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</row>
    <row r="74" ht="15.75" customHeight="1">
      <c r="A74" s="158">
        <v>46078.0</v>
      </c>
      <c r="B74" s="175" t="s">
        <v>10</v>
      </c>
      <c r="C74" s="160"/>
      <c r="D74" s="161" t="s">
        <v>139</v>
      </c>
      <c r="E74" s="188" t="s">
        <v>140</v>
      </c>
      <c r="F74" s="189">
        <v>1000.0</v>
      </c>
      <c r="G74" s="164"/>
      <c r="H74" s="165"/>
      <c r="I74" s="178"/>
      <c r="J74" s="167"/>
      <c r="K74" s="168"/>
      <c r="L74" s="104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</row>
    <row r="75" ht="15.75" customHeight="1">
      <c r="A75" s="158">
        <v>46078.0</v>
      </c>
      <c r="B75" s="175" t="s">
        <v>14</v>
      </c>
      <c r="C75" s="160"/>
      <c r="D75" s="161" t="s">
        <v>134</v>
      </c>
      <c r="E75" s="188" t="s">
        <v>141</v>
      </c>
      <c r="F75" s="190">
        <v>42222.0</v>
      </c>
      <c r="G75" s="164"/>
      <c r="H75" s="165"/>
      <c r="I75" s="178"/>
      <c r="J75" s="167"/>
      <c r="K75" s="174" t="s">
        <v>55</v>
      </c>
      <c r="L75" s="104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</row>
    <row r="76" ht="15.75" customHeight="1">
      <c r="A76" s="158">
        <v>46078.0</v>
      </c>
      <c r="B76" s="175" t="s">
        <v>7</v>
      </c>
      <c r="C76" s="160"/>
      <c r="D76" s="161" t="s">
        <v>132</v>
      </c>
      <c r="E76" s="188" t="s">
        <v>142</v>
      </c>
      <c r="F76" s="189">
        <v>3000.0</v>
      </c>
      <c r="G76" s="164"/>
      <c r="H76" s="165"/>
      <c r="I76" s="178"/>
      <c r="J76" s="167"/>
      <c r="K76" s="168"/>
      <c r="L76" s="104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</row>
    <row r="77" ht="15.75" customHeight="1">
      <c r="A77" s="158">
        <v>46078.0</v>
      </c>
      <c r="B77" s="175" t="s">
        <v>73</v>
      </c>
      <c r="C77" s="160"/>
      <c r="D77" s="161" t="s">
        <v>74</v>
      </c>
      <c r="E77" s="188" t="s">
        <v>143</v>
      </c>
      <c r="F77" s="189">
        <v>200.0</v>
      </c>
      <c r="G77" s="191">
        <v>140860.0</v>
      </c>
      <c r="H77" s="165"/>
      <c r="I77" s="178"/>
      <c r="J77" s="167"/>
      <c r="K77" s="168"/>
      <c r="L77" s="104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</row>
    <row r="78" ht="15.75" customHeight="1">
      <c r="A78" s="158">
        <v>46079.0</v>
      </c>
      <c r="B78" s="175" t="s">
        <v>5</v>
      </c>
      <c r="C78" s="160"/>
      <c r="D78" s="161" t="s">
        <v>66</v>
      </c>
      <c r="E78" s="188" t="s">
        <v>144</v>
      </c>
      <c r="F78" s="189">
        <v>45000.0</v>
      </c>
      <c r="G78" s="164"/>
      <c r="H78" s="165"/>
      <c r="I78" s="178"/>
      <c r="J78" s="167"/>
      <c r="K78" s="174" t="s">
        <v>50</v>
      </c>
      <c r="L78" s="104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</row>
    <row r="79" ht="15.75" customHeight="1">
      <c r="A79" s="158">
        <v>46079.0</v>
      </c>
      <c r="B79" s="175" t="s">
        <v>70</v>
      </c>
      <c r="C79" s="160"/>
      <c r="D79" s="161" t="s">
        <v>70</v>
      </c>
      <c r="E79" s="188" t="s">
        <v>145</v>
      </c>
      <c r="F79" s="189">
        <v>63000.0</v>
      </c>
      <c r="G79" s="164"/>
      <c r="H79" s="165"/>
      <c r="I79" s="178"/>
      <c r="J79" s="167"/>
      <c r="K79" s="174" t="s">
        <v>54</v>
      </c>
      <c r="L79" s="104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</row>
    <row r="80" ht="15.75" customHeight="1">
      <c r="A80" s="158">
        <v>46079.0</v>
      </c>
      <c r="B80" s="175" t="s">
        <v>5</v>
      </c>
      <c r="C80" s="160"/>
      <c r="D80" s="161" t="s">
        <v>66</v>
      </c>
      <c r="E80" s="188" t="s">
        <v>146</v>
      </c>
      <c r="F80" s="189">
        <v>246200.0</v>
      </c>
      <c r="G80" s="164"/>
      <c r="H80" s="165"/>
      <c r="I80" s="178"/>
      <c r="J80" s="167"/>
      <c r="K80" s="174" t="s">
        <v>48</v>
      </c>
      <c r="L80" s="104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</row>
    <row r="81" ht="15.75" customHeight="1">
      <c r="A81" s="158">
        <v>46079.0</v>
      </c>
      <c r="B81" s="175" t="s">
        <v>5</v>
      </c>
      <c r="C81" s="160"/>
      <c r="D81" s="161" t="s">
        <v>66</v>
      </c>
      <c r="E81" s="188" t="s">
        <v>109</v>
      </c>
      <c r="F81" s="189">
        <v>49747.0</v>
      </c>
      <c r="G81" s="191">
        <v>403947.0</v>
      </c>
      <c r="H81" s="165"/>
      <c r="I81" s="178"/>
      <c r="J81" s="167"/>
      <c r="K81" s="174" t="s">
        <v>51</v>
      </c>
      <c r="L81" s="104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</row>
    <row r="82" ht="15.75" customHeight="1">
      <c r="A82" s="158">
        <v>46080.0</v>
      </c>
      <c r="B82" s="175" t="s">
        <v>5</v>
      </c>
      <c r="C82" s="160"/>
      <c r="D82" s="161" t="s">
        <v>66</v>
      </c>
      <c r="E82" s="188" t="s">
        <v>147</v>
      </c>
      <c r="F82" s="190">
        <v>39049.0</v>
      </c>
      <c r="G82" s="164"/>
      <c r="H82" s="165"/>
      <c r="I82" s="178"/>
      <c r="J82" s="167"/>
      <c r="K82" s="174" t="s">
        <v>51</v>
      </c>
      <c r="L82" s="104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</row>
    <row r="83" ht="15.75" customHeight="1">
      <c r="A83" s="158">
        <v>46080.0</v>
      </c>
      <c r="B83" s="175" t="s">
        <v>5</v>
      </c>
      <c r="C83" s="160"/>
      <c r="D83" s="161" t="s">
        <v>148</v>
      </c>
      <c r="E83" s="188" t="s">
        <v>84</v>
      </c>
      <c r="F83" s="189">
        <v>37000.0</v>
      </c>
      <c r="G83" s="164"/>
      <c r="H83" s="165"/>
      <c r="I83" s="166"/>
      <c r="J83" s="167"/>
      <c r="K83" s="174" t="s">
        <v>53</v>
      </c>
      <c r="L83" s="104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</row>
    <row r="84" ht="15.75" customHeight="1">
      <c r="A84" s="158">
        <v>46080.0</v>
      </c>
      <c r="B84" s="175" t="s">
        <v>5</v>
      </c>
      <c r="C84" s="160"/>
      <c r="D84" s="161" t="s">
        <v>66</v>
      </c>
      <c r="E84" s="188" t="s">
        <v>149</v>
      </c>
      <c r="F84" s="189">
        <v>18400.0</v>
      </c>
      <c r="G84" s="164"/>
      <c r="H84" s="165"/>
      <c r="I84" s="166"/>
      <c r="J84" s="167"/>
      <c r="K84" s="174" t="s">
        <v>49</v>
      </c>
      <c r="L84" s="104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</row>
    <row r="85" ht="15.75" customHeight="1">
      <c r="A85" s="158">
        <v>46080.0</v>
      </c>
      <c r="B85" s="175" t="s">
        <v>7</v>
      </c>
      <c r="C85" s="160"/>
      <c r="D85" s="161" t="s">
        <v>150</v>
      </c>
      <c r="E85" s="188" t="s">
        <v>151</v>
      </c>
      <c r="F85" s="189">
        <v>800.0</v>
      </c>
      <c r="G85" s="164">
        <f>SUM(F82:F85)</f>
        <v>95249</v>
      </c>
      <c r="H85" s="165"/>
      <c r="I85" s="166"/>
      <c r="J85" s="167"/>
      <c r="K85" s="168"/>
      <c r="L85" s="104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</row>
    <row r="86" ht="15.75" customHeight="1">
      <c r="A86" s="158">
        <v>46081.0</v>
      </c>
      <c r="B86" s="175" t="s">
        <v>18</v>
      </c>
      <c r="C86" s="160"/>
      <c r="D86" s="161" t="s">
        <v>152</v>
      </c>
      <c r="E86" s="188" t="s">
        <v>153</v>
      </c>
      <c r="F86" s="189">
        <v>70000.0</v>
      </c>
      <c r="G86" s="191">
        <v>70000.0</v>
      </c>
      <c r="H86" s="165"/>
      <c r="I86" s="166"/>
      <c r="J86" s="167"/>
      <c r="K86" s="168"/>
      <c r="L86" s="104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</row>
    <row r="87" ht="15.75" customHeight="1">
      <c r="A87" s="192"/>
      <c r="B87" s="160"/>
      <c r="C87" s="160"/>
      <c r="D87" s="193"/>
      <c r="E87" s="194"/>
      <c r="F87" s="195"/>
      <c r="G87" s="164"/>
      <c r="H87" s="165"/>
      <c r="I87" s="178"/>
      <c r="J87" s="167"/>
      <c r="K87" s="168"/>
      <c r="L87" s="104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</row>
    <row r="88" ht="15.75" customHeight="1">
      <c r="A88" s="192"/>
      <c r="B88" s="160"/>
      <c r="C88" s="160"/>
      <c r="D88" s="193"/>
      <c r="E88" s="194"/>
      <c r="F88" s="195"/>
      <c r="G88" s="164"/>
      <c r="H88" s="165"/>
      <c r="I88" s="178"/>
      <c r="J88" s="167"/>
      <c r="K88" s="168"/>
      <c r="L88" s="104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</row>
    <row r="89" ht="15.75" customHeight="1">
      <c r="A89" s="192"/>
      <c r="B89" s="160"/>
      <c r="C89" s="160"/>
      <c r="D89" s="193"/>
      <c r="E89" s="194"/>
      <c r="F89" s="195"/>
      <c r="G89" s="164"/>
      <c r="H89" s="165"/>
      <c r="I89" s="178"/>
      <c r="J89" s="167"/>
      <c r="K89" s="168"/>
      <c r="L89" s="104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</row>
    <row r="90" ht="15.75" customHeight="1">
      <c r="A90" s="192"/>
      <c r="B90" s="160"/>
      <c r="C90" s="160"/>
      <c r="D90" s="193"/>
      <c r="E90" s="194"/>
      <c r="F90" s="196"/>
      <c r="G90" s="164"/>
      <c r="H90" s="165"/>
      <c r="I90" s="178"/>
      <c r="J90" s="167"/>
      <c r="K90" s="168"/>
      <c r="L90" s="104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</row>
    <row r="91" ht="15.75" customHeight="1">
      <c r="A91" s="192"/>
      <c r="B91" s="160"/>
      <c r="C91" s="160"/>
      <c r="D91" s="193"/>
      <c r="E91" s="194"/>
      <c r="F91" s="195"/>
      <c r="G91" s="164"/>
      <c r="H91" s="165"/>
      <c r="I91" s="178"/>
      <c r="J91" s="166"/>
      <c r="K91" s="168"/>
      <c r="L91" s="104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</row>
    <row r="92" ht="15.75" customHeight="1">
      <c r="A92" s="192"/>
      <c r="B92" s="160"/>
      <c r="C92" s="160"/>
      <c r="D92" s="193"/>
      <c r="E92" s="194"/>
      <c r="F92" s="195"/>
      <c r="G92" s="164"/>
      <c r="H92" s="165"/>
      <c r="I92" s="178"/>
      <c r="J92" s="167"/>
      <c r="K92" s="168"/>
      <c r="L92" s="104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</row>
    <row r="93" ht="15.75" customHeight="1">
      <c r="A93" s="192"/>
      <c r="B93" s="160"/>
      <c r="C93" s="160"/>
      <c r="D93" s="193"/>
      <c r="E93" s="194"/>
      <c r="F93" s="197"/>
      <c r="G93" s="164"/>
      <c r="H93" s="165"/>
      <c r="I93" s="166"/>
      <c r="J93" s="167"/>
      <c r="K93" s="168"/>
      <c r="L93" s="104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</row>
    <row r="94" ht="17.25" customHeight="1">
      <c r="A94" s="192"/>
      <c r="B94" s="160"/>
      <c r="C94" s="160"/>
      <c r="D94" s="193"/>
      <c r="E94" s="194"/>
      <c r="F94" s="197"/>
      <c r="G94" s="164"/>
      <c r="H94" s="165"/>
      <c r="I94" s="166"/>
      <c r="J94" s="167"/>
      <c r="K94" s="168"/>
      <c r="L94" s="104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</row>
    <row r="95" ht="15.75" customHeight="1">
      <c r="A95" s="192"/>
      <c r="B95" s="160"/>
      <c r="C95" s="160"/>
      <c r="D95" s="193"/>
      <c r="E95" s="194"/>
      <c r="F95" s="198"/>
      <c r="G95" s="164"/>
      <c r="H95" s="165"/>
      <c r="I95" s="166"/>
      <c r="J95" s="167"/>
      <c r="K95" s="168"/>
      <c r="L95" s="104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</row>
    <row r="96" ht="15.75" customHeight="1">
      <c r="A96" s="192"/>
      <c r="B96" s="160"/>
      <c r="C96" s="160"/>
      <c r="D96" s="193"/>
      <c r="E96" s="194"/>
      <c r="F96" s="198"/>
      <c r="G96" s="164"/>
      <c r="H96" s="165"/>
      <c r="I96" s="166"/>
      <c r="J96" s="167"/>
      <c r="K96" s="168"/>
      <c r="L96" s="104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</row>
    <row r="97" ht="15.75" customHeight="1">
      <c r="A97" s="192"/>
      <c r="B97" s="160"/>
      <c r="C97" s="160"/>
      <c r="D97" s="193"/>
      <c r="E97" s="194"/>
      <c r="F97" s="198"/>
      <c r="G97" s="164"/>
      <c r="H97" s="165"/>
      <c r="I97" s="166"/>
      <c r="J97" s="167"/>
      <c r="K97" s="168"/>
      <c r="L97" s="104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</row>
    <row r="98" ht="15.75" customHeight="1">
      <c r="A98" s="192"/>
      <c r="B98" s="160"/>
      <c r="C98" s="160"/>
      <c r="D98" s="193"/>
      <c r="E98" s="194"/>
      <c r="F98" s="198"/>
      <c r="G98" s="164"/>
      <c r="H98" s="165"/>
      <c r="I98" s="166"/>
      <c r="J98" s="167"/>
      <c r="K98" s="168"/>
      <c r="L98" s="104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</row>
    <row r="99" ht="15.75" customHeight="1">
      <c r="A99" s="192"/>
      <c r="B99" s="160"/>
      <c r="C99" s="160"/>
      <c r="D99" s="193"/>
      <c r="E99" s="194"/>
      <c r="F99" s="199"/>
      <c r="G99" s="164"/>
      <c r="H99" s="165"/>
      <c r="I99" s="166"/>
      <c r="J99" s="167"/>
      <c r="K99" s="168"/>
      <c r="L99" s="104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</row>
    <row r="100" ht="15.75" customHeight="1">
      <c r="A100" s="192"/>
      <c r="B100" s="160"/>
      <c r="C100" s="160"/>
      <c r="D100" s="193"/>
      <c r="E100" s="194"/>
      <c r="F100" s="189"/>
      <c r="G100" s="164"/>
      <c r="H100" s="165"/>
      <c r="I100" s="166"/>
      <c r="J100" s="167"/>
      <c r="K100" s="168"/>
      <c r="L100" s="104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</row>
    <row r="101" ht="15.75" customHeight="1">
      <c r="A101" s="192"/>
      <c r="B101" s="160"/>
      <c r="C101" s="160"/>
      <c r="D101" s="193"/>
      <c r="E101" s="200"/>
      <c r="F101" s="201"/>
      <c r="G101" s="164"/>
      <c r="H101" s="165"/>
      <c r="I101" s="166"/>
      <c r="J101" s="167"/>
      <c r="K101" s="168"/>
      <c r="L101" s="104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</row>
    <row r="102" ht="15.75" customHeight="1">
      <c r="A102" s="192"/>
      <c r="B102" s="160"/>
      <c r="C102" s="160"/>
      <c r="D102" s="193"/>
      <c r="E102" s="202"/>
      <c r="F102" s="203"/>
      <c r="G102" s="164"/>
      <c r="H102" s="165"/>
      <c r="I102" s="166"/>
      <c r="J102" s="167"/>
      <c r="K102" s="168"/>
      <c r="L102" s="104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</row>
    <row r="103" ht="15.75" customHeight="1">
      <c r="A103" s="192"/>
      <c r="B103" s="160"/>
      <c r="C103" s="160"/>
      <c r="D103" s="193"/>
      <c r="E103" s="194"/>
      <c r="F103" s="196"/>
      <c r="G103" s="164"/>
      <c r="H103" s="165"/>
      <c r="I103" s="166"/>
      <c r="J103" s="167"/>
      <c r="K103" s="168"/>
      <c r="L103" s="104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</row>
    <row r="104" ht="15.75" customHeight="1">
      <c r="A104" s="192"/>
      <c r="B104" s="17"/>
      <c r="C104" s="204"/>
      <c r="D104" s="205"/>
      <c r="E104" s="194"/>
      <c r="F104" s="195"/>
      <c r="G104" s="206"/>
      <c r="H104" s="168"/>
      <c r="I104" s="166"/>
      <c r="J104" s="167"/>
      <c r="K104" s="168"/>
      <c r="L104" s="104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</row>
    <row r="105" ht="15.75" customHeight="1">
      <c r="A105" s="192"/>
      <c r="B105" s="160"/>
      <c r="C105" s="160"/>
      <c r="D105" s="193"/>
      <c r="E105" s="194"/>
      <c r="F105" s="195"/>
      <c r="G105" s="164"/>
      <c r="H105" s="168"/>
      <c r="I105" s="166"/>
      <c r="J105" s="167"/>
      <c r="K105" s="168"/>
      <c r="L105" s="104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</row>
    <row r="106" ht="15.75" customHeight="1">
      <c r="A106" s="192"/>
      <c r="B106" s="160"/>
      <c r="C106" s="160"/>
      <c r="D106" s="193"/>
      <c r="E106" s="194"/>
      <c r="F106" s="195"/>
      <c r="G106" s="164"/>
      <c r="H106" s="168"/>
      <c r="I106" s="166"/>
      <c r="J106" s="167"/>
      <c r="K106" s="168"/>
      <c r="L106" s="104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</row>
    <row r="107" ht="15.75" customHeight="1">
      <c r="A107" s="192"/>
      <c r="B107" s="160"/>
      <c r="C107" s="160"/>
      <c r="D107" s="193"/>
      <c r="E107" s="194"/>
      <c r="F107" s="195"/>
      <c r="G107" s="164"/>
      <c r="H107" s="168"/>
      <c r="I107" s="207"/>
      <c r="J107" s="167"/>
      <c r="K107" s="168"/>
      <c r="L107" s="104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</row>
    <row r="108" ht="15.75" customHeight="1">
      <c r="A108" s="192"/>
      <c r="B108" s="160"/>
      <c r="C108" s="160"/>
      <c r="D108" s="193"/>
      <c r="E108" s="194"/>
      <c r="F108" s="195"/>
      <c r="G108" s="164"/>
      <c r="H108" s="168"/>
      <c r="I108" s="166"/>
      <c r="J108" s="167"/>
      <c r="K108" s="168"/>
      <c r="L108" s="104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</row>
    <row r="109" ht="15.75" customHeight="1">
      <c r="A109" s="192"/>
      <c r="B109" s="160"/>
      <c r="C109" s="160"/>
      <c r="D109" s="193"/>
      <c r="E109" s="194"/>
      <c r="F109" s="195"/>
      <c r="G109" s="164"/>
      <c r="H109" s="168"/>
      <c r="I109" s="168"/>
      <c r="J109" s="164"/>
      <c r="K109" s="168"/>
      <c r="L109" s="104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</row>
    <row r="110" ht="15.75" customHeight="1">
      <c r="A110" s="192"/>
      <c r="B110" s="160"/>
      <c r="C110" s="160"/>
      <c r="D110" s="193"/>
      <c r="E110" s="194"/>
      <c r="F110" s="195"/>
      <c r="G110" s="164"/>
      <c r="H110" s="168"/>
      <c r="I110" s="166"/>
      <c r="J110" s="167"/>
      <c r="K110" s="168"/>
      <c r="L110" s="104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</row>
    <row r="111" ht="15.75" customHeight="1">
      <c r="A111" s="192"/>
      <c r="B111" s="160"/>
      <c r="C111" s="208"/>
      <c r="D111" s="209"/>
      <c r="E111" s="194"/>
      <c r="F111" s="195"/>
      <c r="G111" s="164"/>
      <c r="H111" s="168"/>
      <c r="I111" s="168"/>
      <c r="J111" s="164"/>
      <c r="K111" s="168"/>
      <c r="L111" s="104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</row>
    <row r="112" ht="15.75" customHeight="1">
      <c r="A112" s="192"/>
      <c r="B112" s="160"/>
      <c r="C112" s="208"/>
      <c r="D112" s="209"/>
      <c r="E112" s="194"/>
      <c r="F112" s="195"/>
      <c r="G112" s="164"/>
      <c r="H112" s="168"/>
      <c r="I112" s="168"/>
      <c r="J112" s="164"/>
      <c r="K112" s="168"/>
      <c r="L112" s="104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</row>
    <row r="113" ht="15.75" customHeight="1">
      <c r="A113" s="192"/>
      <c r="B113" s="160"/>
      <c r="C113" s="208"/>
      <c r="D113" s="209"/>
      <c r="E113" s="194"/>
      <c r="F113" s="195"/>
      <c r="G113" s="164"/>
      <c r="H113" s="168"/>
      <c r="I113" s="166"/>
      <c r="J113" s="167"/>
      <c r="K113" s="168"/>
      <c r="L113" s="104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</row>
    <row r="114" ht="15.75" customHeight="1">
      <c r="A114" s="192"/>
      <c r="B114" s="160"/>
      <c r="C114" s="208"/>
      <c r="D114" s="209"/>
      <c r="E114" s="194"/>
      <c r="F114" s="195"/>
      <c r="G114" s="164"/>
      <c r="H114" s="168"/>
      <c r="I114" s="166"/>
      <c r="J114" s="167"/>
      <c r="K114" s="168"/>
      <c r="L114" s="104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</row>
    <row r="115" ht="15.75" customHeight="1">
      <c r="A115" s="192"/>
      <c r="B115" s="160"/>
      <c r="C115" s="208"/>
      <c r="D115" s="209"/>
      <c r="E115" s="160"/>
      <c r="F115" s="208"/>
      <c r="G115" s="164"/>
      <c r="H115" s="168"/>
      <c r="I115" s="166"/>
      <c r="J115" s="167"/>
      <c r="K115" s="168"/>
      <c r="L115" s="104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</row>
    <row r="116" ht="15.75" customHeight="1">
      <c r="A116" s="192"/>
      <c r="B116" s="160"/>
      <c r="C116" s="208"/>
      <c r="D116" s="209"/>
      <c r="E116" s="160"/>
      <c r="F116" s="208"/>
      <c r="G116" s="164"/>
      <c r="H116" s="168"/>
      <c r="I116" s="166"/>
      <c r="J116" s="167"/>
      <c r="K116" s="168"/>
      <c r="L116" s="104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</row>
    <row r="117" ht="15.75" customHeight="1">
      <c r="A117" s="192"/>
      <c r="B117" s="160"/>
      <c r="C117" s="208"/>
      <c r="D117" s="209"/>
      <c r="E117" s="160"/>
      <c r="F117" s="208"/>
      <c r="G117" s="164"/>
      <c r="H117" s="168"/>
      <c r="I117" s="166"/>
      <c r="J117" s="166"/>
      <c r="K117" s="168"/>
      <c r="L117" s="104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</row>
    <row r="118" ht="15.75" customHeight="1">
      <c r="A118" s="192"/>
      <c r="B118" s="160"/>
      <c r="C118" s="208"/>
      <c r="D118" s="209"/>
      <c r="E118" s="160"/>
      <c r="F118" s="208"/>
      <c r="G118" s="164"/>
      <c r="H118" s="168"/>
      <c r="I118" s="166"/>
      <c r="J118" s="167"/>
      <c r="K118" s="168"/>
      <c r="L118" s="104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</row>
    <row r="119" ht="15.75" customHeight="1">
      <c r="A119" s="192"/>
      <c r="B119" s="210"/>
      <c r="C119" s="210"/>
      <c r="D119" s="211"/>
      <c r="E119" s="207"/>
      <c r="F119" s="160"/>
      <c r="G119" s="164"/>
      <c r="H119" s="168"/>
      <c r="I119" s="168"/>
      <c r="J119" s="164"/>
      <c r="K119" s="168"/>
      <c r="L119" s="104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</row>
    <row r="120" ht="15.75" customHeight="1">
      <c r="A120" s="212"/>
      <c r="B120" s="210"/>
      <c r="C120" s="213"/>
      <c r="D120" s="214"/>
      <c r="E120" s="215"/>
      <c r="F120" s="216"/>
      <c r="G120" s="164"/>
      <c r="H120" s="168"/>
      <c r="I120" s="168"/>
      <c r="J120" s="164"/>
      <c r="K120" s="168"/>
      <c r="L120" s="104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</row>
    <row r="121" ht="15.75" customHeight="1">
      <c r="A121" s="212"/>
      <c r="B121" s="210"/>
      <c r="C121" s="210"/>
      <c r="D121" s="211"/>
      <c r="E121" s="207"/>
      <c r="F121" s="216"/>
      <c r="G121" s="164"/>
      <c r="H121" s="168"/>
      <c r="I121" s="168"/>
      <c r="J121" s="164"/>
      <c r="K121" s="168"/>
      <c r="L121" s="104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</row>
    <row r="122" ht="15.75" customHeight="1">
      <c r="A122" s="212"/>
      <c r="B122" s="215"/>
      <c r="C122" s="217"/>
      <c r="D122" s="214"/>
      <c r="E122" s="215"/>
      <c r="F122" s="218"/>
      <c r="G122" s="164"/>
      <c r="H122" s="168"/>
      <c r="I122" s="166"/>
      <c r="J122" s="167"/>
      <c r="K122" s="168"/>
      <c r="L122" s="104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</row>
    <row r="123" ht="15.75" customHeight="1">
      <c r="A123" s="219"/>
      <c r="B123" s="220"/>
      <c r="C123" s="221"/>
      <c r="D123" s="222"/>
      <c r="E123" s="220"/>
      <c r="F123" s="223"/>
      <c r="G123" s="206"/>
      <c r="H123" s="224"/>
      <c r="I123" s="225"/>
      <c r="J123" s="226"/>
      <c r="K123" s="224"/>
      <c r="L123" s="104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</row>
    <row r="124" ht="15.75" customHeight="1">
      <c r="A124" s="212"/>
      <c r="B124" s="215"/>
      <c r="C124" s="217"/>
      <c r="D124" s="214"/>
      <c r="E124" s="215"/>
      <c r="F124" s="218"/>
      <c r="G124" s="164"/>
      <c r="H124" s="168"/>
      <c r="I124" s="166"/>
      <c r="J124" s="167"/>
      <c r="K124" s="168"/>
      <c r="L124" s="104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</row>
    <row r="125" ht="15.75" customHeight="1">
      <c r="A125" s="212"/>
      <c r="B125" s="210"/>
      <c r="C125" s="210"/>
      <c r="D125" s="211"/>
      <c r="E125" s="207"/>
      <c r="F125" s="216"/>
      <c r="G125" s="164"/>
      <c r="H125" s="168"/>
      <c r="I125" s="207"/>
      <c r="J125" s="164"/>
      <c r="K125" s="168"/>
      <c r="L125" s="104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</row>
    <row r="126" ht="15.75" customHeight="1">
      <c r="A126" s="212"/>
      <c r="B126" s="215"/>
      <c r="C126" s="217"/>
      <c r="D126" s="214"/>
      <c r="E126" s="215"/>
      <c r="F126" s="218"/>
      <c r="G126" s="164"/>
      <c r="H126" s="168"/>
      <c r="I126" s="166"/>
      <c r="J126" s="167"/>
      <c r="K126" s="168"/>
      <c r="L126" s="104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</row>
    <row r="127" ht="15.75" customHeight="1">
      <c r="A127" s="212"/>
      <c r="B127" s="210"/>
      <c r="C127" s="210"/>
      <c r="D127" s="227"/>
      <c r="E127" s="228"/>
      <c r="F127" s="229"/>
      <c r="G127" s="164"/>
      <c r="H127" s="168"/>
      <c r="I127" s="166"/>
      <c r="J127" s="167"/>
      <c r="K127" s="168"/>
      <c r="L127" s="104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</row>
    <row r="128" ht="15.75" customHeight="1">
      <c r="A128" s="212"/>
      <c r="B128" s="210"/>
      <c r="C128" s="210"/>
      <c r="D128" s="211"/>
      <c r="E128" s="207"/>
      <c r="F128" s="216"/>
      <c r="G128" s="164"/>
      <c r="H128" s="168"/>
      <c r="I128" s="207"/>
      <c r="J128" s="164"/>
      <c r="K128" s="168"/>
      <c r="L128" s="104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</row>
    <row r="129" ht="15.75" customHeight="1">
      <c r="A129" s="230"/>
      <c r="B129" s="193"/>
      <c r="C129" s="210"/>
      <c r="D129" s="211"/>
      <c r="E129" s="207"/>
      <c r="F129" s="216"/>
      <c r="G129" s="164"/>
      <c r="H129" s="168"/>
      <c r="I129" s="207"/>
      <c r="J129" s="164"/>
      <c r="K129" s="168"/>
      <c r="L129" s="104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</row>
    <row r="130" ht="15.75" customHeight="1">
      <c r="A130" s="230"/>
      <c r="B130" s="193"/>
      <c r="C130" s="210"/>
      <c r="D130" s="211"/>
      <c r="E130" s="207"/>
      <c r="F130" s="216"/>
      <c r="G130" s="164"/>
      <c r="H130" s="168"/>
      <c r="I130" s="207"/>
      <c r="J130" s="164"/>
      <c r="K130" s="168"/>
      <c r="L130" s="104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</row>
    <row r="131" ht="15.75" customHeight="1">
      <c r="A131" s="230"/>
      <c r="B131" s="193"/>
      <c r="C131" s="210"/>
      <c r="D131" s="211"/>
      <c r="E131" s="207"/>
      <c r="F131" s="216"/>
      <c r="G131" s="164"/>
      <c r="H131" s="168"/>
      <c r="I131" s="207"/>
      <c r="J131" s="164"/>
      <c r="K131" s="168"/>
      <c r="L131" s="104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</row>
    <row r="132" ht="15.75" customHeight="1">
      <c r="A132" s="230"/>
      <c r="B132" s="207"/>
      <c r="C132" s="210"/>
      <c r="D132" s="211"/>
      <c r="E132" s="207"/>
      <c r="F132" s="229"/>
      <c r="G132" s="164"/>
      <c r="H132" s="168"/>
      <c r="I132" s="207"/>
      <c r="J132" s="164"/>
      <c r="K132" s="168"/>
      <c r="L132" s="104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</row>
    <row r="133" ht="15.75" customHeight="1">
      <c r="A133" s="230"/>
      <c r="B133" s="207"/>
      <c r="C133" s="210"/>
      <c r="D133" s="211"/>
      <c r="E133" s="207"/>
      <c r="F133" s="216"/>
      <c r="G133" s="164"/>
      <c r="H133" s="168"/>
      <c r="I133" s="207"/>
      <c r="J133" s="164"/>
      <c r="K133" s="168"/>
      <c r="L133" s="104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</row>
    <row r="134" ht="15.75" customHeight="1">
      <c r="A134" s="230"/>
      <c r="B134" s="207"/>
      <c r="C134" s="210"/>
      <c r="D134" s="211"/>
      <c r="E134" s="207"/>
      <c r="F134" s="231"/>
      <c r="G134" s="164"/>
      <c r="H134" s="168"/>
      <c r="I134" s="207"/>
      <c r="J134" s="164"/>
      <c r="K134" s="168"/>
      <c r="L134" s="104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</row>
    <row r="135" ht="15.75" customHeight="1">
      <c r="A135" s="230"/>
      <c r="B135" s="207"/>
      <c r="C135" s="210"/>
      <c r="D135" s="211"/>
      <c r="E135" s="207"/>
      <c r="F135" s="216"/>
      <c r="G135" s="164"/>
      <c r="H135" s="168"/>
      <c r="I135" s="207"/>
      <c r="J135" s="164"/>
      <c r="K135" s="168"/>
      <c r="L135" s="104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</row>
    <row r="136" ht="15.75" customHeight="1">
      <c r="A136" s="230"/>
      <c r="B136" s="207"/>
      <c r="C136" s="210"/>
      <c r="D136" s="211"/>
      <c r="E136" s="207"/>
      <c r="F136" s="231"/>
      <c r="G136" s="164"/>
      <c r="H136" s="168"/>
      <c r="I136" s="207"/>
      <c r="J136" s="164"/>
      <c r="K136" s="168"/>
      <c r="L136" s="104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</row>
    <row r="137" ht="15.75" customHeight="1">
      <c r="A137" s="230"/>
      <c r="B137" s="207"/>
      <c r="C137" s="210"/>
      <c r="D137" s="211"/>
      <c r="E137" s="207"/>
      <c r="F137" s="231"/>
      <c r="G137" s="164"/>
      <c r="H137" s="168"/>
      <c r="I137" s="207"/>
      <c r="J137" s="164"/>
      <c r="K137" s="168"/>
      <c r="L137" s="104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</row>
    <row r="138" ht="15.75" customHeight="1">
      <c r="A138" s="230"/>
      <c r="B138" s="207"/>
      <c r="C138" s="210"/>
      <c r="D138" s="211"/>
      <c r="E138" s="207"/>
      <c r="F138" s="216"/>
      <c r="G138" s="164"/>
      <c r="H138" s="168"/>
      <c r="I138" s="207"/>
      <c r="J138" s="164"/>
      <c r="K138" s="168"/>
      <c r="L138" s="104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</row>
    <row r="139" ht="15.75" customHeight="1">
      <c r="A139" s="230"/>
      <c r="B139" s="207"/>
      <c r="C139" s="210"/>
      <c r="D139" s="211"/>
      <c r="E139" s="207"/>
      <c r="F139" s="216"/>
      <c r="G139" s="164"/>
      <c r="H139" s="168"/>
      <c r="I139" s="207"/>
      <c r="J139" s="164"/>
      <c r="K139" s="168"/>
      <c r="L139" s="104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</row>
    <row r="140" ht="15.75" customHeight="1">
      <c r="A140" s="230"/>
      <c r="B140" s="207"/>
      <c r="C140" s="210"/>
      <c r="D140" s="211"/>
      <c r="E140" s="207"/>
      <c r="F140" s="216"/>
      <c r="G140" s="164"/>
      <c r="H140" s="168"/>
      <c r="I140" s="207"/>
      <c r="J140" s="164"/>
      <c r="K140" s="168"/>
      <c r="L140" s="104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</row>
    <row r="141" ht="15.75" customHeight="1">
      <c r="A141" s="230"/>
      <c r="B141" s="207"/>
      <c r="C141" s="210"/>
      <c r="D141" s="211"/>
      <c r="E141" s="207"/>
      <c r="F141" s="216"/>
      <c r="G141" s="164"/>
      <c r="H141" s="168"/>
      <c r="I141" s="207"/>
      <c r="J141" s="164"/>
      <c r="K141" s="168"/>
      <c r="L141" s="104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</row>
    <row r="142" ht="15.75" customHeight="1">
      <c r="A142" s="230"/>
      <c r="B142" s="207"/>
      <c r="C142" s="210"/>
      <c r="D142" s="211"/>
      <c r="E142" s="207"/>
      <c r="F142" s="216"/>
      <c r="G142" s="164"/>
      <c r="H142" s="168"/>
      <c r="I142" s="207"/>
      <c r="J142" s="164"/>
      <c r="K142" s="168"/>
      <c r="L142" s="104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</row>
    <row r="143" ht="15.75" customHeight="1">
      <c r="A143" s="230"/>
      <c r="B143" s="207"/>
      <c r="C143" s="210"/>
      <c r="D143" s="211"/>
      <c r="E143" s="207"/>
      <c r="F143" s="216"/>
      <c r="G143" s="164"/>
      <c r="H143" s="168"/>
      <c r="I143" s="207"/>
      <c r="J143" s="164"/>
      <c r="K143" s="168"/>
      <c r="L143" s="104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</row>
    <row r="144" ht="15.75" customHeight="1">
      <c r="A144" s="230"/>
      <c r="B144" s="207"/>
      <c r="C144" s="210"/>
      <c r="D144" s="211"/>
      <c r="E144" s="207"/>
      <c r="F144" s="231"/>
      <c r="G144" s="164"/>
      <c r="H144" s="168"/>
      <c r="I144" s="207"/>
      <c r="J144" s="164"/>
      <c r="K144" s="168"/>
      <c r="L144" s="104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</row>
    <row r="145" ht="15.75" customHeight="1">
      <c r="A145" s="230"/>
      <c r="B145" s="207"/>
      <c r="C145" s="210"/>
      <c r="D145" s="211"/>
      <c r="E145" s="207"/>
      <c r="F145" s="231"/>
      <c r="G145" s="164"/>
      <c r="H145" s="168"/>
      <c r="I145" s="207"/>
      <c r="J145" s="164"/>
      <c r="K145" s="168"/>
      <c r="L145" s="104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</row>
    <row r="146" ht="15.75" customHeight="1">
      <c r="A146" s="230"/>
      <c r="B146" s="207"/>
      <c r="C146" s="210"/>
      <c r="D146" s="211"/>
      <c r="E146" s="207"/>
      <c r="F146" s="231"/>
      <c r="G146" s="164"/>
      <c r="H146" s="168"/>
      <c r="I146" s="168"/>
      <c r="J146" s="164"/>
      <c r="K146" s="168"/>
      <c r="L146" s="104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</row>
    <row r="147" ht="15.75" customHeight="1">
      <c r="A147" s="230"/>
      <c r="B147" s="207"/>
      <c r="C147" s="210"/>
      <c r="D147" s="211"/>
      <c r="E147" s="207"/>
      <c r="F147" s="232"/>
      <c r="G147" s="164"/>
      <c r="H147" s="168"/>
      <c r="I147" s="168"/>
      <c r="J147" s="164"/>
      <c r="K147" s="168"/>
      <c r="L147" s="104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</row>
    <row r="148" ht="15.75" customHeight="1">
      <c r="A148" s="230"/>
      <c r="B148" s="207"/>
      <c r="C148" s="210"/>
      <c r="D148" s="211"/>
      <c r="E148" s="207"/>
      <c r="F148" s="232"/>
      <c r="G148" s="164"/>
      <c r="H148" s="168"/>
      <c r="I148" s="168"/>
      <c r="J148" s="164"/>
      <c r="K148" s="168"/>
      <c r="L148" s="104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</row>
    <row r="149" ht="15.75" customHeight="1">
      <c r="A149" s="230"/>
      <c r="B149" s="207"/>
      <c r="C149" s="210"/>
      <c r="D149" s="211"/>
      <c r="E149" s="207"/>
      <c r="F149" s="232"/>
      <c r="G149" s="164"/>
      <c r="H149" s="168"/>
      <c r="I149" s="168"/>
      <c r="J149" s="164"/>
      <c r="K149" s="168"/>
      <c r="L149" s="104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</row>
    <row r="150" ht="15.75" customHeight="1">
      <c r="A150" s="230"/>
      <c r="B150" s="207"/>
      <c r="C150" s="210"/>
      <c r="D150" s="211"/>
      <c r="E150" s="207"/>
      <c r="F150" s="232"/>
      <c r="G150" s="164"/>
      <c r="H150" s="168"/>
      <c r="I150" s="168"/>
      <c r="J150" s="164"/>
      <c r="K150" s="168"/>
      <c r="L150" s="104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</row>
    <row r="151" ht="15.75" customHeight="1">
      <c r="A151" s="230"/>
      <c r="B151" s="207"/>
      <c r="C151" s="210"/>
      <c r="D151" s="211"/>
      <c r="E151" s="207"/>
      <c r="F151" s="232"/>
      <c r="G151" s="164"/>
      <c r="H151" s="168"/>
      <c r="I151" s="168"/>
      <c r="J151" s="164"/>
      <c r="K151" s="168"/>
      <c r="L151" s="104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</row>
    <row r="152" ht="15.75" customHeight="1">
      <c r="A152" s="230"/>
      <c r="B152" s="207"/>
      <c r="C152" s="210"/>
      <c r="D152" s="211"/>
      <c r="E152" s="207"/>
      <c r="F152" s="232"/>
      <c r="G152" s="164"/>
      <c r="H152" s="168"/>
      <c r="I152" s="168"/>
      <c r="J152" s="164"/>
      <c r="K152" s="168"/>
      <c r="L152" s="104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</row>
    <row r="153" ht="15.75" customHeight="1">
      <c r="A153" s="230"/>
      <c r="B153" s="207"/>
      <c r="C153" s="210"/>
      <c r="D153" s="211"/>
      <c r="E153" s="207"/>
      <c r="F153" s="232"/>
      <c r="G153" s="164"/>
      <c r="H153" s="168"/>
      <c r="I153" s="168"/>
      <c r="J153" s="164"/>
      <c r="K153" s="168"/>
      <c r="L153" s="104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</row>
    <row r="154" ht="15.75" customHeight="1">
      <c r="A154" s="230"/>
      <c r="B154" s="207"/>
      <c r="C154" s="210"/>
      <c r="D154" s="211"/>
      <c r="E154" s="207"/>
      <c r="F154" s="232"/>
      <c r="G154" s="164"/>
      <c r="H154" s="168"/>
      <c r="I154" s="168"/>
      <c r="J154" s="164"/>
      <c r="K154" s="168"/>
      <c r="L154" s="104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</row>
    <row r="155" ht="15.75" customHeight="1">
      <c r="A155" s="230"/>
      <c r="B155" s="207"/>
      <c r="C155" s="210"/>
      <c r="D155" s="211"/>
      <c r="E155" s="207"/>
      <c r="F155" s="232"/>
      <c r="G155" s="164"/>
      <c r="H155" s="168"/>
      <c r="I155" s="168"/>
      <c r="J155" s="164"/>
      <c r="K155" s="168"/>
      <c r="L155" s="104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</row>
    <row r="156" ht="15.75" customHeight="1">
      <c r="A156" s="230"/>
      <c r="B156" s="207"/>
      <c r="C156" s="210"/>
      <c r="D156" s="211"/>
      <c r="E156" s="207"/>
      <c r="F156" s="232"/>
      <c r="G156" s="164"/>
      <c r="H156" s="168"/>
      <c r="I156" s="168"/>
      <c r="J156" s="164"/>
      <c r="K156" s="168"/>
      <c r="L156" s="104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</row>
    <row r="157" ht="15.75" customHeight="1">
      <c r="A157" s="230"/>
      <c r="B157" s="207"/>
      <c r="C157" s="210"/>
      <c r="D157" s="211"/>
      <c r="E157" s="207"/>
      <c r="F157" s="232"/>
      <c r="G157" s="164"/>
      <c r="H157" s="168"/>
      <c r="I157" s="168"/>
      <c r="J157" s="164"/>
      <c r="K157" s="168"/>
      <c r="L157" s="104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</row>
    <row r="158" ht="15.75" customHeight="1">
      <c r="A158" s="230"/>
      <c r="B158" s="207"/>
      <c r="C158" s="210"/>
      <c r="D158" s="211"/>
      <c r="E158" s="207"/>
      <c r="F158" s="232"/>
      <c r="G158" s="164"/>
      <c r="H158" s="168"/>
      <c r="I158" s="168"/>
      <c r="J158" s="164"/>
      <c r="K158" s="168"/>
      <c r="L158" s="104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</row>
    <row r="159" ht="15.75" customHeight="1">
      <c r="A159" s="230"/>
      <c r="B159" s="207"/>
      <c r="C159" s="210"/>
      <c r="D159" s="211"/>
      <c r="E159" s="207"/>
      <c r="F159" s="232"/>
      <c r="G159" s="164"/>
      <c r="H159" s="168"/>
      <c r="I159" s="168"/>
      <c r="J159" s="164"/>
      <c r="K159" s="168"/>
      <c r="L159" s="104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</row>
    <row r="160" ht="15.75" customHeight="1">
      <c r="A160" s="230"/>
      <c r="B160" s="207"/>
      <c r="C160" s="210"/>
      <c r="D160" s="211"/>
      <c r="E160" s="207"/>
      <c r="F160" s="232"/>
      <c r="G160" s="164"/>
      <c r="H160" s="168"/>
      <c r="I160" s="168"/>
      <c r="J160" s="164"/>
      <c r="K160" s="168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</row>
    <row r="161" ht="15.75" customHeight="1">
      <c r="A161" s="230"/>
      <c r="B161" s="207"/>
      <c r="C161" s="210"/>
      <c r="D161" s="211"/>
      <c r="E161" s="207"/>
      <c r="F161" s="232"/>
      <c r="G161" s="164"/>
      <c r="H161" s="168"/>
      <c r="I161" s="168"/>
      <c r="J161" s="164"/>
      <c r="K161" s="168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</row>
    <row r="162" ht="15.75" customHeight="1">
      <c r="A162" s="230"/>
      <c r="B162" s="207"/>
      <c r="C162" s="210"/>
      <c r="D162" s="211"/>
      <c r="E162" s="207"/>
      <c r="F162" s="232"/>
      <c r="G162" s="164"/>
      <c r="H162" s="168"/>
      <c r="I162" s="168"/>
      <c r="J162" s="164"/>
      <c r="K162" s="168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</row>
    <row r="163" ht="15.75" customHeight="1">
      <c r="A163" s="230"/>
      <c r="B163" s="207"/>
      <c r="C163" s="210"/>
      <c r="D163" s="211"/>
      <c r="E163" s="207"/>
      <c r="F163" s="232"/>
      <c r="G163" s="164"/>
      <c r="H163" s="168"/>
      <c r="I163" s="168"/>
      <c r="J163" s="164"/>
      <c r="K163" s="168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</row>
    <row r="164" ht="15.75" customHeight="1">
      <c r="A164" s="230"/>
      <c r="B164" s="207"/>
      <c r="C164" s="210"/>
      <c r="D164" s="211"/>
      <c r="E164" s="207"/>
      <c r="F164" s="232"/>
      <c r="G164" s="164"/>
      <c r="H164" s="168"/>
      <c r="I164" s="168"/>
      <c r="J164" s="164"/>
      <c r="K164" s="168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</row>
    <row r="165" ht="15.75" customHeight="1">
      <c r="A165" s="230"/>
      <c r="B165" s="207"/>
      <c r="C165" s="210"/>
      <c r="D165" s="211"/>
      <c r="E165" s="207"/>
      <c r="F165" s="232"/>
      <c r="G165" s="164"/>
      <c r="H165" s="168"/>
      <c r="I165" s="168"/>
      <c r="J165" s="164"/>
      <c r="K165" s="168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</row>
    <row r="166" ht="15.75" customHeight="1">
      <c r="A166" s="230"/>
      <c r="B166" s="207"/>
      <c r="C166" s="210"/>
      <c r="D166" s="211"/>
      <c r="E166" s="207"/>
      <c r="F166" s="232"/>
      <c r="G166" s="164"/>
      <c r="H166" s="168"/>
      <c r="I166" s="168"/>
      <c r="J166" s="164"/>
      <c r="K166" s="168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</row>
    <row r="167" ht="15.75" customHeight="1">
      <c r="A167" s="230"/>
      <c r="B167" s="207"/>
      <c r="C167" s="210"/>
      <c r="D167" s="211"/>
      <c r="E167" s="207"/>
      <c r="F167" s="232"/>
      <c r="G167" s="164"/>
      <c r="H167" s="168"/>
      <c r="I167" s="168"/>
      <c r="J167" s="164"/>
      <c r="K167" s="168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</row>
    <row r="168" ht="15.75" customHeight="1">
      <c r="A168" s="230"/>
      <c r="B168" s="207"/>
      <c r="C168" s="210"/>
      <c r="D168" s="211"/>
      <c r="E168" s="207"/>
      <c r="F168" s="232"/>
      <c r="G168" s="164"/>
      <c r="H168" s="168"/>
      <c r="I168" s="168"/>
      <c r="J168" s="164"/>
      <c r="K168" s="168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</row>
    <row r="169" ht="15.75" customHeight="1">
      <c r="A169" s="230"/>
      <c r="B169" s="207"/>
      <c r="C169" s="210"/>
      <c r="D169" s="211"/>
      <c r="E169" s="207"/>
      <c r="F169" s="232"/>
      <c r="G169" s="164"/>
      <c r="H169" s="168"/>
      <c r="I169" s="168"/>
      <c r="J169" s="164"/>
      <c r="K169" s="168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</row>
    <row r="170" ht="15.75" customHeight="1">
      <c r="A170" s="230"/>
      <c r="B170" s="207"/>
      <c r="C170" s="210"/>
      <c r="D170" s="211"/>
      <c r="E170" s="207"/>
      <c r="F170" s="232"/>
      <c r="G170" s="164"/>
      <c r="H170" s="168"/>
      <c r="I170" s="168"/>
      <c r="J170" s="164"/>
      <c r="K170" s="168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</row>
    <row r="171" ht="15.75" customHeight="1">
      <c r="A171" s="230"/>
      <c r="B171" s="207"/>
      <c r="C171" s="210"/>
      <c r="D171" s="211"/>
      <c r="E171" s="207"/>
      <c r="F171" s="232"/>
      <c r="G171" s="164"/>
      <c r="H171" s="168"/>
      <c r="I171" s="168"/>
      <c r="J171" s="164"/>
      <c r="K171" s="168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</row>
    <row r="172" ht="15.75" customHeight="1">
      <c r="A172" s="230"/>
      <c r="B172" s="207"/>
      <c r="C172" s="210"/>
      <c r="D172" s="211"/>
      <c r="E172" s="207"/>
      <c r="F172" s="232"/>
      <c r="G172" s="164"/>
      <c r="H172" s="168"/>
      <c r="I172" s="168"/>
      <c r="J172" s="164"/>
      <c r="K172" s="168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</row>
    <row r="173" ht="15.75" customHeight="1">
      <c r="A173" s="230"/>
      <c r="B173" s="207"/>
      <c r="C173" s="210"/>
      <c r="D173" s="211"/>
      <c r="E173" s="207"/>
      <c r="F173" s="232"/>
      <c r="G173" s="164"/>
      <c r="H173" s="168"/>
      <c r="I173" s="168"/>
      <c r="J173" s="164"/>
      <c r="K173" s="168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</row>
    <row r="174" ht="15.75" customHeight="1">
      <c r="A174" s="230"/>
      <c r="B174" s="207"/>
      <c r="C174" s="210"/>
      <c r="D174" s="211"/>
      <c r="E174" s="207"/>
      <c r="F174" s="232"/>
      <c r="G174" s="164"/>
      <c r="H174" s="168"/>
      <c r="I174" s="168"/>
      <c r="J174" s="164"/>
      <c r="K174" s="168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</row>
    <row r="175" ht="15.75" customHeight="1">
      <c r="A175" s="230"/>
      <c r="B175" s="207"/>
      <c r="C175" s="210"/>
      <c r="D175" s="211"/>
      <c r="E175" s="207"/>
      <c r="F175" s="232"/>
      <c r="G175" s="164"/>
      <c r="H175" s="168"/>
      <c r="I175" s="168"/>
      <c r="J175" s="164"/>
      <c r="K175" s="168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</row>
    <row r="176" ht="15.75" customHeight="1">
      <c r="A176" s="230"/>
      <c r="B176" s="207"/>
      <c r="C176" s="210"/>
      <c r="D176" s="211"/>
      <c r="E176" s="207"/>
      <c r="F176" s="232"/>
      <c r="G176" s="164"/>
      <c r="H176" s="168"/>
      <c r="I176" s="168"/>
      <c r="J176" s="164"/>
      <c r="K176" s="168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</row>
    <row r="177" ht="15.75" customHeight="1">
      <c r="A177" s="230"/>
      <c r="B177" s="207"/>
      <c r="C177" s="210"/>
      <c r="D177" s="211"/>
      <c r="E177" s="207"/>
      <c r="F177" s="232"/>
      <c r="G177" s="164"/>
      <c r="H177" s="168"/>
      <c r="I177" s="168"/>
      <c r="J177" s="164"/>
      <c r="K177" s="168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</row>
    <row r="178" ht="15.75" customHeight="1">
      <c r="A178" s="230"/>
      <c r="B178" s="207"/>
      <c r="C178" s="210"/>
      <c r="D178" s="211"/>
      <c r="E178" s="207"/>
      <c r="F178" s="232"/>
      <c r="G178" s="164"/>
      <c r="H178" s="168"/>
      <c r="I178" s="168"/>
      <c r="J178" s="164"/>
      <c r="K178" s="168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</row>
    <row r="179" ht="15.75" customHeight="1">
      <c r="A179" s="230"/>
      <c r="B179" s="207"/>
      <c r="C179" s="210"/>
      <c r="D179" s="211"/>
      <c r="E179" s="207"/>
      <c r="F179" s="232"/>
      <c r="G179" s="164"/>
      <c r="H179" s="168"/>
      <c r="I179" s="168"/>
      <c r="J179" s="164"/>
      <c r="K179" s="168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</row>
    <row r="180" ht="15.75" customHeight="1">
      <c r="A180" s="230"/>
      <c r="B180" s="207"/>
      <c r="C180" s="210"/>
      <c r="D180" s="211"/>
      <c r="E180" s="207"/>
      <c r="F180" s="232"/>
      <c r="G180" s="164"/>
      <c r="H180" s="168"/>
      <c r="I180" s="168"/>
      <c r="J180" s="164"/>
      <c r="K180" s="168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</row>
    <row r="181" ht="15.75" customHeight="1">
      <c r="A181" s="230"/>
      <c r="B181" s="207"/>
      <c r="C181" s="210"/>
      <c r="D181" s="211"/>
      <c r="E181" s="207"/>
      <c r="F181" s="232"/>
      <c r="G181" s="164"/>
      <c r="H181" s="168"/>
      <c r="I181" s="168"/>
      <c r="J181" s="164"/>
      <c r="K181" s="168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</row>
    <row r="182" ht="15.75" customHeight="1">
      <c r="A182" s="230"/>
      <c r="B182" s="207"/>
      <c r="C182" s="210"/>
      <c r="D182" s="211"/>
      <c r="E182" s="207"/>
      <c r="F182" s="232"/>
      <c r="G182" s="164"/>
      <c r="H182" s="168"/>
      <c r="I182" s="168"/>
      <c r="J182" s="164"/>
      <c r="K182" s="168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</row>
    <row r="183" ht="15.75" customHeight="1">
      <c r="A183" s="230"/>
      <c r="B183" s="207"/>
      <c r="C183" s="210"/>
      <c r="D183" s="211"/>
      <c r="E183" s="207"/>
      <c r="F183" s="232"/>
      <c r="G183" s="164"/>
      <c r="H183" s="168"/>
      <c r="I183" s="168"/>
      <c r="J183" s="164"/>
      <c r="K183" s="168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</row>
    <row r="184" ht="15.75" customHeight="1">
      <c r="A184" s="230"/>
      <c r="B184" s="207"/>
      <c r="C184" s="210"/>
      <c r="D184" s="211"/>
      <c r="E184" s="207"/>
      <c r="F184" s="232"/>
      <c r="G184" s="164"/>
      <c r="H184" s="168"/>
      <c r="I184" s="168"/>
      <c r="J184" s="164"/>
      <c r="K184" s="168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</row>
    <row r="185" ht="15.75" customHeight="1">
      <c r="A185" s="230"/>
      <c r="B185" s="207"/>
      <c r="C185" s="210"/>
      <c r="D185" s="211"/>
      <c r="E185" s="207"/>
      <c r="F185" s="232"/>
      <c r="G185" s="164"/>
      <c r="H185" s="168"/>
      <c r="I185" s="168"/>
      <c r="J185" s="164"/>
      <c r="K185" s="168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</row>
    <row r="186" ht="15.75" customHeight="1">
      <c r="A186" s="230"/>
      <c r="B186" s="207"/>
      <c r="C186" s="210"/>
      <c r="D186" s="211"/>
      <c r="E186" s="207"/>
      <c r="F186" s="232"/>
      <c r="G186" s="164"/>
      <c r="H186" s="168"/>
      <c r="I186" s="168"/>
      <c r="J186" s="164"/>
      <c r="K186" s="168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</row>
    <row r="187" ht="15.75" customHeight="1">
      <c r="A187" s="230"/>
      <c r="B187" s="207"/>
      <c r="C187" s="210"/>
      <c r="D187" s="211"/>
      <c r="E187" s="207"/>
      <c r="F187" s="232"/>
      <c r="G187" s="164"/>
      <c r="H187" s="168"/>
      <c r="I187" s="168"/>
      <c r="J187" s="164"/>
      <c r="K187" s="168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</row>
    <row r="188" ht="15.75" customHeight="1">
      <c r="A188" s="230"/>
      <c r="B188" s="207"/>
      <c r="C188" s="210"/>
      <c r="D188" s="211"/>
      <c r="E188" s="207"/>
      <c r="F188" s="232"/>
      <c r="G188" s="164"/>
      <c r="H188" s="168"/>
      <c r="I188" s="168"/>
      <c r="J188" s="164"/>
      <c r="K188" s="168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</row>
    <row r="189" ht="15.75" customHeight="1">
      <c r="A189" s="230"/>
      <c r="B189" s="207"/>
      <c r="C189" s="210"/>
      <c r="D189" s="211"/>
      <c r="E189" s="207"/>
      <c r="F189" s="232"/>
      <c r="G189" s="164"/>
      <c r="H189" s="168"/>
      <c r="I189" s="168"/>
      <c r="J189" s="164"/>
      <c r="K189" s="168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</row>
    <row r="190" ht="15.75" customHeight="1">
      <c r="A190" s="230"/>
      <c r="B190" s="207"/>
      <c r="C190" s="210"/>
      <c r="D190" s="211"/>
      <c r="E190" s="207"/>
      <c r="F190" s="232"/>
      <c r="G190" s="164"/>
      <c r="H190" s="168"/>
      <c r="I190" s="168"/>
      <c r="J190" s="164"/>
      <c r="K190" s="168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</row>
    <row r="191" ht="15.75" customHeight="1">
      <c r="A191" s="230"/>
      <c r="B191" s="207"/>
      <c r="C191" s="210"/>
      <c r="D191" s="211"/>
      <c r="E191" s="207"/>
      <c r="F191" s="232"/>
      <c r="G191" s="164"/>
      <c r="H191" s="168"/>
      <c r="I191" s="168"/>
      <c r="J191" s="164"/>
      <c r="K191" s="168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</row>
    <row r="192" ht="15.75" customHeight="1">
      <c r="A192" s="230"/>
      <c r="B192" s="207"/>
      <c r="C192" s="210"/>
      <c r="D192" s="211"/>
      <c r="E192" s="207"/>
      <c r="F192" s="232"/>
      <c r="G192" s="164"/>
      <c r="H192" s="168"/>
      <c r="I192" s="168"/>
      <c r="J192" s="164"/>
      <c r="K192" s="168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</row>
    <row r="193" ht="15.75" customHeight="1">
      <c r="A193" s="230"/>
      <c r="B193" s="207"/>
      <c r="C193" s="210"/>
      <c r="D193" s="211"/>
      <c r="E193" s="207"/>
      <c r="F193" s="232"/>
      <c r="G193" s="164"/>
      <c r="H193" s="168"/>
      <c r="I193" s="168"/>
      <c r="J193" s="164"/>
      <c r="K193" s="168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</row>
    <row r="194" ht="15.75" customHeight="1">
      <c r="A194" s="230"/>
      <c r="B194" s="207"/>
      <c r="C194" s="210"/>
      <c r="D194" s="211"/>
      <c r="E194" s="207"/>
      <c r="F194" s="232"/>
      <c r="G194" s="164"/>
      <c r="H194" s="168"/>
      <c r="I194" s="168"/>
      <c r="J194" s="164"/>
      <c r="K194" s="168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</row>
    <row r="195" ht="15.75" customHeight="1">
      <c r="A195" s="230"/>
      <c r="B195" s="207"/>
      <c r="C195" s="210"/>
      <c r="D195" s="211"/>
      <c r="E195" s="207"/>
      <c r="F195" s="232"/>
      <c r="G195" s="164"/>
      <c r="H195" s="168"/>
      <c r="I195" s="168"/>
      <c r="J195" s="164"/>
      <c r="K195" s="168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</row>
    <row r="196" ht="15.75" customHeight="1">
      <c r="A196" s="230"/>
      <c r="B196" s="207"/>
      <c r="C196" s="210"/>
      <c r="D196" s="211"/>
      <c r="E196" s="207"/>
      <c r="F196" s="232"/>
      <c r="G196" s="164"/>
      <c r="H196" s="168"/>
      <c r="I196" s="168"/>
      <c r="J196" s="164"/>
      <c r="K196" s="168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</row>
    <row r="197" ht="15.75" customHeight="1">
      <c r="A197" s="230"/>
      <c r="B197" s="207"/>
      <c r="C197" s="210"/>
      <c r="D197" s="211"/>
      <c r="E197" s="207"/>
      <c r="F197" s="232"/>
      <c r="G197" s="164"/>
      <c r="H197" s="168"/>
      <c r="I197" s="168"/>
      <c r="J197" s="164"/>
      <c r="K197" s="168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</row>
    <row r="198" ht="15.75" customHeight="1">
      <c r="A198" s="230"/>
      <c r="B198" s="207"/>
      <c r="C198" s="210"/>
      <c r="D198" s="211"/>
      <c r="E198" s="207"/>
      <c r="F198" s="232"/>
      <c r="G198" s="164"/>
      <c r="H198" s="168"/>
      <c r="I198" s="168"/>
      <c r="J198" s="164"/>
      <c r="K198" s="168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</row>
    <row r="199" ht="15.75" customHeight="1">
      <c r="A199" s="230"/>
      <c r="B199" s="207"/>
      <c r="C199" s="210"/>
      <c r="D199" s="211"/>
      <c r="E199" s="207"/>
      <c r="F199" s="232"/>
      <c r="G199" s="164"/>
      <c r="H199" s="168"/>
      <c r="I199" s="168"/>
      <c r="J199" s="164"/>
      <c r="K199" s="168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</row>
    <row r="200" ht="15.75" customHeight="1">
      <c r="A200" s="230"/>
      <c r="B200" s="207"/>
      <c r="C200" s="210"/>
      <c r="D200" s="211"/>
      <c r="E200" s="207"/>
      <c r="F200" s="232"/>
      <c r="G200" s="164"/>
      <c r="H200" s="168"/>
      <c r="I200" s="168"/>
      <c r="J200" s="164"/>
      <c r="K200" s="168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</row>
    <row r="201" ht="15.75" customHeight="1">
      <c r="A201" s="230"/>
      <c r="B201" s="207"/>
      <c r="C201" s="210"/>
      <c r="D201" s="211"/>
      <c r="E201" s="207"/>
      <c r="F201" s="232"/>
      <c r="G201" s="164"/>
      <c r="H201" s="168"/>
      <c r="I201" s="168"/>
      <c r="J201" s="164"/>
      <c r="K201" s="168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</row>
    <row r="202" ht="15.75" customHeight="1">
      <c r="A202" s="230"/>
      <c r="B202" s="207"/>
      <c r="C202" s="210"/>
      <c r="D202" s="211"/>
      <c r="E202" s="207"/>
      <c r="F202" s="232"/>
      <c r="G202" s="164"/>
      <c r="H202" s="168"/>
      <c r="I202" s="168"/>
      <c r="J202" s="164"/>
      <c r="K202" s="168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</row>
    <row r="203" ht="15.75" customHeight="1">
      <c r="A203" s="230"/>
      <c r="B203" s="207"/>
      <c r="C203" s="210"/>
      <c r="D203" s="211"/>
      <c r="E203" s="207"/>
      <c r="F203" s="232"/>
      <c r="G203" s="164"/>
      <c r="H203" s="168"/>
      <c r="I203" s="168"/>
      <c r="J203" s="164"/>
      <c r="K203" s="168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</row>
    <row r="204" ht="15.75" customHeight="1">
      <c r="A204" s="230"/>
      <c r="B204" s="207"/>
      <c r="C204" s="210"/>
      <c r="D204" s="211"/>
      <c r="E204" s="207"/>
      <c r="F204" s="232"/>
      <c r="G204" s="164"/>
      <c r="H204" s="168"/>
      <c r="I204" s="168"/>
      <c r="J204" s="164"/>
      <c r="K204" s="168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</row>
    <row r="205" ht="15.75" customHeight="1">
      <c r="A205" s="230"/>
      <c r="B205" s="207"/>
      <c r="C205" s="210"/>
      <c r="D205" s="211"/>
      <c r="E205" s="207"/>
      <c r="F205" s="232"/>
      <c r="G205" s="164"/>
      <c r="H205" s="168"/>
      <c r="I205" s="168"/>
      <c r="J205" s="164"/>
      <c r="K205" s="168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</row>
    <row r="206" ht="15.75" customHeight="1">
      <c r="A206" s="230"/>
      <c r="B206" s="207"/>
      <c r="C206" s="210"/>
      <c r="D206" s="211"/>
      <c r="E206" s="207"/>
      <c r="F206" s="232"/>
      <c r="G206" s="164"/>
      <c r="H206" s="168"/>
      <c r="I206" s="168"/>
      <c r="J206" s="164"/>
      <c r="K206" s="168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</row>
    <row r="207" ht="15.75" customHeight="1">
      <c r="A207" s="230"/>
      <c r="B207" s="207"/>
      <c r="C207" s="210"/>
      <c r="D207" s="211"/>
      <c r="E207" s="207"/>
      <c r="F207" s="232"/>
      <c r="G207" s="164"/>
      <c r="H207" s="168"/>
      <c r="I207" s="168"/>
      <c r="J207" s="164"/>
      <c r="K207" s="168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</row>
    <row r="208" ht="15.75" customHeight="1">
      <c r="A208" s="230"/>
      <c r="B208" s="207"/>
      <c r="C208" s="210"/>
      <c r="D208" s="211"/>
      <c r="E208" s="207"/>
      <c r="F208" s="232"/>
      <c r="G208" s="164"/>
      <c r="H208" s="168"/>
      <c r="I208" s="168"/>
      <c r="J208" s="164"/>
      <c r="K208" s="168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</row>
    <row r="209" ht="15.75" customHeight="1">
      <c r="A209" s="230"/>
      <c r="B209" s="207"/>
      <c r="C209" s="210"/>
      <c r="D209" s="211"/>
      <c r="E209" s="207"/>
      <c r="F209" s="232"/>
      <c r="G209" s="164"/>
      <c r="H209" s="168"/>
      <c r="I209" s="168"/>
      <c r="J209" s="164"/>
      <c r="K209" s="168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</row>
    <row r="210" ht="15.75" customHeight="1">
      <c r="A210" s="230"/>
      <c r="B210" s="207"/>
      <c r="C210" s="210"/>
      <c r="D210" s="211"/>
      <c r="E210" s="207"/>
      <c r="F210" s="232"/>
      <c r="G210" s="164"/>
      <c r="H210" s="168"/>
      <c r="I210" s="168"/>
      <c r="J210" s="164"/>
      <c r="K210" s="168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</row>
    <row r="211" ht="15.75" customHeight="1">
      <c r="A211" s="230"/>
      <c r="B211" s="207"/>
      <c r="C211" s="210"/>
      <c r="D211" s="211"/>
      <c r="E211" s="207"/>
      <c r="F211" s="232"/>
      <c r="G211" s="164"/>
      <c r="H211" s="168"/>
      <c r="I211" s="168"/>
      <c r="J211" s="164"/>
      <c r="K211" s="168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</row>
    <row r="212" ht="15.75" customHeight="1">
      <c r="A212" s="230"/>
      <c r="B212" s="207"/>
      <c r="C212" s="210"/>
      <c r="D212" s="211"/>
      <c r="E212" s="207"/>
      <c r="F212" s="232"/>
      <c r="G212" s="164"/>
      <c r="H212" s="168"/>
      <c r="I212" s="168"/>
      <c r="J212" s="164"/>
      <c r="K212" s="168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</row>
    <row r="213" ht="15.75" customHeight="1">
      <c r="A213" s="230"/>
      <c r="B213" s="207"/>
      <c r="C213" s="210"/>
      <c r="D213" s="211"/>
      <c r="E213" s="207"/>
      <c r="F213" s="232"/>
      <c r="G213" s="164"/>
      <c r="H213" s="168"/>
      <c r="I213" s="168"/>
      <c r="J213" s="164"/>
      <c r="K213" s="168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</row>
    <row r="214" ht="15.75" customHeight="1">
      <c r="A214" s="230"/>
      <c r="B214" s="207"/>
      <c r="C214" s="210"/>
      <c r="D214" s="211"/>
      <c r="E214" s="207"/>
      <c r="F214" s="232"/>
      <c r="G214" s="164"/>
      <c r="H214" s="168"/>
      <c r="I214" s="168"/>
      <c r="J214" s="164"/>
      <c r="K214" s="168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</row>
    <row r="215" ht="15.75" customHeight="1">
      <c r="A215" s="230"/>
      <c r="B215" s="207"/>
      <c r="C215" s="210"/>
      <c r="D215" s="211"/>
      <c r="E215" s="207"/>
      <c r="F215" s="232"/>
      <c r="G215" s="164"/>
      <c r="H215" s="168"/>
      <c r="I215" s="168"/>
      <c r="J215" s="164"/>
      <c r="K215" s="168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</row>
    <row r="216" ht="15.75" customHeight="1">
      <c r="A216" s="230"/>
      <c r="B216" s="207"/>
      <c r="C216" s="210"/>
      <c r="D216" s="211"/>
      <c r="E216" s="207"/>
      <c r="F216" s="232"/>
      <c r="G216" s="164"/>
      <c r="H216" s="168"/>
      <c r="I216" s="168"/>
      <c r="J216" s="164"/>
      <c r="K216" s="168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</row>
    <row r="217" ht="15.75" customHeight="1">
      <c r="A217" s="230"/>
      <c r="B217" s="207"/>
      <c r="C217" s="210"/>
      <c r="D217" s="211"/>
      <c r="E217" s="207"/>
      <c r="F217" s="232"/>
      <c r="G217" s="164"/>
      <c r="H217" s="168"/>
      <c r="I217" s="168"/>
      <c r="J217" s="164"/>
      <c r="K217" s="168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</row>
    <row r="218" ht="15.75" customHeight="1">
      <c r="A218" s="230"/>
      <c r="B218" s="207"/>
      <c r="C218" s="210"/>
      <c r="D218" s="211"/>
      <c r="E218" s="207"/>
      <c r="F218" s="232"/>
      <c r="G218" s="164"/>
      <c r="H218" s="168"/>
      <c r="I218" s="168"/>
      <c r="J218" s="164"/>
      <c r="K218" s="168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</row>
    <row r="219" ht="15.75" customHeight="1">
      <c r="A219" s="230"/>
      <c r="B219" s="207"/>
      <c r="C219" s="210"/>
      <c r="D219" s="211"/>
      <c r="E219" s="207"/>
      <c r="F219" s="232"/>
      <c r="G219" s="164"/>
      <c r="H219" s="168"/>
      <c r="I219" s="168"/>
      <c r="J219" s="164"/>
      <c r="K219" s="168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</row>
    <row r="220" ht="15.75" customHeight="1">
      <c r="A220" s="230"/>
      <c r="B220" s="207"/>
      <c r="C220" s="210"/>
      <c r="D220" s="211"/>
      <c r="E220" s="207"/>
      <c r="F220" s="232"/>
      <c r="G220" s="164"/>
      <c r="H220" s="168"/>
      <c r="I220" s="168"/>
      <c r="J220" s="164"/>
      <c r="K220" s="168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</row>
    <row r="221" ht="15.75" customHeight="1">
      <c r="A221" s="230"/>
      <c r="B221" s="207"/>
      <c r="C221" s="210"/>
      <c r="D221" s="211"/>
      <c r="E221" s="207"/>
      <c r="F221" s="232"/>
      <c r="G221" s="164"/>
      <c r="H221" s="168"/>
      <c r="I221" s="168"/>
      <c r="J221" s="164"/>
      <c r="K221" s="168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</row>
    <row r="222" ht="15.75" customHeight="1">
      <c r="A222" s="230"/>
      <c r="B222" s="207"/>
      <c r="C222" s="210"/>
      <c r="D222" s="211"/>
      <c r="E222" s="207"/>
      <c r="F222" s="232"/>
      <c r="G222" s="164"/>
      <c r="H222" s="168"/>
      <c r="I222" s="168"/>
      <c r="J222" s="164"/>
      <c r="K222" s="168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</row>
    <row r="223" ht="15.75" customHeight="1">
      <c r="A223" s="233"/>
      <c r="B223" s="234"/>
      <c r="C223" s="235"/>
      <c r="D223" s="98"/>
      <c r="E223" s="234"/>
      <c r="F223" s="99"/>
      <c r="G223" s="236"/>
      <c r="H223" s="237"/>
      <c r="I223" s="237"/>
      <c r="J223" s="206"/>
      <c r="K223" s="237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</row>
    <row r="224" ht="15.75" customHeight="1">
      <c r="A224" s="238"/>
      <c r="B224" s="239"/>
      <c r="C224" s="210"/>
      <c r="D224" s="240"/>
      <c r="E224" s="239"/>
      <c r="F224" s="241"/>
      <c r="G224" s="242"/>
      <c r="H224" s="97"/>
      <c r="I224" s="97"/>
      <c r="J224" s="164"/>
      <c r="K224" s="97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</row>
    <row r="225" ht="15.75" customHeight="1">
      <c r="A225" s="238"/>
      <c r="B225" s="239"/>
      <c r="C225" s="210"/>
      <c r="D225" s="240"/>
      <c r="E225" s="239"/>
      <c r="F225" s="241"/>
      <c r="G225" s="242"/>
      <c r="H225" s="97"/>
      <c r="I225" s="97"/>
      <c r="J225" s="164"/>
      <c r="K225" s="97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</row>
    <row r="226" ht="15.75" customHeight="1">
      <c r="A226" s="238"/>
      <c r="B226" s="239"/>
      <c r="C226" s="210"/>
      <c r="D226" s="240"/>
      <c r="E226" s="239"/>
      <c r="F226" s="241"/>
      <c r="G226" s="242"/>
      <c r="H226" s="97"/>
      <c r="I226" s="97"/>
      <c r="J226" s="164"/>
      <c r="K226" s="97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</row>
    <row r="227" ht="15.75" customHeight="1">
      <c r="A227" s="238"/>
      <c r="B227" s="239"/>
      <c r="C227" s="210"/>
      <c r="D227" s="240"/>
      <c r="E227" s="239"/>
      <c r="F227" s="241"/>
      <c r="G227" s="242"/>
      <c r="H227" s="97"/>
      <c r="I227" s="97"/>
      <c r="J227" s="164"/>
      <c r="K227" s="97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</row>
    <row r="228" ht="15.75" customHeight="1">
      <c r="A228" s="238"/>
      <c r="B228" s="239"/>
      <c r="C228" s="210"/>
      <c r="D228" s="240"/>
      <c r="E228" s="239"/>
      <c r="F228" s="241"/>
      <c r="G228" s="242"/>
      <c r="H228" s="97"/>
      <c r="I228" s="97"/>
      <c r="J228" s="164"/>
      <c r="K228" s="97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</row>
    <row r="229" ht="15.75" customHeight="1">
      <c r="A229" s="238"/>
      <c r="B229" s="239"/>
      <c r="C229" s="210"/>
      <c r="D229" s="240"/>
      <c r="E229" s="239"/>
      <c r="F229" s="241"/>
      <c r="G229" s="242"/>
      <c r="H229" s="97"/>
      <c r="I229" s="97"/>
      <c r="J229" s="164"/>
      <c r="K229" s="97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</row>
    <row r="230" ht="15.75" customHeight="1">
      <c r="A230" s="238"/>
      <c r="B230" s="239"/>
      <c r="C230" s="210"/>
      <c r="D230" s="240"/>
      <c r="E230" s="239"/>
      <c r="F230" s="241"/>
      <c r="G230" s="242"/>
      <c r="H230" s="97"/>
      <c r="I230" s="97"/>
      <c r="J230" s="164"/>
      <c r="K230" s="97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</row>
    <row r="231" ht="15.75" customHeight="1">
      <c r="A231" s="238"/>
      <c r="B231" s="239"/>
      <c r="C231" s="210"/>
      <c r="D231" s="240"/>
      <c r="E231" s="239"/>
      <c r="F231" s="241"/>
      <c r="G231" s="242"/>
      <c r="H231" s="97"/>
      <c r="I231" s="97"/>
      <c r="J231" s="164"/>
      <c r="K231" s="97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</row>
    <row r="232" ht="15.75" customHeight="1">
      <c r="A232" s="238"/>
      <c r="B232" s="239"/>
      <c r="C232" s="210"/>
      <c r="D232" s="240"/>
      <c r="E232" s="239"/>
      <c r="F232" s="241"/>
      <c r="G232" s="242"/>
      <c r="H232" s="97"/>
      <c r="I232" s="97"/>
      <c r="J232" s="164"/>
      <c r="K232" s="97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</row>
    <row r="233" ht="15.75" customHeight="1">
      <c r="A233" s="238"/>
      <c r="B233" s="239"/>
      <c r="C233" s="210"/>
      <c r="D233" s="240"/>
      <c r="E233" s="239"/>
      <c r="F233" s="241"/>
      <c r="G233" s="242"/>
      <c r="H233" s="97"/>
      <c r="I233" s="97"/>
      <c r="J233" s="164"/>
      <c r="K233" s="97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</row>
    <row r="234" ht="15.75" customHeight="1">
      <c r="A234" s="243"/>
      <c r="B234" s="239"/>
      <c r="C234" s="210"/>
      <c r="D234" s="240"/>
      <c r="E234" s="239"/>
      <c r="F234" s="244"/>
      <c r="G234" s="97"/>
      <c r="H234" s="97"/>
      <c r="I234" s="97"/>
      <c r="J234" s="97"/>
      <c r="K234" s="24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</row>
    <row r="235" ht="15.75" customHeight="1">
      <c r="A235" s="243"/>
      <c r="B235" s="239"/>
      <c r="C235" s="210"/>
      <c r="D235" s="240"/>
      <c r="E235" s="239"/>
      <c r="F235" s="244"/>
      <c r="G235" s="97"/>
      <c r="H235" s="97"/>
      <c r="I235" s="97"/>
      <c r="J235" s="97"/>
      <c r="K235" s="24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</row>
    <row r="236" ht="15.75" customHeight="1">
      <c r="A236" s="243"/>
      <c r="B236" s="239"/>
      <c r="C236" s="210"/>
      <c r="D236" s="240"/>
      <c r="E236" s="239"/>
      <c r="F236" s="244"/>
      <c r="G236" s="97"/>
      <c r="H236" s="97"/>
      <c r="I236" s="97"/>
      <c r="J236" s="97"/>
      <c r="K236" s="97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</row>
    <row r="237" ht="15.75" customHeight="1">
      <c r="A237" s="243"/>
      <c r="B237" s="239"/>
      <c r="C237" s="210"/>
      <c r="D237" s="240"/>
      <c r="E237" s="239"/>
      <c r="F237" s="244"/>
      <c r="G237" s="97"/>
      <c r="H237" s="97"/>
      <c r="I237" s="97"/>
      <c r="J237" s="97"/>
      <c r="K237" s="24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</row>
    <row r="238" ht="15.75" customHeight="1">
      <c r="A238" s="243"/>
      <c r="B238" s="239"/>
      <c r="C238" s="210"/>
      <c r="D238" s="240"/>
      <c r="E238" s="239"/>
      <c r="F238" s="244"/>
      <c r="G238" s="97"/>
      <c r="H238" s="97"/>
      <c r="I238" s="97"/>
      <c r="J238" s="97"/>
      <c r="K238" s="24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</row>
    <row r="239" ht="15.75" customHeight="1">
      <c r="A239" s="243"/>
      <c r="B239" s="239"/>
      <c r="C239" s="210"/>
      <c r="D239" s="240"/>
      <c r="E239" s="239"/>
      <c r="F239" s="244"/>
      <c r="G239" s="97"/>
      <c r="H239" s="97"/>
      <c r="I239" s="97"/>
      <c r="J239" s="97"/>
      <c r="K239" s="24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</row>
    <row r="240" ht="15.75" customHeight="1">
      <c r="A240" s="243"/>
      <c r="B240" s="239"/>
      <c r="C240" s="210"/>
      <c r="D240" s="240"/>
      <c r="E240" s="239"/>
      <c r="F240" s="244"/>
      <c r="G240" s="97"/>
      <c r="H240" s="97"/>
      <c r="I240" s="97"/>
      <c r="J240" s="97"/>
      <c r="K240" s="24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</row>
    <row r="241" ht="15.75" customHeight="1">
      <c r="A241" s="243"/>
      <c r="B241" s="245"/>
      <c r="C241" s="210"/>
      <c r="D241" s="240"/>
      <c r="E241" s="246"/>
      <c r="F241" s="244"/>
      <c r="G241" s="97"/>
      <c r="H241" s="97"/>
      <c r="I241" s="97"/>
      <c r="J241" s="97"/>
      <c r="K241" s="24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</row>
    <row r="242" ht="15.75" customHeight="1">
      <c r="A242" s="243"/>
      <c r="B242" s="239"/>
      <c r="C242" s="210"/>
      <c r="D242" s="240"/>
      <c r="E242" s="239"/>
      <c r="F242" s="244"/>
      <c r="G242" s="97"/>
      <c r="H242" s="97"/>
      <c r="I242" s="97"/>
      <c r="J242" s="97"/>
      <c r="K242" s="24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</row>
    <row r="243" ht="15.75" customHeight="1">
      <c r="A243" s="243"/>
      <c r="B243" s="239"/>
      <c r="C243" s="210"/>
      <c r="D243" s="240"/>
      <c r="E243" s="239"/>
      <c r="F243" s="244"/>
      <c r="G243" s="97"/>
      <c r="H243" s="97"/>
      <c r="I243" s="97"/>
      <c r="J243" s="97"/>
      <c r="K243" s="24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</row>
    <row r="244" ht="15.75" customHeight="1">
      <c r="A244" s="243"/>
      <c r="B244" s="239"/>
      <c r="C244" s="210"/>
      <c r="D244" s="240"/>
      <c r="E244" s="239"/>
      <c r="F244" s="244"/>
      <c r="G244" s="97"/>
      <c r="H244" s="97"/>
      <c r="I244" s="97"/>
      <c r="J244" s="97"/>
      <c r="K244" s="24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</row>
    <row r="245" ht="15.75" customHeight="1">
      <c r="A245" s="243"/>
      <c r="B245" s="239"/>
      <c r="C245" s="210"/>
      <c r="D245" s="240"/>
      <c r="E245" s="239"/>
      <c r="F245" s="244"/>
      <c r="G245" s="97"/>
      <c r="H245" s="97"/>
      <c r="I245" s="97"/>
      <c r="J245" s="97"/>
      <c r="K245" s="24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</row>
    <row r="246" ht="15.75" customHeight="1">
      <c r="A246" s="243"/>
      <c r="B246" s="239"/>
      <c r="C246" s="210"/>
      <c r="D246" s="240"/>
      <c r="E246" s="239"/>
      <c r="F246" s="244"/>
      <c r="G246" s="97"/>
      <c r="H246" s="97"/>
      <c r="I246" s="97"/>
      <c r="J246" s="97"/>
      <c r="K246" s="24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</row>
    <row r="247" ht="15.75" customHeight="1">
      <c r="A247" s="243"/>
      <c r="B247" s="239"/>
      <c r="C247" s="210"/>
      <c r="D247" s="240"/>
      <c r="E247" s="239"/>
      <c r="F247" s="244"/>
      <c r="G247" s="97"/>
      <c r="H247" s="97"/>
      <c r="I247" s="97"/>
      <c r="J247" s="97"/>
      <c r="K247" s="24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</row>
    <row r="248" ht="15.75" customHeight="1">
      <c r="A248" s="243"/>
      <c r="B248" s="239"/>
      <c r="C248" s="210"/>
      <c r="D248" s="240"/>
      <c r="E248" s="239"/>
      <c r="F248" s="244"/>
      <c r="G248" s="97"/>
      <c r="H248" s="97"/>
      <c r="I248" s="97"/>
      <c r="J248" s="97"/>
      <c r="K248" s="24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</row>
    <row r="249" ht="15.75" customHeight="1">
      <c r="A249" s="243"/>
      <c r="B249" s="239"/>
      <c r="C249" s="210"/>
      <c r="D249" s="240"/>
      <c r="E249" s="239"/>
      <c r="F249" s="244"/>
      <c r="G249" s="97"/>
      <c r="H249" s="97"/>
      <c r="I249" s="97"/>
      <c r="J249" s="97"/>
      <c r="K249" s="24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</row>
    <row r="250" ht="15.75" customHeight="1">
      <c r="A250" s="243"/>
      <c r="B250" s="239"/>
      <c r="C250" s="210"/>
      <c r="D250" s="240"/>
      <c r="E250" s="239"/>
      <c r="F250" s="244"/>
      <c r="G250" s="97"/>
      <c r="H250" s="97"/>
      <c r="I250" s="97"/>
      <c r="J250" s="97"/>
      <c r="K250" s="24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</row>
    <row r="251" ht="15.75" customHeight="1">
      <c r="A251" s="243"/>
      <c r="B251" s="239"/>
      <c r="C251" s="210"/>
      <c r="D251" s="240"/>
      <c r="E251" s="239"/>
      <c r="F251" s="244"/>
      <c r="G251" s="97"/>
      <c r="H251" s="97"/>
      <c r="I251" s="97"/>
      <c r="J251" s="97"/>
      <c r="K251" s="24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</row>
    <row r="252" ht="15.75" customHeight="1">
      <c r="A252" s="243"/>
      <c r="B252" s="239"/>
      <c r="C252" s="210"/>
      <c r="D252" s="240"/>
      <c r="E252" s="116"/>
      <c r="F252" s="244"/>
      <c r="G252" s="97"/>
      <c r="H252" s="97"/>
      <c r="I252" s="97"/>
      <c r="J252" s="97"/>
      <c r="K252" s="24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</row>
    <row r="253" ht="15.75" customHeight="1">
      <c r="A253" s="243"/>
      <c r="B253" s="239"/>
      <c r="C253" s="210"/>
      <c r="D253" s="240"/>
      <c r="E253" s="239"/>
      <c r="F253" s="244"/>
      <c r="G253" s="97"/>
      <c r="H253" s="97"/>
      <c r="I253" s="97"/>
      <c r="J253" s="97"/>
      <c r="K253" s="24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</row>
    <row r="254" ht="15.75" customHeight="1">
      <c r="A254" s="243"/>
      <c r="B254" s="239"/>
      <c r="C254" s="210"/>
      <c r="D254" s="240"/>
      <c r="E254" s="116"/>
      <c r="F254" s="244"/>
      <c r="G254" s="97"/>
      <c r="H254" s="97"/>
      <c r="I254" s="97"/>
      <c r="J254" s="97"/>
      <c r="K254" s="24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</row>
    <row r="255" ht="15.75" customHeight="1">
      <c r="A255" s="243"/>
      <c r="B255" s="239"/>
      <c r="C255" s="210"/>
      <c r="D255" s="240"/>
      <c r="E255" s="239"/>
      <c r="F255" s="247"/>
      <c r="G255" s="97"/>
      <c r="H255" s="97"/>
      <c r="I255" s="97"/>
      <c r="J255" s="97"/>
      <c r="K255" s="24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</row>
    <row r="256" ht="15.75" customHeight="1">
      <c r="A256" s="243"/>
      <c r="B256" s="239"/>
      <c r="C256" s="210"/>
      <c r="D256" s="240"/>
      <c r="E256" s="239"/>
      <c r="F256" s="244"/>
      <c r="G256" s="97"/>
      <c r="H256" s="97"/>
      <c r="I256" s="97"/>
      <c r="J256" s="97"/>
      <c r="K256" s="24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</row>
    <row r="257" ht="15.75" customHeight="1">
      <c r="A257" s="243"/>
      <c r="B257" s="239"/>
      <c r="C257" s="210"/>
      <c r="D257" s="240"/>
      <c r="E257" s="116"/>
      <c r="F257" s="244"/>
      <c r="G257" s="97"/>
      <c r="H257" s="97"/>
      <c r="I257" s="97"/>
      <c r="J257" s="97"/>
      <c r="K257" s="24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</row>
    <row r="258" ht="15.75" customHeight="1">
      <c r="A258" s="243"/>
      <c r="B258" s="239"/>
      <c r="C258" s="210"/>
      <c r="D258" s="240"/>
      <c r="E258" s="248"/>
      <c r="F258" s="249"/>
      <c r="G258" s="97"/>
      <c r="H258" s="97"/>
      <c r="I258" s="97"/>
      <c r="J258" s="97"/>
      <c r="K258" s="24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</row>
    <row r="259" ht="15.75" customHeight="1">
      <c r="A259" s="243"/>
      <c r="B259" s="239"/>
      <c r="C259" s="210"/>
      <c r="D259" s="240"/>
      <c r="E259" s="248"/>
      <c r="F259" s="249"/>
      <c r="G259" s="97"/>
      <c r="H259" s="97"/>
      <c r="I259" s="97"/>
      <c r="J259" s="97"/>
      <c r="K259" s="24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</row>
    <row r="260" ht="15.75" customHeight="1">
      <c r="A260" s="243"/>
      <c r="B260" s="239"/>
      <c r="C260" s="210"/>
      <c r="D260" s="240"/>
      <c r="E260" s="248"/>
      <c r="F260" s="249"/>
      <c r="G260" s="97"/>
      <c r="H260" s="97"/>
      <c r="I260" s="97"/>
      <c r="J260" s="97"/>
      <c r="K260" s="24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</row>
    <row r="261" ht="15.75" customHeight="1">
      <c r="A261" s="243"/>
      <c r="B261" s="239"/>
      <c r="C261" s="210"/>
      <c r="D261" s="240"/>
      <c r="E261" s="250"/>
      <c r="F261" s="244"/>
      <c r="G261" s="97"/>
      <c r="H261" s="97"/>
      <c r="I261" s="97"/>
      <c r="J261" s="97"/>
      <c r="K261" s="24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</row>
    <row r="262" ht="15.75" customHeight="1">
      <c r="A262" s="243"/>
      <c r="B262" s="239"/>
      <c r="C262" s="210"/>
      <c r="D262" s="240"/>
      <c r="E262" s="116"/>
      <c r="F262" s="244"/>
      <c r="G262" s="97"/>
      <c r="H262" s="97"/>
      <c r="I262" s="97"/>
      <c r="J262" s="97"/>
      <c r="K262" s="24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</row>
    <row r="263" ht="15.75" customHeight="1">
      <c r="A263" s="243"/>
      <c r="B263" s="239"/>
      <c r="C263" s="210"/>
      <c r="D263" s="240"/>
      <c r="E263" s="116"/>
      <c r="F263" s="244"/>
      <c r="G263" s="97"/>
      <c r="H263" s="97"/>
      <c r="I263" s="97"/>
      <c r="J263" s="97"/>
      <c r="K263" s="24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</row>
    <row r="264" ht="15.75" customHeight="1">
      <c r="A264" s="243"/>
      <c r="B264" s="239"/>
      <c r="C264" s="210"/>
      <c r="D264" s="240"/>
      <c r="E264" s="251"/>
      <c r="F264" s="166"/>
      <c r="G264" s="97"/>
      <c r="H264" s="97"/>
      <c r="I264" s="97"/>
      <c r="J264" s="97"/>
      <c r="K264" s="24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</row>
    <row r="265" ht="15.75" customHeight="1">
      <c r="A265" s="243"/>
      <c r="B265" s="239"/>
      <c r="C265" s="210"/>
      <c r="D265" s="240"/>
      <c r="E265" s="251"/>
      <c r="F265" s="217"/>
      <c r="G265" s="97"/>
      <c r="H265" s="97"/>
      <c r="I265" s="97"/>
      <c r="J265" s="97"/>
      <c r="K265" s="24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</row>
    <row r="266" ht="15.75" customHeight="1">
      <c r="A266" s="243"/>
      <c r="B266" s="239"/>
      <c r="C266" s="210"/>
      <c r="D266" s="240"/>
      <c r="E266" s="239"/>
      <c r="F266" s="217"/>
      <c r="G266" s="97"/>
      <c r="H266" s="97"/>
      <c r="I266" s="97"/>
      <c r="J266" s="97"/>
      <c r="K266" s="24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</row>
    <row r="267" ht="15.75" customHeight="1">
      <c r="A267" s="243"/>
      <c r="B267" s="239"/>
      <c r="C267" s="210"/>
      <c r="D267" s="240"/>
      <c r="E267" s="251"/>
      <c r="F267" s="217"/>
      <c r="G267" s="97"/>
      <c r="H267" s="97"/>
      <c r="I267" s="97"/>
      <c r="J267" s="242"/>
      <c r="K267" s="24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</row>
    <row r="268" ht="15.75" customHeight="1">
      <c r="A268" s="243"/>
      <c r="B268" s="239"/>
      <c r="C268" s="210"/>
      <c r="D268" s="240"/>
      <c r="E268" s="251"/>
      <c r="F268" s="217"/>
      <c r="G268" s="97"/>
      <c r="H268" s="97"/>
      <c r="I268" s="97"/>
      <c r="J268" s="97"/>
      <c r="K268" s="24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</row>
    <row r="269" ht="15.75" customHeight="1">
      <c r="A269" s="243"/>
      <c r="B269" s="239"/>
      <c r="C269" s="210"/>
      <c r="D269" s="240"/>
      <c r="E269" s="251"/>
      <c r="F269" s="217"/>
      <c r="G269" s="97"/>
      <c r="H269" s="97"/>
      <c r="I269" s="97"/>
      <c r="J269" s="97"/>
      <c r="K269" s="97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</row>
    <row r="270" ht="15.75" customHeight="1">
      <c r="A270" s="243"/>
      <c r="B270" s="239"/>
      <c r="C270" s="210"/>
      <c r="D270" s="240"/>
      <c r="E270" s="251"/>
      <c r="F270" s="217"/>
      <c r="G270" s="97"/>
      <c r="H270" s="97"/>
      <c r="I270" s="97"/>
      <c r="J270" s="97"/>
      <c r="K270" s="24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</row>
    <row r="271" ht="15.75" customHeight="1">
      <c r="A271" s="243"/>
      <c r="B271" s="239"/>
      <c r="C271" s="210"/>
      <c r="D271" s="240"/>
      <c r="E271" s="251"/>
      <c r="F271" s="217"/>
      <c r="G271" s="97"/>
      <c r="H271" s="97"/>
      <c r="I271" s="97"/>
      <c r="J271" s="97"/>
      <c r="K271" s="24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</row>
    <row r="272" ht="15.75" customHeight="1">
      <c r="A272" s="243"/>
      <c r="B272" s="239"/>
      <c r="C272" s="210"/>
      <c r="D272" s="240"/>
      <c r="E272" s="251"/>
      <c r="F272" s="217"/>
      <c r="G272" s="97"/>
      <c r="H272" s="97"/>
      <c r="I272" s="97"/>
      <c r="J272" s="97"/>
      <c r="K272" s="24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</row>
    <row r="273" ht="15.75" customHeight="1">
      <c r="A273" s="243"/>
      <c r="B273" s="239"/>
      <c r="C273" s="210"/>
      <c r="D273" s="240"/>
      <c r="E273" s="251"/>
      <c r="F273" s="217"/>
      <c r="G273" s="97"/>
      <c r="H273" s="97"/>
      <c r="I273" s="97"/>
      <c r="J273" s="97"/>
      <c r="K273" s="24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</row>
    <row r="274" ht="15.75" customHeight="1">
      <c r="A274" s="243"/>
      <c r="B274" s="239"/>
      <c r="C274" s="210"/>
      <c r="D274" s="240"/>
      <c r="E274" s="251"/>
      <c r="F274" s="217"/>
      <c r="G274" s="97"/>
      <c r="H274" s="97"/>
      <c r="I274" s="97"/>
      <c r="J274" s="97"/>
      <c r="K274" s="24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</row>
    <row r="275" ht="15.75" customHeight="1">
      <c r="A275" s="243"/>
      <c r="B275" s="239"/>
      <c r="C275" s="210"/>
      <c r="D275" s="240"/>
      <c r="E275" s="251"/>
      <c r="F275" s="217"/>
      <c r="G275" s="97"/>
      <c r="H275" s="97"/>
      <c r="I275" s="97"/>
      <c r="J275" s="97"/>
      <c r="K275" s="24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</row>
    <row r="276" ht="15.75" customHeight="1">
      <c r="A276" s="243"/>
      <c r="B276" s="239"/>
      <c r="C276" s="210"/>
      <c r="D276" s="240"/>
      <c r="E276" s="251"/>
      <c r="F276" s="217"/>
      <c r="G276" s="97"/>
      <c r="H276" s="97"/>
      <c r="I276" s="97"/>
      <c r="J276" s="97"/>
      <c r="K276" s="24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</row>
    <row r="277" ht="15.75" customHeight="1">
      <c r="A277" s="243"/>
      <c r="B277" s="239"/>
      <c r="C277" s="210"/>
      <c r="D277" s="240"/>
      <c r="E277" s="251"/>
      <c r="F277" s="217"/>
      <c r="G277" s="97"/>
      <c r="H277" s="97"/>
      <c r="I277" s="97"/>
      <c r="J277" s="97"/>
      <c r="K277" s="24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</row>
    <row r="278" ht="15.75" customHeight="1">
      <c r="A278" s="243"/>
      <c r="B278" s="239"/>
      <c r="C278" s="210"/>
      <c r="D278" s="240"/>
      <c r="E278" s="251"/>
      <c r="F278" s="217"/>
      <c r="G278" s="97"/>
      <c r="H278" s="97"/>
      <c r="I278" s="97"/>
      <c r="J278" s="97"/>
      <c r="K278" s="24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</row>
    <row r="279" ht="15.75" customHeight="1">
      <c r="A279" s="243"/>
      <c r="B279" s="239"/>
      <c r="C279" s="210"/>
      <c r="D279" s="240"/>
      <c r="E279" s="251"/>
      <c r="F279" s="217"/>
      <c r="G279" s="97"/>
      <c r="H279" s="97"/>
      <c r="I279" s="97"/>
      <c r="J279" s="97"/>
      <c r="K279" s="24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</row>
    <row r="280" ht="15.75" customHeight="1">
      <c r="A280" s="243"/>
      <c r="B280" s="239"/>
      <c r="C280" s="210"/>
      <c r="D280" s="240"/>
      <c r="E280" s="251"/>
      <c r="F280" s="217"/>
      <c r="G280" s="97"/>
      <c r="H280" s="97"/>
      <c r="I280" s="97"/>
      <c r="J280" s="97"/>
      <c r="K280" s="24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</row>
    <row r="281" ht="15.75" customHeight="1">
      <c r="A281" s="243"/>
      <c r="B281" s="239"/>
      <c r="C281" s="210"/>
      <c r="D281" s="240"/>
      <c r="E281" s="239"/>
      <c r="F281" s="217"/>
      <c r="G281" s="97"/>
      <c r="H281" s="97"/>
      <c r="I281" s="97"/>
      <c r="J281" s="97"/>
      <c r="K281" s="24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</row>
    <row r="282" ht="15.75" customHeight="1">
      <c r="A282" s="243"/>
      <c r="B282" s="245"/>
      <c r="C282" s="210"/>
      <c r="D282" s="240"/>
      <c r="E282" s="239"/>
      <c r="F282" s="217"/>
      <c r="G282" s="97"/>
      <c r="H282" s="97"/>
      <c r="I282" s="97"/>
      <c r="J282" s="97"/>
      <c r="K282" s="24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</row>
    <row r="283" ht="15.75" customHeight="1">
      <c r="A283" s="243"/>
      <c r="B283" s="239"/>
      <c r="C283" s="210"/>
      <c r="D283" s="240"/>
      <c r="E283" s="251"/>
      <c r="F283" s="217"/>
      <c r="G283" s="97"/>
      <c r="H283" s="97"/>
      <c r="I283" s="97"/>
      <c r="J283" s="97"/>
      <c r="K283" s="97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</row>
    <row r="284" ht="15.75" customHeight="1">
      <c r="A284" s="243"/>
      <c r="B284" s="239"/>
      <c r="C284" s="210"/>
      <c r="D284" s="240"/>
      <c r="E284" s="251"/>
      <c r="F284" s="217"/>
      <c r="G284" s="97"/>
      <c r="H284" s="97"/>
      <c r="I284" s="97"/>
      <c r="J284" s="97"/>
      <c r="K284" s="24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</row>
    <row r="285" ht="15.75" customHeight="1">
      <c r="A285" s="243"/>
      <c r="B285" s="239"/>
      <c r="C285" s="210"/>
      <c r="D285" s="240"/>
      <c r="E285" s="251"/>
      <c r="F285" s="217"/>
      <c r="G285" s="97"/>
      <c r="H285" s="97"/>
      <c r="I285" s="97"/>
      <c r="J285" s="97"/>
      <c r="K285" s="24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</row>
    <row r="286" ht="15.75" customHeight="1">
      <c r="A286" s="243"/>
      <c r="B286" s="239"/>
      <c r="C286" s="210"/>
      <c r="D286" s="240"/>
      <c r="E286" s="251"/>
      <c r="F286" s="217"/>
      <c r="G286" s="97"/>
      <c r="H286" s="97"/>
      <c r="I286" s="97"/>
      <c r="J286" s="97"/>
      <c r="K286" s="24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</row>
    <row r="287" ht="15.75" customHeight="1">
      <c r="A287" s="243"/>
      <c r="B287" s="239"/>
      <c r="C287" s="210"/>
      <c r="D287" s="240"/>
      <c r="E287" s="252"/>
      <c r="F287" s="217"/>
      <c r="G287" s="97"/>
      <c r="H287" s="97"/>
      <c r="I287" s="97"/>
      <c r="J287" s="97"/>
      <c r="K287" s="24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</row>
    <row r="288" ht="15.75" customHeight="1">
      <c r="A288" s="243"/>
      <c r="B288" s="239"/>
      <c r="C288" s="210"/>
      <c r="D288" s="240"/>
      <c r="E288" s="251"/>
      <c r="F288" s="217"/>
      <c r="G288" s="97"/>
      <c r="H288" s="97"/>
      <c r="I288" s="97"/>
      <c r="J288" s="97"/>
      <c r="K288" s="24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</row>
    <row r="289" ht="15.75" customHeight="1">
      <c r="A289" s="243"/>
      <c r="B289" s="239"/>
      <c r="C289" s="210"/>
      <c r="D289" s="240"/>
      <c r="E289" s="252"/>
      <c r="F289" s="217"/>
      <c r="G289" s="97"/>
      <c r="H289" s="253"/>
      <c r="I289" s="97"/>
      <c r="J289" s="97"/>
      <c r="K289" s="24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</row>
    <row r="290" ht="15.75" customHeight="1">
      <c r="A290" s="243"/>
      <c r="B290" s="239"/>
      <c r="C290" s="210"/>
      <c r="D290" s="240"/>
      <c r="E290" s="251"/>
      <c r="F290" s="217"/>
      <c r="G290" s="97"/>
      <c r="H290" s="253"/>
      <c r="I290" s="97"/>
      <c r="J290" s="97"/>
      <c r="K290" s="97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</row>
    <row r="291" ht="15.75" customHeight="1">
      <c r="A291" s="243"/>
      <c r="B291" s="239"/>
      <c r="C291" s="210"/>
      <c r="D291" s="240"/>
      <c r="E291" s="251"/>
      <c r="F291" s="217"/>
      <c r="G291" s="97"/>
      <c r="H291" s="97"/>
      <c r="I291" s="97"/>
      <c r="J291" s="97"/>
      <c r="K291" s="97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</row>
    <row r="292" ht="15.75" customHeight="1">
      <c r="A292" s="243"/>
      <c r="B292" s="239"/>
      <c r="C292" s="210"/>
      <c r="D292" s="240"/>
      <c r="E292" s="239"/>
      <c r="F292" s="217"/>
      <c r="G292" s="97"/>
      <c r="H292" s="97"/>
      <c r="I292" s="97"/>
      <c r="J292" s="97"/>
      <c r="K292" s="24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</row>
    <row r="293" ht="15.75" customHeight="1">
      <c r="A293" s="243"/>
      <c r="B293" s="239"/>
      <c r="C293" s="210"/>
      <c r="D293" s="240"/>
      <c r="E293" s="251"/>
      <c r="F293" s="217"/>
      <c r="G293" s="97"/>
      <c r="H293" s="97"/>
      <c r="I293" s="97"/>
      <c r="J293" s="97"/>
      <c r="K293" s="24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</row>
    <row r="294" ht="15.75" customHeight="1">
      <c r="A294" s="254"/>
      <c r="B294" s="255"/>
      <c r="C294" s="235"/>
      <c r="D294" s="256"/>
      <c r="E294" s="257"/>
      <c r="F294" s="258"/>
      <c r="G294" s="259"/>
      <c r="H294" s="259"/>
      <c r="I294" s="259"/>
      <c r="J294" s="259"/>
      <c r="K294" s="259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</row>
    <row r="295" ht="15.75" customHeight="1">
      <c r="A295" s="260"/>
      <c r="B295" s="261"/>
      <c r="C295" s="210"/>
      <c r="D295" s="262"/>
      <c r="E295" s="263"/>
      <c r="F295" s="264"/>
      <c r="G295" s="102"/>
      <c r="H295" s="102"/>
      <c r="I295" s="102"/>
      <c r="J295" s="102"/>
      <c r="K295" s="102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</row>
    <row r="296" ht="15.75" customHeight="1">
      <c r="A296" s="260"/>
      <c r="B296" s="261"/>
      <c r="C296" s="210"/>
      <c r="D296" s="262"/>
      <c r="E296" s="263"/>
      <c r="F296" s="264"/>
      <c r="G296" s="102"/>
      <c r="H296" s="102"/>
      <c r="I296" s="102"/>
      <c r="J296" s="102"/>
      <c r="K296" s="102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</row>
    <row r="297" ht="15.75" customHeight="1">
      <c r="A297" s="260"/>
      <c r="B297" s="265"/>
      <c r="C297" s="210"/>
      <c r="D297" s="262"/>
      <c r="E297" s="263"/>
      <c r="F297" s="264"/>
      <c r="G297" s="102"/>
      <c r="H297" s="102"/>
      <c r="I297" s="102"/>
      <c r="J297" s="102"/>
      <c r="K297" s="102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</row>
    <row r="298" ht="15.75" customHeight="1">
      <c r="A298" s="260"/>
      <c r="B298" s="265"/>
      <c r="C298" s="210"/>
      <c r="D298" s="262"/>
      <c r="E298" s="266"/>
      <c r="F298" s="267"/>
      <c r="G298" s="102"/>
      <c r="H298" s="102"/>
      <c r="I298" s="102"/>
      <c r="J298" s="102"/>
      <c r="K298" s="102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</row>
    <row r="299" ht="15.75" customHeight="1">
      <c r="A299" s="260"/>
      <c r="B299" s="261"/>
      <c r="C299" s="210"/>
      <c r="D299" s="262"/>
      <c r="E299" s="268"/>
      <c r="F299" s="269"/>
      <c r="G299" s="102"/>
      <c r="H299" s="102"/>
      <c r="I299" s="102"/>
      <c r="J299" s="102"/>
      <c r="K299" s="262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</row>
    <row r="300" ht="15.75" customHeight="1">
      <c r="A300" s="260"/>
      <c r="B300" s="261"/>
      <c r="C300" s="210"/>
      <c r="D300" s="262"/>
      <c r="E300" s="268"/>
      <c r="F300" s="269"/>
      <c r="G300" s="102"/>
      <c r="H300" s="102"/>
      <c r="I300" s="102"/>
      <c r="J300" s="102"/>
      <c r="K300" s="262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</row>
    <row r="301" ht="15.75" customHeight="1">
      <c r="A301" s="260"/>
      <c r="B301" s="261"/>
      <c r="C301" s="210"/>
      <c r="D301" s="262"/>
      <c r="E301" s="261"/>
      <c r="F301" s="270"/>
      <c r="G301" s="102"/>
      <c r="H301" s="102"/>
      <c r="I301" s="102"/>
      <c r="J301" s="102"/>
      <c r="K301" s="102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</row>
    <row r="302" ht="15.75" customHeight="1">
      <c r="A302" s="260"/>
      <c r="B302" s="261"/>
      <c r="C302" s="271"/>
      <c r="D302" s="262"/>
      <c r="E302" s="268"/>
      <c r="F302" s="269"/>
      <c r="G302" s="102"/>
      <c r="H302" s="102"/>
      <c r="I302" s="102"/>
      <c r="J302" s="102"/>
      <c r="K302" s="102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</row>
    <row r="303" ht="15.75" customHeight="1">
      <c r="A303" s="260"/>
      <c r="B303" s="261"/>
      <c r="C303" s="210"/>
      <c r="D303" s="262"/>
      <c r="E303" s="261"/>
      <c r="F303" s="270"/>
      <c r="G303" s="102"/>
      <c r="H303" s="102"/>
      <c r="I303" s="102"/>
      <c r="J303" s="102"/>
      <c r="K303" s="102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</row>
    <row r="304" ht="15.75" customHeight="1">
      <c r="A304" s="260"/>
      <c r="B304" s="261"/>
      <c r="C304" s="210"/>
      <c r="D304" s="262"/>
      <c r="E304" s="261"/>
      <c r="F304" s="270"/>
      <c r="G304" s="102"/>
      <c r="H304" s="102"/>
      <c r="I304" s="102"/>
      <c r="J304" s="102"/>
      <c r="K304" s="262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</row>
    <row r="305" ht="15.75" customHeight="1">
      <c r="A305" s="260"/>
      <c r="B305" s="261"/>
      <c r="C305" s="210"/>
      <c r="D305" s="272"/>
      <c r="E305" s="273"/>
      <c r="F305" s="270"/>
      <c r="G305" s="102"/>
      <c r="H305" s="102"/>
      <c r="I305" s="102"/>
      <c r="J305" s="102"/>
      <c r="K305" s="102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</row>
    <row r="306" ht="15.75" customHeight="1">
      <c r="A306" s="260"/>
      <c r="B306" s="261"/>
      <c r="C306" s="210"/>
      <c r="D306" s="262"/>
      <c r="E306" s="261"/>
      <c r="F306" s="270"/>
      <c r="G306" s="102"/>
      <c r="H306" s="102"/>
      <c r="I306" s="102"/>
      <c r="J306" s="102"/>
      <c r="K306" s="102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</row>
    <row r="307" ht="15.75" customHeight="1">
      <c r="A307" s="260"/>
      <c r="B307" s="261"/>
      <c r="C307" s="210"/>
      <c r="D307" s="262"/>
      <c r="E307" s="261"/>
      <c r="F307" s="270"/>
      <c r="G307" s="102"/>
      <c r="H307" s="102"/>
      <c r="I307" s="102"/>
      <c r="J307" s="102"/>
      <c r="K307" s="102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</row>
    <row r="308" ht="15.75" customHeight="1">
      <c r="A308" s="260"/>
      <c r="B308" s="261"/>
      <c r="C308" s="210"/>
      <c r="D308" s="262"/>
      <c r="E308" s="261"/>
      <c r="F308" s="270"/>
      <c r="G308" s="102"/>
      <c r="H308" s="102"/>
      <c r="I308" s="102"/>
      <c r="J308" s="102"/>
      <c r="K308" s="262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</row>
    <row r="309" ht="15.75" customHeight="1">
      <c r="A309" s="260"/>
      <c r="B309" s="261"/>
      <c r="C309" s="210"/>
      <c r="D309" s="262"/>
      <c r="E309" s="261"/>
      <c r="F309" s="270"/>
      <c r="G309" s="102"/>
      <c r="H309" s="102"/>
      <c r="I309" s="102"/>
      <c r="J309" s="102"/>
      <c r="K309" s="262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</row>
    <row r="310" ht="15.75" customHeight="1">
      <c r="A310" s="260"/>
      <c r="B310" s="261"/>
      <c r="C310" s="210"/>
      <c r="D310" s="262"/>
      <c r="E310" s="261"/>
      <c r="F310" s="270"/>
      <c r="G310" s="102"/>
      <c r="H310" s="102"/>
      <c r="I310" s="102"/>
      <c r="J310" s="274"/>
      <c r="K310" s="262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</row>
    <row r="311" ht="15.75" customHeight="1">
      <c r="A311" s="260"/>
      <c r="B311" s="261"/>
      <c r="C311" s="210"/>
      <c r="D311" s="262"/>
      <c r="E311" s="261"/>
      <c r="F311" s="270"/>
      <c r="G311" s="102"/>
      <c r="H311" s="102"/>
      <c r="I311" s="102"/>
      <c r="J311" s="102"/>
      <c r="K311" s="262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</row>
    <row r="312" ht="15.75" customHeight="1">
      <c r="A312" s="260"/>
      <c r="B312" s="261"/>
      <c r="C312" s="210"/>
      <c r="D312" s="262"/>
      <c r="E312" s="261"/>
      <c r="F312" s="270"/>
      <c r="G312" s="102"/>
      <c r="H312" s="102"/>
      <c r="I312" s="102"/>
      <c r="J312" s="275"/>
      <c r="K312" s="262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</row>
    <row r="313" ht="15.75" customHeight="1">
      <c r="A313" s="260"/>
      <c r="B313" s="261"/>
      <c r="C313" s="210"/>
      <c r="D313" s="262"/>
      <c r="E313" s="261"/>
      <c r="F313" s="270"/>
      <c r="G313" s="102"/>
      <c r="H313" s="102"/>
      <c r="I313" s="102"/>
      <c r="J313" s="102"/>
      <c r="K313" s="262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</row>
    <row r="314" ht="15.75" customHeight="1">
      <c r="A314" s="260"/>
      <c r="B314" s="261"/>
      <c r="C314" s="210"/>
      <c r="D314" s="262"/>
      <c r="E314" s="276"/>
      <c r="F314" s="270"/>
      <c r="G314" s="102"/>
      <c r="H314" s="102"/>
      <c r="I314" s="102"/>
      <c r="J314" s="102"/>
      <c r="K314" s="262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</row>
    <row r="315" ht="15.75" customHeight="1">
      <c r="A315" s="260"/>
      <c r="B315" s="261"/>
      <c r="C315" s="210"/>
      <c r="D315" s="262"/>
      <c r="E315" s="261"/>
      <c r="F315" s="270"/>
      <c r="G315" s="102"/>
      <c r="H315" s="102"/>
      <c r="I315" s="102"/>
      <c r="J315" s="102"/>
      <c r="K315" s="102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</row>
    <row r="316" ht="15.75" customHeight="1">
      <c r="A316" s="260"/>
      <c r="B316" s="261"/>
      <c r="C316" s="210"/>
      <c r="D316" s="262"/>
      <c r="E316" s="261"/>
      <c r="F316" s="270"/>
      <c r="G316" s="102"/>
      <c r="H316" s="102"/>
      <c r="I316" s="102"/>
      <c r="J316" s="102"/>
      <c r="K316" s="262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</row>
    <row r="317" ht="15.75" customHeight="1">
      <c r="A317" s="260"/>
      <c r="B317" s="277"/>
      <c r="C317" s="210"/>
      <c r="D317" s="262"/>
      <c r="E317" s="261"/>
      <c r="F317" s="270"/>
      <c r="G317" s="102"/>
      <c r="H317" s="102"/>
      <c r="I317" s="102"/>
      <c r="J317" s="102"/>
      <c r="K317" s="262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</row>
    <row r="318" ht="15.75" customHeight="1">
      <c r="A318" s="260"/>
      <c r="B318" s="278"/>
      <c r="C318" s="210"/>
      <c r="D318" s="262"/>
      <c r="E318" s="276"/>
      <c r="F318" s="270"/>
      <c r="G318" s="102"/>
      <c r="H318" s="102"/>
      <c r="I318" s="102"/>
      <c r="J318" s="102"/>
      <c r="K318" s="262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</row>
    <row r="319" ht="15.75" customHeight="1">
      <c r="A319" s="260"/>
      <c r="B319" s="265"/>
      <c r="C319" s="210"/>
      <c r="D319" s="262"/>
      <c r="E319" s="276"/>
      <c r="F319" s="270"/>
      <c r="G319" s="102"/>
      <c r="H319" s="102"/>
      <c r="I319" s="102"/>
      <c r="J319" s="102"/>
      <c r="K319" s="262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</row>
    <row r="320" ht="15.75" customHeight="1">
      <c r="A320" s="260"/>
      <c r="B320" s="265"/>
      <c r="C320" s="210"/>
      <c r="D320" s="262"/>
      <c r="E320" s="276"/>
      <c r="F320" s="270"/>
      <c r="G320" s="102"/>
      <c r="H320" s="102"/>
      <c r="I320" s="102"/>
      <c r="J320" s="102"/>
      <c r="K320" s="262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</row>
    <row r="321" ht="15.75" customHeight="1">
      <c r="A321" s="260"/>
      <c r="B321" s="261"/>
      <c r="C321" s="210"/>
      <c r="D321" s="262"/>
      <c r="E321" s="261"/>
      <c r="F321" s="270"/>
      <c r="G321" s="102"/>
      <c r="H321" s="102"/>
      <c r="I321" s="102"/>
      <c r="J321" s="102"/>
      <c r="K321" s="262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</row>
    <row r="322" ht="15.75" customHeight="1">
      <c r="A322" s="260"/>
      <c r="B322" s="261"/>
      <c r="C322" s="210"/>
      <c r="D322" s="262"/>
      <c r="E322" s="261"/>
      <c r="F322" s="270"/>
      <c r="G322" s="102"/>
      <c r="H322" s="102"/>
      <c r="I322" s="102"/>
      <c r="J322" s="102"/>
      <c r="K322" s="262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</row>
    <row r="323" ht="15.75" customHeight="1">
      <c r="A323" s="260"/>
      <c r="B323" s="261"/>
      <c r="C323" s="210"/>
      <c r="D323" s="262"/>
      <c r="E323" s="261"/>
      <c r="F323" s="279"/>
      <c r="G323" s="102"/>
      <c r="H323" s="102"/>
      <c r="I323" s="102"/>
      <c r="J323" s="102"/>
      <c r="K323" s="262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</row>
    <row r="324" ht="15.75" customHeight="1">
      <c r="A324" s="260"/>
      <c r="B324" s="261"/>
      <c r="C324" s="210"/>
      <c r="D324" s="262"/>
      <c r="E324" s="261"/>
      <c r="F324" s="279"/>
      <c r="G324" s="102"/>
      <c r="H324" s="102"/>
      <c r="I324" s="102"/>
      <c r="J324" s="102"/>
      <c r="K324" s="262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</row>
    <row r="325" ht="15.75" customHeight="1">
      <c r="A325" s="260"/>
      <c r="B325" s="261"/>
      <c r="C325" s="210"/>
      <c r="D325" s="262"/>
      <c r="E325" s="261"/>
      <c r="F325" s="279"/>
      <c r="G325" s="102"/>
      <c r="H325" s="102"/>
      <c r="I325" s="102"/>
      <c r="J325" s="102"/>
      <c r="K325" s="262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</row>
    <row r="326" ht="15.75" customHeight="1">
      <c r="A326" s="260"/>
      <c r="B326" s="261"/>
      <c r="C326" s="210"/>
      <c r="D326" s="262"/>
      <c r="E326" s="261"/>
      <c r="F326" s="279"/>
      <c r="G326" s="102"/>
      <c r="H326" s="102"/>
      <c r="I326" s="102"/>
      <c r="J326" s="102"/>
      <c r="K326" s="28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</row>
    <row r="327" ht="15.75" customHeight="1">
      <c r="A327" s="260"/>
      <c r="B327" s="261"/>
      <c r="C327" s="210"/>
      <c r="D327" s="262"/>
      <c r="E327" s="261"/>
      <c r="F327" s="279"/>
      <c r="G327" s="102"/>
      <c r="H327" s="102"/>
      <c r="I327" s="102"/>
      <c r="J327" s="102"/>
      <c r="K327" s="102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</row>
    <row r="328" ht="15.75" customHeight="1">
      <c r="A328" s="260"/>
      <c r="B328" s="261"/>
      <c r="C328" s="210"/>
      <c r="D328" s="262"/>
      <c r="E328" s="261"/>
      <c r="F328" s="279"/>
      <c r="G328" s="102"/>
      <c r="H328" s="102"/>
      <c r="I328" s="102"/>
      <c r="J328" s="102"/>
      <c r="K328" s="102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</row>
    <row r="329" ht="15.75" customHeight="1">
      <c r="A329" s="260"/>
      <c r="B329" s="261"/>
      <c r="C329" s="210"/>
      <c r="D329" s="262"/>
      <c r="E329" s="261"/>
      <c r="F329" s="279"/>
      <c r="G329" s="102"/>
      <c r="H329" s="102"/>
      <c r="I329" s="102"/>
      <c r="J329" s="102"/>
      <c r="K329" s="102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</row>
    <row r="330" ht="15.75" customHeight="1">
      <c r="A330" s="260"/>
      <c r="B330" s="261"/>
      <c r="C330" s="210"/>
      <c r="D330" s="262"/>
      <c r="E330" s="261"/>
      <c r="F330" s="279"/>
      <c r="G330" s="102"/>
      <c r="H330" s="102"/>
      <c r="I330" s="102"/>
      <c r="J330" s="102"/>
      <c r="K330" s="262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</row>
    <row r="331" ht="15.75" customHeight="1">
      <c r="A331" s="260"/>
      <c r="B331" s="261"/>
      <c r="C331" s="210"/>
      <c r="D331" s="262"/>
      <c r="E331" s="261"/>
      <c r="F331" s="279"/>
      <c r="G331" s="102"/>
      <c r="H331" s="102"/>
      <c r="I331" s="102"/>
      <c r="J331" s="102"/>
      <c r="K331" s="262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</row>
    <row r="332" ht="15.75" customHeight="1">
      <c r="A332" s="260"/>
      <c r="B332" s="261"/>
      <c r="C332" s="210"/>
      <c r="D332" s="262"/>
      <c r="E332" s="276"/>
      <c r="F332" s="279"/>
      <c r="G332" s="102"/>
      <c r="H332" s="102"/>
      <c r="I332" s="102"/>
      <c r="J332" s="102"/>
      <c r="K332" s="262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</row>
    <row r="333" ht="15.75" customHeight="1">
      <c r="A333" s="260"/>
      <c r="B333" s="261"/>
      <c r="C333" s="210"/>
      <c r="D333" s="262"/>
      <c r="E333" s="261"/>
      <c r="F333" s="279"/>
      <c r="G333" s="102"/>
      <c r="H333" s="102"/>
      <c r="I333" s="102"/>
      <c r="J333" s="102"/>
      <c r="K333" s="262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</row>
    <row r="334" ht="15.75" customHeight="1">
      <c r="A334" s="260"/>
      <c r="B334" s="261"/>
      <c r="C334" s="210"/>
      <c r="D334" s="262"/>
      <c r="E334" s="276"/>
      <c r="F334" s="279"/>
      <c r="G334" s="102"/>
      <c r="H334" s="102"/>
      <c r="I334" s="102"/>
      <c r="J334" s="102"/>
      <c r="K334" s="262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</row>
    <row r="335" ht="15.75" customHeight="1">
      <c r="A335" s="260"/>
      <c r="B335" s="261"/>
      <c r="C335" s="210"/>
      <c r="D335" s="262"/>
      <c r="E335" s="276"/>
      <c r="F335" s="279"/>
      <c r="G335" s="102"/>
      <c r="H335" s="102"/>
      <c r="I335" s="102"/>
      <c r="J335" s="102"/>
      <c r="K335" s="262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</row>
    <row r="336" ht="15.75" customHeight="1">
      <c r="A336" s="260"/>
      <c r="B336" s="261"/>
      <c r="C336" s="210"/>
      <c r="D336" s="262"/>
      <c r="E336" s="276"/>
      <c r="F336" s="279"/>
      <c r="G336" s="102"/>
      <c r="H336" s="102"/>
      <c r="I336" s="102"/>
      <c r="J336" s="102"/>
      <c r="K336" s="262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</row>
    <row r="337" ht="15.75" customHeight="1">
      <c r="A337" s="260"/>
      <c r="B337" s="261"/>
      <c r="C337" s="210"/>
      <c r="D337" s="262"/>
      <c r="E337" s="261"/>
      <c r="F337" s="279"/>
      <c r="G337" s="102"/>
      <c r="H337" s="102"/>
      <c r="I337" s="102"/>
      <c r="J337" s="102"/>
      <c r="K337" s="262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</row>
    <row r="338" ht="15.75" customHeight="1">
      <c r="A338" s="260"/>
      <c r="B338" s="261"/>
      <c r="C338" s="210"/>
      <c r="D338" s="262"/>
      <c r="E338" s="261"/>
      <c r="F338" s="279"/>
      <c r="G338" s="102"/>
      <c r="H338" s="102"/>
      <c r="I338" s="102"/>
      <c r="J338" s="102"/>
      <c r="K338" s="262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</row>
    <row r="339" ht="15.75" customHeight="1">
      <c r="A339" s="260"/>
      <c r="B339" s="261"/>
      <c r="C339" s="210"/>
      <c r="D339" s="262"/>
      <c r="E339" s="261"/>
      <c r="F339" s="279"/>
      <c r="G339" s="102"/>
      <c r="H339" s="102"/>
      <c r="I339" s="102"/>
      <c r="J339" s="102"/>
      <c r="K339" s="262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</row>
    <row r="340" ht="15.75" customHeight="1">
      <c r="A340" s="260"/>
      <c r="B340" s="261"/>
      <c r="C340" s="210"/>
      <c r="D340" s="262"/>
      <c r="E340" s="261"/>
      <c r="F340" s="279"/>
      <c r="G340" s="102"/>
      <c r="H340" s="102"/>
      <c r="I340" s="102"/>
      <c r="J340" s="102"/>
      <c r="K340" s="262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</row>
    <row r="341" ht="15.75" customHeight="1">
      <c r="A341" s="260"/>
      <c r="B341" s="261"/>
      <c r="C341" s="210"/>
      <c r="D341" s="262"/>
      <c r="E341" s="261"/>
      <c r="F341" s="279"/>
      <c r="G341" s="102"/>
      <c r="H341" s="102"/>
      <c r="I341" s="102"/>
      <c r="J341" s="102"/>
      <c r="K341" s="262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</row>
    <row r="342" ht="15.75" customHeight="1">
      <c r="A342" s="260"/>
      <c r="B342" s="261"/>
      <c r="C342" s="210"/>
      <c r="D342" s="262"/>
      <c r="E342" s="261"/>
      <c r="F342" s="279"/>
      <c r="G342" s="102"/>
      <c r="H342" s="102"/>
      <c r="I342" s="102"/>
      <c r="J342" s="102"/>
      <c r="K342" s="262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</row>
    <row r="343" ht="15.75" customHeight="1">
      <c r="A343" s="260"/>
      <c r="B343" s="261"/>
      <c r="C343" s="210"/>
      <c r="D343" s="262"/>
      <c r="E343" s="261"/>
      <c r="F343" s="279"/>
      <c r="G343" s="102"/>
      <c r="H343" s="102"/>
      <c r="I343" s="102"/>
      <c r="J343" s="102"/>
      <c r="K343" s="262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</row>
    <row r="344" ht="15.75" customHeight="1">
      <c r="A344" s="260"/>
      <c r="B344" s="261"/>
      <c r="C344" s="210"/>
      <c r="D344" s="262"/>
      <c r="E344" s="261"/>
      <c r="F344" s="279"/>
      <c r="G344" s="102"/>
      <c r="H344" s="102"/>
      <c r="I344" s="102"/>
      <c r="J344" s="102"/>
      <c r="K344" s="262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</row>
    <row r="345" ht="15.75" customHeight="1">
      <c r="A345" s="260"/>
      <c r="B345" s="261"/>
      <c r="C345" s="210"/>
      <c r="D345" s="262"/>
      <c r="E345" s="261"/>
      <c r="F345" s="279"/>
      <c r="G345" s="102"/>
      <c r="H345" s="102"/>
      <c r="I345" s="102"/>
      <c r="J345" s="102"/>
      <c r="K345" s="262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</row>
    <row r="346" ht="15.75" customHeight="1">
      <c r="A346" s="260"/>
      <c r="B346" s="261"/>
      <c r="C346" s="210"/>
      <c r="D346" s="262"/>
      <c r="E346" s="261"/>
      <c r="F346" s="279"/>
      <c r="G346" s="102"/>
      <c r="H346" s="102"/>
      <c r="I346" s="102"/>
      <c r="J346" s="102"/>
      <c r="K346" s="262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7"/>
      <c r="AI346" s="97"/>
      <c r="AJ346" s="97"/>
      <c r="AK346" s="97"/>
      <c r="AL346" s="97"/>
      <c r="AM346" s="97"/>
      <c r="AN346" s="97"/>
      <c r="AO346" s="97"/>
    </row>
    <row r="347" ht="15.75" customHeight="1">
      <c r="A347" s="260"/>
      <c r="B347" s="261"/>
      <c r="C347" s="210"/>
      <c r="D347" s="262"/>
      <c r="E347" s="281"/>
      <c r="F347" s="270"/>
      <c r="G347" s="102"/>
      <c r="H347" s="102"/>
      <c r="I347" s="102"/>
      <c r="J347" s="102"/>
      <c r="K347" s="262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</row>
    <row r="348" ht="15.75" customHeight="1">
      <c r="A348" s="260"/>
      <c r="B348" s="261"/>
      <c r="C348" s="210"/>
      <c r="D348" s="262"/>
      <c r="E348" s="261"/>
      <c r="F348" s="270"/>
      <c r="G348" s="102"/>
      <c r="H348" s="102"/>
      <c r="I348" s="102"/>
      <c r="J348" s="102"/>
      <c r="K348" s="262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</row>
    <row r="349" ht="15.75" customHeight="1">
      <c r="A349" s="260"/>
      <c r="B349" s="261"/>
      <c r="C349" s="210"/>
      <c r="D349" s="262"/>
      <c r="E349" s="261"/>
      <c r="F349" s="270"/>
      <c r="G349" s="102"/>
      <c r="H349" s="102"/>
      <c r="I349" s="102"/>
      <c r="J349" s="102"/>
      <c r="K349" s="262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</row>
    <row r="350" ht="15.75" customHeight="1">
      <c r="A350" s="260"/>
      <c r="B350" s="261"/>
      <c r="C350" s="210"/>
      <c r="D350" s="262"/>
      <c r="E350" s="261"/>
      <c r="F350" s="270"/>
      <c r="G350" s="102"/>
      <c r="H350" s="282"/>
      <c r="I350" s="102"/>
      <c r="J350" s="102"/>
      <c r="K350" s="262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</row>
    <row r="351" ht="15.75" customHeight="1">
      <c r="A351" s="260"/>
      <c r="B351" s="261"/>
      <c r="C351" s="210"/>
      <c r="D351" s="262"/>
      <c r="E351" s="261"/>
      <c r="F351" s="270"/>
      <c r="G351" s="102"/>
      <c r="H351" s="102"/>
      <c r="I351" s="102"/>
      <c r="J351" s="102"/>
      <c r="K351" s="262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</row>
    <row r="352" ht="15.75" customHeight="1">
      <c r="A352" s="260"/>
      <c r="B352" s="261"/>
      <c r="C352" s="210"/>
      <c r="D352" s="262"/>
      <c r="E352" s="261"/>
      <c r="F352" s="270"/>
      <c r="G352" s="102"/>
      <c r="H352" s="102"/>
      <c r="I352" s="102"/>
      <c r="J352" s="102"/>
      <c r="K352" s="262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</row>
    <row r="353" ht="15.75" customHeight="1">
      <c r="A353" s="260"/>
      <c r="B353" s="261"/>
      <c r="C353" s="210"/>
      <c r="D353" s="262"/>
      <c r="E353" s="261"/>
      <c r="F353" s="270"/>
      <c r="G353" s="102"/>
      <c r="H353" s="102"/>
      <c r="I353" s="102"/>
      <c r="J353" s="102"/>
      <c r="K353" s="262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</row>
    <row r="354" ht="15.75" customHeight="1">
      <c r="A354" s="260"/>
      <c r="B354" s="261"/>
      <c r="C354" s="210"/>
      <c r="D354" s="262"/>
      <c r="E354" s="261"/>
      <c r="F354" s="270"/>
      <c r="G354" s="102"/>
      <c r="H354" s="102"/>
      <c r="I354" s="102"/>
      <c r="J354" s="102"/>
      <c r="K354" s="262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</row>
    <row r="355" ht="15.75" customHeight="1">
      <c r="A355" s="260"/>
      <c r="B355" s="261"/>
      <c r="C355" s="210"/>
      <c r="D355" s="262"/>
      <c r="E355" s="261"/>
      <c r="F355" s="270"/>
      <c r="G355" s="102"/>
      <c r="H355" s="102"/>
      <c r="I355" s="102"/>
      <c r="J355" s="102"/>
      <c r="K355" s="262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</row>
    <row r="356" ht="15.75" customHeight="1">
      <c r="A356" s="260"/>
      <c r="B356" s="261"/>
      <c r="C356" s="210"/>
      <c r="D356" s="262"/>
      <c r="E356" s="261"/>
      <c r="F356" s="270"/>
      <c r="G356" s="102"/>
      <c r="H356" s="102"/>
      <c r="I356" s="102"/>
      <c r="J356" s="102"/>
      <c r="K356" s="262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</row>
    <row r="357" ht="15.75" customHeight="1">
      <c r="A357" s="260"/>
      <c r="B357" s="261"/>
      <c r="C357" s="210"/>
      <c r="D357" s="262"/>
      <c r="E357" s="261"/>
      <c r="F357" s="270"/>
      <c r="G357" s="102"/>
      <c r="H357" s="102"/>
      <c r="I357" s="102"/>
      <c r="J357" s="102"/>
      <c r="K357" s="262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</row>
    <row r="358" ht="15.75" customHeight="1">
      <c r="A358" s="260"/>
      <c r="B358" s="261"/>
      <c r="C358" s="210"/>
      <c r="D358" s="262"/>
      <c r="E358" s="261"/>
      <c r="F358" s="270"/>
      <c r="G358" s="102"/>
      <c r="H358" s="102"/>
      <c r="I358" s="102"/>
      <c r="J358" s="102"/>
      <c r="K358" s="262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</row>
    <row r="359" ht="15.75" customHeight="1">
      <c r="A359" s="260"/>
      <c r="B359" s="261"/>
      <c r="C359" s="210"/>
      <c r="D359" s="262"/>
      <c r="E359" s="261"/>
      <c r="F359" s="270"/>
      <c r="G359" s="102"/>
      <c r="H359" s="102"/>
      <c r="I359" s="102"/>
      <c r="J359" s="102"/>
      <c r="K359" s="262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</row>
    <row r="360" ht="15.75" customHeight="1">
      <c r="A360" s="260"/>
      <c r="B360" s="261"/>
      <c r="C360" s="210"/>
      <c r="D360" s="262"/>
      <c r="E360" s="261"/>
      <c r="F360" s="270"/>
      <c r="G360" s="102"/>
      <c r="H360" s="102"/>
      <c r="I360" s="102"/>
      <c r="J360" s="102"/>
      <c r="K360" s="262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</row>
    <row r="361" ht="15.75" customHeight="1">
      <c r="A361" s="260"/>
      <c r="B361" s="261"/>
      <c r="C361" s="210"/>
      <c r="D361" s="262"/>
      <c r="E361" s="266"/>
      <c r="F361" s="270"/>
      <c r="G361" s="102"/>
      <c r="H361" s="102"/>
      <c r="I361" s="102"/>
      <c r="J361" s="102"/>
      <c r="K361" s="262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</row>
    <row r="362" ht="15.75" customHeight="1">
      <c r="A362" s="260"/>
      <c r="B362" s="261"/>
      <c r="C362" s="210"/>
      <c r="D362" s="262"/>
      <c r="E362" s="261"/>
      <c r="F362" s="270"/>
      <c r="G362" s="102"/>
      <c r="H362" s="102"/>
      <c r="I362" s="102"/>
      <c r="J362" s="102"/>
      <c r="K362" s="262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</row>
    <row r="363" ht="15.75" customHeight="1">
      <c r="A363" s="260"/>
      <c r="B363" s="261"/>
      <c r="C363" s="210"/>
      <c r="D363" s="262"/>
      <c r="E363" s="261"/>
      <c r="F363" s="270"/>
      <c r="G363" s="102"/>
      <c r="H363" s="102"/>
      <c r="I363" s="102"/>
      <c r="J363" s="102"/>
      <c r="K363" s="262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</row>
    <row r="364" ht="15.75" customHeight="1">
      <c r="A364" s="260"/>
      <c r="B364" s="261"/>
      <c r="C364" s="210"/>
      <c r="D364" s="262"/>
      <c r="E364" s="261"/>
      <c r="F364" s="270"/>
      <c r="G364" s="102"/>
      <c r="H364" s="102"/>
      <c r="I364" s="102"/>
      <c r="J364" s="102"/>
      <c r="K364" s="262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</row>
    <row r="365" ht="15.75" customHeight="1">
      <c r="A365" s="260"/>
      <c r="B365" s="261"/>
      <c r="C365" s="210"/>
      <c r="D365" s="262"/>
      <c r="E365" s="261"/>
      <c r="F365" s="270"/>
      <c r="G365" s="102"/>
      <c r="H365" s="102"/>
      <c r="I365" s="102"/>
      <c r="J365" s="102"/>
      <c r="K365" s="262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</row>
    <row r="366" ht="15.75" customHeight="1">
      <c r="A366" s="260"/>
      <c r="B366" s="261"/>
      <c r="C366" s="210"/>
      <c r="D366" s="262"/>
      <c r="E366" s="261"/>
      <c r="F366" s="270"/>
      <c r="G366" s="102"/>
      <c r="H366" s="102"/>
      <c r="I366" s="102"/>
      <c r="J366" s="102"/>
      <c r="K366" s="262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</row>
    <row r="367" ht="15.75" customHeight="1">
      <c r="A367" s="260"/>
      <c r="B367" s="261"/>
      <c r="C367" s="210"/>
      <c r="D367" s="262"/>
      <c r="E367" s="261"/>
      <c r="F367" s="270"/>
      <c r="G367" s="102"/>
      <c r="H367" s="102"/>
      <c r="I367" s="102"/>
      <c r="J367" s="102"/>
      <c r="K367" s="262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</row>
    <row r="368" ht="15.75" customHeight="1">
      <c r="A368" s="260"/>
      <c r="B368" s="261"/>
      <c r="C368" s="210"/>
      <c r="D368" s="262"/>
      <c r="E368" s="261"/>
      <c r="F368" s="270"/>
      <c r="G368" s="102"/>
      <c r="H368" s="102"/>
      <c r="I368" s="102"/>
      <c r="J368" s="102"/>
      <c r="K368" s="262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</row>
    <row r="369" ht="15.75" customHeight="1">
      <c r="A369" s="260"/>
      <c r="B369" s="261"/>
      <c r="C369" s="210"/>
      <c r="D369" s="262"/>
      <c r="E369" s="261"/>
      <c r="F369" s="270"/>
      <c r="G369" s="102"/>
      <c r="H369" s="102"/>
      <c r="I369" s="102"/>
      <c r="J369" s="102"/>
      <c r="K369" s="262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</row>
    <row r="370" ht="15.75" customHeight="1">
      <c r="A370" s="260"/>
      <c r="B370" s="261"/>
      <c r="C370" s="210"/>
      <c r="D370" s="262"/>
      <c r="E370" s="261"/>
      <c r="F370" s="270"/>
      <c r="G370" s="102"/>
      <c r="H370" s="102"/>
      <c r="I370" s="102"/>
      <c r="J370" s="102"/>
      <c r="K370" s="262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</row>
    <row r="371" ht="15.75" customHeight="1">
      <c r="A371" s="260"/>
      <c r="B371" s="261"/>
      <c r="C371" s="210"/>
      <c r="D371" s="262"/>
      <c r="E371" s="261"/>
      <c r="F371" s="270"/>
      <c r="G371" s="102"/>
      <c r="H371" s="102"/>
      <c r="I371" s="102"/>
      <c r="J371" s="102"/>
      <c r="K371" s="262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</row>
    <row r="372" ht="15.75" customHeight="1">
      <c r="A372" s="260"/>
      <c r="B372" s="261"/>
      <c r="C372" s="210"/>
      <c r="D372" s="262"/>
      <c r="E372" s="261"/>
      <c r="F372" s="270"/>
      <c r="G372" s="102"/>
      <c r="H372" s="102"/>
      <c r="I372" s="102"/>
      <c r="J372" s="102"/>
      <c r="K372" s="262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</row>
    <row r="373" ht="15.75" customHeight="1">
      <c r="A373" s="260"/>
      <c r="B373" s="261"/>
      <c r="C373" s="210"/>
      <c r="D373" s="262"/>
      <c r="E373" s="261"/>
      <c r="F373" s="270"/>
      <c r="G373" s="102"/>
      <c r="H373" s="102"/>
      <c r="I373" s="102"/>
      <c r="J373" s="102"/>
      <c r="K373" s="262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</row>
    <row r="374" ht="15.75" customHeight="1">
      <c r="A374" s="260"/>
      <c r="B374" s="261"/>
      <c r="C374" s="210"/>
      <c r="D374" s="262"/>
      <c r="E374" s="261"/>
      <c r="F374" s="270"/>
      <c r="G374" s="102"/>
      <c r="H374" s="102"/>
      <c r="I374" s="102"/>
      <c r="J374" s="102"/>
      <c r="K374" s="262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</row>
    <row r="375" ht="15.75" customHeight="1">
      <c r="A375" s="260"/>
      <c r="B375" s="261"/>
      <c r="C375" s="210"/>
      <c r="D375" s="262"/>
      <c r="E375" s="261"/>
      <c r="F375" s="270"/>
      <c r="G375" s="102"/>
      <c r="H375" s="102"/>
      <c r="I375" s="102"/>
      <c r="J375" s="102"/>
      <c r="K375" s="262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</row>
    <row r="376" ht="15.75" customHeight="1">
      <c r="A376" s="260"/>
      <c r="B376" s="261"/>
      <c r="C376" s="210"/>
      <c r="D376" s="262"/>
      <c r="E376" s="261"/>
      <c r="F376" s="270"/>
      <c r="G376" s="102"/>
      <c r="H376" s="102"/>
      <c r="I376" s="102"/>
      <c r="J376" s="102"/>
      <c r="K376" s="262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</row>
    <row r="377" ht="15.75" customHeight="1">
      <c r="A377" s="260"/>
      <c r="B377" s="261"/>
      <c r="C377" s="210"/>
      <c r="D377" s="262"/>
      <c r="E377" s="261"/>
      <c r="F377" s="270"/>
      <c r="G377" s="102"/>
      <c r="H377" s="102"/>
      <c r="I377" s="102"/>
      <c r="J377" s="102"/>
      <c r="K377" s="262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</row>
    <row r="378" ht="15.75" customHeight="1">
      <c r="A378" s="260"/>
      <c r="B378" s="261"/>
      <c r="C378" s="210"/>
      <c r="D378" s="262"/>
      <c r="E378" s="261"/>
      <c r="F378" s="270"/>
      <c r="G378" s="102"/>
      <c r="H378" s="102"/>
      <c r="I378" s="102"/>
      <c r="J378" s="102"/>
      <c r="K378" s="262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</row>
    <row r="379" ht="15.75" customHeight="1">
      <c r="A379" s="260"/>
      <c r="B379" s="261"/>
      <c r="C379" s="210"/>
      <c r="D379" s="262"/>
      <c r="E379" s="261"/>
      <c r="F379" s="270"/>
      <c r="G379" s="102"/>
      <c r="H379" s="102"/>
      <c r="I379" s="102"/>
      <c r="J379" s="102"/>
      <c r="K379" s="262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</row>
    <row r="380" ht="15.75" customHeight="1">
      <c r="A380" s="260"/>
      <c r="B380" s="261"/>
      <c r="C380" s="210"/>
      <c r="D380" s="262"/>
      <c r="E380" s="261"/>
      <c r="F380" s="270"/>
      <c r="G380" s="102"/>
      <c r="H380" s="102"/>
      <c r="I380" s="102"/>
      <c r="J380" s="102"/>
      <c r="K380" s="262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</row>
    <row r="381" ht="15.75" customHeight="1">
      <c r="A381" s="260"/>
      <c r="B381" s="265"/>
      <c r="C381" s="210"/>
      <c r="D381" s="262"/>
      <c r="E381" s="261"/>
      <c r="F381" s="270"/>
      <c r="G381" s="102"/>
      <c r="H381" s="102"/>
      <c r="I381" s="102"/>
      <c r="J381" s="102"/>
      <c r="K381" s="262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</row>
    <row r="382" ht="15.75" customHeight="1">
      <c r="A382" s="260"/>
      <c r="B382" s="261"/>
      <c r="C382" s="210"/>
      <c r="D382" s="262"/>
      <c r="E382" s="261"/>
      <c r="F382" s="270"/>
      <c r="G382" s="102"/>
      <c r="H382" s="102"/>
      <c r="I382" s="102"/>
      <c r="J382" s="102"/>
      <c r="K382" s="262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</row>
    <row r="383" ht="15.75" customHeight="1">
      <c r="A383" s="260"/>
      <c r="B383" s="261"/>
      <c r="C383" s="210"/>
      <c r="D383" s="262"/>
      <c r="E383" s="261"/>
      <c r="F383" s="270"/>
      <c r="G383" s="102"/>
      <c r="H383" s="102"/>
      <c r="I383" s="102"/>
      <c r="J383" s="102"/>
      <c r="K383" s="262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</row>
    <row r="384" ht="15.75" customHeight="1">
      <c r="A384" s="260"/>
      <c r="B384" s="261"/>
      <c r="C384" s="210"/>
      <c r="D384" s="262"/>
      <c r="E384" s="261"/>
      <c r="F384" s="270"/>
      <c r="G384" s="102"/>
      <c r="H384" s="102"/>
      <c r="I384" s="102"/>
      <c r="J384" s="102"/>
      <c r="K384" s="262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</row>
    <row r="385" ht="15.75" customHeight="1">
      <c r="A385" s="260"/>
      <c r="B385" s="261"/>
      <c r="C385" s="210"/>
      <c r="D385" s="262"/>
      <c r="E385" s="261"/>
      <c r="F385" s="270"/>
      <c r="G385" s="102"/>
      <c r="H385" s="102"/>
      <c r="I385" s="102"/>
      <c r="J385" s="102"/>
      <c r="K385" s="262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</row>
    <row r="386" ht="15.75" customHeight="1">
      <c r="A386" s="260"/>
      <c r="B386" s="261"/>
      <c r="C386" s="210"/>
      <c r="D386" s="262"/>
      <c r="E386" s="261"/>
      <c r="F386" s="270"/>
      <c r="G386" s="102"/>
      <c r="H386" s="102"/>
      <c r="I386" s="102"/>
      <c r="J386" s="102"/>
      <c r="K386" s="262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</row>
    <row r="387" ht="15.75" customHeight="1">
      <c r="A387" s="260"/>
      <c r="B387" s="261"/>
      <c r="C387" s="210"/>
      <c r="D387" s="262"/>
      <c r="E387" s="261"/>
      <c r="F387" s="270"/>
      <c r="G387" s="102"/>
      <c r="H387" s="102"/>
      <c r="I387" s="102"/>
      <c r="J387" s="102"/>
      <c r="K387" s="262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</row>
    <row r="388" ht="15.75" customHeight="1">
      <c r="A388" s="260"/>
      <c r="B388" s="261"/>
      <c r="C388" s="210"/>
      <c r="D388" s="262"/>
      <c r="E388" s="261"/>
      <c r="F388" s="270"/>
      <c r="G388" s="102"/>
      <c r="H388" s="102"/>
      <c r="I388" s="102"/>
      <c r="J388" s="102"/>
      <c r="K388" s="262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</row>
    <row r="389" ht="15.75" customHeight="1">
      <c r="A389" s="260"/>
      <c r="B389" s="261"/>
      <c r="C389" s="210"/>
      <c r="D389" s="262"/>
      <c r="E389" s="261"/>
      <c r="F389" s="270"/>
      <c r="G389" s="102"/>
      <c r="H389" s="102"/>
      <c r="I389" s="102"/>
      <c r="J389" s="102"/>
      <c r="K389" s="262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</row>
    <row r="390" ht="15.75" customHeight="1">
      <c r="A390" s="260"/>
      <c r="B390" s="261"/>
      <c r="C390" s="210"/>
      <c r="D390" s="262"/>
      <c r="E390" s="261"/>
      <c r="F390" s="270"/>
      <c r="G390" s="102"/>
      <c r="H390" s="102"/>
      <c r="I390" s="102"/>
      <c r="J390" s="102"/>
      <c r="K390" s="262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</row>
    <row r="391" ht="15.75" customHeight="1">
      <c r="A391" s="260"/>
      <c r="B391" s="261"/>
      <c r="C391" s="210"/>
      <c r="D391" s="262"/>
      <c r="E391" s="261"/>
      <c r="F391" s="270"/>
      <c r="G391" s="102"/>
      <c r="H391" s="102"/>
      <c r="I391" s="102"/>
      <c r="J391" s="102"/>
      <c r="K391" s="262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</row>
    <row r="392" ht="15.75" customHeight="1">
      <c r="A392" s="260"/>
      <c r="B392" s="261"/>
      <c r="C392" s="210"/>
      <c r="D392" s="262"/>
      <c r="E392" s="261"/>
      <c r="F392" s="270"/>
      <c r="G392" s="102"/>
      <c r="H392" s="102"/>
      <c r="I392" s="102"/>
      <c r="J392" s="102"/>
      <c r="K392" s="262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</row>
    <row r="393" ht="15.75" customHeight="1">
      <c r="A393" s="260"/>
      <c r="B393" s="261"/>
      <c r="C393" s="210"/>
      <c r="D393" s="262"/>
      <c r="E393" s="261"/>
      <c r="F393" s="270"/>
      <c r="G393" s="102"/>
      <c r="H393" s="102"/>
      <c r="I393" s="102"/>
      <c r="J393" s="102"/>
      <c r="K393" s="262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</row>
    <row r="394" ht="15.75" customHeight="1">
      <c r="A394" s="260"/>
      <c r="B394" s="261"/>
      <c r="C394" s="210"/>
      <c r="D394" s="262"/>
      <c r="E394" s="261"/>
      <c r="F394" s="270"/>
      <c r="G394" s="102"/>
      <c r="H394" s="102"/>
      <c r="I394" s="102"/>
      <c r="J394" s="102"/>
      <c r="K394" s="262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</row>
    <row r="395" ht="15.75" customHeight="1">
      <c r="A395" s="260"/>
      <c r="B395" s="261"/>
      <c r="C395" s="210"/>
      <c r="D395" s="262"/>
      <c r="E395" s="261"/>
      <c r="F395" s="270"/>
      <c r="G395" s="102"/>
      <c r="H395" s="102"/>
      <c r="I395" s="102"/>
      <c r="J395" s="102"/>
      <c r="K395" s="262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</row>
    <row r="396" ht="15.75" customHeight="1">
      <c r="A396" s="260"/>
      <c r="B396" s="261"/>
      <c r="C396" s="210"/>
      <c r="D396" s="262"/>
      <c r="E396" s="261"/>
      <c r="F396" s="270"/>
      <c r="G396" s="102"/>
      <c r="H396" s="102"/>
      <c r="I396" s="102"/>
      <c r="J396" s="102"/>
      <c r="K396" s="262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</row>
    <row r="397" ht="15.75" customHeight="1">
      <c r="A397" s="260"/>
      <c r="B397" s="261"/>
      <c r="C397" s="210"/>
      <c r="D397" s="283"/>
      <c r="E397" s="261"/>
      <c r="F397" s="270"/>
      <c r="G397" s="102"/>
      <c r="H397" s="102"/>
      <c r="I397" s="102"/>
      <c r="J397" s="102"/>
      <c r="K397" s="262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</row>
    <row r="398" ht="15.75" customHeight="1">
      <c r="A398" s="260"/>
      <c r="B398" s="261"/>
      <c r="C398" s="210"/>
      <c r="D398" s="284"/>
      <c r="E398" s="261"/>
      <c r="F398" s="270"/>
      <c r="G398" s="102"/>
      <c r="H398" s="102"/>
      <c r="I398" s="102"/>
      <c r="J398" s="102"/>
      <c r="K398" s="262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</row>
    <row r="399" ht="15.75" customHeight="1">
      <c r="A399" s="260"/>
      <c r="B399" s="261"/>
      <c r="C399" s="210"/>
      <c r="D399" s="262"/>
      <c r="E399" s="261"/>
      <c r="F399" s="270"/>
      <c r="G399" s="102"/>
      <c r="H399" s="102"/>
      <c r="I399" s="102"/>
      <c r="J399" s="102"/>
      <c r="K399" s="262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</row>
    <row r="400" ht="15.75" customHeight="1">
      <c r="A400" s="260"/>
      <c r="B400" s="261"/>
      <c r="C400" s="210"/>
      <c r="D400" s="262"/>
      <c r="E400" s="261"/>
      <c r="F400" s="270"/>
      <c r="G400" s="102"/>
      <c r="H400" s="102"/>
      <c r="I400" s="102"/>
      <c r="J400" s="102"/>
      <c r="K400" s="262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</row>
    <row r="401" ht="15.75" customHeight="1">
      <c r="A401" s="260"/>
      <c r="B401" s="261"/>
      <c r="C401" s="210"/>
      <c r="D401" s="262"/>
      <c r="E401" s="261"/>
      <c r="F401" s="270"/>
      <c r="G401" s="102"/>
      <c r="H401" s="102"/>
      <c r="I401" s="102"/>
      <c r="J401" s="102"/>
      <c r="K401" s="262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</row>
    <row r="402" ht="15.75" customHeight="1">
      <c r="A402" s="260"/>
      <c r="B402" s="261"/>
      <c r="C402" s="210"/>
      <c r="D402" s="262"/>
      <c r="E402" s="261"/>
      <c r="F402" s="270"/>
      <c r="G402" s="102"/>
      <c r="H402" s="102"/>
      <c r="I402" s="102"/>
      <c r="J402" s="102"/>
      <c r="K402" s="262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</row>
    <row r="403" ht="15.75" customHeight="1">
      <c r="A403" s="260"/>
      <c r="B403" s="261"/>
      <c r="C403" s="210"/>
      <c r="D403" s="262"/>
      <c r="E403" s="261"/>
      <c r="F403" s="270"/>
      <c r="G403" s="102"/>
      <c r="H403" s="102"/>
      <c r="I403" s="102"/>
      <c r="J403" s="102"/>
      <c r="K403" s="262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</row>
    <row r="404" ht="15.75" customHeight="1">
      <c r="A404" s="260"/>
      <c r="B404" s="261"/>
      <c r="C404" s="210"/>
      <c r="D404" s="262"/>
      <c r="E404" s="261"/>
      <c r="F404" s="270"/>
      <c r="G404" s="102"/>
      <c r="H404" s="102"/>
      <c r="I404" s="102"/>
      <c r="J404" s="102"/>
      <c r="K404" s="262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</row>
    <row r="405" ht="15.75" customHeight="1">
      <c r="A405" s="260"/>
      <c r="B405" s="261"/>
      <c r="C405" s="210"/>
      <c r="D405" s="262"/>
      <c r="E405" s="261"/>
      <c r="F405" s="270"/>
      <c r="G405" s="102"/>
      <c r="H405" s="102"/>
      <c r="I405" s="102"/>
      <c r="J405" s="102"/>
      <c r="K405" s="262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</row>
    <row r="406" ht="15.75" customHeight="1">
      <c r="A406" s="260"/>
      <c r="B406" s="261"/>
      <c r="C406" s="210"/>
      <c r="D406" s="262"/>
      <c r="E406" s="266"/>
      <c r="F406" s="270"/>
      <c r="G406" s="102"/>
      <c r="H406" s="102"/>
      <c r="I406" s="102"/>
      <c r="J406" s="102"/>
      <c r="K406" s="262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</row>
    <row r="407" ht="15.75" customHeight="1">
      <c r="A407" s="260"/>
      <c r="B407" s="261"/>
      <c r="C407" s="210"/>
      <c r="D407" s="262"/>
      <c r="E407" s="276"/>
      <c r="F407" s="270"/>
      <c r="G407" s="102"/>
      <c r="H407" s="102"/>
      <c r="I407" s="102"/>
      <c r="J407" s="102"/>
      <c r="K407" s="262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</row>
    <row r="408" ht="15.75" customHeight="1">
      <c r="A408" s="260"/>
      <c r="B408" s="261"/>
      <c r="C408" s="210"/>
      <c r="D408" s="262"/>
      <c r="E408" s="276"/>
      <c r="F408" s="270"/>
      <c r="G408" s="102"/>
      <c r="H408" s="102"/>
      <c r="I408" s="102"/>
      <c r="J408" s="102"/>
      <c r="K408" s="262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</row>
    <row r="409" ht="15.75" customHeight="1">
      <c r="A409" s="260"/>
      <c r="B409" s="261"/>
      <c r="C409" s="210"/>
      <c r="D409" s="262"/>
      <c r="E409" s="276"/>
      <c r="F409" s="270"/>
      <c r="G409" s="102"/>
      <c r="H409" s="102"/>
      <c r="I409" s="102"/>
      <c r="J409" s="102"/>
      <c r="K409" s="262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</row>
    <row r="410" ht="15.75" customHeight="1">
      <c r="A410" s="260"/>
      <c r="B410" s="261"/>
      <c r="C410" s="210"/>
      <c r="D410" s="262"/>
      <c r="E410" s="266"/>
      <c r="F410" s="270"/>
      <c r="G410" s="102"/>
      <c r="H410" s="102"/>
      <c r="I410" s="102"/>
      <c r="J410" s="102"/>
      <c r="K410" s="262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</row>
    <row r="411" ht="15.75" customHeight="1">
      <c r="A411" s="260"/>
      <c r="B411" s="261"/>
      <c r="C411" s="210"/>
      <c r="D411" s="262"/>
      <c r="E411" s="261"/>
      <c r="F411" s="270"/>
      <c r="G411" s="102"/>
      <c r="H411" s="102"/>
      <c r="I411" s="102"/>
      <c r="J411" s="102"/>
      <c r="K411" s="262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</row>
    <row r="412" ht="17.25" customHeight="1">
      <c r="A412" s="260"/>
      <c r="B412" s="261"/>
      <c r="C412" s="210"/>
      <c r="D412" s="262"/>
      <c r="E412" s="266"/>
      <c r="F412" s="270"/>
      <c r="G412" s="102"/>
      <c r="H412" s="102"/>
      <c r="I412" s="102"/>
      <c r="J412" s="102"/>
      <c r="K412" s="262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</row>
    <row r="413" ht="15.75" customHeight="1">
      <c r="A413" s="260"/>
      <c r="B413" s="261"/>
      <c r="C413" s="210"/>
      <c r="D413" s="262"/>
      <c r="E413" s="261"/>
      <c r="F413" s="270"/>
      <c r="G413" s="102"/>
      <c r="H413" s="102"/>
      <c r="I413" s="102"/>
      <c r="J413" s="102"/>
      <c r="K413" s="262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</row>
    <row r="414" ht="15.75" customHeight="1">
      <c r="A414" s="260"/>
      <c r="B414" s="261"/>
      <c r="C414" s="210"/>
      <c r="D414" s="262"/>
      <c r="E414" s="261"/>
      <c r="F414" s="270"/>
      <c r="G414" s="102"/>
      <c r="H414" s="102"/>
      <c r="I414" s="102"/>
      <c r="J414" s="102"/>
      <c r="K414" s="262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</row>
    <row r="415" ht="15.75" customHeight="1">
      <c r="A415" s="260"/>
      <c r="B415" s="261"/>
      <c r="C415" s="210"/>
      <c r="D415" s="262"/>
      <c r="E415" s="276"/>
      <c r="F415" s="270"/>
      <c r="G415" s="102"/>
      <c r="H415" s="102"/>
      <c r="I415" s="102"/>
      <c r="J415" s="102"/>
      <c r="K415" s="262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</row>
    <row r="416" ht="15.75" customHeight="1">
      <c r="A416" s="260"/>
      <c r="B416" s="261"/>
      <c r="C416" s="285"/>
      <c r="D416" s="262"/>
      <c r="E416" s="261"/>
      <c r="F416" s="270"/>
      <c r="G416" s="102"/>
      <c r="H416" s="286"/>
      <c r="I416" s="102"/>
      <c r="J416" s="274"/>
      <c r="K416" s="262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</row>
    <row r="417" ht="15.75" customHeight="1">
      <c r="A417" s="260"/>
      <c r="B417" s="261"/>
      <c r="C417" s="210"/>
      <c r="D417" s="262"/>
      <c r="E417" s="261"/>
      <c r="F417" s="270"/>
      <c r="G417" s="102"/>
      <c r="H417" s="286"/>
      <c r="I417" s="102"/>
      <c r="J417" s="274"/>
      <c r="K417" s="262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</row>
    <row r="418" ht="15.75" customHeight="1">
      <c r="A418" s="260"/>
      <c r="B418" s="261"/>
      <c r="C418" s="285"/>
      <c r="D418" s="262"/>
      <c r="E418" s="261"/>
      <c r="F418" s="270"/>
      <c r="G418" s="102"/>
      <c r="H418" s="286"/>
      <c r="I418" s="102"/>
      <c r="J418" s="274"/>
      <c r="K418" s="262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</row>
    <row r="419" ht="15.75" customHeight="1">
      <c r="A419" s="260"/>
      <c r="B419" s="261"/>
      <c r="C419" s="210"/>
      <c r="D419" s="262"/>
      <c r="E419" s="261"/>
      <c r="F419" s="270"/>
      <c r="G419" s="102"/>
      <c r="H419" s="286"/>
      <c r="I419" s="102"/>
      <c r="J419" s="274"/>
      <c r="K419" s="262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</row>
    <row r="420" ht="15.75" customHeight="1">
      <c r="A420" s="260"/>
      <c r="B420" s="261"/>
      <c r="C420" s="210"/>
      <c r="D420" s="262"/>
      <c r="E420" s="261"/>
      <c r="F420" s="270"/>
      <c r="G420" s="102"/>
      <c r="H420" s="286"/>
      <c r="I420" s="102"/>
      <c r="J420" s="274"/>
      <c r="K420" s="262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</row>
    <row r="421" ht="15.75" customHeight="1">
      <c r="A421" s="260"/>
      <c r="B421" s="261"/>
      <c r="C421" s="210"/>
      <c r="D421" s="262"/>
      <c r="E421" s="261"/>
      <c r="F421" s="270"/>
      <c r="G421" s="102"/>
      <c r="H421" s="286"/>
      <c r="I421" s="102"/>
      <c r="J421" s="274"/>
      <c r="K421" s="262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</row>
    <row r="422" ht="15.75" customHeight="1">
      <c r="A422" s="260"/>
      <c r="B422" s="261"/>
      <c r="C422" s="210"/>
      <c r="D422" s="262"/>
      <c r="E422" s="287"/>
      <c r="F422" s="270"/>
      <c r="G422" s="102"/>
      <c r="H422" s="286"/>
      <c r="I422" s="102"/>
      <c r="J422" s="274"/>
      <c r="K422" s="262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</row>
    <row r="423" ht="15.75" customHeight="1">
      <c r="A423" s="260"/>
      <c r="B423" s="261"/>
      <c r="C423" s="210"/>
      <c r="D423" s="262"/>
      <c r="E423" s="261"/>
      <c r="F423" s="270"/>
      <c r="G423" s="102"/>
      <c r="H423" s="286"/>
      <c r="I423" s="102"/>
      <c r="J423" s="274"/>
      <c r="K423" s="262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</row>
    <row r="424" ht="15.75" customHeight="1">
      <c r="A424" s="260"/>
      <c r="B424" s="261"/>
      <c r="C424" s="210"/>
      <c r="D424" s="262"/>
      <c r="E424" s="261"/>
      <c r="F424" s="270"/>
      <c r="G424" s="102"/>
      <c r="H424" s="286"/>
      <c r="I424" s="102"/>
      <c r="J424" s="274"/>
      <c r="K424" s="262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</row>
    <row r="425" ht="15.75" customHeight="1">
      <c r="A425" s="260"/>
      <c r="B425" s="261"/>
      <c r="C425" s="210"/>
      <c r="D425" s="262"/>
      <c r="E425" s="261"/>
      <c r="F425" s="270"/>
      <c r="G425" s="102"/>
      <c r="H425" s="286"/>
      <c r="I425" s="102"/>
      <c r="J425" s="274"/>
      <c r="K425" s="262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</row>
    <row r="426" ht="15.75" customHeight="1">
      <c r="A426" s="260"/>
      <c r="B426" s="261"/>
      <c r="C426" s="210"/>
      <c r="D426" s="262"/>
      <c r="E426" s="261"/>
      <c r="F426" s="270"/>
      <c r="G426" s="102"/>
      <c r="H426" s="286"/>
      <c r="I426" s="102"/>
      <c r="J426" s="274"/>
      <c r="K426" s="262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</row>
    <row r="427" ht="15.75" customHeight="1">
      <c r="A427" s="260"/>
      <c r="B427" s="261"/>
      <c r="C427" s="210"/>
      <c r="D427" s="262"/>
      <c r="E427" s="261"/>
      <c r="F427" s="270"/>
      <c r="G427" s="102"/>
      <c r="H427" s="286"/>
      <c r="I427" s="102"/>
      <c r="J427" s="274"/>
      <c r="K427" s="262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</row>
    <row r="428" ht="15.75" customHeight="1">
      <c r="A428" s="260"/>
      <c r="B428" s="261"/>
      <c r="C428" s="210"/>
      <c r="D428" s="262"/>
      <c r="E428" s="261"/>
      <c r="F428" s="270"/>
      <c r="G428" s="102"/>
      <c r="H428" s="286"/>
      <c r="I428" s="102"/>
      <c r="J428" s="274"/>
      <c r="K428" s="19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</row>
    <row r="429" ht="15.75" customHeight="1">
      <c r="A429" s="260"/>
      <c r="B429" s="277"/>
      <c r="C429" s="210"/>
      <c r="D429" s="262"/>
      <c r="E429" s="287"/>
      <c r="F429" s="270"/>
      <c r="G429" s="102"/>
      <c r="H429" s="286"/>
      <c r="I429" s="102"/>
      <c r="J429" s="274"/>
      <c r="K429" s="262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</row>
    <row r="430" ht="15.75" customHeight="1">
      <c r="A430" s="260"/>
      <c r="B430" s="277"/>
      <c r="C430" s="210"/>
      <c r="D430" s="262"/>
      <c r="E430" s="287"/>
      <c r="F430" s="270"/>
      <c r="G430" s="102"/>
      <c r="H430" s="286"/>
      <c r="I430" s="102"/>
      <c r="J430" s="274"/>
      <c r="K430" s="262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</row>
    <row r="431" ht="15.75" customHeight="1">
      <c r="A431" s="260"/>
      <c r="B431" s="277"/>
      <c r="C431" s="210"/>
      <c r="D431" s="262"/>
      <c r="E431" s="287"/>
      <c r="F431" s="270"/>
      <c r="G431" s="102"/>
      <c r="H431" s="286"/>
      <c r="I431" s="102"/>
      <c r="J431" s="274"/>
      <c r="K431" s="262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</row>
    <row r="432" ht="15.75" customHeight="1">
      <c r="A432" s="260"/>
      <c r="B432" s="278"/>
      <c r="C432" s="210"/>
      <c r="D432" s="262"/>
      <c r="E432" s="287"/>
      <c r="F432" s="270"/>
      <c r="G432" s="102"/>
      <c r="H432" s="286"/>
      <c r="I432" s="102"/>
      <c r="J432" s="274"/>
      <c r="K432" s="262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</row>
    <row r="433" ht="15.75" customHeight="1">
      <c r="A433" s="260"/>
      <c r="B433" s="261"/>
      <c r="C433" s="285"/>
      <c r="D433" s="262"/>
      <c r="E433" s="261"/>
      <c r="F433" s="270"/>
      <c r="G433" s="102"/>
      <c r="H433" s="286"/>
      <c r="I433" s="102"/>
      <c r="J433" s="274"/>
      <c r="K433" s="262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</row>
    <row r="434" ht="15.75" customHeight="1">
      <c r="A434" s="260"/>
      <c r="B434" s="261"/>
      <c r="C434" s="210"/>
      <c r="D434" s="262"/>
      <c r="E434" s="261"/>
      <c r="F434" s="270"/>
      <c r="G434" s="102"/>
      <c r="H434" s="286"/>
      <c r="I434" s="102"/>
      <c r="J434" s="274"/>
      <c r="K434" s="262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</row>
    <row r="435" ht="15.75" customHeight="1">
      <c r="A435" s="260"/>
      <c r="B435" s="261"/>
      <c r="C435" s="285"/>
      <c r="D435" s="262"/>
      <c r="E435" s="261"/>
      <c r="F435" s="270"/>
      <c r="G435" s="102"/>
      <c r="H435" s="286"/>
      <c r="I435" s="102"/>
      <c r="J435" s="274"/>
      <c r="K435" s="288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</row>
    <row r="436" ht="15.75" customHeight="1">
      <c r="A436" s="260"/>
      <c r="B436" s="261"/>
      <c r="C436" s="285"/>
      <c r="D436" s="262"/>
      <c r="E436" s="261"/>
      <c r="F436" s="270"/>
      <c r="G436" s="102"/>
      <c r="H436" s="286"/>
      <c r="I436" s="102"/>
      <c r="J436" s="274"/>
      <c r="K436" s="289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</row>
    <row r="437" ht="15.75" customHeight="1">
      <c r="A437" s="260"/>
      <c r="B437" s="261"/>
      <c r="C437" s="210"/>
      <c r="D437" s="262"/>
      <c r="E437" s="287"/>
      <c r="F437" s="270"/>
      <c r="G437" s="102"/>
      <c r="H437" s="286"/>
      <c r="I437" s="102"/>
      <c r="J437" s="274"/>
      <c r="K437" s="262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</row>
    <row r="438" ht="15.75" customHeight="1">
      <c r="A438" s="260"/>
      <c r="B438" s="261"/>
      <c r="C438" s="210"/>
      <c r="D438" s="262"/>
      <c r="E438" s="287"/>
      <c r="F438" s="270"/>
      <c r="G438" s="102"/>
      <c r="H438" s="286"/>
      <c r="I438" s="102"/>
      <c r="J438" s="274"/>
      <c r="K438" s="262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</row>
    <row r="439" ht="15.75" customHeight="1">
      <c r="A439" s="260"/>
      <c r="B439" s="261"/>
      <c r="C439" s="271"/>
      <c r="D439" s="262"/>
      <c r="E439" s="287"/>
      <c r="F439" s="270"/>
      <c r="G439" s="102"/>
      <c r="H439" s="286"/>
      <c r="I439" s="102"/>
      <c r="J439" s="274"/>
      <c r="K439" s="262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</row>
    <row r="440" ht="15.75" customHeight="1">
      <c r="A440" s="260"/>
      <c r="B440" s="261"/>
      <c r="C440" s="210"/>
      <c r="D440" s="262"/>
      <c r="E440" s="261"/>
      <c r="F440" s="270"/>
      <c r="G440" s="102"/>
      <c r="H440" s="286"/>
      <c r="I440" s="102"/>
      <c r="J440" s="274"/>
      <c r="K440" s="262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</row>
    <row r="441" ht="15.75" customHeight="1">
      <c r="A441" s="260"/>
      <c r="B441" s="261"/>
      <c r="C441" s="210"/>
      <c r="D441" s="262"/>
      <c r="E441" s="261"/>
      <c r="F441" s="270"/>
      <c r="G441" s="102"/>
      <c r="H441" s="286"/>
      <c r="I441" s="102"/>
      <c r="J441" s="274"/>
      <c r="K441" s="262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</row>
    <row r="442" ht="15.75" customHeight="1">
      <c r="A442" s="260"/>
      <c r="B442" s="261"/>
      <c r="C442" s="210"/>
      <c r="D442" s="262"/>
      <c r="E442" s="261"/>
      <c r="F442" s="270"/>
      <c r="G442" s="102"/>
      <c r="H442" s="286"/>
      <c r="I442" s="102"/>
      <c r="J442" s="274"/>
      <c r="K442" s="262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</row>
    <row r="443" ht="15.75" customHeight="1">
      <c r="A443" s="260"/>
      <c r="B443" s="261"/>
      <c r="C443" s="210"/>
      <c r="D443" s="262"/>
      <c r="E443" s="261"/>
      <c r="F443" s="270"/>
      <c r="G443" s="102"/>
      <c r="H443" s="286"/>
      <c r="I443" s="102"/>
      <c r="J443" s="274"/>
      <c r="K443" s="262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</row>
    <row r="444" ht="15.75" customHeight="1">
      <c r="A444" s="260"/>
      <c r="B444" s="261"/>
      <c r="C444" s="210"/>
      <c r="D444" s="262"/>
      <c r="E444" s="261"/>
      <c r="F444" s="270"/>
      <c r="G444" s="102"/>
      <c r="H444" s="286"/>
      <c r="I444" s="102"/>
      <c r="J444" s="274"/>
      <c r="K444" s="262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</row>
    <row r="445" ht="15.75" customHeight="1">
      <c r="A445" s="260"/>
      <c r="B445" s="261"/>
      <c r="C445" s="210"/>
      <c r="D445" s="262"/>
      <c r="E445" s="261"/>
      <c r="F445" s="270"/>
      <c r="G445" s="102"/>
      <c r="H445" s="286"/>
      <c r="I445" s="102"/>
      <c r="J445" s="274"/>
      <c r="K445" s="262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</row>
    <row r="446" ht="15.75" customHeight="1">
      <c r="A446" s="260"/>
      <c r="B446" s="261"/>
      <c r="C446" s="210"/>
      <c r="D446" s="262"/>
      <c r="E446" s="261"/>
      <c r="F446" s="270"/>
      <c r="G446" s="102"/>
      <c r="H446" s="286"/>
      <c r="I446" s="102"/>
      <c r="J446" s="274"/>
      <c r="K446" s="262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</row>
    <row r="447" ht="15.75" customHeight="1">
      <c r="A447" s="243"/>
      <c r="B447" s="239"/>
      <c r="C447" s="210"/>
      <c r="D447" s="240"/>
      <c r="E447" s="116"/>
      <c r="F447" s="244"/>
      <c r="G447" s="97"/>
      <c r="H447" s="115"/>
      <c r="I447" s="97"/>
      <c r="J447" s="242"/>
      <c r="K447" s="24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</row>
    <row r="448" ht="15.75" customHeight="1">
      <c r="A448" s="243"/>
      <c r="B448" s="239"/>
      <c r="C448" s="210"/>
      <c r="D448" s="240"/>
      <c r="E448" s="239"/>
      <c r="F448" s="108"/>
      <c r="G448" s="97"/>
      <c r="H448" s="115"/>
      <c r="I448" s="97"/>
      <c r="J448" s="242"/>
      <c r="K448" s="24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</row>
    <row r="449" ht="15.75" customHeight="1">
      <c r="A449" s="243"/>
      <c r="B449" s="239"/>
      <c r="C449" s="210"/>
      <c r="D449" s="240"/>
      <c r="E449" s="116"/>
      <c r="F449" s="244"/>
      <c r="G449" s="97"/>
      <c r="H449" s="115"/>
      <c r="I449" s="97"/>
      <c r="J449" s="242"/>
      <c r="K449" s="24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</row>
    <row r="450" ht="15.75" customHeight="1">
      <c r="A450" s="243"/>
      <c r="B450" s="239"/>
      <c r="C450" s="210"/>
      <c r="D450" s="240"/>
      <c r="E450" s="239"/>
      <c r="F450" s="244"/>
      <c r="G450" s="97"/>
      <c r="H450" s="115"/>
      <c r="I450" s="97"/>
      <c r="J450" s="242"/>
      <c r="K450" s="24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</row>
    <row r="451" ht="15.75" customHeight="1">
      <c r="A451" s="243"/>
      <c r="B451" s="239"/>
      <c r="C451" s="210"/>
      <c r="D451" s="240"/>
      <c r="E451" s="239"/>
      <c r="F451" s="244"/>
      <c r="G451" s="97"/>
      <c r="H451" s="115"/>
      <c r="I451" s="97"/>
      <c r="J451" s="242"/>
      <c r="K451" s="24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</row>
    <row r="452" ht="15.75" customHeight="1">
      <c r="A452" s="243"/>
      <c r="B452" s="239"/>
      <c r="C452" s="210"/>
      <c r="D452" s="240"/>
      <c r="E452" s="251"/>
      <c r="F452" s="244"/>
      <c r="G452" s="97"/>
      <c r="H452" s="115"/>
      <c r="I452" s="97"/>
      <c r="J452" s="242"/>
      <c r="K452" s="24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</row>
    <row r="453" ht="15.75" customHeight="1">
      <c r="A453" s="243"/>
      <c r="B453" s="239"/>
      <c r="C453" s="210"/>
      <c r="D453" s="240"/>
      <c r="E453" s="239"/>
      <c r="F453" s="244"/>
      <c r="G453" s="97"/>
      <c r="H453" s="115"/>
      <c r="I453" s="97"/>
      <c r="J453" s="242"/>
      <c r="K453" s="240"/>
      <c r="L453" s="110"/>
      <c r="M453" s="110">
        <f>13440/280</f>
        <v>48</v>
      </c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</row>
    <row r="454" ht="15.75" customHeight="1">
      <c r="A454" s="243"/>
      <c r="B454" s="239"/>
      <c r="C454" s="210"/>
      <c r="D454" s="240"/>
      <c r="E454" s="250"/>
      <c r="F454" s="244"/>
      <c r="G454" s="97"/>
      <c r="H454" s="115"/>
      <c r="I454" s="97"/>
      <c r="J454" s="242"/>
      <c r="K454" s="24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</row>
    <row r="455" ht="15.75" customHeight="1">
      <c r="A455" s="243"/>
      <c r="B455" s="239"/>
      <c r="C455" s="210"/>
      <c r="D455" s="240"/>
      <c r="E455" s="116"/>
      <c r="F455" s="244"/>
      <c r="G455" s="97"/>
      <c r="H455" s="115"/>
      <c r="I455" s="97"/>
      <c r="J455" s="242"/>
      <c r="K455" s="24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</row>
    <row r="456" ht="15.75" customHeight="1">
      <c r="A456" s="243"/>
      <c r="B456" s="239"/>
      <c r="C456" s="210"/>
      <c r="D456" s="240"/>
      <c r="E456" s="116"/>
      <c r="F456" s="244"/>
      <c r="G456" s="97"/>
      <c r="H456" s="115"/>
      <c r="I456" s="97"/>
      <c r="J456" s="242"/>
      <c r="K456" s="24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</row>
    <row r="457" ht="15.75" customHeight="1">
      <c r="A457" s="243"/>
      <c r="B457" s="239"/>
      <c r="C457" s="210"/>
      <c r="D457" s="240"/>
      <c r="E457" s="252"/>
      <c r="F457" s="244"/>
      <c r="G457" s="97"/>
      <c r="H457" s="115"/>
      <c r="I457" s="97"/>
      <c r="J457" s="242"/>
      <c r="K457" s="24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</row>
    <row r="458" ht="15.75" customHeight="1">
      <c r="A458" s="243"/>
      <c r="B458" s="239"/>
      <c r="C458" s="210"/>
      <c r="D458" s="240"/>
      <c r="E458" s="252"/>
      <c r="F458" s="244"/>
      <c r="G458" s="97"/>
      <c r="H458" s="115"/>
      <c r="I458" s="97"/>
      <c r="J458" s="242"/>
      <c r="K458" s="24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</row>
    <row r="459" ht="15.75" customHeight="1">
      <c r="A459" s="243"/>
      <c r="B459" s="239"/>
      <c r="C459" s="210"/>
      <c r="D459" s="240"/>
      <c r="E459" s="252"/>
      <c r="F459" s="244"/>
      <c r="G459" s="97"/>
      <c r="H459" s="115"/>
      <c r="I459" s="97"/>
      <c r="J459" s="242"/>
      <c r="K459" s="24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</row>
    <row r="460" ht="15.75" customHeight="1">
      <c r="A460" s="243"/>
      <c r="B460" s="239"/>
      <c r="C460" s="210"/>
      <c r="D460" s="240"/>
      <c r="E460" s="252"/>
      <c r="F460" s="244"/>
      <c r="G460" s="97"/>
      <c r="H460" s="115"/>
      <c r="I460" s="97"/>
      <c r="J460" s="242"/>
      <c r="K460" s="24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</row>
    <row r="461" ht="15.75" customHeight="1">
      <c r="A461" s="243"/>
      <c r="B461" s="239"/>
      <c r="C461" s="210"/>
      <c r="D461" s="240"/>
      <c r="E461" s="252"/>
      <c r="F461" s="244"/>
      <c r="G461" s="97"/>
      <c r="H461" s="115"/>
      <c r="I461" s="97"/>
      <c r="J461" s="242"/>
      <c r="K461" s="24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>
        <f>30*24</f>
        <v>720</v>
      </c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</row>
    <row r="462" ht="15.75" customHeight="1">
      <c r="A462" s="243"/>
      <c r="B462" s="239"/>
      <c r="C462" s="210"/>
      <c r="D462" s="240"/>
      <c r="E462" s="252"/>
      <c r="F462" s="244"/>
      <c r="G462" s="97"/>
      <c r="H462" s="115"/>
      <c r="I462" s="97"/>
      <c r="J462" s="242"/>
      <c r="K462" s="24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>
        <v>720.0</v>
      </c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</row>
    <row r="463" ht="15.75" customHeight="1">
      <c r="A463" s="243"/>
      <c r="B463" s="239"/>
      <c r="C463" s="210"/>
      <c r="D463" s="240"/>
      <c r="E463" s="252"/>
      <c r="F463" s="244"/>
      <c r="G463" s="97"/>
      <c r="H463" s="115"/>
      <c r="I463" s="97"/>
      <c r="J463" s="242"/>
      <c r="K463" s="24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</row>
    <row r="464" ht="15.75" customHeight="1">
      <c r="A464" s="243"/>
      <c r="B464" s="290"/>
      <c r="C464" s="210"/>
      <c r="D464" s="240"/>
      <c r="E464" s="239"/>
      <c r="F464" s="244"/>
      <c r="G464" s="97"/>
      <c r="H464" s="115"/>
      <c r="I464" s="97"/>
      <c r="J464" s="242"/>
      <c r="K464" s="24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</row>
    <row r="465" ht="15.75" customHeight="1">
      <c r="A465" s="243"/>
      <c r="B465" s="290"/>
      <c r="C465" s="291"/>
      <c r="D465" s="292"/>
      <c r="E465" s="293"/>
      <c r="F465" s="244"/>
      <c r="G465" s="97"/>
      <c r="H465" s="115"/>
      <c r="I465" s="97"/>
      <c r="J465" s="242"/>
      <c r="K465" s="24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</row>
    <row r="466" ht="15.75" customHeight="1">
      <c r="A466" s="243"/>
      <c r="B466" s="294"/>
      <c r="C466" s="210"/>
      <c r="D466" s="240"/>
      <c r="E466" s="239"/>
      <c r="F466" s="244"/>
      <c r="G466" s="97"/>
      <c r="H466" s="97"/>
      <c r="I466" s="97"/>
      <c r="J466" s="242"/>
      <c r="K466" s="24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</row>
    <row r="467" ht="15.75" customHeight="1">
      <c r="A467" s="243"/>
      <c r="B467" s="294"/>
      <c r="C467" s="210"/>
      <c r="D467" s="240"/>
      <c r="E467" s="239"/>
      <c r="F467" s="244"/>
      <c r="G467" s="97"/>
      <c r="H467" s="97"/>
      <c r="I467" s="97"/>
      <c r="J467" s="242"/>
      <c r="K467" s="24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</row>
    <row r="468" ht="30.0" customHeight="1">
      <c r="A468" s="243"/>
      <c r="B468" s="239"/>
      <c r="C468" s="210"/>
      <c r="D468" s="240"/>
      <c r="E468" s="239"/>
      <c r="F468" s="244"/>
      <c r="G468" s="97"/>
      <c r="H468" s="97"/>
      <c r="I468" s="97"/>
      <c r="J468" s="97"/>
      <c r="K468" s="24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</row>
    <row r="469" ht="15.75" customHeight="1">
      <c r="A469" s="243"/>
      <c r="B469" s="239"/>
      <c r="C469" s="210"/>
      <c r="D469" s="240"/>
      <c r="E469" s="239"/>
      <c r="F469" s="244"/>
      <c r="G469" s="97"/>
      <c r="H469" s="97"/>
      <c r="I469" s="97"/>
      <c r="J469" s="97"/>
      <c r="K469" s="24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</row>
    <row r="470" ht="15.75" customHeight="1">
      <c r="A470" s="243"/>
      <c r="B470" s="239"/>
      <c r="C470" s="210"/>
      <c r="D470" s="240"/>
      <c r="E470" s="239"/>
      <c r="F470" s="244"/>
      <c r="G470" s="97"/>
      <c r="H470" s="97"/>
      <c r="I470" s="97"/>
      <c r="J470" s="242"/>
      <c r="K470" s="24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</row>
    <row r="471" ht="15.75" customHeight="1">
      <c r="A471" s="243"/>
      <c r="B471" s="239"/>
      <c r="C471" s="210"/>
      <c r="D471" s="240"/>
      <c r="E471" s="239"/>
      <c r="F471" s="244"/>
      <c r="G471" s="97"/>
      <c r="H471" s="97"/>
      <c r="I471" s="97"/>
      <c r="J471" s="97"/>
      <c r="K471" s="24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</row>
    <row r="472" ht="15.75" customHeight="1">
      <c r="A472" s="243"/>
      <c r="B472" s="239"/>
      <c r="C472" s="210"/>
      <c r="D472" s="240"/>
      <c r="E472" s="239"/>
      <c r="F472" s="244"/>
      <c r="G472" s="97"/>
      <c r="H472" s="97"/>
      <c r="I472" s="97"/>
      <c r="J472" s="97"/>
      <c r="K472" s="24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</row>
    <row r="473" ht="15.75" customHeight="1">
      <c r="A473" s="243"/>
      <c r="B473" s="239"/>
      <c r="C473" s="210"/>
      <c r="D473" s="240"/>
      <c r="E473" s="239"/>
      <c r="F473" s="244"/>
      <c r="G473" s="97"/>
      <c r="H473" s="97"/>
      <c r="I473" s="97"/>
      <c r="J473" s="97"/>
      <c r="K473" s="24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</row>
    <row r="474" ht="15.75" customHeight="1">
      <c r="A474" s="243"/>
      <c r="B474" s="239"/>
      <c r="C474" s="210"/>
      <c r="D474" s="240"/>
      <c r="E474" s="239"/>
      <c r="F474" s="244"/>
      <c r="G474" s="97"/>
      <c r="H474" s="97"/>
      <c r="I474" s="97"/>
      <c r="J474" s="97"/>
      <c r="K474" s="24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</row>
    <row r="475" ht="15.75" customHeight="1">
      <c r="A475" s="243"/>
      <c r="B475" s="239"/>
      <c r="C475" s="210"/>
      <c r="D475" s="240"/>
      <c r="E475" s="239"/>
      <c r="F475" s="244"/>
      <c r="G475" s="97"/>
      <c r="H475" s="97"/>
      <c r="I475" s="97"/>
      <c r="J475" s="97"/>
      <c r="K475" s="24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</row>
    <row r="476" ht="15.75" customHeight="1">
      <c r="A476" s="243"/>
      <c r="B476" s="239"/>
      <c r="C476" s="210"/>
      <c r="D476" s="240"/>
      <c r="E476" s="116"/>
      <c r="F476" s="244"/>
      <c r="G476" s="97"/>
      <c r="H476" s="97"/>
      <c r="I476" s="97"/>
      <c r="J476" s="97"/>
      <c r="K476" s="24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</row>
    <row r="477" ht="15.75" customHeight="1">
      <c r="A477" s="243"/>
      <c r="B477" s="239"/>
      <c r="C477" s="210"/>
      <c r="D477" s="240"/>
      <c r="E477" s="116"/>
      <c r="F477" s="244"/>
      <c r="G477" s="97"/>
      <c r="H477" s="97"/>
      <c r="I477" s="97"/>
      <c r="J477" s="97"/>
      <c r="K477" s="24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</row>
    <row r="478" ht="15.75" customHeight="1">
      <c r="A478" s="243"/>
      <c r="B478" s="239"/>
      <c r="C478" s="210"/>
      <c r="D478" s="240"/>
      <c r="E478" s="116"/>
      <c r="F478" s="244"/>
      <c r="G478" s="97"/>
      <c r="H478" s="97"/>
      <c r="I478" s="97"/>
      <c r="J478" s="97"/>
      <c r="K478" s="24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</row>
    <row r="479" ht="15.75" customHeight="1">
      <c r="A479" s="243"/>
      <c r="B479" s="239"/>
      <c r="C479" s="210"/>
      <c r="D479" s="240"/>
      <c r="E479" s="116"/>
      <c r="F479" s="244"/>
      <c r="G479" s="242"/>
      <c r="H479" s="97"/>
      <c r="I479" s="97"/>
      <c r="J479" s="97"/>
      <c r="K479" s="24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</row>
    <row r="480" ht="15.75" customHeight="1">
      <c r="A480" s="243"/>
      <c r="B480" s="239"/>
      <c r="C480" s="210"/>
      <c r="D480" s="240"/>
      <c r="E480" s="116"/>
      <c r="F480" s="244"/>
      <c r="G480" s="97"/>
      <c r="H480" s="97"/>
      <c r="I480" s="97"/>
      <c r="J480" s="97"/>
      <c r="K480" s="24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</row>
    <row r="481" ht="15.75" customHeight="1">
      <c r="A481" s="243"/>
      <c r="B481" s="239"/>
      <c r="C481" s="210"/>
      <c r="D481" s="240"/>
      <c r="E481" s="239"/>
      <c r="F481" s="244"/>
      <c r="G481" s="97"/>
      <c r="H481" s="97"/>
      <c r="I481" s="97"/>
      <c r="J481" s="97"/>
      <c r="K481" s="24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</row>
    <row r="482" ht="15.75" customHeight="1">
      <c r="A482" s="243"/>
      <c r="B482" s="239"/>
      <c r="C482" s="210"/>
      <c r="D482" s="240"/>
      <c r="E482" s="239"/>
      <c r="F482" s="244"/>
      <c r="G482" s="97"/>
      <c r="H482" s="97"/>
      <c r="I482" s="97"/>
      <c r="J482" s="97"/>
      <c r="K482" s="24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</row>
    <row r="483" ht="15.75" customHeight="1">
      <c r="A483" s="243"/>
      <c r="B483" s="239"/>
      <c r="C483" s="210"/>
      <c r="D483" s="240"/>
      <c r="E483" s="239"/>
      <c r="F483" s="244"/>
      <c r="G483" s="242"/>
      <c r="H483" s="97"/>
      <c r="I483" s="97"/>
      <c r="J483" s="97"/>
      <c r="K483" s="24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</row>
    <row r="484" ht="15.75" customHeight="1">
      <c r="A484" s="243"/>
      <c r="B484" s="239"/>
      <c r="C484" s="210"/>
      <c r="D484" s="240"/>
      <c r="E484" s="239"/>
      <c r="F484" s="244"/>
      <c r="G484" s="242"/>
      <c r="H484" s="97"/>
      <c r="I484" s="97"/>
      <c r="J484" s="97"/>
      <c r="K484" s="24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</row>
    <row r="485" ht="15.75" customHeight="1">
      <c r="A485" s="243"/>
      <c r="B485" s="239"/>
      <c r="C485" s="210"/>
      <c r="D485" s="240"/>
      <c r="E485" s="239"/>
      <c r="F485" s="244"/>
      <c r="G485" s="242"/>
      <c r="H485" s="97"/>
      <c r="I485" s="97"/>
      <c r="J485" s="97"/>
      <c r="K485" s="24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</row>
    <row r="486" ht="15.75" customHeight="1">
      <c r="A486" s="243"/>
      <c r="B486" s="239"/>
      <c r="C486" s="210"/>
      <c r="D486" s="240"/>
      <c r="E486" s="295"/>
      <c r="F486" s="244"/>
      <c r="G486" s="242"/>
      <c r="H486" s="97"/>
      <c r="I486" s="97"/>
      <c r="J486" s="97"/>
      <c r="K486" s="97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</row>
    <row r="487" ht="15.75" customHeight="1">
      <c r="A487" s="243"/>
      <c r="B487" s="239"/>
      <c r="C487" s="210"/>
      <c r="D487" s="240"/>
      <c r="E487" s="239"/>
      <c r="F487" s="244"/>
      <c r="G487" s="97"/>
      <c r="H487" s="97"/>
      <c r="I487" s="97"/>
      <c r="J487" s="97"/>
      <c r="K487" s="24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</row>
    <row r="488" ht="15.75" customHeight="1">
      <c r="A488" s="243"/>
      <c r="B488" s="239"/>
      <c r="C488" s="210"/>
      <c r="D488" s="240"/>
      <c r="E488" s="116"/>
      <c r="F488" s="244"/>
      <c r="G488" s="97"/>
      <c r="H488" s="97"/>
      <c r="I488" s="97"/>
      <c r="J488" s="97"/>
      <c r="K488" s="24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</row>
    <row r="489" ht="15.75" customHeight="1">
      <c r="A489" s="243"/>
      <c r="B489" s="239"/>
      <c r="C489" s="210"/>
      <c r="D489" s="240"/>
      <c r="E489" s="239"/>
      <c r="F489" s="244"/>
      <c r="G489" s="97"/>
      <c r="H489" s="97"/>
      <c r="I489" s="97"/>
      <c r="J489" s="97"/>
      <c r="K489" s="24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</row>
    <row r="490" ht="15.75" customHeight="1">
      <c r="A490" s="243"/>
      <c r="B490" s="239"/>
      <c r="C490" s="210"/>
      <c r="D490" s="240"/>
      <c r="E490" s="239"/>
      <c r="F490" s="244"/>
      <c r="G490" s="97"/>
      <c r="H490" s="97"/>
      <c r="I490" s="97"/>
      <c r="J490" s="97"/>
      <c r="K490" s="97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</row>
    <row r="491" ht="15.75" customHeight="1">
      <c r="A491" s="243"/>
      <c r="B491" s="239"/>
      <c r="C491" s="210"/>
      <c r="D491" s="240"/>
      <c r="E491" s="239"/>
      <c r="F491" s="244"/>
      <c r="G491" s="97"/>
      <c r="H491" s="97"/>
      <c r="I491" s="97"/>
      <c r="J491" s="97"/>
      <c r="K491" s="24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</row>
    <row r="492" ht="15.75" customHeight="1">
      <c r="A492" s="243"/>
      <c r="B492" s="239"/>
      <c r="C492" s="210"/>
      <c r="D492" s="240"/>
      <c r="E492" s="239"/>
      <c r="F492" s="244"/>
      <c r="G492" s="97"/>
      <c r="H492" s="97"/>
      <c r="I492" s="97"/>
      <c r="J492" s="97"/>
      <c r="K492" s="24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</row>
    <row r="493" ht="15.75" customHeight="1">
      <c r="A493" s="243"/>
      <c r="B493" s="239"/>
      <c r="C493" s="210"/>
      <c r="D493" s="240"/>
      <c r="E493" s="239"/>
      <c r="F493" s="244"/>
      <c r="G493" s="97"/>
      <c r="H493" s="97"/>
      <c r="I493" s="97"/>
      <c r="J493" s="97"/>
      <c r="K493" s="24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</row>
    <row r="494" ht="15.75" customHeight="1">
      <c r="A494" s="243"/>
      <c r="B494" s="239"/>
      <c r="C494" s="210"/>
      <c r="D494" s="240"/>
      <c r="E494" s="239"/>
      <c r="F494" s="244"/>
      <c r="G494" s="97"/>
      <c r="H494" s="97"/>
      <c r="I494" s="97"/>
      <c r="J494" s="97"/>
      <c r="K494" s="97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</row>
    <row r="495" ht="15.75" customHeight="1">
      <c r="A495" s="243"/>
      <c r="B495" s="239"/>
      <c r="C495" s="210"/>
      <c r="D495" s="240"/>
      <c r="E495" s="239"/>
      <c r="F495" s="244"/>
      <c r="G495" s="97"/>
      <c r="H495" s="97"/>
      <c r="I495" s="97"/>
      <c r="J495" s="97"/>
      <c r="K495" s="24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</row>
    <row r="496" ht="15.75" customHeight="1">
      <c r="A496" s="243"/>
      <c r="B496" s="239"/>
      <c r="C496" s="210"/>
      <c r="D496" s="240"/>
      <c r="E496" s="239"/>
      <c r="F496" s="244"/>
      <c r="G496" s="97"/>
      <c r="H496" s="97"/>
      <c r="I496" s="97"/>
      <c r="J496" s="97"/>
      <c r="K496" s="24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</row>
    <row r="497" ht="15.75" customHeight="1">
      <c r="A497" s="243"/>
      <c r="B497" s="239"/>
      <c r="C497" s="210"/>
      <c r="D497" s="240"/>
      <c r="E497" s="239"/>
      <c r="F497" s="244"/>
      <c r="G497" s="97"/>
      <c r="H497" s="97"/>
      <c r="I497" s="97"/>
      <c r="J497" s="97"/>
      <c r="K497" s="24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</row>
    <row r="498" ht="15.75" customHeight="1">
      <c r="A498" s="243"/>
      <c r="B498" s="239"/>
      <c r="C498" s="210"/>
      <c r="D498" s="240"/>
      <c r="E498" s="239"/>
      <c r="F498" s="244"/>
      <c r="G498" s="97"/>
      <c r="H498" s="97"/>
      <c r="I498" s="97"/>
      <c r="J498" s="97"/>
      <c r="K498" s="24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</row>
    <row r="499" ht="15.75" customHeight="1">
      <c r="A499" s="243"/>
      <c r="B499" s="239"/>
      <c r="C499" s="210"/>
      <c r="D499" s="240"/>
      <c r="E499" s="239"/>
      <c r="F499" s="244"/>
      <c r="G499" s="97"/>
      <c r="H499" s="97"/>
      <c r="I499" s="97"/>
      <c r="J499" s="97"/>
      <c r="K499" s="24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</row>
    <row r="500" ht="15.75" customHeight="1">
      <c r="A500" s="243"/>
      <c r="B500" s="239"/>
      <c r="C500" s="210"/>
      <c r="D500" s="240"/>
      <c r="E500" s="239"/>
      <c r="F500" s="244"/>
      <c r="G500" s="97"/>
      <c r="H500" s="97"/>
      <c r="I500" s="97"/>
      <c r="J500" s="97"/>
      <c r="K500" s="291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</row>
    <row r="501" ht="15.75" customHeight="1">
      <c r="A501" s="243"/>
      <c r="B501" s="239"/>
      <c r="C501" s="210"/>
      <c r="D501" s="240"/>
      <c r="E501" s="116"/>
      <c r="F501" s="244"/>
      <c r="G501" s="97"/>
      <c r="H501" s="97"/>
      <c r="I501" s="97"/>
      <c r="J501" s="97"/>
      <c r="K501" s="97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</row>
    <row r="502" ht="15.75" customHeight="1">
      <c r="A502" s="243"/>
      <c r="B502" s="239"/>
      <c r="C502" s="210"/>
      <c r="D502" s="240"/>
      <c r="E502" s="296"/>
      <c r="F502" s="244"/>
      <c r="G502" s="97"/>
      <c r="H502" s="97"/>
      <c r="I502" s="97"/>
      <c r="J502" s="97"/>
      <c r="K502" s="24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</row>
    <row r="503" ht="15.75" customHeight="1">
      <c r="A503" s="243"/>
      <c r="B503" s="239"/>
      <c r="C503" s="210"/>
      <c r="D503" s="240"/>
      <c r="E503" s="297"/>
      <c r="F503" s="108"/>
      <c r="G503" s="97"/>
      <c r="H503" s="97"/>
      <c r="I503" s="97"/>
      <c r="J503" s="97"/>
      <c r="K503" s="24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</row>
    <row r="504" ht="15.75" customHeight="1">
      <c r="A504" s="243"/>
      <c r="B504" s="239"/>
      <c r="C504" s="210"/>
      <c r="D504" s="240"/>
      <c r="E504" s="116"/>
      <c r="F504" s="244"/>
      <c r="G504" s="97"/>
      <c r="H504" s="97"/>
      <c r="I504" s="97"/>
      <c r="J504" s="97"/>
      <c r="K504" s="24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</row>
    <row r="505" ht="15.75" customHeight="1">
      <c r="A505" s="243"/>
      <c r="B505" s="239"/>
      <c r="C505" s="210"/>
      <c r="D505" s="240"/>
      <c r="E505" s="116"/>
      <c r="F505" s="244"/>
      <c r="G505" s="97"/>
      <c r="H505" s="97"/>
      <c r="I505" s="97"/>
      <c r="J505" s="97"/>
      <c r="K505" s="24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</row>
    <row r="506" ht="15.75" customHeight="1">
      <c r="A506" s="243"/>
      <c r="B506" s="239"/>
      <c r="C506" s="210"/>
      <c r="D506" s="240"/>
      <c r="E506" s="116"/>
      <c r="F506" s="244"/>
      <c r="G506" s="97"/>
      <c r="H506" s="97"/>
      <c r="I506" s="97"/>
      <c r="J506" s="97"/>
      <c r="K506" s="24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</row>
    <row r="507" ht="15.75" customHeight="1">
      <c r="A507" s="243"/>
      <c r="B507" s="239"/>
      <c r="C507" s="210"/>
      <c r="D507" s="240"/>
      <c r="E507" s="116"/>
      <c r="F507" s="244"/>
      <c r="G507" s="97"/>
      <c r="H507" s="97"/>
      <c r="I507" s="97"/>
      <c r="J507" s="97"/>
      <c r="K507" s="24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</row>
    <row r="508" ht="15.75" customHeight="1">
      <c r="A508" s="243"/>
      <c r="B508" s="239"/>
      <c r="C508" s="210"/>
      <c r="D508" s="240"/>
      <c r="E508" s="239"/>
      <c r="F508" s="244"/>
      <c r="G508" s="97"/>
      <c r="H508" s="97"/>
      <c r="I508" s="97"/>
      <c r="J508" s="97"/>
      <c r="K508" s="24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</row>
    <row r="509" ht="15.75" customHeight="1">
      <c r="A509" s="243"/>
      <c r="B509" s="239"/>
      <c r="C509" s="298"/>
      <c r="D509" s="240"/>
      <c r="E509" s="239"/>
      <c r="F509" s="244"/>
      <c r="G509" s="97"/>
      <c r="H509" s="97"/>
      <c r="I509" s="97"/>
      <c r="J509" s="97"/>
      <c r="K509" s="24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</row>
    <row r="510" ht="15.75" customHeight="1">
      <c r="A510" s="243"/>
      <c r="B510" s="239"/>
      <c r="C510" s="210"/>
      <c r="D510" s="240"/>
      <c r="E510" s="116"/>
      <c r="F510" s="244"/>
      <c r="G510" s="97"/>
      <c r="H510" s="97"/>
      <c r="I510" s="97"/>
      <c r="J510" s="97"/>
      <c r="K510" s="24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</row>
    <row r="511" ht="30.0" customHeight="1">
      <c r="A511" s="243"/>
      <c r="B511" s="239"/>
      <c r="C511" s="210"/>
      <c r="D511" s="299"/>
      <c r="E511" s="250"/>
      <c r="F511" s="244"/>
      <c r="G511" s="97"/>
      <c r="H511" s="97"/>
      <c r="I511" s="97"/>
      <c r="J511" s="97"/>
      <c r="K511" s="97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</row>
    <row r="512" ht="15.75" customHeight="1">
      <c r="A512" s="243"/>
      <c r="B512" s="239"/>
      <c r="C512" s="210"/>
      <c r="D512" s="240"/>
      <c r="E512" s="250"/>
      <c r="F512" s="244"/>
      <c r="G512" s="97"/>
      <c r="H512" s="97"/>
      <c r="I512" s="97"/>
      <c r="J512" s="97"/>
      <c r="K512" s="24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</row>
    <row r="513" ht="15.75" customHeight="1">
      <c r="A513" s="243"/>
      <c r="B513" s="239"/>
      <c r="C513" s="210"/>
      <c r="D513" s="240"/>
      <c r="E513" s="116"/>
      <c r="F513" s="244"/>
      <c r="G513" s="97"/>
      <c r="H513" s="97"/>
      <c r="I513" s="97"/>
      <c r="J513" s="97"/>
      <c r="K513" s="24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</row>
    <row r="514" ht="15.75" customHeight="1">
      <c r="A514" s="243"/>
      <c r="B514" s="239"/>
      <c r="C514" s="210"/>
      <c r="D514" s="240"/>
      <c r="E514" s="116"/>
      <c r="F514" s="244"/>
      <c r="G514" s="97"/>
      <c r="H514" s="97"/>
      <c r="I514" s="97"/>
      <c r="J514" s="97"/>
      <c r="K514" s="24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</row>
    <row r="515" ht="15.75" customHeight="1">
      <c r="A515" s="243"/>
      <c r="B515" s="239"/>
      <c r="C515" s="210"/>
      <c r="D515" s="240"/>
      <c r="E515" s="116"/>
      <c r="F515" s="244"/>
      <c r="G515" s="97"/>
      <c r="H515" s="97"/>
      <c r="I515" s="97"/>
      <c r="J515" s="97"/>
      <c r="K515" s="24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</row>
    <row r="516" ht="15.75" customHeight="1">
      <c r="A516" s="243"/>
      <c r="B516" s="239"/>
      <c r="C516" s="210"/>
      <c r="D516" s="240"/>
      <c r="E516" s="116"/>
      <c r="F516" s="244"/>
      <c r="G516" s="97"/>
      <c r="H516" s="97"/>
      <c r="I516" s="97"/>
      <c r="J516" s="97"/>
      <c r="K516" s="24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</row>
    <row r="517" ht="15.75" customHeight="1">
      <c r="A517" s="243"/>
      <c r="B517" s="239"/>
      <c r="C517" s="210"/>
      <c r="D517" s="300"/>
      <c r="E517" s="116"/>
      <c r="F517" s="244"/>
      <c r="G517" s="97"/>
      <c r="H517" s="97"/>
      <c r="I517" s="97"/>
      <c r="J517" s="97"/>
      <c r="K517" s="24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</row>
    <row r="518" ht="15.75" customHeight="1">
      <c r="A518" s="243"/>
      <c r="B518" s="239"/>
      <c r="C518" s="210"/>
      <c r="D518" s="240"/>
      <c r="E518" s="250"/>
      <c r="F518" s="244"/>
      <c r="G518" s="97"/>
      <c r="H518" s="97"/>
      <c r="I518" s="97"/>
      <c r="J518" s="97"/>
      <c r="K518" s="24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</row>
    <row r="519" ht="15.75" customHeight="1">
      <c r="A519" s="243"/>
      <c r="B519" s="239"/>
      <c r="C519" s="210"/>
      <c r="D519" s="240"/>
      <c r="E519" s="250"/>
      <c r="F519" s="244"/>
      <c r="G519" s="97"/>
      <c r="H519" s="97"/>
      <c r="I519" s="97"/>
      <c r="J519" s="97"/>
      <c r="K519" s="24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</row>
    <row r="520" ht="15.75" customHeight="1">
      <c r="A520" s="243"/>
      <c r="B520" s="239"/>
      <c r="C520" s="210"/>
      <c r="D520" s="240"/>
      <c r="E520" s="239"/>
      <c r="F520" s="244"/>
      <c r="G520" s="97"/>
      <c r="H520" s="97"/>
      <c r="I520" s="97"/>
      <c r="J520" s="97"/>
      <c r="K520" s="24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</row>
    <row r="521" ht="15.75" customHeight="1">
      <c r="A521" s="243"/>
      <c r="B521" s="239"/>
      <c r="C521" s="210"/>
      <c r="D521" s="240"/>
      <c r="E521" s="239"/>
      <c r="F521" s="244"/>
      <c r="G521" s="97"/>
      <c r="H521" s="97"/>
      <c r="I521" s="97"/>
      <c r="J521" s="97"/>
      <c r="K521" s="24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</row>
    <row r="522" ht="15.75" customHeight="1">
      <c r="A522" s="243"/>
      <c r="B522" s="239"/>
      <c r="C522" s="210"/>
      <c r="D522" s="240"/>
      <c r="E522" s="239"/>
      <c r="F522" s="244"/>
      <c r="G522" s="97"/>
      <c r="H522" s="97"/>
      <c r="I522" s="97"/>
      <c r="J522" s="97"/>
      <c r="K522" s="24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</row>
    <row r="523" ht="15.75" customHeight="1">
      <c r="A523" s="243"/>
      <c r="B523" s="239"/>
      <c r="C523" s="210"/>
      <c r="D523" s="292"/>
      <c r="E523" s="239"/>
      <c r="F523" s="244"/>
      <c r="G523" s="97"/>
      <c r="H523" s="97"/>
      <c r="I523" s="97"/>
      <c r="J523" s="97"/>
      <c r="K523" s="24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</row>
    <row r="524" ht="15.75" customHeight="1">
      <c r="A524" s="243"/>
      <c r="B524" s="239"/>
      <c r="C524" s="210"/>
      <c r="D524" s="240"/>
      <c r="E524" s="239"/>
      <c r="F524" s="244"/>
      <c r="G524" s="97"/>
      <c r="H524" s="97"/>
      <c r="I524" s="97"/>
      <c r="J524" s="97"/>
      <c r="K524" s="24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</row>
    <row r="525" ht="15.75" customHeight="1">
      <c r="A525" s="243"/>
      <c r="B525" s="239"/>
      <c r="C525" s="210"/>
      <c r="D525" s="240"/>
      <c r="E525" s="239"/>
      <c r="F525" s="244"/>
      <c r="G525" s="97"/>
      <c r="H525" s="97"/>
      <c r="I525" s="97"/>
      <c r="J525" s="97"/>
      <c r="K525" s="24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</row>
    <row r="526" ht="15.75" customHeight="1">
      <c r="A526" s="243"/>
      <c r="B526" s="239"/>
      <c r="C526" s="210"/>
      <c r="D526" s="240"/>
      <c r="E526" s="239"/>
      <c r="F526" s="244"/>
      <c r="G526" s="97"/>
      <c r="H526" s="97"/>
      <c r="I526" s="97"/>
      <c r="J526" s="97"/>
      <c r="K526" s="24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</row>
    <row r="527" ht="15.75" customHeight="1">
      <c r="A527" s="243"/>
      <c r="B527" s="239"/>
      <c r="C527" s="210"/>
      <c r="D527" s="240"/>
      <c r="E527" s="239"/>
      <c r="F527" s="244"/>
      <c r="G527" s="97"/>
      <c r="H527" s="97"/>
      <c r="I527" s="97"/>
      <c r="J527" s="97"/>
      <c r="K527" s="24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</row>
    <row r="528" ht="15.75" customHeight="1">
      <c r="A528" s="243"/>
      <c r="B528" s="239"/>
      <c r="C528" s="210"/>
      <c r="D528" s="240"/>
      <c r="E528" s="239"/>
      <c r="F528" s="244"/>
      <c r="G528" s="97"/>
      <c r="H528" s="97"/>
      <c r="I528" s="97"/>
      <c r="J528" s="97"/>
      <c r="K528" s="24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</row>
    <row r="529" ht="15.75" customHeight="1">
      <c r="A529" s="243"/>
      <c r="B529" s="239"/>
      <c r="C529" s="210"/>
      <c r="D529" s="240"/>
      <c r="E529" s="239"/>
      <c r="F529" s="244"/>
      <c r="G529" s="97"/>
      <c r="H529" s="97"/>
      <c r="I529" s="97"/>
      <c r="J529" s="97"/>
      <c r="K529" s="24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</row>
    <row r="530" ht="15.75" customHeight="1">
      <c r="A530" s="243"/>
      <c r="B530" s="239"/>
      <c r="C530" s="210"/>
      <c r="D530" s="240"/>
      <c r="E530" s="239"/>
      <c r="F530" s="244"/>
      <c r="G530" s="97"/>
      <c r="H530" s="97"/>
      <c r="I530" s="97"/>
      <c r="J530" s="97"/>
      <c r="K530" s="240"/>
      <c r="L530" s="110"/>
      <c r="M530" s="110">
        <f>2975/35</f>
        <v>85</v>
      </c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</row>
    <row r="531" ht="15.75" customHeight="1">
      <c r="A531" s="243"/>
      <c r="B531" s="239"/>
      <c r="C531" s="210"/>
      <c r="D531" s="240"/>
      <c r="E531" s="239"/>
      <c r="F531" s="244"/>
      <c r="G531" s="97"/>
      <c r="H531" s="97"/>
      <c r="I531" s="97"/>
      <c r="J531" s="97"/>
      <c r="K531" s="24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</row>
    <row r="532" ht="15.75" customHeight="1">
      <c r="A532" s="243"/>
      <c r="B532" s="239"/>
      <c r="C532" s="210"/>
      <c r="D532" s="240"/>
      <c r="E532" s="239"/>
      <c r="F532" s="244"/>
      <c r="G532" s="97"/>
      <c r="H532" s="97"/>
      <c r="I532" s="97"/>
      <c r="J532" s="97"/>
      <c r="K532" s="24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</row>
    <row r="533" ht="15.75" customHeight="1">
      <c r="A533" s="243"/>
      <c r="B533" s="239"/>
      <c r="C533" s="210"/>
      <c r="D533" s="240"/>
      <c r="E533" s="239"/>
      <c r="F533" s="244"/>
      <c r="G533" s="97"/>
      <c r="H533" s="97"/>
      <c r="I533" s="97"/>
      <c r="J533" s="97"/>
      <c r="K533" s="24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</row>
    <row r="534" ht="15.75" customHeight="1">
      <c r="A534" s="243"/>
      <c r="B534" s="239"/>
      <c r="C534" s="210"/>
      <c r="D534" s="240"/>
      <c r="E534" s="116"/>
      <c r="F534" s="244"/>
      <c r="G534" s="97"/>
      <c r="H534" s="97"/>
      <c r="I534" s="97"/>
      <c r="J534" s="97"/>
      <c r="K534" s="24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</row>
    <row r="535" ht="15.75" customHeight="1">
      <c r="A535" s="243"/>
      <c r="B535" s="239"/>
      <c r="C535" s="210"/>
      <c r="D535" s="240"/>
      <c r="E535" s="116"/>
      <c r="F535" s="244"/>
      <c r="G535" s="97"/>
      <c r="H535" s="97"/>
      <c r="I535" s="97"/>
      <c r="J535" s="97"/>
      <c r="K535" s="24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</row>
    <row r="536" ht="15.75" customHeight="1">
      <c r="A536" s="243"/>
      <c r="B536" s="239"/>
      <c r="C536" s="210"/>
      <c r="D536" s="240"/>
      <c r="E536" s="116"/>
      <c r="F536" s="244"/>
      <c r="G536" s="97"/>
      <c r="H536" s="97"/>
      <c r="I536" s="97"/>
      <c r="J536" s="97"/>
      <c r="K536" s="24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</row>
    <row r="537" ht="15.75" customHeight="1">
      <c r="A537" s="243"/>
      <c r="B537" s="239"/>
      <c r="C537" s="210"/>
      <c r="D537" s="240"/>
      <c r="E537" s="239"/>
      <c r="F537" s="244"/>
      <c r="G537" s="97"/>
      <c r="H537" s="97"/>
      <c r="I537" s="97"/>
      <c r="J537" s="97"/>
      <c r="K537" s="24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</row>
    <row r="538" ht="15.75" customHeight="1">
      <c r="A538" s="243"/>
      <c r="B538" s="239"/>
      <c r="C538" s="210"/>
      <c r="D538" s="240"/>
      <c r="E538" s="250"/>
      <c r="F538" s="244"/>
      <c r="G538" s="97"/>
      <c r="H538" s="97"/>
      <c r="I538" s="97"/>
      <c r="J538" s="97"/>
      <c r="K538" s="24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</row>
    <row r="539" ht="15.75" customHeight="1">
      <c r="A539" s="243"/>
      <c r="B539" s="239"/>
      <c r="C539" s="210"/>
      <c r="D539" s="240"/>
      <c r="E539" s="239"/>
      <c r="F539" s="244"/>
      <c r="G539" s="97"/>
      <c r="H539" s="97"/>
      <c r="I539" s="97"/>
      <c r="J539" s="97"/>
      <c r="K539" s="24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</row>
    <row r="540" ht="15.75" customHeight="1">
      <c r="A540" s="243"/>
      <c r="B540" s="239"/>
      <c r="C540" s="210"/>
      <c r="D540" s="240"/>
      <c r="E540" s="239"/>
      <c r="F540" s="244"/>
      <c r="G540" s="97"/>
      <c r="H540" s="97"/>
      <c r="I540" s="97"/>
      <c r="J540" s="97"/>
      <c r="K540" s="24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</row>
    <row r="541" ht="15.75" customHeight="1">
      <c r="A541" s="243"/>
      <c r="B541" s="239"/>
      <c r="C541" s="210"/>
      <c r="D541" s="240"/>
      <c r="E541" s="116"/>
      <c r="F541" s="244"/>
      <c r="G541" s="97"/>
      <c r="H541" s="97"/>
      <c r="I541" s="97"/>
      <c r="J541" s="97"/>
      <c r="K541" s="24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</row>
    <row r="542" ht="15.75" customHeight="1">
      <c r="A542" s="243"/>
      <c r="B542" s="239"/>
      <c r="C542" s="210"/>
      <c r="D542" s="240"/>
      <c r="E542" s="239"/>
      <c r="F542" s="244"/>
      <c r="G542" s="97"/>
      <c r="H542" s="97"/>
      <c r="I542" s="97"/>
      <c r="J542" s="97"/>
      <c r="K542" s="24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</row>
    <row r="543" ht="15.75" customHeight="1">
      <c r="A543" s="243"/>
      <c r="B543" s="239"/>
      <c r="C543" s="210"/>
      <c r="D543" s="240"/>
      <c r="E543" s="116"/>
      <c r="F543" s="244"/>
      <c r="G543" s="97"/>
      <c r="H543" s="97"/>
      <c r="I543" s="97"/>
      <c r="J543" s="97"/>
      <c r="K543" s="24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</row>
    <row r="544" ht="15.75" customHeight="1">
      <c r="A544" s="243"/>
      <c r="B544" s="239"/>
      <c r="C544" s="210"/>
      <c r="D544" s="240"/>
      <c r="E544" s="116"/>
      <c r="F544" s="244"/>
      <c r="G544" s="97"/>
      <c r="H544" s="97"/>
      <c r="I544" s="97"/>
      <c r="J544" s="97"/>
      <c r="K544" s="24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</row>
    <row r="545" ht="15.75" customHeight="1">
      <c r="A545" s="243"/>
      <c r="B545" s="239"/>
      <c r="C545" s="210"/>
      <c r="D545" s="240"/>
      <c r="E545" s="116"/>
      <c r="F545" s="244"/>
      <c r="G545" s="97"/>
      <c r="H545" s="97"/>
      <c r="I545" s="97"/>
      <c r="J545" s="97"/>
      <c r="K545" s="24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</row>
    <row r="546" ht="15.75" customHeight="1">
      <c r="A546" s="243"/>
      <c r="B546" s="239"/>
      <c r="C546" s="210"/>
      <c r="D546" s="240"/>
      <c r="E546" s="116"/>
      <c r="F546" s="244"/>
      <c r="G546" s="97"/>
      <c r="H546" s="97"/>
      <c r="I546" s="97"/>
      <c r="J546" s="97"/>
      <c r="K546" s="24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</row>
    <row r="547" ht="15.75" customHeight="1">
      <c r="A547" s="243"/>
      <c r="B547" s="239"/>
      <c r="C547" s="210"/>
      <c r="D547" s="240"/>
      <c r="E547" s="116"/>
      <c r="F547" s="244"/>
      <c r="G547" s="97"/>
      <c r="H547" s="97"/>
      <c r="I547" s="97"/>
      <c r="J547" s="97"/>
      <c r="K547" s="24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</row>
    <row r="548" ht="15.75" customHeight="1">
      <c r="A548" s="243"/>
      <c r="B548" s="239"/>
      <c r="C548" s="210"/>
      <c r="D548" s="240"/>
      <c r="E548" s="239"/>
      <c r="F548" s="244"/>
      <c r="G548" s="97"/>
      <c r="H548" s="97"/>
      <c r="I548" s="97"/>
      <c r="J548" s="97"/>
      <c r="K548" s="24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</row>
    <row r="549" ht="15.75" customHeight="1">
      <c r="A549" s="243"/>
      <c r="B549" s="239"/>
      <c r="C549" s="210"/>
      <c r="D549" s="240"/>
      <c r="E549" s="239"/>
      <c r="F549" s="244"/>
      <c r="G549" s="97"/>
      <c r="H549" s="97"/>
      <c r="I549" s="97"/>
      <c r="J549" s="97"/>
      <c r="K549" s="24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</row>
    <row r="550" ht="15.75" customHeight="1">
      <c r="A550" s="243"/>
      <c r="B550" s="239"/>
      <c r="C550" s="210"/>
      <c r="D550" s="240"/>
      <c r="E550" s="239"/>
      <c r="F550" s="244"/>
      <c r="G550" s="97"/>
      <c r="H550" s="97"/>
      <c r="I550" s="97"/>
      <c r="J550" s="97"/>
      <c r="K550" s="24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</row>
    <row r="551" ht="15.75" customHeight="1">
      <c r="A551" s="243"/>
      <c r="B551" s="239"/>
      <c r="C551" s="210"/>
      <c r="D551" s="240"/>
      <c r="E551" s="239"/>
      <c r="F551" s="244"/>
      <c r="G551" s="97"/>
      <c r="H551" s="97"/>
      <c r="I551" s="97"/>
      <c r="J551" s="97"/>
      <c r="K551" s="24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</row>
    <row r="552" ht="15.75" customHeight="1">
      <c r="A552" s="243"/>
      <c r="B552" s="239"/>
      <c r="C552" s="210"/>
      <c r="D552" s="240"/>
      <c r="E552" s="239"/>
      <c r="F552" s="244"/>
      <c r="G552" s="97"/>
      <c r="H552" s="97"/>
      <c r="I552" s="97"/>
      <c r="J552" s="97"/>
      <c r="K552" s="24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</row>
    <row r="553" ht="15.75" customHeight="1">
      <c r="A553" s="243"/>
      <c r="B553" s="239"/>
      <c r="C553" s="210"/>
      <c r="D553" s="240"/>
      <c r="E553" s="239"/>
      <c r="F553" s="244"/>
      <c r="G553" s="97"/>
      <c r="H553" s="97"/>
      <c r="I553" s="97"/>
      <c r="J553" s="97"/>
      <c r="K553" s="24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</row>
    <row r="554" ht="15.75" customHeight="1">
      <c r="A554" s="243"/>
      <c r="B554" s="239"/>
      <c r="C554" s="210"/>
      <c r="D554" s="240"/>
      <c r="E554" s="239"/>
      <c r="F554" s="244"/>
      <c r="G554" s="97"/>
      <c r="H554" s="97"/>
      <c r="I554" s="97"/>
      <c r="J554" s="97"/>
      <c r="K554" s="24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</row>
    <row r="555" ht="15.75" customHeight="1">
      <c r="A555" s="243"/>
      <c r="B555" s="239"/>
      <c r="C555" s="210"/>
      <c r="D555" s="240"/>
      <c r="E555" s="239"/>
      <c r="F555" s="244"/>
      <c r="G555" s="97"/>
      <c r="H555" s="97"/>
      <c r="I555" s="97"/>
      <c r="J555" s="97"/>
      <c r="K555" s="24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</row>
    <row r="556" ht="15.75" customHeight="1">
      <c r="A556" s="243"/>
      <c r="B556" s="239"/>
      <c r="C556" s="210"/>
      <c r="D556" s="240"/>
      <c r="E556" s="116"/>
      <c r="F556" s="244"/>
      <c r="G556" s="97"/>
      <c r="H556" s="97"/>
      <c r="I556" s="97"/>
      <c r="J556" s="97"/>
      <c r="K556" s="24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</row>
    <row r="557" ht="15.75" customHeight="1">
      <c r="A557" s="243"/>
      <c r="B557" s="239"/>
      <c r="C557" s="210"/>
      <c r="D557" s="240"/>
      <c r="E557" s="116"/>
      <c r="F557" s="244"/>
      <c r="G557" s="97"/>
      <c r="H557" s="97"/>
      <c r="I557" s="97"/>
      <c r="J557" s="97"/>
      <c r="K557" s="24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</row>
    <row r="558" ht="15.75" customHeight="1">
      <c r="A558" s="243"/>
      <c r="B558" s="239"/>
      <c r="C558" s="210"/>
      <c r="D558" s="240"/>
      <c r="E558" s="116"/>
      <c r="F558" s="244"/>
      <c r="G558" s="97"/>
      <c r="H558" s="97"/>
      <c r="I558" s="97"/>
      <c r="J558" s="97"/>
      <c r="K558" s="24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</row>
    <row r="559" ht="15.75" customHeight="1">
      <c r="A559" s="243"/>
      <c r="B559" s="239"/>
      <c r="C559" s="210"/>
      <c r="D559" s="240"/>
      <c r="E559" s="239"/>
      <c r="F559" s="244"/>
      <c r="G559" s="97"/>
      <c r="H559" s="97"/>
      <c r="I559" s="97"/>
      <c r="J559" s="97"/>
      <c r="K559" s="24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</row>
    <row r="560" ht="15.75" customHeight="1">
      <c r="A560" s="243"/>
      <c r="B560" s="239"/>
      <c r="C560" s="210"/>
      <c r="D560" s="240"/>
      <c r="E560" s="239"/>
      <c r="F560" s="244"/>
      <c r="G560" s="97"/>
      <c r="H560" s="97"/>
      <c r="I560" s="97"/>
      <c r="J560" s="97"/>
      <c r="K560" s="24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</row>
    <row r="561" ht="15.75" customHeight="1">
      <c r="A561" s="243"/>
      <c r="B561" s="239"/>
      <c r="C561" s="210"/>
      <c r="D561" s="240"/>
      <c r="E561" s="116"/>
      <c r="F561" s="108"/>
      <c r="G561" s="97"/>
      <c r="H561" s="97"/>
      <c r="I561" s="97"/>
      <c r="J561" s="97"/>
      <c r="K561" s="24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</row>
    <row r="562" ht="15.75" customHeight="1">
      <c r="A562" s="243"/>
      <c r="B562" s="239"/>
      <c r="C562" s="210"/>
      <c r="D562" s="240"/>
      <c r="E562" s="116"/>
      <c r="F562" s="108"/>
      <c r="G562" s="97"/>
      <c r="H562" s="97"/>
      <c r="I562" s="97"/>
      <c r="J562" s="97"/>
      <c r="K562" s="24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</row>
    <row r="563" ht="15.75" customHeight="1">
      <c r="A563" s="243"/>
      <c r="B563" s="239"/>
      <c r="C563" s="210"/>
      <c r="D563" s="240"/>
      <c r="E563" s="116"/>
      <c r="F563" s="244"/>
      <c r="G563" s="97"/>
      <c r="H563" s="97"/>
      <c r="I563" s="97"/>
      <c r="J563" s="97"/>
      <c r="K563" s="24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</row>
    <row r="564" ht="19.5" customHeight="1">
      <c r="A564" s="243"/>
      <c r="B564" s="239"/>
      <c r="C564" s="210"/>
      <c r="D564" s="240"/>
      <c r="E564" s="248"/>
      <c r="F564" s="249"/>
      <c r="G564" s="97"/>
      <c r="H564" s="97"/>
      <c r="I564" s="97"/>
      <c r="J564" s="97"/>
      <c r="K564" s="24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</row>
    <row r="565" ht="15.75" customHeight="1">
      <c r="A565" s="243"/>
      <c r="B565" s="239"/>
      <c r="C565" s="210"/>
      <c r="D565" s="240"/>
      <c r="E565" s="248"/>
      <c r="F565" s="249"/>
      <c r="G565" s="97"/>
      <c r="H565" s="97"/>
      <c r="I565" s="97"/>
      <c r="J565" s="97"/>
      <c r="K565" s="24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</row>
    <row r="566" ht="15.75" customHeight="1">
      <c r="A566" s="243"/>
      <c r="B566" s="239"/>
      <c r="C566" s="210"/>
      <c r="D566" s="240"/>
      <c r="E566" s="248"/>
      <c r="F566" s="249"/>
      <c r="G566" s="97"/>
      <c r="H566" s="97"/>
      <c r="I566" s="97"/>
      <c r="J566" s="97"/>
      <c r="K566" s="24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</row>
    <row r="567" ht="15.75" customHeight="1">
      <c r="A567" s="243"/>
      <c r="B567" s="239"/>
      <c r="C567" s="210"/>
      <c r="D567" s="240"/>
      <c r="E567" s="116"/>
      <c r="F567" s="249"/>
      <c r="G567" s="97"/>
      <c r="H567" s="97"/>
      <c r="I567" s="97"/>
      <c r="J567" s="97"/>
      <c r="K567" s="24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</row>
    <row r="568" ht="15.75" customHeight="1">
      <c r="A568" s="243"/>
      <c r="B568" s="239"/>
      <c r="C568" s="210"/>
      <c r="D568" s="240"/>
      <c r="E568" s="239"/>
      <c r="F568" s="249"/>
      <c r="G568" s="97"/>
      <c r="H568" s="97"/>
      <c r="I568" s="97"/>
      <c r="J568" s="97"/>
      <c r="K568" s="24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</row>
    <row r="569" ht="15.75" customHeight="1">
      <c r="A569" s="243"/>
      <c r="B569" s="239"/>
      <c r="C569" s="210"/>
      <c r="D569" s="240"/>
      <c r="E569" s="116"/>
      <c r="F569" s="244"/>
      <c r="G569" s="97"/>
      <c r="H569" s="97"/>
      <c r="I569" s="97"/>
      <c r="J569" s="97"/>
      <c r="K569" s="24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</row>
    <row r="570" ht="15.75" customHeight="1">
      <c r="A570" s="243"/>
      <c r="B570" s="239"/>
      <c r="C570" s="210"/>
      <c r="D570" s="240"/>
      <c r="E570" s="116"/>
      <c r="F570" s="244"/>
      <c r="G570" s="97"/>
      <c r="H570" s="97"/>
      <c r="I570" s="97"/>
      <c r="J570" s="97"/>
      <c r="K570" s="24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</row>
    <row r="571" ht="15.75" customHeight="1">
      <c r="A571" s="243"/>
      <c r="B571" s="239"/>
      <c r="C571" s="210"/>
      <c r="D571" s="240"/>
      <c r="E571" s="116"/>
      <c r="F571" s="244"/>
      <c r="G571" s="97"/>
      <c r="H571" s="97"/>
      <c r="I571" s="97"/>
      <c r="J571" s="97"/>
      <c r="K571" s="24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</row>
    <row r="572" ht="15.75" customHeight="1">
      <c r="A572" s="243"/>
      <c r="B572" s="294"/>
      <c r="C572" s="210"/>
      <c r="D572" s="240"/>
      <c r="E572" s="116"/>
      <c r="F572" s="244"/>
      <c r="G572" s="97"/>
      <c r="H572" s="97"/>
      <c r="I572" s="97"/>
      <c r="J572" s="97"/>
      <c r="K572" s="24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</row>
    <row r="573" ht="15.75" customHeight="1">
      <c r="A573" s="243"/>
      <c r="B573" s="294"/>
      <c r="C573" s="210"/>
      <c r="D573" s="240"/>
      <c r="E573" s="116"/>
      <c r="F573" s="244"/>
      <c r="G573" s="97"/>
      <c r="H573" s="97"/>
      <c r="I573" s="97"/>
      <c r="J573" s="97"/>
      <c r="K573" s="24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</row>
    <row r="574" ht="15.75" customHeight="1">
      <c r="A574" s="243"/>
      <c r="B574" s="239"/>
      <c r="C574" s="210"/>
      <c r="D574" s="240"/>
      <c r="E574" s="116"/>
      <c r="F574" s="244"/>
      <c r="G574" s="97"/>
      <c r="H574" s="97"/>
      <c r="I574" s="97"/>
      <c r="J574" s="97"/>
      <c r="K574" s="24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</row>
    <row r="575" ht="15.75" customHeight="1">
      <c r="A575" s="243"/>
      <c r="B575" s="239"/>
      <c r="C575" s="210"/>
      <c r="D575" s="240"/>
      <c r="E575" s="116"/>
      <c r="F575" s="244"/>
      <c r="G575" s="97"/>
      <c r="H575" s="97"/>
      <c r="I575" s="97"/>
      <c r="J575" s="97"/>
      <c r="K575" s="24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</row>
    <row r="576" ht="15.75" customHeight="1">
      <c r="A576" s="243"/>
      <c r="B576" s="239"/>
      <c r="C576" s="210"/>
      <c r="D576" s="240"/>
      <c r="E576" s="116"/>
      <c r="F576" s="244"/>
      <c r="G576" s="97"/>
      <c r="H576" s="97"/>
      <c r="I576" s="97"/>
      <c r="J576" s="97"/>
      <c r="K576" s="24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</row>
    <row r="577" ht="15.75" customHeight="1">
      <c r="A577" s="243"/>
      <c r="B577" s="239"/>
      <c r="C577" s="210"/>
      <c r="D577" s="240"/>
      <c r="E577" s="116"/>
      <c r="F577" s="244"/>
      <c r="G577" s="97"/>
      <c r="H577" s="97"/>
      <c r="I577" s="97"/>
      <c r="J577" s="97"/>
      <c r="K577" s="24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</row>
    <row r="578" ht="15.75" customHeight="1">
      <c r="A578" s="243"/>
      <c r="B578" s="239"/>
      <c r="C578" s="210"/>
      <c r="D578" s="240"/>
      <c r="E578" s="116"/>
      <c r="F578" s="244"/>
      <c r="G578" s="97"/>
      <c r="H578" s="97"/>
      <c r="I578" s="97"/>
      <c r="J578" s="97"/>
      <c r="K578" s="24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</row>
    <row r="579" ht="15.75" customHeight="1">
      <c r="A579" s="243"/>
      <c r="B579" s="239"/>
      <c r="C579" s="210"/>
      <c r="D579" s="240"/>
      <c r="E579" s="116"/>
      <c r="F579" s="244"/>
      <c r="G579" s="97"/>
      <c r="H579" s="97"/>
      <c r="I579" s="97"/>
      <c r="J579" s="97"/>
      <c r="K579" s="24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</row>
    <row r="580" ht="15.75" customHeight="1">
      <c r="A580" s="243"/>
      <c r="B580" s="239"/>
      <c r="C580" s="210"/>
      <c r="D580" s="240"/>
      <c r="E580" s="116"/>
      <c r="F580" s="244"/>
      <c r="G580" s="97"/>
      <c r="H580" s="97"/>
      <c r="I580" s="97"/>
      <c r="J580" s="97"/>
      <c r="K580" s="24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</row>
    <row r="581" ht="15.75" customHeight="1">
      <c r="A581" s="243"/>
      <c r="B581" s="239"/>
      <c r="C581" s="210"/>
      <c r="D581" s="240"/>
      <c r="E581" s="116"/>
      <c r="F581" s="244"/>
      <c r="G581" s="97"/>
      <c r="H581" s="97"/>
      <c r="I581" s="97"/>
      <c r="J581" s="97"/>
      <c r="K581" s="97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</row>
    <row r="582" ht="15.75" customHeight="1">
      <c r="A582" s="243"/>
      <c r="B582" s="239"/>
      <c r="C582" s="210"/>
      <c r="D582" s="240"/>
      <c r="E582" s="116"/>
      <c r="F582" s="244"/>
      <c r="G582" s="97"/>
      <c r="H582" s="97"/>
      <c r="I582" s="97"/>
      <c r="J582" s="97"/>
      <c r="K582" s="24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</row>
    <row r="583" ht="15.75" customHeight="1">
      <c r="A583" s="243"/>
      <c r="B583" s="239"/>
      <c r="C583" s="210"/>
      <c r="D583" s="240"/>
      <c r="E583" s="116"/>
      <c r="F583" s="244"/>
      <c r="G583" s="97"/>
      <c r="H583" s="97"/>
      <c r="I583" s="97"/>
      <c r="J583" s="97"/>
      <c r="K583" s="24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</row>
    <row r="584" ht="15.75" customHeight="1">
      <c r="A584" s="243"/>
      <c r="B584" s="239"/>
      <c r="C584" s="210"/>
      <c r="D584" s="240"/>
      <c r="E584" s="116"/>
      <c r="F584" s="244"/>
      <c r="G584" s="97"/>
      <c r="H584" s="97"/>
      <c r="I584" s="97"/>
      <c r="J584" s="97"/>
      <c r="K584" s="24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</row>
    <row r="585" ht="15.75" customHeight="1">
      <c r="A585" s="243"/>
      <c r="B585" s="239"/>
      <c r="C585" s="210"/>
      <c r="D585" s="240"/>
      <c r="E585" s="116"/>
      <c r="F585" s="244"/>
      <c r="G585" s="97"/>
      <c r="H585" s="97"/>
      <c r="I585" s="97"/>
      <c r="J585" s="97"/>
      <c r="K585" s="24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</row>
    <row r="586" ht="15.75" customHeight="1">
      <c r="A586" s="243"/>
      <c r="B586" s="239"/>
      <c r="C586" s="210"/>
      <c r="D586" s="240"/>
      <c r="E586" s="116"/>
      <c r="F586" s="244"/>
      <c r="G586" s="97"/>
      <c r="H586" s="97"/>
      <c r="I586" s="97"/>
      <c r="J586" s="97"/>
      <c r="K586" s="24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</row>
    <row r="587" ht="15.75" customHeight="1">
      <c r="A587" s="243"/>
      <c r="B587" s="239"/>
      <c r="C587" s="210"/>
      <c r="D587" s="240"/>
      <c r="E587" s="116"/>
      <c r="F587" s="244"/>
      <c r="G587" s="97"/>
      <c r="H587" s="97"/>
      <c r="I587" s="97"/>
      <c r="J587" s="97"/>
      <c r="K587" s="24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</row>
    <row r="588" ht="15.75" customHeight="1">
      <c r="A588" s="243"/>
      <c r="B588" s="239"/>
      <c r="C588" s="210"/>
      <c r="D588" s="240"/>
      <c r="E588" s="116"/>
      <c r="F588" s="244"/>
      <c r="G588" s="97"/>
      <c r="H588" s="97"/>
      <c r="I588" s="97"/>
      <c r="J588" s="97"/>
      <c r="K588" s="24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</row>
    <row r="589" ht="15.75" customHeight="1">
      <c r="A589" s="243"/>
      <c r="B589" s="239"/>
      <c r="C589" s="210"/>
      <c r="D589" s="240"/>
      <c r="E589" s="116"/>
      <c r="F589" s="244"/>
      <c r="G589" s="97"/>
      <c r="H589" s="97"/>
      <c r="I589" s="97"/>
      <c r="J589" s="97"/>
      <c r="K589" s="24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</row>
    <row r="590" ht="15.75" customHeight="1">
      <c r="A590" s="243"/>
      <c r="B590" s="239"/>
      <c r="C590" s="210"/>
      <c r="D590" s="240"/>
      <c r="E590" s="116"/>
      <c r="F590" s="244"/>
      <c r="G590" s="97"/>
      <c r="H590" s="97"/>
      <c r="I590" s="97"/>
      <c r="J590" s="97"/>
      <c r="K590" s="24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</row>
    <row r="591" ht="15.75" customHeight="1">
      <c r="A591" s="243"/>
      <c r="B591" s="239"/>
      <c r="C591" s="210"/>
      <c r="D591" s="240"/>
      <c r="E591" s="116"/>
      <c r="F591" s="244"/>
      <c r="G591" s="97"/>
      <c r="H591" s="97"/>
      <c r="I591" s="97"/>
      <c r="J591" s="97"/>
      <c r="K591" s="24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</row>
    <row r="592" ht="15.75" customHeight="1">
      <c r="A592" s="243"/>
      <c r="B592" s="239"/>
      <c r="C592" s="210"/>
      <c r="D592" s="240"/>
      <c r="E592" s="116"/>
      <c r="F592" s="244"/>
      <c r="G592" s="97"/>
      <c r="H592" s="97"/>
      <c r="I592" s="97"/>
      <c r="J592" s="97"/>
      <c r="K592" s="24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</row>
    <row r="593" ht="15.75" customHeight="1">
      <c r="A593" s="243"/>
      <c r="B593" s="239"/>
      <c r="C593" s="210"/>
      <c r="D593" s="240"/>
      <c r="E593" s="116"/>
      <c r="F593" s="244"/>
      <c r="G593" s="97"/>
      <c r="H593" s="97"/>
      <c r="I593" s="97"/>
      <c r="J593" s="97"/>
      <c r="K593" s="24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</row>
    <row r="594" ht="15.75" customHeight="1">
      <c r="A594" s="243"/>
      <c r="B594" s="239"/>
      <c r="C594" s="210"/>
      <c r="D594" s="240"/>
      <c r="E594" s="116"/>
      <c r="F594" s="244"/>
      <c r="G594" s="97"/>
      <c r="H594" s="97"/>
      <c r="I594" s="97"/>
      <c r="J594" s="97"/>
      <c r="K594" s="24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</row>
    <row r="595" ht="15.75" customHeight="1">
      <c r="A595" s="243"/>
      <c r="B595" s="239"/>
      <c r="C595" s="210"/>
      <c r="D595" s="240"/>
      <c r="E595" s="116"/>
      <c r="F595" s="244"/>
      <c r="G595" s="97"/>
      <c r="H595" s="97"/>
      <c r="I595" s="97"/>
      <c r="J595" s="97"/>
      <c r="K595" s="24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</row>
    <row r="596" ht="15.75" customHeight="1">
      <c r="A596" s="243"/>
      <c r="B596" s="239"/>
      <c r="C596" s="210"/>
      <c r="D596" s="240"/>
      <c r="E596" s="116"/>
      <c r="F596" s="244"/>
      <c r="G596" s="97"/>
      <c r="H596" s="97"/>
      <c r="I596" s="97"/>
      <c r="J596" s="97"/>
      <c r="K596" s="24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</row>
    <row r="597" ht="15.75" customHeight="1">
      <c r="A597" s="243"/>
      <c r="B597" s="239"/>
      <c r="C597" s="210"/>
      <c r="D597" s="240"/>
      <c r="E597" s="116"/>
      <c r="F597" s="244"/>
      <c r="G597" s="97"/>
      <c r="H597" s="97"/>
      <c r="I597" s="97"/>
      <c r="J597" s="97"/>
      <c r="K597" s="24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</row>
    <row r="598" ht="15.75" customHeight="1">
      <c r="A598" s="243"/>
      <c r="B598" s="239"/>
      <c r="C598" s="210"/>
      <c r="D598" s="240"/>
      <c r="E598" s="239"/>
      <c r="F598" s="244"/>
      <c r="G598" s="97"/>
      <c r="H598" s="97"/>
      <c r="I598" s="97"/>
      <c r="J598" s="97"/>
      <c r="K598" s="24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</row>
    <row r="599" ht="15.75" customHeight="1">
      <c r="A599" s="243"/>
      <c r="B599" s="239"/>
      <c r="C599" s="210"/>
      <c r="D599" s="240"/>
      <c r="E599" s="116"/>
      <c r="F599" s="244"/>
      <c r="G599" s="97"/>
      <c r="H599" s="97"/>
      <c r="I599" s="97"/>
      <c r="J599" s="97"/>
      <c r="K599" s="24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</row>
    <row r="600" ht="15.75" customHeight="1">
      <c r="A600" s="243"/>
      <c r="B600" s="239"/>
      <c r="C600" s="210"/>
      <c r="D600" s="240"/>
      <c r="E600" s="116"/>
      <c r="F600" s="244"/>
      <c r="G600" s="97"/>
      <c r="H600" s="97"/>
      <c r="I600" s="97"/>
      <c r="J600" s="97"/>
      <c r="K600" s="24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</row>
    <row r="601" ht="15.75" customHeight="1">
      <c r="A601" s="243"/>
      <c r="B601" s="239"/>
      <c r="C601" s="210"/>
      <c r="D601" s="240"/>
      <c r="E601" s="116"/>
      <c r="F601" s="244"/>
      <c r="G601" s="97"/>
      <c r="H601" s="97"/>
      <c r="I601" s="97"/>
      <c r="J601" s="97"/>
      <c r="K601" s="24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</row>
    <row r="602" ht="15.75" customHeight="1">
      <c r="A602" s="243"/>
      <c r="B602" s="239"/>
      <c r="C602" s="210"/>
      <c r="D602" s="240"/>
      <c r="E602" s="116"/>
      <c r="F602" s="244"/>
      <c r="G602" s="97"/>
      <c r="H602" s="97"/>
      <c r="I602" s="97"/>
      <c r="J602" s="97"/>
      <c r="K602" s="24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</row>
    <row r="603" ht="15.75" customHeight="1">
      <c r="A603" s="243"/>
      <c r="B603" s="239"/>
      <c r="C603" s="210"/>
      <c r="D603" s="240"/>
      <c r="E603" s="116"/>
      <c r="F603" s="244"/>
      <c r="G603" s="97"/>
      <c r="H603" s="97"/>
      <c r="I603" s="97"/>
      <c r="J603" s="97"/>
      <c r="K603" s="24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</row>
    <row r="604" ht="15.75" customHeight="1">
      <c r="A604" s="243"/>
      <c r="B604" s="239"/>
      <c r="C604" s="210"/>
      <c r="D604" s="240"/>
      <c r="E604" s="239"/>
      <c r="F604" s="244"/>
      <c r="G604" s="97"/>
      <c r="H604" s="97"/>
      <c r="I604" s="97"/>
      <c r="J604" s="97"/>
      <c r="K604" s="24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</row>
    <row r="605" ht="15.75" customHeight="1">
      <c r="A605" s="243"/>
      <c r="B605" s="239"/>
      <c r="C605" s="210"/>
      <c r="D605" s="240"/>
      <c r="E605" s="116"/>
      <c r="F605" s="244"/>
      <c r="G605" s="97"/>
      <c r="H605" s="97"/>
      <c r="I605" s="97"/>
      <c r="J605" s="97"/>
      <c r="K605" s="24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</row>
    <row r="606" ht="15.75" customHeight="1">
      <c r="A606" s="243"/>
      <c r="B606" s="239"/>
      <c r="C606" s="210"/>
      <c r="D606" s="240"/>
      <c r="E606" s="116"/>
      <c r="F606" s="244"/>
      <c r="G606" s="97"/>
      <c r="H606" s="97"/>
      <c r="I606" s="97"/>
      <c r="J606" s="97"/>
      <c r="K606" s="24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</row>
    <row r="607" ht="15.75" customHeight="1">
      <c r="A607" s="243"/>
      <c r="B607" s="239"/>
      <c r="C607" s="210"/>
      <c r="D607" s="240"/>
      <c r="E607" s="116"/>
      <c r="F607" s="244"/>
      <c r="G607" s="97"/>
      <c r="H607" s="97"/>
      <c r="I607" s="97"/>
      <c r="J607" s="97"/>
      <c r="K607" s="24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</row>
    <row r="608" ht="15.75" customHeight="1">
      <c r="A608" s="243"/>
      <c r="B608" s="239"/>
      <c r="C608" s="210"/>
      <c r="D608" s="240"/>
      <c r="E608" s="116"/>
      <c r="F608" s="244"/>
      <c r="G608" s="97"/>
      <c r="H608" s="97"/>
      <c r="I608" s="97"/>
      <c r="J608" s="97"/>
      <c r="K608" s="24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</row>
    <row r="609" ht="15.75" customHeight="1">
      <c r="A609" s="243"/>
      <c r="B609" s="239"/>
      <c r="C609" s="210"/>
      <c r="D609" s="240"/>
      <c r="E609" s="116"/>
      <c r="F609" s="244"/>
      <c r="G609" s="97"/>
      <c r="H609" s="97"/>
      <c r="I609" s="97"/>
      <c r="J609" s="97"/>
      <c r="K609" s="24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</row>
    <row r="610" ht="15.75" customHeight="1">
      <c r="A610" s="243"/>
      <c r="B610" s="239"/>
      <c r="C610" s="210"/>
      <c r="D610" s="240"/>
      <c r="E610" s="248"/>
      <c r="F610" s="249"/>
      <c r="G610" s="97"/>
      <c r="H610" s="97"/>
      <c r="I610" s="97"/>
      <c r="J610" s="97"/>
      <c r="K610" s="24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</row>
    <row r="611" ht="15.75" customHeight="1">
      <c r="A611" s="243"/>
      <c r="B611" s="239"/>
      <c r="C611" s="210"/>
      <c r="D611" s="240"/>
      <c r="E611" s="248"/>
      <c r="F611" s="249"/>
      <c r="G611" s="97"/>
      <c r="H611" s="97"/>
      <c r="I611" s="97"/>
      <c r="J611" s="97"/>
      <c r="K611" s="24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</row>
    <row r="612" ht="15.75" customHeight="1">
      <c r="A612" s="243"/>
      <c r="B612" s="239"/>
      <c r="C612" s="210"/>
      <c r="D612" s="240"/>
      <c r="E612" s="116"/>
      <c r="F612" s="244"/>
      <c r="G612" s="97"/>
      <c r="H612" s="97"/>
      <c r="I612" s="97"/>
      <c r="J612" s="97"/>
      <c r="K612" s="24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</row>
    <row r="613" ht="15.75" customHeight="1">
      <c r="A613" s="243"/>
      <c r="B613" s="239"/>
      <c r="C613" s="210"/>
      <c r="D613" s="240"/>
      <c r="E613" s="116"/>
      <c r="F613" s="244"/>
      <c r="G613" s="97"/>
      <c r="H613" s="97"/>
      <c r="I613" s="97"/>
      <c r="J613" s="97"/>
      <c r="K613" s="24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</row>
    <row r="614" ht="15.75" customHeight="1">
      <c r="A614" s="243"/>
      <c r="B614" s="239"/>
      <c r="C614" s="210"/>
      <c r="D614" s="240"/>
      <c r="E614" s="116"/>
      <c r="F614" s="244"/>
      <c r="G614" s="97"/>
      <c r="H614" s="97"/>
      <c r="I614" s="97"/>
      <c r="J614" s="97"/>
      <c r="K614" s="24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</row>
    <row r="615" ht="15.75" customHeight="1">
      <c r="A615" s="243"/>
      <c r="B615" s="239"/>
      <c r="C615" s="210"/>
      <c r="D615" s="240"/>
      <c r="E615" s="116"/>
      <c r="F615" s="244"/>
      <c r="G615" s="97"/>
      <c r="H615" s="97"/>
      <c r="I615" s="97"/>
      <c r="J615" s="97"/>
      <c r="K615" s="24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</row>
    <row r="616" ht="15.75" customHeight="1">
      <c r="A616" s="243"/>
      <c r="B616" s="239"/>
      <c r="C616" s="210"/>
      <c r="D616" s="240"/>
      <c r="E616" s="239"/>
      <c r="F616" s="244"/>
      <c r="G616" s="97"/>
      <c r="H616" s="97"/>
      <c r="I616" s="97"/>
      <c r="J616" s="97"/>
      <c r="K616" s="24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</row>
    <row r="617" ht="15.75" customHeight="1">
      <c r="A617" s="243"/>
      <c r="B617" s="239"/>
      <c r="C617" s="210"/>
      <c r="D617" s="240"/>
      <c r="E617" s="239"/>
      <c r="F617" s="244"/>
      <c r="G617" s="97"/>
      <c r="H617" s="97"/>
      <c r="I617" s="97"/>
      <c r="J617" s="97"/>
      <c r="K617" s="24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</row>
    <row r="618" ht="15.75" customHeight="1">
      <c r="A618" s="243"/>
      <c r="B618" s="239"/>
      <c r="C618" s="210"/>
      <c r="D618" s="240"/>
      <c r="E618" s="116"/>
      <c r="F618" s="244"/>
      <c r="G618" s="97"/>
      <c r="H618" s="97"/>
      <c r="I618" s="97"/>
      <c r="J618" s="97"/>
      <c r="K618" s="24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</row>
    <row r="619" ht="15.75" customHeight="1">
      <c r="A619" s="243"/>
      <c r="B619" s="239"/>
      <c r="C619" s="210"/>
      <c r="D619" s="240"/>
      <c r="E619" s="239"/>
      <c r="F619" s="244"/>
      <c r="G619" s="97"/>
      <c r="H619" s="97"/>
      <c r="I619" s="97"/>
      <c r="J619" s="97"/>
      <c r="K619" s="24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</row>
    <row r="620" ht="15.75" customHeight="1">
      <c r="A620" s="243"/>
      <c r="B620" s="239"/>
      <c r="C620" s="210"/>
      <c r="D620" s="240"/>
      <c r="E620" s="239"/>
      <c r="F620" s="244"/>
      <c r="G620" s="97"/>
      <c r="H620" s="97"/>
      <c r="I620" s="97"/>
      <c r="J620" s="97"/>
      <c r="K620" s="24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</row>
    <row r="621" ht="15.75" customHeight="1">
      <c r="A621" s="243"/>
      <c r="B621" s="239"/>
      <c r="C621" s="210"/>
      <c r="D621" s="240"/>
      <c r="E621" s="239"/>
      <c r="F621" s="244"/>
      <c r="G621" s="97"/>
      <c r="H621" s="97"/>
      <c r="I621" s="97"/>
      <c r="J621" s="97"/>
      <c r="K621" s="24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</row>
    <row r="622" ht="15.75" customHeight="1">
      <c r="A622" s="243"/>
      <c r="B622" s="239"/>
      <c r="C622" s="210"/>
      <c r="D622" s="240"/>
      <c r="E622" s="239"/>
      <c r="F622" s="244"/>
      <c r="G622" s="97"/>
      <c r="H622" s="97"/>
      <c r="I622" s="97"/>
      <c r="J622" s="97"/>
      <c r="K622" s="24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</row>
    <row r="623" ht="15.75" customHeight="1">
      <c r="A623" s="243"/>
      <c r="B623" s="239"/>
      <c r="C623" s="210"/>
      <c r="D623" s="240"/>
      <c r="E623" s="239"/>
      <c r="F623" s="244"/>
      <c r="G623" s="97"/>
      <c r="H623" s="97"/>
      <c r="I623" s="97"/>
      <c r="J623" s="97"/>
      <c r="K623" s="24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</row>
    <row r="624" ht="15.75" customHeight="1">
      <c r="A624" s="243"/>
      <c r="B624" s="239"/>
      <c r="C624" s="210"/>
      <c r="D624" s="240"/>
      <c r="E624" s="239"/>
      <c r="F624" s="244"/>
      <c r="G624" s="97"/>
      <c r="H624" s="97"/>
      <c r="I624" s="97"/>
      <c r="J624" s="97"/>
      <c r="K624" s="24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</row>
    <row r="625" ht="15.75" customHeight="1">
      <c r="A625" s="243"/>
      <c r="B625" s="239"/>
      <c r="C625" s="210"/>
      <c r="D625" s="240"/>
      <c r="E625" s="239"/>
      <c r="F625" s="244"/>
      <c r="G625" s="97"/>
      <c r="H625" s="97"/>
      <c r="I625" s="97"/>
      <c r="J625" s="97"/>
      <c r="K625" s="24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</row>
    <row r="626" ht="15.75" customHeight="1">
      <c r="A626" s="243"/>
      <c r="B626" s="239"/>
      <c r="C626" s="210"/>
      <c r="D626" s="240"/>
      <c r="E626" s="239"/>
      <c r="F626" s="244"/>
      <c r="G626" s="97"/>
      <c r="H626" s="97"/>
      <c r="I626" s="97"/>
      <c r="J626" s="97"/>
      <c r="K626" s="24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</row>
    <row r="627" ht="15.75" customHeight="1">
      <c r="A627" s="243"/>
      <c r="B627" s="239"/>
      <c r="C627" s="210"/>
      <c r="D627" s="240"/>
      <c r="E627" s="239"/>
      <c r="F627" s="244"/>
      <c r="G627" s="97"/>
      <c r="H627" s="97"/>
      <c r="I627" s="97"/>
      <c r="J627" s="97"/>
      <c r="K627" s="24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</row>
    <row r="628" ht="15.75" customHeight="1">
      <c r="A628" s="243"/>
      <c r="B628" s="239"/>
      <c r="C628" s="210"/>
      <c r="D628" s="240"/>
      <c r="E628" s="239"/>
      <c r="F628" s="244"/>
      <c r="G628" s="97"/>
      <c r="H628" s="97"/>
      <c r="I628" s="97"/>
      <c r="J628" s="97"/>
      <c r="K628" s="24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</row>
    <row r="629" ht="15.75" customHeight="1">
      <c r="A629" s="243"/>
      <c r="B629" s="239"/>
      <c r="C629" s="210"/>
      <c r="D629" s="240"/>
      <c r="E629" s="116"/>
      <c r="F629" s="244"/>
      <c r="G629" s="97"/>
      <c r="H629" s="97"/>
      <c r="I629" s="97"/>
      <c r="J629" s="97"/>
      <c r="K629" s="24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</row>
    <row r="630" ht="15.75" customHeight="1">
      <c r="A630" s="243"/>
      <c r="B630" s="239"/>
      <c r="C630" s="210"/>
      <c r="D630" s="240"/>
      <c r="E630" s="239"/>
      <c r="F630" s="244"/>
      <c r="G630" s="97"/>
      <c r="H630" s="97"/>
      <c r="I630" s="97"/>
      <c r="J630" s="97"/>
      <c r="K630" s="24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</row>
    <row r="631" ht="15.75" customHeight="1">
      <c r="A631" s="243"/>
      <c r="B631" s="239"/>
      <c r="C631" s="210"/>
      <c r="D631" s="240"/>
      <c r="E631" s="116"/>
      <c r="F631" s="244"/>
      <c r="G631" s="97"/>
      <c r="H631" s="97"/>
      <c r="I631" s="97"/>
      <c r="J631" s="97"/>
      <c r="K631" s="24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</row>
    <row r="632" ht="15.75" customHeight="1">
      <c r="A632" s="243"/>
      <c r="B632" s="239"/>
      <c r="C632" s="210"/>
      <c r="D632" s="240"/>
      <c r="E632" s="116"/>
      <c r="F632" s="244"/>
      <c r="G632" s="97"/>
      <c r="H632" s="97"/>
      <c r="I632" s="97"/>
      <c r="J632" s="97"/>
      <c r="K632" s="24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</row>
    <row r="633" ht="15.75" customHeight="1">
      <c r="A633" s="243"/>
      <c r="B633" s="239"/>
      <c r="C633" s="210"/>
      <c r="D633" s="240"/>
      <c r="E633" s="116"/>
      <c r="F633" s="244"/>
      <c r="G633" s="97"/>
      <c r="H633" s="97"/>
      <c r="I633" s="97"/>
      <c r="J633" s="97"/>
      <c r="K633" s="24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</row>
    <row r="634" ht="15.75" customHeight="1">
      <c r="A634" s="243"/>
      <c r="B634" s="239"/>
      <c r="C634" s="210"/>
      <c r="D634" s="240"/>
      <c r="E634" s="116"/>
      <c r="F634" s="244"/>
      <c r="G634" s="97"/>
      <c r="H634" s="97"/>
      <c r="I634" s="97"/>
      <c r="J634" s="97"/>
      <c r="K634" s="24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</row>
    <row r="635" ht="15.75" customHeight="1">
      <c r="A635" s="243"/>
      <c r="B635" s="239"/>
      <c r="C635" s="210"/>
      <c r="D635" s="240"/>
      <c r="E635" s="116"/>
      <c r="F635" s="244"/>
      <c r="G635" s="97"/>
      <c r="H635" s="97"/>
      <c r="I635" s="97"/>
      <c r="J635" s="97"/>
      <c r="K635" s="24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</row>
    <row r="636" ht="15.75" customHeight="1">
      <c r="A636" s="243"/>
      <c r="B636" s="239"/>
      <c r="C636" s="210"/>
      <c r="D636" s="240"/>
      <c r="E636" s="116"/>
      <c r="F636" s="244"/>
      <c r="G636" s="97"/>
      <c r="H636" s="97"/>
      <c r="I636" s="97"/>
      <c r="J636" s="97"/>
      <c r="K636" s="24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</row>
    <row r="637" ht="15.75" customHeight="1">
      <c r="A637" s="243"/>
      <c r="B637" s="239"/>
      <c r="C637" s="210"/>
      <c r="D637" s="240"/>
      <c r="E637" s="239"/>
      <c r="F637" s="244"/>
      <c r="G637" s="97"/>
      <c r="H637" s="97"/>
      <c r="I637" s="97"/>
      <c r="J637" s="97"/>
      <c r="K637" s="24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</row>
    <row r="638" ht="15.75" customHeight="1">
      <c r="A638" s="243"/>
      <c r="B638" s="239"/>
      <c r="C638" s="210"/>
      <c r="D638" s="240"/>
      <c r="E638" s="116"/>
      <c r="F638" s="244"/>
      <c r="G638" s="97"/>
      <c r="H638" s="97"/>
      <c r="I638" s="97"/>
      <c r="J638" s="97"/>
      <c r="K638" s="24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</row>
    <row r="639" ht="15.75" customHeight="1">
      <c r="A639" s="243"/>
      <c r="B639" s="239"/>
      <c r="C639" s="210"/>
      <c r="D639" s="240"/>
      <c r="E639" s="116"/>
      <c r="F639" s="244"/>
      <c r="G639" s="97"/>
      <c r="H639" s="97"/>
      <c r="I639" s="97"/>
      <c r="J639" s="97"/>
      <c r="K639" s="24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</row>
    <row r="640" ht="15.75" customHeight="1">
      <c r="A640" s="243"/>
      <c r="B640" s="239"/>
      <c r="C640" s="210"/>
      <c r="D640" s="240"/>
      <c r="E640" s="116"/>
      <c r="F640" s="244"/>
      <c r="G640" s="97"/>
      <c r="H640" s="97"/>
      <c r="I640" s="97"/>
      <c r="J640" s="97"/>
      <c r="K640" s="24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</row>
    <row r="641" ht="15.75" customHeight="1">
      <c r="A641" s="243"/>
      <c r="B641" s="239"/>
      <c r="C641" s="210"/>
      <c r="D641" s="240"/>
      <c r="E641" s="116"/>
      <c r="F641" s="244"/>
      <c r="G641" s="97"/>
      <c r="H641" s="97"/>
      <c r="I641" s="97"/>
      <c r="J641" s="97"/>
      <c r="K641" s="24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</row>
    <row r="642" ht="15.75" customHeight="1">
      <c r="A642" s="243"/>
      <c r="B642" s="239"/>
      <c r="C642" s="210"/>
      <c r="D642" s="240"/>
      <c r="E642" s="116"/>
      <c r="F642" s="244"/>
      <c r="G642" s="97"/>
      <c r="H642" s="97"/>
      <c r="I642" s="97"/>
      <c r="J642" s="97"/>
      <c r="K642" s="301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</row>
    <row r="643" ht="15.75" customHeight="1">
      <c r="A643" s="243"/>
      <c r="B643" s="239"/>
      <c r="C643" s="210"/>
      <c r="D643" s="240"/>
      <c r="E643" s="116"/>
      <c r="F643" s="244"/>
      <c r="G643" s="97"/>
      <c r="H643" s="97"/>
      <c r="I643" s="97"/>
      <c r="J643" s="97"/>
      <c r="K643" s="24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</row>
    <row r="644" ht="15.75" customHeight="1">
      <c r="A644" s="243"/>
      <c r="B644" s="239"/>
      <c r="C644" s="210"/>
      <c r="D644" s="240"/>
      <c r="E644" s="239"/>
      <c r="F644" s="244"/>
      <c r="G644" s="97"/>
      <c r="H644" s="97"/>
      <c r="I644" s="97"/>
      <c r="J644" s="97"/>
      <c r="K644" s="24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</row>
    <row r="645" ht="15.75" customHeight="1">
      <c r="A645" s="243"/>
      <c r="B645" s="239"/>
      <c r="C645" s="210"/>
      <c r="D645" s="240"/>
      <c r="E645" s="116"/>
      <c r="F645" s="244"/>
      <c r="G645" s="97"/>
      <c r="H645" s="97"/>
      <c r="I645" s="97"/>
      <c r="J645" s="97"/>
      <c r="K645" s="24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</row>
    <row r="646" ht="15.75" customHeight="1">
      <c r="A646" s="243"/>
      <c r="B646" s="239"/>
      <c r="C646" s="210"/>
      <c r="D646" s="240"/>
      <c r="E646" s="116"/>
      <c r="F646" s="244"/>
      <c r="G646" s="97"/>
      <c r="H646" s="97"/>
      <c r="I646" s="97"/>
      <c r="J646" s="97"/>
      <c r="K646" s="24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</row>
    <row r="647" ht="15.75" customHeight="1">
      <c r="A647" s="243"/>
      <c r="B647" s="239"/>
      <c r="C647" s="210"/>
      <c r="D647" s="240"/>
      <c r="E647" s="116"/>
      <c r="F647" s="244"/>
      <c r="G647" s="97"/>
      <c r="H647" s="97"/>
      <c r="I647" s="97"/>
      <c r="J647" s="97"/>
      <c r="K647" s="97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</row>
    <row r="648" ht="15.75" customHeight="1">
      <c r="A648" s="243"/>
      <c r="B648" s="239"/>
      <c r="C648" s="210"/>
      <c r="D648" s="240"/>
      <c r="E648" s="116"/>
      <c r="F648" s="244"/>
      <c r="G648" s="97"/>
      <c r="H648" s="97"/>
      <c r="I648" s="97"/>
      <c r="J648" s="97"/>
      <c r="K648" s="24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</row>
    <row r="649" ht="15.75" customHeight="1">
      <c r="A649" s="243"/>
      <c r="B649" s="239"/>
      <c r="C649" s="210"/>
      <c r="D649" s="240"/>
      <c r="E649" s="116"/>
      <c r="F649" s="244"/>
      <c r="G649" s="97"/>
      <c r="H649" s="97"/>
      <c r="I649" s="97"/>
      <c r="J649" s="97"/>
      <c r="K649" s="24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</row>
    <row r="650" ht="15.75" customHeight="1">
      <c r="A650" s="243"/>
      <c r="B650" s="239"/>
      <c r="C650" s="210"/>
      <c r="D650" s="240"/>
      <c r="E650" s="116"/>
      <c r="F650" s="244"/>
      <c r="G650" s="97"/>
      <c r="H650" s="97"/>
      <c r="I650" s="97"/>
      <c r="J650" s="97"/>
      <c r="K650" s="24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</row>
    <row r="651" ht="15.75" customHeight="1">
      <c r="A651" s="243"/>
      <c r="B651" s="239"/>
      <c r="C651" s="210"/>
      <c r="D651" s="240"/>
      <c r="E651" s="116"/>
      <c r="F651" s="244"/>
      <c r="G651" s="97"/>
      <c r="H651" s="97"/>
      <c r="I651" s="97"/>
      <c r="J651" s="97"/>
      <c r="K651" s="24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</row>
    <row r="652" ht="15.75" customHeight="1">
      <c r="A652" s="243"/>
      <c r="B652" s="239"/>
      <c r="C652" s="210"/>
      <c r="D652" s="240"/>
      <c r="E652" s="116"/>
      <c r="F652" s="244"/>
      <c r="G652" s="97"/>
      <c r="H652" s="97"/>
      <c r="I652" s="97"/>
      <c r="J652" s="97"/>
      <c r="K652" s="24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</row>
    <row r="653" ht="15.75" customHeight="1">
      <c r="A653" s="243"/>
      <c r="B653" s="239"/>
      <c r="C653" s="210"/>
      <c r="D653" s="240"/>
      <c r="E653" s="250"/>
      <c r="F653" s="244"/>
      <c r="G653" s="97"/>
      <c r="H653" s="97"/>
      <c r="I653" s="97"/>
      <c r="J653" s="97"/>
      <c r="K653" s="24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</row>
    <row r="654" ht="15.75" customHeight="1">
      <c r="A654" s="243"/>
      <c r="B654" s="239"/>
      <c r="C654" s="210"/>
      <c r="D654" s="240"/>
      <c r="E654" s="250"/>
      <c r="F654" s="244"/>
      <c r="G654" s="97"/>
      <c r="H654" s="97"/>
      <c r="I654" s="97"/>
      <c r="J654" s="97"/>
      <c r="K654" s="24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</row>
    <row r="655" ht="15.75" customHeight="1">
      <c r="A655" s="243"/>
      <c r="B655" s="239"/>
      <c r="C655" s="210"/>
      <c r="D655" s="240"/>
      <c r="E655" s="250"/>
      <c r="F655" s="244"/>
      <c r="G655" s="97"/>
      <c r="H655" s="97"/>
      <c r="I655" s="97"/>
      <c r="J655" s="97"/>
      <c r="K655" s="24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</row>
    <row r="656" ht="15.75" customHeight="1">
      <c r="A656" s="243"/>
      <c r="B656" s="239"/>
      <c r="C656" s="210"/>
      <c r="D656" s="240"/>
      <c r="E656" s="116"/>
      <c r="F656" s="244"/>
      <c r="G656" s="97"/>
      <c r="H656" s="97"/>
      <c r="I656" s="97"/>
      <c r="J656" s="97"/>
      <c r="K656" s="24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</row>
    <row r="657" ht="15.75" customHeight="1">
      <c r="A657" s="243"/>
      <c r="B657" s="239"/>
      <c r="C657" s="210"/>
      <c r="D657" s="240"/>
      <c r="E657" s="116"/>
      <c r="F657" s="244"/>
      <c r="G657" s="97"/>
      <c r="H657" s="97"/>
      <c r="I657" s="97"/>
      <c r="J657" s="97"/>
      <c r="K657" s="24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</row>
    <row r="658" ht="15.75" customHeight="1">
      <c r="A658" s="243"/>
      <c r="B658" s="239"/>
      <c r="C658" s="210"/>
      <c r="D658" s="240"/>
      <c r="E658" s="116"/>
      <c r="F658" s="244"/>
      <c r="G658" s="97"/>
      <c r="H658" s="97"/>
      <c r="I658" s="97"/>
      <c r="J658" s="97"/>
      <c r="K658" s="24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</row>
    <row r="659" ht="15.75" customHeight="1">
      <c r="A659" s="243"/>
      <c r="B659" s="239"/>
      <c r="C659" s="210"/>
      <c r="D659" s="240"/>
      <c r="E659" s="250"/>
      <c r="F659" s="244"/>
      <c r="G659" s="97"/>
      <c r="H659" s="97"/>
      <c r="I659" s="97"/>
      <c r="J659" s="97"/>
      <c r="K659" s="24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</row>
    <row r="660" ht="15.75" customHeight="1">
      <c r="A660" s="243"/>
      <c r="B660" s="239"/>
      <c r="C660" s="210"/>
      <c r="D660" s="240"/>
      <c r="E660" s="116"/>
      <c r="F660" s="244"/>
      <c r="G660" s="97"/>
      <c r="H660" s="97"/>
      <c r="I660" s="97"/>
      <c r="J660" s="97"/>
      <c r="K660" s="24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</row>
    <row r="661" ht="15.75" customHeight="1">
      <c r="A661" s="243"/>
      <c r="B661" s="239"/>
      <c r="C661" s="210"/>
      <c r="D661" s="240"/>
      <c r="E661" s="116"/>
      <c r="F661" s="244"/>
      <c r="G661" s="97"/>
      <c r="H661" s="97"/>
      <c r="I661" s="97"/>
      <c r="J661" s="97"/>
      <c r="K661" s="24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</row>
    <row r="662" ht="15.75" customHeight="1">
      <c r="A662" s="243"/>
      <c r="B662" s="239"/>
      <c r="C662" s="210"/>
      <c r="D662" s="240"/>
      <c r="E662" s="116"/>
      <c r="F662" s="244"/>
      <c r="G662" s="97"/>
      <c r="H662" s="97"/>
      <c r="I662" s="97"/>
      <c r="J662" s="97"/>
      <c r="K662" s="24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</row>
    <row r="663" ht="15.75" customHeight="1">
      <c r="A663" s="243"/>
      <c r="B663" s="239"/>
      <c r="C663" s="210"/>
      <c r="D663" s="240"/>
      <c r="E663" s="116"/>
      <c r="F663" s="244"/>
      <c r="G663" s="97"/>
      <c r="H663" s="97"/>
      <c r="I663" s="97"/>
      <c r="J663" s="97"/>
      <c r="K663" s="24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</row>
    <row r="664" ht="15.75" customHeight="1">
      <c r="A664" s="243"/>
      <c r="B664" s="239"/>
      <c r="C664" s="210"/>
      <c r="D664" s="240"/>
      <c r="E664" s="116"/>
      <c r="F664" s="244"/>
      <c r="G664" s="97"/>
      <c r="H664" s="97"/>
      <c r="I664" s="97"/>
      <c r="J664" s="97"/>
      <c r="K664" s="24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</row>
    <row r="665" ht="15.75" customHeight="1">
      <c r="A665" s="243"/>
      <c r="B665" s="239"/>
      <c r="C665" s="210"/>
      <c r="D665" s="240"/>
      <c r="E665" s="116"/>
      <c r="F665" s="244"/>
      <c r="G665" s="97"/>
      <c r="H665" s="97"/>
      <c r="I665" s="97"/>
      <c r="J665" s="97"/>
      <c r="K665" s="24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</row>
    <row r="666" ht="15.75" customHeight="1">
      <c r="A666" s="243"/>
      <c r="B666" s="239"/>
      <c r="C666" s="210"/>
      <c r="D666" s="302"/>
      <c r="E666" s="116"/>
      <c r="F666" s="244"/>
      <c r="G666" s="97"/>
      <c r="H666" s="97"/>
      <c r="I666" s="97"/>
      <c r="J666" s="97"/>
      <c r="K666" s="24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</row>
    <row r="667" ht="15.75" customHeight="1">
      <c r="A667" s="243"/>
      <c r="B667" s="239"/>
      <c r="C667" s="210"/>
      <c r="D667" s="240"/>
      <c r="E667" s="250"/>
      <c r="F667" s="244"/>
      <c r="G667" s="97"/>
      <c r="H667" s="97"/>
      <c r="I667" s="97"/>
      <c r="J667" s="97"/>
      <c r="K667" s="24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</row>
    <row r="668" ht="15.75" customHeight="1">
      <c r="A668" s="243"/>
      <c r="B668" s="239"/>
      <c r="C668" s="210"/>
      <c r="D668" s="240"/>
      <c r="E668" s="250"/>
      <c r="F668" s="244"/>
      <c r="G668" s="97"/>
      <c r="H668" s="97"/>
      <c r="I668" s="97"/>
      <c r="J668" s="97"/>
      <c r="K668" s="24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</row>
    <row r="669" ht="15.75" customHeight="1">
      <c r="A669" s="243"/>
      <c r="B669" s="239"/>
      <c r="C669" s="210"/>
      <c r="D669" s="240"/>
      <c r="E669" s="250"/>
      <c r="F669" s="244"/>
      <c r="G669" s="97"/>
      <c r="H669" s="97"/>
      <c r="I669" s="97"/>
      <c r="J669" s="97"/>
      <c r="K669" s="24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</row>
    <row r="670" ht="15.75" customHeight="1">
      <c r="A670" s="243"/>
      <c r="B670" s="239"/>
      <c r="C670" s="210"/>
      <c r="D670" s="240"/>
      <c r="E670" s="116"/>
      <c r="F670" s="244"/>
      <c r="G670" s="97"/>
      <c r="H670" s="97"/>
      <c r="I670" s="97"/>
      <c r="J670" s="97"/>
      <c r="K670" s="24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</row>
    <row r="671" ht="15.75" customHeight="1">
      <c r="A671" s="243"/>
      <c r="B671" s="239"/>
      <c r="C671" s="210"/>
      <c r="D671" s="240"/>
      <c r="E671" s="116"/>
      <c r="F671" s="244"/>
      <c r="G671" s="97"/>
      <c r="H671" s="97"/>
      <c r="I671" s="97"/>
      <c r="J671" s="97"/>
      <c r="K671" s="24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</row>
    <row r="672" ht="15.75" customHeight="1">
      <c r="A672" s="243"/>
      <c r="B672" s="239"/>
      <c r="C672" s="210"/>
      <c r="D672" s="240"/>
      <c r="E672" s="239"/>
      <c r="F672" s="244"/>
      <c r="G672" s="97"/>
      <c r="H672" s="97"/>
      <c r="I672" s="97"/>
      <c r="J672" s="97"/>
      <c r="K672" s="24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</row>
    <row r="673" ht="15.75" customHeight="1">
      <c r="A673" s="243"/>
      <c r="B673" s="239"/>
      <c r="C673" s="210"/>
      <c r="D673" s="240"/>
      <c r="E673" s="303"/>
      <c r="F673" s="304"/>
      <c r="G673" s="97"/>
      <c r="H673" s="97"/>
      <c r="I673" s="97"/>
      <c r="J673" s="97"/>
      <c r="K673" s="305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</row>
    <row r="674" ht="15.75" customHeight="1">
      <c r="A674" s="243"/>
      <c r="B674" s="239"/>
      <c r="C674" s="210"/>
      <c r="D674" s="240"/>
      <c r="E674" s="116"/>
      <c r="F674" s="244"/>
      <c r="G674" s="97"/>
      <c r="H674" s="97"/>
      <c r="I674" s="97"/>
      <c r="J674" s="97"/>
      <c r="K674" s="305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</row>
    <row r="675" ht="15.75" customHeight="1">
      <c r="A675" s="243"/>
      <c r="B675" s="239"/>
      <c r="C675" s="210"/>
      <c r="D675" s="240"/>
      <c r="E675" s="116"/>
      <c r="F675" s="244"/>
      <c r="G675" s="97"/>
      <c r="H675" s="97"/>
      <c r="I675" s="97"/>
      <c r="J675" s="97"/>
      <c r="K675" s="305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</row>
    <row r="676" ht="15.75" customHeight="1">
      <c r="A676" s="243"/>
      <c r="B676" s="239"/>
      <c r="C676" s="210"/>
      <c r="D676" s="240"/>
      <c r="E676" s="116"/>
      <c r="F676" s="244"/>
      <c r="G676" s="97"/>
      <c r="H676" s="97"/>
      <c r="I676" s="97"/>
      <c r="J676" s="97"/>
      <c r="K676" s="305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</row>
    <row r="677" ht="15.75" customHeight="1">
      <c r="A677" s="243"/>
      <c r="B677" s="239"/>
      <c r="C677" s="210"/>
      <c r="D677" s="240"/>
      <c r="E677" s="116"/>
      <c r="F677" s="244"/>
      <c r="G677" s="97"/>
      <c r="H677" s="97"/>
      <c r="I677" s="97"/>
      <c r="J677" s="97"/>
      <c r="K677" s="305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</row>
    <row r="678" ht="15.75" customHeight="1">
      <c r="A678" s="243"/>
      <c r="B678" s="239"/>
      <c r="C678" s="210"/>
      <c r="D678" s="240"/>
      <c r="E678" s="116"/>
      <c r="F678" s="244"/>
      <c r="G678" s="97"/>
      <c r="H678" s="97"/>
      <c r="I678" s="97"/>
      <c r="J678" s="97"/>
      <c r="K678" s="305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</row>
    <row r="679" ht="15.75" customHeight="1">
      <c r="A679" s="243"/>
      <c r="B679" s="239"/>
      <c r="C679" s="210"/>
      <c r="D679" s="240"/>
      <c r="E679" s="116"/>
      <c r="F679" s="244"/>
      <c r="G679" s="97"/>
      <c r="H679" s="97"/>
      <c r="I679" s="97"/>
      <c r="J679" s="97"/>
      <c r="K679" s="305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</row>
    <row r="680" ht="15.75" customHeight="1">
      <c r="A680" s="243"/>
      <c r="B680" s="239"/>
      <c r="C680" s="210"/>
      <c r="D680" s="240"/>
      <c r="E680" s="116"/>
      <c r="F680" s="244"/>
      <c r="G680" s="97"/>
      <c r="H680" s="97"/>
      <c r="I680" s="97"/>
      <c r="J680" s="97"/>
      <c r="K680" s="305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</row>
    <row r="681" ht="15.75" customHeight="1">
      <c r="A681" s="243"/>
      <c r="B681" s="239"/>
      <c r="C681" s="210"/>
      <c r="D681" s="240"/>
      <c r="E681" s="116"/>
      <c r="F681" s="244"/>
      <c r="G681" s="97"/>
      <c r="H681" s="97"/>
      <c r="I681" s="97"/>
      <c r="J681" s="97"/>
      <c r="K681" s="305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</row>
    <row r="682" ht="15.75" customHeight="1">
      <c r="A682" s="243"/>
      <c r="B682" s="239"/>
      <c r="C682" s="210"/>
      <c r="D682" s="240"/>
      <c r="E682" s="116"/>
      <c r="F682" s="244"/>
      <c r="G682" s="97"/>
      <c r="H682" s="97"/>
      <c r="I682" s="97"/>
      <c r="J682" s="97"/>
      <c r="K682" s="305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</row>
    <row r="683" ht="15.75" customHeight="1">
      <c r="A683" s="243"/>
      <c r="B683" s="239"/>
      <c r="C683" s="210"/>
      <c r="D683" s="240"/>
      <c r="E683" s="116"/>
      <c r="F683" s="244"/>
      <c r="G683" s="97"/>
      <c r="H683" s="97"/>
      <c r="I683" s="97"/>
      <c r="J683" s="97"/>
      <c r="K683" s="305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</row>
    <row r="684" ht="15.75" customHeight="1">
      <c r="A684" s="243"/>
      <c r="B684" s="239"/>
      <c r="C684" s="210"/>
      <c r="D684" s="240"/>
      <c r="E684" s="116"/>
      <c r="F684" s="244"/>
      <c r="G684" s="97"/>
      <c r="H684" s="97"/>
      <c r="I684" s="97"/>
      <c r="J684" s="97"/>
      <c r="K684" s="305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</row>
    <row r="685" ht="15.75" customHeight="1">
      <c r="A685" s="243"/>
      <c r="B685" s="239"/>
      <c r="C685" s="210"/>
      <c r="D685" s="240"/>
      <c r="E685" s="116"/>
      <c r="F685" s="244"/>
      <c r="G685" s="97"/>
      <c r="H685" s="97"/>
      <c r="I685" s="97"/>
      <c r="J685" s="97"/>
      <c r="K685" s="305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</row>
    <row r="686" ht="15.75" customHeight="1">
      <c r="A686" s="243"/>
      <c r="B686" s="239"/>
      <c r="C686" s="210"/>
      <c r="D686" s="240"/>
      <c r="E686" s="116"/>
      <c r="F686" s="244"/>
      <c r="G686" s="97"/>
      <c r="H686" s="97"/>
      <c r="I686" s="97"/>
      <c r="J686" s="97"/>
      <c r="K686" s="305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</row>
    <row r="687" ht="15.75" customHeight="1">
      <c r="A687" s="243"/>
      <c r="B687" s="239"/>
      <c r="C687" s="210"/>
      <c r="D687" s="240"/>
      <c r="E687" s="116"/>
      <c r="F687" s="244"/>
      <c r="G687" s="97"/>
      <c r="H687" s="97"/>
      <c r="I687" s="97"/>
      <c r="J687" s="97"/>
      <c r="K687" s="305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</row>
    <row r="688" ht="15.75" customHeight="1">
      <c r="A688" s="243"/>
      <c r="B688" s="239"/>
      <c r="C688" s="210"/>
      <c r="D688" s="240"/>
      <c r="E688" s="116"/>
      <c r="F688" s="244"/>
      <c r="G688" s="97"/>
      <c r="H688" s="97"/>
      <c r="I688" s="97"/>
      <c r="J688" s="97"/>
      <c r="K688" s="305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</row>
    <row r="689" ht="15.75" customHeight="1">
      <c r="A689" s="243"/>
      <c r="B689" s="239"/>
      <c r="C689" s="210"/>
      <c r="D689" s="240"/>
      <c r="E689" s="116"/>
      <c r="F689" s="244"/>
      <c r="G689" s="97"/>
      <c r="H689" s="97"/>
      <c r="I689" s="97"/>
      <c r="J689" s="97"/>
      <c r="K689" s="305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</row>
    <row r="690" ht="15.75" customHeight="1">
      <c r="A690" s="243"/>
      <c r="B690" s="239"/>
      <c r="C690" s="210"/>
      <c r="D690" s="240"/>
      <c r="E690" s="116"/>
      <c r="F690" s="244"/>
      <c r="G690" s="97"/>
      <c r="H690" s="97"/>
      <c r="I690" s="97"/>
      <c r="J690" s="97"/>
      <c r="K690" s="305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</row>
    <row r="691" ht="15.75" customHeight="1">
      <c r="A691" s="243"/>
      <c r="B691" s="239"/>
      <c r="C691" s="210"/>
      <c r="D691" s="240"/>
      <c r="E691" s="116"/>
      <c r="F691" s="244"/>
      <c r="G691" s="97"/>
      <c r="H691" s="97"/>
      <c r="I691" s="97"/>
      <c r="J691" s="97"/>
      <c r="K691" s="305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</row>
    <row r="692" ht="15.75" customHeight="1">
      <c r="A692" s="243"/>
      <c r="B692" s="239"/>
      <c r="C692" s="210"/>
      <c r="D692" s="240"/>
      <c r="E692" s="116"/>
      <c r="F692" s="244"/>
      <c r="G692" s="97"/>
      <c r="H692" s="97"/>
      <c r="I692" s="97"/>
      <c r="J692" s="97"/>
      <c r="K692" s="305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</row>
    <row r="693" ht="15.75" customHeight="1">
      <c r="A693" s="243"/>
      <c r="B693" s="239"/>
      <c r="C693" s="210"/>
      <c r="D693" s="240"/>
      <c r="E693" s="116"/>
      <c r="F693" s="244"/>
      <c r="G693" s="97"/>
      <c r="H693" s="97"/>
      <c r="I693" s="97"/>
      <c r="J693" s="97"/>
      <c r="K693" s="305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</row>
    <row r="694" ht="15.75" customHeight="1">
      <c r="A694" s="243"/>
      <c r="B694" s="239"/>
      <c r="C694" s="210"/>
      <c r="D694" s="240"/>
      <c r="E694" s="116"/>
      <c r="F694" s="244"/>
      <c r="G694" s="97"/>
      <c r="H694" s="97"/>
      <c r="I694" s="97"/>
      <c r="J694" s="97"/>
      <c r="K694" s="305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</row>
    <row r="695" ht="15.75" customHeight="1">
      <c r="A695" s="243"/>
      <c r="B695" s="239"/>
      <c r="C695" s="210"/>
      <c r="D695" s="240"/>
      <c r="E695" s="116"/>
      <c r="F695" s="244"/>
      <c r="G695" s="97"/>
      <c r="H695" s="97"/>
      <c r="I695" s="97"/>
      <c r="J695" s="97"/>
      <c r="K695" s="305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</row>
    <row r="696" ht="15.75" customHeight="1">
      <c r="A696" s="243"/>
      <c r="B696" s="239"/>
      <c r="C696" s="210"/>
      <c r="D696" s="240"/>
      <c r="E696" s="116"/>
      <c r="F696" s="244"/>
      <c r="G696" s="97"/>
      <c r="H696" s="97"/>
      <c r="I696" s="97"/>
      <c r="J696" s="97"/>
      <c r="K696" s="305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</row>
    <row r="697" ht="15.75" customHeight="1">
      <c r="A697" s="243"/>
      <c r="B697" s="239"/>
      <c r="C697" s="210"/>
      <c r="D697" s="240"/>
      <c r="E697" s="116"/>
      <c r="F697" s="244"/>
      <c r="G697" s="97"/>
      <c r="H697" s="97"/>
      <c r="I697" s="97"/>
      <c r="J697" s="97"/>
      <c r="K697" s="305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</row>
    <row r="698" ht="15.75" customHeight="1">
      <c r="A698" s="243"/>
      <c r="B698" s="239"/>
      <c r="C698" s="210"/>
      <c r="D698" s="240"/>
      <c r="E698" s="116"/>
      <c r="F698" s="244"/>
      <c r="G698" s="97"/>
      <c r="H698" s="97"/>
      <c r="I698" s="97"/>
      <c r="J698" s="97"/>
      <c r="K698" s="305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</row>
    <row r="699" ht="15.75" customHeight="1">
      <c r="A699" s="243"/>
      <c r="B699" s="239"/>
      <c r="C699" s="104"/>
      <c r="D699" s="240"/>
      <c r="E699" s="116"/>
      <c r="F699" s="244"/>
      <c r="G699" s="97"/>
      <c r="H699" s="97"/>
      <c r="I699" s="97"/>
      <c r="J699" s="97"/>
      <c r="K699" s="305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</row>
    <row r="700" ht="15.75" customHeight="1">
      <c r="A700" s="243"/>
      <c r="B700" s="239"/>
      <c r="C700" s="104"/>
      <c r="D700" s="240"/>
      <c r="E700" s="116"/>
      <c r="F700" s="244"/>
      <c r="G700" s="97"/>
      <c r="H700" s="97"/>
      <c r="I700" s="97"/>
      <c r="J700" s="97"/>
      <c r="K700" s="305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</row>
    <row r="701" ht="15.75" customHeight="1">
      <c r="A701" s="243"/>
      <c r="B701" s="306"/>
      <c r="C701" s="104"/>
      <c r="D701" s="307"/>
      <c r="E701" s="308"/>
      <c r="F701" s="309"/>
      <c r="G701" s="310"/>
      <c r="H701" s="310"/>
      <c r="I701" s="310"/>
      <c r="J701" s="310"/>
      <c r="K701" s="311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</row>
    <row r="702" ht="15.75" customHeight="1">
      <c r="A702" s="243"/>
      <c r="B702" s="239"/>
      <c r="C702" s="210"/>
      <c r="D702" s="240"/>
      <c r="E702" s="116"/>
      <c r="F702" s="244"/>
      <c r="G702" s="97"/>
      <c r="H702" s="97"/>
      <c r="I702" s="97"/>
      <c r="J702" s="97"/>
      <c r="K702" s="305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</row>
    <row r="703" ht="15.75" customHeight="1">
      <c r="A703" s="243"/>
      <c r="B703" s="239"/>
      <c r="C703" s="210"/>
      <c r="D703" s="240"/>
      <c r="E703" s="116"/>
      <c r="F703" s="244"/>
      <c r="G703" s="97"/>
      <c r="H703" s="97"/>
      <c r="I703" s="97"/>
      <c r="J703" s="97"/>
      <c r="K703" s="305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</row>
    <row r="704" ht="15.75" customHeight="1">
      <c r="A704" s="243"/>
      <c r="B704" s="239"/>
      <c r="C704" s="210"/>
      <c r="D704" s="240"/>
      <c r="E704" s="116"/>
      <c r="F704" s="244"/>
      <c r="G704" s="97"/>
      <c r="H704" s="97"/>
      <c r="I704" s="97"/>
      <c r="J704" s="97"/>
      <c r="K704" s="305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</row>
    <row r="705" ht="15.75" customHeight="1">
      <c r="A705" s="243"/>
      <c r="B705" s="239"/>
      <c r="C705" s="210"/>
      <c r="D705" s="240"/>
      <c r="E705" s="116"/>
      <c r="F705" s="244"/>
      <c r="G705" s="97"/>
      <c r="H705" s="97"/>
      <c r="I705" s="97"/>
      <c r="J705" s="97"/>
      <c r="K705" s="305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</row>
    <row r="706" ht="15.75" customHeight="1">
      <c r="A706" s="243"/>
      <c r="B706" s="239"/>
      <c r="C706" s="210"/>
      <c r="D706" s="240"/>
      <c r="E706" s="116"/>
      <c r="F706" s="244"/>
      <c r="G706" s="97"/>
      <c r="H706" s="97"/>
      <c r="I706" s="97"/>
      <c r="J706" s="97"/>
      <c r="K706" s="305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</row>
    <row r="707" ht="15.75" customHeight="1">
      <c r="A707" s="243"/>
      <c r="B707" s="239"/>
      <c r="C707" s="210"/>
      <c r="D707" s="240"/>
      <c r="E707" s="116"/>
      <c r="F707" s="244"/>
      <c r="G707" s="97"/>
      <c r="H707" s="97"/>
      <c r="I707" s="97"/>
      <c r="J707" s="97"/>
      <c r="K707" s="305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</row>
    <row r="708" ht="15.75" customHeight="1">
      <c r="A708" s="243"/>
      <c r="B708" s="239"/>
      <c r="C708" s="210"/>
      <c r="D708" s="240"/>
      <c r="E708" s="116"/>
      <c r="F708" s="244"/>
      <c r="G708" s="97"/>
      <c r="H708" s="97"/>
      <c r="I708" s="97"/>
      <c r="J708" s="97"/>
      <c r="K708" s="305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</row>
    <row r="709" ht="15.75" customHeight="1">
      <c r="A709" s="243"/>
      <c r="B709" s="239"/>
      <c r="C709" s="210"/>
      <c r="D709" s="240"/>
      <c r="E709" s="116"/>
      <c r="F709" s="244"/>
      <c r="G709" s="97"/>
      <c r="H709" s="97"/>
      <c r="I709" s="97"/>
      <c r="J709" s="97"/>
      <c r="K709" s="305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</row>
    <row r="710" ht="15.75" customHeight="1">
      <c r="A710" s="243"/>
      <c r="B710" s="239"/>
      <c r="C710" s="210"/>
      <c r="D710" s="240"/>
      <c r="E710" s="116"/>
      <c r="F710" s="244"/>
      <c r="G710" s="97"/>
      <c r="H710" s="97"/>
      <c r="I710" s="97"/>
      <c r="J710" s="97"/>
      <c r="K710" s="305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</row>
    <row r="711" ht="15.75" customHeight="1">
      <c r="A711" s="243"/>
      <c r="B711" s="239"/>
      <c r="C711" s="210"/>
      <c r="D711" s="240"/>
      <c r="E711" s="116"/>
      <c r="F711" s="244"/>
      <c r="G711" s="97"/>
      <c r="H711" s="97"/>
      <c r="I711" s="97"/>
      <c r="J711" s="97"/>
      <c r="K711" s="305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</row>
    <row r="712" ht="15.75" customHeight="1">
      <c r="A712" s="243"/>
      <c r="B712" s="239"/>
      <c r="C712" s="210"/>
      <c r="D712" s="240"/>
      <c r="E712" s="116"/>
      <c r="F712" s="244"/>
      <c r="G712" s="97"/>
      <c r="H712" s="97"/>
      <c r="I712" s="97"/>
      <c r="J712" s="97"/>
      <c r="K712" s="305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</row>
    <row r="713" ht="15.75" customHeight="1">
      <c r="A713" s="243"/>
      <c r="B713" s="239"/>
      <c r="C713" s="210"/>
      <c r="D713" s="240"/>
      <c r="E713" s="116"/>
      <c r="F713" s="244"/>
      <c r="G713" s="97"/>
      <c r="H713" s="97"/>
      <c r="I713" s="97"/>
      <c r="J713" s="97"/>
      <c r="K713" s="305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</row>
    <row r="714" ht="15.75" customHeight="1">
      <c r="A714" s="243"/>
      <c r="B714" s="239"/>
      <c r="C714" s="210"/>
      <c r="D714" s="240"/>
      <c r="E714" s="116"/>
      <c r="F714" s="244"/>
      <c r="G714" s="97"/>
      <c r="H714" s="97"/>
      <c r="I714" s="97"/>
      <c r="J714" s="97"/>
      <c r="K714" s="305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</row>
    <row r="715" ht="15.75" customHeight="1">
      <c r="A715" s="243"/>
      <c r="B715" s="239"/>
      <c r="C715" s="210"/>
      <c r="D715" s="240"/>
      <c r="E715" s="239"/>
      <c r="F715" s="244"/>
      <c r="G715" s="97"/>
      <c r="H715" s="97"/>
      <c r="I715" s="97"/>
      <c r="J715" s="97"/>
      <c r="K715" s="305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</row>
    <row r="716" ht="15.75" customHeight="1">
      <c r="A716" s="243"/>
      <c r="B716" s="239"/>
      <c r="C716" s="210"/>
      <c r="D716" s="240"/>
      <c r="E716" s="239"/>
      <c r="F716" s="244"/>
      <c r="G716" s="97"/>
      <c r="H716" s="97"/>
      <c r="I716" s="97"/>
      <c r="J716" s="97"/>
      <c r="K716" s="305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</row>
    <row r="717" ht="15.75" customHeight="1">
      <c r="A717" s="243"/>
      <c r="B717" s="239"/>
      <c r="C717" s="210"/>
      <c r="D717" s="240"/>
      <c r="E717" s="116"/>
      <c r="F717" s="244"/>
      <c r="G717" s="97"/>
      <c r="H717" s="97"/>
      <c r="I717" s="97"/>
      <c r="J717" s="97"/>
      <c r="K717" s="305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</row>
    <row r="718" ht="15.75" customHeight="1">
      <c r="A718" s="243"/>
      <c r="B718" s="239"/>
      <c r="C718" s="210"/>
      <c r="D718" s="240"/>
      <c r="E718" s="116"/>
      <c r="F718" s="244"/>
      <c r="G718" s="97"/>
      <c r="H718" s="97"/>
      <c r="I718" s="97"/>
      <c r="J718" s="97"/>
      <c r="K718" s="305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</row>
    <row r="719" ht="15.75" customHeight="1">
      <c r="A719" s="243"/>
      <c r="B719" s="239"/>
      <c r="C719" s="210"/>
      <c r="D719" s="240"/>
      <c r="E719" s="116"/>
      <c r="F719" s="244"/>
      <c r="G719" s="97"/>
      <c r="H719" s="97"/>
      <c r="I719" s="97"/>
      <c r="J719" s="97"/>
      <c r="K719" s="305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</row>
    <row r="720" ht="15.75" customHeight="1">
      <c r="A720" s="243"/>
      <c r="B720" s="239"/>
      <c r="C720" s="210"/>
      <c r="D720" s="240"/>
      <c r="E720" s="116"/>
      <c r="F720" s="244"/>
      <c r="G720" s="97"/>
      <c r="H720" s="97"/>
      <c r="I720" s="97"/>
      <c r="J720" s="97"/>
      <c r="K720" s="305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</row>
    <row r="721" ht="15.75" customHeight="1">
      <c r="A721" s="243"/>
      <c r="B721" s="239"/>
      <c r="C721" s="210"/>
      <c r="D721" s="240"/>
      <c r="E721" s="116"/>
      <c r="F721" s="244"/>
      <c r="G721" s="97"/>
      <c r="H721" s="97"/>
      <c r="I721" s="97"/>
      <c r="J721" s="97"/>
      <c r="K721" s="305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</row>
    <row r="722" ht="15.75" customHeight="1">
      <c r="A722" s="243"/>
      <c r="B722" s="239"/>
      <c r="C722" s="210"/>
      <c r="D722" s="240"/>
      <c r="E722" s="116"/>
      <c r="F722" s="244"/>
      <c r="G722" s="97"/>
      <c r="H722" s="97"/>
      <c r="I722" s="97"/>
      <c r="J722" s="97"/>
      <c r="K722" s="305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</row>
    <row r="723" ht="15.75" customHeight="1">
      <c r="A723" s="243"/>
      <c r="B723" s="239"/>
      <c r="C723" s="210"/>
      <c r="D723" s="240"/>
      <c r="E723" s="116"/>
      <c r="F723" s="244"/>
      <c r="G723" s="97"/>
      <c r="H723" s="97"/>
      <c r="I723" s="97"/>
      <c r="J723" s="97"/>
      <c r="K723" s="305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</row>
    <row r="724" ht="15.75" customHeight="1">
      <c r="A724" s="243"/>
      <c r="B724" s="239"/>
      <c r="C724" s="210"/>
      <c r="D724" s="240"/>
      <c r="E724" s="116"/>
      <c r="F724" s="244"/>
      <c r="G724" s="97"/>
      <c r="H724" s="97"/>
      <c r="I724" s="97"/>
      <c r="J724" s="97"/>
      <c r="K724" s="305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</row>
    <row r="725" ht="15.75" customHeight="1">
      <c r="A725" s="243"/>
      <c r="B725" s="239"/>
      <c r="C725" s="210"/>
      <c r="D725" s="240"/>
      <c r="E725" s="116"/>
      <c r="F725" s="244"/>
      <c r="G725" s="97"/>
      <c r="H725" s="97"/>
      <c r="I725" s="97"/>
      <c r="J725" s="97"/>
      <c r="K725" s="305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</row>
    <row r="726" ht="15.75" customHeight="1">
      <c r="A726" s="243"/>
      <c r="B726" s="239"/>
      <c r="C726" s="210"/>
      <c r="D726" s="240"/>
      <c r="E726" s="116"/>
      <c r="F726" s="244"/>
      <c r="G726" s="97"/>
      <c r="H726" s="97"/>
      <c r="I726" s="97"/>
      <c r="J726" s="97"/>
      <c r="K726" s="305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</row>
    <row r="727" ht="15.75" customHeight="1">
      <c r="A727" s="243"/>
      <c r="B727" s="239"/>
      <c r="C727" s="210"/>
      <c r="D727" s="240"/>
      <c r="E727" s="116"/>
      <c r="F727" s="244"/>
      <c r="G727" s="97"/>
      <c r="H727" s="97"/>
      <c r="I727" s="97"/>
      <c r="J727" s="97"/>
      <c r="K727" s="305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</row>
    <row r="728" ht="15.75" customHeight="1">
      <c r="A728" s="243"/>
      <c r="B728" s="239"/>
      <c r="C728" s="210"/>
      <c r="D728" s="240"/>
      <c r="E728" s="116"/>
      <c r="F728" s="244"/>
      <c r="G728" s="97"/>
      <c r="H728" s="97"/>
      <c r="I728" s="97"/>
      <c r="J728" s="97"/>
      <c r="K728" s="305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</row>
    <row r="729" ht="15.75" customHeight="1">
      <c r="A729" s="243"/>
      <c r="B729" s="239"/>
      <c r="C729" s="210"/>
      <c r="D729" s="240"/>
      <c r="E729" s="116"/>
      <c r="F729" s="244"/>
      <c r="G729" s="97"/>
      <c r="H729" s="97"/>
      <c r="I729" s="97"/>
      <c r="J729" s="97"/>
      <c r="K729" s="305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</row>
    <row r="730" ht="15.75" customHeight="1">
      <c r="A730" s="243"/>
      <c r="B730" s="239"/>
      <c r="C730" s="210"/>
      <c r="D730" s="240"/>
      <c r="E730" s="116"/>
      <c r="F730" s="244"/>
      <c r="G730" s="97"/>
      <c r="H730" s="97"/>
      <c r="I730" s="97"/>
      <c r="J730" s="97"/>
      <c r="K730" s="305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</row>
  </sheetData>
  <autoFilter ref="$A$2:$K$131">
    <sortState ref="A2:K131">
      <sortCondition ref="A2:A131"/>
      <sortCondition ref="B2:B131"/>
    </sortState>
  </autoFilter>
  <conditionalFormatting sqref="B1">
    <cfRule type="cellIs" dxfId="3" priority="1" operator="equal">
      <formula>$B$73</formula>
    </cfRule>
  </conditionalFormatting>
  <conditionalFormatting sqref="B1">
    <cfRule type="cellIs" dxfId="4" priority="2" operator="equal">
      <formula>$B$57</formula>
    </cfRule>
  </conditionalFormatting>
  <conditionalFormatting sqref="B1">
    <cfRule type="cellIs" dxfId="5" priority="3" operator="equal">
      <formula>$B$3</formula>
    </cfRule>
  </conditionalFormatting>
  <conditionalFormatting sqref="A1:A730">
    <cfRule type="expression" dxfId="0" priority="4">
      <formula>AND(A1&lt;TODAY(),TODAY()-A1&gt;=WEEKDAY(TODAY()),TODAY()-A1&lt;WEEKDAY(TODAY())+7)</formula>
    </cfRule>
  </conditionalFormatting>
  <conditionalFormatting sqref="A1:A730">
    <cfRule type="timePeriod" dxfId="1" priority="5" timePeriod="today"/>
  </conditionalFormatting>
  <conditionalFormatting sqref="A1:A730">
    <cfRule type="timePeriod" dxfId="2" priority="6" timePeriod="yesterday"/>
  </conditionalFormatting>
  <conditionalFormatting sqref="A3:A128">
    <cfRule type="expression" dxfId="0" priority="7">
      <formula>AND(A3&lt;TODAY(),TODAY()-A3&gt;=WEEKDAY(TODAY()),TODAY()-A3&lt;WEEKDAY(TODAY())+7)</formula>
    </cfRule>
  </conditionalFormatting>
  <conditionalFormatting sqref="A3:A128">
    <cfRule type="timePeriod" dxfId="1" priority="8" timePeriod="today"/>
  </conditionalFormatting>
  <conditionalFormatting sqref="A3:A128">
    <cfRule type="timePeriod" dxfId="2" priority="9" timePeriod="yesterday"/>
  </conditionalFormatting>
  <conditionalFormatting sqref="A3:A233">
    <cfRule type="expression" dxfId="0" priority="10">
      <formula>AND(A3&lt;TODAY(),TODAY()-A3&gt;=WEEKDAY(TODAY()),TODAY()-A3&lt;WEEKDAY(TODAY())+7)</formula>
    </cfRule>
  </conditionalFormatting>
  <conditionalFormatting sqref="A3:A233">
    <cfRule type="timePeriod" dxfId="1" priority="11" timePeriod="today"/>
  </conditionalFormatting>
  <conditionalFormatting sqref="A3:A233">
    <cfRule type="timePeriod" dxfId="2" priority="12" timePeriod="yesterday"/>
  </conditionalFormatting>
  <conditionalFormatting sqref="A3:A233">
    <cfRule type="expression" dxfId="0" priority="13">
      <formula>AND(A3&lt;TODAY(),TODAY()-A3&gt;=WEEKDAY(TODAY()),TODAY()-A3&lt;WEEKDAY(TODAY())+7)</formula>
    </cfRule>
  </conditionalFormatting>
  <conditionalFormatting sqref="A3:A233">
    <cfRule type="timePeriod" dxfId="1" priority="14" timePeriod="today"/>
  </conditionalFormatting>
  <conditionalFormatting sqref="A3:A233">
    <cfRule type="timePeriod" dxfId="2" priority="15" timePeriod="yesterday"/>
  </conditionalFormatting>
  <conditionalFormatting sqref="A121:A145">
    <cfRule type="expression" dxfId="0" priority="16">
      <formula>AND(A121&lt;TODAY(),TODAY()-A121&gt;=WEEKDAY(TODAY()),TODAY()-A121&lt;WEEKDAY(TODAY())+7)</formula>
    </cfRule>
  </conditionalFormatting>
  <conditionalFormatting sqref="A121:A145">
    <cfRule type="timePeriod" dxfId="1" priority="17" timePeriod="today"/>
  </conditionalFormatting>
  <conditionalFormatting sqref="A121:A145">
    <cfRule type="timePeriod" dxfId="2" priority="18" timePeriod="yesterday"/>
  </conditionalFormatting>
  <conditionalFormatting sqref="A121:A145">
    <cfRule type="expression" dxfId="0" priority="19">
      <formula>AND(A121&lt;TODAY(),TODAY()-A121&gt;=WEEKDAY(TODAY()),TODAY()-A121&lt;WEEKDAY(TODAY())+7)</formula>
    </cfRule>
  </conditionalFormatting>
  <conditionalFormatting sqref="A121:A145">
    <cfRule type="timePeriod" dxfId="1" priority="20" timePeriod="today"/>
  </conditionalFormatting>
  <conditionalFormatting sqref="A121:A145">
    <cfRule type="timePeriod" dxfId="2" priority="21" timePeriod="yesterday"/>
  </conditionalFormatting>
  <conditionalFormatting sqref="A121:A145">
    <cfRule type="expression" dxfId="0" priority="22">
      <formula>AND(A121&lt;TODAY(),TODAY()-A121&gt;=WEEKDAY(TODAY()),TODAY()-A121&lt;WEEKDAY(TODAY())+7)</formula>
    </cfRule>
  </conditionalFormatting>
  <conditionalFormatting sqref="A121:A145">
    <cfRule type="timePeriod" dxfId="1" priority="23" timePeriod="today"/>
  </conditionalFormatting>
  <conditionalFormatting sqref="A121:A145">
    <cfRule type="timePeriod" dxfId="2" priority="24" timePeriod="yesterday"/>
  </conditionalFormatting>
  <conditionalFormatting sqref="A130:A139">
    <cfRule type="expression" dxfId="0" priority="25">
      <formula>AND(A130&lt;TODAY(),TODAY()-A130&gt;=WEEKDAY(TODAY()),TODAY()-A130&lt;WEEKDAY(TODAY())+7)</formula>
    </cfRule>
  </conditionalFormatting>
  <conditionalFormatting sqref="A130:A139">
    <cfRule type="timePeriod" dxfId="1" priority="26" timePeriod="today"/>
  </conditionalFormatting>
  <conditionalFormatting sqref="A130:A139">
    <cfRule type="timePeriod" dxfId="2" priority="27" timePeriod="yesterday"/>
  </conditionalFormatting>
  <conditionalFormatting sqref="A130:A139">
    <cfRule type="expression" dxfId="0" priority="28">
      <formula>AND(A130&lt;TODAY(),TODAY()-A130&gt;=WEEKDAY(TODAY()),TODAY()-A130&lt;WEEKDAY(TODAY())+7)</formula>
    </cfRule>
  </conditionalFormatting>
  <conditionalFormatting sqref="A130:A139">
    <cfRule type="timePeriod" dxfId="1" priority="29" timePeriod="today"/>
  </conditionalFormatting>
  <conditionalFormatting sqref="A130:A139">
    <cfRule type="timePeriod" dxfId="2" priority="30" timePeriod="yesterday"/>
  </conditionalFormatting>
  <conditionalFormatting sqref="A130:A144">
    <cfRule type="expression" dxfId="0" priority="31">
      <formula>AND(A130&lt;TODAY(),TODAY()-A130&gt;=WEEKDAY(TODAY()),TODAY()-A130&lt;WEEKDAY(TODAY())+7)</formula>
    </cfRule>
  </conditionalFormatting>
  <conditionalFormatting sqref="A130:A144">
    <cfRule type="timePeriod" dxfId="1" priority="32" timePeriod="today"/>
  </conditionalFormatting>
  <conditionalFormatting sqref="A130:A144">
    <cfRule type="timePeriod" dxfId="2" priority="33" timePeriod="yesterday"/>
  </conditionalFormatting>
  <conditionalFormatting sqref="A140:A144">
    <cfRule type="expression" dxfId="0" priority="34">
      <formula>AND(A140&lt;TODAY(),TODAY()-A140&gt;=WEEKDAY(TODAY()),TODAY()-A140&lt;WEEKDAY(TODAY())+7)</formula>
    </cfRule>
  </conditionalFormatting>
  <conditionalFormatting sqref="A140:A144">
    <cfRule type="timePeriod" dxfId="1" priority="35" timePeriod="today"/>
  </conditionalFormatting>
  <conditionalFormatting sqref="A140:A144">
    <cfRule type="timePeriod" dxfId="2" priority="36" timePeriod="yesterday"/>
  </conditionalFormatting>
  <conditionalFormatting sqref="A140:A156">
    <cfRule type="expression" dxfId="0" priority="37">
      <formula>AND(A140&lt;TODAY(),TODAY()-A140&gt;=WEEKDAY(TODAY()),TODAY()-A140&lt;WEEKDAY(TODAY())+7)</formula>
    </cfRule>
  </conditionalFormatting>
  <conditionalFormatting sqref="A140:A156">
    <cfRule type="timePeriod" dxfId="1" priority="38" timePeriod="today"/>
  </conditionalFormatting>
  <conditionalFormatting sqref="A140:A156">
    <cfRule type="timePeriod" dxfId="2" priority="39" timePeriod="yesterday"/>
  </conditionalFormatting>
  <conditionalFormatting sqref="A145:A156">
    <cfRule type="expression" dxfId="0" priority="40">
      <formula>AND(A145&lt;TODAY(),TODAY()-A145&gt;=WEEKDAY(TODAY()),TODAY()-A145&lt;WEEKDAY(TODAY())+7)</formula>
    </cfRule>
  </conditionalFormatting>
  <conditionalFormatting sqref="A145:A156">
    <cfRule type="timePeriod" dxfId="1" priority="41" timePeriod="today"/>
  </conditionalFormatting>
  <conditionalFormatting sqref="A145:A156">
    <cfRule type="timePeriod" dxfId="2" priority="42" timePeriod="yesterday"/>
  </conditionalFormatting>
  <conditionalFormatting sqref="A145:A156">
    <cfRule type="expression" dxfId="0" priority="43">
      <formula>AND(A145&lt;TODAY(),TODAY()-A145&gt;=WEEKDAY(TODAY()),TODAY()-A145&lt;WEEKDAY(TODAY())+7)</formula>
    </cfRule>
  </conditionalFormatting>
  <conditionalFormatting sqref="A145:A156">
    <cfRule type="timePeriod" dxfId="1" priority="44" timePeriod="today"/>
  </conditionalFormatting>
  <conditionalFormatting sqref="A145:A156">
    <cfRule type="timePeriod" dxfId="2" priority="45" timePeriod="yesterday"/>
  </conditionalFormatting>
  <conditionalFormatting sqref="A179:A208">
    <cfRule type="expression" dxfId="0" priority="46">
      <formula>AND(A179&lt;TODAY(),TODAY()-A179&gt;=WEEKDAY(TODAY()),TODAY()-A179&lt;WEEKDAY(TODAY())+7)</formula>
    </cfRule>
  </conditionalFormatting>
  <conditionalFormatting sqref="A179:A208">
    <cfRule type="timePeriod" dxfId="1" priority="47" timePeriod="today"/>
  </conditionalFormatting>
  <conditionalFormatting sqref="A179:A208">
    <cfRule type="timePeriod" dxfId="2" priority="48" timePeriod="yesterday"/>
  </conditionalFormatting>
  <conditionalFormatting sqref="A221:A223">
    <cfRule type="expression" dxfId="0" priority="49">
      <formula>AND(A221&lt;TODAY(),TODAY()-A221&gt;=WEEKDAY(TODAY()),TODAY()-A221&lt;WEEKDAY(TODAY())+7)</formula>
    </cfRule>
  </conditionalFormatting>
  <conditionalFormatting sqref="A221:A223">
    <cfRule type="timePeriod" dxfId="1" priority="50" timePeriod="today"/>
  </conditionalFormatting>
  <conditionalFormatting sqref="A221:A223">
    <cfRule type="timePeriod" dxfId="2" priority="51" timePeriod="yesterday"/>
  </conditionalFormatting>
  <dataValidations>
    <dataValidation type="list" allowBlank="1" showErrorMessage="1" sqref="K3:K282 K284:K730">
      <formula1>SUPPLIERS</formula1>
    </dataValidation>
  </dataValidations>
  <hyperlinks>
    <hyperlink display="EMPLOYEE MEAL" location="EXPENSES!B3" ref="B3"/>
    <hyperlink display="DISTRIBUTION COST" location="EXPENSES!B3" ref="B8"/>
    <hyperlink display="DISTRIBUTION COST" location="EXPENSES!B3" ref="B9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4.43" defaultRowHeight="15.0" outlineLevelRow="1"/>
  <cols>
    <col customWidth="1" min="1" max="1" width="8.0"/>
    <col customWidth="1" min="2" max="2" width="24.71"/>
    <col customWidth="1" hidden="1" min="3" max="3" width="11.43"/>
    <col customWidth="1" hidden="1" min="4" max="4" width="13.71"/>
    <col customWidth="1" hidden="1" min="5" max="5" width="16.0"/>
    <col customWidth="1" hidden="1" min="6" max="6" width="20.29"/>
    <col customWidth="1" hidden="1" min="7" max="7" width="8.0"/>
    <col customWidth="1" hidden="1" min="8" max="8" width="8.71"/>
    <col customWidth="1" hidden="1" min="9" max="9" width="10.0"/>
    <col customWidth="1" hidden="1" min="10" max="10" width="15.14"/>
    <col customWidth="1" min="11" max="11" width="15.71"/>
    <col customWidth="1" min="12" max="12" width="12.71"/>
    <col customWidth="1" min="13" max="13" width="15.86"/>
    <col customWidth="1" min="14" max="14" width="17.43"/>
    <col customWidth="1" min="15" max="15" width="18.43"/>
    <col customWidth="1" min="16" max="16" width="13.14"/>
    <col customWidth="1" min="17" max="17" width="16.57"/>
    <col customWidth="1" min="20" max="27" width="9.14"/>
  </cols>
  <sheetData>
    <row r="1">
      <c r="A1" s="312"/>
      <c r="B1" s="313"/>
      <c r="C1" s="313"/>
      <c r="D1" s="313"/>
      <c r="E1" s="313"/>
      <c r="F1" s="313"/>
      <c r="G1" s="313"/>
      <c r="H1" s="313"/>
      <c r="I1" s="314"/>
      <c r="J1" s="314"/>
      <c r="K1" s="314"/>
      <c r="L1" s="314"/>
      <c r="M1" s="314"/>
      <c r="N1" s="314"/>
      <c r="O1" s="314"/>
      <c r="P1" s="314"/>
      <c r="Q1" s="315"/>
      <c r="R1" s="109"/>
      <c r="S1" s="109"/>
      <c r="T1" s="109"/>
      <c r="U1" s="109"/>
      <c r="V1" s="109"/>
      <c r="W1" s="109"/>
      <c r="X1" s="109"/>
      <c r="Y1" s="109"/>
      <c r="Z1" s="109"/>
      <c r="AA1" s="109"/>
    </row>
    <row r="2">
      <c r="A2" s="316" t="s">
        <v>154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8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>
      <c r="A3" s="319" t="s">
        <v>39</v>
      </c>
      <c r="B3" s="320" t="s">
        <v>40</v>
      </c>
      <c r="C3" s="321" t="s">
        <v>41</v>
      </c>
      <c r="D3" s="321" t="s">
        <v>42</v>
      </c>
      <c r="E3" s="322" t="s">
        <v>155</v>
      </c>
      <c r="F3" s="323" t="s">
        <v>156</v>
      </c>
      <c r="G3" s="324" t="s">
        <v>157</v>
      </c>
      <c r="H3" s="3"/>
      <c r="I3" s="325" t="s">
        <v>158</v>
      </c>
      <c r="J3" s="326" t="s">
        <v>159</v>
      </c>
      <c r="K3" s="322" t="s">
        <v>160</v>
      </c>
      <c r="L3" s="322" t="s">
        <v>161</v>
      </c>
      <c r="M3" s="319" t="s">
        <v>162</v>
      </c>
      <c r="N3" s="327" t="s">
        <v>163</v>
      </c>
      <c r="O3" s="322" t="s">
        <v>164</v>
      </c>
      <c r="P3" s="320" t="s">
        <v>165</v>
      </c>
      <c r="Q3" s="328" t="s">
        <v>166</v>
      </c>
      <c r="R3" s="109"/>
      <c r="S3" s="109"/>
      <c r="T3" s="109"/>
      <c r="U3" s="109"/>
      <c r="V3" s="109"/>
      <c r="W3" s="109"/>
      <c r="X3" s="109"/>
      <c r="Y3" s="109"/>
      <c r="Z3" s="109"/>
      <c r="AA3" s="109"/>
    </row>
    <row r="4">
      <c r="A4" s="329"/>
      <c r="B4" s="330"/>
      <c r="C4" s="331"/>
      <c r="D4" s="331"/>
      <c r="E4" s="332"/>
      <c r="F4" s="333"/>
      <c r="G4" s="334" t="s">
        <v>43</v>
      </c>
      <c r="H4" s="334" t="s">
        <v>61</v>
      </c>
      <c r="I4" s="335"/>
      <c r="J4" s="336"/>
      <c r="K4" s="332"/>
      <c r="L4" s="332"/>
      <c r="M4" s="329"/>
      <c r="N4" s="337"/>
      <c r="O4" s="332"/>
      <c r="P4" s="330"/>
      <c r="Q4" s="338"/>
      <c r="R4" s="109"/>
      <c r="S4" s="109"/>
      <c r="T4" s="109"/>
      <c r="U4" s="109"/>
      <c r="V4" s="109"/>
      <c r="W4" s="109"/>
      <c r="X4" s="109"/>
      <c r="Y4" s="109"/>
      <c r="Z4" s="109"/>
      <c r="AA4" s="109"/>
    </row>
    <row r="5">
      <c r="A5" s="339">
        <v>1.1</v>
      </c>
      <c r="B5" s="340" t="s">
        <v>167</v>
      </c>
      <c r="C5" s="341"/>
      <c r="D5" s="342"/>
      <c r="E5" s="343"/>
      <c r="F5" s="343"/>
      <c r="G5" s="344"/>
      <c r="H5" s="345"/>
      <c r="I5" s="346"/>
      <c r="J5" s="346"/>
      <c r="K5" s="347"/>
      <c r="L5" s="347"/>
      <c r="M5" s="347"/>
      <c r="N5" s="343"/>
      <c r="O5" s="348"/>
      <c r="P5" s="348"/>
      <c r="Q5" s="348"/>
      <c r="R5" s="109"/>
      <c r="S5" s="276" t="s">
        <v>168</v>
      </c>
      <c r="T5" s="276" t="s">
        <v>169</v>
      </c>
      <c r="U5" s="276" t="s">
        <v>169</v>
      </c>
      <c r="V5" s="276" t="s">
        <v>170</v>
      </c>
      <c r="W5" s="109"/>
      <c r="X5" s="109"/>
      <c r="Y5" s="109"/>
      <c r="Z5" s="109"/>
      <c r="AA5" s="109"/>
    </row>
    <row r="6" ht="15.75" hidden="1" customHeight="1" outlineLevel="1">
      <c r="A6" s="349">
        <v>1.0</v>
      </c>
      <c r="B6" s="350" t="s">
        <v>171</v>
      </c>
      <c r="C6" s="350" t="s">
        <v>172</v>
      </c>
      <c r="D6" s="351"/>
      <c r="E6" s="352"/>
      <c r="F6" s="353">
        <f t="shared" ref="F6:F28" si="1">E6*D6</f>
        <v>0</v>
      </c>
      <c r="G6" s="354">
        <f>SUMIF(PURCHASE!$E$3:$E$506,'INVONTERY FEB'!B6:B326,PURCHASE!$H$3:$H$506)</f>
        <v>0</v>
      </c>
      <c r="H6" s="355">
        <f>SUMIF(PURCHASE!$E$3:$E$506,'INVONTERY FEB'!B6:B326,PURCHASE!$I$3:$I$506)</f>
        <v>0</v>
      </c>
      <c r="I6" s="354">
        <f>ISSU!AL6</f>
        <v>0</v>
      </c>
      <c r="J6" s="354">
        <f t="shared" ref="J6:J7" si="2">I6/9</f>
        <v>0</v>
      </c>
      <c r="K6" s="356">
        <f t="shared" ref="K6:K28" si="3">E6+G6-I6</f>
        <v>0</v>
      </c>
      <c r="L6" s="357">
        <f t="shared" ref="L6:L28" si="4">K6*M6</f>
        <v>0</v>
      </c>
      <c r="M6" s="358"/>
      <c r="N6" s="359">
        <f t="shared" ref="N6:N28" si="5">M6-D6</f>
        <v>0</v>
      </c>
      <c r="O6" s="359">
        <f t="shared" ref="O6:O28" si="6">N6*I6</f>
        <v>0</v>
      </c>
      <c r="P6" s="357">
        <f t="shared" ref="P6:P28" si="7">F6+H6-L6</f>
        <v>0</v>
      </c>
      <c r="Q6" s="360" t="s">
        <v>173</v>
      </c>
      <c r="R6" s="361"/>
      <c r="S6" s="362">
        <v>0.0</v>
      </c>
      <c r="T6" s="168"/>
      <c r="U6" s="168"/>
      <c r="V6" s="362">
        <f t="shared" ref="V6:V52" si="8">+S6+T6+U6</f>
        <v>0</v>
      </c>
      <c r="W6" s="361"/>
      <c r="X6" s="361"/>
      <c r="Y6" s="361"/>
      <c r="Z6" s="361"/>
      <c r="AA6" s="361"/>
    </row>
    <row r="7" ht="15.75" hidden="1" customHeight="1" outlineLevel="1">
      <c r="A7" s="349">
        <v>2.0</v>
      </c>
      <c r="B7" s="350" t="s">
        <v>174</v>
      </c>
      <c r="C7" s="350" t="s">
        <v>172</v>
      </c>
      <c r="D7" s="351"/>
      <c r="E7" s="363"/>
      <c r="F7" s="353">
        <f t="shared" si="1"/>
        <v>0</v>
      </c>
      <c r="G7" s="249">
        <f>SUMIF(PURCHASE!$E$3:$E$506,'INVONTERY FEB'!B7:B327,PURCHASE!$H$3:$H$506)</f>
        <v>0</v>
      </c>
      <c r="H7" s="364">
        <f>SUMIF(PURCHASE!$E$3:$E$506,'INVONTERY FEB'!B7:B327,PURCHASE!$I$3:$I$506)</f>
        <v>0</v>
      </c>
      <c r="I7" s="354">
        <f>ISSU!AL7</f>
        <v>0</v>
      </c>
      <c r="J7" s="354">
        <f t="shared" si="2"/>
        <v>0</v>
      </c>
      <c r="K7" s="365">
        <f t="shared" si="3"/>
        <v>0</v>
      </c>
      <c r="L7" s="358">
        <f t="shared" si="4"/>
        <v>0</v>
      </c>
      <c r="M7" s="358"/>
      <c r="N7" s="366">
        <f t="shared" si="5"/>
        <v>0</v>
      </c>
      <c r="O7" s="366">
        <f t="shared" si="6"/>
        <v>0</v>
      </c>
      <c r="P7" s="358">
        <f t="shared" si="7"/>
        <v>0</v>
      </c>
      <c r="Q7" s="367" t="s">
        <v>175</v>
      </c>
      <c r="R7" s="361"/>
      <c r="S7" s="362">
        <v>0.0</v>
      </c>
      <c r="T7" s="168"/>
      <c r="U7" s="168"/>
      <c r="V7" s="362">
        <f t="shared" si="8"/>
        <v>0</v>
      </c>
      <c r="W7" s="361"/>
      <c r="X7" s="361"/>
      <c r="Y7" s="361"/>
      <c r="Z7" s="361"/>
      <c r="AA7" s="361"/>
    </row>
    <row r="8" ht="15.75" hidden="1" customHeight="1" outlineLevel="1">
      <c r="A8" s="349">
        <v>3.0</v>
      </c>
      <c r="B8" s="350" t="s">
        <v>176</v>
      </c>
      <c r="C8" s="350" t="s">
        <v>172</v>
      </c>
      <c r="D8" s="351"/>
      <c r="E8" s="352"/>
      <c r="F8" s="368">
        <f t="shared" si="1"/>
        <v>0</v>
      </c>
      <c r="G8" s="249">
        <f>SUMIF(PURCHASE!$E$3:$E$506,'INVONTERY FEB'!B8:B328,PURCHASE!$H$3:$H$506)</f>
        <v>0</v>
      </c>
      <c r="H8" s="364">
        <f>SUMIF(PURCHASE!$E$3:$E$506,'INVONTERY FEB'!B8:B328,PURCHASE!$I$3:$I$506)</f>
        <v>0</v>
      </c>
      <c r="I8" s="354">
        <f>ISSU!AL8</f>
        <v>0</v>
      </c>
      <c r="J8" s="355">
        <f>I8/29</f>
        <v>0</v>
      </c>
      <c r="K8" s="369">
        <f t="shared" si="3"/>
        <v>0</v>
      </c>
      <c r="L8" s="358">
        <f t="shared" si="4"/>
        <v>0</v>
      </c>
      <c r="M8" s="358"/>
      <c r="N8" s="366">
        <f t="shared" si="5"/>
        <v>0</v>
      </c>
      <c r="O8" s="366">
        <f t="shared" si="6"/>
        <v>0</v>
      </c>
      <c r="P8" s="358">
        <f t="shared" si="7"/>
        <v>0</v>
      </c>
      <c r="Q8" s="367" t="s">
        <v>173</v>
      </c>
      <c r="R8" s="361"/>
      <c r="S8" s="362">
        <v>0.0</v>
      </c>
      <c r="T8" s="168"/>
      <c r="U8" s="168"/>
      <c r="V8" s="362">
        <f t="shared" si="8"/>
        <v>0</v>
      </c>
      <c r="W8" s="361"/>
      <c r="X8" s="361"/>
      <c r="Y8" s="361"/>
      <c r="Z8" s="361"/>
      <c r="AA8" s="361"/>
    </row>
    <row r="9" ht="15.75" customHeight="1" outlineLevel="1">
      <c r="A9" s="349">
        <v>4.0</v>
      </c>
      <c r="B9" s="350" t="s">
        <v>177</v>
      </c>
      <c r="C9" s="350" t="s">
        <v>178</v>
      </c>
      <c r="D9" s="351">
        <v>560.0</v>
      </c>
      <c r="E9" s="370">
        <v>290.0</v>
      </c>
      <c r="F9" s="368">
        <f t="shared" si="1"/>
        <v>162400</v>
      </c>
      <c r="G9" s="249">
        <f>SUMIF(PURCHASE!$E$3:$E$506,'INVONTERY FEB'!B9:B328,PURCHASE!$H$3:$H$506)</f>
        <v>0</v>
      </c>
      <c r="H9" s="364">
        <f>SUMIF(PURCHASE!$E$3:$E$506,'INVONTERY FEB'!B9:B328,PURCHASE!$I$3:$I$506)</f>
        <v>0</v>
      </c>
      <c r="I9" s="354">
        <f>ISSU!AL9</f>
        <v>170</v>
      </c>
      <c r="J9" s="371">
        <f t="shared" ref="J9:J21" si="9">I9/28</f>
        <v>6.071428571</v>
      </c>
      <c r="K9" s="372">
        <f t="shared" si="3"/>
        <v>120</v>
      </c>
      <c r="L9" s="358">
        <f t="shared" si="4"/>
        <v>67200</v>
      </c>
      <c r="M9" s="373">
        <f t="shared" ref="M9:M28" si="10">D9</f>
        <v>560</v>
      </c>
      <c r="N9" s="366">
        <f t="shared" si="5"/>
        <v>0</v>
      </c>
      <c r="O9" s="366">
        <f t="shared" si="6"/>
        <v>0</v>
      </c>
      <c r="P9" s="358">
        <f t="shared" si="7"/>
        <v>95200</v>
      </c>
      <c r="Q9" s="367" t="s">
        <v>173</v>
      </c>
      <c r="R9" s="361"/>
      <c r="S9" s="362">
        <v>0.0</v>
      </c>
      <c r="T9" s="168"/>
      <c r="U9" s="166"/>
      <c r="V9" s="362">
        <f t="shared" si="8"/>
        <v>0</v>
      </c>
      <c r="W9" s="361"/>
      <c r="X9" s="361"/>
      <c r="Y9" s="361"/>
      <c r="Z9" s="361"/>
      <c r="AA9" s="361"/>
    </row>
    <row r="10" ht="15.75" customHeight="1" outlineLevel="1">
      <c r="A10" s="349">
        <v>5.0</v>
      </c>
      <c r="B10" s="350" t="s">
        <v>179</v>
      </c>
      <c r="C10" s="350" t="s">
        <v>180</v>
      </c>
      <c r="D10" s="374">
        <v>134.0</v>
      </c>
      <c r="E10" s="370">
        <v>300.0</v>
      </c>
      <c r="F10" s="368">
        <f t="shared" si="1"/>
        <v>40200</v>
      </c>
      <c r="G10" s="249">
        <f>SUMIF(PURCHASE!$E$3:$E$506,'INVONTERY FEB'!B10:B328,PURCHASE!$H$3:$H$506)</f>
        <v>0</v>
      </c>
      <c r="H10" s="364">
        <f>SUMIF(PURCHASE!$E$3:$E$506,'INVONTERY FEB'!B10:B328,PURCHASE!$I$3:$I$506)</f>
        <v>0</v>
      </c>
      <c r="I10" s="354">
        <f>ISSU!AL10</f>
        <v>250</v>
      </c>
      <c r="J10" s="371">
        <f t="shared" si="9"/>
        <v>8.928571429</v>
      </c>
      <c r="K10" s="372">
        <f t="shared" si="3"/>
        <v>50</v>
      </c>
      <c r="L10" s="358">
        <f t="shared" si="4"/>
        <v>6700</v>
      </c>
      <c r="M10" s="358">
        <f t="shared" si="10"/>
        <v>134</v>
      </c>
      <c r="N10" s="366">
        <f t="shared" si="5"/>
        <v>0</v>
      </c>
      <c r="O10" s="366">
        <f t="shared" si="6"/>
        <v>0</v>
      </c>
      <c r="P10" s="358">
        <f t="shared" si="7"/>
        <v>33500</v>
      </c>
      <c r="Q10" s="367" t="s">
        <v>175</v>
      </c>
      <c r="R10" s="375"/>
      <c r="S10" s="362"/>
      <c r="T10" s="168"/>
      <c r="U10" s="168">
        <v>1.0</v>
      </c>
      <c r="V10" s="362">
        <f t="shared" si="8"/>
        <v>1</v>
      </c>
      <c r="W10" s="375"/>
      <c r="X10" s="375"/>
      <c r="Y10" s="375"/>
      <c r="Z10" s="375"/>
      <c r="AA10" s="375"/>
    </row>
    <row r="11" ht="15.75" customHeight="1" outlineLevel="1">
      <c r="A11" s="349">
        <v>6.0</v>
      </c>
      <c r="B11" s="350" t="s">
        <v>181</v>
      </c>
      <c r="C11" s="350" t="s">
        <v>172</v>
      </c>
      <c r="D11" s="374">
        <v>184.0</v>
      </c>
      <c r="E11" s="370">
        <v>300.0</v>
      </c>
      <c r="F11" s="368">
        <f t="shared" si="1"/>
        <v>55200</v>
      </c>
      <c r="G11" s="249">
        <f>SUMIF(PURCHASE!$E$3:$E$506,'INVONTERY FEB'!B11:B329,PURCHASE!$H$3:$H$506)</f>
        <v>100</v>
      </c>
      <c r="H11" s="364">
        <f>SUMIF(PURCHASE!$E$3:$E$506,'INVONTERY FEB'!B11:B329,PURCHASE!$I$3:$I$506)</f>
        <v>18400</v>
      </c>
      <c r="I11" s="354">
        <f>ISSU!AL11</f>
        <v>300</v>
      </c>
      <c r="J11" s="371">
        <f t="shared" si="9"/>
        <v>10.71428571</v>
      </c>
      <c r="K11" s="372">
        <f t="shared" si="3"/>
        <v>100</v>
      </c>
      <c r="L11" s="358">
        <f t="shared" si="4"/>
        <v>18400</v>
      </c>
      <c r="M11" s="358">
        <f t="shared" si="10"/>
        <v>184</v>
      </c>
      <c r="N11" s="366">
        <f t="shared" si="5"/>
        <v>0</v>
      </c>
      <c r="O11" s="366">
        <f t="shared" si="6"/>
        <v>0</v>
      </c>
      <c r="P11" s="358">
        <f t="shared" si="7"/>
        <v>55200</v>
      </c>
      <c r="Q11" s="367" t="s">
        <v>175</v>
      </c>
      <c r="R11" s="375"/>
      <c r="S11" s="362">
        <f>50*2</f>
        <v>100</v>
      </c>
      <c r="T11" s="168"/>
      <c r="U11" s="168"/>
      <c r="V11" s="362">
        <f t="shared" si="8"/>
        <v>100</v>
      </c>
      <c r="W11" s="375"/>
      <c r="X11" s="375"/>
      <c r="Y11" s="375"/>
      <c r="Z11" s="375"/>
      <c r="AA11" s="375"/>
    </row>
    <row r="12" outlineLevel="1">
      <c r="A12" s="349">
        <v>7.0</v>
      </c>
      <c r="B12" s="350" t="s">
        <v>67</v>
      </c>
      <c r="C12" s="376" t="s">
        <v>72</v>
      </c>
      <c r="D12" s="358">
        <f>5067/160</f>
        <v>31.66875</v>
      </c>
      <c r="E12" s="370">
        <v>380.0</v>
      </c>
      <c r="F12" s="377">
        <f t="shared" si="1"/>
        <v>12034.125</v>
      </c>
      <c r="G12" s="378">
        <f>SUMIF(PURCHASE!$E$3:$E$506,'INVONTERY FEB'!B12:B483,PURCHASE!$H$3:$H$506)</f>
        <v>5040</v>
      </c>
      <c r="H12" s="379">
        <f>SUMIF(PURCHASE!$E$3:$E$506,'INVONTERY FEB'!B12:B433,PURCHASE!$I$3:$I$506)</f>
        <v>120100</v>
      </c>
      <c r="I12" s="354">
        <f>ISSU!AL12</f>
        <v>5170</v>
      </c>
      <c r="J12" s="371">
        <f t="shared" si="9"/>
        <v>184.6428571</v>
      </c>
      <c r="K12" s="380">
        <f t="shared" si="3"/>
        <v>250</v>
      </c>
      <c r="L12" s="379">
        <f t="shared" si="4"/>
        <v>7917.1875</v>
      </c>
      <c r="M12" s="358">
        <f t="shared" si="10"/>
        <v>31.66875</v>
      </c>
      <c r="N12" s="366">
        <f t="shared" si="5"/>
        <v>0</v>
      </c>
      <c r="O12" s="381">
        <f t="shared" si="6"/>
        <v>0</v>
      </c>
      <c r="P12" s="379">
        <f t="shared" si="7"/>
        <v>124216.9375</v>
      </c>
      <c r="Q12" s="382"/>
      <c r="R12" s="361"/>
      <c r="S12" s="362">
        <v>0.0</v>
      </c>
      <c r="T12" s="168"/>
      <c r="U12" s="383"/>
      <c r="V12" s="362">
        <f t="shared" si="8"/>
        <v>0</v>
      </c>
      <c r="W12" s="361"/>
      <c r="X12" s="361"/>
      <c r="Y12" s="361"/>
      <c r="Z12" s="361"/>
      <c r="AA12" s="361"/>
    </row>
    <row r="13" outlineLevel="1">
      <c r="A13" s="349">
        <v>8.0</v>
      </c>
      <c r="B13" s="350" t="s">
        <v>182</v>
      </c>
      <c r="C13" s="350" t="s">
        <v>183</v>
      </c>
      <c r="D13" s="374">
        <v>625.0</v>
      </c>
      <c r="E13" s="370">
        <v>30.0</v>
      </c>
      <c r="F13" s="377">
        <f t="shared" si="1"/>
        <v>18750</v>
      </c>
      <c r="G13" s="378">
        <f>SUMIF(PURCHASE!$E$3:$E$506,'INVONTERY FEB'!B13:B501,PURCHASE!$H$3:$H$506)</f>
        <v>89</v>
      </c>
      <c r="H13" s="379">
        <f>SUMIF(PURCHASE!$E$3:$E$506,'INVONTERY FEB'!B13:B451,PURCHASE!$I$3:$I$506)</f>
        <v>56900</v>
      </c>
      <c r="I13" s="354">
        <f>ISSU!AL13</f>
        <v>54</v>
      </c>
      <c r="J13" s="371">
        <f t="shared" si="9"/>
        <v>1.928571429</v>
      </c>
      <c r="K13" s="372">
        <f t="shared" si="3"/>
        <v>65</v>
      </c>
      <c r="L13" s="379">
        <f t="shared" si="4"/>
        <v>40625</v>
      </c>
      <c r="M13" s="358">
        <f t="shared" si="10"/>
        <v>625</v>
      </c>
      <c r="N13" s="381">
        <f t="shared" si="5"/>
        <v>0</v>
      </c>
      <c r="O13" s="381">
        <f t="shared" si="6"/>
        <v>0</v>
      </c>
      <c r="P13" s="379">
        <f t="shared" si="7"/>
        <v>35025</v>
      </c>
      <c r="Q13" s="382"/>
      <c r="R13" s="361"/>
      <c r="S13" s="362">
        <v>22.0</v>
      </c>
      <c r="T13" s="383">
        <v>2.0</v>
      </c>
      <c r="U13" s="168">
        <v>2.0</v>
      </c>
      <c r="V13" s="362">
        <f t="shared" si="8"/>
        <v>26</v>
      </c>
      <c r="W13" s="361"/>
      <c r="X13" s="361"/>
      <c r="Y13" s="361"/>
      <c r="Z13" s="361"/>
      <c r="AA13" s="361"/>
    </row>
    <row r="14" outlineLevel="1">
      <c r="A14" s="349">
        <v>9.0</v>
      </c>
      <c r="B14" s="350" t="s">
        <v>184</v>
      </c>
      <c r="C14" s="350" t="s">
        <v>72</v>
      </c>
      <c r="D14" s="374">
        <f>30263/62</f>
        <v>488.1129032</v>
      </c>
      <c r="E14" s="370">
        <v>126.0</v>
      </c>
      <c r="F14" s="377">
        <f t="shared" si="1"/>
        <v>61502.22581</v>
      </c>
      <c r="G14" s="378">
        <f>SUMIF(PURCHASE!$E$3:$E$506,'INVONTERY FEB'!B14:B490,PURCHASE!$H$3:$H$506)</f>
        <v>160</v>
      </c>
      <c r="H14" s="358">
        <f>SUMIF(PURCHASE!$E$3:$E$506,'INVONTERY FEB'!B14:B440,PURCHASE!$I$3:$I$506)</f>
        <v>78244.03226</v>
      </c>
      <c r="I14" s="354">
        <f>ISSU!AL14</f>
        <v>190</v>
      </c>
      <c r="J14" s="371">
        <f t="shared" si="9"/>
        <v>6.785714286</v>
      </c>
      <c r="K14" s="384">
        <f t="shared" si="3"/>
        <v>96</v>
      </c>
      <c r="L14" s="379">
        <f t="shared" si="4"/>
        <v>46858.83871</v>
      </c>
      <c r="M14" s="358">
        <f t="shared" si="10"/>
        <v>488.1129032</v>
      </c>
      <c r="N14" s="381">
        <f t="shared" si="5"/>
        <v>0</v>
      </c>
      <c r="O14" s="381">
        <f t="shared" si="6"/>
        <v>0</v>
      </c>
      <c r="P14" s="379">
        <f t="shared" si="7"/>
        <v>92887.41935</v>
      </c>
      <c r="Q14" s="382" t="s">
        <v>175</v>
      </c>
      <c r="R14" s="361"/>
      <c r="S14" s="362">
        <v>8.0</v>
      </c>
      <c r="T14" s="168">
        <v>8.0</v>
      </c>
      <c r="U14" s="383"/>
      <c r="V14" s="362">
        <f t="shared" si="8"/>
        <v>16</v>
      </c>
      <c r="W14" s="361"/>
      <c r="X14" s="361"/>
      <c r="Y14" s="361"/>
      <c r="Z14" s="361"/>
      <c r="AA14" s="361"/>
    </row>
    <row r="15" ht="15.75" customHeight="1" outlineLevel="1">
      <c r="A15" s="349">
        <v>10.0</v>
      </c>
      <c r="B15" s="385" t="s">
        <v>185</v>
      </c>
      <c r="C15" s="350" t="s">
        <v>172</v>
      </c>
      <c r="D15" s="374">
        <f>137098/35</f>
        <v>3917.085714</v>
      </c>
      <c r="E15" s="386">
        <v>57.0</v>
      </c>
      <c r="F15" s="387">
        <f t="shared" si="1"/>
        <v>223273.8857</v>
      </c>
      <c r="G15" s="388">
        <f>SUMIF(PURCHASE!$E$3:$E$506,'INVONTERY FEB'!B15:B328,PURCHASE!$H$3:$H$506)</f>
        <v>50</v>
      </c>
      <c r="H15" s="389">
        <f>SUMIF(PURCHASE!$E$3:$E$506,'INVONTERY FEB'!B15:B328,PURCHASE!$I$3:$I$506)</f>
        <v>195800</v>
      </c>
      <c r="I15" s="354">
        <f>ISSU!AL15</f>
        <v>37</v>
      </c>
      <c r="J15" s="371">
        <f t="shared" si="9"/>
        <v>1.321428571</v>
      </c>
      <c r="K15" s="384">
        <f t="shared" si="3"/>
        <v>70</v>
      </c>
      <c r="L15" s="379">
        <f t="shared" si="4"/>
        <v>274196</v>
      </c>
      <c r="M15" s="358">
        <f t="shared" si="10"/>
        <v>3917.085714</v>
      </c>
      <c r="N15" s="390">
        <f t="shared" si="5"/>
        <v>0</v>
      </c>
      <c r="O15" s="390">
        <f t="shared" si="6"/>
        <v>0</v>
      </c>
      <c r="P15" s="391">
        <f t="shared" si="7"/>
        <v>144877.8857</v>
      </c>
      <c r="Q15" s="382" t="s">
        <v>175</v>
      </c>
      <c r="R15" s="392"/>
      <c r="S15" s="362">
        <v>0.0</v>
      </c>
      <c r="T15" s="168"/>
      <c r="U15" s="168"/>
      <c r="V15" s="362">
        <f t="shared" si="8"/>
        <v>0</v>
      </c>
      <c r="W15" s="361"/>
      <c r="X15" s="361"/>
      <c r="Y15" s="361"/>
      <c r="Z15" s="361"/>
      <c r="AA15" s="361"/>
    </row>
    <row r="16" ht="15.75" customHeight="1" outlineLevel="1">
      <c r="A16" s="349">
        <v>11.0</v>
      </c>
      <c r="B16" s="350" t="s">
        <v>186</v>
      </c>
      <c r="C16" s="350" t="s">
        <v>187</v>
      </c>
      <c r="D16" s="358">
        <v>1150.0</v>
      </c>
      <c r="E16" s="386">
        <v>2.0</v>
      </c>
      <c r="F16" s="377">
        <f t="shared" si="1"/>
        <v>2300</v>
      </c>
      <c r="G16" s="388">
        <f>SUMIF(PURCHASE!$E$3:$E$506,'INVONTERY FEB'!B16:B341,PURCHASE!$H$3:$H$506)</f>
        <v>12</v>
      </c>
      <c r="H16" s="364">
        <f>SUMIF(PURCHASE!$E$3:$E$506,'INVONTERY FEB'!B16:B336,PURCHASE!$I$3:$I$506)</f>
        <v>13200</v>
      </c>
      <c r="I16" s="354">
        <f>ISSU!AL16</f>
        <v>5</v>
      </c>
      <c r="J16" s="371">
        <f t="shared" si="9"/>
        <v>0.1785714286</v>
      </c>
      <c r="K16" s="384">
        <f t="shared" si="3"/>
        <v>9</v>
      </c>
      <c r="L16" s="379">
        <f t="shared" si="4"/>
        <v>10350</v>
      </c>
      <c r="M16" s="358">
        <f t="shared" si="10"/>
        <v>1150</v>
      </c>
      <c r="N16" s="390">
        <f t="shared" si="5"/>
        <v>0</v>
      </c>
      <c r="O16" s="390">
        <f t="shared" si="6"/>
        <v>0</v>
      </c>
      <c r="P16" s="379">
        <f t="shared" si="7"/>
        <v>5150</v>
      </c>
      <c r="Q16" s="382" t="s">
        <v>188</v>
      </c>
      <c r="R16" s="361"/>
      <c r="S16" s="362">
        <v>0.0</v>
      </c>
      <c r="T16" s="168"/>
      <c r="U16" s="168"/>
      <c r="V16" s="362">
        <f t="shared" si="8"/>
        <v>0</v>
      </c>
      <c r="W16" s="361"/>
      <c r="X16" s="361"/>
      <c r="Y16" s="361"/>
      <c r="Z16" s="361"/>
      <c r="AA16" s="361"/>
    </row>
    <row r="17" ht="15.75" customHeight="1" outlineLevel="1">
      <c r="A17" s="349">
        <v>12.0</v>
      </c>
      <c r="B17" s="350" t="s">
        <v>189</v>
      </c>
      <c r="C17" s="350" t="s">
        <v>190</v>
      </c>
      <c r="D17" s="351">
        <v>29.0</v>
      </c>
      <c r="E17" s="370">
        <v>0.0</v>
      </c>
      <c r="F17" s="377">
        <f t="shared" si="1"/>
        <v>0</v>
      </c>
      <c r="G17" s="388">
        <f>SUMIF(PURCHASE!$E$3:$E$506,'INVONTERY FEB'!B17:B344,PURCHASE!$H$3:$H$506)</f>
        <v>0</v>
      </c>
      <c r="H17" s="364">
        <f>SUMIF(PURCHASE!$E$3:$E$506,'INVONTERY FEB'!B17:B339,PURCHASE!$I$3:$I$506)</f>
        <v>0</v>
      </c>
      <c r="I17" s="354">
        <f>ISSU!AL17</f>
        <v>0</v>
      </c>
      <c r="J17" s="371">
        <f t="shared" si="9"/>
        <v>0</v>
      </c>
      <c r="K17" s="380">
        <f t="shared" si="3"/>
        <v>0</v>
      </c>
      <c r="L17" s="378">
        <f t="shared" si="4"/>
        <v>0</v>
      </c>
      <c r="M17" s="373">
        <f t="shared" si="10"/>
        <v>29</v>
      </c>
      <c r="N17" s="390">
        <f t="shared" si="5"/>
        <v>0</v>
      </c>
      <c r="O17" s="390">
        <f t="shared" si="6"/>
        <v>0</v>
      </c>
      <c r="P17" s="379">
        <f t="shared" si="7"/>
        <v>0</v>
      </c>
      <c r="Q17" s="382"/>
      <c r="R17" s="361"/>
      <c r="S17" s="362">
        <v>0.0</v>
      </c>
      <c r="T17" s="168"/>
      <c r="U17" s="168"/>
      <c r="V17" s="362">
        <f t="shared" si="8"/>
        <v>0</v>
      </c>
      <c r="W17" s="361"/>
      <c r="X17" s="361"/>
      <c r="Y17" s="361"/>
      <c r="Z17" s="361"/>
      <c r="AA17" s="361"/>
    </row>
    <row r="18" ht="15.75" customHeight="1" outlineLevel="1">
      <c r="A18" s="105">
        <v>13.0</v>
      </c>
      <c r="B18" s="350" t="s">
        <v>191</v>
      </c>
      <c r="C18" s="350" t="s">
        <v>172</v>
      </c>
      <c r="D18" s="351">
        <v>2000.0</v>
      </c>
      <c r="E18" s="386">
        <v>0.0</v>
      </c>
      <c r="F18" s="387">
        <f t="shared" si="1"/>
        <v>0</v>
      </c>
      <c r="G18" s="388">
        <f>SUMIF(PURCHASE!$E$3:$E$506,'INVONTERY FEB'!B18:B362,PURCHASE!$H$3:$H$506)</f>
        <v>5</v>
      </c>
      <c r="H18" s="389">
        <f>SUMIF(PURCHASE!$E$3:$E$506,'INVONTERY FEB'!B18:B362,PURCHASE!$I$3:$I$506)</f>
        <v>10000</v>
      </c>
      <c r="I18" s="354">
        <f>ISSU!AL19</f>
        <v>3</v>
      </c>
      <c r="J18" s="371">
        <f t="shared" si="9"/>
        <v>0.1071428571</v>
      </c>
      <c r="K18" s="384">
        <f t="shared" si="3"/>
        <v>2</v>
      </c>
      <c r="L18" s="378">
        <f t="shared" si="4"/>
        <v>4000</v>
      </c>
      <c r="M18" s="373">
        <f t="shared" si="10"/>
        <v>2000</v>
      </c>
      <c r="N18" s="391">
        <f t="shared" si="5"/>
        <v>0</v>
      </c>
      <c r="O18" s="390">
        <f t="shared" si="6"/>
        <v>0</v>
      </c>
      <c r="P18" s="391">
        <f t="shared" si="7"/>
        <v>6000</v>
      </c>
      <c r="Q18" s="382" t="s">
        <v>175</v>
      </c>
      <c r="R18" s="361"/>
      <c r="S18" s="362">
        <v>0.0</v>
      </c>
      <c r="T18" s="168"/>
      <c r="U18" s="168"/>
      <c r="V18" s="362">
        <f t="shared" si="8"/>
        <v>0</v>
      </c>
      <c r="W18" s="361"/>
      <c r="X18" s="361"/>
      <c r="Y18" s="361"/>
      <c r="Z18" s="361"/>
      <c r="AA18" s="361"/>
    </row>
    <row r="19" ht="15.75" customHeight="1" outlineLevel="1">
      <c r="A19" s="349">
        <v>14.0</v>
      </c>
      <c r="B19" s="350" t="s">
        <v>192</v>
      </c>
      <c r="C19" s="350" t="s">
        <v>172</v>
      </c>
      <c r="D19" s="351">
        <v>160.0</v>
      </c>
      <c r="E19" s="370">
        <v>5.0</v>
      </c>
      <c r="F19" s="387">
        <f t="shared" si="1"/>
        <v>800</v>
      </c>
      <c r="G19" s="388">
        <f>SUMIF(PURCHASE!$E$3:$E$506,'INVONTERY FEB'!B19:B338,PURCHASE!$H$3:$H$506)</f>
        <v>0</v>
      </c>
      <c r="H19" s="389">
        <f>SUMIF(PURCHASE!$E$3:$E$506,'INVONTERY FEB'!B19:B333,PURCHASE!$I$3:$I$506)</f>
        <v>0</v>
      </c>
      <c r="I19" s="354">
        <f>ISSU!AL18</f>
        <v>0</v>
      </c>
      <c r="J19" s="371">
        <f t="shared" si="9"/>
        <v>0</v>
      </c>
      <c r="K19" s="380">
        <f t="shared" si="3"/>
        <v>5</v>
      </c>
      <c r="L19" s="378">
        <f t="shared" si="4"/>
        <v>800</v>
      </c>
      <c r="M19" s="373">
        <f t="shared" si="10"/>
        <v>160</v>
      </c>
      <c r="N19" s="391">
        <f t="shared" si="5"/>
        <v>0</v>
      </c>
      <c r="O19" s="390">
        <f t="shared" si="6"/>
        <v>0</v>
      </c>
      <c r="P19" s="391">
        <f t="shared" si="7"/>
        <v>0</v>
      </c>
      <c r="Q19" s="382" t="s">
        <v>175</v>
      </c>
      <c r="R19" s="361"/>
      <c r="S19" s="362">
        <v>0.0</v>
      </c>
      <c r="T19" s="168"/>
      <c r="U19" s="168"/>
      <c r="V19" s="362">
        <f t="shared" si="8"/>
        <v>0</v>
      </c>
      <c r="W19" s="361"/>
      <c r="X19" s="361"/>
      <c r="Y19" s="361"/>
      <c r="Z19" s="361"/>
      <c r="AA19" s="361"/>
    </row>
    <row r="20" outlineLevel="1">
      <c r="A20" s="349">
        <v>15.0</v>
      </c>
      <c r="B20" s="350" t="s">
        <v>193</v>
      </c>
      <c r="C20" s="350" t="s">
        <v>172</v>
      </c>
      <c r="D20" s="351">
        <v>200.0</v>
      </c>
      <c r="E20" s="370">
        <v>5.0</v>
      </c>
      <c r="F20" s="377">
        <f t="shared" si="1"/>
        <v>1000</v>
      </c>
      <c r="G20" s="378">
        <f>SUMIF(PURCHASE!$E$3:$E$506,'INVONTERY FEB'!B20:B351,PURCHASE!$H$3:$H$506)</f>
        <v>0</v>
      </c>
      <c r="H20" s="379">
        <f>SUMIF(PURCHASE!$E$3:$E$506,'INVONTERY FEB'!B20:B346,PURCHASE!$I$3:$I$506)</f>
        <v>0</v>
      </c>
      <c r="I20" s="354">
        <f>ISSU!AL20</f>
        <v>0</v>
      </c>
      <c r="J20" s="371">
        <f t="shared" si="9"/>
        <v>0</v>
      </c>
      <c r="K20" s="372">
        <f t="shared" si="3"/>
        <v>5</v>
      </c>
      <c r="L20" s="379">
        <f t="shared" si="4"/>
        <v>1000</v>
      </c>
      <c r="M20" s="373">
        <f t="shared" si="10"/>
        <v>200</v>
      </c>
      <c r="N20" s="390">
        <f t="shared" si="5"/>
        <v>0</v>
      </c>
      <c r="O20" s="390">
        <f t="shared" si="6"/>
        <v>0</v>
      </c>
      <c r="P20" s="391">
        <f t="shared" si="7"/>
        <v>0</v>
      </c>
      <c r="Q20" s="382" t="s">
        <v>175</v>
      </c>
      <c r="R20" s="361"/>
      <c r="S20" s="362"/>
      <c r="T20" s="168"/>
      <c r="U20" s="168"/>
      <c r="V20" s="362">
        <f t="shared" si="8"/>
        <v>0</v>
      </c>
      <c r="W20" s="361"/>
      <c r="X20" s="361"/>
      <c r="Y20" s="361"/>
      <c r="Z20" s="361"/>
      <c r="AA20" s="361"/>
    </row>
    <row r="21" ht="15.75" customHeight="1" outlineLevel="1">
      <c r="A21" s="349">
        <v>16.0</v>
      </c>
      <c r="B21" s="385" t="s">
        <v>194</v>
      </c>
      <c r="C21" s="350" t="s">
        <v>72</v>
      </c>
      <c r="D21" s="351"/>
      <c r="E21" s="370">
        <v>0.0</v>
      </c>
      <c r="F21" s="377">
        <f t="shared" si="1"/>
        <v>0</v>
      </c>
      <c r="G21" s="378">
        <f>SUMIF(PURCHASE!$E$3:$E$506,'INVONTERY FEB'!B21:B377,PURCHASE!$H$3:$H$506)</f>
        <v>0</v>
      </c>
      <c r="H21" s="379">
        <f>SUMIF(PURCHASE!$E$3:$E$506,'INVONTERY FEB'!B21:B375,PURCHASE!$I$3:$I$506)</f>
        <v>0</v>
      </c>
      <c r="I21" s="354">
        <f>ISSU!AL21</f>
        <v>0</v>
      </c>
      <c r="J21" s="371">
        <f t="shared" si="9"/>
        <v>0</v>
      </c>
      <c r="K21" s="380">
        <f t="shared" si="3"/>
        <v>0</v>
      </c>
      <c r="L21" s="379">
        <f t="shared" si="4"/>
        <v>0</v>
      </c>
      <c r="M21" s="373" t="str">
        <f t="shared" si="10"/>
        <v/>
      </c>
      <c r="N21" s="390">
        <f t="shared" si="5"/>
        <v>0</v>
      </c>
      <c r="O21" s="390">
        <f t="shared" si="6"/>
        <v>0</v>
      </c>
      <c r="P21" s="391">
        <f t="shared" si="7"/>
        <v>0</v>
      </c>
      <c r="Q21" s="382" t="s">
        <v>53</v>
      </c>
      <c r="R21" s="361"/>
      <c r="S21" s="362">
        <v>0.0</v>
      </c>
      <c r="T21" s="168"/>
      <c r="U21" s="168"/>
      <c r="V21" s="362">
        <f t="shared" si="8"/>
        <v>0</v>
      </c>
      <c r="W21" s="361"/>
      <c r="X21" s="361"/>
      <c r="Y21" s="361"/>
      <c r="Z21" s="361"/>
      <c r="AA21" s="361"/>
    </row>
    <row r="22" ht="15.75" customHeight="1" outlineLevel="1">
      <c r="A22" s="349">
        <v>17.0</v>
      </c>
      <c r="B22" s="393" t="s">
        <v>195</v>
      </c>
      <c r="C22" s="393" t="s">
        <v>187</v>
      </c>
      <c r="D22" s="393"/>
      <c r="E22" s="352"/>
      <c r="F22" s="387">
        <f t="shared" si="1"/>
        <v>0</v>
      </c>
      <c r="G22" s="388">
        <f>SUMIF(PURCHASE!$E$3:$E$506,'INVONTERY FEB'!B22:B339,PURCHASE!$H$3:$H$506)</f>
        <v>0</v>
      </c>
      <c r="H22" s="389">
        <f>SUMIF(PURCHASE!$E$3:$E$506,'INVONTERY FEB'!B22:B334,PURCHASE!$I$3:$I$506)</f>
        <v>0</v>
      </c>
      <c r="I22" s="354">
        <f>ISSU!AL22</f>
        <v>0</v>
      </c>
      <c r="J22" s="354">
        <f t="shared" ref="J22:J28" si="11">I22/30</f>
        <v>0</v>
      </c>
      <c r="K22" s="394">
        <f t="shared" si="3"/>
        <v>0</v>
      </c>
      <c r="L22" s="379">
        <f t="shared" si="4"/>
        <v>0</v>
      </c>
      <c r="M22" s="358" t="str">
        <f t="shared" si="10"/>
        <v/>
      </c>
      <c r="N22" s="390">
        <f t="shared" si="5"/>
        <v>0</v>
      </c>
      <c r="O22" s="390">
        <f t="shared" si="6"/>
        <v>0</v>
      </c>
      <c r="P22" s="391">
        <f t="shared" si="7"/>
        <v>0</v>
      </c>
      <c r="Q22" s="382"/>
      <c r="R22" s="361"/>
      <c r="S22" s="362">
        <v>0.0</v>
      </c>
      <c r="T22" s="383"/>
      <c r="U22" s="168">
        <v>1.0</v>
      </c>
      <c r="V22" s="362">
        <f t="shared" si="8"/>
        <v>1</v>
      </c>
      <c r="W22" s="361"/>
      <c r="X22" s="361"/>
      <c r="Y22" s="361"/>
      <c r="Z22" s="361"/>
      <c r="AA22" s="361"/>
    </row>
    <row r="23" ht="15.75" customHeight="1" outlineLevel="1">
      <c r="A23" s="349">
        <v>18.0</v>
      </c>
      <c r="B23" s="393" t="s">
        <v>196</v>
      </c>
      <c r="C23" s="393" t="s">
        <v>197</v>
      </c>
      <c r="D23" s="393"/>
      <c r="E23" s="363"/>
      <c r="F23" s="387">
        <f t="shared" si="1"/>
        <v>0</v>
      </c>
      <c r="G23" s="388">
        <f>SUMIF(PURCHASE!$E$3:$E$506,'INVONTERY FEB'!B23:B338,PURCHASE!$H$3:$H$506)</f>
        <v>0</v>
      </c>
      <c r="H23" s="389">
        <f>SUMIF(PURCHASE!$E$3:$E$506,'INVONTERY FEB'!B23:B333,PURCHASE!$I$3:$I$506)</f>
        <v>0</v>
      </c>
      <c r="I23" s="354">
        <f>ISSU!AL23</f>
        <v>0</v>
      </c>
      <c r="J23" s="354">
        <f t="shared" si="11"/>
        <v>0</v>
      </c>
      <c r="K23" s="395">
        <f t="shared" si="3"/>
        <v>0</v>
      </c>
      <c r="L23" s="379">
        <f t="shared" si="4"/>
        <v>0</v>
      </c>
      <c r="M23" s="358" t="str">
        <f t="shared" si="10"/>
        <v/>
      </c>
      <c r="N23" s="390">
        <f t="shared" si="5"/>
        <v>0</v>
      </c>
      <c r="O23" s="390">
        <f t="shared" si="6"/>
        <v>0</v>
      </c>
      <c r="P23" s="391">
        <f t="shared" si="7"/>
        <v>0</v>
      </c>
      <c r="Q23" s="382" t="s">
        <v>188</v>
      </c>
      <c r="R23" s="361"/>
      <c r="S23" s="362">
        <v>0.0</v>
      </c>
      <c r="T23" s="168"/>
      <c r="U23" s="168"/>
      <c r="V23" s="362">
        <f t="shared" si="8"/>
        <v>0</v>
      </c>
      <c r="W23" s="361"/>
      <c r="X23" s="361"/>
      <c r="Y23" s="361"/>
      <c r="Z23" s="361"/>
      <c r="AA23" s="361"/>
    </row>
    <row r="24" ht="18.0" customHeight="1" outlineLevel="1">
      <c r="A24" s="349">
        <v>19.0</v>
      </c>
      <c r="B24" s="393" t="s">
        <v>198</v>
      </c>
      <c r="C24" s="393" t="s">
        <v>187</v>
      </c>
      <c r="D24" s="393"/>
      <c r="E24" s="363"/>
      <c r="F24" s="387">
        <f t="shared" si="1"/>
        <v>0</v>
      </c>
      <c r="G24" s="388">
        <f>SUMIF(PURCHASE!$E$3:$E$506,'INVONTERY FEB'!B24:B339,PURCHASE!$H$3:$H$506)</f>
        <v>1</v>
      </c>
      <c r="H24" s="389">
        <f>SUMIF(PURCHASE!$E$3:$E$506,'INVONTERY FEB'!B24:B334,PURCHASE!$I$3:$I$506)</f>
        <v>1750</v>
      </c>
      <c r="I24" s="354">
        <f>ISSU!AL24</f>
        <v>0</v>
      </c>
      <c r="J24" s="354">
        <f t="shared" si="11"/>
        <v>0</v>
      </c>
      <c r="K24" s="395">
        <f t="shared" si="3"/>
        <v>1</v>
      </c>
      <c r="L24" s="379">
        <f t="shared" si="4"/>
        <v>0</v>
      </c>
      <c r="M24" s="358" t="str">
        <f t="shared" si="10"/>
        <v/>
      </c>
      <c r="N24" s="390">
        <f t="shared" si="5"/>
        <v>0</v>
      </c>
      <c r="O24" s="390">
        <f t="shared" si="6"/>
        <v>0</v>
      </c>
      <c r="P24" s="391">
        <f t="shared" si="7"/>
        <v>1750</v>
      </c>
      <c r="Q24" s="396"/>
      <c r="R24" s="361"/>
      <c r="S24" s="362">
        <v>0.0</v>
      </c>
      <c r="T24" s="168"/>
      <c r="U24" s="168"/>
      <c r="V24" s="362">
        <f t="shared" si="8"/>
        <v>0</v>
      </c>
      <c r="W24" s="361"/>
      <c r="X24" s="361"/>
      <c r="Y24" s="361"/>
      <c r="Z24" s="361"/>
      <c r="AA24" s="361"/>
    </row>
    <row r="25" ht="15.75" customHeight="1" outlineLevel="1">
      <c r="A25" s="349">
        <v>20.0</v>
      </c>
      <c r="B25" s="397" t="s">
        <v>199</v>
      </c>
      <c r="C25" s="397" t="s">
        <v>183</v>
      </c>
      <c r="D25" s="393">
        <v>0.0</v>
      </c>
      <c r="E25" s="363"/>
      <c r="F25" s="387">
        <f t="shared" si="1"/>
        <v>0</v>
      </c>
      <c r="G25" s="388">
        <f>SUMIF(PURCHASE!$E$3:$E$506,'INVONTERY FEB'!B25:B340,PURCHASE!$H$3:$H$506)</f>
        <v>96</v>
      </c>
      <c r="H25" s="389">
        <f>SUMIF(PURCHASE!$E$3:$E$506,'INVONTERY FEB'!B25:B335,PURCHASE!$I$3:$I$506)</f>
        <v>25000</v>
      </c>
      <c r="I25" s="354">
        <f>ISSU!AL25</f>
        <v>42</v>
      </c>
      <c r="J25" s="354">
        <f t="shared" si="11"/>
        <v>1.4</v>
      </c>
      <c r="K25" s="384">
        <f t="shared" si="3"/>
        <v>54</v>
      </c>
      <c r="L25" s="379">
        <f t="shared" si="4"/>
        <v>0</v>
      </c>
      <c r="M25" s="358">
        <f t="shared" si="10"/>
        <v>0</v>
      </c>
      <c r="N25" s="390">
        <f t="shared" si="5"/>
        <v>0</v>
      </c>
      <c r="O25" s="390">
        <f t="shared" si="6"/>
        <v>0</v>
      </c>
      <c r="P25" s="391">
        <f t="shared" si="7"/>
        <v>25000</v>
      </c>
      <c r="Q25" s="396"/>
      <c r="R25" s="361"/>
      <c r="S25" s="362"/>
      <c r="T25" s="168"/>
      <c r="U25" s="168"/>
      <c r="V25" s="362">
        <f t="shared" si="8"/>
        <v>0</v>
      </c>
      <c r="W25" s="361"/>
      <c r="X25" s="361"/>
      <c r="Y25" s="361"/>
      <c r="Z25" s="361"/>
      <c r="AA25" s="361"/>
    </row>
    <row r="26" ht="15.75" customHeight="1" outlineLevel="1">
      <c r="A26" s="349">
        <v>21.0</v>
      </c>
      <c r="B26" s="393"/>
      <c r="C26" s="393"/>
      <c r="D26" s="393">
        <v>0.0</v>
      </c>
      <c r="E26" s="363"/>
      <c r="F26" s="387">
        <f t="shared" si="1"/>
        <v>0</v>
      </c>
      <c r="G26" s="388">
        <f>SUMIF(PURCHASE!$E$3:$E$506,'INVONTERY FEB'!B26:B341,PURCHASE!$H$3:$H$506)</f>
        <v>0</v>
      </c>
      <c r="H26" s="389">
        <f>SUMIF(PURCHASE!$E$3:$E$506,'INVONTERY FEB'!B26:B336,PURCHASE!$I$3:$I$506)</f>
        <v>0</v>
      </c>
      <c r="I26" s="354">
        <f>ISSU!AL26</f>
        <v>0</v>
      </c>
      <c r="J26" s="354">
        <f t="shared" si="11"/>
        <v>0</v>
      </c>
      <c r="K26" s="395">
        <f t="shared" si="3"/>
        <v>0</v>
      </c>
      <c r="L26" s="379">
        <f t="shared" si="4"/>
        <v>0</v>
      </c>
      <c r="M26" s="358">
        <f t="shared" si="10"/>
        <v>0</v>
      </c>
      <c r="N26" s="390">
        <f t="shared" si="5"/>
        <v>0</v>
      </c>
      <c r="O26" s="390">
        <f t="shared" si="6"/>
        <v>0</v>
      </c>
      <c r="P26" s="391">
        <f t="shared" si="7"/>
        <v>0</v>
      </c>
      <c r="Q26" s="396"/>
      <c r="R26" s="361"/>
      <c r="S26" s="362"/>
      <c r="T26" s="168"/>
      <c r="U26" s="168"/>
      <c r="V26" s="362">
        <f t="shared" si="8"/>
        <v>0</v>
      </c>
      <c r="W26" s="361"/>
      <c r="X26" s="361"/>
      <c r="Y26" s="361"/>
      <c r="Z26" s="361"/>
      <c r="AA26" s="361"/>
    </row>
    <row r="27" ht="15.75" customHeight="1" outlineLevel="1">
      <c r="A27" s="349">
        <v>22.0</v>
      </c>
      <c r="B27" s="393"/>
      <c r="C27" s="393"/>
      <c r="D27" s="393">
        <v>0.0</v>
      </c>
      <c r="E27" s="363"/>
      <c r="F27" s="387">
        <f t="shared" si="1"/>
        <v>0</v>
      </c>
      <c r="G27" s="388">
        <f>SUMIF(PURCHASE!$E$3:$E$506,'INVONTERY FEB'!B27:B342,PURCHASE!$H$3:$H$506)</f>
        <v>0</v>
      </c>
      <c r="H27" s="389">
        <f>SUMIF(PURCHASE!$E$3:$E$506,'INVONTERY FEB'!B27:B337,PURCHASE!$I$3:$I$506)</f>
        <v>0</v>
      </c>
      <c r="I27" s="354">
        <f>ISSU!AL27</f>
        <v>0</v>
      </c>
      <c r="J27" s="354">
        <f t="shared" si="11"/>
        <v>0</v>
      </c>
      <c r="K27" s="395">
        <f t="shared" si="3"/>
        <v>0</v>
      </c>
      <c r="L27" s="379">
        <f t="shared" si="4"/>
        <v>0</v>
      </c>
      <c r="M27" s="358">
        <f t="shared" si="10"/>
        <v>0</v>
      </c>
      <c r="N27" s="390">
        <f t="shared" si="5"/>
        <v>0</v>
      </c>
      <c r="O27" s="390">
        <f t="shared" si="6"/>
        <v>0</v>
      </c>
      <c r="P27" s="391">
        <f t="shared" si="7"/>
        <v>0</v>
      </c>
      <c r="Q27" s="396"/>
      <c r="R27" s="361"/>
      <c r="S27" s="362"/>
      <c r="T27" s="168"/>
      <c r="U27" s="168"/>
      <c r="V27" s="362">
        <f t="shared" si="8"/>
        <v>0</v>
      </c>
      <c r="W27" s="361"/>
      <c r="X27" s="361"/>
      <c r="Y27" s="361"/>
      <c r="Z27" s="361"/>
      <c r="AA27" s="361"/>
    </row>
    <row r="28" ht="15.75" customHeight="1" outlineLevel="1">
      <c r="A28" s="349">
        <v>23.0</v>
      </c>
      <c r="B28" s="393"/>
      <c r="C28" s="393"/>
      <c r="D28" s="393">
        <v>0.0</v>
      </c>
      <c r="E28" s="352"/>
      <c r="F28" s="398">
        <f t="shared" si="1"/>
        <v>0</v>
      </c>
      <c r="G28" s="399">
        <f>SUMIF(PURCHASE!$E$3:$E$506,'INVONTERY FEB'!B28:B333,PURCHASE!$H$3:$H$506)</f>
        <v>0</v>
      </c>
      <c r="H28" s="400">
        <f>SUMIF(PURCHASE!$E$3:$E$506,'INVONTERY FEB'!B28:B333,PURCHASE!$I$3:$I$506)</f>
        <v>0</v>
      </c>
      <c r="I28" s="354">
        <f>ISSU!AL28</f>
        <v>0</v>
      </c>
      <c r="J28" s="354">
        <f t="shared" si="11"/>
        <v>0</v>
      </c>
      <c r="K28" s="401">
        <f t="shared" si="3"/>
        <v>0</v>
      </c>
      <c r="L28" s="379">
        <f t="shared" si="4"/>
        <v>0</v>
      </c>
      <c r="M28" s="358">
        <f t="shared" si="10"/>
        <v>0</v>
      </c>
      <c r="N28" s="390">
        <f t="shared" si="5"/>
        <v>0</v>
      </c>
      <c r="O28" s="390">
        <f t="shared" si="6"/>
        <v>0</v>
      </c>
      <c r="P28" s="391">
        <f t="shared" si="7"/>
        <v>0</v>
      </c>
      <c r="Q28" s="402" t="s">
        <v>175</v>
      </c>
      <c r="R28" s="375"/>
      <c r="S28" s="362"/>
      <c r="T28" s="168"/>
      <c r="U28" s="168"/>
      <c r="V28" s="362">
        <f t="shared" si="8"/>
        <v>0</v>
      </c>
      <c r="W28" s="375"/>
      <c r="X28" s="375"/>
      <c r="Y28" s="375"/>
      <c r="Z28" s="375"/>
      <c r="AA28" s="375"/>
    </row>
    <row r="29" ht="15.75" customHeight="1">
      <c r="A29" s="403">
        <v>24.0</v>
      </c>
      <c r="B29" s="403" t="s">
        <v>200</v>
      </c>
      <c r="C29" s="404"/>
      <c r="D29" s="405"/>
      <c r="E29" s="405">
        <f>SUM(E9:E21)</f>
        <v>1495</v>
      </c>
      <c r="F29" s="406">
        <f t="shared" ref="F29:Q29" si="12">SUM(F6:F28)</f>
        <v>577460.2365</v>
      </c>
      <c r="G29" s="406">
        <f t="shared" si="12"/>
        <v>5553</v>
      </c>
      <c r="H29" s="406">
        <f t="shared" si="12"/>
        <v>519394.0323</v>
      </c>
      <c r="I29" s="406">
        <f t="shared" si="12"/>
        <v>6221</v>
      </c>
      <c r="J29" s="406">
        <f t="shared" si="12"/>
        <v>222.0785714</v>
      </c>
      <c r="K29" s="406">
        <f t="shared" si="12"/>
        <v>827</v>
      </c>
      <c r="L29" s="406">
        <f t="shared" si="12"/>
        <v>478047.0262</v>
      </c>
      <c r="M29" s="406">
        <f t="shared" si="12"/>
        <v>9478.867368</v>
      </c>
      <c r="N29" s="406">
        <f t="shared" si="12"/>
        <v>0</v>
      </c>
      <c r="O29" s="406">
        <f t="shared" si="12"/>
        <v>0</v>
      </c>
      <c r="P29" s="406">
        <f t="shared" si="12"/>
        <v>618807.2426</v>
      </c>
      <c r="Q29" s="406">
        <f t="shared" si="12"/>
        <v>0</v>
      </c>
      <c r="R29" s="407"/>
      <c r="S29" s="97"/>
      <c r="T29" s="168"/>
      <c r="U29" s="168"/>
      <c r="V29" s="362">
        <f t="shared" si="8"/>
        <v>0</v>
      </c>
      <c r="W29" s="109"/>
      <c r="X29" s="109"/>
      <c r="Y29" s="109"/>
      <c r="Z29" s="109"/>
      <c r="AA29" s="109"/>
    </row>
    <row r="30" ht="15.75" customHeight="1">
      <c r="A30" s="408">
        <v>25.0</v>
      </c>
      <c r="B30" s="408" t="s">
        <v>201</v>
      </c>
      <c r="C30" s="409"/>
      <c r="D30" s="409"/>
      <c r="E30" s="409"/>
      <c r="F30" s="410"/>
      <c r="G30" s="344"/>
      <c r="H30" s="345"/>
      <c r="I30" s="346"/>
      <c r="J30" s="346"/>
      <c r="K30" s="347"/>
      <c r="L30" s="347"/>
      <c r="M30" s="347"/>
      <c r="N30" s="343"/>
      <c r="O30" s="348"/>
      <c r="P30" s="348"/>
      <c r="Q30" s="348"/>
      <c r="R30" s="109"/>
      <c r="S30" s="97"/>
      <c r="T30" s="168"/>
      <c r="U30" s="168"/>
      <c r="V30" s="362">
        <f t="shared" si="8"/>
        <v>0</v>
      </c>
      <c r="W30" s="109"/>
      <c r="X30" s="109"/>
      <c r="Y30" s="109"/>
      <c r="Z30" s="109"/>
      <c r="AA30" s="109"/>
    </row>
    <row r="31" ht="15.75" customHeight="1" outlineLevel="1">
      <c r="A31" s="351">
        <v>26.0</v>
      </c>
      <c r="B31" s="350" t="s">
        <v>202</v>
      </c>
      <c r="C31" s="350" t="s">
        <v>203</v>
      </c>
      <c r="D31" s="351">
        <v>7800.0</v>
      </c>
      <c r="E31" s="370">
        <v>0.0</v>
      </c>
      <c r="F31" s="353">
        <f t="shared" ref="F31:F49" si="13">E31*D31</f>
        <v>0</v>
      </c>
      <c r="G31" s="354">
        <f>SUMIF(PURCHASE!$E$3:$E$506,'INVONTERY FEB'!B31:B328,PURCHASE!$H$3:$H$506)</f>
        <v>0</v>
      </c>
      <c r="H31" s="355">
        <f>SUMIF(PURCHASE!$E$3:$E$506,'INVONTERY FEB'!B31:B328,PURCHASE!$I$3:$I$506)</f>
        <v>0</v>
      </c>
      <c r="I31" s="354">
        <f>ISSU!AL31</f>
        <v>0</v>
      </c>
      <c r="J31" s="411">
        <f t="shared" ref="J31:J49" si="14">I31/28</f>
        <v>0</v>
      </c>
      <c r="K31" s="380">
        <f t="shared" ref="K31:K49" si="15">E31+G31-I31</f>
        <v>0</v>
      </c>
      <c r="L31" s="357">
        <f t="shared" ref="L31:L49" si="16">K31*M31</f>
        <v>0</v>
      </c>
      <c r="M31" s="358">
        <f t="shared" ref="M31:M32" si="17">D31</f>
        <v>7800</v>
      </c>
      <c r="N31" s="359">
        <f t="shared" ref="N31:N49" si="18">M31-D31</f>
        <v>0</v>
      </c>
      <c r="O31" s="359">
        <f t="shared" ref="O31:O49" si="19">N31*I31</f>
        <v>0</v>
      </c>
      <c r="P31" s="357">
        <f t="shared" ref="P31:P49" si="20">F31+H31-L31</f>
        <v>0</v>
      </c>
      <c r="Q31" s="360"/>
      <c r="R31" s="361"/>
      <c r="S31" s="362">
        <v>0.0</v>
      </c>
      <c r="T31" s="168"/>
      <c r="U31" s="168"/>
      <c r="V31" s="362">
        <f t="shared" si="8"/>
        <v>0</v>
      </c>
      <c r="W31" s="361"/>
      <c r="X31" s="361"/>
      <c r="Y31" s="361"/>
      <c r="Z31" s="361"/>
      <c r="AA31" s="361"/>
    </row>
    <row r="32" ht="15.75" customHeight="1" outlineLevel="1">
      <c r="A32" s="351">
        <v>27.0</v>
      </c>
      <c r="B32" s="350" t="s">
        <v>204</v>
      </c>
      <c r="C32" s="376" t="s">
        <v>72</v>
      </c>
      <c r="D32" s="412">
        <v>211.0</v>
      </c>
      <c r="E32" s="370">
        <v>0.0</v>
      </c>
      <c r="F32" s="353">
        <f t="shared" si="13"/>
        <v>0</v>
      </c>
      <c r="G32" s="249">
        <f>SUMIF(PURCHASE!$E$3:$E$506,'INVONTERY FEB'!B32:B328,PURCHASE!$H$3:$H$506)</f>
        <v>0</v>
      </c>
      <c r="H32" s="364">
        <f>SUMIF(PURCHASE!$E$3:$E$506,'INVONTERY FEB'!B32:B328,PURCHASE!$I$3:$I$506)</f>
        <v>0</v>
      </c>
      <c r="I32" s="354">
        <f>ISSU!AL32</f>
        <v>0</v>
      </c>
      <c r="J32" s="411">
        <f t="shared" si="14"/>
        <v>0</v>
      </c>
      <c r="K32" s="380">
        <f t="shared" si="15"/>
        <v>0</v>
      </c>
      <c r="L32" s="358">
        <f t="shared" si="16"/>
        <v>0</v>
      </c>
      <c r="M32" s="358">
        <f t="shared" si="17"/>
        <v>211</v>
      </c>
      <c r="N32" s="366">
        <f t="shared" si="18"/>
        <v>0</v>
      </c>
      <c r="O32" s="366">
        <f t="shared" si="19"/>
        <v>0</v>
      </c>
      <c r="P32" s="358">
        <f t="shared" si="20"/>
        <v>0</v>
      </c>
      <c r="Q32" s="367" t="s">
        <v>175</v>
      </c>
      <c r="R32" s="361"/>
      <c r="S32" s="362">
        <v>0.0</v>
      </c>
      <c r="T32" s="168"/>
      <c r="U32" s="168">
        <v>12.0</v>
      </c>
      <c r="V32" s="362">
        <f t="shared" si="8"/>
        <v>12</v>
      </c>
      <c r="W32" s="361"/>
      <c r="X32" s="361"/>
      <c r="Y32" s="361"/>
      <c r="Z32" s="361"/>
      <c r="AA32" s="361"/>
    </row>
    <row r="33" ht="15.75" customHeight="1" outlineLevel="1">
      <c r="A33" s="351">
        <v>28.0</v>
      </c>
      <c r="B33" s="350" t="s">
        <v>205</v>
      </c>
      <c r="C33" s="350" t="s">
        <v>172</v>
      </c>
      <c r="D33" s="351">
        <v>1850.0</v>
      </c>
      <c r="E33" s="370">
        <v>0.0</v>
      </c>
      <c r="F33" s="353">
        <f t="shared" si="13"/>
        <v>0</v>
      </c>
      <c r="G33" s="373">
        <f>SUMIF(PURCHASE!$E$3:$E$506,'INVONTERY FEB'!B33:B375,PURCHASE!$H$3:$H$506)</f>
        <v>40</v>
      </c>
      <c r="H33" s="358">
        <f>SUMIF(PURCHASE!$E$3:$E$506,'INVONTERY FEB'!B33:B373,PURCHASE!$I$3:$I$506)</f>
        <v>74000</v>
      </c>
      <c r="I33" s="354">
        <f>ISSU!AL33</f>
        <v>15</v>
      </c>
      <c r="J33" s="411">
        <f t="shared" si="14"/>
        <v>0.5357142857</v>
      </c>
      <c r="K33" s="372">
        <f t="shared" si="15"/>
        <v>25</v>
      </c>
      <c r="L33" s="358">
        <f t="shared" si="16"/>
        <v>46250</v>
      </c>
      <c r="M33" s="358">
        <f>55500/30</f>
        <v>1850</v>
      </c>
      <c r="N33" s="366">
        <f t="shared" si="18"/>
        <v>0</v>
      </c>
      <c r="O33" s="366">
        <f t="shared" si="19"/>
        <v>0</v>
      </c>
      <c r="P33" s="358">
        <f t="shared" si="20"/>
        <v>27750</v>
      </c>
      <c r="Q33" s="367" t="s">
        <v>53</v>
      </c>
      <c r="R33" s="361"/>
      <c r="S33" s="362">
        <v>10.0</v>
      </c>
      <c r="T33" s="168"/>
      <c r="U33" s="383"/>
      <c r="V33" s="362">
        <f t="shared" si="8"/>
        <v>10</v>
      </c>
      <c r="W33" s="361"/>
      <c r="X33" s="361"/>
      <c r="Y33" s="361"/>
      <c r="Z33" s="361"/>
      <c r="AA33" s="361"/>
    </row>
    <row r="34" ht="15.75" customHeight="1" outlineLevel="1">
      <c r="A34" s="351">
        <v>29.0</v>
      </c>
      <c r="B34" s="350" t="s">
        <v>206</v>
      </c>
      <c r="C34" s="376" t="s">
        <v>72</v>
      </c>
      <c r="D34" s="351">
        <v>700.0</v>
      </c>
      <c r="E34" s="370">
        <v>126.0</v>
      </c>
      <c r="F34" s="353">
        <f t="shared" si="13"/>
        <v>88200</v>
      </c>
      <c r="G34" s="249">
        <f>SUMIF(PURCHASE!$E$3:$E$506,'INVONTERY FEB'!B34:B328,PURCHASE!$H$3:$H$506)</f>
        <v>216</v>
      </c>
      <c r="H34" s="364">
        <f>SUMIF(PURCHASE!$E$3:$E$506,'INVONTERY FEB'!B34:B328,PURCHASE!$I$3:$I$506)</f>
        <v>151200</v>
      </c>
      <c r="I34" s="354">
        <f>ISSU!AL34</f>
        <v>269</v>
      </c>
      <c r="J34" s="411">
        <f t="shared" si="14"/>
        <v>9.607142857</v>
      </c>
      <c r="K34" s="372">
        <f t="shared" si="15"/>
        <v>73</v>
      </c>
      <c r="L34" s="358">
        <f t="shared" si="16"/>
        <v>51100</v>
      </c>
      <c r="M34" s="358">
        <f>168000/240</f>
        <v>700</v>
      </c>
      <c r="N34" s="366">
        <f t="shared" si="18"/>
        <v>0</v>
      </c>
      <c r="O34" s="366">
        <f t="shared" si="19"/>
        <v>0</v>
      </c>
      <c r="P34" s="358">
        <f t="shared" si="20"/>
        <v>188300</v>
      </c>
      <c r="Q34" s="367" t="s">
        <v>173</v>
      </c>
      <c r="R34" s="361"/>
      <c r="S34" s="362"/>
      <c r="T34" s="168"/>
      <c r="U34" s="168"/>
      <c r="V34" s="362">
        <f t="shared" si="8"/>
        <v>0</v>
      </c>
      <c r="W34" s="361"/>
      <c r="X34" s="361"/>
      <c r="Y34" s="361"/>
      <c r="Z34" s="361"/>
      <c r="AA34" s="361"/>
    </row>
    <row r="35" ht="15.75" customHeight="1" outlineLevel="1">
      <c r="A35" s="351">
        <v>30.0</v>
      </c>
      <c r="B35" s="350" t="s">
        <v>207</v>
      </c>
      <c r="C35" s="350" t="s">
        <v>172</v>
      </c>
      <c r="D35" s="351">
        <v>4281.0</v>
      </c>
      <c r="E35" s="370">
        <v>5.0</v>
      </c>
      <c r="F35" s="353">
        <f t="shared" si="13"/>
        <v>21405</v>
      </c>
      <c r="G35" s="249">
        <f>SUMIF(PURCHASE!$E$3:$E$506,'INVONTERY FEB'!B35:B328,PURCHASE!$H$3:$H$506)</f>
        <v>0</v>
      </c>
      <c r="H35" s="364">
        <f>SUMIF(PURCHASE!$E$3:$E$506,'INVONTERY FEB'!B35:B328,PURCHASE!$I$3:$I$506)</f>
        <v>0</v>
      </c>
      <c r="I35" s="354">
        <f>ISSU!AL35</f>
        <v>3</v>
      </c>
      <c r="J35" s="411">
        <f t="shared" si="14"/>
        <v>0.1071428571</v>
      </c>
      <c r="K35" s="380">
        <f t="shared" si="15"/>
        <v>2</v>
      </c>
      <c r="L35" s="358">
        <f t="shared" si="16"/>
        <v>8562</v>
      </c>
      <c r="M35" s="358">
        <f t="shared" ref="M35:M47" si="21">D35</f>
        <v>4281</v>
      </c>
      <c r="N35" s="366">
        <f t="shared" si="18"/>
        <v>0</v>
      </c>
      <c r="O35" s="366">
        <f t="shared" si="19"/>
        <v>0</v>
      </c>
      <c r="P35" s="358">
        <f t="shared" si="20"/>
        <v>12843</v>
      </c>
      <c r="Q35" s="367" t="s">
        <v>173</v>
      </c>
      <c r="R35" s="361"/>
      <c r="S35" s="362">
        <v>0.0</v>
      </c>
      <c r="T35" s="168"/>
      <c r="U35" s="168"/>
      <c r="V35" s="362">
        <f t="shared" si="8"/>
        <v>0</v>
      </c>
      <c r="W35" s="361"/>
      <c r="X35" s="361"/>
      <c r="Y35" s="361"/>
      <c r="Z35" s="361"/>
      <c r="AA35" s="361"/>
    </row>
    <row r="36" ht="15.75" customHeight="1" outlineLevel="1">
      <c r="A36" s="351">
        <v>31.0</v>
      </c>
      <c r="B36" s="350" t="s">
        <v>208</v>
      </c>
      <c r="C36" s="350" t="s">
        <v>172</v>
      </c>
      <c r="D36" s="351">
        <v>1800.0</v>
      </c>
      <c r="E36" s="370">
        <v>15.0</v>
      </c>
      <c r="F36" s="353">
        <f t="shared" si="13"/>
        <v>27000</v>
      </c>
      <c r="G36" s="249">
        <f>SUMIF(PURCHASE!$E$3:$E$506,'INVONTERY FEB'!B36:B328,PURCHASE!$H$3:$H$506)</f>
        <v>10</v>
      </c>
      <c r="H36" s="364">
        <f>SUMIF(PURCHASE!$E$3:$E$506,'INVONTERY FEB'!B36:B328,PURCHASE!$I$3:$I$506)</f>
        <v>19500</v>
      </c>
      <c r="I36" s="354">
        <f>ISSU!AL36</f>
        <v>25</v>
      </c>
      <c r="J36" s="411">
        <f t="shared" si="14"/>
        <v>0.8928571429</v>
      </c>
      <c r="K36" s="380">
        <f t="shared" si="15"/>
        <v>0</v>
      </c>
      <c r="L36" s="358">
        <f t="shared" si="16"/>
        <v>0</v>
      </c>
      <c r="M36" s="358">
        <f t="shared" si="21"/>
        <v>1800</v>
      </c>
      <c r="N36" s="366">
        <f t="shared" si="18"/>
        <v>0</v>
      </c>
      <c r="O36" s="366">
        <f t="shared" si="19"/>
        <v>0</v>
      </c>
      <c r="P36" s="358">
        <f t="shared" si="20"/>
        <v>46500</v>
      </c>
      <c r="Q36" s="367" t="s">
        <v>173</v>
      </c>
      <c r="R36" s="361"/>
      <c r="S36" s="362">
        <v>0.0</v>
      </c>
      <c r="T36" s="168"/>
      <c r="U36" s="168"/>
      <c r="V36" s="362">
        <f t="shared" si="8"/>
        <v>0</v>
      </c>
      <c r="W36" s="361"/>
      <c r="X36" s="361"/>
      <c r="Y36" s="361"/>
      <c r="Z36" s="361"/>
      <c r="AA36" s="361"/>
    </row>
    <row r="37" ht="15.75" customHeight="1" outlineLevel="1">
      <c r="A37" s="351">
        <v>32.0</v>
      </c>
      <c r="B37" s="350" t="s">
        <v>209</v>
      </c>
      <c r="C37" s="376" t="s">
        <v>210</v>
      </c>
      <c r="D37" s="351">
        <v>2500.0</v>
      </c>
      <c r="E37" s="386">
        <v>2.0</v>
      </c>
      <c r="F37" s="353">
        <f t="shared" si="13"/>
        <v>5000</v>
      </c>
      <c r="G37" s="249">
        <f>SUMIF(PURCHASE!$E$3:$E$506,'INVONTERY FEB'!B37:B329,PURCHASE!$H$3:$H$506)</f>
        <v>0</v>
      </c>
      <c r="H37" s="364">
        <f>SUMIF(PURCHASE!$E$3:$E$506,'INVONTERY FEB'!B37:B329,PURCHASE!$I$3:$I$506)</f>
        <v>0</v>
      </c>
      <c r="I37" s="354">
        <f>ISSU!AL37</f>
        <v>1</v>
      </c>
      <c r="J37" s="411">
        <f t="shared" si="14"/>
        <v>0.03571428571</v>
      </c>
      <c r="K37" s="384">
        <f t="shared" si="15"/>
        <v>1</v>
      </c>
      <c r="L37" s="358">
        <f t="shared" si="16"/>
        <v>2500</v>
      </c>
      <c r="M37" s="358">
        <f t="shared" si="21"/>
        <v>2500</v>
      </c>
      <c r="N37" s="366">
        <f t="shared" si="18"/>
        <v>0</v>
      </c>
      <c r="O37" s="366">
        <f t="shared" si="19"/>
        <v>0</v>
      </c>
      <c r="P37" s="358">
        <f t="shared" si="20"/>
        <v>2500</v>
      </c>
      <c r="Q37" s="367"/>
      <c r="R37" s="361"/>
      <c r="S37" s="362">
        <v>0.0</v>
      </c>
      <c r="T37" s="168">
        <v>12.0</v>
      </c>
      <c r="U37" s="168"/>
      <c r="V37" s="362">
        <f t="shared" si="8"/>
        <v>12</v>
      </c>
      <c r="W37" s="361"/>
      <c r="X37" s="361"/>
      <c r="Y37" s="361"/>
      <c r="Z37" s="361"/>
      <c r="AA37" s="361"/>
    </row>
    <row r="38" ht="15.75" customHeight="1" outlineLevel="1">
      <c r="A38" s="351">
        <v>33.0</v>
      </c>
      <c r="B38" s="350" t="s">
        <v>211</v>
      </c>
      <c r="C38" s="350" t="s">
        <v>72</v>
      </c>
      <c r="D38" s="351">
        <v>155.0</v>
      </c>
      <c r="E38" s="386">
        <v>88.0</v>
      </c>
      <c r="F38" s="353">
        <f t="shared" si="13"/>
        <v>13640</v>
      </c>
      <c r="G38" s="249">
        <f>SUMIF(PURCHASE!$E$3:$E$506,'INVONTERY FEB'!B38:B330,PURCHASE!$H$3:$H$506)</f>
        <v>0</v>
      </c>
      <c r="H38" s="364">
        <f>SUMIF(PURCHASE!$E$3:$E$506,'INVONTERY FEB'!B38:B330,PURCHASE!$I$3:$I$506)</f>
        <v>0</v>
      </c>
      <c r="I38" s="354">
        <f>ISSU!AL38</f>
        <v>32</v>
      </c>
      <c r="J38" s="411">
        <f t="shared" si="14"/>
        <v>1.142857143</v>
      </c>
      <c r="K38" s="384">
        <f t="shared" si="15"/>
        <v>56</v>
      </c>
      <c r="L38" s="358">
        <f t="shared" si="16"/>
        <v>8680</v>
      </c>
      <c r="M38" s="358">
        <f t="shared" si="21"/>
        <v>155</v>
      </c>
      <c r="N38" s="366">
        <f t="shared" si="18"/>
        <v>0</v>
      </c>
      <c r="O38" s="366">
        <f t="shared" si="19"/>
        <v>0</v>
      </c>
      <c r="P38" s="358">
        <f t="shared" si="20"/>
        <v>4960</v>
      </c>
      <c r="Q38" s="367"/>
      <c r="R38" s="361"/>
      <c r="S38" s="362">
        <f>36+10</f>
        <v>46</v>
      </c>
      <c r="T38" s="383"/>
      <c r="U38" s="168">
        <v>12.0</v>
      </c>
      <c r="V38" s="362">
        <f t="shared" si="8"/>
        <v>58</v>
      </c>
      <c r="W38" s="361"/>
      <c r="X38" s="361"/>
      <c r="Y38" s="361"/>
      <c r="Z38" s="361"/>
      <c r="AA38" s="361"/>
    </row>
    <row r="39" ht="15.75" customHeight="1" outlineLevel="1">
      <c r="A39" s="351">
        <v>34.0</v>
      </c>
      <c r="B39" s="350" t="s">
        <v>212</v>
      </c>
      <c r="C39" s="350" t="s">
        <v>190</v>
      </c>
      <c r="D39" s="351">
        <v>1400.0</v>
      </c>
      <c r="E39" s="370">
        <v>69.0</v>
      </c>
      <c r="F39" s="353">
        <f t="shared" si="13"/>
        <v>96600</v>
      </c>
      <c r="G39" s="249">
        <f>SUMIF(PURCHASE!$E$3:$E$506,'INVONTERY FEB'!B39:B331,PURCHASE!$H$3:$H$506)</f>
        <v>0</v>
      </c>
      <c r="H39" s="358">
        <f>SUMIF(PURCHASE!$E$3:$E$506,'INVONTERY FEB'!B39:B441,PURCHASE!$I$3:$I$506)</f>
        <v>0</v>
      </c>
      <c r="I39" s="354">
        <f>ISSU!AL39</f>
        <v>33</v>
      </c>
      <c r="J39" s="411">
        <f t="shared" si="14"/>
        <v>1.178571429</v>
      </c>
      <c r="K39" s="372">
        <f t="shared" si="15"/>
        <v>36</v>
      </c>
      <c r="L39" s="358">
        <f t="shared" si="16"/>
        <v>50400</v>
      </c>
      <c r="M39" s="358">
        <f t="shared" si="21"/>
        <v>1400</v>
      </c>
      <c r="N39" s="366">
        <f t="shared" si="18"/>
        <v>0</v>
      </c>
      <c r="O39" s="366">
        <f t="shared" si="19"/>
        <v>0</v>
      </c>
      <c r="P39" s="358">
        <f t="shared" si="20"/>
        <v>46200</v>
      </c>
      <c r="Q39" s="367" t="s">
        <v>175</v>
      </c>
      <c r="R39" s="361"/>
      <c r="S39" s="362">
        <v>20.0</v>
      </c>
      <c r="T39" s="168"/>
      <c r="U39" s="168"/>
      <c r="V39" s="362">
        <f t="shared" si="8"/>
        <v>20</v>
      </c>
      <c r="W39" s="361"/>
      <c r="X39" s="361"/>
      <c r="Y39" s="361"/>
      <c r="Z39" s="361"/>
      <c r="AA39" s="361"/>
    </row>
    <row r="40" ht="15.75" customHeight="1" outlineLevel="1">
      <c r="A40" s="351">
        <v>35.0</v>
      </c>
      <c r="B40" s="350" t="s">
        <v>213</v>
      </c>
      <c r="C40" s="350" t="s">
        <v>190</v>
      </c>
      <c r="D40" s="351">
        <v>1600.0</v>
      </c>
      <c r="E40" s="386">
        <v>65.0</v>
      </c>
      <c r="F40" s="353">
        <f t="shared" si="13"/>
        <v>104000</v>
      </c>
      <c r="G40" s="373">
        <f>SUMIF(PURCHASE!$E$3:$E$506,'INVONTERY FEB'!B40:B501,PURCHASE!$H$3:$H$506)</f>
        <v>0</v>
      </c>
      <c r="H40" s="358">
        <f>SUMIF(PURCHASE!$E$3:$E$506,'INVONTERY FEB'!B40:B451,PURCHASE!$I$3:$I$506)</f>
        <v>0</v>
      </c>
      <c r="I40" s="354">
        <f>ISSU!AL40</f>
        <v>26</v>
      </c>
      <c r="J40" s="411">
        <f t="shared" si="14"/>
        <v>0.9285714286</v>
      </c>
      <c r="K40" s="384">
        <f t="shared" si="15"/>
        <v>39</v>
      </c>
      <c r="L40" s="358">
        <f t="shared" si="16"/>
        <v>62400</v>
      </c>
      <c r="M40" s="358">
        <f t="shared" si="21"/>
        <v>1600</v>
      </c>
      <c r="N40" s="366">
        <f t="shared" si="18"/>
        <v>0</v>
      </c>
      <c r="O40" s="366">
        <f t="shared" si="19"/>
        <v>0</v>
      </c>
      <c r="P40" s="358">
        <f t="shared" si="20"/>
        <v>41600</v>
      </c>
      <c r="Q40" s="367" t="s">
        <v>214</v>
      </c>
      <c r="R40" s="375"/>
      <c r="S40" s="362">
        <v>0.0</v>
      </c>
      <c r="T40" s="168">
        <v>1.0</v>
      </c>
      <c r="U40" s="168"/>
      <c r="V40" s="362">
        <f t="shared" si="8"/>
        <v>1</v>
      </c>
      <c r="W40" s="375"/>
      <c r="X40" s="375"/>
      <c r="Y40" s="413"/>
      <c r="Z40" s="413"/>
      <c r="AA40" s="413"/>
    </row>
    <row r="41" ht="15.75" customHeight="1" outlineLevel="1">
      <c r="A41" s="351">
        <v>36.0</v>
      </c>
      <c r="B41" s="350" t="s">
        <v>215</v>
      </c>
      <c r="C41" s="350" t="s">
        <v>178</v>
      </c>
      <c r="D41" s="351">
        <v>1500.0</v>
      </c>
      <c r="E41" s="370">
        <v>0.0</v>
      </c>
      <c r="F41" s="353">
        <f t="shared" si="13"/>
        <v>0</v>
      </c>
      <c r="G41" s="249">
        <f>SUMIF(PURCHASE!$E$3:$E$506,'INVONTERY FEB'!B41:B335,PURCHASE!$H$3:$H$506)</f>
        <v>0</v>
      </c>
      <c r="H41" s="364">
        <f>SUMIF(PURCHASE!$E$3:$E$506,'INVONTERY FEB'!B41:B335,PURCHASE!$I$3:$I$506)</f>
        <v>0</v>
      </c>
      <c r="I41" s="354">
        <f>ISSU!AL41</f>
        <v>0</v>
      </c>
      <c r="J41" s="411">
        <f t="shared" si="14"/>
        <v>0</v>
      </c>
      <c r="K41" s="380">
        <f t="shared" si="15"/>
        <v>0</v>
      </c>
      <c r="L41" s="358">
        <f t="shared" si="16"/>
        <v>0</v>
      </c>
      <c r="M41" s="358">
        <f t="shared" si="21"/>
        <v>1500</v>
      </c>
      <c r="N41" s="366">
        <f t="shared" si="18"/>
        <v>0</v>
      </c>
      <c r="O41" s="366">
        <f t="shared" si="19"/>
        <v>0</v>
      </c>
      <c r="P41" s="358">
        <f t="shared" si="20"/>
        <v>0</v>
      </c>
      <c r="Q41" s="367" t="s">
        <v>173</v>
      </c>
      <c r="R41" s="375"/>
      <c r="S41" s="362">
        <v>3.0</v>
      </c>
      <c r="T41" s="168"/>
      <c r="U41" s="168"/>
      <c r="V41" s="362">
        <f t="shared" si="8"/>
        <v>3</v>
      </c>
      <c r="W41" s="375"/>
      <c r="X41" s="375"/>
      <c r="Y41" s="375"/>
      <c r="Z41" s="375"/>
      <c r="AA41" s="375"/>
    </row>
    <row r="42" ht="15.75" customHeight="1" outlineLevel="1">
      <c r="A42" s="351">
        <v>37.0</v>
      </c>
      <c r="B42" s="350" t="s">
        <v>216</v>
      </c>
      <c r="C42" s="350" t="s">
        <v>178</v>
      </c>
      <c r="D42" s="351">
        <v>667.0</v>
      </c>
      <c r="E42" s="370">
        <v>3.0</v>
      </c>
      <c r="F42" s="353">
        <f t="shared" si="13"/>
        <v>2001</v>
      </c>
      <c r="G42" s="249">
        <f>SUMIF(PURCHASE!$E$3:$E$506,'INVONTERY FEB'!B42:B336,PURCHASE!$H$3:$H$506)</f>
        <v>18</v>
      </c>
      <c r="H42" s="364">
        <f>SUMIF(PURCHASE!$E$3:$E$506,'INVONTERY FEB'!B42:B336,PURCHASE!$I$3:$I$506)</f>
        <v>16000</v>
      </c>
      <c r="I42" s="354">
        <f>ISSU!AL42</f>
        <v>15</v>
      </c>
      <c r="J42" s="411">
        <f t="shared" si="14"/>
        <v>0.5357142857</v>
      </c>
      <c r="K42" s="372">
        <f t="shared" si="15"/>
        <v>6</v>
      </c>
      <c r="L42" s="358">
        <f t="shared" si="16"/>
        <v>4002</v>
      </c>
      <c r="M42" s="358">
        <f t="shared" si="21"/>
        <v>667</v>
      </c>
      <c r="N42" s="366">
        <f t="shared" si="18"/>
        <v>0</v>
      </c>
      <c r="O42" s="366">
        <f t="shared" si="19"/>
        <v>0</v>
      </c>
      <c r="P42" s="358">
        <f t="shared" si="20"/>
        <v>13999</v>
      </c>
      <c r="Q42" s="367" t="s">
        <v>173</v>
      </c>
      <c r="R42" s="375"/>
      <c r="S42" s="362">
        <v>0.0</v>
      </c>
      <c r="T42" s="168"/>
      <c r="U42" s="168"/>
      <c r="V42" s="362">
        <f t="shared" si="8"/>
        <v>0</v>
      </c>
      <c r="W42" s="375"/>
      <c r="X42" s="375"/>
      <c r="Y42" s="375"/>
      <c r="Z42" s="375"/>
      <c r="AA42" s="375">
        <f>1270*12</f>
        <v>15240</v>
      </c>
    </row>
    <row r="43" ht="15.75" customHeight="1" outlineLevel="1">
      <c r="A43" s="351">
        <v>38.0</v>
      </c>
      <c r="B43" s="350" t="s">
        <v>217</v>
      </c>
      <c r="C43" s="350" t="s">
        <v>178</v>
      </c>
      <c r="D43" s="412">
        <f>9966/E43</f>
        <v>433.3043478</v>
      </c>
      <c r="E43" s="370">
        <v>23.0</v>
      </c>
      <c r="F43" s="353">
        <f t="shared" si="13"/>
        <v>9966</v>
      </c>
      <c r="G43" s="249">
        <f>SUMIF(PURCHASE!$E$3:$E$506,'INVONTERY FEB'!B43:B349,PURCHASE!$H$3:$H$506)</f>
        <v>24</v>
      </c>
      <c r="H43" s="364">
        <f>SUMIF(PURCHASE!$E$3:$E$506,'INVONTERY FEB'!B43:B349,PURCHASE!$I$3:$I$506)</f>
        <v>10500</v>
      </c>
      <c r="I43" s="354">
        <f>ISSU!AL43</f>
        <v>23</v>
      </c>
      <c r="J43" s="411">
        <f t="shared" si="14"/>
        <v>0.8214285714</v>
      </c>
      <c r="K43" s="372">
        <f t="shared" si="15"/>
        <v>24</v>
      </c>
      <c r="L43" s="358">
        <f t="shared" si="16"/>
        <v>10399.30435</v>
      </c>
      <c r="M43" s="358">
        <f t="shared" si="21"/>
        <v>433.3043478</v>
      </c>
      <c r="N43" s="366">
        <f t="shared" si="18"/>
        <v>0</v>
      </c>
      <c r="O43" s="366">
        <f t="shared" si="19"/>
        <v>0</v>
      </c>
      <c r="P43" s="358">
        <f t="shared" si="20"/>
        <v>10066.69565</v>
      </c>
      <c r="Q43" s="367"/>
      <c r="R43" s="375"/>
      <c r="S43" s="362">
        <f>24+11</f>
        <v>35</v>
      </c>
      <c r="T43" s="168"/>
      <c r="U43" s="168">
        <v>2.0</v>
      </c>
      <c r="V43" s="362">
        <f t="shared" si="8"/>
        <v>37</v>
      </c>
      <c r="W43" s="375"/>
      <c r="X43" s="375"/>
      <c r="Y43" s="375"/>
      <c r="Z43" s="375"/>
      <c r="AA43" s="375"/>
    </row>
    <row r="44" ht="15.75" customHeight="1" outlineLevel="1">
      <c r="A44" s="351">
        <v>39.0</v>
      </c>
      <c r="B44" s="350" t="s">
        <v>218</v>
      </c>
      <c r="C44" s="350" t="s">
        <v>172</v>
      </c>
      <c r="D44" s="351">
        <v>232.0</v>
      </c>
      <c r="E44" s="370">
        <v>0.0</v>
      </c>
      <c r="F44" s="353">
        <f t="shared" si="13"/>
        <v>0</v>
      </c>
      <c r="G44" s="249">
        <f>SUMIF(PURCHASE!$E$3:$E$506,'INVONTERY FEB'!B44:B350,PURCHASE!$H$3:$H$506)</f>
        <v>0</v>
      </c>
      <c r="H44" s="364">
        <f>SUMIF(PURCHASE!$E$3:$E$506,'INVONTERY FEB'!B44:B350,PURCHASE!$I$3:$I$506)</f>
        <v>0</v>
      </c>
      <c r="I44" s="354">
        <f>ISSU!AL44</f>
        <v>0</v>
      </c>
      <c r="J44" s="411">
        <f t="shared" si="14"/>
        <v>0</v>
      </c>
      <c r="K44" s="380">
        <f t="shared" si="15"/>
        <v>0</v>
      </c>
      <c r="L44" s="358">
        <f t="shared" si="16"/>
        <v>0</v>
      </c>
      <c r="M44" s="358">
        <f t="shared" si="21"/>
        <v>232</v>
      </c>
      <c r="N44" s="366">
        <f t="shared" si="18"/>
        <v>0</v>
      </c>
      <c r="O44" s="366">
        <f t="shared" si="19"/>
        <v>0</v>
      </c>
      <c r="P44" s="358">
        <f t="shared" si="20"/>
        <v>0</v>
      </c>
      <c r="Q44" s="367"/>
      <c r="R44" s="375"/>
      <c r="S44" s="362">
        <v>0.0</v>
      </c>
      <c r="T44" s="168"/>
      <c r="U44" s="168"/>
      <c r="V44" s="362">
        <f t="shared" si="8"/>
        <v>0</v>
      </c>
      <c r="W44" s="375"/>
      <c r="X44" s="375"/>
      <c r="Y44" s="375"/>
      <c r="Z44" s="375"/>
      <c r="AA44" s="375">
        <f>+AA42*5</f>
        <v>76200</v>
      </c>
    </row>
    <row r="45" ht="15.75" customHeight="1" outlineLevel="1">
      <c r="A45" s="351">
        <v>40.0</v>
      </c>
      <c r="B45" s="350" t="s">
        <v>219</v>
      </c>
      <c r="C45" s="350" t="s">
        <v>190</v>
      </c>
      <c r="D45" s="351">
        <v>1600.0</v>
      </c>
      <c r="E45" s="370">
        <v>9.0</v>
      </c>
      <c r="F45" s="353">
        <f t="shared" si="13"/>
        <v>14400</v>
      </c>
      <c r="G45" s="249">
        <f>SUMIF(PURCHASE!$E$3:$E$506,'INVONTERY FEB'!B45:B351,PURCHASE!$H$3:$H$506)</f>
        <v>0</v>
      </c>
      <c r="H45" s="364">
        <f>SUMIF(PURCHASE!$E$3:$E$506,'INVONTERY FEB'!B45:B351,PURCHASE!$I$3:$I$506)</f>
        <v>0</v>
      </c>
      <c r="I45" s="354">
        <f>ISSU!AL45</f>
        <v>3</v>
      </c>
      <c r="J45" s="411">
        <f t="shared" si="14"/>
        <v>0.1071428571</v>
      </c>
      <c r="K45" s="372">
        <f t="shared" si="15"/>
        <v>6</v>
      </c>
      <c r="L45" s="358">
        <f t="shared" si="16"/>
        <v>9600</v>
      </c>
      <c r="M45" s="358">
        <f t="shared" si="21"/>
        <v>1600</v>
      </c>
      <c r="N45" s="366">
        <f t="shared" si="18"/>
        <v>0</v>
      </c>
      <c r="O45" s="366">
        <f t="shared" si="19"/>
        <v>0</v>
      </c>
      <c r="P45" s="358">
        <f t="shared" si="20"/>
        <v>4800</v>
      </c>
      <c r="Q45" s="367"/>
      <c r="R45" s="375"/>
      <c r="S45" s="362">
        <v>0.0</v>
      </c>
      <c r="T45" s="168"/>
      <c r="U45" s="168"/>
      <c r="V45" s="362">
        <f t="shared" si="8"/>
        <v>0</v>
      </c>
      <c r="W45" s="375"/>
      <c r="X45" s="375"/>
      <c r="Y45" s="375"/>
      <c r="Z45" s="375"/>
      <c r="AA45" s="375"/>
    </row>
    <row r="46" ht="15.75" customHeight="1" outlineLevel="1">
      <c r="A46" s="351">
        <v>41.0</v>
      </c>
      <c r="B46" s="350" t="s">
        <v>220</v>
      </c>
      <c r="C46" s="350" t="s">
        <v>172</v>
      </c>
      <c r="D46" s="351">
        <v>3300.0</v>
      </c>
      <c r="E46" s="370">
        <v>15.0</v>
      </c>
      <c r="F46" s="353">
        <f t="shared" si="13"/>
        <v>49500</v>
      </c>
      <c r="G46" s="249">
        <f>SUMIF(PURCHASE!$E$3:$E$506,'INVONTERY FEB'!B46:B352,PURCHASE!$H$3:$H$506)</f>
        <v>0</v>
      </c>
      <c r="H46" s="364">
        <f>SUMIF(PURCHASE!$E$3:$E$506,'INVONTERY FEB'!B46:B352,PURCHASE!$I$3:$I$506)</f>
        <v>0</v>
      </c>
      <c r="I46" s="354">
        <f>ISSU!AL46</f>
        <v>5</v>
      </c>
      <c r="J46" s="411">
        <f t="shared" si="14"/>
        <v>0.1785714286</v>
      </c>
      <c r="K46" s="372">
        <f t="shared" si="15"/>
        <v>10</v>
      </c>
      <c r="L46" s="358">
        <f t="shared" si="16"/>
        <v>33000</v>
      </c>
      <c r="M46" s="358">
        <f t="shared" si="21"/>
        <v>3300</v>
      </c>
      <c r="N46" s="366">
        <f t="shared" si="18"/>
        <v>0</v>
      </c>
      <c r="O46" s="366">
        <f t="shared" si="19"/>
        <v>0</v>
      </c>
      <c r="P46" s="358">
        <f t="shared" si="20"/>
        <v>16500</v>
      </c>
      <c r="Q46" s="367"/>
      <c r="R46" s="375"/>
      <c r="S46" s="362">
        <v>0.0</v>
      </c>
      <c r="T46" s="168"/>
      <c r="U46" s="168"/>
      <c r="V46" s="362">
        <f t="shared" si="8"/>
        <v>0</v>
      </c>
      <c r="W46" s="375"/>
      <c r="X46" s="375"/>
      <c r="Y46" s="375"/>
      <c r="Z46" s="375"/>
      <c r="AA46" s="375"/>
    </row>
    <row r="47" ht="15.75" customHeight="1" outlineLevel="1">
      <c r="A47" s="351">
        <v>42.0</v>
      </c>
      <c r="B47" s="350" t="s">
        <v>221</v>
      </c>
      <c r="C47" s="393" t="s">
        <v>172</v>
      </c>
      <c r="D47" s="393">
        <v>5200.0</v>
      </c>
      <c r="E47" s="370">
        <v>0.0</v>
      </c>
      <c r="F47" s="353">
        <f t="shared" si="13"/>
        <v>0</v>
      </c>
      <c r="G47" s="249">
        <f>SUMIF(PURCHASE!$E$3:$E$506,'INVONTERY FEB'!B47:B353,PURCHASE!$H$3:$H$506)</f>
        <v>9</v>
      </c>
      <c r="H47" s="364">
        <f>SUMIF(PURCHASE!$E$3:$E$506,'INVONTERY FEB'!B47:B353,PURCHASE!$I$3:$I$506)</f>
        <v>46800</v>
      </c>
      <c r="I47" s="354">
        <f>ISSU!AL47</f>
        <v>3</v>
      </c>
      <c r="J47" s="411">
        <f t="shared" si="14"/>
        <v>0.1071428571</v>
      </c>
      <c r="K47" s="380">
        <f t="shared" si="15"/>
        <v>6</v>
      </c>
      <c r="L47" s="358">
        <f t="shared" si="16"/>
        <v>31200</v>
      </c>
      <c r="M47" s="358">
        <f t="shared" si="21"/>
        <v>5200</v>
      </c>
      <c r="N47" s="366">
        <f t="shared" si="18"/>
        <v>0</v>
      </c>
      <c r="O47" s="366">
        <f t="shared" si="19"/>
        <v>0</v>
      </c>
      <c r="P47" s="358">
        <f t="shared" si="20"/>
        <v>15600</v>
      </c>
      <c r="Q47" s="367"/>
      <c r="R47" s="375"/>
      <c r="S47" s="362">
        <v>0.0</v>
      </c>
      <c r="T47" s="168">
        <v>2.0</v>
      </c>
      <c r="U47" s="168">
        <v>1.0</v>
      </c>
      <c r="V47" s="362">
        <f t="shared" si="8"/>
        <v>3</v>
      </c>
      <c r="W47" s="375"/>
      <c r="X47" s="375"/>
      <c r="Y47" s="375"/>
      <c r="Z47" s="375"/>
      <c r="AA47" s="375"/>
    </row>
    <row r="48" ht="17.25" customHeight="1" outlineLevel="1">
      <c r="A48" s="351">
        <v>43.0</v>
      </c>
      <c r="B48" s="393" t="s">
        <v>222</v>
      </c>
      <c r="C48" s="393" t="s">
        <v>72</v>
      </c>
      <c r="D48" s="414">
        <f>63221/E48</f>
        <v>207.2819672</v>
      </c>
      <c r="E48" s="370">
        <v>305.0</v>
      </c>
      <c r="F48" s="353">
        <f t="shared" si="13"/>
        <v>63221</v>
      </c>
      <c r="G48" s="249">
        <f>SUMIF(PURCHASE!$E$3:$E$506,'INVONTERY FEB'!B48:B354,PURCHASE!$H$3:$H$506)</f>
        <v>480</v>
      </c>
      <c r="H48" s="364">
        <f>SUMIF(PURCHASE!$E$3:$E$506,'INVONTERY FEB'!B48:B354,PURCHASE!$I$3:$I$506)</f>
        <v>99495.34426</v>
      </c>
      <c r="I48" s="354">
        <f>ISSU!AL48</f>
        <v>665</v>
      </c>
      <c r="J48" s="411">
        <f t="shared" si="14"/>
        <v>23.75</v>
      </c>
      <c r="K48" s="372">
        <f t="shared" si="15"/>
        <v>120</v>
      </c>
      <c r="L48" s="358">
        <f t="shared" si="16"/>
        <v>24874</v>
      </c>
      <c r="M48" s="358">
        <f>49748/240</f>
        <v>207.2833333</v>
      </c>
      <c r="N48" s="366">
        <f t="shared" si="18"/>
        <v>0.001366120219</v>
      </c>
      <c r="O48" s="366">
        <f t="shared" si="19"/>
        <v>0.9084699454</v>
      </c>
      <c r="P48" s="358">
        <f t="shared" si="20"/>
        <v>137842.3443</v>
      </c>
      <c r="Q48" s="367"/>
      <c r="R48" s="375"/>
      <c r="S48" s="362"/>
      <c r="T48" s="168"/>
      <c r="U48" s="168"/>
      <c r="V48" s="362">
        <f t="shared" si="8"/>
        <v>0</v>
      </c>
      <c r="W48" s="375"/>
      <c r="X48" s="375"/>
      <c r="Y48" s="375"/>
      <c r="Z48" s="375"/>
      <c r="AA48" s="375"/>
    </row>
    <row r="49" ht="15.75" customHeight="1" outlineLevel="1">
      <c r="A49" s="351">
        <v>44.0</v>
      </c>
      <c r="B49" s="393" t="s">
        <v>223</v>
      </c>
      <c r="C49" s="393" t="s">
        <v>172</v>
      </c>
      <c r="D49" s="393">
        <v>0.0</v>
      </c>
      <c r="E49" s="370">
        <v>0.0</v>
      </c>
      <c r="F49" s="353">
        <f t="shared" si="13"/>
        <v>0</v>
      </c>
      <c r="G49" s="249">
        <f>SUMIF(PURCHASE!$E$3:$E$506,'INVONTERY FEB'!B49:B355,PURCHASE!$H$3:$H$506)</f>
        <v>0</v>
      </c>
      <c r="H49" s="364">
        <f>SUMIF(PURCHASE!$E$3:$E$506,'INVONTERY FEB'!B49:B351,PURCHASE!$I$3:$I$506)</f>
        <v>0</v>
      </c>
      <c r="I49" s="354">
        <f>ISSU!AL49</f>
        <v>0</v>
      </c>
      <c r="J49" s="411">
        <f t="shared" si="14"/>
        <v>0</v>
      </c>
      <c r="K49" s="380">
        <f t="shared" si="15"/>
        <v>0</v>
      </c>
      <c r="L49" s="358">
        <f t="shared" si="16"/>
        <v>0</v>
      </c>
      <c r="M49" s="358"/>
      <c r="N49" s="366">
        <f t="shared" si="18"/>
        <v>0</v>
      </c>
      <c r="O49" s="366">
        <f t="shared" si="19"/>
        <v>0</v>
      </c>
      <c r="P49" s="358">
        <f t="shared" si="20"/>
        <v>0</v>
      </c>
      <c r="Q49" s="367"/>
      <c r="R49" s="375"/>
      <c r="S49" s="362"/>
      <c r="T49" s="168"/>
      <c r="U49" s="168"/>
      <c r="V49" s="362">
        <f t="shared" si="8"/>
        <v>0</v>
      </c>
      <c r="W49" s="375"/>
      <c r="X49" s="375"/>
      <c r="Y49" s="375"/>
      <c r="Z49" s="375"/>
      <c r="AA49" s="375"/>
    </row>
    <row r="50" ht="15.75" customHeight="1">
      <c r="A50" s="403">
        <v>45.0</v>
      </c>
      <c r="B50" s="403" t="s">
        <v>224</v>
      </c>
      <c r="C50" s="404"/>
      <c r="D50" s="405"/>
      <c r="E50" s="405">
        <f t="shared" ref="E50:F50" si="22">SUM(E31:E49)</f>
        <v>725</v>
      </c>
      <c r="F50" s="415">
        <f t="shared" si="22"/>
        <v>494933</v>
      </c>
      <c r="G50" s="416">
        <f>SUMIF(PURCHASE!$E$3:$E$506,'INVONTERY FEB'!B50:B356,PURCHASE!$H$3:$H$506)</f>
        <v>0</v>
      </c>
      <c r="H50" s="417">
        <f t="shared" ref="H50:I50" si="23">SUM(H31:H49)</f>
        <v>417495.3443</v>
      </c>
      <c r="I50" s="418">
        <f t="shared" si="23"/>
        <v>1118</v>
      </c>
      <c r="J50" s="418"/>
      <c r="K50" s="418">
        <f t="shared" ref="K50:L50" si="24">SUM(K31:K49)</f>
        <v>404</v>
      </c>
      <c r="L50" s="417">
        <f t="shared" si="24"/>
        <v>342967.3043</v>
      </c>
      <c r="M50" s="417"/>
      <c r="N50" s="419">
        <f t="shared" ref="N50:P50" si="25">SUM(N31:N49)</f>
        <v>0.001366120219</v>
      </c>
      <c r="O50" s="420">
        <f t="shared" si="25"/>
        <v>0.9084699454</v>
      </c>
      <c r="P50" s="420">
        <f t="shared" si="25"/>
        <v>569461.0399</v>
      </c>
      <c r="Q50" s="421"/>
      <c r="R50" s="407"/>
      <c r="S50" s="97"/>
      <c r="T50" s="168"/>
      <c r="U50" s="168"/>
      <c r="V50" s="362">
        <f t="shared" si="8"/>
        <v>0</v>
      </c>
      <c r="W50" s="109"/>
      <c r="X50" s="109"/>
      <c r="Y50" s="109"/>
      <c r="Z50" s="109"/>
      <c r="AA50" s="109"/>
    </row>
    <row r="51" ht="15.75" customHeight="1">
      <c r="A51" s="408">
        <v>46.0</v>
      </c>
      <c r="B51" s="408" t="s">
        <v>225</v>
      </c>
      <c r="C51" s="409"/>
      <c r="D51" s="409"/>
      <c r="E51" s="409"/>
      <c r="F51" s="422"/>
      <c r="G51" s="423"/>
      <c r="H51" s="424"/>
      <c r="I51" s="425"/>
      <c r="J51" s="425"/>
      <c r="K51" s="426"/>
      <c r="L51" s="426"/>
      <c r="M51" s="427"/>
      <c r="N51" s="428"/>
      <c r="O51" s="429"/>
      <c r="P51" s="430"/>
      <c r="Q51" s="348"/>
      <c r="R51" s="109"/>
      <c r="S51" s="97"/>
      <c r="T51" s="168"/>
      <c r="U51" s="168"/>
      <c r="V51" s="362">
        <f t="shared" si="8"/>
        <v>0</v>
      </c>
      <c r="W51" s="109"/>
      <c r="X51" s="109"/>
      <c r="Y51" s="109"/>
      <c r="Z51" s="109"/>
      <c r="AA51" s="109"/>
    </row>
    <row r="52" ht="15.75" customHeight="1" outlineLevel="1">
      <c r="A52" s="431">
        <v>47.0</v>
      </c>
      <c r="B52" s="432" t="s">
        <v>226</v>
      </c>
      <c r="C52" s="393" t="s">
        <v>190</v>
      </c>
      <c r="D52" s="433">
        <v>1100.0</v>
      </c>
      <c r="E52" s="370">
        <v>22.0</v>
      </c>
      <c r="F52" s="368">
        <f t="shared" ref="F52:F85" si="26">E52*D52</f>
        <v>24200</v>
      </c>
      <c r="G52" s="434">
        <f>SUMIF(PURCHASE!$E$3:$E$506,'INVONTERY FEB'!B52:B411,PURCHASE!$H$3:$H$506)</f>
        <v>50</v>
      </c>
      <c r="H52" s="435">
        <f>SUMIF(PURCHASE!$E$3:$E$506,'INVONTERY FEB'!B52:B406,PURCHASE!$I$3:$I$506)</f>
        <v>55000</v>
      </c>
      <c r="I52" s="354">
        <f>ISSU!AL52</f>
        <v>21</v>
      </c>
      <c r="J52" s="411">
        <f>I52/29</f>
        <v>0.724137931</v>
      </c>
      <c r="K52" s="372">
        <f t="shared" ref="K52:K85" si="27">E52+G52-I52</f>
        <v>51</v>
      </c>
      <c r="L52" s="435">
        <f>K52*M52</f>
        <v>56100</v>
      </c>
      <c r="M52" s="433">
        <v>1100.0</v>
      </c>
      <c r="N52" s="436">
        <f>M52-D52</f>
        <v>0</v>
      </c>
      <c r="O52" s="436">
        <f>N52*I52</f>
        <v>0</v>
      </c>
      <c r="P52" s="435">
        <f>F52+H52-L52</f>
        <v>23100</v>
      </c>
      <c r="Q52" s="437" t="s">
        <v>175</v>
      </c>
      <c r="R52" s="109"/>
      <c r="S52" s="97">
        <v>0.0</v>
      </c>
      <c r="T52" s="168"/>
      <c r="U52" s="168">
        <v>1.0</v>
      </c>
      <c r="V52" s="362">
        <f t="shared" si="8"/>
        <v>1</v>
      </c>
      <c r="W52" s="109"/>
      <c r="X52" s="109"/>
      <c r="Y52" s="109"/>
      <c r="Z52" s="109"/>
      <c r="AA52" s="109"/>
    </row>
    <row r="53" ht="15.75" customHeight="1" outlineLevel="1">
      <c r="A53" s="431">
        <v>48.0</v>
      </c>
      <c r="B53" s="432" t="s">
        <v>227</v>
      </c>
      <c r="C53" s="393" t="s">
        <v>228</v>
      </c>
      <c r="D53" s="433">
        <v>1617.0</v>
      </c>
      <c r="E53" s="370">
        <v>0.0</v>
      </c>
      <c r="F53" s="368">
        <f t="shared" si="26"/>
        <v>0</v>
      </c>
      <c r="G53" s="434"/>
      <c r="H53" s="435"/>
      <c r="I53" s="354"/>
      <c r="J53" s="411"/>
      <c r="K53" s="380">
        <f t="shared" si="27"/>
        <v>0</v>
      </c>
      <c r="L53" s="435"/>
      <c r="M53" s="433">
        <v>1617.0</v>
      </c>
      <c r="N53" s="436"/>
      <c r="O53" s="436"/>
      <c r="P53" s="435"/>
      <c r="Q53" s="437"/>
      <c r="R53" s="109"/>
      <c r="S53" s="97"/>
      <c r="T53" s="168"/>
      <c r="U53" s="168"/>
      <c r="V53" s="362"/>
      <c r="W53" s="109"/>
      <c r="X53" s="109"/>
      <c r="Y53" s="109"/>
      <c r="Z53" s="109"/>
      <c r="AA53" s="109"/>
    </row>
    <row r="54" ht="15.75" customHeight="1" outlineLevel="1">
      <c r="A54" s="431">
        <v>49.0</v>
      </c>
      <c r="B54" s="432" t="s">
        <v>229</v>
      </c>
      <c r="C54" s="393" t="s">
        <v>230</v>
      </c>
      <c r="D54" s="433">
        <v>6600.0</v>
      </c>
      <c r="E54" s="370">
        <v>0.0</v>
      </c>
      <c r="F54" s="368">
        <f t="shared" si="26"/>
        <v>0</v>
      </c>
      <c r="G54" s="108">
        <f>SUMIF(PURCHASE!$E$3:$E$506,'INVONTERY FEB'!B54:B413,PURCHASE!$H$3:$H$506)</f>
        <v>0</v>
      </c>
      <c r="H54" s="438">
        <f>SUMIF(PURCHASE!$E$3:$E$506,'INVONTERY FEB'!B54:B408,PURCHASE!$I$3:$I$506)</f>
        <v>0</v>
      </c>
      <c r="I54" s="354">
        <f>ISSU!AL53</f>
        <v>0</v>
      </c>
      <c r="J54" s="411">
        <f t="shared" ref="J54:J85" si="28">I54/29</f>
        <v>0</v>
      </c>
      <c r="K54" s="380">
        <f t="shared" si="27"/>
        <v>0</v>
      </c>
      <c r="L54" s="438">
        <f t="shared" ref="L54:L85" si="29">K54*M54</f>
        <v>0</v>
      </c>
      <c r="M54" s="433">
        <v>6600.0</v>
      </c>
      <c r="N54" s="439">
        <f t="shared" ref="N54:N85" si="30">M54-D54</f>
        <v>0</v>
      </c>
      <c r="O54" s="439">
        <f t="shared" ref="O54:O85" si="31">N54*I54</f>
        <v>0</v>
      </c>
      <c r="P54" s="438">
        <f t="shared" ref="P54:P85" si="32">F54+H54-L54</f>
        <v>0</v>
      </c>
      <c r="Q54" s="440" t="s">
        <v>175</v>
      </c>
      <c r="R54" s="109"/>
      <c r="S54" s="97">
        <v>0.0</v>
      </c>
      <c r="T54" s="168"/>
      <c r="U54" s="168"/>
      <c r="V54" s="362">
        <f t="shared" ref="V54:V324" si="33">+S54+T54+U54</f>
        <v>0</v>
      </c>
      <c r="W54" s="109"/>
      <c r="X54" s="109"/>
      <c r="Y54" s="109"/>
      <c r="Z54" s="109"/>
      <c r="AA54" s="109"/>
    </row>
    <row r="55" ht="15.75" customHeight="1" outlineLevel="1">
      <c r="A55" s="431">
        <v>50.0</v>
      </c>
      <c r="B55" s="432" t="s">
        <v>231</v>
      </c>
      <c r="C55" s="441" t="s">
        <v>172</v>
      </c>
      <c r="D55" s="433">
        <f>10400/4</f>
        <v>2600</v>
      </c>
      <c r="E55" s="370">
        <v>1.0</v>
      </c>
      <c r="F55" s="368">
        <f t="shared" si="26"/>
        <v>2600</v>
      </c>
      <c r="G55" s="244">
        <f>SUMIF(PURCHASE!$E$3:$E$506,'INVONTERY FEB'!B37:B328,PURCHASE!$H$3:$H$506)</f>
        <v>5</v>
      </c>
      <c r="H55" s="241">
        <f>SUMIF(PURCHASE!$E$3:$E$506,'INVONTERY FEB'!B37:B328,PURCHASE!$I$3:$I$506)</f>
        <v>13250</v>
      </c>
      <c r="I55" s="354">
        <f>ISSU!AL54</f>
        <v>4</v>
      </c>
      <c r="J55" s="411">
        <f t="shared" si="28"/>
        <v>0.1379310345</v>
      </c>
      <c r="K55" s="372">
        <f t="shared" si="27"/>
        <v>2</v>
      </c>
      <c r="L55" s="438">
        <f t="shared" si="29"/>
        <v>5200</v>
      </c>
      <c r="M55" s="433">
        <f>5200/2</f>
        <v>2600</v>
      </c>
      <c r="N55" s="439">
        <f t="shared" si="30"/>
        <v>0</v>
      </c>
      <c r="O55" s="439">
        <f t="shared" si="31"/>
        <v>0</v>
      </c>
      <c r="P55" s="438">
        <f t="shared" si="32"/>
        <v>10650</v>
      </c>
      <c r="Q55" s="440" t="s">
        <v>175</v>
      </c>
      <c r="R55" s="109"/>
      <c r="S55" s="97">
        <v>0.0</v>
      </c>
      <c r="T55" s="168"/>
      <c r="U55" s="168"/>
      <c r="V55" s="362">
        <f t="shared" si="33"/>
        <v>0</v>
      </c>
      <c r="W55" s="109"/>
      <c r="X55" s="109"/>
      <c r="Y55" s="109"/>
      <c r="Z55" s="109"/>
      <c r="AA55" s="109"/>
    </row>
    <row r="56" ht="16.5" customHeight="1" outlineLevel="1">
      <c r="A56" s="431">
        <v>51.0</v>
      </c>
      <c r="B56" s="432" t="s">
        <v>232</v>
      </c>
      <c r="C56" s="441" t="s">
        <v>172</v>
      </c>
      <c r="D56" s="433">
        <v>3300.0</v>
      </c>
      <c r="E56" s="370">
        <v>0.0</v>
      </c>
      <c r="F56" s="368">
        <f t="shared" si="26"/>
        <v>0</v>
      </c>
      <c r="G56" s="108">
        <f>SUMIF(PURCHASE!$E$3:$E$506,'INVONTERY FEB'!B56:B401,PURCHASE!$H$3:$H$506)</f>
        <v>0</v>
      </c>
      <c r="H56" s="438">
        <f>SUMIF(PURCHASE!$E$3:$E$506,'INVONTERY FEB'!B56:B396,PURCHASE!$I$3:$I$506)</f>
        <v>0</v>
      </c>
      <c r="I56" s="354">
        <f>ISSU!AL55</f>
        <v>0</v>
      </c>
      <c r="J56" s="411">
        <f t="shared" si="28"/>
        <v>0</v>
      </c>
      <c r="K56" s="380">
        <f t="shared" si="27"/>
        <v>0</v>
      </c>
      <c r="L56" s="438">
        <f t="shared" si="29"/>
        <v>0</v>
      </c>
      <c r="M56" s="433">
        <v>3300.0</v>
      </c>
      <c r="N56" s="439">
        <f t="shared" si="30"/>
        <v>0</v>
      </c>
      <c r="O56" s="439">
        <f t="shared" si="31"/>
        <v>0</v>
      </c>
      <c r="P56" s="438">
        <f t="shared" si="32"/>
        <v>0</v>
      </c>
      <c r="Q56" s="440" t="s">
        <v>175</v>
      </c>
      <c r="R56" s="109"/>
      <c r="S56" s="97">
        <v>0.0</v>
      </c>
      <c r="T56" s="168"/>
      <c r="U56" s="168"/>
      <c r="V56" s="362">
        <f t="shared" si="33"/>
        <v>0</v>
      </c>
      <c r="W56" s="109"/>
      <c r="X56" s="109"/>
      <c r="Y56" s="109"/>
      <c r="Z56" s="109"/>
      <c r="AA56" s="109"/>
    </row>
    <row r="57" ht="15.75" customHeight="1" outlineLevel="1">
      <c r="A57" s="431">
        <v>52.0</v>
      </c>
      <c r="B57" s="432" t="s">
        <v>233</v>
      </c>
      <c r="C57" s="441" t="s">
        <v>172</v>
      </c>
      <c r="D57" s="433">
        <v>5113.0</v>
      </c>
      <c r="E57" s="370">
        <v>0.0</v>
      </c>
      <c r="F57" s="368">
        <f t="shared" si="26"/>
        <v>0</v>
      </c>
      <c r="G57" s="108">
        <f>SUMIF(PURCHASE!$E$3:$E$506,'INVONTERY FEB'!B57:B402,PURCHASE!$H$3:$H$506)</f>
        <v>3</v>
      </c>
      <c r="H57" s="438">
        <f>SUMIF(PURCHASE!$E$3:$E$506,'INVONTERY FEB'!B57:B397,PURCHASE!$I$3:$I$506)</f>
        <v>18600</v>
      </c>
      <c r="I57" s="354">
        <f>ISSU!AL56</f>
        <v>2</v>
      </c>
      <c r="J57" s="411">
        <f t="shared" si="28"/>
        <v>0.06896551724</v>
      </c>
      <c r="K57" s="372">
        <f t="shared" si="27"/>
        <v>1</v>
      </c>
      <c r="L57" s="438">
        <f t="shared" si="29"/>
        <v>5113</v>
      </c>
      <c r="M57" s="433">
        <v>5113.0</v>
      </c>
      <c r="N57" s="439">
        <f t="shared" si="30"/>
        <v>0</v>
      </c>
      <c r="O57" s="439">
        <f t="shared" si="31"/>
        <v>0</v>
      </c>
      <c r="P57" s="438">
        <f t="shared" si="32"/>
        <v>13487</v>
      </c>
      <c r="Q57" s="440" t="s">
        <v>175</v>
      </c>
      <c r="R57" s="109"/>
      <c r="S57" s="97">
        <v>0.0</v>
      </c>
      <c r="T57" s="168"/>
      <c r="U57" s="168"/>
      <c r="V57" s="362">
        <f t="shared" si="33"/>
        <v>0</v>
      </c>
      <c r="W57" s="109"/>
      <c r="X57" s="109"/>
      <c r="Y57" s="109"/>
      <c r="Z57" s="109"/>
      <c r="AA57" s="109"/>
    </row>
    <row r="58" ht="15.75" customHeight="1" outlineLevel="1">
      <c r="A58" s="431">
        <v>53.0</v>
      </c>
      <c r="B58" s="432" t="s">
        <v>234</v>
      </c>
      <c r="C58" s="441" t="s">
        <v>172</v>
      </c>
      <c r="D58" s="433">
        <v>750.0</v>
      </c>
      <c r="E58" s="370">
        <v>1.0</v>
      </c>
      <c r="F58" s="368">
        <f t="shared" si="26"/>
        <v>750</v>
      </c>
      <c r="G58" s="108">
        <f>SUMIF(PURCHASE!$E$3:$E$506,'INVONTERY FEB'!B58:B403,PURCHASE!$H$3:$H$506)</f>
        <v>0</v>
      </c>
      <c r="H58" s="438">
        <f>SUMIF(PURCHASE!$E$3:$E$506,'INVONTERY FEB'!B58:B398,PURCHASE!$I$3:$I$506)</f>
        <v>0</v>
      </c>
      <c r="I58" s="354">
        <f>ISSU!AL57</f>
        <v>0</v>
      </c>
      <c r="J58" s="411">
        <f t="shared" si="28"/>
        <v>0</v>
      </c>
      <c r="K58" s="380">
        <f t="shared" si="27"/>
        <v>1</v>
      </c>
      <c r="L58" s="438">
        <f t="shared" si="29"/>
        <v>750</v>
      </c>
      <c r="M58" s="433">
        <v>750.0</v>
      </c>
      <c r="N58" s="439">
        <f t="shared" si="30"/>
        <v>0</v>
      </c>
      <c r="O58" s="439">
        <f t="shared" si="31"/>
        <v>0</v>
      </c>
      <c r="P58" s="438">
        <f t="shared" si="32"/>
        <v>0</v>
      </c>
      <c r="Q58" s="440" t="s">
        <v>175</v>
      </c>
      <c r="R58" s="110"/>
      <c r="S58" s="97">
        <v>0.0</v>
      </c>
      <c r="T58" s="168"/>
      <c r="U58" s="168"/>
      <c r="V58" s="362">
        <f t="shared" si="33"/>
        <v>0</v>
      </c>
      <c r="W58" s="110"/>
      <c r="X58" s="110"/>
      <c r="Y58" s="110"/>
      <c r="Z58" s="110"/>
      <c r="AA58" s="110"/>
    </row>
    <row r="59" ht="15.75" customHeight="1" outlineLevel="1">
      <c r="A59" s="431">
        <v>54.0</v>
      </c>
      <c r="B59" s="432" t="s">
        <v>235</v>
      </c>
      <c r="C59" s="393" t="s">
        <v>72</v>
      </c>
      <c r="D59" s="433">
        <v>483.0</v>
      </c>
      <c r="E59" s="370">
        <v>0.0</v>
      </c>
      <c r="F59" s="368">
        <f t="shared" si="26"/>
        <v>0</v>
      </c>
      <c r="G59" s="108">
        <f>SUMIF(PURCHASE!$E$3:$E$506,'INVONTERY FEB'!B59:B407,PURCHASE!$H$3:$H$506)</f>
        <v>0</v>
      </c>
      <c r="H59" s="438">
        <f>SUMIF(PURCHASE!$E$3:$E$506,'INVONTERY FEB'!B59:B402,PURCHASE!$I$3:$I$506)</f>
        <v>0</v>
      </c>
      <c r="I59" s="354">
        <f>ISSU!AL58</f>
        <v>0</v>
      </c>
      <c r="J59" s="411">
        <f t="shared" si="28"/>
        <v>0</v>
      </c>
      <c r="K59" s="380">
        <f t="shared" si="27"/>
        <v>0</v>
      </c>
      <c r="L59" s="438">
        <f t="shared" si="29"/>
        <v>0</v>
      </c>
      <c r="M59" s="433">
        <v>483.0</v>
      </c>
      <c r="N59" s="439">
        <f t="shared" si="30"/>
        <v>0</v>
      </c>
      <c r="O59" s="439">
        <f t="shared" si="31"/>
        <v>0</v>
      </c>
      <c r="P59" s="438">
        <f t="shared" si="32"/>
        <v>0</v>
      </c>
      <c r="Q59" s="440"/>
      <c r="R59" s="109"/>
      <c r="S59" s="97">
        <v>0.0</v>
      </c>
      <c r="T59" s="168"/>
      <c r="U59" s="168"/>
      <c r="V59" s="362">
        <f t="shared" si="33"/>
        <v>0</v>
      </c>
      <c r="W59" s="109"/>
      <c r="X59" s="109"/>
      <c r="Y59" s="109"/>
      <c r="Z59" s="109"/>
      <c r="AA59" s="109"/>
    </row>
    <row r="60" ht="15.75" customHeight="1" outlineLevel="1">
      <c r="A60" s="431">
        <v>55.0</v>
      </c>
      <c r="B60" s="432" t="s">
        <v>236</v>
      </c>
      <c r="C60" s="393" t="s">
        <v>172</v>
      </c>
      <c r="D60" s="433">
        <v>1000.0</v>
      </c>
      <c r="E60" s="370">
        <v>5.0</v>
      </c>
      <c r="F60" s="368">
        <f t="shared" si="26"/>
        <v>5000</v>
      </c>
      <c r="G60" s="244">
        <f>SUMIF(PURCHASE!$E$3:$E$506,'INVONTERY FEB'!B43:B339,PURCHASE!$H$3:$H$506)</f>
        <v>0</v>
      </c>
      <c r="H60" s="241">
        <f>SUMIF(PURCHASE!$E$3:$E$506,'INVONTERY FEB'!B43:B339,PURCHASE!$I$3:$I$506)</f>
        <v>0</v>
      </c>
      <c r="I60" s="354">
        <f>ISSU!AL59</f>
        <v>0</v>
      </c>
      <c r="J60" s="411">
        <f t="shared" si="28"/>
        <v>0</v>
      </c>
      <c r="K60" s="372">
        <f t="shared" si="27"/>
        <v>5</v>
      </c>
      <c r="L60" s="438">
        <f t="shared" si="29"/>
        <v>5000</v>
      </c>
      <c r="M60" s="433">
        <f>5000/5</f>
        <v>1000</v>
      </c>
      <c r="N60" s="439">
        <f t="shared" si="30"/>
        <v>0</v>
      </c>
      <c r="O60" s="439">
        <f t="shared" si="31"/>
        <v>0</v>
      </c>
      <c r="P60" s="438">
        <f t="shared" si="32"/>
        <v>0</v>
      </c>
      <c r="Q60" s="440" t="s">
        <v>175</v>
      </c>
      <c r="R60" s="110"/>
      <c r="S60" s="97">
        <v>0.0</v>
      </c>
      <c r="T60" s="168"/>
      <c r="U60" s="168"/>
      <c r="V60" s="362">
        <f t="shared" si="33"/>
        <v>0</v>
      </c>
      <c r="W60" s="110"/>
      <c r="X60" s="110"/>
      <c r="Y60" s="110"/>
      <c r="Z60" s="110"/>
      <c r="AA60" s="110"/>
    </row>
    <row r="61" ht="15.75" customHeight="1" outlineLevel="1">
      <c r="A61" s="431">
        <v>56.0</v>
      </c>
      <c r="B61" s="432" t="s">
        <v>237</v>
      </c>
      <c r="C61" s="393" t="s">
        <v>178</v>
      </c>
      <c r="D61" s="433">
        <v>1000.0</v>
      </c>
      <c r="E61" s="370">
        <v>0.0</v>
      </c>
      <c r="F61" s="368">
        <f t="shared" si="26"/>
        <v>0</v>
      </c>
      <c r="G61" s="244">
        <f>SUMIF(PURCHASE!$E$3:$E$506,'INVONTERY FEB'!B61:B340,PURCHASE!$H$3:$H$506)</f>
        <v>11</v>
      </c>
      <c r="H61" s="241">
        <f>SUMIF(PURCHASE!$E$3:$E$506,'INVONTERY FEB'!B61:B340,PURCHASE!$I$3:$I$506)</f>
        <v>11000</v>
      </c>
      <c r="I61" s="354">
        <f>ISSU!AL60</f>
        <v>4</v>
      </c>
      <c r="J61" s="411">
        <f t="shared" si="28"/>
        <v>0.1379310345</v>
      </c>
      <c r="K61" s="380">
        <f t="shared" si="27"/>
        <v>7</v>
      </c>
      <c r="L61" s="438">
        <f t="shared" si="29"/>
        <v>7000</v>
      </c>
      <c r="M61" s="433">
        <v>1000.0</v>
      </c>
      <c r="N61" s="439">
        <f t="shared" si="30"/>
        <v>0</v>
      </c>
      <c r="O61" s="439">
        <f t="shared" si="31"/>
        <v>0</v>
      </c>
      <c r="P61" s="438">
        <f t="shared" si="32"/>
        <v>4000</v>
      </c>
      <c r="Q61" s="440" t="s">
        <v>175</v>
      </c>
      <c r="R61" s="110"/>
      <c r="S61" s="97">
        <v>0.0</v>
      </c>
      <c r="T61" s="168"/>
      <c r="U61" s="168"/>
      <c r="V61" s="362">
        <f t="shared" si="33"/>
        <v>0</v>
      </c>
      <c r="W61" s="110"/>
      <c r="X61" s="110"/>
      <c r="Y61" s="110"/>
      <c r="Z61" s="110"/>
      <c r="AA61" s="110"/>
    </row>
    <row r="62" ht="15.75" customHeight="1" outlineLevel="1">
      <c r="A62" s="431">
        <v>57.0</v>
      </c>
      <c r="B62" s="432" t="s">
        <v>238</v>
      </c>
      <c r="C62" s="393" t="s">
        <v>172</v>
      </c>
      <c r="D62" s="433">
        <v>3440.0</v>
      </c>
      <c r="E62" s="370">
        <v>0.0</v>
      </c>
      <c r="F62" s="368">
        <f t="shared" si="26"/>
        <v>0</v>
      </c>
      <c r="G62" s="244">
        <f>SUMIF(PURCHASE!$E$3:$E$506,'INVONTERY FEB'!B62:B341,PURCHASE!$H$3:$H$506)</f>
        <v>0</v>
      </c>
      <c r="H62" s="241">
        <f>SUMIF(PURCHASE!$E$3:$E$506,'INVONTERY FEB'!B62:B341,PURCHASE!$I$3:$I$506)</f>
        <v>0</v>
      </c>
      <c r="I62" s="354">
        <f>ISSU!AL61</f>
        <v>0</v>
      </c>
      <c r="J62" s="411">
        <f t="shared" si="28"/>
        <v>0</v>
      </c>
      <c r="K62" s="380">
        <f t="shared" si="27"/>
        <v>0</v>
      </c>
      <c r="L62" s="438">
        <f t="shared" si="29"/>
        <v>0</v>
      </c>
      <c r="M62" s="433">
        <v>3440.0</v>
      </c>
      <c r="N62" s="439">
        <f t="shared" si="30"/>
        <v>0</v>
      </c>
      <c r="O62" s="439">
        <f t="shared" si="31"/>
        <v>0</v>
      </c>
      <c r="P62" s="438">
        <f t="shared" si="32"/>
        <v>0</v>
      </c>
      <c r="Q62" s="440" t="s">
        <v>175</v>
      </c>
      <c r="R62" s="110"/>
      <c r="S62" s="97">
        <v>2.0</v>
      </c>
      <c r="T62" s="168"/>
      <c r="U62" s="168"/>
      <c r="V62" s="362">
        <f t="shared" si="33"/>
        <v>2</v>
      </c>
      <c r="W62" s="110"/>
      <c r="X62" s="110"/>
      <c r="Y62" s="110"/>
      <c r="Z62" s="110"/>
      <c r="AA62" s="110"/>
    </row>
    <row r="63" ht="15.75" customHeight="1" outlineLevel="1">
      <c r="A63" s="431">
        <v>58.0</v>
      </c>
      <c r="B63" s="432" t="s">
        <v>239</v>
      </c>
      <c r="C63" s="393" t="s">
        <v>187</v>
      </c>
      <c r="D63" s="433">
        <v>1200.0</v>
      </c>
      <c r="E63" s="370">
        <v>0.0</v>
      </c>
      <c r="F63" s="368">
        <f t="shared" si="26"/>
        <v>0</v>
      </c>
      <c r="G63" s="244">
        <f>SUMIF(PURCHASE!$E$3:$E$506,'INVONTERY FEB'!B63:B342,PURCHASE!$H$3:$H$506)</f>
        <v>0</v>
      </c>
      <c r="H63" s="241">
        <f>SUMIF(PURCHASE!$E$3:$E$506,'INVONTERY FEB'!B63:B342,PURCHASE!$I$3:$I$506)</f>
        <v>0</v>
      </c>
      <c r="I63" s="354">
        <f>ISSU!AL62</f>
        <v>0</v>
      </c>
      <c r="J63" s="411">
        <f t="shared" si="28"/>
        <v>0</v>
      </c>
      <c r="K63" s="380">
        <f t="shared" si="27"/>
        <v>0</v>
      </c>
      <c r="L63" s="438">
        <f t="shared" si="29"/>
        <v>0</v>
      </c>
      <c r="M63" s="433">
        <v>1200.0</v>
      </c>
      <c r="N63" s="439">
        <f t="shared" si="30"/>
        <v>0</v>
      </c>
      <c r="O63" s="439">
        <f t="shared" si="31"/>
        <v>0</v>
      </c>
      <c r="P63" s="438">
        <f t="shared" si="32"/>
        <v>0</v>
      </c>
      <c r="Q63" s="440" t="s">
        <v>175</v>
      </c>
      <c r="R63" s="110"/>
      <c r="S63" s="97">
        <v>0.0</v>
      </c>
      <c r="T63" s="168"/>
      <c r="U63" s="168"/>
      <c r="V63" s="362">
        <f t="shared" si="33"/>
        <v>0</v>
      </c>
      <c r="W63" s="110"/>
      <c r="X63" s="110"/>
      <c r="Y63" s="110"/>
      <c r="Z63" s="110"/>
      <c r="AA63" s="110"/>
    </row>
    <row r="64" ht="15.75" customHeight="1" outlineLevel="1">
      <c r="A64" s="431">
        <v>59.0</v>
      </c>
      <c r="B64" s="432" t="s">
        <v>240</v>
      </c>
      <c r="C64" s="393" t="s">
        <v>172</v>
      </c>
      <c r="D64" s="433">
        <v>525.0</v>
      </c>
      <c r="E64" s="370">
        <v>22.0</v>
      </c>
      <c r="F64" s="368">
        <f t="shared" si="26"/>
        <v>11550</v>
      </c>
      <c r="G64" s="244">
        <f>SUMIF(PURCHASE!$E$3:$E$506,'INVONTERY FEB'!B64:B343,PURCHASE!$H$3:$H$506)</f>
        <v>0</v>
      </c>
      <c r="H64" s="241">
        <f>SUMIF(PURCHASE!$E$3:$E$506,'INVONTERY FEB'!B64:B343,PURCHASE!$I$3:$I$506)</f>
        <v>0</v>
      </c>
      <c r="I64" s="354">
        <f>ISSU!AL63</f>
        <v>4</v>
      </c>
      <c r="J64" s="411">
        <f t="shared" si="28"/>
        <v>0.1379310345</v>
      </c>
      <c r="K64" s="372">
        <f t="shared" si="27"/>
        <v>18</v>
      </c>
      <c r="L64" s="438">
        <f t="shared" si="29"/>
        <v>9450</v>
      </c>
      <c r="M64" s="433">
        <v>525.0</v>
      </c>
      <c r="N64" s="439">
        <f t="shared" si="30"/>
        <v>0</v>
      </c>
      <c r="O64" s="439">
        <f t="shared" si="31"/>
        <v>0</v>
      </c>
      <c r="P64" s="438">
        <f t="shared" si="32"/>
        <v>2100</v>
      </c>
      <c r="Q64" s="440" t="s">
        <v>175</v>
      </c>
      <c r="R64" s="110"/>
      <c r="S64" s="97">
        <v>0.0</v>
      </c>
      <c r="T64" s="168"/>
      <c r="U64" s="168"/>
      <c r="V64" s="362">
        <f t="shared" si="33"/>
        <v>0</v>
      </c>
      <c r="W64" s="110"/>
      <c r="X64" s="110"/>
      <c r="Y64" s="110"/>
      <c r="Z64" s="110"/>
      <c r="AA64" s="110"/>
    </row>
    <row r="65" ht="15.75" customHeight="1" outlineLevel="1">
      <c r="A65" s="431">
        <v>60.0</v>
      </c>
      <c r="B65" s="432" t="s">
        <v>241</v>
      </c>
      <c r="C65" s="393" t="s">
        <v>72</v>
      </c>
      <c r="D65" s="433">
        <v>180.0</v>
      </c>
      <c r="E65" s="370">
        <v>0.0</v>
      </c>
      <c r="F65" s="368">
        <f t="shared" si="26"/>
        <v>0</v>
      </c>
      <c r="G65" s="244">
        <f>SUMIF(PURCHASE!$E$3:$E$506,'INVONTERY FEB'!B65:B344,PURCHASE!$H$3:$H$506)</f>
        <v>0</v>
      </c>
      <c r="H65" s="241">
        <f>SUMIF(PURCHASE!$E$3:$E$506,'INVONTERY FEB'!B65:B344,PURCHASE!$I$3:$I$506)</f>
        <v>0</v>
      </c>
      <c r="I65" s="354">
        <f>ISSU!AL64</f>
        <v>0</v>
      </c>
      <c r="J65" s="411">
        <f t="shared" si="28"/>
        <v>0</v>
      </c>
      <c r="K65" s="380">
        <f t="shared" si="27"/>
        <v>0</v>
      </c>
      <c r="L65" s="438">
        <f t="shared" si="29"/>
        <v>0</v>
      </c>
      <c r="M65" s="433">
        <v>180.0</v>
      </c>
      <c r="N65" s="439">
        <f t="shared" si="30"/>
        <v>0</v>
      </c>
      <c r="O65" s="439">
        <f t="shared" si="31"/>
        <v>0</v>
      </c>
      <c r="P65" s="438">
        <f t="shared" si="32"/>
        <v>0</v>
      </c>
      <c r="Q65" s="440" t="s">
        <v>175</v>
      </c>
      <c r="R65" s="110"/>
      <c r="S65" s="97">
        <v>0.0</v>
      </c>
      <c r="T65" s="168"/>
      <c r="U65" s="168"/>
      <c r="V65" s="362">
        <f t="shared" si="33"/>
        <v>0</v>
      </c>
      <c r="W65" s="110"/>
      <c r="X65" s="110"/>
      <c r="Y65" s="110"/>
      <c r="Z65" s="110"/>
      <c r="AA65" s="110"/>
    </row>
    <row r="66" ht="15.75" customHeight="1" outlineLevel="1">
      <c r="A66" s="431">
        <v>61.0</v>
      </c>
      <c r="B66" s="432" t="s">
        <v>242</v>
      </c>
      <c r="C66" s="393" t="s">
        <v>72</v>
      </c>
      <c r="D66" s="433">
        <v>1750.0</v>
      </c>
      <c r="E66" s="370">
        <v>0.0</v>
      </c>
      <c r="F66" s="368">
        <f t="shared" si="26"/>
        <v>0</v>
      </c>
      <c r="G66" s="244">
        <f>SUMIF(PURCHASE!$E$3:$E$506,'INVONTERY FEB'!B66:B348,PURCHASE!$H$3:$H$506)</f>
        <v>144</v>
      </c>
      <c r="H66" s="241">
        <f>SUMIF(PURCHASE!$E$3:$E$506,'INVONTERY FEB'!B66:B348,PURCHASE!$I$3:$I$506)</f>
        <v>252000</v>
      </c>
      <c r="I66" s="354">
        <f>ISSU!AL65</f>
        <v>6</v>
      </c>
      <c r="J66" s="411">
        <f t="shared" si="28"/>
        <v>0.2068965517</v>
      </c>
      <c r="K66" s="372">
        <f t="shared" si="27"/>
        <v>138</v>
      </c>
      <c r="L66" s="438">
        <f t="shared" si="29"/>
        <v>241500</v>
      </c>
      <c r="M66" s="433">
        <v>1750.0</v>
      </c>
      <c r="N66" s="439">
        <f t="shared" si="30"/>
        <v>0</v>
      </c>
      <c r="O66" s="439">
        <f t="shared" si="31"/>
        <v>0</v>
      </c>
      <c r="P66" s="438">
        <f t="shared" si="32"/>
        <v>10500</v>
      </c>
      <c r="Q66" s="440"/>
      <c r="R66" s="110"/>
      <c r="S66" s="97">
        <v>0.0</v>
      </c>
      <c r="T66" s="168"/>
      <c r="U66" s="168"/>
      <c r="V66" s="362">
        <f t="shared" si="33"/>
        <v>0</v>
      </c>
      <c r="W66" s="110"/>
      <c r="X66" s="110"/>
      <c r="Y66" s="110"/>
      <c r="Z66" s="110"/>
      <c r="AA66" s="110"/>
    </row>
    <row r="67" ht="15.75" customHeight="1" outlineLevel="1">
      <c r="A67" s="431">
        <v>62.0</v>
      </c>
      <c r="B67" s="432" t="s">
        <v>243</v>
      </c>
      <c r="C67" s="393" t="s">
        <v>172</v>
      </c>
      <c r="D67" s="433">
        <f>210000/48</f>
        <v>4375</v>
      </c>
      <c r="E67" s="370">
        <v>24.0</v>
      </c>
      <c r="F67" s="368">
        <f t="shared" si="26"/>
        <v>105000</v>
      </c>
      <c r="G67" s="244">
        <f>SUMIF(PURCHASE!$E$3:$E$506,'INVONTERY FEB'!B41:B334,PURCHASE!$H$3:$H$506)</f>
        <v>0</v>
      </c>
      <c r="H67" s="241">
        <f>SUMIF(PURCHASE!$E$3:$E$506,'INVONTERY FEB'!B41:B334,PURCHASE!$I$3:$I$506)</f>
        <v>0</v>
      </c>
      <c r="I67" s="354">
        <f>ISSU!AL66</f>
        <v>24</v>
      </c>
      <c r="J67" s="411">
        <f t="shared" si="28"/>
        <v>0.8275862069</v>
      </c>
      <c r="K67" s="380">
        <f t="shared" si="27"/>
        <v>0</v>
      </c>
      <c r="L67" s="438">
        <f t="shared" si="29"/>
        <v>0</v>
      </c>
      <c r="M67" s="433">
        <f>210000/48</f>
        <v>4375</v>
      </c>
      <c r="N67" s="439">
        <f t="shared" si="30"/>
        <v>0</v>
      </c>
      <c r="O67" s="439">
        <f t="shared" si="31"/>
        <v>0</v>
      </c>
      <c r="P67" s="438">
        <f t="shared" si="32"/>
        <v>105000</v>
      </c>
      <c r="Q67" s="440" t="s">
        <v>173</v>
      </c>
      <c r="R67" s="110"/>
      <c r="S67" s="97">
        <v>66.0</v>
      </c>
      <c r="T67" s="168"/>
      <c r="U67" s="383"/>
      <c r="V67" s="362">
        <f t="shared" si="33"/>
        <v>66</v>
      </c>
      <c r="W67" s="110"/>
      <c r="X67" s="110"/>
      <c r="Y67" s="110"/>
      <c r="Z67" s="110"/>
      <c r="AA67" s="110"/>
    </row>
    <row r="68" ht="15.75" customHeight="1" outlineLevel="1">
      <c r="A68" s="431">
        <v>63.0</v>
      </c>
      <c r="B68" s="432" t="s">
        <v>244</v>
      </c>
      <c r="C68" s="393" t="s">
        <v>245</v>
      </c>
      <c r="D68" s="433">
        <v>3520.0</v>
      </c>
      <c r="E68" s="370">
        <v>0.0</v>
      </c>
      <c r="F68" s="368">
        <f t="shared" si="26"/>
        <v>0</v>
      </c>
      <c r="G68" s="244">
        <f>SUMIF(PURCHASE!$E$3:$E$506,'INVONTERY FEB'!B68:B338,PURCHASE!$H$3:$H$506)</f>
        <v>0</v>
      </c>
      <c r="H68" s="241">
        <f>SUMIF(PURCHASE!$E$3:$E$506,'INVONTERY FEB'!B68:B333,PURCHASE!$I$3:$I$506)</f>
        <v>0</v>
      </c>
      <c r="I68" s="354">
        <f>ISSU!AL67</f>
        <v>0</v>
      </c>
      <c r="J68" s="411">
        <f t="shared" si="28"/>
        <v>0</v>
      </c>
      <c r="K68" s="380">
        <f t="shared" si="27"/>
        <v>0</v>
      </c>
      <c r="L68" s="108">
        <f t="shared" si="29"/>
        <v>0</v>
      </c>
      <c r="M68" s="433">
        <v>3520.0</v>
      </c>
      <c r="N68" s="438">
        <f t="shared" si="30"/>
        <v>0</v>
      </c>
      <c r="O68" s="439">
        <f t="shared" si="31"/>
        <v>0</v>
      </c>
      <c r="P68" s="438">
        <f t="shared" si="32"/>
        <v>0</v>
      </c>
      <c r="Q68" s="440" t="s">
        <v>173</v>
      </c>
      <c r="R68" s="109"/>
      <c r="S68" s="97">
        <v>0.0</v>
      </c>
      <c r="T68" s="168"/>
      <c r="U68" s="168"/>
      <c r="V68" s="362">
        <f t="shared" si="33"/>
        <v>0</v>
      </c>
      <c r="W68" s="109"/>
      <c r="X68" s="109"/>
      <c r="Y68" s="109"/>
      <c r="Z68" s="109"/>
      <c r="AA68" s="109"/>
    </row>
    <row r="69" ht="15.75" customHeight="1" outlineLevel="1">
      <c r="A69" s="431">
        <v>64.0</v>
      </c>
      <c r="B69" s="432" t="s">
        <v>246</v>
      </c>
      <c r="C69" s="393" t="s">
        <v>230</v>
      </c>
      <c r="D69" s="433">
        <v>2000.0</v>
      </c>
      <c r="E69" s="370">
        <v>2.0</v>
      </c>
      <c r="F69" s="368">
        <f t="shared" si="26"/>
        <v>4000</v>
      </c>
      <c r="G69" s="244">
        <f>SUMIF(PURCHASE!$E$3:$E$506,'INVONTERY FEB'!B69:B339,PURCHASE!$H$3:$H$506)</f>
        <v>0</v>
      </c>
      <c r="H69" s="241">
        <f>SUMIF(PURCHASE!$E$3:$E$506,'INVONTERY FEB'!B69:B334,PURCHASE!$I$3:$I$506)</f>
        <v>0</v>
      </c>
      <c r="I69" s="354">
        <f>ISSU!AL68</f>
        <v>0</v>
      </c>
      <c r="J69" s="411">
        <f t="shared" si="28"/>
        <v>0</v>
      </c>
      <c r="K69" s="372">
        <f t="shared" si="27"/>
        <v>2</v>
      </c>
      <c r="L69" s="108">
        <f t="shared" si="29"/>
        <v>4000</v>
      </c>
      <c r="M69" s="433">
        <v>2000.0</v>
      </c>
      <c r="N69" s="438">
        <f t="shared" si="30"/>
        <v>0</v>
      </c>
      <c r="O69" s="439">
        <f t="shared" si="31"/>
        <v>0</v>
      </c>
      <c r="P69" s="438">
        <f t="shared" si="32"/>
        <v>0</v>
      </c>
      <c r="Q69" s="440" t="s">
        <v>173</v>
      </c>
      <c r="R69" s="109"/>
      <c r="S69" s="97">
        <v>0.0</v>
      </c>
      <c r="T69" s="168"/>
      <c r="U69" s="168"/>
      <c r="V69" s="362">
        <f t="shared" si="33"/>
        <v>0</v>
      </c>
      <c r="W69" s="109"/>
      <c r="X69" s="109"/>
      <c r="Y69" s="109"/>
      <c r="Z69" s="109"/>
      <c r="AA69" s="109"/>
    </row>
    <row r="70" ht="15.75" customHeight="1" outlineLevel="1">
      <c r="A70" s="431">
        <v>65.0</v>
      </c>
      <c r="B70" s="432" t="s">
        <v>247</v>
      </c>
      <c r="C70" s="393" t="s">
        <v>190</v>
      </c>
      <c r="D70" s="433">
        <v>450.0</v>
      </c>
      <c r="E70" s="370"/>
      <c r="F70" s="368">
        <f t="shared" si="26"/>
        <v>0</v>
      </c>
      <c r="G70" s="244">
        <f>SUMIF(PURCHASE!$E$3:$E$506,'INVONTERY FEB'!B70:B340,PURCHASE!$H$3:$H$506)</f>
        <v>0</v>
      </c>
      <c r="H70" s="241">
        <f>SUMIF(PURCHASE!$E$3:$E$506,'INVONTERY FEB'!B70:B335,PURCHASE!$I$3:$I$506)</f>
        <v>0</v>
      </c>
      <c r="I70" s="354">
        <f>ISSU!AL69</f>
        <v>0</v>
      </c>
      <c r="J70" s="411">
        <f t="shared" si="28"/>
        <v>0</v>
      </c>
      <c r="K70" s="380">
        <f t="shared" si="27"/>
        <v>0</v>
      </c>
      <c r="L70" s="108">
        <f t="shared" si="29"/>
        <v>0</v>
      </c>
      <c r="M70" s="433">
        <v>450.0</v>
      </c>
      <c r="N70" s="438">
        <f t="shared" si="30"/>
        <v>0</v>
      </c>
      <c r="O70" s="439">
        <f t="shared" si="31"/>
        <v>0</v>
      </c>
      <c r="P70" s="438">
        <f t="shared" si="32"/>
        <v>0</v>
      </c>
      <c r="Q70" s="440" t="s">
        <v>173</v>
      </c>
      <c r="R70" s="109"/>
      <c r="S70" s="97">
        <v>0.0</v>
      </c>
      <c r="T70" s="168"/>
      <c r="U70" s="168"/>
      <c r="V70" s="362">
        <f t="shared" si="33"/>
        <v>0</v>
      </c>
      <c r="W70" s="109"/>
      <c r="X70" s="109"/>
      <c r="Y70" s="109"/>
      <c r="Z70" s="109"/>
      <c r="AA70" s="109"/>
    </row>
    <row r="71" ht="15.75" customHeight="1" outlineLevel="1">
      <c r="A71" s="431">
        <v>66.0</v>
      </c>
      <c r="B71" s="432" t="s">
        <v>248</v>
      </c>
      <c r="C71" s="393" t="s">
        <v>190</v>
      </c>
      <c r="D71" s="433">
        <v>220.0</v>
      </c>
      <c r="E71" s="370"/>
      <c r="F71" s="368">
        <f t="shared" si="26"/>
        <v>0</v>
      </c>
      <c r="G71" s="244">
        <f>SUMIF(PURCHASE!$E$3:$E$506,'INVONTERY FEB'!B71:B341,PURCHASE!$H$3:$H$506)</f>
        <v>0</v>
      </c>
      <c r="H71" s="241">
        <f>SUMIF(PURCHASE!$E$3:$E$506,'INVONTERY FEB'!B71:B336,PURCHASE!$I$3:$I$506)</f>
        <v>0</v>
      </c>
      <c r="I71" s="354">
        <f>ISSU!AL70</f>
        <v>0</v>
      </c>
      <c r="J71" s="411">
        <f t="shared" si="28"/>
        <v>0</v>
      </c>
      <c r="K71" s="380">
        <f t="shared" si="27"/>
        <v>0</v>
      </c>
      <c r="L71" s="108">
        <f t="shared" si="29"/>
        <v>0</v>
      </c>
      <c r="M71" s="433">
        <v>220.0</v>
      </c>
      <c r="N71" s="438">
        <f t="shared" si="30"/>
        <v>0</v>
      </c>
      <c r="O71" s="439">
        <f t="shared" si="31"/>
        <v>0</v>
      </c>
      <c r="P71" s="438">
        <f t="shared" si="32"/>
        <v>0</v>
      </c>
      <c r="Q71" s="440" t="s">
        <v>173</v>
      </c>
      <c r="R71" s="109"/>
      <c r="S71" s="97">
        <v>0.0</v>
      </c>
      <c r="T71" s="168"/>
      <c r="U71" s="168"/>
      <c r="V71" s="362">
        <f t="shared" si="33"/>
        <v>0</v>
      </c>
      <c r="W71" s="109"/>
      <c r="X71" s="109"/>
      <c r="Y71" s="109"/>
      <c r="Z71" s="109"/>
      <c r="AA71" s="109"/>
    </row>
    <row r="72" ht="15.75" customHeight="1" outlineLevel="1">
      <c r="A72" s="431">
        <v>67.0</v>
      </c>
      <c r="B72" s="442" t="s">
        <v>249</v>
      </c>
      <c r="C72" s="393" t="s">
        <v>187</v>
      </c>
      <c r="D72" s="433">
        <v>250.0</v>
      </c>
      <c r="E72" s="370"/>
      <c r="F72" s="368">
        <f t="shared" si="26"/>
        <v>0</v>
      </c>
      <c r="G72" s="244">
        <f>SUMIF(PURCHASE!$E$3:$E$506,'INVONTERY FEB'!B72:B342,PURCHASE!$H$3:$H$506)</f>
        <v>0</v>
      </c>
      <c r="H72" s="241">
        <f>SUMIF(PURCHASE!$E$3:$E$506,'INVONTERY FEB'!B72:B337,PURCHASE!$I$3:$I$506)</f>
        <v>0</v>
      </c>
      <c r="I72" s="354">
        <f>ISSU!AL71</f>
        <v>0</v>
      </c>
      <c r="J72" s="411">
        <f t="shared" si="28"/>
        <v>0</v>
      </c>
      <c r="K72" s="380">
        <f t="shared" si="27"/>
        <v>0</v>
      </c>
      <c r="L72" s="108">
        <f t="shared" si="29"/>
        <v>0</v>
      </c>
      <c r="M72" s="433">
        <v>250.0</v>
      </c>
      <c r="N72" s="438">
        <f t="shared" si="30"/>
        <v>0</v>
      </c>
      <c r="O72" s="439">
        <f t="shared" si="31"/>
        <v>0</v>
      </c>
      <c r="P72" s="438">
        <f t="shared" si="32"/>
        <v>0</v>
      </c>
      <c r="Q72" s="440" t="s">
        <v>173</v>
      </c>
      <c r="R72" s="109"/>
      <c r="S72" s="97">
        <v>0.0</v>
      </c>
      <c r="T72" s="168"/>
      <c r="U72" s="168"/>
      <c r="V72" s="362">
        <f t="shared" si="33"/>
        <v>0</v>
      </c>
      <c r="W72" s="109"/>
      <c r="X72" s="109"/>
      <c r="Y72" s="109"/>
      <c r="Z72" s="109"/>
      <c r="AA72" s="109"/>
    </row>
    <row r="73" ht="15.75" customHeight="1" outlineLevel="1">
      <c r="A73" s="431">
        <v>68.0</v>
      </c>
      <c r="B73" s="432" t="s">
        <v>250</v>
      </c>
      <c r="C73" s="393" t="s">
        <v>228</v>
      </c>
      <c r="D73" s="433">
        <v>1366.0</v>
      </c>
      <c r="E73" s="370"/>
      <c r="F73" s="368">
        <f t="shared" si="26"/>
        <v>0</v>
      </c>
      <c r="G73" s="244">
        <f>SUMIF(PURCHASE!$E$3:$E$506,'INVONTERY FEB'!B73:B343,PURCHASE!$H$3:$H$506)</f>
        <v>0</v>
      </c>
      <c r="H73" s="241">
        <f>SUMIF(PURCHASE!$E$3:$E$506,'INVONTERY FEB'!B73:B338,PURCHASE!$I$3:$I$506)</f>
        <v>0</v>
      </c>
      <c r="I73" s="354">
        <f>ISSU!AL72</f>
        <v>0</v>
      </c>
      <c r="J73" s="411">
        <f t="shared" si="28"/>
        <v>0</v>
      </c>
      <c r="K73" s="380">
        <f t="shared" si="27"/>
        <v>0</v>
      </c>
      <c r="L73" s="108">
        <f t="shared" si="29"/>
        <v>0</v>
      </c>
      <c r="M73" s="433">
        <v>1366.0</v>
      </c>
      <c r="N73" s="438">
        <f t="shared" si="30"/>
        <v>0</v>
      </c>
      <c r="O73" s="439">
        <f t="shared" si="31"/>
        <v>0</v>
      </c>
      <c r="P73" s="438">
        <f t="shared" si="32"/>
        <v>0</v>
      </c>
      <c r="Q73" s="440" t="s">
        <v>188</v>
      </c>
      <c r="R73" s="109"/>
      <c r="S73" s="97">
        <v>0.0</v>
      </c>
      <c r="T73" s="168"/>
      <c r="U73" s="168"/>
      <c r="V73" s="362">
        <f t="shared" si="33"/>
        <v>0</v>
      </c>
      <c r="W73" s="109"/>
      <c r="X73" s="109"/>
      <c r="Y73" s="109"/>
      <c r="Z73" s="109"/>
      <c r="AA73" s="109"/>
    </row>
    <row r="74" ht="15.75" customHeight="1" outlineLevel="1">
      <c r="A74" s="431">
        <v>69.0</v>
      </c>
      <c r="B74" s="432" t="s">
        <v>251</v>
      </c>
      <c r="C74" s="393" t="s">
        <v>178</v>
      </c>
      <c r="D74" s="433">
        <v>550.0</v>
      </c>
      <c r="E74" s="370"/>
      <c r="F74" s="368">
        <f t="shared" si="26"/>
        <v>0</v>
      </c>
      <c r="G74" s="244">
        <f>SUMIF(PURCHASE!$E$3:$E$506,'INVONTERY FEB'!B74:B339,PURCHASE!$H$3:$H$506)</f>
        <v>0</v>
      </c>
      <c r="H74" s="241">
        <f>SUMIF(PURCHASE!$E$3:$E$506,'INVONTERY FEB'!B74:B334,PURCHASE!$I$3:$I$506)</f>
        <v>0</v>
      </c>
      <c r="I74" s="354">
        <f>ISSU!AL73</f>
        <v>0</v>
      </c>
      <c r="J74" s="411">
        <f t="shared" si="28"/>
        <v>0</v>
      </c>
      <c r="K74" s="380">
        <f t="shared" si="27"/>
        <v>0</v>
      </c>
      <c r="L74" s="108">
        <f t="shared" si="29"/>
        <v>0</v>
      </c>
      <c r="M74" s="433">
        <v>550.0</v>
      </c>
      <c r="N74" s="438">
        <f t="shared" si="30"/>
        <v>0</v>
      </c>
      <c r="O74" s="439">
        <f t="shared" si="31"/>
        <v>0</v>
      </c>
      <c r="P74" s="438">
        <f t="shared" si="32"/>
        <v>0</v>
      </c>
      <c r="Q74" s="440" t="s">
        <v>175</v>
      </c>
      <c r="R74" s="109"/>
      <c r="S74" s="97">
        <v>0.0</v>
      </c>
      <c r="T74" s="168"/>
      <c r="U74" s="168"/>
      <c r="V74" s="362">
        <f t="shared" si="33"/>
        <v>0</v>
      </c>
      <c r="W74" s="109"/>
      <c r="X74" s="109"/>
      <c r="Y74" s="109"/>
      <c r="Z74" s="109"/>
      <c r="AA74" s="109"/>
    </row>
    <row r="75" ht="15.75" customHeight="1" outlineLevel="1">
      <c r="A75" s="431">
        <v>70.0</v>
      </c>
      <c r="B75" s="442" t="s">
        <v>252</v>
      </c>
      <c r="C75" s="393" t="s">
        <v>187</v>
      </c>
      <c r="D75" s="414">
        <v>450.0</v>
      </c>
      <c r="E75" s="370"/>
      <c r="F75" s="368">
        <f t="shared" si="26"/>
        <v>0</v>
      </c>
      <c r="G75" s="244">
        <f>SUMIF(PURCHASE!$E$3:$E$506,'INVONTERY FEB'!B75:B340,PURCHASE!$H$3:$H$506)</f>
        <v>0</v>
      </c>
      <c r="H75" s="241">
        <f>SUMIF(PURCHASE!$E$3:$E$506,'INVONTERY FEB'!B75:B335,PURCHASE!$I$3:$I$506)</f>
        <v>0</v>
      </c>
      <c r="I75" s="354">
        <f>ISSU!AL74</f>
        <v>0</v>
      </c>
      <c r="J75" s="411">
        <f t="shared" si="28"/>
        <v>0</v>
      </c>
      <c r="K75" s="380">
        <f t="shared" si="27"/>
        <v>0</v>
      </c>
      <c r="L75" s="108">
        <f t="shared" si="29"/>
        <v>0</v>
      </c>
      <c r="M75" s="414">
        <v>450.0</v>
      </c>
      <c r="N75" s="438">
        <f t="shared" si="30"/>
        <v>0</v>
      </c>
      <c r="O75" s="439">
        <f t="shared" si="31"/>
        <v>0</v>
      </c>
      <c r="P75" s="438">
        <f t="shared" si="32"/>
        <v>0</v>
      </c>
      <c r="Q75" s="440" t="s">
        <v>175</v>
      </c>
      <c r="R75" s="109"/>
      <c r="S75" s="97">
        <v>1.0</v>
      </c>
      <c r="T75" s="168"/>
      <c r="U75" s="168"/>
      <c r="V75" s="362">
        <f t="shared" si="33"/>
        <v>1</v>
      </c>
      <c r="W75" s="109"/>
      <c r="X75" s="109"/>
      <c r="Y75" s="109"/>
      <c r="Z75" s="109"/>
      <c r="AA75" s="109"/>
    </row>
    <row r="76" ht="15.75" customHeight="1" outlineLevel="1">
      <c r="A76" s="431">
        <v>71.0</v>
      </c>
      <c r="B76" s="442" t="s">
        <v>253</v>
      </c>
      <c r="C76" s="393" t="s">
        <v>187</v>
      </c>
      <c r="D76" s="374">
        <v>450.0</v>
      </c>
      <c r="E76" s="370"/>
      <c r="F76" s="368">
        <f t="shared" si="26"/>
        <v>0</v>
      </c>
      <c r="G76" s="244">
        <f>SUMIF(PURCHASE!$E$3:$E$506,'INVONTERY FEB'!B76:B341,PURCHASE!$H$3:$H$506)</f>
        <v>0</v>
      </c>
      <c r="H76" s="241">
        <f>SUMIF(PURCHASE!$E$3:$E$506,'INVONTERY FEB'!B76:B336,PURCHASE!$I$3:$I$506)</f>
        <v>0</v>
      </c>
      <c r="I76" s="354">
        <f>ISSU!AL75</f>
        <v>0</v>
      </c>
      <c r="J76" s="411">
        <f t="shared" si="28"/>
        <v>0</v>
      </c>
      <c r="K76" s="380">
        <f t="shared" si="27"/>
        <v>0</v>
      </c>
      <c r="L76" s="108">
        <f t="shared" si="29"/>
        <v>0</v>
      </c>
      <c r="M76" s="374">
        <v>450.0</v>
      </c>
      <c r="N76" s="438">
        <f t="shared" si="30"/>
        <v>0</v>
      </c>
      <c r="O76" s="439">
        <f t="shared" si="31"/>
        <v>0</v>
      </c>
      <c r="P76" s="438">
        <f t="shared" si="32"/>
        <v>0</v>
      </c>
      <c r="Q76" s="440" t="s">
        <v>173</v>
      </c>
      <c r="R76" s="109"/>
      <c r="S76" s="97">
        <v>0.0</v>
      </c>
      <c r="T76" s="168"/>
      <c r="U76" s="168"/>
      <c r="V76" s="362">
        <f t="shared" si="33"/>
        <v>0</v>
      </c>
      <c r="W76" s="109"/>
      <c r="X76" s="109"/>
      <c r="Y76" s="109"/>
      <c r="Z76" s="109"/>
      <c r="AA76" s="109"/>
    </row>
    <row r="77" ht="15.75" customHeight="1" outlineLevel="1">
      <c r="A77" s="431">
        <v>72.0</v>
      </c>
      <c r="B77" s="442" t="s">
        <v>254</v>
      </c>
      <c r="C77" s="393" t="s">
        <v>190</v>
      </c>
      <c r="D77" s="374">
        <v>3300.0</v>
      </c>
      <c r="E77" s="370"/>
      <c r="F77" s="368">
        <f t="shared" si="26"/>
        <v>0</v>
      </c>
      <c r="G77" s="244">
        <f>SUMIF(PURCHASE!$E$3:$E$506,'INVONTERY FEB'!B77:B342,PURCHASE!$H$3:$H$506)</f>
        <v>0</v>
      </c>
      <c r="H77" s="241">
        <f>SUMIF(PURCHASE!$E$3:$E$506,'INVONTERY FEB'!B77:B337,PURCHASE!$I$3:$I$506)</f>
        <v>0</v>
      </c>
      <c r="I77" s="354">
        <f>ISSU!AL76</f>
        <v>0</v>
      </c>
      <c r="J77" s="411">
        <f t="shared" si="28"/>
        <v>0</v>
      </c>
      <c r="K77" s="380">
        <f t="shared" si="27"/>
        <v>0</v>
      </c>
      <c r="L77" s="108">
        <f t="shared" si="29"/>
        <v>0</v>
      </c>
      <c r="M77" s="374">
        <v>3300.0</v>
      </c>
      <c r="N77" s="438">
        <f t="shared" si="30"/>
        <v>0</v>
      </c>
      <c r="O77" s="439">
        <f t="shared" si="31"/>
        <v>0</v>
      </c>
      <c r="P77" s="438">
        <f t="shared" si="32"/>
        <v>0</v>
      </c>
      <c r="Q77" s="440" t="s">
        <v>175</v>
      </c>
      <c r="R77" s="109"/>
      <c r="S77" s="97">
        <v>0.0</v>
      </c>
      <c r="T77" s="168"/>
      <c r="U77" s="168"/>
      <c r="V77" s="362">
        <f t="shared" si="33"/>
        <v>0</v>
      </c>
      <c r="W77" s="109"/>
      <c r="X77" s="109"/>
      <c r="Y77" s="109"/>
      <c r="Z77" s="109"/>
      <c r="AA77" s="109"/>
    </row>
    <row r="78" ht="15.75" customHeight="1" outlineLevel="1">
      <c r="A78" s="431">
        <v>73.0</v>
      </c>
      <c r="B78" s="442" t="s">
        <v>255</v>
      </c>
      <c r="C78" s="393" t="s">
        <v>190</v>
      </c>
      <c r="D78" s="374">
        <v>150.0</v>
      </c>
      <c r="E78" s="370"/>
      <c r="F78" s="368">
        <f t="shared" si="26"/>
        <v>0</v>
      </c>
      <c r="G78" s="244">
        <f>SUMIF(PURCHASE!$E$3:$E$506,'INVONTERY FEB'!B78:B346,PURCHASE!$H$3:$H$506)</f>
        <v>0</v>
      </c>
      <c r="H78" s="241">
        <f>SUMIF(PURCHASE!$E$3:$E$506,'INVONTERY FEB'!B78:B341,PURCHASE!$I$3:$I$506)</f>
        <v>0</v>
      </c>
      <c r="I78" s="354">
        <f>ISSU!AL77</f>
        <v>0</v>
      </c>
      <c r="J78" s="411">
        <f t="shared" si="28"/>
        <v>0</v>
      </c>
      <c r="K78" s="380">
        <f t="shared" si="27"/>
        <v>0</v>
      </c>
      <c r="L78" s="108">
        <f t="shared" si="29"/>
        <v>0</v>
      </c>
      <c r="M78" s="374">
        <v>150.0</v>
      </c>
      <c r="N78" s="438">
        <f t="shared" si="30"/>
        <v>0</v>
      </c>
      <c r="O78" s="439">
        <f t="shared" si="31"/>
        <v>0</v>
      </c>
      <c r="P78" s="438">
        <f t="shared" si="32"/>
        <v>0</v>
      </c>
      <c r="Q78" s="440" t="s">
        <v>188</v>
      </c>
      <c r="R78" s="109"/>
      <c r="S78" s="97">
        <v>0.0</v>
      </c>
      <c r="T78" s="168"/>
      <c r="U78" s="168"/>
      <c r="V78" s="362">
        <f t="shared" si="33"/>
        <v>0</v>
      </c>
      <c r="W78" s="109"/>
      <c r="X78" s="109"/>
      <c r="Y78" s="109"/>
      <c r="Z78" s="109"/>
      <c r="AA78" s="109"/>
    </row>
    <row r="79" ht="15.75" customHeight="1" outlineLevel="1">
      <c r="A79" s="431">
        <v>74.0</v>
      </c>
      <c r="B79" s="442" t="s">
        <v>256</v>
      </c>
      <c r="C79" s="393" t="s">
        <v>178</v>
      </c>
      <c r="D79" s="393">
        <f>3893/17</f>
        <v>229</v>
      </c>
      <c r="E79" s="370">
        <v>0.0</v>
      </c>
      <c r="F79" s="368">
        <f t="shared" si="26"/>
        <v>0</v>
      </c>
      <c r="G79" s="244">
        <f>SUMIF(PURCHASE!$E$3:$E$506,'INVONTERY FEB'!B79:B347,PURCHASE!$H$3:$H$506)</f>
        <v>0</v>
      </c>
      <c r="H79" s="241">
        <f>SUMIF(PURCHASE!$E$3:$E$506,'INVONTERY FEB'!B79:B342,PURCHASE!$I$3:$I$506)</f>
        <v>0</v>
      </c>
      <c r="I79" s="354">
        <f>ISSU!AL78</f>
        <v>0</v>
      </c>
      <c r="J79" s="411">
        <f t="shared" si="28"/>
        <v>0</v>
      </c>
      <c r="K79" s="380">
        <f t="shared" si="27"/>
        <v>0</v>
      </c>
      <c r="L79" s="108">
        <f t="shared" si="29"/>
        <v>0</v>
      </c>
      <c r="M79" s="393">
        <v>229.0</v>
      </c>
      <c r="N79" s="438">
        <f t="shared" si="30"/>
        <v>0</v>
      </c>
      <c r="O79" s="439">
        <f t="shared" si="31"/>
        <v>0</v>
      </c>
      <c r="P79" s="438">
        <f t="shared" si="32"/>
        <v>0</v>
      </c>
      <c r="Q79" s="440" t="s">
        <v>188</v>
      </c>
      <c r="R79" s="109"/>
      <c r="S79" s="97">
        <f>8*5</f>
        <v>40</v>
      </c>
      <c r="T79" s="168"/>
      <c r="U79" s="168"/>
      <c r="V79" s="362">
        <f t="shared" si="33"/>
        <v>40</v>
      </c>
      <c r="W79" s="109"/>
      <c r="X79" s="109"/>
      <c r="Y79" s="109"/>
      <c r="Z79" s="109"/>
      <c r="AA79" s="109"/>
    </row>
    <row r="80" ht="15.75" customHeight="1" outlineLevel="1">
      <c r="A80" s="431">
        <v>75.0</v>
      </c>
      <c r="B80" s="105" t="s">
        <v>257</v>
      </c>
      <c r="C80" s="393" t="s">
        <v>178</v>
      </c>
      <c r="D80" s="393">
        <f>5320/19</f>
        <v>280</v>
      </c>
      <c r="E80" s="370">
        <v>0.0</v>
      </c>
      <c r="F80" s="368">
        <f t="shared" si="26"/>
        <v>0</v>
      </c>
      <c r="G80" s="244">
        <f>SUMIF(PURCHASE!$E$3:$E$506,'INVONTERY FEB'!B80:B348,PURCHASE!$H$3:$H$506)</f>
        <v>0</v>
      </c>
      <c r="H80" s="241">
        <f>SUMIF(PURCHASE!$E$3:$E$506,'INVONTERY FEB'!B80:B343,PURCHASE!$I$3:$I$506)</f>
        <v>0</v>
      </c>
      <c r="I80" s="354">
        <f>ISSU!AL79</f>
        <v>0</v>
      </c>
      <c r="J80" s="411">
        <f t="shared" si="28"/>
        <v>0</v>
      </c>
      <c r="K80" s="380">
        <f t="shared" si="27"/>
        <v>0</v>
      </c>
      <c r="L80" s="108">
        <f t="shared" si="29"/>
        <v>0</v>
      </c>
      <c r="M80" s="393">
        <f>5600/20</f>
        <v>280</v>
      </c>
      <c r="N80" s="438">
        <f t="shared" si="30"/>
        <v>0</v>
      </c>
      <c r="O80" s="439">
        <f t="shared" si="31"/>
        <v>0</v>
      </c>
      <c r="P80" s="438">
        <f t="shared" si="32"/>
        <v>0</v>
      </c>
      <c r="Q80" s="440" t="s">
        <v>188</v>
      </c>
      <c r="R80" s="109"/>
      <c r="S80" s="97">
        <v>1.0</v>
      </c>
      <c r="T80" s="168"/>
      <c r="U80" s="168"/>
      <c r="V80" s="362">
        <f t="shared" si="33"/>
        <v>1</v>
      </c>
      <c r="W80" s="109"/>
      <c r="X80" s="109"/>
      <c r="Y80" s="109"/>
      <c r="Z80" s="109"/>
      <c r="AA80" s="109"/>
    </row>
    <row r="81" ht="15.75" customHeight="1" outlineLevel="1">
      <c r="A81" s="431">
        <v>76.0</v>
      </c>
      <c r="B81" s="393"/>
      <c r="C81" s="393"/>
      <c r="D81" s="393">
        <v>0.0</v>
      </c>
      <c r="E81" s="370">
        <v>0.0</v>
      </c>
      <c r="F81" s="368">
        <f t="shared" si="26"/>
        <v>0</v>
      </c>
      <c r="G81" s="309">
        <f>SUMIF(PURCHASE!$E$3:$E$506,'INVONTERY FEB'!B81:B349,PURCHASE!$H$3:$H$506)</f>
        <v>0</v>
      </c>
      <c r="H81" s="443">
        <f>SUMIF(PURCHASE!$E$3:$E$506,'INVONTERY FEB'!B81:B344,PURCHASE!$I$3:$I$506)</f>
        <v>0</v>
      </c>
      <c r="I81" s="354">
        <f>ISSU!AL80</f>
        <v>0</v>
      </c>
      <c r="J81" s="411">
        <f t="shared" si="28"/>
        <v>0</v>
      </c>
      <c r="K81" s="380">
        <f t="shared" si="27"/>
        <v>0</v>
      </c>
      <c r="L81" s="444">
        <f t="shared" si="29"/>
        <v>0</v>
      </c>
      <c r="M81" s="393">
        <v>0.0</v>
      </c>
      <c r="N81" s="445">
        <f t="shared" si="30"/>
        <v>0</v>
      </c>
      <c r="O81" s="446">
        <f t="shared" si="31"/>
        <v>0</v>
      </c>
      <c r="P81" s="445">
        <f t="shared" si="32"/>
        <v>0</v>
      </c>
      <c r="Q81" s="447"/>
      <c r="R81" s="109"/>
      <c r="S81" s="97">
        <v>1.0</v>
      </c>
      <c r="T81" s="168"/>
      <c r="U81" s="168"/>
      <c r="V81" s="362">
        <f t="shared" si="33"/>
        <v>1</v>
      </c>
      <c r="W81" s="109"/>
      <c r="X81" s="109"/>
      <c r="Y81" s="109"/>
      <c r="Z81" s="109"/>
      <c r="AA81" s="109"/>
    </row>
    <row r="82" ht="15.75" customHeight="1" outlineLevel="1">
      <c r="A82" s="431">
        <v>77.0</v>
      </c>
      <c r="B82" s="393"/>
      <c r="C82" s="393"/>
      <c r="D82" s="393"/>
      <c r="E82" s="370">
        <v>0.0</v>
      </c>
      <c r="F82" s="368">
        <f t="shared" si="26"/>
        <v>0</v>
      </c>
      <c r="G82" s="309">
        <f>SUMIF(PURCHASE!$E$3:$E$506,'INVONTERY FEB'!B82:B350,PURCHASE!$H$3:$H$506)</f>
        <v>0</v>
      </c>
      <c r="H82" s="443">
        <f>SUMIF(PURCHASE!$E$3:$E$506,'INVONTERY FEB'!B82:B345,PURCHASE!$I$3:$I$506)</f>
        <v>0</v>
      </c>
      <c r="I82" s="354">
        <f>ISSU!AL81</f>
        <v>0</v>
      </c>
      <c r="J82" s="411">
        <f t="shared" si="28"/>
        <v>0</v>
      </c>
      <c r="K82" s="380">
        <f t="shared" si="27"/>
        <v>0</v>
      </c>
      <c r="L82" s="444">
        <f t="shared" si="29"/>
        <v>0</v>
      </c>
      <c r="M82" s="393"/>
      <c r="N82" s="445">
        <f t="shared" si="30"/>
        <v>0</v>
      </c>
      <c r="O82" s="446">
        <f t="shared" si="31"/>
        <v>0</v>
      </c>
      <c r="P82" s="445">
        <f t="shared" si="32"/>
        <v>0</v>
      </c>
      <c r="Q82" s="447"/>
      <c r="R82" s="109"/>
      <c r="S82" s="97">
        <v>0.0</v>
      </c>
      <c r="T82" s="168"/>
      <c r="U82" s="168"/>
      <c r="V82" s="362">
        <f t="shared" si="33"/>
        <v>0</v>
      </c>
      <c r="W82" s="109"/>
      <c r="X82" s="109"/>
      <c r="Y82" s="109"/>
      <c r="Z82" s="109"/>
      <c r="AA82" s="109"/>
    </row>
    <row r="83" ht="15.75" customHeight="1" outlineLevel="1">
      <c r="A83" s="431">
        <v>78.0</v>
      </c>
      <c r="B83" s="393"/>
      <c r="C83" s="393"/>
      <c r="D83" s="393"/>
      <c r="E83" s="370">
        <v>0.0</v>
      </c>
      <c r="F83" s="368">
        <f t="shared" si="26"/>
        <v>0</v>
      </c>
      <c r="G83" s="309">
        <f>SUMIF(PURCHASE!$E$3:$E$506,'INVONTERY FEB'!B83:B351,PURCHASE!$H$3:$H$506)</f>
        <v>0</v>
      </c>
      <c r="H83" s="443">
        <f>SUMIF(PURCHASE!$E$3:$E$506,'INVONTERY FEB'!B83:B346,PURCHASE!$I$3:$I$506)</f>
        <v>0</v>
      </c>
      <c r="I83" s="354">
        <f>ISSU!AL82</f>
        <v>0</v>
      </c>
      <c r="J83" s="411">
        <f t="shared" si="28"/>
        <v>0</v>
      </c>
      <c r="K83" s="380">
        <f t="shared" si="27"/>
        <v>0</v>
      </c>
      <c r="L83" s="444">
        <f t="shared" si="29"/>
        <v>0</v>
      </c>
      <c r="M83" s="393"/>
      <c r="N83" s="445">
        <f t="shared" si="30"/>
        <v>0</v>
      </c>
      <c r="O83" s="446">
        <f t="shared" si="31"/>
        <v>0</v>
      </c>
      <c r="P83" s="445">
        <f t="shared" si="32"/>
        <v>0</v>
      </c>
      <c r="Q83" s="447"/>
      <c r="R83" s="109"/>
      <c r="S83" s="97">
        <v>0.0</v>
      </c>
      <c r="T83" s="168"/>
      <c r="U83" s="168"/>
      <c r="V83" s="362">
        <f t="shared" si="33"/>
        <v>0</v>
      </c>
      <c r="W83" s="109"/>
      <c r="X83" s="109"/>
      <c r="Y83" s="109"/>
      <c r="Z83" s="109"/>
      <c r="AA83" s="109"/>
    </row>
    <row r="84" ht="15.75" customHeight="1" outlineLevel="1">
      <c r="A84" s="431">
        <v>79.0</v>
      </c>
      <c r="B84" s="393"/>
      <c r="C84" s="393"/>
      <c r="D84" s="393"/>
      <c r="E84" s="370">
        <v>0.0</v>
      </c>
      <c r="F84" s="368">
        <f t="shared" si="26"/>
        <v>0</v>
      </c>
      <c r="G84" s="309">
        <f>SUMIF(PURCHASE!$E$3:$E$506,'INVONTERY FEB'!B84:B352,PURCHASE!$H$3:$H$506)</f>
        <v>0</v>
      </c>
      <c r="H84" s="443">
        <f>SUMIF(PURCHASE!$E$3:$E$506,'INVONTERY FEB'!B84:B347,PURCHASE!$I$3:$I$506)</f>
        <v>0</v>
      </c>
      <c r="I84" s="354">
        <f>ISSU!AL83</f>
        <v>0</v>
      </c>
      <c r="J84" s="411">
        <f t="shared" si="28"/>
        <v>0</v>
      </c>
      <c r="K84" s="380">
        <f t="shared" si="27"/>
        <v>0</v>
      </c>
      <c r="L84" s="444">
        <f t="shared" si="29"/>
        <v>0</v>
      </c>
      <c r="M84" s="393"/>
      <c r="N84" s="445">
        <f t="shared" si="30"/>
        <v>0</v>
      </c>
      <c r="O84" s="446">
        <f t="shared" si="31"/>
        <v>0</v>
      </c>
      <c r="P84" s="445">
        <f t="shared" si="32"/>
        <v>0</v>
      </c>
      <c r="Q84" s="447"/>
      <c r="R84" s="109"/>
      <c r="S84" s="97"/>
      <c r="T84" s="168"/>
      <c r="U84" s="168"/>
      <c r="V84" s="362">
        <f t="shared" si="33"/>
        <v>0</v>
      </c>
      <c r="W84" s="109"/>
      <c r="X84" s="109"/>
      <c r="Y84" s="109"/>
      <c r="Z84" s="109"/>
      <c r="AA84" s="109"/>
    </row>
    <row r="85" ht="15.75" customHeight="1" outlineLevel="1">
      <c r="A85" s="431">
        <v>80.0</v>
      </c>
      <c r="B85" s="393"/>
      <c r="C85" s="393"/>
      <c r="D85" s="393"/>
      <c r="E85" s="370">
        <v>0.0</v>
      </c>
      <c r="F85" s="368">
        <f t="shared" si="26"/>
        <v>0</v>
      </c>
      <c r="G85" s="309">
        <f>SUMIF(PURCHASE!$E$3:$E$506,'INVONTERY FEB'!B85:B353,PURCHASE!$H$3:$H$506)</f>
        <v>0</v>
      </c>
      <c r="H85" s="443">
        <f>SUMIF(PURCHASE!$E$3:$E$506,'INVONTERY FEB'!B85:B348,PURCHASE!$I$3:$I$506)</f>
        <v>0</v>
      </c>
      <c r="I85" s="354">
        <f>ISSU!AL84</f>
        <v>0</v>
      </c>
      <c r="J85" s="411">
        <f t="shared" si="28"/>
        <v>0</v>
      </c>
      <c r="K85" s="380">
        <f t="shared" si="27"/>
        <v>0</v>
      </c>
      <c r="L85" s="444">
        <f t="shared" si="29"/>
        <v>0</v>
      </c>
      <c r="M85" s="358"/>
      <c r="N85" s="445">
        <f t="shared" si="30"/>
        <v>0</v>
      </c>
      <c r="O85" s="446">
        <f t="shared" si="31"/>
        <v>0</v>
      </c>
      <c r="P85" s="445">
        <f t="shared" si="32"/>
        <v>0</v>
      </c>
      <c r="Q85" s="447"/>
      <c r="R85" s="109"/>
      <c r="S85" s="97"/>
      <c r="T85" s="168"/>
      <c r="U85" s="168"/>
      <c r="V85" s="362">
        <f t="shared" si="33"/>
        <v>0</v>
      </c>
      <c r="W85" s="109"/>
      <c r="X85" s="109"/>
      <c r="Y85" s="109"/>
      <c r="Z85" s="109"/>
      <c r="AA85" s="109"/>
    </row>
    <row r="86" ht="15.75" customHeight="1">
      <c r="A86" s="403">
        <v>81.0</v>
      </c>
      <c r="B86" s="448" t="s">
        <v>258</v>
      </c>
      <c r="C86" s="404"/>
      <c r="D86" s="405"/>
      <c r="E86" s="405">
        <f>SUM(E52:E80)</f>
        <v>77</v>
      </c>
      <c r="F86" s="449">
        <f t="shared" ref="F86:I86" si="34">SUM(F52:F85)</f>
        <v>153100</v>
      </c>
      <c r="G86" s="450">
        <f t="shared" si="34"/>
        <v>213</v>
      </c>
      <c r="H86" s="450">
        <f t="shared" si="34"/>
        <v>349850</v>
      </c>
      <c r="I86" s="450">
        <f t="shared" si="34"/>
        <v>65</v>
      </c>
      <c r="J86" s="450"/>
      <c r="K86" s="450">
        <f t="shared" ref="K86:L86" si="35">SUM(K52:K85)</f>
        <v>225</v>
      </c>
      <c r="L86" s="450">
        <f t="shared" si="35"/>
        <v>334113</v>
      </c>
      <c r="M86" s="450"/>
      <c r="N86" s="451">
        <f t="shared" ref="N86:P86" si="36">SUM(N52:N85)</f>
        <v>0</v>
      </c>
      <c r="O86" s="452">
        <f t="shared" si="36"/>
        <v>0</v>
      </c>
      <c r="P86" s="452">
        <f t="shared" si="36"/>
        <v>168837</v>
      </c>
      <c r="Q86" s="453"/>
      <c r="R86" s="407"/>
      <c r="S86" s="97"/>
      <c r="T86" s="168"/>
      <c r="U86" s="168"/>
      <c r="V86" s="362">
        <f t="shared" si="33"/>
        <v>0</v>
      </c>
      <c r="W86" s="109"/>
      <c r="X86" s="109"/>
      <c r="Y86" s="109"/>
      <c r="Z86" s="109"/>
      <c r="AA86" s="109"/>
    </row>
    <row r="87" ht="15.75" customHeight="1" outlineLevel="1">
      <c r="A87" s="408">
        <v>82.0</v>
      </c>
      <c r="B87" s="408" t="s">
        <v>259</v>
      </c>
      <c r="C87" s="409"/>
      <c r="D87" s="409"/>
      <c r="E87" s="409"/>
      <c r="F87" s="409"/>
      <c r="G87" s="409"/>
      <c r="H87" s="409"/>
      <c r="I87" s="409"/>
      <c r="J87" s="409"/>
      <c r="K87" s="409"/>
      <c r="L87" s="409"/>
      <c r="M87" s="409"/>
      <c r="N87" s="409"/>
      <c r="O87" s="409"/>
      <c r="P87" s="409"/>
      <c r="Q87" s="409"/>
      <c r="R87" s="109"/>
      <c r="S87" s="97"/>
      <c r="T87" s="168"/>
      <c r="U87" s="168"/>
      <c r="V87" s="362">
        <f t="shared" si="33"/>
        <v>0</v>
      </c>
      <c r="W87" s="109"/>
      <c r="X87" s="109"/>
      <c r="Y87" s="109"/>
      <c r="Z87" s="109"/>
      <c r="AA87" s="109"/>
    </row>
    <row r="88" ht="15.75" customHeight="1" outlineLevel="1">
      <c r="A88" s="431">
        <v>83.0</v>
      </c>
      <c r="B88" s="350" t="s">
        <v>260</v>
      </c>
      <c r="C88" s="393" t="s">
        <v>187</v>
      </c>
      <c r="D88" s="454">
        <v>650.0</v>
      </c>
      <c r="E88" s="370">
        <v>1.0</v>
      </c>
      <c r="F88" s="455">
        <f t="shared" ref="F88:F106" si="37">E88*D88</f>
        <v>650</v>
      </c>
      <c r="G88" s="108">
        <f>SUMIF(PURCHASE!$E$3:$E$506,'INVONTERY FEB'!B88:B352,PURCHASE!$H$3:$H$506)</f>
        <v>2</v>
      </c>
      <c r="H88" s="438">
        <f>SUMIF(PURCHASE!$E$3:$E$506,'INVONTERY FEB'!B88:B347,PURCHASE!$I$3:$I$506)</f>
        <v>1300</v>
      </c>
      <c r="I88" s="354">
        <f>ISSU!AL89</f>
        <v>0</v>
      </c>
      <c r="J88" s="411">
        <f t="shared" ref="J88:J106" si="38">I88/29</f>
        <v>0</v>
      </c>
      <c r="K88" s="372">
        <f t="shared" ref="K88:K106" si="39">E88+G88-I88</f>
        <v>3</v>
      </c>
      <c r="L88" s="438">
        <f t="shared" ref="L88:L106" si="40">K88*M88</f>
        <v>1950</v>
      </c>
      <c r="M88" s="454">
        <v>650.0</v>
      </c>
      <c r="N88" s="439">
        <f t="shared" ref="N88:N106" si="41">M88-D88</f>
        <v>0</v>
      </c>
      <c r="O88" s="439">
        <f t="shared" ref="O88:O106" si="42">N88*I88</f>
        <v>0</v>
      </c>
      <c r="P88" s="438">
        <f t="shared" ref="P88:P106" si="43">F88+H88-L88</f>
        <v>0</v>
      </c>
      <c r="Q88" s="440" t="s">
        <v>175</v>
      </c>
      <c r="R88" s="109"/>
      <c r="S88" s="97">
        <v>2.0</v>
      </c>
      <c r="T88" s="168"/>
      <c r="U88" s="168"/>
      <c r="V88" s="362">
        <f t="shared" si="33"/>
        <v>2</v>
      </c>
      <c r="W88" s="109"/>
      <c r="X88" s="109"/>
      <c r="Y88" s="109"/>
      <c r="Z88" s="109"/>
      <c r="AA88" s="109"/>
    </row>
    <row r="89" ht="15.75" customHeight="1" outlineLevel="1">
      <c r="A89" s="431">
        <v>84.0</v>
      </c>
      <c r="B89" s="350" t="s">
        <v>261</v>
      </c>
      <c r="C89" s="393" t="s">
        <v>187</v>
      </c>
      <c r="D89" s="433">
        <v>650.0</v>
      </c>
      <c r="E89" s="370">
        <v>2.0</v>
      </c>
      <c r="F89" s="455">
        <f t="shared" si="37"/>
        <v>1300</v>
      </c>
      <c r="G89" s="108">
        <f>SUMIF(PURCHASE!$E$3:$E$506,'INVONTERY FEB'!B89:B371,PURCHASE!$H$3:$H$506)</f>
        <v>0</v>
      </c>
      <c r="H89" s="438">
        <f>SUMIF(PURCHASE!$E$3:$E$506,'INVONTERY FEB'!B89:B366,PURCHASE!$I$3:$I$506)</f>
        <v>0</v>
      </c>
      <c r="I89" s="354">
        <f>ISSU!AL90</f>
        <v>0</v>
      </c>
      <c r="J89" s="411">
        <f t="shared" si="38"/>
        <v>0</v>
      </c>
      <c r="K89" s="372">
        <f t="shared" si="39"/>
        <v>2</v>
      </c>
      <c r="L89" s="438">
        <f t="shared" si="40"/>
        <v>1300</v>
      </c>
      <c r="M89" s="433">
        <v>650.0</v>
      </c>
      <c r="N89" s="439">
        <f t="shared" si="41"/>
        <v>0</v>
      </c>
      <c r="O89" s="439">
        <f t="shared" si="42"/>
        <v>0</v>
      </c>
      <c r="P89" s="438">
        <f t="shared" si="43"/>
        <v>0</v>
      </c>
      <c r="Q89" s="440" t="s">
        <v>175</v>
      </c>
      <c r="R89" s="109"/>
      <c r="S89" s="97">
        <v>3.0</v>
      </c>
      <c r="T89" s="168"/>
      <c r="U89" s="168"/>
      <c r="V89" s="362">
        <f t="shared" si="33"/>
        <v>3</v>
      </c>
      <c r="W89" s="109"/>
      <c r="X89" s="109"/>
      <c r="Y89" s="109"/>
      <c r="Z89" s="109"/>
      <c r="AA89" s="109"/>
    </row>
    <row r="90" ht="15.75" customHeight="1" outlineLevel="1">
      <c r="A90" s="431">
        <v>85.0</v>
      </c>
      <c r="B90" s="350" t="s">
        <v>262</v>
      </c>
      <c r="C90" s="393" t="s">
        <v>187</v>
      </c>
      <c r="D90" s="454">
        <f>12308/10</f>
        <v>1230.8</v>
      </c>
      <c r="E90" s="370">
        <v>16.0</v>
      </c>
      <c r="F90" s="455">
        <f t="shared" si="37"/>
        <v>19692.8</v>
      </c>
      <c r="G90" s="108">
        <f>SUMIF(PURCHASE!$E$3:$E$506,'INVONTERY FEB'!B90:B353,PURCHASE!$H$3:$H$506)</f>
        <v>9</v>
      </c>
      <c r="H90" s="438">
        <f>SUMIF(PURCHASE!$E$3:$E$506,'INVONTERY FEB'!B90:B348,PURCHASE!$I$3:$I$506)</f>
        <v>11130</v>
      </c>
      <c r="I90" s="354">
        <f>ISSU!AL91</f>
        <v>14</v>
      </c>
      <c r="J90" s="411">
        <f t="shared" si="38"/>
        <v>0.4827586207</v>
      </c>
      <c r="K90" s="384">
        <f t="shared" si="39"/>
        <v>11</v>
      </c>
      <c r="L90" s="438">
        <f t="shared" si="40"/>
        <v>13538.8</v>
      </c>
      <c r="M90" s="454">
        <f>D90</f>
        <v>1230.8</v>
      </c>
      <c r="N90" s="439">
        <f t="shared" si="41"/>
        <v>0</v>
      </c>
      <c r="O90" s="439">
        <f t="shared" si="42"/>
        <v>0</v>
      </c>
      <c r="P90" s="438">
        <f t="shared" si="43"/>
        <v>17284</v>
      </c>
      <c r="Q90" s="440" t="s">
        <v>175</v>
      </c>
      <c r="R90" s="109"/>
      <c r="S90" s="97">
        <v>0.0</v>
      </c>
      <c r="T90" s="168"/>
      <c r="U90" s="168"/>
      <c r="V90" s="362">
        <f t="shared" si="33"/>
        <v>0</v>
      </c>
      <c r="W90" s="109"/>
      <c r="X90" s="109"/>
      <c r="Y90" s="109"/>
      <c r="Z90" s="109"/>
      <c r="AA90" s="109"/>
    </row>
    <row r="91" ht="15.75" customHeight="1" outlineLevel="1">
      <c r="A91" s="431">
        <v>86.0</v>
      </c>
      <c r="B91" s="350" t="s">
        <v>263</v>
      </c>
      <c r="C91" s="393" t="s">
        <v>187</v>
      </c>
      <c r="D91" s="433">
        <v>380.0</v>
      </c>
      <c r="E91" s="370">
        <v>4.0</v>
      </c>
      <c r="F91" s="455">
        <f t="shared" si="37"/>
        <v>1520</v>
      </c>
      <c r="G91" s="108">
        <f>SUMIF(PURCHASE!$E$3:$E$506,'INVONTERY FEB'!B91:B355,PURCHASE!$H$3:$H$506)</f>
        <v>0</v>
      </c>
      <c r="H91" s="438">
        <f>SUMIF(PURCHASE!$E$3:$E$506,'INVONTERY FEB'!B91:B350,PURCHASE!$I$3:$I$506)</f>
        <v>0</v>
      </c>
      <c r="I91" s="354">
        <f>ISSU!AL92</f>
        <v>2</v>
      </c>
      <c r="J91" s="411">
        <f t="shared" si="38"/>
        <v>0.06896551724</v>
      </c>
      <c r="K91" s="372">
        <f t="shared" si="39"/>
        <v>2</v>
      </c>
      <c r="L91" s="438">
        <f t="shared" si="40"/>
        <v>760</v>
      </c>
      <c r="M91" s="433">
        <v>380.0</v>
      </c>
      <c r="N91" s="439">
        <f t="shared" si="41"/>
        <v>0</v>
      </c>
      <c r="O91" s="439">
        <f t="shared" si="42"/>
        <v>0</v>
      </c>
      <c r="P91" s="438">
        <f t="shared" si="43"/>
        <v>760</v>
      </c>
      <c r="Q91" s="440" t="s">
        <v>175</v>
      </c>
      <c r="R91" s="109"/>
      <c r="S91" s="97">
        <v>0.0</v>
      </c>
      <c r="T91" s="168"/>
      <c r="U91" s="168"/>
      <c r="V91" s="362">
        <f t="shared" si="33"/>
        <v>0</v>
      </c>
      <c r="W91" s="109"/>
      <c r="X91" s="109"/>
      <c r="Y91" s="109"/>
      <c r="Z91" s="109"/>
      <c r="AA91" s="109"/>
    </row>
    <row r="92" ht="15.75" customHeight="1" outlineLevel="1">
      <c r="A92" s="431">
        <v>87.0</v>
      </c>
      <c r="B92" s="376" t="s">
        <v>264</v>
      </c>
      <c r="C92" s="393" t="s">
        <v>187</v>
      </c>
      <c r="D92" s="433">
        <v>450.0</v>
      </c>
      <c r="E92" s="370">
        <v>3.0</v>
      </c>
      <c r="F92" s="455">
        <f t="shared" si="37"/>
        <v>1350</v>
      </c>
      <c r="G92" s="108">
        <f>SUMIF(PURCHASE!$E$3:$E$506,'INVONTERY FEB'!B92:B356,PURCHASE!$H$3:$H$506)</f>
        <v>0</v>
      </c>
      <c r="H92" s="438">
        <f>SUMIF(PURCHASE!$E$3:$E$506,'INVONTERY FEB'!B92:B351,PURCHASE!$I$3:$I$506)</f>
        <v>0</v>
      </c>
      <c r="I92" s="354">
        <f>ISSU!AL93</f>
        <v>3</v>
      </c>
      <c r="J92" s="411">
        <f t="shared" si="38"/>
        <v>0.1034482759</v>
      </c>
      <c r="K92" s="372">
        <f t="shared" si="39"/>
        <v>0</v>
      </c>
      <c r="L92" s="438">
        <f t="shared" si="40"/>
        <v>0</v>
      </c>
      <c r="M92" s="433">
        <v>450.0</v>
      </c>
      <c r="N92" s="439">
        <f t="shared" si="41"/>
        <v>0</v>
      </c>
      <c r="O92" s="439">
        <f t="shared" si="42"/>
        <v>0</v>
      </c>
      <c r="P92" s="438">
        <f t="shared" si="43"/>
        <v>1350</v>
      </c>
      <c r="Q92" s="440" t="s">
        <v>175</v>
      </c>
      <c r="R92" s="109"/>
      <c r="S92" s="97">
        <v>0.0</v>
      </c>
      <c r="T92" s="168"/>
      <c r="U92" s="168"/>
      <c r="V92" s="362">
        <f t="shared" si="33"/>
        <v>0</v>
      </c>
      <c r="W92" s="109"/>
      <c r="X92" s="109"/>
      <c r="Y92" s="109"/>
      <c r="Z92" s="109"/>
      <c r="AA92" s="109"/>
    </row>
    <row r="93" ht="15.75" customHeight="1" outlineLevel="1">
      <c r="A93" s="431">
        <v>88.0</v>
      </c>
      <c r="B93" s="350" t="s">
        <v>265</v>
      </c>
      <c r="C93" s="393" t="s">
        <v>187</v>
      </c>
      <c r="D93" s="433">
        <v>1300.0</v>
      </c>
      <c r="E93" s="370">
        <v>0.0</v>
      </c>
      <c r="F93" s="455">
        <f t="shared" si="37"/>
        <v>0</v>
      </c>
      <c r="G93" s="108">
        <f>SUMIF(PURCHASE!$E$3:$E$506,'INVONTERY FEB'!B93:B372,PURCHASE!$H$3:$H$506)</f>
        <v>0</v>
      </c>
      <c r="H93" s="438">
        <f>SUMIF(PURCHASE!$E$3:$E$506,'INVONTERY FEB'!B93:B367,PURCHASE!$I$3:$I$506)</f>
        <v>0</v>
      </c>
      <c r="I93" s="354">
        <f>ISSU!AL94</f>
        <v>0</v>
      </c>
      <c r="J93" s="411">
        <f t="shared" si="38"/>
        <v>0</v>
      </c>
      <c r="K93" s="380">
        <f t="shared" si="39"/>
        <v>0</v>
      </c>
      <c r="L93" s="438">
        <f t="shared" si="40"/>
        <v>0</v>
      </c>
      <c r="M93" s="433">
        <f>15600/12</f>
        <v>1300</v>
      </c>
      <c r="N93" s="439">
        <f t="shared" si="41"/>
        <v>0</v>
      </c>
      <c r="O93" s="439">
        <f t="shared" si="42"/>
        <v>0</v>
      </c>
      <c r="P93" s="438">
        <f t="shared" si="43"/>
        <v>0</v>
      </c>
      <c r="Q93" s="440" t="s">
        <v>175</v>
      </c>
      <c r="R93" s="109"/>
      <c r="S93" s="97">
        <v>0.0</v>
      </c>
      <c r="T93" s="168"/>
      <c r="U93" s="168"/>
      <c r="V93" s="362">
        <f t="shared" si="33"/>
        <v>0</v>
      </c>
      <c r="W93" s="109"/>
      <c r="X93" s="109"/>
      <c r="Y93" s="109"/>
      <c r="Z93" s="109"/>
      <c r="AA93" s="109"/>
    </row>
    <row r="94" ht="15.75" customHeight="1" outlineLevel="1">
      <c r="A94" s="431">
        <v>89.0</v>
      </c>
      <c r="B94" s="350" t="s">
        <v>266</v>
      </c>
      <c r="C94" s="393" t="s">
        <v>187</v>
      </c>
      <c r="D94" s="433">
        <v>1267.0</v>
      </c>
      <c r="E94" s="370">
        <v>0.0</v>
      </c>
      <c r="F94" s="455">
        <f t="shared" si="37"/>
        <v>0</v>
      </c>
      <c r="G94" s="108">
        <f>SUMIF(PURCHASE!$E$3:$E$506,'INVONTERY FEB'!B94:B372,PURCHASE!$H$3:$H$506)</f>
        <v>0</v>
      </c>
      <c r="H94" s="438">
        <f>SUMIF(PURCHASE!$E$3:$E$506,'INVONTERY FEB'!B94:B367,PURCHASE!$I$3:$I$506)</f>
        <v>0</v>
      </c>
      <c r="I94" s="354">
        <f>ISSU!AL95</f>
        <v>0</v>
      </c>
      <c r="J94" s="411">
        <f t="shared" si="38"/>
        <v>0</v>
      </c>
      <c r="K94" s="380">
        <f t="shared" si="39"/>
        <v>0</v>
      </c>
      <c r="L94" s="438">
        <f t="shared" si="40"/>
        <v>0</v>
      </c>
      <c r="M94" s="433">
        <v>1267.0</v>
      </c>
      <c r="N94" s="439">
        <f t="shared" si="41"/>
        <v>0</v>
      </c>
      <c r="O94" s="439">
        <f t="shared" si="42"/>
        <v>0</v>
      </c>
      <c r="P94" s="438">
        <f t="shared" si="43"/>
        <v>0</v>
      </c>
      <c r="Q94" s="440" t="s">
        <v>175</v>
      </c>
      <c r="R94" s="109"/>
      <c r="S94" s="97">
        <v>0.0</v>
      </c>
      <c r="T94" s="168"/>
      <c r="U94" s="168"/>
      <c r="V94" s="362">
        <f t="shared" si="33"/>
        <v>0</v>
      </c>
      <c r="W94" s="109"/>
      <c r="X94" s="109"/>
      <c r="Y94" s="109"/>
      <c r="Z94" s="109"/>
      <c r="AA94" s="109"/>
    </row>
    <row r="95" ht="15.75" customHeight="1" outlineLevel="1">
      <c r="A95" s="431">
        <v>90.0</v>
      </c>
      <c r="B95" s="350" t="s">
        <v>73</v>
      </c>
      <c r="C95" s="393" t="s">
        <v>187</v>
      </c>
      <c r="D95" s="454">
        <v>1230.0</v>
      </c>
      <c r="E95" s="370">
        <v>0.0</v>
      </c>
      <c r="F95" s="455">
        <f t="shared" si="37"/>
        <v>0</v>
      </c>
      <c r="G95" s="108">
        <f>SUMIF(PURCHASE!$E$3:$E$506,'INVONTERY FEB'!B95:B373,PURCHASE!$H$3:$H$506)</f>
        <v>0</v>
      </c>
      <c r="H95" s="438">
        <f>SUMIF(PURCHASE!$E$3:$E$506,'INVONTERY FEB'!B95:B368,PURCHASE!$I$3:$I$506)</f>
        <v>0</v>
      </c>
      <c r="I95" s="354">
        <f>ISSU!AL96</f>
        <v>0</v>
      </c>
      <c r="J95" s="411">
        <f t="shared" si="38"/>
        <v>0</v>
      </c>
      <c r="K95" s="380">
        <f t="shared" si="39"/>
        <v>0</v>
      </c>
      <c r="L95" s="438">
        <f t="shared" si="40"/>
        <v>0</v>
      </c>
      <c r="M95" s="454">
        <v>1230.0</v>
      </c>
      <c r="N95" s="439">
        <f t="shared" si="41"/>
        <v>0</v>
      </c>
      <c r="O95" s="439">
        <f t="shared" si="42"/>
        <v>0</v>
      </c>
      <c r="P95" s="438">
        <f t="shared" si="43"/>
        <v>0</v>
      </c>
      <c r="Q95" s="440" t="s">
        <v>175</v>
      </c>
      <c r="R95" s="109"/>
      <c r="S95" s="97">
        <v>9.0</v>
      </c>
      <c r="T95" s="168"/>
      <c r="U95" s="168"/>
      <c r="V95" s="362">
        <f t="shared" si="33"/>
        <v>9</v>
      </c>
      <c r="W95" s="109"/>
      <c r="X95" s="109"/>
      <c r="Y95" s="109"/>
      <c r="Z95" s="109"/>
      <c r="AA95" s="109"/>
    </row>
    <row r="96" ht="15.75" customHeight="1" outlineLevel="1">
      <c r="A96" s="431">
        <v>91.0</v>
      </c>
      <c r="B96" s="350" t="s">
        <v>267</v>
      </c>
      <c r="C96" s="393" t="s">
        <v>187</v>
      </c>
      <c r="D96" s="454">
        <v>820.0</v>
      </c>
      <c r="E96" s="370">
        <v>0.0</v>
      </c>
      <c r="F96" s="455">
        <f t="shared" si="37"/>
        <v>0</v>
      </c>
      <c r="G96" s="108">
        <f>SUMIF(PURCHASE!$E$3:$E$506,'INVONTERY FEB'!B96:B374,PURCHASE!$H$3:$H$506)</f>
        <v>0</v>
      </c>
      <c r="H96" s="438">
        <f>SUMIF(PURCHASE!$E$3:$E$506,'INVONTERY FEB'!B96:B369,PURCHASE!$I$3:$I$506)</f>
        <v>0</v>
      </c>
      <c r="I96" s="354">
        <f>ISSU!AL97</f>
        <v>0</v>
      </c>
      <c r="J96" s="411">
        <f t="shared" si="38"/>
        <v>0</v>
      </c>
      <c r="K96" s="380">
        <f t="shared" si="39"/>
        <v>0</v>
      </c>
      <c r="L96" s="438">
        <f t="shared" si="40"/>
        <v>0</v>
      </c>
      <c r="M96" s="454">
        <v>820.0</v>
      </c>
      <c r="N96" s="439">
        <f t="shared" si="41"/>
        <v>0</v>
      </c>
      <c r="O96" s="439">
        <f t="shared" si="42"/>
        <v>0</v>
      </c>
      <c r="P96" s="438">
        <f t="shared" si="43"/>
        <v>0</v>
      </c>
      <c r="Q96" s="440"/>
      <c r="R96" s="109"/>
      <c r="S96" s="97">
        <v>0.0</v>
      </c>
      <c r="T96" s="168"/>
      <c r="U96" s="168"/>
      <c r="V96" s="362">
        <f t="shared" si="33"/>
        <v>0</v>
      </c>
      <c r="W96" s="109"/>
      <c r="X96" s="109"/>
      <c r="Y96" s="109"/>
      <c r="Z96" s="109"/>
      <c r="AA96" s="109"/>
    </row>
    <row r="97" ht="15.75" customHeight="1" outlineLevel="1">
      <c r="A97" s="431">
        <v>92.0</v>
      </c>
      <c r="B97" s="350" t="s">
        <v>268</v>
      </c>
      <c r="C97" s="393" t="s">
        <v>187</v>
      </c>
      <c r="D97" s="433">
        <v>1072.0</v>
      </c>
      <c r="E97" s="370">
        <v>0.0</v>
      </c>
      <c r="F97" s="455">
        <f t="shared" si="37"/>
        <v>0</v>
      </c>
      <c r="G97" s="108">
        <f>SUMIF(PURCHASE!$E$3:$E$506,'INVONTERY FEB'!B97:B375,PURCHASE!$H$3:$H$506)</f>
        <v>0</v>
      </c>
      <c r="H97" s="438">
        <f>SUMIF(PURCHASE!$E$3:$E$506,'INVONTERY FEB'!B97:B370,PURCHASE!$I$3:$I$506)</f>
        <v>0</v>
      </c>
      <c r="I97" s="354">
        <f>ISSU!AL98</f>
        <v>0</v>
      </c>
      <c r="J97" s="411">
        <f t="shared" si="38"/>
        <v>0</v>
      </c>
      <c r="K97" s="380">
        <f t="shared" si="39"/>
        <v>0</v>
      </c>
      <c r="L97" s="438">
        <f t="shared" si="40"/>
        <v>0</v>
      </c>
      <c r="M97" s="433">
        <v>1072.0</v>
      </c>
      <c r="N97" s="439">
        <f t="shared" si="41"/>
        <v>0</v>
      </c>
      <c r="O97" s="439">
        <f t="shared" si="42"/>
        <v>0</v>
      </c>
      <c r="P97" s="438">
        <f t="shared" si="43"/>
        <v>0</v>
      </c>
      <c r="Q97" s="440"/>
      <c r="R97" s="109"/>
      <c r="S97" s="97">
        <v>0.0</v>
      </c>
      <c r="T97" s="168"/>
      <c r="U97" s="168"/>
      <c r="V97" s="362">
        <f t="shared" si="33"/>
        <v>0</v>
      </c>
      <c r="W97" s="109"/>
      <c r="X97" s="109"/>
      <c r="Y97" s="109"/>
      <c r="Z97" s="109"/>
      <c r="AA97" s="109"/>
    </row>
    <row r="98" ht="15.75" customHeight="1" outlineLevel="1">
      <c r="A98" s="431">
        <v>93.0</v>
      </c>
      <c r="B98" s="350" t="s">
        <v>269</v>
      </c>
      <c r="C98" s="393" t="s">
        <v>172</v>
      </c>
      <c r="D98" s="433">
        <v>160.0</v>
      </c>
      <c r="E98" s="370">
        <v>0.0</v>
      </c>
      <c r="F98" s="455">
        <f t="shared" si="37"/>
        <v>0</v>
      </c>
      <c r="G98" s="108">
        <f>SUMIF(PURCHASE!$E$3:$E$506,'INVONTERY FEB'!B98:B376,PURCHASE!$H$3:$H$506)</f>
        <v>0</v>
      </c>
      <c r="H98" s="438">
        <f>SUMIF(PURCHASE!$E$3:$E$506,'INVONTERY FEB'!B98:B371,PURCHASE!$I$3:$I$506)</f>
        <v>0</v>
      </c>
      <c r="I98" s="354">
        <f>ISSU!AL99</f>
        <v>0</v>
      </c>
      <c r="J98" s="411">
        <f t="shared" si="38"/>
        <v>0</v>
      </c>
      <c r="K98" s="380">
        <f t="shared" si="39"/>
        <v>0</v>
      </c>
      <c r="L98" s="438">
        <f t="shared" si="40"/>
        <v>0</v>
      </c>
      <c r="M98" s="433">
        <v>160.0</v>
      </c>
      <c r="N98" s="439">
        <f t="shared" si="41"/>
        <v>0</v>
      </c>
      <c r="O98" s="439">
        <f t="shared" si="42"/>
        <v>0</v>
      </c>
      <c r="P98" s="438">
        <f t="shared" si="43"/>
        <v>0</v>
      </c>
      <c r="Q98" s="440"/>
      <c r="R98" s="109"/>
      <c r="S98" s="97">
        <v>0.0</v>
      </c>
      <c r="T98" s="168"/>
      <c r="U98" s="168"/>
      <c r="V98" s="362">
        <f t="shared" si="33"/>
        <v>0</v>
      </c>
      <c r="W98" s="109"/>
      <c r="X98" s="109"/>
      <c r="Y98" s="109"/>
      <c r="Z98" s="109"/>
      <c r="AA98" s="109"/>
    </row>
    <row r="99" ht="15.75" customHeight="1" outlineLevel="1">
      <c r="A99" s="431">
        <v>94.0</v>
      </c>
      <c r="B99" s="441" t="s">
        <v>270</v>
      </c>
      <c r="C99" s="393" t="s">
        <v>72</v>
      </c>
      <c r="D99" s="433">
        <v>695.0</v>
      </c>
      <c r="E99" s="370">
        <v>0.0</v>
      </c>
      <c r="F99" s="455">
        <f t="shared" si="37"/>
        <v>0</v>
      </c>
      <c r="G99" s="108">
        <f>SUMIF(PURCHASE!$E$3:$E$506,'INVONTERY FEB'!B99:B376,PURCHASE!$H$3:$H$506)</f>
        <v>0</v>
      </c>
      <c r="H99" s="438">
        <f>SUMIF(PURCHASE!$E$3:$E$506,'INVONTERY FEB'!B99:B374,PURCHASE!$I$3:$I$506)</f>
        <v>0</v>
      </c>
      <c r="I99" s="354">
        <f>ISSU!AL100</f>
        <v>0</v>
      </c>
      <c r="J99" s="411">
        <f t="shared" si="38"/>
        <v>0</v>
      </c>
      <c r="K99" s="380">
        <f t="shared" si="39"/>
        <v>0</v>
      </c>
      <c r="L99" s="438">
        <f t="shared" si="40"/>
        <v>0</v>
      </c>
      <c r="M99" s="433">
        <v>695.0</v>
      </c>
      <c r="N99" s="439">
        <f t="shared" si="41"/>
        <v>0</v>
      </c>
      <c r="O99" s="439">
        <f t="shared" si="42"/>
        <v>0</v>
      </c>
      <c r="P99" s="438">
        <f t="shared" si="43"/>
        <v>0</v>
      </c>
      <c r="Q99" s="440" t="s">
        <v>53</v>
      </c>
      <c r="R99" s="109"/>
      <c r="S99" s="97">
        <v>0.0</v>
      </c>
      <c r="T99" s="168"/>
      <c r="U99" s="168"/>
      <c r="V99" s="362">
        <f t="shared" si="33"/>
        <v>0</v>
      </c>
      <c r="W99" s="109"/>
      <c r="X99" s="109"/>
      <c r="Y99" s="109"/>
      <c r="Z99" s="109"/>
      <c r="AA99" s="109"/>
    </row>
    <row r="100" ht="15.75" customHeight="1" outlineLevel="1">
      <c r="A100" s="431">
        <v>95.0</v>
      </c>
      <c r="B100" s="441" t="s">
        <v>271</v>
      </c>
      <c r="C100" s="393" t="s">
        <v>187</v>
      </c>
      <c r="D100" s="433">
        <v>900.0</v>
      </c>
      <c r="E100" s="370">
        <v>0.0</v>
      </c>
      <c r="F100" s="455">
        <f t="shared" si="37"/>
        <v>0</v>
      </c>
      <c r="G100" s="108">
        <f>SUMIF(PURCHASE!$E$3:$E$506,'INVONTERY FEB'!B100:B377,PURCHASE!$H$3:$H$506)</f>
        <v>0</v>
      </c>
      <c r="H100" s="438">
        <f>SUMIF(PURCHASE!$E$3:$E$506,'INVONTERY FEB'!B100:B375,PURCHASE!$I$3:$I$506)</f>
        <v>0</v>
      </c>
      <c r="I100" s="354">
        <f>ISSU!AL101</f>
        <v>0</v>
      </c>
      <c r="J100" s="411">
        <f t="shared" si="38"/>
        <v>0</v>
      </c>
      <c r="K100" s="380">
        <f t="shared" si="39"/>
        <v>0</v>
      </c>
      <c r="L100" s="438">
        <f t="shared" si="40"/>
        <v>0</v>
      </c>
      <c r="M100" s="433">
        <v>900.0</v>
      </c>
      <c r="N100" s="439">
        <f t="shared" si="41"/>
        <v>0</v>
      </c>
      <c r="O100" s="439">
        <f t="shared" si="42"/>
        <v>0</v>
      </c>
      <c r="P100" s="438">
        <f t="shared" si="43"/>
        <v>0</v>
      </c>
      <c r="Q100" s="447"/>
      <c r="R100" s="109"/>
      <c r="S100" s="97">
        <v>0.0</v>
      </c>
      <c r="T100" s="168"/>
      <c r="U100" s="168"/>
      <c r="V100" s="362">
        <f t="shared" si="33"/>
        <v>0</v>
      </c>
      <c r="W100" s="109"/>
      <c r="X100" s="109"/>
      <c r="Y100" s="109"/>
      <c r="Z100" s="109"/>
      <c r="AA100" s="109"/>
    </row>
    <row r="101" ht="15.75" customHeight="1" outlineLevel="1">
      <c r="A101" s="431">
        <v>96.0</v>
      </c>
      <c r="B101" s="350" t="s">
        <v>272</v>
      </c>
      <c r="C101" s="393" t="s">
        <v>187</v>
      </c>
      <c r="D101" s="433">
        <v>900.0</v>
      </c>
      <c r="E101" s="370">
        <v>0.0</v>
      </c>
      <c r="F101" s="455">
        <f t="shared" si="37"/>
        <v>0</v>
      </c>
      <c r="G101" s="108">
        <f>SUMIF(PURCHASE!$E$3:$E$506,'INVONTERY FEB'!B101:B378,PURCHASE!$H$3:$H$506)</f>
        <v>1</v>
      </c>
      <c r="H101" s="438">
        <f>SUMIF(PURCHASE!$E$3:$E$506,'INVONTERY FEB'!B101:B376,PURCHASE!$I$3:$I$506)</f>
        <v>1000</v>
      </c>
      <c r="I101" s="354">
        <f>ISSU!AL102</f>
        <v>0</v>
      </c>
      <c r="J101" s="411">
        <f t="shared" si="38"/>
        <v>0</v>
      </c>
      <c r="K101" s="380">
        <f t="shared" si="39"/>
        <v>1</v>
      </c>
      <c r="L101" s="438">
        <f t="shared" si="40"/>
        <v>900</v>
      </c>
      <c r="M101" s="433">
        <v>900.0</v>
      </c>
      <c r="N101" s="439">
        <f t="shared" si="41"/>
        <v>0</v>
      </c>
      <c r="O101" s="439">
        <f t="shared" si="42"/>
        <v>0</v>
      </c>
      <c r="P101" s="438">
        <f t="shared" si="43"/>
        <v>100</v>
      </c>
      <c r="Q101" s="447"/>
      <c r="R101" s="109"/>
      <c r="S101" s="97">
        <v>0.0</v>
      </c>
      <c r="T101" s="168"/>
      <c r="U101" s="168"/>
      <c r="V101" s="362">
        <f t="shared" si="33"/>
        <v>0</v>
      </c>
      <c r="W101" s="109"/>
      <c r="X101" s="109"/>
      <c r="Y101" s="109"/>
      <c r="Z101" s="109"/>
      <c r="AA101" s="109"/>
    </row>
    <row r="102" ht="15.75" customHeight="1" outlineLevel="1">
      <c r="A102" s="431">
        <v>97.0</v>
      </c>
      <c r="B102" s="350" t="s">
        <v>273</v>
      </c>
      <c r="C102" s="393" t="s">
        <v>72</v>
      </c>
      <c r="D102" s="433">
        <v>30.0</v>
      </c>
      <c r="E102" s="370">
        <v>0.0</v>
      </c>
      <c r="F102" s="455">
        <f t="shared" si="37"/>
        <v>0</v>
      </c>
      <c r="G102" s="108">
        <f>SUMIF(PURCHASE!$E$3:$E$506,'INVONTERY FEB'!B102:B379,PURCHASE!$H$3:$H$506)</f>
        <v>0</v>
      </c>
      <c r="H102" s="438">
        <f>SUMIF(PURCHASE!$E$3:$E$506,'INVONTERY FEB'!B102:B377,PURCHASE!$I$3:$I$506)</f>
        <v>0</v>
      </c>
      <c r="I102" s="354">
        <f>ISSU!AL103</f>
        <v>0</v>
      </c>
      <c r="J102" s="411">
        <f t="shared" si="38"/>
        <v>0</v>
      </c>
      <c r="K102" s="380">
        <f t="shared" si="39"/>
        <v>0</v>
      </c>
      <c r="L102" s="438">
        <f t="shared" si="40"/>
        <v>0</v>
      </c>
      <c r="M102" s="433">
        <v>30.0</v>
      </c>
      <c r="N102" s="439">
        <f t="shared" si="41"/>
        <v>0</v>
      </c>
      <c r="O102" s="439">
        <f t="shared" si="42"/>
        <v>0</v>
      </c>
      <c r="P102" s="438">
        <f t="shared" si="43"/>
        <v>0</v>
      </c>
      <c r="Q102" s="447"/>
      <c r="R102" s="109"/>
      <c r="S102" s="97">
        <v>0.0</v>
      </c>
      <c r="T102" s="168"/>
      <c r="U102" s="168"/>
      <c r="V102" s="362">
        <f t="shared" si="33"/>
        <v>0</v>
      </c>
      <c r="W102" s="109"/>
      <c r="X102" s="109"/>
      <c r="Y102" s="109"/>
      <c r="Z102" s="109"/>
      <c r="AA102" s="109"/>
    </row>
    <row r="103" ht="15.75" customHeight="1" outlineLevel="1">
      <c r="A103" s="431">
        <v>98.0</v>
      </c>
      <c r="B103" s="350" t="s">
        <v>274</v>
      </c>
      <c r="C103" s="393" t="s">
        <v>187</v>
      </c>
      <c r="D103" s="433">
        <v>750.0</v>
      </c>
      <c r="E103" s="370">
        <v>8.0</v>
      </c>
      <c r="F103" s="455">
        <f t="shared" si="37"/>
        <v>6000</v>
      </c>
      <c r="G103" s="108">
        <f>SUMIF(PURCHASE!$E$3:$E$506,'INVONTERY FEB'!B103:B380,PURCHASE!$H$3:$H$506)</f>
        <v>3</v>
      </c>
      <c r="H103" s="438">
        <f>SUMIF(PURCHASE!$E$3:$E$506,'INVONTERY FEB'!B103:B378,PURCHASE!$I$3:$I$506)</f>
        <v>1875</v>
      </c>
      <c r="I103" s="354">
        <f>ISSU!AL104</f>
        <v>4</v>
      </c>
      <c r="J103" s="411">
        <f t="shared" si="38"/>
        <v>0.1379310345</v>
      </c>
      <c r="K103" s="372">
        <f t="shared" si="39"/>
        <v>7</v>
      </c>
      <c r="L103" s="438">
        <f t="shared" si="40"/>
        <v>5250</v>
      </c>
      <c r="M103" s="433">
        <v>750.0</v>
      </c>
      <c r="N103" s="439">
        <f t="shared" si="41"/>
        <v>0</v>
      </c>
      <c r="O103" s="439">
        <f t="shared" si="42"/>
        <v>0</v>
      </c>
      <c r="P103" s="438">
        <f t="shared" si="43"/>
        <v>2625</v>
      </c>
      <c r="Q103" s="447"/>
      <c r="R103" s="109"/>
      <c r="S103" s="97">
        <v>0.0</v>
      </c>
      <c r="T103" s="168"/>
      <c r="U103" s="168"/>
      <c r="V103" s="362">
        <f t="shared" si="33"/>
        <v>0</v>
      </c>
      <c r="W103" s="109"/>
      <c r="X103" s="109"/>
      <c r="Y103" s="109"/>
      <c r="Z103" s="109"/>
      <c r="AA103" s="109"/>
    </row>
    <row r="104" ht="15.75" customHeight="1" outlineLevel="1">
      <c r="A104" s="431">
        <v>99.0</v>
      </c>
      <c r="B104" s="441" t="s">
        <v>275</v>
      </c>
      <c r="C104" s="393" t="s">
        <v>172</v>
      </c>
      <c r="D104" s="414">
        <v>2400.0</v>
      </c>
      <c r="E104" s="370">
        <v>0.0</v>
      </c>
      <c r="F104" s="455">
        <f t="shared" si="37"/>
        <v>0</v>
      </c>
      <c r="G104" s="108">
        <f>SUMIF(PURCHASE!$E$3:$E$506,'INVONTERY FEB'!B104:B381,PURCHASE!$H$3:$H$506)</f>
        <v>0</v>
      </c>
      <c r="H104" s="438">
        <f>SUMIF(PURCHASE!$E$3:$E$506,'INVONTERY FEB'!B104:B379,PURCHASE!$I$3:$I$506)</f>
        <v>0</v>
      </c>
      <c r="I104" s="354">
        <f>ISSU!AL106</f>
        <v>0</v>
      </c>
      <c r="J104" s="411">
        <f t="shared" si="38"/>
        <v>0</v>
      </c>
      <c r="K104" s="380">
        <f t="shared" si="39"/>
        <v>0</v>
      </c>
      <c r="L104" s="438">
        <f t="shared" si="40"/>
        <v>0</v>
      </c>
      <c r="M104" s="414">
        <v>2400.0</v>
      </c>
      <c r="N104" s="439">
        <f t="shared" si="41"/>
        <v>0</v>
      </c>
      <c r="O104" s="439">
        <f t="shared" si="42"/>
        <v>0</v>
      </c>
      <c r="P104" s="438">
        <f t="shared" si="43"/>
        <v>0</v>
      </c>
      <c r="Q104" s="447"/>
      <c r="R104" s="109"/>
      <c r="S104" s="97"/>
      <c r="T104" s="168"/>
      <c r="U104" s="168"/>
      <c r="V104" s="362">
        <f t="shared" si="33"/>
        <v>0</v>
      </c>
      <c r="W104" s="109"/>
      <c r="X104" s="109"/>
      <c r="Y104" s="109"/>
      <c r="Z104" s="109"/>
      <c r="AA104" s="109"/>
    </row>
    <row r="105" ht="15.75" customHeight="1" outlineLevel="1">
      <c r="A105" s="431">
        <v>100.0</v>
      </c>
      <c r="B105" s="393" t="s">
        <v>234</v>
      </c>
      <c r="C105" s="393" t="s">
        <v>172</v>
      </c>
      <c r="D105" s="414">
        <v>700.0</v>
      </c>
      <c r="E105" s="370">
        <v>0.0</v>
      </c>
      <c r="F105" s="456">
        <f t="shared" si="37"/>
        <v>0</v>
      </c>
      <c r="G105" s="444">
        <f>SUMIF(PURCHASE!$E$3:$E$506,'INVONTERY FEB'!B105:B378,PURCHASE!$H$3:$H$506)</f>
        <v>0</v>
      </c>
      <c r="H105" s="445">
        <f>SUMIF(PURCHASE!$E$3:$E$506,'INVONTERY FEB'!B105:B376,PURCHASE!$I$3:$I$506)</f>
        <v>0</v>
      </c>
      <c r="I105" s="354">
        <f>ISSU!AL105</f>
        <v>0</v>
      </c>
      <c r="J105" s="411">
        <f t="shared" si="38"/>
        <v>0</v>
      </c>
      <c r="K105" s="380">
        <f t="shared" si="39"/>
        <v>0</v>
      </c>
      <c r="L105" s="445">
        <f t="shared" si="40"/>
        <v>0</v>
      </c>
      <c r="M105" s="414">
        <v>700.0</v>
      </c>
      <c r="N105" s="446">
        <f t="shared" si="41"/>
        <v>0</v>
      </c>
      <c r="O105" s="446">
        <f t="shared" si="42"/>
        <v>0</v>
      </c>
      <c r="P105" s="445">
        <f t="shared" si="43"/>
        <v>0</v>
      </c>
      <c r="Q105" s="447"/>
      <c r="R105" s="109"/>
      <c r="S105" s="97"/>
      <c r="T105" s="168"/>
      <c r="U105" s="168"/>
      <c r="V105" s="362">
        <f t="shared" si="33"/>
        <v>0</v>
      </c>
      <c r="W105" s="109"/>
      <c r="X105" s="109"/>
      <c r="Y105" s="109"/>
      <c r="Z105" s="109"/>
      <c r="AA105" s="109"/>
    </row>
    <row r="106" ht="15.75" customHeight="1">
      <c r="A106" s="431">
        <v>101.0</v>
      </c>
      <c r="B106" s="393" t="s">
        <v>276</v>
      </c>
      <c r="C106" s="393" t="s">
        <v>72</v>
      </c>
      <c r="D106" s="414">
        <v>188.0</v>
      </c>
      <c r="E106" s="370">
        <v>0.0</v>
      </c>
      <c r="F106" s="456">
        <f t="shared" si="37"/>
        <v>0</v>
      </c>
      <c r="G106" s="444">
        <f>SUMIF(PURCHASE!$E$3:$E$506,'INVONTERY FEB'!B106:B379,PURCHASE!$H$3:$H$506)</f>
        <v>0</v>
      </c>
      <c r="H106" s="445">
        <f>SUMIF(PURCHASE!$E$3:$E$506,'INVONTERY FEB'!B106:B377,PURCHASE!$I$3:$I$506)</f>
        <v>0</v>
      </c>
      <c r="I106" s="354">
        <f>ISSU!AL107</f>
        <v>0</v>
      </c>
      <c r="J106" s="411">
        <f t="shared" si="38"/>
        <v>0</v>
      </c>
      <c r="K106" s="380">
        <f t="shared" si="39"/>
        <v>0</v>
      </c>
      <c r="L106" s="445">
        <f t="shared" si="40"/>
        <v>0</v>
      </c>
      <c r="M106" s="414">
        <v>188.0</v>
      </c>
      <c r="N106" s="446">
        <f t="shared" si="41"/>
        <v>0</v>
      </c>
      <c r="O106" s="446">
        <f t="shared" si="42"/>
        <v>0</v>
      </c>
      <c r="P106" s="445">
        <f t="shared" si="43"/>
        <v>0</v>
      </c>
      <c r="Q106" s="447"/>
      <c r="R106" s="407"/>
      <c r="S106" s="97"/>
      <c r="T106" s="168"/>
      <c r="U106" s="168"/>
      <c r="V106" s="362">
        <f t="shared" si="33"/>
        <v>0</v>
      </c>
      <c r="W106" s="109"/>
      <c r="X106" s="109"/>
      <c r="Y106" s="109"/>
      <c r="Z106" s="109"/>
      <c r="AA106" s="109"/>
    </row>
    <row r="107" ht="15.75" customHeight="1">
      <c r="A107" s="403">
        <v>102.0</v>
      </c>
      <c r="B107" s="457" t="s">
        <v>277</v>
      </c>
      <c r="C107" s="404"/>
      <c r="D107" s="458">
        <v>230.0</v>
      </c>
      <c r="E107" s="405">
        <f>SUM(E88:E106)</f>
        <v>34</v>
      </c>
      <c r="F107" s="406">
        <f t="shared" ref="F107:Q107" si="44">SUM(F87:F106)</f>
        <v>30512.8</v>
      </c>
      <c r="G107" s="406">
        <f t="shared" si="44"/>
        <v>15</v>
      </c>
      <c r="H107" s="406">
        <f t="shared" si="44"/>
        <v>15305</v>
      </c>
      <c r="I107" s="406">
        <f t="shared" si="44"/>
        <v>23</v>
      </c>
      <c r="J107" s="406">
        <f t="shared" si="44"/>
        <v>0.7931034483</v>
      </c>
      <c r="K107" s="406">
        <f t="shared" si="44"/>
        <v>26</v>
      </c>
      <c r="L107" s="406">
        <f t="shared" si="44"/>
        <v>23698.8</v>
      </c>
      <c r="M107" s="406">
        <f t="shared" si="44"/>
        <v>15772.8</v>
      </c>
      <c r="N107" s="406">
        <f t="shared" si="44"/>
        <v>0</v>
      </c>
      <c r="O107" s="406">
        <f t="shared" si="44"/>
        <v>0</v>
      </c>
      <c r="P107" s="406">
        <f t="shared" si="44"/>
        <v>22119</v>
      </c>
      <c r="Q107" s="406">
        <f t="shared" si="44"/>
        <v>0</v>
      </c>
      <c r="R107" s="407"/>
      <c r="S107" s="97"/>
      <c r="T107" s="168"/>
      <c r="U107" s="168"/>
      <c r="V107" s="362">
        <f t="shared" si="33"/>
        <v>0</v>
      </c>
      <c r="W107" s="109"/>
      <c r="X107" s="109"/>
      <c r="Y107" s="109"/>
      <c r="Z107" s="109"/>
      <c r="AA107" s="109"/>
    </row>
    <row r="108" ht="15.75" customHeight="1">
      <c r="A108" s="409"/>
      <c r="B108" s="408" t="s">
        <v>278</v>
      </c>
      <c r="C108" s="409"/>
      <c r="D108" s="459"/>
      <c r="E108" s="409"/>
      <c r="F108" s="422">
        <f t="shared" ref="F108:P108" si="45">F107+F86+F50+F29</f>
        <v>1256006.037</v>
      </c>
      <c r="G108" s="422">
        <f t="shared" si="45"/>
        <v>5781</v>
      </c>
      <c r="H108" s="422">
        <f t="shared" si="45"/>
        <v>1302044.377</v>
      </c>
      <c r="I108" s="422">
        <f t="shared" si="45"/>
        <v>7427</v>
      </c>
      <c r="J108" s="422">
        <f t="shared" si="45"/>
        <v>222.8716749</v>
      </c>
      <c r="K108" s="422">
        <f t="shared" si="45"/>
        <v>1482</v>
      </c>
      <c r="L108" s="422">
        <f t="shared" si="45"/>
        <v>1178826.131</v>
      </c>
      <c r="M108" s="422">
        <f t="shared" si="45"/>
        <v>25251.66737</v>
      </c>
      <c r="N108" s="422">
        <f t="shared" si="45"/>
        <v>0.001366120219</v>
      </c>
      <c r="O108" s="422">
        <f t="shared" si="45"/>
        <v>0.9084699454</v>
      </c>
      <c r="P108" s="422">
        <f t="shared" si="45"/>
        <v>1379224.282</v>
      </c>
      <c r="Q108" s="348"/>
      <c r="R108" s="109"/>
      <c r="S108" s="97"/>
      <c r="T108" s="168"/>
      <c r="U108" s="168"/>
      <c r="V108" s="362">
        <f t="shared" si="33"/>
        <v>0</v>
      </c>
      <c r="W108" s="109"/>
      <c r="X108" s="109"/>
      <c r="Y108" s="109"/>
      <c r="Z108" s="109"/>
      <c r="AA108" s="109"/>
    </row>
    <row r="109" ht="15.75" customHeight="1" outlineLevel="1">
      <c r="A109" s="408">
        <v>103.0</v>
      </c>
      <c r="B109" s="408" t="s">
        <v>6</v>
      </c>
      <c r="C109" s="409"/>
      <c r="D109" s="409"/>
      <c r="E109" s="409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60"/>
      <c r="S109" s="97"/>
      <c r="T109" s="168"/>
      <c r="U109" s="168"/>
      <c r="V109" s="362">
        <f t="shared" si="33"/>
        <v>0</v>
      </c>
      <c r="W109" s="461"/>
      <c r="X109" s="102"/>
      <c r="Y109" s="102"/>
      <c r="Z109" s="102"/>
      <c r="AA109" s="102"/>
    </row>
    <row r="110" ht="15.75" customHeight="1" outlineLevel="1">
      <c r="A110" s="431">
        <v>104.0</v>
      </c>
      <c r="B110" s="462" t="s">
        <v>279</v>
      </c>
      <c r="C110" s="463" t="s">
        <v>72</v>
      </c>
      <c r="D110" s="464">
        <v>50.0</v>
      </c>
      <c r="E110" s="370">
        <v>120.0</v>
      </c>
      <c r="F110" s="465">
        <f t="shared" ref="F110:F130" si="46">E110*D110</f>
        <v>6000</v>
      </c>
      <c r="G110" s="466">
        <f>SUMIF(PURCHASE!$E$3:$E$506,'INVONTERY FEB'!B110:B438,PURCHASE!$H$3:$H$506)</f>
        <v>0</v>
      </c>
      <c r="H110" s="467">
        <f>SUMIF(PURCHASE!$E$3:$E$506,'INVONTERY FEB'!B110:B465,PURCHASE!$I$3:$I$506)</f>
        <v>0</v>
      </c>
      <c r="I110" s="354">
        <f>ISSU!AL110</f>
        <v>0</v>
      </c>
      <c r="J110" s="411">
        <f t="shared" ref="J110:J130" si="47">I110/29</f>
        <v>0</v>
      </c>
      <c r="K110" s="380">
        <f t="shared" ref="K110:K130" si="48">E110+G110-I110</f>
        <v>120</v>
      </c>
      <c r="L110" s="467">
        <f t="shared" ref="L110:L130" si="49">K110*M110</f>
        <v>6000</v>
      </c>
      <c r="M110" s="464">
        <v>50.0</v>
      </c>
      <c r="N110" s="439">
        <f t="shared" ref="N110:N130" si="50">M110-D110</f>
        <v>0</v>
      </c>
      <c r="O110" s="439">
        <f t="shared" ref="O110:O130" si="51">N110*I110</f>
        <v>0</v>
      </c>
      <c r="P110" s="438">
        <f t="shared" ref="P110:P130" si="52">F110+H110-L110</f>
        <v>0</v>
      </c>
      <c r="Q110" s="468" t="s">
        <v>175</v>
      </c>
      <c r="R110" s="460"/>
      <c r="S110" s="97">
        <v>0.0</v>
      </c>
      <c r="T110" s="210"/>
      <c r="U110" s="210"/>
      <c r="V110" s="362">
        <f t="shared" si="33"/>
        <v>0</v>
      </c>
      <c r="W110" s="461"/>
      <c r="X110" s="102"/>
      <c r="Y110" s="102"/>
      <c r="Z110" s="102"/>
      <c r="AA110" s="102"/>
    </row>
    <row r="111" ht="15.75" customHeight="1" outlineLevel="1">
      <c r="A111" s="431">
        <v>105.0</v>
      </c>
      <c r="B111" s="462" t="s">
        <v>280</v>
      </c>
      <c r="C111" s="463" t="s">
        <v>72</v>
      </c>
      <c r="D111" s="431">
        <v>31.0</v>
      </c>
      <c r="E111" s="370">
        <v>1105.0</v>
      </c>
      <c r="F111" s="465">
        <f t="shared" si="46"/>
        <v>34255</v>
      </c>
      <c r="G111" s="466">
        <f>SUMIF(PURCHASE!$E$3:$E$506,'INVONTERY FEB'!B111:B439,PURCHASE!$H$3:$H$506)</f>
        <v>2000</v>
      </c>
      <c r="H111" s="467">
        <f>SUMIF(PURCHASE!$E$3:$E$506,'INVONTERY FEB'!B111:B466,PURCHASE!$I$3:$I$506)</f>
        <v>63000</v>
      </c>
      <c r="I111" s="354">
        <f>ISSU!AL111</f>
        <v>1150</v>
      </c>
      <c r="J111" s="411">
        <f t="shared" si="47"/>
        <v>39.65517241</v>
      </c>
      <c r="K111" s="380">
        <f t="shared" si="48"/>
        <v>1955</v>
      </c>
      <c r="L111" s="467">
        <f t="shared" si="49"/>
        <v>60605</v>
      </c>
      <c r="M111" s="431">
        <v>31.0</v>
      </c>
      <c r="N111" s="439">
        <f t="shared" si="50"/>
        <v>0</v>
      </c>
      <c r="O111" s="439">
        <f t="shared" si="51"/>
        <v>0</v>
      </c>
      <c r="P111" s="438">
        <f t="shared" si="52"/>
        <v>36650</v>
      </c>
      <c r="Q111" s="468" t="s">
        <v>175</v>
      </c>
      <c r="R111" s="460"/>
      <c r="S111" s="97">
        <f>376+36</f>
        <v>412</v>
      </c>
      <c r="T111" s="383">
        <v>50.0</v>
      </c>
      <c r="U111" s="383">
        <v>50.0</v>
      </c>
      <c r="V111" s="362">
        <f t="shared" si="33"/>
        <v>512</v>
      </c>
      <c r="W111" s="461"/>
      <c r="X111" s="102"/>
      <c r="Y111" s="102"/>
      <c r="Z111" s="102"/>
      <c r="AA111" s="102"/>
    </row>
    <row r="112" ht="15.75" customHeight="1" outlineLevel="1">
      <c r="A112" s="431">
        <v>106.0</v>
      </c>
      <c r="B112" s="462" t="s">
        <v>281</v>
      </c>
      <c r="C112" s="463" t="s">
        <v>72</v>
      </c>
      <c r="D112" s="469">
        <v>35.0</v>
      </c>
      <c r="E112" s="370">
        <v>0.0</v>
      </c>
      <c r="F112" s="465">
        <f t="shared" si="46"/>
        <v>0</v>
      </c>
      <c r="G112" s="466">
        <f>SUMIF(PURCHASE!$E$3:$E$506,'INVONTERY FEB'!B112:B440,PURCHASE!$H$3:$H$506)</f>
        <v>0</v>
      </c>
      <c r="H112" s="467">
        <f>SUMIF(PURCHASE!$E$3:$E$506,'INVONTERY FEB'!B112:B467,PURCHASE!$I$3:$I$506)</f>
        <v>0</v>
      </c>
      <c r="I112" s="354">
        <f>ISSU!AL112</f>
        <v>0</v>
      </c>
      <c r="J112" s="411">
        <f t="shared" si="47"/>
        <v>0</v>
      </c>
      <c r="K112" s="380">
        <f t="shared" si="48"/>
        <v>0</v>
      </c>
      <c r="L112" s="467">
        <f t="shared" si="49"/>
        <v>0</v>
      </c>
      <c r="M112" s="469">
        <v>35.0</v>
      </c>
      <c r="N112" s="439">
        <f t="shared" si="50"/>
        <v>0</v>
      </c>
      <c r="O112" s="439">
        <f t="shared" si="51"/>
        <v>0</v>
      </c>
      <c r="P112" s="438">
        <f t="shared" si="52"/>
        <v>0</v>
      </c>
      <c r="Q112" s="468" t="s">
        <v>175</v>
      </c>
      <c r="R112" s="460"/>
      <c r="S112" s="97">
        <v>0.0</v>
      </c>
      <c r="T112" s="168"/>
      <c r="U112" s="168"/>
      <c r="V112" s="362">
        <f t="shared" si="33"/>
        <v>0</v>
      </c>
      <c r="W112" s="461"/>
      <c r="X112" s="102"/>
      <c r="Y112" s="102"/>
      <c r="Z112" s="102"/>
      <c r="AA112" s="102"/>
    </row>
    <row r="113" ht="15.75" customHeight="1" outlineLevel="1">
      <c r="A113" s="431">
        <v>107.0</v>
      </c>
      <c r="B113" s="462" t="s">
        <v>113</v>
      </c>
      <c r="C113" s="463" t="s">
        <v>190</v>
      </c>
      <c r="D113" s="469">
        <v>32.0</v>
      </c>
      <c r="E113" s="370">
        <v>0.0</v>
      </c>
      <c r="F113" s="465">
        <f t="shared" si="46"/>
        <v>0</v>
      </c>
      <c r="G113" s="466">
        <f>SUMIF(PURCHASE!$E$3:$E$506,'INVONTERY FEB'!B113:B441,PURCHASE!$H$3:$H$506)</f>
        <v>20</v>
      </c>
      <c r="H113" s="467">
        <f>SUMIF(PURCHASE!$E$3:$E$506,'INVONTERY FEB'!B113:B468,PURCHASE!$I$3:$I$506)</f>
        <v>700</v>
      </c>
      <c r="I113" s="354">
        <f>ISSU!AL113</f>
        <v>0</v>
      </c>
      <c r="J113" s="411">
        <f t="shared" si="47"/>
        <v>0</v>
      </c>
      <c r="K113" s="380">
        <f t="shared" si="48"/>
        <v>20</v>
      </c>
      <c r="L113" s="467">
        <f t="shared" si="49"/>
        <v>640</v>
      </c>
      <c r="M113" s="469">
        <v>32.0</v>
      </c>
      <c r="N113" s="439">
        <f t="shared" si="50"/>
        <v>0</v>
      </c>
      <c r="O113" s="439">
        <f t="shared" si="51"/>
        <v>0</v>
      </c>
      <c r="P113" s="438">
        <f t="shared" si="52"/>
        <v>60</v>
      </c>
      <c r="Q113" s="468" t="s">
        <v>175</v>
      </c>
      <c r="R113" s="460"/>
      <c r="S113" s="97">
        <v>0.0</v>
      </c>
      <c r="T113" s="168"/>
      <c r="U113" s="168"/>
      <c r="V113" s="362">
        <f t="shared" si="33"/>
        <v>0</v>
      </c>
      <c r="W113" s="461"/>
      <c r="X113" s="102"/>
      <c r="Y113" s="102"/>
      <c r="Z113" s="102"/>
      <c r="AA113" s="102"/>
    </row>
    <row r="114" ht="15.75" customHeight="1" outlineLevel="1">
      <c r="A114" s="431">
        <v>108.0</v>
      </c>
      <c r="B114" s="462" t="s">
        <v>282</v>
      </c>
      <c r="C114" s="463" t="s">
        <v>72</v>
      </c>
      <c r="D114" s="469">
        <v>40.0</v>
      </c>
      <c r="E114" s="370">
        <v>15.0</v>
      </c>
      <c r="F114" s="465">
        <f t="shared" si="46"/>
        <v>600</v>
      </c>
      <c r="G114" s="466">
        <f>SUMIF(PURCHASE!$E$3:$E$506,'INVONTERY FEB'!B114:B442,PURCHASE!$H$3:$H$506)</f>
        <v>20</v>
      </c>
      <c r="H114" s="467">
        <f>SUMIF(PURCHASE!$E$3:$E$506,'INVONTERY FEB'!B114:B469,PURCHASE!$I$3:$I$506)</f>
        <v>800</v>
      </c>
      <c r="I114" s="354">
        <f>ISSU!AL114</f>
        <v>15</v>
      </c>
      <c r="J114" s="411">
        <f t="shared" si="47"/>
        <v>0.5172413793</v>
      </c>
      <c r="K114" s="380">
        <f t="shared" si="48"/>
        <v>20</v>
      </c>
      <c r="L114" s="467">
        <f t="shared" si="49"/>
        <v>800</v>
      </c>
      <c r="M114" s="469">
        <v>40.0</v>
      </c>
      <c r="N114" s="439">
        <f t="shared" si="50"/>
        <v>0</v>
      </c>
      <c r="O114" s="439">
        <f t="shared" si="51"/>
        <v>0</v>
      </c>
      <c r="P114" s="438">
        <f t="shared" si="52"/>
        <v>600</v>
      </c>
      <c r="Q114" s="468" t="s">
        <v>175</v>
      </c>
      <c r="R114" s="460"/>
      <c r="S114" s="97">
        <v>0.0</v>
      </c>
      <c r="T114" s="168"/>
      <c r="U114" s="168"/>
      <c r="V114" s="362">
        <f t="shared" si="33"/>
        <v>0</v>
      </c>
      <c r="W114" s="461"/>
      <c r="X114" s="102"/>
      <c r="Y114" s="102"/>
      <c r="Z114" s="102"/>
      <c r="AA114" s="102"/>
    </row>
    <row r="115" ht="15.75" customHeight="1" outlineLevel="1">
      <c r="A115" s="431">
        <v>109.0</v>
      </c>
      <c r="B115" s="462" t="s">
        <v>283</v>
      </c>
      <c r="C115" s="463" t="s">
        <v>72</v>
      </c>
      <c r="D115" s="469">
        <v>50.0</v>
      </c>
      <c r="E115" s="370">
        <v>0.0</v>
      </c>
      <c r="F115" s="465">
        <f t="shared" si="46"/>
        <v>0</v>
      </c>
      <c r="G115" s="466">
        <f>SUMIF(PURCHASE!$E$3:$E$506,'INVONTERY FEB'!B93:B359,PURCHASE!$H$3:$H$506)</f>
        <v>0</v>
      </c>
      <c r="H115" s="467">
        <f>SUMIF(PURCHASE!$E$3:$E$506,'INVONTERY FEB'!B93:B354,PURCHASE!$I$3:$I$506)</f>
        <v>0</v>
      </c>
      <c r="I115" s="354">
        <f>ISSU!AL115</f>
        <v>0</v>
      </c>
      <c r="J115" s="411">
        <f t="shared" si="47"/>
        <v>0</v>
      </c>
      <c r="K115" s="380">
        <f t="shared" si="48"/>
        <v>0</v>
      </c>
      <c r="L115" s="467">
        <f t="shared" si="49"/>
        <v>0</v>
      </c>
      <c r="M115" s="469">
        <v>50.0</v>
      </c>
      <c r="N115" s="439">
        <f t="shared" si="50"/>
        <v>0</v>
      </c>
      <c r="O115" s="439">
        <f t="shared" si="51"/>
        <v>0</v>
      </c>
      <c r="P115" s="438">
        <f t="shared" si="52"/>
        <v>0</v>
      </c>
      <c r="Q115" s="468" t="s">
        <v>175</v>
      </c>
      <c r="R115" s="460"/>
      <c r="S115" s="97">
        <v>0.0</v>
      </c>
      <c r="T115" s="168"/>
      <c r="U115" s="168"/>
      <c r="V115" s="362">
        <f t="shared" si="33"/>
        <v>0</v>
      </c>
      <c r="W115" s="461"/>
      <c r="X115" s="102"/>
      <c r="Y115" s="102"/>
      <c r="Z115" s="102"/>
      <c r="AA115" s="102"/>
    </row>
    <row r="116" ht="15.75" customHeight="1" outlineLevel="1">
      <c r="A116" s="431">
        <v>110.0</v>
      </c>
      <c r="B116" s="462" t="s">
        <v>284</v>
      </c>
      <c r="C116" s="463" t="s">
        <v>72</v>
      </c>
      <c r="D116" s="469">
        <v>50.0</v>
      </c>
      <c r="E116" s="370">
        <v>0.0</v>
      </c>
      <c r="F116" s="465">
        <f t="shared" si="46"/>
        <v>0</v>
      </c>
      <c r="G116" s="466">
        <f>SUMIF(PURCHASE!$E$3:$E$506,'INVONTERY FEB'!B116:B453,PURCHASE!$H$3:$H$506)</f>
        <v>20</v>
      </c>
      <c r="H116" s="467">
        <f>SUMIF(PURCHASE!$E$3:$E$506,'INVONTERY FEB'!B116:B453,PURCHASE!$I$3:$I$506)</f>
        <v>1100</v>
      </c>
      <c r="I116" s="354">
        <f>ISSU!AL116</f>
        <v>0</v>
      </c>
      <c r="J116" s="411">
        <f t="shared" si="47"/>
        <v>0</v>
      </c>
      <c r="K116" s="380">
        <f t="shared" si="48"/>
        <v>20</v>
      </c>
      <c r="L116" s="467">
        <f t="shared" si="49"/>
        <v>1000</v>
      </c>
      <c r="M116" s="469">
        <v>50.0</v>
      </c>
      <c r="N116" s="439">
        <f t="shared" si="50"/>
        <v>0</v>
      </c>
      <c r="O116" s="439">
        <f t="shared" si="51"/>
        <v>0</v>
      </c>
      <c r="P116" s="438">
        <f t="shared" si="52"/>
        <v>100</v>
      </c>
      <c r="Q116" s="468" t="s">
        <v>175</v>
      </c>
      <c r="R116" s="460"/>
      <c r="S116" s="97">
        <v>0.0</v>
      </c>
      <c r="T116" s="168"/>
      <c r="U116" s="168"/>
      <c r="V116" s="362">
        <f t="shared" si="33"/>
        <v>0</v>
      </c>
      <c r="W116" s="461"/>
      <c r="X116" s="102"/>
      <c r="Y116" s="102"/>
      <c r="Z116" s="102"/>
      <c r="AA116" s="102"/>
    </row>
    <row r="117" ht="15.75" customHeight="1" outlineLevel="1">
      <c r="A117" s="431">
        <v>111.0</v>
      </c>
      <c r="B117" s="462" t="s">
        <v>285</v>
      </c>
      <c r="C117" s="463" t="s">
        <v>72</v>
      </c>
      <c r="D117" s="469">
        <v>50.0</v>
      </c>
      <c r="E117" s="370">
        <v>0.0</v>
      </c>
      <c r="F117" s="465">
        <f t="shared" si="46"/>
        <v>0</v>
      </c>
      <c r="G117" s="466">
        <f>SUMIF(PURCHASE!$E$3:$E$506,'INVONTERY FEB'!B117:B454,PURCHASE!$H$3:$H$506)</f>
        <v>20</v>
      </c>
      <c r="H117" s="467">
        <f>SUMIF(PURCHASE!$E$3:$E$506,'INVONTERY FEB'!B117:B454,PURCHASE!$I$3:$I$506)</f>
        <v>1300</v>
      </c>
      <c r="I117" s="354">
        <f>ISSU!AL117</f>
        <v>0</v>
      </c>
      <c r="J117" s="411">
        <f t="shared" si="47"/>
        <v>0</v>
      </c>
      <c r="K117" s="380">
        <f t="shared" si="48"/>
        <v>20</v>
      </c>
      <c r="L117" s="467">
        <f t="shared" si="49"/>
        <v>1000</v>
      </c>
      <c r="M117" s="469">
        <v>50.0</v>
      </c>
      <c r="N117" s="439">
        <f t="shared" si="50"/>
        <v>0</v>
      </c>
      <c r="O117" s="439">
        <f t="shared" si="51"/>
        <v>0</v>
      </c>
      <c r="P117" s="438">
        <f t="shared" si="52"/>
        <v>300</v>
      </c>
      <c r="Q117" s="468" t="s">
        <v>175</v>
      </c>
      <c r="R117" s="460"/>
      <c r="S117" s="97">
        <v>0.0</v>
      </c>
      <c r="T117" s="210"/>
      <c r="U117" s="210"/>
      <c r="V117" s="362">
        <f t="shared" si="33"/>
        <v>0</v>
      </c>
      <c r="W117" s="461"/>
      <c r="X117" s="102"/>
      <c r="Y117" s="102"/>
      <c r="Z117" s="102"/>
      <c r="AA117" s="102"/>
    </row>
    <row r="118" ht="15.75" customHeight="1" outlineLevel="1">
      <c r="A118" s="431">
        <v>112.0</v>
      </c>
      <c r="B118" s="462" t="s">
        <v>286</v>
      </c>
      <c r="C118" s="463" t="s">
        <v>72</v>
      </c>
      <c r="D118" s="469">
        <f>8100/18</f>
        <v>450</v>
      </c>
      <c r="E118" s="370">
        <v>17.0</v>
      </c>
      <c r="F118" s="465">
        <f t="shared" si="46"/>
        <v>7650</v>
      </c>
      <c r="G118" s="466">
        <f>SUMIF(PURCHASE!$E$3:$E$506,'INVONTERY FEB'!B118:B455,PURCHASE!$H$3:$H$506)</f>
        <v>0</v>
      </c>
      <c r="H118" s="467">
        <f>SUMIF(PURCHASE!$E$3:$E$506,'INVONTERY FEB'!B118:B455,PURCHASE!$I$3:$I$506)</f>
        <v>0</v>
      </c>
      <c r="I118" s="354">
        <f>ISSU!AL118</f>
        <v>2</v>
      </c>
      <c r="J118" s="411">
        <f t="shared" si="47"/>
        <v>0.06896551724</v>
      </c>
      <c r="K118" s="372">
        <f t="shared" si="48"/>
        <v>15</v>
      </c>
      <c r="L118" s="467">
        <f t="shared" si="49"/>
        <v>6750</v>
      </c>
      <c r="M118" s="469">
        <f>8100/18</f>
        <v>450</v>
      </c>
      <c r="N118" s="439">
        <f t="shared" si="50"/>
        <v>0</v>
      </c>
      <c r="O118" s="439">
        <f t="shared" si="51"/>
        <v>0</v>
      </c>
      <c r="P118" s="438">
        <f t="shared" si="52"/>
        <v>900</v>
      </c>
      <c r="Q118" s="468" t="s">
        <v>175</v>
      </c>
      <c r="R118" s="460"/>
      <c r="S118" s="97">
        <v>0.0</v>
      </c>
      <c r="T118" s="168"/>
      <c r="U118" s="168"/>
      <c r="V118" s="362">
        <f t="shared" si="33"/>
        <v>0</v>
      </c>
      <c r="W118" s="461"/>
      <c r="X118" s="102"/>
      <c r="Y118" s="102"/>
      <c r="Z118" s="102"/>
      <c r="AA118" s="102"/>
    </row>
    <row r="119" ht="15.75" customHeight="1" outlineLevel="1">
      <c r="A119" s="431">
        <v>113.0</v>
      </c>
      <c r="B119" s="462" t="s">
        <v>287</v>
      </c>
      <c r="C119" s="463" t="s">
        <v>72</v>
      </c>
      <c r="D119" s="469">
        <v>457.0</v>
      </c>
      <c r="E119" s="370">
        <v>3.0</v>
      </c>
      <c r="F119" s="465">
        <f t="shared" si="46"/>
        <v>1371</v>
      </c>
      <c r="G119" s="466">
        <f>SUMIF(PURCHASE!$E$3:$E$506,'INVONTERY FEB'!B119:B456,PURCHASE!$H$3:$H$506)</f>
        <v>4</v>
      </c>
      <c r="H119" s="467">
        <f>SUMIF(PURCHASE!$E$3:$E$506,'INVONTERY FEB'!B119:B456,PURCHASE!$I$3:$I$506)</f>
        <v>2000</v>
      </c>
      <c r="I119" s="354">
        <f>ISSU!AL119</f>
        <v>0</v>
      </c>
      <c r="J119" s="411">
        <f t="shared" si="47"/>
        <v>0</v>
      </c>
      <c r="K119" s="380">
        <f t="shared" si="48"/>
        <v>7</v>
      </c>
      <c r="L119" s="467">
        <f t="shared" si="49"/>
        <v>3199</v>
      </c>
      <c r="M119" s="469">
        <v>457.0</v>
      </c>
      <c r="N119" s="439">
        <f t="shared" si="50"/>
        <v>0</v>
      </c>
      <c r="O119" s="439">
        <f t="shared" si="51"/>
        <v>0</v>
      </c>
      <c r="P119" s="438">
        <f t="shared" si="52"/>
        <v>172</v>
      </c>
      <c r="Q119" s="468" t="s">
        <v>175</v>
      </c>
      <c r="R119" s="460"/>
      <c r="S119" s="97">
        <v>33.0</v>
      </c>
      <c r="T119" s="168"/>
      <c r="U119" s="168"/>
      <c r="V119" s="362">
        <f t="shared" si="33"/>
        <v>33</v>
      </c>
      <c r="W119" s="461"/>
      <c r="X119" s="102"/>
      <c r="Y119" s="102"/>
      <c r="Z119" s="102"/>
      <c r="AA119" s="102"/>
    </row>
    <row r="120" ht="15.75" customHeight="1" outlineLevel="1">
      <c r="A120" s="431">
        <v>114.0</v>
      </c>
      <c r="B120" s="462" t="s">
        <v>288</v>
      </c>
      <c r="C120" s="463" t="s">
        <v>190</v>
      </c>
      <c r="D120" s="470">
        <v>1800.0</v>
      </c>
      <c r="E120" s="370">
        <v>0.0</v>
      </c>
      <c r="F120" s="465">
        <f t="shared" si="46"/>
        <v>0</v>
      </c>
      <c r="G120" s="466">
        <f>SUMIF(PURCHASE!$E$3:$E$506,'INVONTERY FEB'!B120:B444,PURCHASE!$H$3:$H$506)</f>
        <v>0</v>
      </c>
      <c r="H120" s="467">
        <f>SUMIF(PURCHASE!$E$3:$E$506,'INVONTERY FEB'!B120:B471,PURCHASE!$I$3:$I$506)</f>
        <v>0</v>
      </c>
      <c r="I120" s="354">
        <f>ISSU!AL120</f>
        <v>0</v>
      </c>
      <c r="J120" s="411">
        <f t="shared" si="47"/>
        <v>0</v>
      </c>
      <c r="K120" s="380">
        <f t="shared" si="48"/>
        <v>0</v>
      </c>
      <c r="L120" s="467">
        <f t="shared" si="49"/>
        <v>0</v>
      </c>
      <c r="M120" s="470">
        <v>1800.0</v>
      </c>
      <c r="N120" s="439">
        <f t="shared" si="50"/>
        <v>0</v>
      </c>
      <c r="O120" s="439">
        <f t="shared" si="51"/>
        <v>0</v>
      </c>
      <c r="P120" s="438">
        <f t="shared" si="52"/>
        <v>0</v>
      </c>
      <c r="Q120" s="468" t="s">
        <v>175</v>
      </c>
      <c r="R120" s="460"/>
      <c r="S120" s="97">
        <v>0.0</v>
      </c>
      <c r="T120" s="168"/>
      <c r="U120" s="168"/>
      <c r="V120" s="362">
        <f t="shared" si="33"/>
        <v>0</v>
      </c>
      <c r="W120" s="461"/>
      <c r="X120" s="102"/>
      <c r="Y120" s="102"/>
      <c r="Z120" s="102"/>
      <c r="AA120" s="102"/>
    </row>
    <row r="121" ht="15.75" customHeight="1" outlineLevel="1">
      <c r="A121" s="431">
        <v>115.0</v>
      </c>
      <c r="B121" s="462" t="s">
        <v>289</v>
      </c>
      <c r="C121" s="463" t="s">
        <v>172</v>
      </c>
      <c r="D121" s="469">
        <v>3500.0</v>
      </c>
      <c r="E121" s="370">
        <v>0.0</v>
      </c>
      <c r="F121" s="465">
        <f t="shared" si="46"/>
        <v>0</v>
      </c>
      <c r="G121" s="466">
        <f>SUMIF(PURCHASE!$E$3:$E$506,'INVONTERY FEB'!B121:B446,PURCHASE!$H$3:$H$506)</f>
        <v>0</v>
      </c>
      <c r="H121" s="467">
        <f>SUMIF(PURCHASE!$E$3:$E$506,'INVONTERY FEB'!B121:B473,PURCHASE!$I$3:$I$506)</f>
        <v>0</v>
      </c>
      <c r="I121" s="354">
        <f>ISSU!AL121</f>
        <v>0</v>
      </c>
      <c r="J121" s="411">
        <f t="shared" si="47"/>
        <v>0</v>
      </c>
      <c r="K121" s="380">
        <f t="shared" si="48"/>
        <v>0</v>
      </c>
      <c r="L121" s="467">
        <f t="shared" si="49"/>
        <v>0</v>
      </c>
      <c r="M121" s="469">
        <v>3500.0</v>
      </c>
      <c r="N121" s="439">
        <f t="shared" si="50"/>
        <v>0</v>
      </c>
      <c r="O121" s="439">
        <f t="shared" si="51"/>
        <v>0</v>
      </c>
      <c r="P121" s="438">
        <f t="shared" si="52"/>
        <v>0</v>
      </c>
      <c r="Q121" s="468" t="s">
        <v>175</v>
      </c>
      <c r="R121" s="460"/>
      <c r="S121" s="97">
        <v>0.0</v>
      </c>
      <c r="T121" s="168"/>
      <c r="U121" s="168"/>
      <c r="V121" s="362">
        <f t="shared" si="33"/>
        <v>0</v>
      </c>
      <c r="W121" s="461"/>
      <c r="X121" s="102"/>
      <c r="Y121" s="102"/>
      <c r="Z121" s="102"/>
      <c r="AA121" s="102"/>
    </row>
    <row r="122" ht="15.75" customHeight="1" outlineLevel="1">
      <c r="A122" s="431">
        <v>116.0</v>
      </c>
      <c r="B122" s="462" t="s">
        <v>114</v>
      </c>
      <c r="C122" s="463" t="s">
        <v>290</v>
      </c>
      <c r="D122" s="469">
        <v>7500.0</v>
      </c>
      <c r="E122" s="370">
        <v>1.0</v>
      </c>
      <c r="F122" s="465">
        <f t="shared" si="46"/>
        <v>7500</v>
      </c>
      <c r="G122" s="466">
        <f>SUMIF(PURCHASE!$E$3:$E$506,'INVONTERY FEB'!B122:B447,PURCHASE!$H$3:$H$506)</f>
        <v>1</v>
      </c>
      <c r="H122" s="467">
        <f>SUMIF(PURCHASE!$E$3:$E$506,'INVONTERY FEB'!B122:B474,PURCHASE!$I$3:$I$506)</f>
        <v>7000</v>
      </c>
      <c r="I122" s="354">
        <f>ISSU!AL122</f>
        <v>1</v>
      </c>
      <c r="J122" s="411">
        <f t="shared" si="47"/>
        <v>0.03448275862</v>
      </c>
      <c r="K122" s="372">
        <f t="shared" si="48"/>
        <v>1</v>
      </c>
      <c r="L122" s="467">
        <f t="shared" si="49"/>
        <v>7500</v>
      </c>
      <c r="M122" s="469">
        <v>7500.0</v>
      </c>
      <c r="N122" s="439">
        <f t="shared" si="50"/>
        <v>0</v>
      </c>
      <c r="O122" s="439">
        <f t="shared" si="51"/>
        <v>0</v>
      </c>
      <c r="P122" s="438">
        <f t="shared" si="52"/>
        <v>7000</v>
      </c>
      <c r="Q122" s="468" t="s">
        <v>175</v>
      </c>
      <c r="R122" s="460"/>
      <c r="S122" s="97">
        <v>0.0</v>
      </c>
      <c r="T122" s="168"/>
      <c r="U122" s="168"/>
      <c r="V122" s="362">
        <f t="shared" si="33"/>
        <v>0</v>
      </c>
      <c r="W122" s="461"/>
      <c r="X122" s="102"/>
      <c r="Y122" s="102"/>
      <c r="Z122" s="102"/>
      <c r="AA122" s="102"/>
    </row>
    <row r="123" ht="15.75" customHeight="1" outlineLevel="1">
      <c r="A123" s="431">
        <v>117.0</v>
      </c>
      <c r="B123" s="462" t="s">
        <v>291</v>
      </c>
      <c r="C123" s="463" t="s">
        <v>190</v>
      </c>
      <c r="D123" s="469">
        <v>100.0</v>
      </c>
      <c r="E123" s="370">
        <v>9.0</v>
      </c>
      <c r="F123" s="465">
        <f t="shared" si="46"/>
        <v>900</v>
      </c>
      <c r="G123" s="466">
        <f>SUMIF(PURCHASE!$E$3:$E$506,'INVONTERY FEB'!B123:B448,PURCHASE!$H$3:$H$506)</f>
        <v>50</v>
      </c>
      <c r="H123" s="467">
        <f>SUMIF(PURCHASE!$E$3:$E$506,'INVONTERY FEB'!B123:B475,PURCHASE!$I$3:$I$506)</f>
        <v>5000</v>
      </c>
      <c r="I123" s="354">
        <f>ISSU!AL123</f>
        <v>29</v>
      </c>
      <c r="J123" s="411">
        <f t="shared" si="47"/>
        <v>1</v>
      </c>
      <c r="K123" s="372">
        <f t="shared" si="48"/>
        <v>30</v>
      </c>
      <c r="L123" s="467">
        <f t="shared" si="49"/>
        <v>3000</v>
      </c>
      <c r="M123" s="469">
        <v>100.0</v>
      </c>
      <c r="N123" s="439">
        <f t="shared" si="50"/>
        <v>0</v>
      </c>
      <c r="O123" s="439">
        <f t="shared" si="51"/>
        <v>0</v>
      </c>
      <c r="P123" s="438">
        <f t="shared" si="52"/>
        <v>2900</v>
      </c>
      <c r="Q123" s="468"/>
      <c r="R123" s="460"/>
      <c r="S123" s="97">
        <v>29.0</v>
      </c>
      <c r="T123" s="168"/>
      <c r="U123" s="168"/>
      <c r="V123" s="362">
        <f t="shared" si="33"/>
        <v>29</v>
      </c>
      <c r="W123" s="461"/>
      <c r="X123" s="102"/>
      <c r="Y123" s="102"/>
      <c r="Z123" s="102"/>
      <c r="AA123" s="102"/>
    </row>
    <row r="124" ht="15.75" customHeight="1" outlineLevel="1">
      <c r="A124" s="431">
        <v>118.0</v>
      </c>
      <c r="B124" s="462" t="s">
        <v>292</v>
      </c>
      <c r="C124" s="463" t="s">
        <v>72</v>
      </c>
      <c r="D124" s="470">
        <v>9.0</v>
      </c>
      <c r="E124" s="370">
        <v>4350.0</v>
      </c>
      <c r="F124" s="465">
        <f t="shared" si="46"/>
        <v>39150</v>
      </c>
      <c r="G124" s="466">
        <f>SUMIF(PURCHASE!$E$3:$E$506,'INVONTERY FEB'!B124:B449,PURCHASE!$H$3:$H$506)</f>
        <v>0</v>
      </c>
      <c r="H124" s="467">
        <f>SUMIF(PURCHASE!$E$3:$E$506,'INVONTERY FEB'!B124:B476,PURCHASE!$I$3:$I$506)</f>
        <v>0</v>
      </c>
      <c r="I124" s="354">
        <f>ISSU!AL124</f>
        <v>550</v>
      </c>
      <c r="J124" s="411">
        <f t="shared" si="47"/>
        <v>18.96551724</v>
      </c>
      <c r="K124" s="380">
        <f t="shared" si="48"/>
        <v>3800</v>
      </c>
      <c r="L124" s="467">
        <f t="shared" si="49"/>
        <v>34200</v>
      </c>
      <c r="M124" s="470">
        <v>9.0</v>
      </c>
      <c r="N124" s="439">
        <f t="shared" si="50"/>
        <v>0</v>
      </c>
      <c r="O124" s="439">
        <f t="shared" si="51"/>
        <v>0</v>
      </c>
      <c r="P124" s="438">
        <f t="shared" si="52"/>
        <v>4950</v>
      </c>
      <c r="Q124" s="468"/>
      <c r="R124" s="460"/>
      <c r="S124" s="97">
        <f>44*50</f>
        <v>2200</v>
      </c>
      <c r="T124" s="383"/>
      <c r="U124" s="168">
        <v>100.0</v>
      </c>
      <c r="V124" s="362">
        <f t="shared" si="33"/>
        <v>2300</v>
      </c>
      <c r="W124" s="461"/>
      <c r="X124" s="102"/>
      <c r="Y124" s="102"/>
      <c r="Z124" s="102"/>
      <c r="AA124" s="102"/>
    </row>
    <row r="125" ht="15.75" customHeight="1" outlineLevel="1">
      <c r="A125" s="431">
        <v>119.0</v>
      </c>
      <c r="B125" s="463" t="s">
        <v>293</v>
      </c>
      <c r="C125" s="463" t="s">
        <v>190</v>
      </c>
      <c r="D125" s="470">
        <v>150.0</v>
      </c>
      <c r="E125" s="370">
        <v>0.0</v>
      </c>
      <c r="F125" s="465">
        <f t="shared" si="46"/>
        <v>0</v>
      </c>
      <c r="G125" s="466">
        <f>SUMIF(PURCHASE!$E$3:$E$506,'INVONTERY FEB'!B125:B450,PURCHASE!$H$3:$H$506)</f>
        <v>7</v>
      </c>
      <c r="H125" s="467">
        <f>SUMIF(PURCHASE!$E$3:$E$506,'INVONTERY FEB'!B125:B477,PURCHASE!$I$3:$I$506)</f>
        <v>1400</v>
      </c>
      <c r="I125" s="354">
        <f>ISSU!AL125</f>
        <v>0</v>
      </c>
      <c r="J125" s="411">
        <f t="shared" si="47"/>
        <v>0</v>
      </c>
      <c r="K125" s="380">
        <f t="shared" si="48"/>
        <v>7</v>
      </c>
      <c r="L125" s="467">
        <f t="shared" si="49"/>
        <v>1050</v>
      </c>
      <c r="M125" s="470">
        <v>150.0</v>
      </c>
      <c r="N125" s="439">
        <f t="shared" si="50"/>
        <v>0</v>
      </c>
      <c r="O125" s="439">
        <f t="shared" si="51"/>
        <v>0</v>
      </c>
      <c r="P125" s="438">
        <f t="shared" si="52"/>
        <v>350</v>
      </c>
      <c r="Q125" s="468"/>
      <c r="R125" s="460"/>
      <c r="S125" s="97"/>
      <c r="T125" s="168"/>
      <c r="U125" s="168"/>
      <c r="V125" s="362">
        <f t="shared" si="33"/>
        <v>0</v>
      </c>
      <c r="W125" s="461"/>
      <c r="X125" s="102"/>
      <c r="Y125" s="102"/>
      <c r="Z125" s="102"/>
      <c r="AA125" s="102"/>
    </row>
    <row r="126" ht="15.75" customHeight="1" outlineLevel="1">
      <c r="A126" s="431">
        <v>120.0</v>
      </c>
      <c r="B126" s="462" t="s">
        <v>294</v>
      </c>
      <c r="C126" s="463" t="s">
        <v>72</v>
      </c>
      <c r="D126" s="470">
        <v>84.0</v>
      </c>
      <c r="E126" s="370">
        <v>0.0</v>
      </c>
      <c r="F126" s="465">
        <f t="shared" si="46"/>
        <v>0</v>
      </c>
      <c r="G126" s="466">
        <f>SUMIF(PURCHASE!$E$3:$E$506,'INVONTERY FEB'!B126:B451,PURCHASE!$H$3:$H$506)</f>
        <v>0</v>
      </c>
      <c r="H126" s="467">
        <f>SUMIF(PURCHASE!$E$3:$E$506,'INVONTERY FEB'!B126:B478,PURCHASE!$I$3:$I$506)</f>
        <v>0</v>
      </c>
      <c r="I126" s="354">
        <f>ISSU!AL126</f>
        <v>0</v>
      </c>
      <c r="J126" s="411">
        <f t="shared" si="47"/>
        <v>0</v>
      </c>
      <c r="K126" s="380">
        <f t="shared" si="48"/>
        <v>0</v>
      </c>
      <c r="L126" s="467">
        <f t="shared" si="49"/>
        <v>0</v>
      </c>
      <c r="M126" s="470">
        <v>84.0</v>
      </c>
      <c r="N126" s="439">
        <f t="shared" si="50"/>
        <v>0</v>
      </c>
      <c r="O126" s="439">
        <f t="shared" si="51"/>
        <v>0</v>
      </c>
      <c r="P126" s="438">
        <f t="shared" si="52"/>
        <v>0</v>
      </c>
      <c r="Q126" s="468"/>
      <c r="R126" s="460"/>
      <c r="S126" s="97"/>
      <c r="T126" s="168"/>
      <c r="U126" s="168"/>
      <c r="V126" s="362">
        <f t="shared" si="33"/>
        <v>0</v>
      </c>
      <c r="W126" s="461"/>
      <c r="X126" s="102"/>
      <c r="Y126" s="102"/>
      <c r="Z126" s="102"/>
      <c r="AA126" s="102"/>
    </row>
    <row r="127" ht="15.75" customHeight="1" outlineLevel="1">
      <c r="A127" s="431">
        <v>121.0</v>
      </c>
      <c r="B127" s="462" t="s">
        <v>295</v>
      </c>
      <c r="C127" s="463" t="s">
        <v>190</v>
      </c>
      <c r="D127" s="470">
        <v>150.0</v>
      </c>
      <c r="E127" s="370">
        <v>0.0</v>
      </c>
      <c r="F127" s="465">
        <f t="shared" si="46"/>
        <v>0</v>
      </c>
      <c r="G127" s="466">
        <f>SUMIF(PURCHASE!$E$3:$E$506,'INVONTERY FEB'!B127:B452,PURCHASE!$H$3:$H$506)</f>
        <v>0</v>
      </c>
      <c r="H127" s="467">
        <f>SUMIF(PURCHASE!$E$3:$E$506,'INVONTERY FEB'!B127:B479,PURCHASE!$I$3:$I$506)</f>
        <v>0</v>
      </c>
      <c r="I127" s="354">
        <f>ISSU!AL127</f>
        <v>0</v>
      </c>
      <c r="J127" s="411">
        <f t="shared" si="47"/>
        <v>0</v>
      </c>
      <c r="K127" s="380">
        <f t="shared" si="48"/>
        <v>0</v>
      </c>
      <c r="L127" s="467">
        <f t="shared" si="49"/>
        <v>0</v>
      </c>
      <c r="M127" s="470">
        <v>150.0</v>
      </c>
      <c r="N127" s="439">
        <f t="shared" si="50"/>
        <v>0</v>
      </c>
      <c r="O127" s="439">
        <f t="shared" si="51"/>
        <v>0</v>
      </c>
      <c r="P127" s="438">
        <f t="shared" si="52"/>
        <v>0</v>
      </c>
      <c r="Q127" s="468"/>
      <c r="R127" s="460"/>
      <c r="S127" s="97"/>
      <c r="T127" s="168"/>
      <c r="U127" s="166"/>
      <c r="V127" s="362">
        <f t="shared" si="33"/>
        <v>0</v>
      </c>
      <c r="W127" s="461"/>
      <c r="X127" s="102"/>
      <c r="Y127" s="102"/>
      <c r="Z127" s="102"/>
      <c r="AA127" s="102"/>
    </row>
    <row r="128" ht="15.75" customHeight="1" outlineLevel="1">
      <c r="A128" s="431">
        <v>122.0</v>
      </c>
      <c r="B128" s="462" t="s">
        <v>71</v>
      </c>
      <c r="C128" s="463" t="s">
        <v>72</v>
      </c>
      <c r="D128" s="470">
        <v>6.5</v>
      </c>
      <c r="E128" s="370">
        <v>20.0</v>
      </c>
      <c r="F128" s="465">
        <f t="shared" si="46"/>
        <v>130</v>
      </c>
      <c r="G128" s="466">
        <f>SUMIF(PURCHASE!$E$3:$E$506,'INVONTERY FEB'!B128:B453,PURCHASE!$H$3:$H$506)</f>
        <v>600</v>
      </c>
      <c r="H128" s="467">
        <f>SUMIF(PURCHASE!$E$3:$E$506,'INVONTERY FEB'!B128:B480,PURCHASE!$I$3:$I$506)</f>
        <v>4200</v>
      </c>
      <c r="I128" s="354">
        <f>ISSU!AL128</f>
        <v>410</v>
      </c>
      <c r="J128" s="411">
        <f t="shared" si="47"/>
        <v>14.13793103</v>
      </c>
      <c r="K128" s="380">
        <f t="shared" si="48"/>
        <v>210</v>
      </c>
      <c r="L128" s="467">
        <f t="shared" si="49"/>
        <v>1365</v>
      </c>
      <c r="M128" s="470">
        <f>7800/1200</f>
        <v>6.5</v>
      </c>
      <c r="N128" s="439">
        <f t="shared" si="50"/>
        <v>0</v>
      </c>
      <c r="O128" s="439">
        <f t="shared" si="51"/>
        <v>0</v>
      </c>
      <c r="P128" s="438">
        <f t="shared" si="52"/>
        <v>2965</v>
      </c>
      <c r="Q128" s="468"/>
      <c r="R128" s="460"/>
      <c r="S128" s="97"/>
      <c r="T128" s="168"/>
      <c r="U128" s="168"/>
      <c r="V128" s="362">
        <f t="shared" si="33"/>
        <v>0</v>
      </c>
      <c r="W128" s="461"/>
      <c r="X128" s="102"/>
      <c r="Y128" s="102"/>
      <c r="Z128" s="102"/>
      <c r="AA128" s="102"/>
    </row>
    <row r="129" ht="15.75" customHeight="1" outlineLevel="1">
      <c r="A129" s="431">
        <v>123.0</v>
      </c>
      <c r="B129" s="462" t="s">
        <v>296</v>
      </c>
      <c r="C129" s="463" t="s">
        <v>72</v>
      </c>
      <c r="D129" s="470">
        <v>60.0</v>
      </c>
      <c r="E129" s="370">
        <v>5.0</v>
      </c>
      <c r="F129" s="465">
        <f t="shared" si="46"/>
        <v>300</v>
      </c>
      <c r="G129" s="466">
        <f>SUMIF(PURCHASE!$E$3:$E$506,'INVONTERY FEB'!B129:B449,PURCHASE!$H$3:$H$506)</f>
        <v>0</v>
      </c>
      <c r="H129" s="467">
        <f>SUMIF(PURCHASE!$E$3:$E$506,'INVONTERY FEB'!B129:B481,PURCHASE!$I$3:$I$506)</f>
        <v>0</v>
      </c>
      <c r="I129" s="354">
        <f>ISSU!AL129</f>
        <v>0</v>
      </c>
      <c r="J129" s="411">
        <f t="shared" si="47"/>
        <v>0</v>
      </c>
      <c r="K129" s="380">
        <f t="shared" si="48"/>
        <v>5</v>
      </c>
      <c r="L129" s="467">
        <f t="shared" si="49"/>
        <v>300</v>
      </c>
      <c r="M129" s="470">
        <v>60.0</v>
      </c>
      <c r="N129" s="439">
        <f t="shared" si="50"/>
        <v>0</v>
      </c>
      <c r="O129" s="439">
        <f t="shared" si="51"/>
        <v>0</v>
      </c>
      <c r="P129" s="438">
        <f t="shared" si="52"/>
        <v>0</v>
      </c>
      <c r="Q129" s="468"/>
      <c r="R129" s="460"/>
      <c r="S129" s="97"/>
      <c r="T129" s="168"/>
      <c r="U129" s="168"/>
      <c r="V129" s="362">
        <f t="shared" si="33"/>
        <v>0</v>
      </c>
      <c r="W129" s="461"/>
      <c r="X129" s="102"/>
      <c r="Y129" s="102"/>
      <c r="Z129" s="102"/>
      <c r="AA129" s="102"/>
    </row>
    <row r="130" ht="15.75" customHeight="1">
      <c r="A130" s="431">
        <v>124.0</v>
      </c>
      <c r="B130" s="462" t="s">
        <v>297</v>
      </c>
      <c r="C130" s="463" t="s">
        <v>72</v>
      </c>
      <c r="D130" s="441">
        <v>0.0</v>
      </c>
      <c r="E130" s="370">
        <v>0.0</v>
      </c>
      <c r="F130" s="465">
        <f t="shared" si="46"/>
        <v>0</v>
      </c>
      <c r="G130" s="466">
        <f>SUMIF(PURCHASE!$E$3:$E$506,'INVONTERY FEB'!B130:B450,PURCHASE!$H$3:$H$506)</f>
        <v>0</v>
      </c>
      <c r="H130" s="467">
        <f>SUMIF(PURCHASE!$E$3:$E$506,'INVONTERY FEB'!B130:B482,PURCHASE!$I$3:$I$506)</f>
        <v>0</v>
      </c>
      <c r="I130" s="354">
        <f>ISSU!AL130</f>
        <v>0</v>
      </c>
      <c r="J130" s="411">
        <f t="shared" si="47"/>
        <v>0</v>
      </c>
      <c r="K130" s="380">
        <f t="shared" si="48"/>
        <v>0</v>
      </c>
      <c r="L130" s="467">
        <f t="shared" si="49"/>
        <v>0</v>
      </c>
      <c r="M130" s="441">
        <v>0.0</v>
      </c>
      <c r="N130" s="439">
        <f t="shared" si="50"/>
        <v>0</v>
      </c>
      <c r="O130" s="439">
        <f t="shared" si="51"/>
        <v>0</v>
      </c>
      <c r="P130" s="438">
        <f t="shared" si="52"/>
        <v>0</v>
      </c>
      <c r="Q130" s="468"/>
      <c r="R130" s="407"/>
      <c r="S130" s="97"/>
      <c r="T130" s="168"/>
      <c r="U130" s="168"/>
      <c r="V130" s="362">
        <f t="shared" si="33"/>
        <v>0</v>
      </c>
      <c r="W130" s="109"/>
      <c r="X130" s="109"/>
      <c r="Y130" s="109"/>
      <c r="Z130" s="109"/>
      <c r="AA130" s="109"/>
    </row>
    <row r="131" ht="15.75" customHeight="1">
      <c r="A131" s="403">
        <v>125.0</v>
      </c>
      <c r="B131" s="471" t="s">
        <v>298</v>
      </c>
      <c r="C131" s="409"/>
      <c r="D131" s="409"/>
      <c r="E131" s="409">
        <f>SUM(E110:E130)</f>
        <v>5645</v>
      </c>
      <c r="F131" s="422">
        <f t="shared" ref="F131:Q131" si="53">SUM(F109:F130)</f>
        <v>97856</v>
      </c>
      <c r="G131" s="422">
        <f t="shared" si="53"/>
        <v>2742</v>
      </c>
      <c r="H131" s="422">
        <f t="shared" si="53"/>
        <v>86500</v>
      </c>
      <c r="I131" s="422">
        <f t="shared" si="53"/>
        <v>2157</v>
      </c>
      <c r="J131" s="422">
        <f t="shared" si="53"/>
        <v>74.37931034</v>
      </c>
      <c r="K131" s="422">
        <f t="shared" si="53"/>
        <v>6230</v>
      </c>
      <c r="L131" s="422">
        <f t="shared" si="53"/>
        <v>127409</v>
      </c>
      <c r="M131" s="422">
        <f t="shared" si="53"/>
        <v>14604.5</v>
      </c>
      <c r="N131" s="422">
        <f t="shared" si="53"/>
        <v>0</v>
      </c>
      <c r="O131" s="422">
        <f t="shared" si="53"/>
        <v>0</v>
      </c>
      <c r="P131" s="422">
        <f t="shared" si="53"/>
        <v>56947</v>
      </c>
      <c r="Q131" s="422">
        <f t="shared" si="53"/>
        <v>0</v>
      </c>
      <c r="R131" s="109"/>
      <c r="S131" s="97"/>
      <c r="T131" s="168"/>
      <c r="U131" s="168"/>
      <c r="V131" s="362">
        <f t="shared" si="33"/>
        <v>0</v>
      </c>
      <c r="W131" s="109"/>
      <c r="X131" s="109"/>
      <c r="Y131" s="109"/>
      <c r="Z131" s="109"/>
      <c r="AA131" s="109"/>
    </row>
    <row r="132" ht="15.75" customHeight="1" outlineLevel="1">
      <c r="A132" s="408">
        <v>126.0</v>
      </c>
      <c r="B132" s="408" t="s">
        <v>299</v>
      </c>
      <c r="C132" s="409"/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109"/>
      <c r="S132" s="97"/>
      <c r="T132" s="168"/>
      <c r="U132" s="168"/>
      <c r="V132" s="362">
        <f t="shared" si="33"/>
        <v>0</v>
      </c>
      <c r="W132" s="109"/>
      <c r="X132" s="109"/>
      <c r="Y132" s="109"/>
      <c r="Z132" s="109"/>
      <c r="AA132" s="109"/>
    </row>
    <row r="133" ht="15.75" customHeight="1" outlineLevel="1">
      <c r="A133" s="431">
        <v>127.0</v>
      </c>
      <c r="B133" s="393" t="s">
        <v>300</v>
      </c>
      <c r="C133" s="393" t="s">
        <v>72</v>
      </c>
      <c r="D133" s="431">
        <v>1120.0</v>
      </c>
      <c r="E133" s="370">
        <v>0.0</v>
      </c>
      <c r="F133" s="455">
        <f t="shared" ref="F133:F146" si="54">E133*D133</f>
        <v>0</v>
      </c>
      <c r="G133" s="108">
        <f>SUMIF(PURCHASE!$E$3:$E$506,'INVONTERY FEB'!B133:B452,PURCHASE!$H$3:$H$506)</f>
        <v>0</v>
      </c>
      <c r="H133" s="438">
        <f>SUMIF(PURCHASE!$E$3:$E$506,'INVONTERY FEB'!B133:B479,PURCHASE!$I$3:$I$506)</f>
        <v>0</v>
      </c>
      <c r="I133" s="354">
        <f>ISSU!AL133</f>
        <v>0</v>
      </c>
      <c r="J133" s="354">
        <f t="shared" ref="J133:J146" si="55">I133/9</f>
        <v>0</v>
      </c>
      <c r="K133" s="380">
        <f t="shared" ref="K133:K146" si="56">E133+G133-I133</f>
        <v>0</v>
      </c>
      <c r="L133" s="438">
        <f t="shared" ref="L133:L146" si="57">K133*M133</f>
        <v>0</v>
      </c>
      <c r="M133" s="431">
        <v>1120.0</v>
      </c>
      <c r="N133" s="439">
        <f t="shared" ref="N133:N146" si="58">M133-D133</f>
        <v>0</v>
      </c>
      <c r="O133" s="439">
        <f t="shared" ref="O133:O146" si="59">N133*I133</f>
        <v>0</v>
      </c>
      <c r="P133" s="438">
        <f t="shared" ref="P133:P146" si="60">F133+H133-L133</f>
        <v>0</v>
      </c>
      <c r="Q133" s="440" t="s">
        <v>175</v>
      </c>
      <c r="R133" s="109"/>
      <c r="S133" s="97"/>
      <c r="T133" s="168"/>
      <c r="U133" s="168"/>
      <c r="V133" s="362">
        <f t="shared" si="33"/>
        <v>0</v>
      </c>
      <c r="W133" s="109"/>
      <c r="X133" s="109"/>
      <c r="Y133" s="109"/>
      <c r="Z133" s="109"/>
      <c r="AA133" s="109"/>
    </row>
    <row r="134" ht="15.75" customHeight="1" outlineLevel="1">
      <c r="A134" s="431">
        <v>128.0</v>
      </c>
      <c r="B134" s="393" t="s">
        <v>301</v>
      </c>
      <c r="C134" s="393" t="s">
        <v>72</v>
      </c>
      <c r="D134" s="431">
        <v>2070.0</v>
      </c>
      <c r="E134" s="370">
        <v>0.0</v>
      </c>
      <c r="F134" s="455">
        <f t="shared" si="54"/>
        <v>0</v>
      </c>
      <c r="G134" s="108">
        <f>SUMIF(PURCHASE!$E$3:$E$506,'INVONTERY FEB'!B134:B453,PURCHASE!$H$3:$H$506)</f>
        <v>0</v>
      </c>
      <c r="H134" s="438">
        <f>SUMIF(PURCHASE!$E$3:$E$506,'INVONTERY FEB'!B134:B480,PURCHASE!$I$3:$I$506)</f>
        <v>0</v>
      </c>
      <c r="I134" s="354">
        <f>ISSU!AL134</f>
        <v>0</v>
      </c>
      <c r="J134" s="354">
        <f t="shared" si="55"/>
        <v>0</v>
      </c>
      <c r="K134" s="380">
        <f t="shared" si="56"/>
        <v>0</v>
      </c>
      <c r="L134" s="438">
        <f t="shared" si="57"/>
        <v>0</v>
      </c>
      <c r="M134" s="431">
        <v>2070.0</v>
      </c>
      <c r="N134" s="439">
        <f t="shared" si="58"/>
        <v>0</v>
      </c>
      <c r="O134" s="439">
        <f t="shared" si="59"/>
        <v>0</v>
      </c>
      <c r="P134" s="438">
        <f t="shared" si="60"/>
        <v>0</v>
      </c>
      <c r="Q134" s="440" t="s">
        <v>175</v>
      </c>
      <c r="R134" s="109"/>
      <c r="S134" s="97"/>
      <c r="T134" s="168"/>
      <c r="U134" s="168"/>
      <c r="V134" s="362">
        <f t="shared" si="33"/>
        <v>0</v>
      </c>
      <c r="W134" s="109"/>
      <c r="X134" s="109"/>
      <c r="Y134" s="109"/>
      <c r="Z134" s="109"/>
      <c r="AA134" s="109"/>
    </row>
    <row r="135" ht="15.75" customHeight="1" outlineLevel="1">
      <c r="A135" s="431">
        <v>129.0</v>
      </c>
      <c r="B135" s="393" t="s">
        <v>302</v>
      </c>
      <c r="C135" s="393" t="s">
        <v>72</v>
      </c>
      <c r="D135" s="431">
        <v>340.0</v>
      </c>
      <c r="E135" s="370">
        <v>9.0</v>
      </c>
      <c r="F135" s="455">
        <f t="shared" si="54"/>
        <v>3060</v>
      </c>
      <c r="G135" s="108">
        <f>SUMIF(PURCHASE!$E$3:$E$506,'INVONTERY FEB'!B135:B454,PURCHASE!$H$3:$H$506)</f>
        <v>0</v>
      </c>
      <c r="H135" s="438">
        <f>SUMIF(PURCHASE!$E$3:$E$506,'INVONTERY FEB'!B135:B481,PURCHASE!$I$3:$I$506)</f>
        <v>0</v>
      </c>
      <c r="I135" s="354">
        <f>ISSU!AL135</f>
        <v>0</v>
      </c>
      <c r="J135" s="354">
        <f t="shared" si="55"/>
        <v>0</v>
      </c>
      <c r="K135" s="380">
        <f t="shared" si="56"/>
        <v>9</v>
      </c>
      <c r="L135" s="438">
        <f t="shared" si="57"/>
        <v>3060</v>
      </c>
      <c r="M135" s="431">
        <v>340.0</v>
      </c>
      <c r="N135" s="439">
        <f t="shared" si="58"/>
        <v>0</v>
      </c>
      <c r="O135" s="439">
        <f t="shared" si="59"/>
        <v>0</v>
      </c>
      <c r="P135" s="438">
        <f t="shared" si="60"/>
        <v>0</v>
      </c>
      <c r="Q135" s="440" t="s">
        <v>175</v>
      </c>
      <c r="R135" s="109"/>
      <c r="S135" s="97"/>
      <c r="T135" s="168"/>
      <c r="U135" s="168"/>
      <c r="V135" s="362">
        <f t="shared" si="33"/>
        <v>0</v>
      </c>
      <c r="W135" s="109"/>
      <c r="X135" s="109"/>
      <c r="Y135" s="109"/>
      <c r="Z135" s="109"/>
      <c r="AA135" s="109"/>
    </row>
    <row r="136" ht="15.75" customHeight="1" outlineLevel="1">
      <c r="A136" s="431">
        <v>130.0</v>
      </c>
      <c r="B136" s="393" t="s">
        <v>303</v>
      </c>
      <c r="C136" s="393" t="s">
        <v>72</v>
      </c>
      <c r="D136" s="431">
        <v>340.0</v>
      </c>
      <c r="E136" s="370">
        <v>6.0</v>
      </c>
      <c r="F136" s="455">
        <f t="shared" si="54"/>
        <v>2040</v>
      </c>
      <c r="G136" s="108">
        <f>SUMIF(PURCHASE!$E$3:$E$506,'INVONTERY FEB'!B136:B455,PURCHASE!$H$3:$H$506)</f>
        <v>0</v>
      </c>
      <c r="H136" s="438">
        <f>SUMIF(PURCHASE!$E$3:$E$506,'INVONTERY FEB'!B136:B482,PURCHASE!$I$3:$I$506)</f>
        <v>0</v>
      </c>
      <c r="I136" s="354">
        <f>ISSU!AL136</f>
        <v>0</v>
      </c>
      <c r="J136" s="354">
        <f t="shared" si="55"/>
        <v>0</v>
      </c>
      <c r="K136" s="380">
        <f t="shared" si="56"/>
        <v>6</v>
      </c>
      <c r="L136" s="438">
        <f t="shared" si="57"/>
        <v>2040</v>
      </c>
      <c r="M136" s="431">
        <v>340.0</v>
      </c>
      <c r="N136" s="439">
        <f t="shared" si="58"/>
        <v>0</v>
      </c>
      <c r="O136" s="439">
        <f t="shared" si="59"/>
        <v>0</v>
      </c>
      <c r="P136" s="438">
        <f t="shared" si="60"/>
        <v>0</v>
      </c>
      <c r="Q136" s="440" t="s">
        <v>175</v>
      </c>
      <c r="R136" s="109"/>
      <c r="S136" s="97"/>
      <c r="T136" s="168"/>
      <c r="U136" s="168"/>
      <c r="V136" s="362">
        <f t="shared" si="33"/>
        <v>0</v>
      </c>
      <c r="W136" s="109"/>
      <c r="X136" s="109"/>
      <c r="Y136" s="109"/>
      <c r="Z136" s="109"/>
      <c r="AA136" s="109"/>
    </row>
    <row r="137" ht="15.75" customHeight="1" outlineLevel="1">
      <c r="A137" s="431">
        <v>131.0</v>
      </c>
      <c r="B137" s="393" t="s">
        <v>304</v>
      </c>
      <c r="C137" s="393" t="s">
        <v>72</v>
      </c>
      <c r="D137" s="431">
        <v>250.0</v>
      </c>
      <c r="E137" s="370">
        <v>0.0</v>
      </c>
      <c r="F137" s="455">
        <f t="shared" si="54"/>
        <v>0</v>
      </c>
      <c r="G137" s="108">
        <f>SUMIF(PURCHASE!$E$3:$E$506,'INVONTERY FEB'!B137:B456,PURCHASE!$H$3:$H$506)</f>
        <v>0</v>
      </c>
      <c r="H137" s="438">
        <f>SUMIF(PURCHASE!$E$3:$E$506,'INVONTERY FEB'!B137:B483,PURCHASE!$I$3:$I$506)</f>
        <v>0</v>
      </c>
      <c r="I137" s="354">
        <f>ISSU!AL137</f>
        <v>0</v>
      </c>
      <c r="J137" s="354">
        <f t="shared" si="55"/>
        <v>0</v>
      </c>
      <c r="K137" s="380">
        <f t="shared" si="56"/>
        <v>0</v>
      </c>
      <c r="L137" s="438">
        <f t="shared" si="57"/>
        <v>0</v>
      </c>
      <c r="M137" s="431">
        <v>250.0</v>
      </c>
      <c r="N137" s="439">
        <f t="shared" si="58"/>
        <v>0</v>
      </c>
      <c r="O137" s="439">
        <f t="shared" si="59"/>
        <v>0</v>
      </c>
      <c r="P137" s="438">
        <f t="shared" si="60"/>
        <v>0</v>
      </c>
      <c r="Q137" s="440" t="s">
        <v>175</v>
      </c>
      <c r="R137" s="109"/>
      <c r="S137" s="97"/>
      <c r="T137" s="168"/>
      <c r="U137" s="168"/>
      <c r="V137" s="362">
        <f t="shared" si="33"/>
        <v>0</v>
      </c>
      <c r="W137" s="109"/>
      <c r="X137" s="109"/>
      <c r="Y137" s="109"/>
      <c r="Z137" s="109"/>
      <c r="AA137" s="109"/>
    </row>
    <row r="138" ht="15.75" customHeight="1" outlineLevel="1">
      <c r="A138" s="431">
        <v>132.0</v>
      </c>
      <c r="B138" s="393" t="s">
        <v>305</v>
      </c>
      <c r="C138" s="393" t="s">
        <v>72</v>
      </c>
      <c r="D138" s="431">
        <v>170.0</v>
      </c>
      <c r="E138" s="370">
        <v>7.0</v>
      </c>
      <c r="F138" s="455">
        <f t="shared" si="54"/>
        <v>1190</v>
      </c>
      <c r="G138" s="108">
        <f>SUMIF(PURCHASE!$E$3:$E$506,'INVONTERY FEB'!B138:B457,PURCHASE!$H$3:$H$506)</f>
        <v>0</v>
      </c>
      <c r="H138" s="438">
        <f>SUMIF(PURCHASE!$E$3:$E$506,'INVONTERY FEB'!B138:B484,PURCHASE!$I$3:$I$506)</f>
        <v>0</v>
      </c>
      <c r="I138" s="354">
        <f>ISSU!AL138</f>
        <v>0</v>
      </c>
      <c r="J138" s="354">
        <f t="shared" si="55"/>
        <v>0</v>
      </c>
      <c r="K138" s="380">
        <f t="shared" si="56"/>
        <v>7</v>
      </c>
      <c r="L138" s="438">
        <f t="shared" si="57"/>
        <v>1190</v>
      </c>
      <c r="M138" s="431">
        <v>170.0</v>
      </c>
      <c r="N138" s="439">
        <f t="shared" si="58"/>
        <v>0</v>
      </c>
      <c r="O138" s="439">
        <f t="shared" si="59"/>
        <v>0</v>
      </c>
      <c r="P138" s="438">
        <f t="shared" si="60"/>
        <v>0</v>
      </c>
      <c r="Q138" s="440" t="s">
        <v>175</v>
      </c>
      <c r="R138" s="109"/>
      <c r="S138" s="97"/>
      <c r="T138" s="168"/>
      <c r="U138" s="168"/>
      <c r="V138" s="362">
        <f t="shared" si="33"/>
        <v>0</v>
      </c>
      <c r="W138" s="109"/>
      <c r="X138" s="109"/>
      <c r="Y138" s="109"/>
      <c r="Z138" s="109"/>
      <c r="AA138" s="109"/>
    </row>
    <row r="139" ht="15.75" customHeight="1" outlineLevel="1">
      <c r="A139" s="431">
        <v>133.0</v>
      </c>
      <c r="B139" s="393" t="s">
        <v>306</v>
      </c>
      <c r="C139" s="393" t="s">
        <v>190</v>
      </c>
      <c r="D139" s="431">
        <v>170.0</v>
      </c>
      <c r="E139" s="370">
        <v>5.0</v>
      </c>
      <c r="F139" s="455">
        <f t="shared" si="54"/>
        <v>850</v>
      </c>
      <c r="G139" s="108">
        <f>SUMIF(PURCHASE!$E$3:$E$506,'INVONTERY FEB'!B139:B458,PURCHASE!$H$3:$H$506)</f>
        <v>10</v>
      </c>
      <c r="H139" s="438">
        <f>SUMIF(PURCHASE!$E$3:$E$506,'INVONTERY FEB'!B139:B485,PURCHASE!$I$3:$I$506)</f>
        <v>1800</v>
      </c>
      <c r="I139" s="354">
        <f>ISSU!AL139</f>
        <v>0</v>
      </c>
      <c r="J139" s="354">
        <f t="shared" si="55"/>
        <v>0</v>
      </c>
      <c r="K139" s="380">
        <f t="shared" si="56"/>
        <v>15</v>
      </c>
      <c r="L139" s="438">
        <f t="shared" si="57"/>
        <v>2550</v>
      </c>
      <c r="M139" s="431">
        <v>170.0</v>
      </c>
      <c r="N139" s="439">
        <f t="shared" si="58"/>
        <v>0</v>
      </c>
      <c r="O139" s="439">
        <f t="shared" si="59"/>
        <v>0</v>
      </c>
      <c r="P139" s="438">
        <f t="shared" si="60"/>
        <v>100</v>
      </c>
      <c r="Q139" s="440"/>
      <c r="R139" s="109"/>
      <c r="S139" s="97"/>
      <c r="T139" s="168"/>
      <c r="U139" s="168"/>
      <c r="V139" s="362">
        <f t="shared" si="33"/>
        <v>0</v>
      </c>
      <c r="W139" s="109"/>
      <c r="X139" s="109"/>
      <c r="Y139" s="109"/>
      <c r="Z139" s="109"/>
      <c r="AA139" s="109"/>
    </row>
    <row r="140" ht="15.75" customHeight="1" outlineLevel="1">
      <c r="A140" s="431">
        <v>134.0</v>
      </c>
      <c r="B140" s="393" t="s">
        <v>307</v>
      </c>
      <c r="C140" s="393" t="s">
        <v>72</v>
      </c>
      <c r="D140" s="431">
        <v>45.0</v>
      </c>
      <c r="E140" s="370">
        <v>0.0</v>
      </c>
      <c r="F140" s="455">
        <f t="shared" si="54"/>
        <v>0</v>
      </c>
      <c r="G140" s="108">
        <f>SUMIF(PURCHASE!$E$3:$E$506,'INVONTERY FEB'!B140:B459,PURCHASE!$H$3:$H$506)</f>
        <v>0</v>
      </c>
      <c r="H140" s="438">
        <f>SUMIF(PURCHASE!$E$3:$E$506,'INVONTERY FEB'!B140:B486,PURCHASE!$I$3:$I$506)</f>
        <v>0</v>
      </c>
      <c r="I140" s="354">
        <f>ISSU!AL140</f>
        <v>0</v>
      </c>
      <c r="J140" s="354">
        <f t="shared" si="55"/>
        <v>0</v>
      </c>
      <c r="K140" s="380">
        <f t="shared" si="56"/>
        <v>0</v>
      </c>
      <c r="L140" s="438">
        <f t="shared" si="57"/>
        <v>0</v>
      </c>
      <c r="M140" s="431">
        <v>45.0</v>
      </c>
      <c r="N140" s="439">
        <f t="shared" si="58"/>
        <v>0</v>
      </c>
      <c r="O140" s="439">
        <f t="shared" si="59"/>
        <v>0</v>
      </c>
      <c r="P140" s="438">
        <f t="shared" si="60"/>
        <v>0</v>
      </c>
      <c r="Q140" s="440"/>
      <c r="R140" s="109"/>
      <c r="S140" s="97">
        <f>15-6</f>
        <v>9</v>
      </c>
      <c r="T140" s="168"/>
      <c r="U140" s="168"/>
      <c r="V140" s="362">
        <f t="shared" si="33"/>
        <v>9</v>
      </c>
      <c r="W140" s="109"/>
      <c r="X140" s="109"/>
      <c r="Y140" s="109"/>
      <c r="Z140" s="109"/>
      <c r="AA140" s="109"/>
    </row>
    <row r="141" ht="15.75" customHeight="1" outlineLevel="1">
      <c r="A141" s="431">
        <v>135.0</v>
      </c>
      <c r="B141" s="393" t="s">
        <v>308</v>
      </c>
      <c r="C141" s="393" t="s">
        <v>72</v>
      </c>
      <c r="D141" s="431">
        <v>150.0</v>
      </c>
      <c r="E141" s="370">
        <v>0.0</v>
      </c>
      <c r="F141" s="455">
        <f t="shared" si="54"/>
        <v>0</v>
      </c>
      <c r="G141" s="108">
        <f>SUMIF(PURCHASE!$E$3:$E$506,'INVONTERY FEB'!B141:B460,PURCHASE!$H$3:$H$506)</f>
        <v>0</v>
      </c>
      <c r="H141" s="438">
        <f>SUMIF(PURCHASE!$E$3:$E$506,'INVONTERY FEB'!B141:B487,PURCHASE!$I$3:$I$506)</f>
        <v>0</v>
      </c>
      <c r="I141" s="354">
        <f>ISSU!AL141</f>
        <v>0</v>
      </c>
      <c r="J141" s="354">
        <f t="shared" si="55"/>
        <v>0</v>
      </c>
      <c r="K141" s="380">
        <f t="shared" si="56"/>
        <v>0</v>
      </c>
      <c r="L141" s="438">
        <f t="shared" si="57"/>
        <v>0</v>
      </c>
      <c r="M141" s="431">
        <v>150.0</v>
      </c>
      <c r="N141" s="439">
        <f t="shared" si="58"/>
        <v>0</v>
      </c>
      <c r="O141" s="439">
        <f t="shared" si="59"/>
        <v>0</v>
      </c>
      <c r="P141" s="438">
        <f t="shared" si="60"/>
        <v>0</v>
      </c>
      <c r="Q141" s="440"/>
      <c r="R141" s="109"/>
      <c r="S141" s="97"/>
      <c r="T141" s="168"/>
      <c r="U141" s="168"/>
      <c r="V141" s="362">
        <f t="shared" si="33"/>
        <v>0</v>
      </c>
      <c r="W141" s="109"/>
      <c r="X141" s="109"/>
      <c r="Y141" s="109"/>
      <c r="Z141" s="109"/>
      <c r="AA141" s="109"/>
    </row>
    <row r="142" ht="15.75" customHeight="1" outlineLevel="1">
      <c r="A142" s="431">
        <v>136.0</v>
      </c>
      <c r="B142" s="393" t="s">
        <v>309</v>
      </c>
      <c r="C142" s="393" t="s">
        <v>72</v>
      </c>
      <c r="D142" s="431">
        <v>350.0</v>
      </c>
      <c r="E142" s="370">
        <v>0.0</v>
      </c>
      <c r="F142" s="455">
        <f t="shared" si="54"/>
        <v>0</v>
      </c>
      <c r="G142" s="108">
        <f>SUMIF(PURCHASE!$E$3:$E$506,'INVONTERY FEB'!B142:B461,PURCHASE!$H$3:$H$506)</f>
        <v>0</v>
      </c>
      <c r="H142" s="438">
        <f>SUMIF(PURCHASE!$E$3:$E$506,'INVONTERY FEB'!B142:B488,PURCHASE!$I$3:$I$506)</f>
        <v>0</v>
      </c>
      <c r="I142" s="354">
        <f>ISSU!AL142</f>
        <v>0</v>
      </c>
      <c r="J142" s="354">
        <f t="shared" si="55"/>
        <v>0</v>
      </c>
      <c r="K142" s="380">
        <f t="shared" si="56"/>
        <v>0</v>
      </c>
      <c r="L142" s="438">
        <f t="shared" si="57"/>
        <v>0</v>
      </c>
      <c r="M142" s="431">
        <v>350.0</v>
      </c>
      <c r="N142" s="439">
        <f t="shared" si="58"/>
        <v>0</v>
      </c>
      <c r="O142" s="439">
        <f t="shared" si="59"/>
        <v>0</v>
      </c>
      <c r="P142" s="438">
        <f t="shared" si="60"/>
        <v>0</v>
      </c>
      <c r="Q142" s="440"/>
      <c r="R142" s="109"/>
      <c r="S142" s="97">
        <f t="shared" ref="S142:S143" si="61">36-12</f>
        <v>24</v>
      </c>
      <c r="T142" s="168"/>
      <c r="U142" s="168"/>
      <c r="V142" s="362">
        <f t="shared" si="33"/>
        <v>24</v>
      </c>
      <c r="W142" s="109"/>
      <c r="X142" s="109"/>
      <c r="Y142" s="109"/>
      <c r="Z142" s="109"/>
      <c r="AA142" s="109"/>
    </row>
    <row r="143" ht="15.75" customHeight="1" outlineLevel="1">
      <c r="A143" s="431">
        <v>137.0</v>
      </c>
      <c r="B143" s="393" t="s">
        <v>310</v>
      </c>
      <c r="C143" s="393" t="s">
        <v>190</v>
      </c>
      <c r="D143" s="431">
        <v>70.0</v>
      </c>
      <c r="E143" s="370">
        <v>0.0</v>
      </c>
      <c r="F143" s="455">
        <f t="shared" si="54"/>
        <v>0</v>
      </c>
      <c r="G143" s="108">
        <f>SUMIF(PURCHASE!$E$3:$E$506,'INVONTERY FEB'!B143:B462,PURCHASE!$H$3:$H$506)</f>
        <v>0</v>
      </c>
      <c r="H143" s="438">
        <f>SUMIF(PURCHASE!$E$3:$E$506,'INVONTERY FEB'!B143:B489,PURCHASE!$I$3:$I$506)</f>
        <v>0</v>
      </c>
      <c r="I143" s="354">
        <f>ISSU!AL143</f>
        <v>0</v>
      </c>
      <c r="J143" s="354">
        <f t="shared" si="55"/>
        <v>0</v>
      </c>
      <c r="K143" s="380">
        <f t="shared" si="56"/>
        <v>0</v>
      </c>
      <c r="L143" s="438">
        <f t="shared" si="57"/>
        <v>0</v>
      </c>
      <c r="M143" s="431">
        <v>70.0</v>
      </c>
      <c r="N143" s="439">
        <f t="shared" si="58"/>
        <v>0</v>
      </c>
      <c r="O143" s="439">
        <f t="shared" si="59"/>
        <v>0</v>
      </c>
      <c r="P143" s="438">
        <f t="shared" si="60"/>
        <v>0</v>
      </c>
      <c r="Q143" s="440"/>
      <c r="R143" s="109"/>
      <c r="S143" s="97">
        <f t="shared" si="61"/>
        <v>24</v>
      </c>
      <c r="T143" s="383"/>
      <c r="U143" s="168"/>
      <c r="V143" s="362">
        <f t="shared" si="33"/>
        <v>24</v>
      </c>
      <c r="W143" s="109"/>
      <c r="X143" s="109"/>
      <c r="Y143" s="109"/>
      <c r="Z143" s="109"/>
      <c r="AA143" s="109"/>
    </row>
    <row r="144" ht="15.75" customHeight="1" outlineLevel="1">
      <c r="A144" s="431">
        <v>138.0</v>
      </c>
      <c r="B144" s="393" t="s">
        <v>102</v>
      </c>
      <c r="C144" s="393" t="s">
        <v>172</v>
      </c>
      <c r="D144" s="431">
        <v>400.0</v>
      </c>
      <c r="E144" s="370">
        <v>9.6</v>
      </c>
      <c r="F144" s="455">
        <f t="shared" si="54"/>
        <v>3840</v>
      </c>
      <c r="G144" s="108">
        <f>SUMIF(PURCHASE!$E$3:$E$506,'INVONTERY FEB'!B144:B463,PURCHASE!$H$3:$H$506)</f>
        <v>58.3</v>
      </c>
      <c r="H144" s="438">
        <f>SUMIF(PURCHASE!$E$3:$E$506,'INVONTERY FEB'!B144:B490,PURCHASE!$I$3:$I$506)</f>
        <v>25069</v>
      </c>
      <c r="I144" s="354">
        <f>ISSU!AL144</f>
        <v>0</v>
      </c>
      <c r="J144" s="354">
        <f t="shared" si="55"/>
        <v>0</v>
      </c>
      <c r="K144" s="380">
        <f t="shared" si="56"/>
        <v>67.9</v>
      </c>
      <c r="L144" s="438">
        <f t="shared" si="57"/>
        <v>27160</v>
      </c>
      <c r="M144" s="431">
        <v>400.0</v>
      </c>
      <c r="N144" s="439">
        <f t="shared" si="58"/>
        <v>0</v>
      </c>
      <c r="O144" s="439">
        <f t="shared" si="59"/>
        <v>0</v>
      </c>
      <c r="P144" s="438">
        <f t="shared" si="60"/>
        <v>1749</v>
      </c>
      <c r="Q144" s="440"/>
      <c r="R144" s="109"/>
      <c r="S144" s="97">
        <v>0.0</v>
      </c>
      <c r="T144" s="168">
        <v>1.0</v>
      </c>
      <c r="U144" s="168"/>
      <c r="V144" s="362">
        <f t="shared" si="33"/>
        <v>1</v>
      </c>
      <c r="W144" s="109"/>
      <c r="X144" s="109"/>
      <c r="Y144" s="109"/>
      <c r="Z144" s="109"/>
      <c r="AA144" s="109"/>
    </row>
    <row r="145" ht="15.75" customHeight="1" outlineLevel="1">
      <c r="A145" s="431">
        <v>139.0</v>
      </c>
      <c r="B145" s="393" t="s">
        <v>311</v>
      </c>
      <c r="C145" s="393" t="s">
        <v>210</v>
      </c>
      <c r="D145" s="431">
        <v>170.0</v>
      </c>
      <c r="E145" s="370">
        <v>20.0</v>
      </c>
      <c r="F145" s="455">
        <f t="shared" si="54"/>
        <v>3400</v>
      </c>
      <c r="G145" s="108">
        <f>SUMIF(PURCHASE!$E$3:$E$506,'INVONTERY FEB'!B145:B464,PURCHASE!$H$3:$H$506)</f>
        <v>0</v>
      </c>
      <c r="H145" s="438">
        <f>SUMIF(PURCHASE!$E$3:$E$506,'INVONTERY FEB'!B145:B491,PURCHASE!$I$3:$I$506)</f>
        <v>0</v>
      </c>
      <c r="I145" s="354">
        <f>ISSU!AL145</f>
        <v>0</v>
      </c>
      <c r="J145" s="354">
        <f t="shared" si="55"/>
        <v>0</v>
      </c>
      <c r="K145" s="380">
        <f t="shared" si="56"/>
        <v>20</v>
      </c>
      <c r="L145" s="438">
        <f t="shared" si="57"/>
        <v>3400</v>
      </c>
      <c r="M145" s="431">
        <v>170.0</v>
      </c>
      <c r="N145" s="439">
        <f t="shared" si="58"/>
        <v>0</v>
      </c>
      <c r="O145" s="439">
        <f t="shared" si="59"/>
        <v>0</v>
      </c>
      <c r="P145" s="438">
        <f t="shared" si="60"/>
        <v>0</v>
      </c>
      <c r="Q145" s="440"/>
      <c r="R145" s="109"/>
      <c r="S145" s="97">
        <v>11.0</v>
      </c>
      <c r="T145" s="168"/>
      <c r="U145" s="168"/>
      <c r="V145" s="362">
        <f t="shared" si="33"/>
        <v>11</v>
      </c>
      <c r="W145" s="109"/>
      <c r="X145" s="109"/>
      <c r="Y145" s="109"/>
      <c r="Z145" s="109"/>
      <c r="AA145" s="109"/>
    </row>
    <row r="146" ht="15.75" customHeight="1">
      <c r="A146" s="431">
        <v>140.0</v>
      </c>
      <c r="B146" s="393" t="s">
        <v>312</v>
      </c>
      <c r="C146" s="393" t="s">
        <v>210</v>
      </c>
      <c r="D146" s="431">
        <v>80.0</v>
      </c>
      <c r="E146" s="370">
        <v>50.0</v>
      </c>
      <c r="F146" s="455">
        <f t="shared" si="54"/>
        <v>4000</v>
      </c>
      <c r="G146" s="108">
        <f>SUMIF(PURCHASE!$E$3:$E$506,'INVONTERY FEB'!B146:B465,PURCHASE!$H$3:$H$506)</f>
        <v>0</v>
      </c>
      <c r="H146" s="438">
        <f>SUMIF(PURCHASE!$E$3:$E$506,'INVONTERY FEB'!B146:B492,PURCHASE!$I$3:$I$506)</f>
        <v>0</v>
      </c>
      <c r="I146" s="354">
        <f>ISSU!AL146</f>
        <v>0</v>
      </c>
      <c r="J146" s="354">
        <f t="shared" si="55"/>
        <v>0</v>
      </c>
      <c r="K146" s="380">
        <f t="shared" si="56"/>
        <v>50</v>
      </c>
      <c r="L146" s="438">
        <f t="shared" si="57"/>
        <v>4000</v>
      </c>
      <c r="M146" s="431">
        <v>80.0</v>
      </c>
      <c r="N146" s="439">
        <f t="shared" si="58"/>
        <v>0</v>
      </c>
      <c r="O146" s="439">
        <f t="shared" si="59"/>
        <v>0</v>
      </c>
      <c r="P146" s="438">
        <f t="shared" si="60"/>
        <v>0</v>
      </c>
      <c r="Q146" s="440"/>
      <c r="R146" s="407"/>
      <c r="S146" s="97">
        <f>35-10</f>
        <v>25</v>
      </c>
      <c r="T146" s="168">
        <v>13.0</v>
      </c>
      <c r="U146" s="383"/>
      <c r="V146" s="362">
        <f t="shared" si="33"/>
        <v>38</v>
      </c>
      <c r="W146" s="109"/>
      <c r="X146" s="109"/>
      <c r="Y146" s="109"/>
      <c r="Z146" s="109"/>
      <c r="AA146" s="109"/>
    </row>
    <row r="147" ht="15.75" customHeight="1">
      <c r="A147" s="403">
        <v>141.0</v>
      </c>
      <c r="B147" s="403" t="s">
        <v>313</v>
      </c>
      <c r="C147" s="404"/>
      <c r="D147" s="404">
        <f t="shared" ref="D147:E147" si="62">D146+D145+D144+D143+D142+D141+D140+D139+D138+D137+D136+D135+D134+D133</f>
        <v>5725</v>
      </c>
      <c r="E147" s="404">
        <f t="shared" si="62"/>
        <v>106.6</v>
      </c>
      <c r="F147" s="472">
        <f t="shared" ref="F147:Q147" si="63">SUM(F132:F146)</f>
        <v>18380</v>
      </c>
      <c r="G147" s="472">
        <f t="shared" si="63"/>
        <v>68.3</v>
      </c>
      <c r="H147" s="472">
        <f t="shared" si="63"/>
        <v>26869</v>
      </c>
      <c r="I147" s="472">
        <f t="shared" si="63"/>
        <v>0</v>
      </c>
      <c r="J147" s="472">
        <f t="shared" si="63"/>
        <v>0</v>
      </c>
      <c r="K147" s="472">
        <f t="shared" si="63"/>
        <v>174.9</v>
      </c>
      <c r="L147" s="472">
        <f t="shared" si="63"/>
        <v>43400</v>
      </c>
      <c r="M147" s="472">
        <f t="shared" si="63"/>
        <v>5725</v>
      </c>
      <c r="N147" s="472">
        <f t="shared" si="63"/>
        <v>0</v>
      </c>
      <c r="O147" s="472">
        <f t="shared" si="63"/>
        <v>0</v>
      </c>
      <c r="P147" s="472">
        <f t="shared" si="63"/>
        <v>1849</v>
      </c>
      <c r="Q147" s="472">
        <f t="shared" si="63"/>
        <v>0</v>
      </c>
      <c r="R147" s="109"/>
      <c r="S147" s="97"/>
      <c r="T147" s="168"/>
      <c r="U147" s="168"/>
      <c r="V147" s="362">
        <f t="shared" si="33"/>
        <v>0</v>
      </c>
      <c r="W147" s="109"/>
      <c r="X147" s="109"/>
      <c r="Y147" s="109"/>
      <c r="Z147" s="109"/>
      <c r="AA147" s="109"/>
    </row>
    <row r="148" ht="15.75" hidden="1" customHeight="1" outlineLevel="1">
      <c r="A148" s="403">
        <v>142.0</v>
      </c>
      <c r="B148" s="403" t="s">
        <v>314</v>
      </c>
      <c r="C148" s="404"/>
      <c r="D148" s="404">
        <v>0.0</v>
      </c>
      <c r="E148" s="404"/>
      <c r="F148" s="472"/>
      <c r="G148" s="472"/>
      <c r="H148" s="472"/>
      <c r="I148" s="472"/>
      <c r="J148" s="472"/>
      <c r="K148" s="472"/>
      <c r="L148" s="472"/>
      <c r="M148" s="472"/>
      <c r="N148" s="472"/>
      <c r="O148" s="472"/>
      <c r="P148" s="472"/>
      <c r="Q148" s="472"/>
      <c r="R148" s="109"/>
      <c r="S148" s="97"/>
      <c r="T148" s="168"/>
      <c r="U148" s="168"/>
      <c r="V148" s="362">
        <f t="shared" si="33"/>
        <v>0</v>
      </c>
      <c r="W148" s="109"/>
      <c r="X148" s="109"/>
      <c r="Y148" s="109"/>
      <c r="Z148" s="109"/>
      <c r="AA148" s="109"/>
    </row>
    <row r="149" ht="15.75" hidden="1" customHeight="1" outlineLevel="1">
      <c r="A149" s="431">
        <v>143.0</v>
      </c>
      <c r="B149" s="393" t="s">
        <v>315</v>
      </c>
      <c r="C149" s="393" t="s">
        <v>72</v>
      </c>
      <c r="D149" s="431">
        <v>110.0</v>
      </c>
      <c r="E149" s="370">
        <v>4.0</v>
      </c>
      <c r="F149" s="455">
        <f t="shared" ref="F149:F206" si="64">E149*D149</f>
        <v>440</v>
      </c>
      <c r="G149" s="108">
        <f>SUMIF(PURCHASE!$E$3:$E$506,'INVONTERY FEB'!B149:B467,PURCHASE!$H$3:$H$506)</f>
        <v>0</v>
      </c>
      <c r="H149" s="438">
        <f>SUMIF(PURCHASE!$E$3:$E$506,'INVONTERY FEB'!B149:B494,PURCHASE!$I$3:$I$506)</f>
        <v>0</v>
      </c>
      <c r="I149" s="354">
        <f>ISSU!AL149</f>
        <v>0</v>
      </c>
      <c r="J149" s="354">
        <f t="shared" ref="J149:J206" si="65">I149/9</f>
        <v>0</v>
      </c>
      <c r="K149" s="473">
        <f t="shared" ref="K149:K206" si="66">E149+G149-I149</f>
        <v>4</v>
      </c>
      <c r="L149" s="438">
        <f t="shared" ref="L149:L206" si="67">K149*M149</f>
        <v>440</v>
      </c>
      <c r="M149" s="358">
        <f t="shared" ref="M149:M206" si="68">D149</f>
        <v>110</v>
      </c>
      <c r="N149" s="439">
        <f t="shared" ref="N149:N206" si="69">M149-D149</f>
        <v>0</v>
      </c>
      <c r="O149" s="439">
        <f t="shared" ref="O149:O206" si="70">N149*I149</f>
        <v>0</v>
      </c>
      <c r="P149" s="438">
        <f t="shared" ref="P149:P206" si="71">F149+H149-L149</f>
        <v>0</v>
      </c>
      <c r="Q149" s="440" t="s">
        <v>175</v>
      </c>
      <c r="R149" s="109"/>
      <c r="S149" s="97"/>
      <c r="T149" s="168"/>
      <c r="U149" s="168"/>
      <c r="V149" s="362">
        <f t="shared" si="33"/>
        <v>0</v>
      </c>
      <c r="W149" s="109"/>
      <c r="X149" s="109"/>
      <c r="Y149" s="109"/>
      <c r="Z149" s="109"/>
      <c r="AA149" s="109"/>
    </row>
    <row r="150" ht="15.75" hidden="1" customHeight="1" outlineLevel="1">
      <c r="A150" s="431">
        <v>144.0</v>
      </c>
      <c r="B150" s="393" t="s">
        <v>316</v>
      </c>
      <c r="C150" s="393" t="s">
        <v>72</v>
      </c>
      <c r="D150" s="431">
        <v>1050.0</v>
      </c>
      <c r="E150" s="370">
        <v>5.0</v>
      </c>
      <c r="F150" s="455">
        <f t="shared" si="64"/>
        <v>5250</v>
      </c>
      <c r="G150" s="108">
        <f>SUMIF(PURCHASE!$E$3:$E$506,'INVONTERY FEB'!B150:B468,PURCHASE!$H$3:$H$506)</f>
        <v>0</v>
      </c>
      <c r="H150" s="438">
        <f>SUMIF(PURCHASE!$E$3:$E$506,'INVONTERY FEB'!B150:B495,PURCHASE!$I$3:$I$506)</f>
        <v>0</v>
      </c>
      <c r="I150" s="354">
        <f>ISSU!AL150</f>
        <v>0</v>
      </c>
      <c r="J150" s="354">
        <f t="shared" si="65"/>
        <v>0</v>
      </c>
      <c r="K150" s="473">
        <f t="shared" si="66"/>
        <v>5</v>
      </c>
      <c r="L150" s="438">
        <f t="shared" si="67"/>
        <v>5250</v>
      </c>
      <c r="M150" s="358">
        <f t="shared" si="68"/>
        <v>1050</v>
      </c>
      <c r="N150" s="439">
        <f t="shared" si="69"/>
        <v>0</v>
      </c>
      <c r="O150" s="439">
        <f t="shared" si="70"/>
        <v>0</v>
      </c>
      <c r="P150" s="438">
        <f t="shared" si="71"/>
        <v>0</v>
      </c>
      <c r="Q150" s="440" t="s">
        <v>175</v>
      </c>
      <c r="R150" s="109"/>
      <c r="S150" s="97"/>
      <c r="T150" s="168"/>
      <c r="U150" s="168"/>
      <c r="V150" s="362">
        <f t="shared" si="33"/>
        <v>0</v>
      </c>
      <c r="W150" s="109"/>
      <c r="X150" s="109"/>
      <c r="Y150" s="109"/>
      <c r="Z150" s="109"/>
      <c r="AA150" s="109"/>
    </row>
    <row r="151" ht="15.75" hidden="1" customHeight="1" outlineLevel="1">
      <c r="A151" s="431">
        <v>145.0</v>
      </c>
      <c r="B151" s="393" t="s">
        <v>317</v>
      </c>
      <c r="C151" s="393" t="s">
        <v>72</v>
      </c>
      <c r="D151" s="431">
        <v>400.0</v>
      </c>
      <c r="E151" s="370">
        <v>4.0</v>
      </c>
      <c r="F151" s="455">
        <f t="shared" si="64"/>
        <v>1600</v>
      </c>
      <c r="G151" s="108">
        <f>SUMIF(PURCHASE!$E$3:$E$506,'INVONTERY FEB'!B151:B469,PURCHASE!$H$3:$H$506)</f>
        <v>0</v>
      </c>
      <c r="H151" s="438">
        <f>SUMIF(PURCHASE!$E$3:$E$506,'INVONTERY FEB'!B151:B496,PURCHASE!$I$3:$I$506)</f>
        <v>0</v>
      </c>
      <c r="I151" s="354">
        <f>ISSU!AL151</f>
        <v>0</v>
      </c>
      <c r="J151" s="354">
        <f t="shared" si="65"/>
        <v>0</v>
      </c>
      <c r="K151" s="473">
        <f t="shared" si="66"/>
        <v>4</v>
      </c>
      <c r="L151" s="438">
        <f t="shared" si="67"/>
        <v>1600</v>
      </c>
      <c r="M151" s="358">
        <f t="shared" si="68"/>
        <v>400</v>
      </c>
      <c r="N151" s="439">
        <f t="shared" si="69"/>
        <v>0</v>
      </c>
      <c r="O151" s="439">
        <f t="shared" si="70"/>
        <v>0</v>
      </c>
      <c r="P151" s="438">
        <f t="shared" si="71"/>
        <v>0</v>
      </c>
      <c r="Q151" s="440" t="s">
        <v>175</v>
      </c>
      <c r="R151" s="109"/>
      <c r="S151" s="97"/>
      <c r="T151" s="168"/>
      <c r="U151" s="168"/>
      <c r="V151" s="362">
        <f t="shared" si="33"/>
        <v>0</v>
      </c>
      <c r="W151" s="109"/>
      <c r="X151" s="109"/>
      <c r="Y151" s="109"/>
      <c r="Z151" s="109"/>
      <c r="AA151" s="109"/>
    </row>
    <row r="152" ht="15.75" hidden="1" customHeight="1" outlineLevel="1">
      <c r="A152" s="431">
        <v>146.0</v>
      </c>
      <c r="B152" s="393" t="s">
        <v>318</v>
      </c>
      <c r="C152" s="393" t="s">
        <v>72</v>
      </c>
      <c r="D152" s="431">
        <v>600.0</v>
      </c>
      <c r="E152" s="370">
        <v>3.0</v>
      </c>
      <c r="F152" s="455">
        <f t="shared" si="64"/>
        <v>1800</v>
      </c>
      <c r="G152" s="108">
        <f>SUMIF(PURCHASE!$E$3:$E$506,'INVONTERY FEB'!B152:B470,PURCHASE!$H$3:$H$506)</f>
        <v>0</v>
      </c>
      <c r="H152" s="438">
        <f>SUMIF(PURCHASE!$E$3:$E$506,'INVONTERY FEB'!B152:B497,PURCHASE!$I$3:$I$506)</f>
        <v>0</v>
      </c>
      <c r="I152" s="354">
        <f>ISSU!AL152</f>
        <v>0</v>
      </c>
      <c r="J152" s="354">
        <f t="shared" si="65"/>
        <v>0</v>
      </c>
      <c r="K152" s="473">
        <f t="shared" si="66"/>
        <v>3</v>
      </c>
      <c r="L152" s="438">
        <f t="shared" si="67"/>
        <v>1800</v>
      </c>
      <c r="M152" s="358">
        <f t="shared" si="68"/>
        <v>600</v>
      </c>
      <c r="N152" s="439">
        <f t="shared" si="69"/>
        <v>0</v>
      </c>
      <c r="O152" s="439">
        <f t="shared" si="70"/>
        <v>0</v>
      </c>
      <c r="P152" s="438">
        <f t="shared" si="71"/>
        <v>0</v>
      </c>
      <c r="Q152" s="440" t="s">
        <v>175</v>
      </c>
      <c r="R152" s="109"/>
      <c r="S152" s="97"/>
      <c r="T152" s="168"/>
      <c r="U152" s="168"/>
      <c r="V152" s="362">
        <f t="shared" si="33"/>
        <v>0</v>
      </c>
      <c r="W152" s="109"/>
      <c r="X152" s="109"/>
      <c r="Y152" s="109"/>
      <c r="Z152" s="109"/>
      <c r="AA152" s="109"/>
    </row>
    <row r="153" ht="15.75" hidden="1" customHeight="1" outlineLevel="1">
      <c r="A153" s="431">
        <v>147.0</v>
      </c>
      <c r="B153" s="393" t="s">
        <v>319</v>
      </c>
      <c r="C153" s="393" t="s">
        <v>72</v>
      </c>
      <c r="D153" s="431">
        <v>200.0</v>
      </c>
      <c r="E153" s="370">
        <v>5.0</v>
      </c>
      <c r="F153" s="455">
        <f t="shared" si="64"/>
        <v>1000</v>
      </c>
      <c r="G153" s="108">
        <f>SUMIF(PURCHASE!$E$3:$E$506,'INVONTERY FEB'!B153:B471,PURCHASE!$H$3:$H$506)</f>
        <v>0</v>
      </c>
      <c r="H153" s="438">
        <f>SUMIF(PURCHASE!$E$3:$E$506,'INVONTERY FEB'!B153:B498,PURCHASE!$I$3:$I$506)</f>
        <v>0</v>
      </c>
      <c r="I153" s="354">
        <f>ISSU!AL153</f>
        <v>0</v>
      </c>
      <c r="J153" s="354">
        <f t="shared" si="65"/>
        <v>0</v>
      </c>
      <c r="K153" s="473">
        <f t="shared" si="66"/>
        <v>5</v>
      </c>
      <c r="L153" s="438">
        <f t="shared" si="67"/>
        <v>1000</v>
      </c>
      <c r="M153" s="358">
        <f t="shared" si="68"/>
        <v>200</v>
      </c>
      <c r="N153" s="439">
        <f t="shared" si="69"/>
        <v>0</v>
      </c>
      <c r="O153" s="439">
        <f t="shared" si="70"/>
        <v>0</v>
      </c>
      <c r="P153" s="438">
        <f t="shared" si="71"/>
        <v>0</v>
      </c>
      <c r="Q153" s="440" t="s">
        <v>175</v>
      </c>
      <c r="R153" s="109"/>
      <c r="S153" s="97"/>
      <c r="T153" s="168"/>
      <c r="U153" s="168"/>
      <c r="V153" s="362">
        <f t="shared" si="33"/>
        <v>0</v>
      </c>
      <c r="W153" s="109"/>
      <c r="X153" s="109"/>
      <c r="Y153" s="109"/>
      <c r="Z153" s="109"/>
      <c r="AA153" s="109"/>
    </row>
    <row r="154" ht="15.75" hidden="1" customHeight="1" outlineLevel="1">
      <c r="A154" s="431">
        <v>148.0</v>
      </c>
      <c r="B154" s="393" t="s">
        <v>320</v>
      </c>
      <c r="C154" s="393" t="s">
        <v>72</v>
      </c>
      <c r="D154" s="431">
        <v>650.0</v>
      </c>
      <c r="E154" s="370">
        <v>2.0</v>
      </c>
      <c r="F154" s="455">
        <f t="shared" si="64"/>
        <v>1300</v>
      </c>
      <c r="G154" s="108">
        <f>SUMIF(PURCHASE!$E$3:$E$506,'INVONTERY FEB'!B154:B472,PURCHASE!$H$3:$H$506)</f>
        <v>0</v>
      </c>
      <c r="H154" s="438">
        <f>SUMIF(PURCHASE!$E$3:$E$506,'INVONTERY FEB'!B154:B499,PURCHASE!$I$3:$I$506)</f>
        <v>0</v>
      </c>
      <c r="I154" s="354">
        <f>ISSU!AL154</f>
        <v>0</v>
      </c>
      <c r="J154" s="354">
        <f t="shared" si="65"/>
        <v>0</v>
      </c>
      <c r="K154" s="473">
        <f t="shared" si="66"/>
        <v>2</v>
      </c>
      <c r="L154" s="438">
        <f t="shared" si="67"/>
        <v>1300</v>
      </c>
      <c r="M154" s="358">
        <f t="shared" si="68"/>
        <v>650</v>
      </c>
      <c r="N154" s="439">
        <f t="shared" si="69"/>
        <v>0</v>
      </c>
      <c r="O154" s="439">
        <f t="shared" si="70"/>
        <v>0</v>
      </c>
      <c r="P154" s="438">
        <f t="shared" si="71"/>
        <v>0</v>
      </c>
      <c r="Q154" s="440" t="s">
        <v>175</v>
      </c>
      <c r="R154" s="109"/>
      <c r="S154" s="97"/>
      <c r="T154" s="168"/>
      <c r="U154" s="168"/>
      <c r="V154" s="362">
        <f t="shared" si="33"/>
        <v>0</v>
      </c>
      <c r="W154" s="109"/>
      <c r="X154" s="109"/>
      <c r="Y154" s="109"/>
      <c r="Z154" s="109"/>
      <c r="AA154" s="109"/>
    </row>
    <row r="155" ht="15.75" hidden="1" customHeight="1" outlineLevel="1">
      <c r="A155" s="431">
        <v>149.0</v>
      </c>
      <c r="B155" s="393" t="s">
        <v>321</v>
      </c>
      <c r="C155" s="393" t="s">
        <v>72</v>
      </c>
      <c r="D155" s="431">
        <v>580.0</v>
      </c>
      <c r="E155" s="370">
        <v>57.0</v>
      </c>
      <c r="F155" s="455">
        <f t="shared" si="64"/>
        <v>33060</v>
      </c>
      <c r="G155" s="108">
        <f>SUMIF(PURCHASE!$E$3:$E$506,'INVONTERY FEB'!B155:B473,PURCHASE!$H$3:$H$506)</f>
        <v>0</v>
      </c>
      <c r="H155" s="438">
        <f>SUMIF(PURCHASE!$E$3:$E$506,'INVONTERY FEB'!B155:B500,PURCHASE!$I$3:$I$506)</f>
        <v>0</v>
      </c>
      <c r="I155" s="354">
        <f>ISSU!AL155</f>
        <v>0</v>
      </c>
      <c r="J155" s="354">
        <f t="shared" si="65"/>
        <v>0</v>
      </c>
      <c r="K155" s="473">
        <f t="shared" si="66"/>
        <v>57</v>
      </c>
      <c r="L155" s="438">
        <f t="shared" si="67"/>
        <v>33060</v>
      </c>
      <c r="M155" s="358">
        <f t="shared" si="68"/>
        <v>580</v>
      </c>
      <c r="N155" s="439">
        <f t="shared" si="69"/>
        <v>0</v>
      </c>
      <c r="O155" s="439">
        <f t="shared" si="70"/>
        <v>0</v>
      </c>
      <c r="P155" s="438">
        <f t="shared" si="71"/>
        <v>0</v>
      </c>
      <c r="Q155" s="440" t="s">
        <v>175</v>
      </c>
      <c r="R155" s="109"/>
      <c r="S155" s="97"/>
      <c r="T155" s="168"/>
      <c r="U155" s="168"/>
      <c r="V155" s="362">
        <f t="shared" si="33"/>
        <v>0</v>
      </c>
      <c r="W155" s="109"/>
      <c r="X155" s="109"/>
      <c r="Y155" s="109"/>
      <c r="Z155" s="109"/>
      <c r="AA155" s="109"/>
    </row>
    <row r="156" ht="15.75" hidden="1" customHeight="1" outlineLevel="1">
      <c r="A156" s="431">
        <v>150.0</v>
      </c>
      <c r="B156" s="393" t="s">
        <v>322</v>
      </c>
      <c r="C156" s="393" t="s">
        <v>72</v>
      </c>
      <c r="D156" s="431">
        <v>200.0</v>
      </c>
      <c r="E156" s="370">
        <v>200.0</v>
      </c>
      <c r="F156" s="455">
        <f t="shared" si="64"/>
        <v>40000</v>
      </c>
      <c r="G156" s="108">
        <f>SUMIF(PURCHASE!$E$3:$E$506,'INVONTERY FEB'!B156:B474,PURCHASE!$H$3:$H$506)</f>
        <v>0</v>
      </c>
      <c r="H156" s="438">
        <f>SUMIF(PURCHASE!$E$3:$E$506,'INVONTERY FEB'!B156:B501,PURCHASE!$I$3:$I$506)</f>
        <v>0</v>
      </c>
      <c r="I156" s="354">
        <f>ISSU!AL156</f>
        <v>0</v>
      </c>
      <c r="J156" s="354">
        <f t="shared" si="65"/>
        <v>0</v>
      </c>
      <c r="K156" s="473">
        <f t="shared" si="66"/>
        <v>200</v>
      </c>
      <c r="L156" s="438">
        <f t="shared" si="67"/>
        <v>40000</v>
      </c>
      <c r="M156" s="358">
        <f t="shared" si="68"/>
        <v>200</v>
      </c>
      <c r="N156" s="439">
        <f t="shared" si="69"/>
        <v>0</v>
      </c>
      <c r="O156" s="439">
        <f t="shared" si="70"/>
        <v>0</v>
      </c>
      <c r="P156" s="438">
        <f t="shared" si="71"/>
        <v>0</v>
      </c>
      <c r="Q156" s="440" t="s">
        <v>175</v>
      </c>
      <c r="R156" s="109"/>
      <c r="S156" s="97"/>
      <c r="T156" s="168"/>
      <c r="U156" s="168"/>
      <c r="V156" s="362">
        <f t="shared" si="33"/>
        <v>0</v>
      </c>
      <c r="W156" s="109"/>
      <c r="X156" s="109"/>
      <c r="Y156" s="109"/>
      <c r="Z156" s="109"/>
      <c r="AA156" s="109"/>
    </row>
    <row r="157" ht="15.75" hidden="1" customHeight="1" outlineLevel="1">
      <c r="A157" s="431">
        <v>151.0</v>
      </c>
      <c r="B157" s="393" t="s">
        <v>323</v>
      </c>
      <c r="C157" s="393" t="s">
        <v>72</v>
      </c>
      <c r="D157" s="431">
        <v>250.0</v>
      </c>
      <c r="E157" s="370">
        <v>50.0</v>
      </c>
      <c r="F157" s="455">
        <f t="shared" si="64"/>
        <v>12500</v>
      </c>
      <c r="G157" s="108">
        <f>SUMIF(PURCHASE!$E$3:$E$506,'INVONTERY FEB'!B157:B475,PURCHASE!$H$3:$H$506)</f>
        <v>0</v>
      </c>
      <c r="H157" s="438">
        <f>SUMIF(PURCHASE!$E$3:$E$506,'INVONTERY FEB'!B157:B502,PURCHASE!$I$3:$I$506)</f>
        <v>0</v>
      </c>
      <c r="I157" s="354">
        <f>ISSU!AL157</f>
        <v>0</v>
      </c>
      <c r="J157" s="354">
        <f t="shared" si="65"/>
        <v>0</v>
      </c>
      <c r="K157" s="473">
        <f t="shared" si="66"/>
        <v>50</v>
      </c>
      <c r="L157" s="438">
        <f t="shared" si="67"/>
        <v>12500</v>
      </c>
      <c r="M157" s="358">
        <f t="shared" si="68"/>
        <v>250</v>
      </c>
      <c r="N157" s="439">
        <f t="shared" si="69"/>
        <v>0</v>
      </c>
      <c r="O157" s="439">
        <f t="shared" si="70"/>
        <v>0</v>
      </c>
      <c r="P157" s="438">
        <f t="shared" si="71"/>
        <v>0</v>
      </c>
      <c r="Q157" s="440" t="s">
        <v>175</v>
      </c>
      <c r="R157" s="109"/>
      <c r="S157" s="97"/>
      <c r="T157" s="168"/>
      <c r="U157" s="168"/>
      <c r="V157" s="362">
        <f t="shared" si="33"/>
        <v>0</v>
      </c>
      <c r="W157" s="109"/>
      <c r="X157" s="109"/>
      <c r="Y157" s="109"/>
      <c r="Z157" s="109"/>
      <c r="AA157" s="109"/>
    </row>
    <row r="158" ht="15.75" hidden="1" customHeight="1" outlineLevel="1">
      <c r="A158" s="431">
        <v>152.0</v>
      </c>
      <c r="B158" s="393" t="s">
        <v>324</v>
      </c>
      <c r="C158" s="393" t="s">
        <v>72</v>
      </c>
      <c r="D158" s="431">
        <v>250.0</v>
      </c>
      <c r="E158" s="370">
        <v>20.0</v>
      </c>
      <c r="F158" s="455">
        <f t="shared" si="64"/>
        <v>5000</v>
      </c>
      <c r="G158" s="108">
        <f>SUMIF(PURCHASE!$E$3:$E$506,'INVONTERY FEB'!B158:B476,PURCHASE!$H$3:$H$506)</f>
        <v>0</v>
      </c>
      <c r="H158" s="438">
        <f>SUMIF(PURCHASE!$E$3:$E$506,'INVONTERY FEB'!B158:B503,PURCHASE!$I$3:$I$506)</f>
        <v>0</v>
      </c>
      <c r="I158" s="354">
        <f>ISSU!AL158</f>
        <v>0</v>
      </c>
      <c r="J158" s="354">
        <f t="shared" si="65"/>
        <v>0</v>
      </c>
      <c r="K158" s="473">
        <f t="shared" si="66"/>
        <v>20</v>
      </c>
      <c r="L158" s="438">
        <f t="shared" si="67"/>
        <v>5000</v>
      </c>
      <c r="M158" s="358">
        <f t="shared" si="68"/>
        <v>250</v>
      </c>
      <c r="N158" s="439">
        <f t="shared" si="69"/>
        <v>0</v>
      </c>
      <c r="O158" s="439">
        <f t="shared" si="70"/>
        <v>0</v>
      </c>
      <c r="P158" s="438">
        <f t="shared" si="71"/>
        <v>0</v>
      </c>
      <c r="Q158" s="440" t="s">
        <v>175</v>
      </c>
      <c r="R158" s="109"/>
      <c r="S158" s="97"/>
      <c r="T158" s="168"/>
      <c r="U158" s="168"/>
      <c r="V158" s="362">
        <f t="shared" si="33"/>
        <v>0</v>
      </c>
      <c r="W158" s="109"/>
      <c r="X158" s="109"/>
      <c r="Y158" s="109"/>
      <c r="Z158" s="109"/>
      <c r="AA158" s="109"/>
    </row>
    <row r="159" ht="15.75" hidden="1" customHeight="1" outlineLevel="1">
      <c r="A159" s="431">
        <v>153.0</v>
      </c>
      <c r="B159" s="393" t="s">
        <v>325</v>
      </c>
      <c r="C159" s="393" t="s">
        <v>72</v>
      </c>
      <c r="D159" s="431">
        <v>500.0</v>
      </c>
      <c r="E159" s="370">
        <v>60.0</v>
      </c>
      <c r="F159" s="455">
        <f t="shared" si="64"/>
        <v>30000</v>
      </c>
      <c r="G159" s="108">
        <f>SUMIF(PURCHASE!$E$3:$E$506,'INVONTERY FEB'!B159:B477,PURCHASE!$H$3:$H$506)</f>
        <v>0</v>
      </c>
      <c r="H159" s="438">
        <f>SUMIF(PURCHASE!$E$3:$E$506,'INVONTERY FEB'!B159:B504,PURCHASE!$I$3:$I$506)</f>
        <v>0</v>
      </c>
      <c r="I159" s="354">
        <f>ISSU!AL159</f>
        <v>0</v>
      </c>
      <c r="J159" s="354">
        <f t="shared" si="65"/>
        <v>0</v>
      </c>
      <c r="K159" s="473">
        <f t="shared" si="66"/>
        <v>60</v>
      </c>
      <c r="L159" s="438">
        <f t="shared" si="67"/>
        <v>30000</v>
      </c>
      <c r="M159" s="358">
        <f t="shared" si="68"/>
        <v>500</v>
      </c>
      <c r="N159" s="439">
        <f t="shared" si="69"/>
        <v>0</v>
      </c>
      <c r="O159" s="439">
        <f t="shared" si="70"/>
        <v>0</v>
      </c>
      <c r="P159" s="438">
        <f t="shared" si="71"/>
        <v>0</v>
      </c>
      <c r="Q159" s="440" t="s">
        <v>175</v>
      </c>
      <c r="R159" s="109"/>
      <c r="S159" s="97"/>
      <c r="T159" s="168"/>
      <c r="U159" s="168"/>
      <c r="V159" s="362">
        <f t="shared" si="33"/>
        <v>0</v>
      </c>
      <c r="W159" s="109"/>
      <c r="X159" s="109"/>
      <c r="Y159" s="109"/>
      <c r="Z159" s="109"/>
      <c r="AA159" s="109"/>
    </row>
    <row r="160" ht="15.75" hidden="1" customHeight="1" outlineLevel="1">
      <c r="A160" s="431">
        <v>154.0</v>
      </c>
      <c r="B160" s="393" t="s">
        <v>326</v>
      </c>
      <c r="C160" s="393" t="s">
        <v>72</v>
      </c>
      <c r="D160" s="431">
        <v>1200.0</v>
      </c>
      <c r="E160" s="370">
        <v>20.0</v>
      </c>
      <c r="F160" s="455">
        <f t="shared" si="64"/>
        <v>24000</v>
      </c>
      <c r="G160" s="108">
        <f>SUMIF(PURCHASE!$E$3:$E$506,'INVONTERY FEB'!B160:B478,PURCHASE!$H$3:$H$506)</f>
        <v>0</v>
      </c>
      <c r="H160" s="438">
        <f>SUMIF(PURCHASE!$E$3:$E$506,'INVONTERY FEB'!B160:B505,PURCHASE!$I$3:$I$506)</f>
        <v>0</v>
      </c>
      <c r="I160" s="354">
        <f>ISSU!AL160</f>
        <v>0</v>
      </c>
      <c r="J160" s="354">
        <f t="shared" si="65"/>
        <v>0</v>
      </c>
      <c r="K160" s="473">
        <f t="shared" si="66"/>
        <v>20</v>
      </c>
      <c r="L160" s="438">
        <f t="shared" si="67"/>
        <v>24000</v>
      </c>
      <c r="M160" s="358">
        <f t="shared" si="68"/>
        <v>1200</v>
      </c>
      <c r="N160" s="439">
        <f t="shared" si="69"/>
        <v>0</v>
      </c>
      <c r="O160" s="439">
        <f t="shared" si="70"/>
        <v>0</v>
      </c>
      <c r="P160" s="438">
        <f t="shared" si="71"/>
        <v>0</v>
      </c>
      <c r="Q160" s="440" t="s">
        <v>175</v>
      </c>
      <c r="R160" s="109"/>
      <c r="S160" s="97"/>
      <c r="T160" s="168"/>
      <c r="U160" s="168"/>
      <c r="V160" s="362">
        <f t="shared" si="33"/>
        <v>0</v>
      </c>
      <c r="W160" s="109"/>
      <c r="X160" s="109"/>
      <c r="Y160" s="109"/>
      <c r="Z160" s="109"/>
      <c r="AA160" s="109"/>
    </row>
    <row r="161" ht="15.75" hidden="1" customHeight="1" outlineLevel="1">
      <c r="A161" s="431">
        <v>155.0</v>
      </c>
      <c r="B161" s="393" t="s">
        <v>327</v>
      </c>
      <c r="C161" s="393" t="s">
        <v>72</v>
      </c>
      <c r="D161" s="431">
        <v>3800.0</v>
      </c>
      <c r="E161" s="370">
        <v>2.0</v>
      </c>
      <c r="F161" s="455">
        <f t="shared" si="64"/>
        <v>7600</v>
      </c>
      <c r="G161" s="108">
        <f>SUMIF(PURCHASE!$E$3:$E$506,'INVONTERY FEB'!B161:B479,PURCHASE!$H$3:$H$506)</f>
        <v>0</v>
      </c>
      <c r="H161" s="438">
        <f>SUMIF(PURCHASE!$E$3:$E$506,'INVONTERY FEB'!B161:B506,PURCHASE!$I$3:$I$506)</f>
        <v>0</v>
      </c>
      <c r="I161" s="354">
        <f>ISSU!AL161</f>
        <v>0</v>
      </c>
      <c r="J161" s="354">
        <f t="shared" si="65"/>
        <v>0</v>
      </c>
      <c r="K161" s="473">
        <f t="shared" si="66"/>
        <v>2</v>
      </c>
      <c r="L161" s="438">
        <f t="shared" si="67"/>
        <v>7600</v>
      </c>
      <c r="M161" s="358">
        <f t="shared" si="68"/>
        <v>3800</v>
      </c>
      <c r="N161" s="439">
        <f t="shared" si="69"/>
        <v>0</v>
      </c>
      <c r="O161" s="439">
        <f t="shared" si="70"/>
        <v>0</v>
      </c>
      <c r="P161" s="438">
        <f t="shared" si="71"/>
        <v>0</v>
      </c>
      <c r="Q161" s="440" t="s">
        <v>175</v>
      </c>
      <c r="R161" s="109"/>
      <c r="S161" s="97"/>
      <c r="T161" s="168"/>
      <c r="U161" s="168"/>
      <c r="V161" s="362">
        <f t="shared" si="33"/>
        <v>0</v>
      </c>
      <c r="W161" s="109"/>
      <c r="X161" s="109"/>
      <c r="Y161" s="109"/>
      <c r="Z161" s="109"/>
      <c r="AA161" s="109"/>
    </row>
    <row r="162" ht="15.75" hidden="1" customHeight="1" outlineLevel="1">
      <c r="A162" s="431">
        <v>156.0</v>
      </c>
      <c r="B162" s="393" t="s">
        <v>328</v>
      </c>
      <c r="C162" s="393" t="s">
        <v>72</v>
      </c>
      <c r="D162" s="431">
        <v>850.0</v>
      </c>
      <c r="E162" s="370">
        <v>2.0</v>
      </c>
      <c r="F162" s="455">
        <f t="shared" si="64"/>
        <v>1700</v>
      </c>
      <c r="G162" s="108">
        <f>SUMIF(PURCHASE!$E$3:$E$506,'INVONTERY FEB'!B162:B480,PURCHASE!$H$3:$H$506)</f>
        <v>0</v>
      </c>
      <c r="H162" s="438">
        <f>SUMIF(PURCHASE!$E$3:$E$506,'INVONTERY FEB'!B162:B507,PURCHASE!$I$3:$I$506)</f>
        <v>0</v>
      </c>
      <c r="I162" s="354">
        <f>ISSU!AL162</f>
        <v>0</v>
      </c>
      <c r="J162" s="354">
        <f t="shared" si="65"/>
        <v>0</v>
      </c>
      <c r="K162" s="473">
        <f t="shared" si="66"/>
        <v>2</v>
      </c>
      <c r="L162" s="438">
        <f t="shared" si="67"/>
        <v>1700</v>
      </c>
      <c r="M162" s="358">
        <f t="shared" si="68"/>
        <v>850</v>
      </c>
      <c r="N162" s="439">
        <f t="shared" si="69"/>
        <v>0</v>
      </c>
      <c r="O162" s="439">
        <f t="shared" si="70"/>
        <v>0</v>
      </c>
      <c r="P162" s="438">
        <f t="shared" si="71"/>
        <v>0</v>
      </c>
      <c r="Q162" s="440" t="s">
        <v>175</v>
      </c>
      <c r="R162" s="109"/>
      <c r="S162" s="97"/>
      <c r="T162" s="168"/>
      <c r="U162" s="168"/>
      <c r="V162" s="362">
        <f t="shared" si="33"/>
        <v>0</v>
      </c>
      <c r="W162" s="109"/>
      <c r="X162" s="109"/>
      <c r="Y162" s="109"/>
      <c r="Z162" s="109"/>
      <c r="AA162" s="109"/>
    </row>
    <row r="163" ht="15.75" hidden="1" customHeight="1" outlineLevel="1">
      <c r="A163" s="431">
        <v>157.0</v>
      </c>
      <c r="B163" s="393" t="s">
        <v>329</v>
      </c>
      <c r="C163" s="393" t="s">
        <v>72</v>
      </c>
      <c r="D163" s="431">
        <v>400.0</v>
      </c>
      <c r="E163" s="370">
        <v>2.0</v>
      </c>
      <c r="F163" s="455">
        <f t="shared" si="64"/>
        <v>800</v>
      </c>
      <c r="G163" s="108">
        <f>SUMIF(PURCHASE!$E$3:$E$506,'INVONTERY FEB'!B163:B481,PURCHASE!$H$3:$H$506)</f>
        <v>0</v>
      </c>
      <c r="H163" s="438">
        <f>SUMIF(PURCHASE!$E$3:$E$506,'INVONTERY FEB'!B163:B508,PURCHASE!$I$3:$I$506)</f>
        <v>0</v>
      </c>
      <c r="I163" s="354">
        <f>ISSU!AL163</f>
        <v>0</v>
      </c>
      <c r="J163" s="354">
        <f t="shared" si="65"/>
        <v>0</v>
      </c>
      <c r="K163" s="473">
        <f t="shared" si="66"/>
        <v>2</v>
      </c>
      <c r="L163" s="438">
        <f t="shared" si="67"/>
        <v>800</v>
      </c>
      <c r="M163" s="358">
        <f t="shared" si="68"/>
        <v>400</v>
      </c>
      <c r="N163" s="439">
        <f t="shared" si="69"/>
        <v>0</v>
      </c>
      <c r="O163" s="439">
        <f t="shared" si="70"/>
        <v>0</v>
      </c>
      <c r="P163" s="438">
        <f t="shared" si="71"/>
        <v>0</v>
      </c>
      <c r="Q163" s="440" t="s">
        <v>175</v>
      </c>
      <c r="R163" s="109"/>
      <c r="S163" s="97"/>
      <c r="T163" s="168"/>
      <c r="U163" s="168"/>
      <c r="V163" s="362">
        <f t="shared" si="33"/>
        <v>0</v>
      </c>
      <c r="W163" s="109"/>
      <c r="X163" s="109"/>
      <c r="Y163" s="109"/>
      <c r="Z163" s="109"/>
      <c r="AA163" s="109"/>
    </row>
    <row r="164" ht="15.75" hidden="1" customHeight="1" outlineLevel="1">
      <c r="A164" s="431">
        <v>158.0</v>
      </c>
      <c r="B164" s="393" t="s">
        <v>330</v>
      </c>
      <c r="C164" s="393" t="s">
        <v>72</v>
      </c>
      <c r="D164" s="431">
        <v>1100.0</v>
      </c>
      <c r="E164" s="370">
        <v>2.0</v>
      </c>
      <c r="F164" s="455">
        <f t="shared" si="64"/>
        <v>2200</v>
      </c>
      <c r="G164" s="108">
        <f>SUMIF(PURCHASE!$E$3:$E$506,'INVONTERY FEB'!B164:B482,PURCHASE!$H$3:$H$506)</f>
        <v>0</v>
      </c>
      <c r="H164" s="438">
        <f>SUMIF(PURCHASE!$E$3:$E$506,'INVONTERY FEB'!B164:B509,PURCHASE!$I$3:$I$506)</f>
        <v>0</v>
      </c>
      <c r="I164" s="354">
        <f>ISSU!AL164</f>
        <v>0</v>
      </c>
      <c r="J164" s="354">
        <f t="shared" si="65"/>
        <v>0</v>
      </c>
      <c r="K164" s="473">
        <f t="shared" si="66"/>
        <v>2</v>
      </c>
      <c r="L164" s="438">
        <f t="shared" si="67"/>
        <v>2200</v>
      </c>
      <c r="M164" s="358">
        <f t="shared" si="68"/>
        <v>1100</v>
      </c>
      <c r="N164" s="439">
        <f t="shared" si="69"/>
        <v>0</v>
      </c>
      <c r="O164" s="439">
        <f t="shared" si="70"/>
        <v>0</v>
      </c>
      <c r="P164" s="438">
        <f t="shared" si="71"/>
        <v>0</v>
      </c>
      <c r="Q164" s="440" t="s">
        <v>175</v>
      </c>
      <c r="R164" s="109"/>
      <c r="S164" s="97"/>
      <c r="T164" s="168"/>
      <c r="U164" s="168"/>
      <c r="V164" s="362">
        <f t="shared" si="33"/>
        <v>0</v>
      </c>
      <c r="W164" s="109"/>
      <c r="X164" s="109"/>
      <c r="Y164" s="109"/>
      <c r="Z164" s="109"/>
      <c r="AA164" s="109"/>
    </row>
    <row r="165" ht="15.75" hidden="1" customHeight="1" outlineLevel="1">
      <c r="A165" s="431">
        <v>159.0</v>
      </c>
      <c r="B165" s="393" t="s">
        <v>331</v>
      </c>
      <c r="C165" s="393" t="s">
        <v>72</v>
      </c>
      <c r="D165" s="431">
        <v>320.0</v>
      </c>
      <c r="E165" s="370">
        <v>10.0</v>
      </c>
      <c r="F165" s="455">
        <f t="shared" si="64"/>
        <v>3200</v>
      </c>
      <c r="G165" s="108">
        <f>SUMIF(PURCHASE!$E$3:$E$506,'INVONTERY FEB'!B165:B483,PURCHASE!$H$3:$H$506)</f>
        <v>0</v>
      </c>
      <c r="H165" s="438">
        <f>SUMIF(PURCHASE!$E$3:$E$506,'INVONTERY FEB'!B165:B510,PURCHASE!$I$3:$I$506)</f>
        <v>0</v>
      </c>
      <c r="I165" s="354">
        <f>ISSU!AL165</f>
        <v>0</v>
      </c>
      <c r="J165" s="354">
        <f t="shared" si="65"/>
        <v>0</v>
      </c>
      <c r="K165" s="473">
        <f t="shared" si="66"/>
        <v>10</v>
      </c>
      <c r="L165" s="438">
        <f t="shared" si="67"/>
        <v>3200</v>
      </c>
      <c r="M165" s="358">
        <f t="shared" si="68"/>
        <v>320</v>
      </c>
      <c r="N165" s="439">
        <f t="shared" si="69"/>
        <v>0</v>
      </c>
      <c r="O165" s="439">
        <f t="shared" si="70"/>
        <v>0</v>
      </c>
      <c r="P165" s="438">
        <f t="shared" si="71"/>
        <v>0</v>
      </c>
      <c r="Q165" s="440" t="s">
        <v>175</v>
      </c>
      <c r="R165" s="109"/>
      <c r="S165" s="97"/>
      <c r="T165" s="168"/>
      <c r="U165" s="168"/>
      <c r="V165" s="362">
        <f t="shared" si="33"/>
        <v>0</v>
      </c>
      <c r="W165" s="109"/>
      <c r="X165" s="109"/>
      <c r="Y165" s="109"/>
      <c r="Z165" s="109"/>
      <c r="AA165" s="109"/>
    </row>
    <row r="166" ht="15.75" hidden="1" customHeight="1" outlineLevel="1">
      <c r="A166" s="431">
        <v>160.0</v>
      </c>
      <c r="B166" s="393" t="s">
        <v>332</v>
      </c>
      <c r="C166" s="393" t="s">
        <v>72</v>
      </c>
      <c r="D166" s="431">
        <v>60.0</v>
      </c>
      <c r="E166" s="370">
        <v>0.0</v>
      </c>
      <c r="F166" s="455">
        <f t="shared" si="64"/>
        <v>0</v>
      </c>
      <c r="G166" s="108">
        <f>SUMIF(PURCHASE!$E$3:$E$506,'INVONTERY FEB'!B166:B484,PURCHASE!$H$3:$H$506)</f>
        <v>0</v>
      </c>
      <c r="H166" s="438">
        <f>SUMIF(PURCHASE!$E$3:$E$506,'INVONTERY FEB'!B166:B511,PURCHASE!$I$3:$I$506)</f>
        <v>0</v>
      </c>
      <c r="I166" s="354">
        <f>ISSU!AL166</f>
        <v>0</v>
      </c>
      <c r="J166" s="354">
        <f t="shared" si="65"/>
        <v>0</v>
      </c>
      <c r="K166" s="473">
        <f t="shared" si="66"/>
        <v>0</v>
      </c>
      <c r="L166" s="438">
        <f t="shared" si="67"/>
        <v>0</v>
      </c>
      <c r="M166" s="358">
        <f t="shared" si="68"/>
        <v>60</v>
      </c>
      <c r="N166" s="439">
        <f t="shared" si="69"/>
        <v>0</v>
      </c>
      <c r="O166" s="439">
        <f t="shared" si="70"/>
        <v>0</v>
      </c>
      <c r="P166" s="438">
        <f t="shared" si="71"/>
        <v>0</v>
      </c>
      <c r="Q166" s="440" t="s">
        <v>175</v>
      </c>
      <c r="R166" s="109"/>
      <c r="S166" s="97"/>
      <c r="T166" s="168"/>
      <c r="U166" s="168"/>
      <c r="V166" s="362">
        <f t="shared" si="33"/>
        <v>0</v>
      </c>
      <c r="W166" s="109"/>
      <c r="X166" s="109"/>
      <c r="Y166" s="109"/>
      <c r="Z166" s="109"/>
      <c r="AA166" s="109"/>
    </row>
    <row r="167" ht="15.75" hidden="1" customHeight="1" outlineLevel="1">
      <c r="A167" s="431">
        <v>161.0</v>
      </c>
      <c r="B167" s="393" t="s">
        <v>333</v>
      </c>
      <c r="C167" s="393" t="s">
        <v>72</v>
      </c>
      <c r="D167" s="431">
        <v>2700.0</v>
      </c>
      <c r="E167" s="370">
        <v>1.0</v>
      </c>
      <c r="F167" s="455">
        <f t="shared" si="64"/>
        <v>2700</v>
      </c>
      <c r="G167" s="108">
        <f>SUMIF(PURCHASE!$E$3:$E$506,'INVONTERY FEB'!B167:B485,PURCHASE!$H$3:$H$506)</f>
        <v>0</v>
      </c>
      <c r="H167" s="438">
        <f>SUMIF(PURCHASE!$E$3:$E$506,'INVONTERY FEB'!B167:B512,PURCHASE!$I$3:$I$506)</f>
        <v>0</v>
      </c>
      <c r="I167" s="354">
        <f>ISSU!AL167</f>
        <v>0</v>
      </c>
      <c r="J167" s="354">
        <f t="shared" si="65"/>
        <v>0</v>
      </c>
      <c r="K167" s="473">
        <f t="shared" si="66"/>
        <v>1</v>
      </c>
      <c r="L167" s="438">
        <f t="shared" si="67"/>
        <v>2700</v>
      </c>
      <c r="M167" s="358">
        <f t="shared" si="68"/>
        <v>2700</v>
      </c>
      <c r="N167" s="439">
        <f t="shared" si="69"/>
        <v>0</v>
      </c>
      <c r="O167" s="439">
        <f t="shared" si="70"/>
        <v>0</v>
      </c>
      <c r="P167" s="438">
        <f t="shared" si="71"/>
        <v>0</v>
      </c>
      <c r="Q167" s="440" t="s">
        <v>175</v>
      </c>
      <c r="R167" s="109"/>
      <c r="S167" s="97"/>
      <c r="T167" s="168"/>
      <c r="U167" s="168"/>
      <c r="V167" s="362">
        <f t="shared" si="33"/>
        <v>0</v>
      </c>
      <c r="W167" s="109"/>
      <c r="X167" s="109"/>
      <c r="Y167" s="109"/>
      <c r="Z167" s="109"/>
      <c r="AA167" s="109"/>
    </row>
    <row r="168" ht="15.75" hidden="1" customHeight="1" outlineLevel="1">
      <c r="A168" s="431">
        <v>162.0</v>
      </c>
      <c r="B168" s="393" t="s">
        <v>334</v>
      </c>
      <c r="C168" s="393" t="s">
        <v>335</v>
      </c>
      <c r="D168" s="431">
        <v>2700.0</v>
      </c>
      <c r="E168" s="370">
        <v>7.0</v>
      </c>
      <c r="F168" s="455">
        <f t="shared" si="64"/>
        <v>18900</v>
      </c>
      <c r="G168" s="108">
        <f>SUMIF(PURCHASE!$E$3:$E$506,'INVONTERY FEB'!B168:B486,PURCHASE!$H$3:$H$506)</f>
        <v>0</v>
      </c>
      <c r="H168" s="438">
        <f>SUMIF(PURCHASE!$E$3:$E$506,'INVONTERY FEB'!B168:B513,PURCHASE!$I$3:$I$506)</f>
        <v>0</v>
      </c>
      <c r="I168" s="354">
        <f>ISSU!AL168</f>
        <v>0</v>
      </c>
      <c r="J168" s="354">
        <f t="shared" si="65"/>
        <v>0</v>
      </c>
      <c r="K168" s="473">
        <f t="shared" si="66"/>
        <v>7</v>
      </c>
      <c r="L168" s="438">
        <f t="shared" si="67"/>
        <v>18900</v>
      </c>
      <c r="M168" s="358">
        <f t="shared" si="68"/>
        <v>2700</v>
      </c>
      <c r="N168" s="439">
        <f t="shared" si="69"/>
        <v>0</v>
      </c>
      <c r="O168" s="439">
        <f t="shared" si="70"/>
        <v>0</v>
      </c>
      <c r="P168" s="438">
        <f t="shared" si="71"/>
        <v>0</v>
      </c>
      <c r="Q168" s="440" t="s">
        <v>175</v>
      </c>
      <c r="R168" s="109"/>
      <c r="S168" s="97"/>
      <c r="T168" s="168"/>
      <c r="U168" s="168"/>
      <c r="V168" s="362">
        <f t="shared" si="33"/>
        <v>0</v>
      </c>
      <c r="W168" s="109"/>
      <c r="X168" s="109"/>
      <c r="Y168" s="109"/>
      <c r="Z168" s="109"/>
      <c r="AA168" s="109"/>
    </row>
    <row r="169" ht="15.75" hidden="1" customHeight="1" outlineLevel="1">
      <c r="A169" s="431">
        <v>163.0</v>
      </c>
      <c r="B169" s="393" t="s">
        <v>336</v>
      </c>
      <c r="C169" s="393" t="s">
        <v>72</v>
      </c>
      <c r="D169" s="431">
        <v>200.0</v>
      </c>
      <c r="E169" s="370">
        <v>5.0</v>
      </c>
      <c r="F169" s="455">
        <f t="shared" si="64"/>
        <v>1000</v>
      </c>
      <c r="G169" s="108">
        <f>SUMIF(PURCHASE!$E$3:$E$506,'INVONTERY FEB'!B169:B487,PURCHASE!$H$3:$H$506)</f>
        <v>0</v>
      </c>
      <c r="H169" s="438">
        <f>SUMIF(PURCHASE!$E$3:$E$506,'INVONTERY FEB'!B169:B514,PURCHASE!$I$3:$I$506)</f>
        <v>0</v>
      </c>
      <c r="I169" s="354">
        <f>ISSU!AL169</f>
        <v>0</v>
      </c>
      <c r="J169" s="354">
        <f t="shared" si="65"/>
        <v>0</v>
      </c>
      <c r="K169" s="473">
        <f t="shared" si="66"/>
        <v>5</v>
      </c>
      <c r="L169" s="438">
        <f t="shared" si="67"/>
        <v>1000</v>
      </c>
      <c r="M169" s="358">
        <f t="shared" si="68"/>
        <v>200</v>
      </c>
      <c r="N169" s="439">
        <f t="shared" si="69"/>
        <v>0</v>
      </c>
      <c r="O169" s="439">
        <f t="shared" si="70"/>
        <v>0</v>
      </c>
      <c r="P169" s="438">
        <f t="shared" si="71"/>
        <v>0</v>
      </c>
      <c r="Q169" s="440" t="s">
        <v>175</v>
      </c>
      <c r="R169" s="109"/>
      <c r="S169" s="97"/>
      <c r="T169" s="168"/>
      <c r="U169" s="168"/>
      <c r="V169" s="362">
        <f t="shared" si="33"/>
        <v>0</v>
      </c>
      <c r="W169" s="109"/>
      <c r="X169" s="109"/>
      <c r="Y169" s="109"/>
      <c r="Z169" s="109"/>
      <c r="AA169" s="109"/>
    </row>
    <row r="170" ht="15.75" hidden="1" customHeight="1" outlineLevel="1">
      <c r="A170" s="431">
        <v>164.0</v>
      </c>
      <c r="B170" s="393" t="s">
        <v>337</v>
      </c>
      <c r="C170" s="393" t="s">
        <v>72</v>
      </c>
      <c r="D170" s="431">
        <v>350.0</v>
      </c>
      <c r="E170" s="370">
        <v>2.0</v>
      </c>
      <c r="F170" s="455">
        <f t="shared" si="64"/>
        <v>700</v>
      </c>
      <c r="G170" s="108">
        <f>SUMIF(PURCHASE!$E$3:$E$506,'INVONTERY FEB'!B170:B488,PURCHASE!$H$3:$H$506)</f>
        <v>0</v>
      </c>
      <c r="H170" s="438">
        <f>SUMIF(PURCHASE!$E$3:$E$506,'INVONTERY FEB'!B170:B515,PURCHASE!$I$3:$I$506)</f>
        <v>0</v>
      </c>
      <c r="I170" s="354">
        <f>ISSU!AL170</f>
        <v>0</v>
      </c>
      <c r="J170" s="354">
        <f t="shared" si="65"/>
        <v>0</v>
      </c>
      <c r="K170" s="473">
        <f t="shared" si="66"/>
        <v>2</v>
      </c>
      <c r="L170" s="438">
        <f t="shared" si="67"/>
        <v>700</v>
      </c>
      <c r="M170" s="358">
        <f t="shared" si="68"/>
        <v>350</v>
      </c>
      <c r="N170" s="439">
        <f t="shared" si="69"/>
        <v>0</v>
      </c>
      <c r="O170" s="439">
        <f t="shared" si="70"/>
        <v>0</v>
      </c>
      <c r="P170" s="438">
        <f t="shared" si="71"/>
        <v>0</v>
      </c>
      <c r="Q170" s="440" t="s">
        <v>175</v>
      </c>
      <c r="R170" s="109"/>
      <c r="S170" s="97"/>
      <c r="T170" s="168"/>
      <c r="U170" s="168"/>
      <c r="V170" s="362">
        <f t="shared" si="33"/>
        <v>0</v>
      </c>
      <c r="W170" s="109"/>
      <c r="X170" s="109"/>
      <c r="Y170" s="109"/>
      <c r="Z170" s="109"/>
      <c r="AA170" s="109"/>
    </row>
    <row r="171" ht="15.75" hidden="1" customHeight="1" outlineLevel="1">
      <c r="A171" s="431">
        <v>165.0</v>
      </c>
      <c r="B171" s="393" t="s">
        <v>338</v>
      </c>
      <c r="C171" s="393" t="s">
        <v>72</v>
      </c>
      <c r="D171" s="431">
        <v>100.0</v>
      </c>
      <c r="E171" s="370">
        <v>4.0</v>
      </c>
      <c r="F171" s="455">
        <f t="shared" si="64"/>
        <v>400</v>
      </c>
      <c r="G171" s="108">
        <f>SUMIF(PURCHASE!$E$3:$E$506,'INVONTERY FEB'!B171:B489,PURCHASE!$H$3:$H$506)</f>
        <v>0</v>
      </c>
      <c r="H171" s="438">
        <f>SUMIF(PURCHASE!$E$3:$E$506,'INVONTERY FEB'!B171:B516,PURCHASE!$I$3:$I$506)</f>
        <v>0</v>
      </c>
      <c r="I171" s="354">
        <f>ISSU!AL171</f>
        <v>0</v>
      </c>
      <c r="J171" s="354">
        <f t="shared" si="65"/>
        <v>0</v>
      </c>
      <c r="K171" s="473">
        <f t="shared" si="66"/>
        <v>4</v>
      </c>
      <c r="L171" s="438">
        <f t="shared" si="67"/>
        <v>400</v>
      </c>
      <c r="M171" s="358">
        <f t="shared" si="68"/>
        <v>100</v>
      </c>
      <c r="N171" s="439">
        <f t="shared" si="69"/>
        <v>0</v>
      </c>
      <c r="O171" s="439">
        <f t="shared" si="70"/>
        <v>0</v>
      </c>
      <c r="P171" s="438">
        <f t="shared" si="71"/>
        <v>0</v>
      </c>
      <c r="Q171" s="440" t="s">
        <v>175</v>
      </c>
      <c r="R171" s="109"/>
      <c r="S171" s="97"/>
      <c r="T171" s="168"/>
      <c r="U171" s="168"/>
      <c r="V171" s="362">
        <f t="shared" si="33"/>
        <v>0</v>
      </c>
      <c r="W171" s="109"/>
      <c r="X171" s="109"/>
      <c r="Y171" s="109"/>
      <c r="Z171" s="109"/>
      <c r="AA171" s="109"/>
    </row>
    <row r="172" ht="15.75" hidden="1" customHeight="1" outlineLevel="1">
      <c r="A172" s="431">
        <v>166.0</v>
      </c>
      <c r="B172" s="393" t="s">
        <v>339</v>
      </c>
      <c r="C172" s="393" t="s">
        <v>72</v>
      </c>
      <c r="D172" s="431">
        <v>70.0</v>
      </c>
      <c r="E172" s="370">
        <v>5.0</v>
      </c>
      <c r="F172" s="455">
        <f t="shared" si="64"/>
        <v>350</v>
      </c>
      <c r="G172" s="108">
        <f>SUMIF(PURCHASE!$E$3:$E$506,'INVONTERY FEB'!B172:B490,PURCHASE!$H$3:$H$506)</f>
        <v>0</v>
      </c>
      <c r="H172" s="438">
        <f>SUMIF(PURCHASE!$E$3:$E$506,'INVONTERY FEB'!B172:B517,PURCHASE!$I$3:$I$506)</f>
        <v>0</v>
      </c>
      <c r="I172" s="354">
        <f>ISSU!AL172</f>
        <v>0</v>
      </c>
      <c r="J172" s="354">
        <f t="shared" si="65"/>
        <v>0</v>
      </c>
      <c r="K172" s="473">
        <f t="shared" si="66"/>
        <v>5</v>
      </c>
      <c r="L172" s="438">
        <f t="shared" si="67"/>
        <v>350</v>
      </c>
      <c r="M172" s="358">
        <f t="shared" si="68"/>
        <v>70</v>
      </c>
      <c r="N172" s="439">
        <f t="shared" si="69"/>
        <v>0</v>
      </c>
      <c r="O172" s="439">
        <f t="shared" si="70"/>
        <v>0</v>
      </c>
      <c r="P172" s="438">
        <f t="shared" si="71"/>
        <v>0</v>
      </c>
      <c r="Q172" s="440" t="s">
        <v>175</v>
      </c>
      <c r="R172" s="109"/>
      <c r="S172" s="97"/>
      <c r="T172" s="168"/>
      <c r="U172" s="168"/>
      <c r="V172" s="362">
        <f t="shared" si="33"/>
        <v>0</v>
      </c>
      <c r="W172" s="109"/>
      <c r="X172" s="109"/>
      <c r="Y172" s="109"/>
      <c r="Z172" s="109"/>
      <c r="AA172" s="109"/>
    </row>
    <row r="173" ht="15.75" hidden="1" customHeight="1" outlineLevel="1">
      <c r="A173" s="431">
        <v>167.0</v>
      </c>
      <c r="B173" s="393" t="s">
        <v>340</v>
      </c>
      <c r="C173" s="393" t="s">
        <v>72</v>
      </c>
      <c r="D173" s="431">
        <v>50.0</v>
      </c>
      <c r="E173" s="370">
        <v>6.0</v>
      </c>
      <c r="F173" s="455">
        <f t="shared" si="64"/>
        <v>300</v>
      </c>
      <c r="G173" s="108">
        <f>SUMIF(PURCHASE!$E$3:$E$506,'INVONTERY FEB'!B173:B491,PURCHASE!$H$3:$H$506)</f>
        <v>0</v>
      </c>
      <c r="H173" s="438">
        <f>SUMIF(PURCHASE!$E$3:$E$506,'INVONTERY FEB'!B173:B518,PURCHASE!$I$3:$I$506)</f>
        <v>0</v>
      </c>
      <c r="I173" s="354">
        <f>ISSU!AL173</f>
        <v>0</v>
      </c>
      <c r="J173" s="354">
        <f t="shared" si="65"/>
        <v>0</v>
      </c>
      <c r="K173" s="473">
        <f t="shared" si="66"/>
        <v>6</v>
      </c>
      <c r="L173" s="438">
        <f t="shared" si="67"/>
        <v>300</v>
      </c>
      <c r="M173" s="358">
        <f t="shared" si="68"/>
        <v>50</v>
      </c>
      <c r="N173" s="439">
        <f t="shared" si="69"/>
        <v>0</v>
      </c>
      <c r="O173" s="439">
        <f t="shared" si="70"/>
        <v>0</v>
      </c>
      <c r="P173" s="438">
        <f t="shared" si="71"/>
        <v>0</v>
      </c>
      <c r="Q173" s="440" t="s">
        <v>175</v>
      </c>
      <c r="R173" s="109"/>
      <c r="S173" s="97"/>
      <c r="T173" s="168"/>
      <c r="U173" s="168"/>
      <c r="V173" s="362">
        <f t="shared" si="33"/>
        <v>0</v>
      </c>
      <c r="W173" s="109"/>
      <c r="X173" s="109"/>
      <c r="Y173" s="109"/>
      <c r="Z173" s="109"/>
      <c r="AA173" s="109"/>
    </row>
    <row r="174" ht="15.75" hidden="1" customHeight="1" outlineLevel="1">
      <c r="A174" s="431">
        <v>168.0</v>
      </c>
      <c r="B174" s="393" t="s">
        <v>341</v>
      </c>
      <c r="C174" s="393" t="s">
        <v>72</v>
      </c>
      <c r="D174" s="431">
        <v>250.0</v>
      </c>
      <c r="E174" s="370">
        <v>5.0</v>
      </c>
      <c r="F174" s="455">
        <f t="shared" si="64"/>
        <v>1250</v>
      </c>
      <c r="G174" s="108">
        <f>SUMIF(PURCHASE!$E$3:$E$506,'INVONTERY FEB'!B174:B492,PURCHASE!$H$3:$H$506)</f>
        <v>0</v>
      </c>
      <c r="H174" s="438">
        <f>SUMIF(PURCHASE!$E$3:$E$506,'INVONTERY FEB'!B174:B519,PURCHASE!$I$3:$I$506)</f>
        <v>0</v>
      </c>
      <c r="I174" s="354">
        <f>ISSU!AL174</f>
        <v>0</v>
      </c>
      <c r="J174" s="354">
        <f t="shared" si="65"/>
        <v>0</v>
      </c>
      <c r="K174" s="473">
        <f t="shared" si="66"/>
        <v>5</v>
      </c>
      <c r="L174" s="438">
        <f t="shared" si="67"/>
        <v>1250</v>
      </c>
      <c r="M174" s="358">
        <f t="shared" si="68"/>
        <v>250</v>
      </c>
      <c r="N174" s="439">
        <f t="shared" si="69"/>
        <v>0</v>
      </c>
      <c r="O174" s="439">
        <f t="shared" si="70"/>
        <v>0</v>
      </c>
      <c r="P174" s="438">
        <f t="shared" si="71"/>
        <v>0</v>
      </c>
      <c r="Q174" s="440" t="s">
        <v>175</v>
      </c>
      <c r="R174" s="109"/>
      <c r="S174" s="97"/>
      <c r="T174" s="168"/>
      <c r="U174" s="168"/>
      <c r="V174" s="362">
        <f t="shared" si="33"/>
        <v>0</v>
      </c>
      <c r="W174" s="109"/>
      <c r="X174" s="109"/>
      <c r="Y174" s="109"/>
      <c r="Z174" s="109"/>
      <c r="AA174" s="109"/>
    </row>
    <row r="175" ht="15.75" hidden="1" customHeight="1" outlineLevel="1">
      <c r="A175" s="431">
        <v>169.0</v>
      </c>
      <c r="B175" s="393" t="s">
        <v>342</v>
      </c>
      <c r="C175" s="393" t="s">
        <v>72</v>
      </c>
      <c r="D175" s="431">
        <v>150.0</v>
      </c>
      <c r="E175" s="370">
        <v>4.0</v>
      </c>
      <c r="F175" s="455">
        <f t="shared" si="64"/>
        <v>600</v>
      </c>
      <c r="G175" s="108">
        <f>SUMIF(PURCHASE!$E$3:$E$506,'INVONTERY FEB'!B175:B493,PURCHASE!$H$3:$H$506)</f>
        <v>0</v>
      </c>
      <c r="H175" s="438">
        <f>SUMIF(PURCHASE!$E$3:$E$506,'INVONTERY FEB'!B175:B520,PURCHASE!$I$3:$I$506)</f>
        <v>0</v>
      </c>
      <c r="I175" s="354">
        <f>ISSU!AL175</f>
        <v>0</v>
      </c>
      <c r="J175" s="354">
        <f t="shared" si="65"/>
        <v>0</v>
      </c>
      <c r="K175" s="473">
        <f t="shared" si="66"/>
        <v>4</v>
      </c>
      <c r="L175" s="438">
        <f t="shared" si="67"/>
        <v>600</v>
      </c>
      <c r="M175" s="358">
        <f t="shared" si="68"/>
        <v>150</v>
      </c>
      <c r="N175" s="439">
        <f t="shared" si="69"/>
        <v>0</v>
      </c>
      <c r="O175" s="439">
        <f t="shared" si="70"/>
        <v>0</v>
      </c>
      <c r="P175" s="438">
        <f t="shared" si="71"/>
        <v>0</v>
      </c>
      <c r="Q175" s="440" t="s">
        <v>175</v>
      </c>
      <c r="R175" s="109"/>
      <c r="S175" s="97"/>
      <c r="T175" s="168"/>
      <c r="U175" s="168"/>
      <c r="V175" s="362">
        <f t="shared" si="33"/>
        <v>0</v>
      </c>
      <c r="W175" s="109"/>
      <c r="X175" s="109"/>
      <c r="Y175" s="109"/>
      <c r="Z175" s="109"/>
      <c r="AA175" s="109"/>
    </row>
    <row r="176" ht="15.75" hidden="1" customHeight="1" outlineLevel="1">
      <c r="A176" s="431">
        <v>170.0</v>
      </c>
      <c r="B176" s="393" t="s">
        <v>343</v>
      </c>
      <c r="C176" s="393" t="s">
        <v>72</v>
      </c>
      <c r="D176" s="431">
        <v>100.0</v>
      </c>
      <c r="E176" s="370">
        <v>1.0</v>
      </c>
      <c r="F176" s="455">
        <f t="shared" si="64"/>
        <v>100</v>
      </c>
      <c r="G176" s="108">
        <f>SUMIF(PURCHASE!$E$3:$E$506,'INVONTERY FEB'!B176:B494,PURCHASE!$H$3:$H$506)</f>
        <v>0</v>
      </c>
      <c r="H176" s="438">
        <f>SUMIF(PURCHASE!$E$3:$E$506,'INVONTERY FEB'!B176:B521,PURCHASE!$I$3:$I$506)</f>
        <v>0</v>
      </c>
      <c r="I176" s="354">
        <f>ISSU!AL176</f>
        <v>0</v>
      </c>
      <c r="J176" s="354">
        <f t="shared" si="65"/>
        <v>0</v>
      </c>
      <c r="K176" s="473">
        <f t="shared" si="66"/>
        <v>1</v>
      </c>
      <c r="L176" s="438">
        <f t="shared" si="67"/>
        <v>100</v>
      </c>
      <c r="M176" s="358">
        <f t="shared" si="68"/>
        <v>100</v>
      </c>
      <c r="N176" s="439">
        <f t="shared" si="69"/>
        <v>0</v>
      </c>
      <c r="O176" s="439">
        <f t="shared" si="70"/>
        <v>0</v>
      </c>
      <c r="P176" s="438">
        <f t="shared" si="71"/>
        <v>0</v>
      </c>
      <c r="Q176" s="440" t="s">
        <v>175</v>
      </c>
      <c r="R176" s="109"/>
      <c r="S176" s="97"/>
      <c r="T176" s="168"/>
      <c r="U176" s="168"/>
      <c r="V176" s="362">
        <f t="shared" si="33"/>
        <v>0</v>
      </c>
      <c r="W176" s="109"/>
      <c r="X176" s="109"/>
      <c r="Y176" s="109"/>
      <c r="Z176" s="109"/>
      <c r="AA176" s="109"/>
    </row>
    <row r="177" ht="15.75" hidden="1" customHeight="1" outlineLevel="1">
      <c r="A177" s="431">
        <v>171.0</v>
      </c>
      <c r="B177" s="393" t="s">
        <v>344</v>
      </c>
      <c r="C177" s="393" t="s">
        <v>72</v>
      </c>
      <c r="D177" s="431">
        <v>825.0</v>
      </c>
      <c r="E177" s="370">
        <v>50.0</v>
      </c>
      <c r="F177" s="455">
        <f t="shared" si="64"/>
        <v>41250</v>
      </c>
      <c r="G177" s="108">
        <f>SUMIF(PURCHASE!$E$3:$E$506,'INVONTERY FEB'!B177:B495,PURCHASE!$H$3:$H$506)</f>
        <v>0</v>
      </c>
      <c r="H177" s="438">
        <f>SUMIF(PURCHASE!$E$3:$E$506,'INVONTERY FEB'!B177:B522,PURCHASE!$I$3:$I$506)</f>
        <v>0</v>
      </c>
      <c r="I177" s="354">
        <f>ISSU!AL177</f>
        <v>0</v>
      </c>
      <c r="J177" s="354">
        <f t="shared" si="65"/>
        <v>0</v>
      </c>
      <c r="K177" s="473">
        <f t="shared" si="66"/>
        <v>50</v>
      </c>
      <c r="L177" s="438">
        <f t="shared" si="67"/>
        <v>41250</v>
      </c>
      <c r="M177" s="358">
        <f t="shared" si="68"/>
        <v>825</v>
      </c>
      <c r="N177" s="439">
        <f t="shared" si="69"/>
        <v>0</v>
      </c>
      <c r="O177" s="439">
        <f t="shared" si="70"/>
        <v>0</v>
      </c>
      <c r="P177" s="438">
        <f t="shared" si="71"/>
        <v>0</v>
      </c>
      <c r="Q177" s="440" t="s">
        <v>175</v>
      </c>
      <c r="R177" s="109"/>
      <c r="S177" s="97"/>
      <c r="T177" s="168"/>
      <c r="U177" s="168"/>
      <c r="V177" s="362">
        <f t="shared" si="33"/>
        <v>0</v>
      </c>
      <c r="W177" s="109"/>
      <c r="X177" s="109"/>
      <c r="Y177" s="109"/>
      <c r="Z177" s="109"/>
      <c r="AA177" s="109"/>
    </row>
    <row r="178" ht="15.75" hidden="1" customHeight="1" outlineLevel="1">
      <c r="A178" s="431">
        <v>172.0</v>
      </c>
      <c r="B178" s="393" t="s">
        <v>345</v>
      </c>
      <c r="C178" s="393" t="s">
        <v>72</v>
      </c>
      <c r="D178" s="431">
        <v>1000.0</v>
      </c>
      <c r="E178" s="370">
        <v>150.0</v>
      </c>
      <c r="F178" s="455">
        <f t="shared" si="64"/>
        <v>150000</v>
      </c>
      <c r="G178" s="108">
        <f>SUMIF(PURCHASE!$E$3:$E$506,'INVONTERY FEB'!B178:B496,PURCHASE!$H$3:$H$506)</f>
        <v>0</v>
      </c>
      <c r="H178" s="438">
        <f>SUMIF(PURCHASE!$E$3:$E$506,'INVONTERY FEB'!B178:B523,PURCHASE!$I$3:$I$506)</f>
        <v>0</v>
      </c>
      <c r="I178" s="354">
        <f>ISSU!AL178</f>
        <v>0</v>
      </c>
      <c r="J178" s="354">
        <f t="shared" si="65"/>
        <v>0</v>
      </c>
      <c r="K178" s="473">
        <f t="shared" si="66"/>
        <v>150</v>
      </c>
      <c r="L178" s="438">
        <f t="shared" si="67"/>
        <v>150000</v>
      </c>
      <c r="M178" s="358">
        <f t="shared" si="68"/>
        <v>1000</v>
      </c>
      <c r="N178" s="439">
        <f t="shared" si="69"/>
        <v>0</v>
      </c>
      <c r="O178" s="439">
        <f t="shared" si="70"/>
        <v>0</v>
      </c>
      <c r="P178" s="438">
        <f t="shared" si="71"/>
        <v>0</v>
      </c>
      <c r="Q178" s="440" t="s">
        <v>175</v>
      </c>
      <c r="R178" s="109"/>
      <c r="S178" s="97"/>
      <c r="T178" s="168"/>
      <c r="U178" s="168"/>
      <c r="V178" s="362">
        <f t="shared" si="33"/>
        <v>0</v>
      </c>
      <c r="W178" s="109"/>
      <c r="X178" s="109"/>
      <c r="Y178" s="109"/>
      <c r="Z178" s="109"/>
      <c r="AA178" s="109"/>
    </row>
    <row r="179" ht="15.75" hidden="1" customHeight="1" outlineLevel="1">
      <c r="A179" s="431">
        <v>173.0</v>
      </c>
      <c r="B179" s="393" t="s">
        <v>346</v>
      </c>
      <c r="C179" s="393" t="s">
        <v>72</v>
      </c>
      <c r="D179" s="474">
        <v>0.0</v>
      </c>
      <c r="E179" s="370">
        <v>4.0</v>
      </c>
      <c r="F179" s="455">
        <f t="shared" si="64"/>
        <v>0</v>
      </c>
      <c r="G179" s="108">
        <f>SUMIF(PURCHASE!$E$3:$E$506,'INVONTERY FEB'!B179:B497,PURCHASE!$H$3:$H$506)</f>
        <v>0</v>
      </c>
      <c r="H179" s="438">
        <f>SUMIF(PURCHASE!$E$3:$E$506,'INVONTERY FEB'!B179:B524,PURCHASE!$I$3:$I$506)</f>
        <v>0</v>
      </c>
      <c r="I179" s="354">
        <f>ISSU!AL179</f>
        <v>0</v>
      </c>
      <c r="J179" s="354">
        <f t="shared" si="65"/>
        <v>0</v>
      </c>
      <c r="K179" s="473">
        <f t="shared" si="66"/>
        <v>4</v>
      </c>
      <c r="L179" s="438">
        <f t="shared" si="67"/>
        <v>0</v>
      </c>
      <c r="M179" s="358">
        <f t="shared" si="68"/>
        <v>0</v>
      </c>
      <c r="N179" s="439">
        <f t="shared" si="69"/>
        <v>0</v>
      </c>
      <c r="O179" s="439">
        <f t="shared" si="70"/>
        <v>0</v>
      </c>
      <c r="P179" s="438">
        <f t="shared" si="71"/>
        <v>0</v>
      </c>
      <c r="Q179" s="440" t="s">
        <v>175</v>
      </c>
      <c r="R179" s="109"/>
      <c r="S179" s="97"/>
      <c r="T179" s="168"/>
      <c r="U179" s="168"/>
      <c r="V179" s="362">
        <f t="shared" si="33"/>
        <v>0</v>
      </c>
      <c r="W179" s="109"/>
      <c r="X179" s="109"/>
      <c r="Y179" s="109"/>
      <c r="Z179" s="109"/>
      <c r="AA179" s="109"/>
    </row>
    <row r="180" ht="15.75" hidden="1" customHeight="1" outlineLevel="1">
      <c r="A180" s="431">
        <v>174.0</v>
      </c>
      <c r="B180" s="393" t="s">
        <v>347</v>
      </c>
      <c r="C180" s="393" t="s">
        <v>72</v>
      </c>
      <c r="D180" s="431">
        <v>50.0</v>
      </c>
      <c r="E180" s="370">
        <v>12.0</v>
      </c>
      <c r="F180" s="455">
        <f t="shared" si="64"/>
        <v>600</v>
      </c>
      <c r="G180" s="108">
        <f>SUMIF(PURCHASE!$E$3:$E$506,'INVONTERY FEB'!B180:B498,PURCHASE!$H$3:$H$506)</f>
        <v>0</v>
      </c>
      <c r="H180" s="438">
        <f>SUMIF(PURCHASE!$E$3:$E$506,'INVONTERY FEB'!B180:B525,PURCHASE!$I$3:$I$506)</f>
        <v>0</v>
      </c>
      <c r="I180" s="354">
        <f>ISSU!AL180</f>
        <v>0</v>
      </c>
      <c r="J180" s="354">
        <f t="shared" si="65"/>
        <v>0</v>
      </c>
      <c r="K180" s="473">
        <f t="shared" si="66"/>
        <v>12</v>
      </c>
      <c r="L180" s="438">
        <f t="shared" si="67"/>
        <v>600</v>
      </c>
      <c r="M180" s="358">
        <f t="shared" si="68"/>
        <v>50</v>
      </c>
      <c r="N180" s="439">
        <f t="shared" si="69"/>
        <v>0</v>
      </c>
      <c r="O180" s="439">
        <f t="shared" si="70"/>
        <v>0</v>
      </c>
      <c r="P180" s="438">
        <f t="shared" si="71"/>
        <v>0</v>
      </c>
      <c r="Q180" s="440" t="s">
        <v>175</v>
      </c>
      <c r="R180" s="109"/>
      <c r="S180" s="97"/>
      <c r="T180" s="168"/>
      <c r="U180" s="168"/>
      <c r="V180" s="362">
        <f t="shared" si="33"/>
        <v>0</v>
      </c>
      <c r="W180" s="109"/>
      <c r="X180" s="109"/>
      <c r="Y180" s="109"/>
      <c r="Z180" s="109"/>
      <c r="AA180" s="109"/>
    </row>
    <row r="181" ht="15.75" hidden="1" customHeight="1" outlineLevel="1">
      <c r="A181" s="431">
        <v>175.0</v>
      </c>
      <c r="B181" s="393" t="s">
        <v>348</v>
      </c>
      <c r="C181" s="393" t="s">
        <v>72</v>
      </c>
      <c r="D181" s="431">
        <v>800.0</v>
      </c>
      <c r="E181" s="370">
        <v>2.0</v>
      </c>
      <c r="F181" s="455">
        <f t="shared" si="64"/>
        <v>1600</v>
      </c>
      <c r="G181" s="108">
        <f>SUMIF(PURCHASE!$E$3:$E$506,'INVONTERY FEB'!B181:B499,PURCHASE!$H$3:$H$506)</f>
        <v>0</v>
      </c>
      <c r="H181" s="438">
        <f>SUMIF(PURCHASE!$E$3:$E$506,'INVONTERY FEB'!B181:B526,PURCHASE!$I$3:$I$506)</f>
        <v>0</v>
      </c>
      <c r="I181" s="354">
        <f>ISSU!AL181</f>
        <v>0</v>
      </c>
      <c r="J181" s="354">
        <f t="shared" si="65"/>
        <v>0</v>
      </c>
      <c r="K181" s="473">
        <f t="shared" si="66"/>
        <v>2</v>
      </c>
      <c r="L181" s="438">
        <f t="shared" si="67"/>
        <v>1600</v>
      </c>
      <c r="M181" s="358">
        <f t="shared" si="68"/>
        <v>800</v>
      </c>
      <c r="N181" s="439">
        <f t="shared" si="69"/>
        <v>0</v>
      </c>
      <c r="O181" s="439">
        <f t="shared" si="70"/>
        <v>0</v>
      </c>
      <c r="P181" s="438">
        <f t="shared" si="71"/>
        <v>0</v>
      </c>
      <c r="Q181" s="440" t="s">
        <v>175</v>
      </c>
      <c r="R181" s="109"/>
      <c r="S181" s="97"/>
      <c r="T181" s="168"/>
      <c r="U181" s="168"/>
      <c r="V181" s="362">
        <f t="shared" si="33"/>
        <v>0</v>
      </c>
      <c r="W181" s="109"/>
      <c r="X181" s="109"/>
      <c r="Y181" s="109"/>
      <c r="Z181" s="109"/>
      <c r="AA181" s="109"/>
    </row>
    <row r="182" ht="15.75" hidden="1" customHeight="1" outlineLevel="1">
      <c r="A182" s="431">
        <v>176.0</v>
      </c>
      <c r="B182" s="393" t="s">
        <v>349</v>
      </c>
      <c r="C182" s="393" t="s">
        <v>72</v>
      </c>
      <c r="D182" s="431">
        <v>350.0</v>
      </c>
      <c r="E182" s="370">
        <v>6.0</v>
      </c>
      <c r="F182" s="455">
        <f t="shared" si="64"/>
        <v>2100</v>
      </c>
      <c r="G182" s="108">
        <f>SUMIF(PURCHASE!$E$3:$E$506,'INVONTERY FEB'!B182:B500,PURCHASE!$H$3:$H$506)</f>
        <v>0</v>
      </c>
      <c r="H182" s="438">
        <f>SUMIF(PURCHASE!$E$3:$E$506,'INVONTERY FEB'!B182:B527,PURCHASE!$I$3:$I$506)</f>
        <v>0</v>
      </c>
      <c r="I182" s="354">
        <f>ISSU!AL182</f>
        <v>0</v>
      </c>
      <c r="J182" s="354">
        <f t="shared" si="65"/>
        <v>0</v>
      </c>
      <c r="K182" s="473">
        <f t="shared" si="66"/>
        <v>6</v>
      </c>
      <c r="L182" s="438">
        <f t="shared" si="67"/>
        <v>2100</v>
      </c>
      <c r="M182" s="358">
        <f t="shared" si="68"/>
        <v>350</v>
      </c>
      <c r="N182" s="439">
        <f t="shared" si="69"/>
        <v>0</v>
      </c>
      <c r="O182" s="439">
        <f t="shared" si="70"/>
        <v>0</v>
      </c>
      <c r="P182" s="438">
        <f t="shared" si="71"/>
        <v>0</v>
      </c>
      <c r="Q182" s="440" t="s">
        <v>175</v>
      </c>
      <c r="R182" s="109"/>
      <c r="S182" s="97"/>
      <c r="T182" s="168"/>
      <c r="U182" s="168"/>
      <c r="V182" s="362">
        <f t="shared" si="33"/>
        <v>0</v>
      </c>
      <c r="W182" s="109"/>
      <c r="X182" s="109"/>
      <c r="Y182" s="109"/>
      <c r="Z182" s="109"/>
      <c r="AA182" s="109"/>
    </row>
    <row r="183" ht="15.75" hidden="1" customHeight="1" outlineLevel="1">
      <c r="A183" s="431">
        <v>177.0</v>
      </c>
      <c r="B183" s="393" t="s">
        <v>350</v>
      </c>
      <c r="C183" s="393" t="s">
        <v>72</v>
      </c>
      <c r="D183" s="431">
        <v>250.0</v>
      </c>
      <c r="E183" s="370">
        <v>4.0</v>
      </c>
      <c r="F183" s="455">
        <f t="shared" si="64"/>
        <v>1000</v>
      </c>
      <c r="G183" s="108">
        <f>SUMIF(PURCHASE!$E$3:$E$506,'INVONTERY FEB'!B183:B501,PURCHASE!$H$3:$H$506)</f>
        <v>0</v>
      </c>
      <c r="H183" s="438">
        <f>SUMIF(PURCHASE!$E$3:$E$506,'INVONTERY FEB'!B183:B528,PURCHASE!$I$3:$I$506)</f>
        <v>0</v>
      </c>
      <c r="I183" s="354">
        <f>ISSU!AL183</f>
        <v>0</v>
      </c>
      <c r="J183" s="354">
        <f t="shared" si="65"/>
        <v>0</v>
      </c>
      <c r="K183" s="473">
        <f t="shared" si="66"/>
        <v>4</v>
      </c>
      <c r="L183" s="438">
        <f t="shared" si="67"/>
        <v>1000</v>
      </c>
      <c r="M183" s="358">
        <f t="shared" si="68"/>
        <v>250</v>
      </c>
      <c r="N183" s="439">
        <f t="shared" si="69"/>
        <v>0</v>
      </c>
      <c r="O183" s="439">
        <f t="shared" si="70"/>
        <v>0</v>
      </c>
      <c r="P183" s="438">
        <f t="shared" si="71"/>
        <v>0</v>
      </c>
      <c r="Q183" s="440" t="s">
        <v>175</v>
      </c>
      <c r="R183" s="109"/>
      <c r="S183" s="97"/>
      <c r="T183" s="168"/>
      <c r="U183" s="168"/>
      <c r="V183" s="362">
        <f t="shared" si="33"/>
        <v>0</v>
      </c>
      <c r="W183" s="109"/>
      <c r="X183" s="109"/>
      <c r="Y183" s="109"/>
      <c r="Z183" s="109"/>
      <c r="AA183" s="109"/>
    </row>
    <row r="184" ht="15.75" hidden="1" customHeight="1" outlineLevel="1">
      <c r="A184" s="431">
        <v>178.0</v>
      </c>
      <c r="B184" s="393" t="s">
        <v>334</v>
      </c>
      <c r="C184" s="393" t="s">
        <v>72</v>
      </c>
      <c r="D184" s="474">
        <v>0.0</v>
      </c>
      <c r="E184" s="370">
        <v>2.0</v>
      </c>
      <c r="F184" s="455">
        <f t="shared" si="64"/>
        <v>0</v>
      </c>
      <c r="G184" s="108">
        <f>SUMIF(PURCHASE!$E$3:$E$506,'INVONTERY FEB'!B184:B502,PURCHASE!$H$3:$H$506)</f>
        <v>0</v>
      </c>
      <c r="H184" s="438">
        <f>SUMIF(PURCHASE!$E$3:$E$506,'INVONTERY FEB'!B184:B529,PURCHASE!$I$3:$I$506)</f>
        <v>0</v>
      </c>
      <c r="I184" s="354">
        <f>ISSU!AL184</f>
        <v>0</v>
      </c>
      <c r="J184" s="354">
        <f t="shared" si="65"/>
        <v>0</v>
      </c>
      <c r="K184" s="473">
        <f t="shared" si="66"/>
        <v>2</v>
      </c>
      <c r="L184" s="438">
        <f t="shared" si="67"/>
        <v>0</v>
      </c>
      <c r="M184" s="358">
        <f t="shared" si="68"/>
        <v>0</v>
      </c>
      <c r="N184" s="439">
        <f t="shared" si="69"/>
        <v>0</v>
      </c>
      <c r="O184" s="439">
        <f t="shared" si="70"/>
        <v>0</v>
      </c>
      <c r="P184" s="438">
        <f t="shared" si="71"/>
        <v>0</v>
      </c>
      <c r="Q184" s="440" t="s">
        <v>175</v>
      </c>
      <c r="R184" s="109"/>
      <c r="S184" s="97"/>
      <c r="T184" s="168"/>
      <c r="U184" s="168"/>
      <c r="V184" s="362">
        <f t="shared" si="33"/>
        <v>0</v>
      </c>
      <c r="W184" s="109"/>
      <c r="X184" s="109"/>
      <c r="Y184" s="109"/>
      <c r="Z184" s="109"/>
      <c r="AA184" s="109"/>
    </row>
    <row r="185" ht="15.75" hidden="1" customHeight="1" outlineLevel="1">
      <c r="A185" s="431">
        <v>179.0</v>
      </c>
      <c r="B185" s="393" t="s">
        <v>351</v>
      </c>
      <c r="C185" s="393" t="s">
        <v>72</v>
      </c>
      <c r="D185" s="431">
        <v>2500.0</v>
      </c>
      <c r="E185" s="370">
        <v>2.0</v>
      </c>
      <c r="F185" s="455">
        <f t="shared" si="64"/>
        <v>5000</v>
      </c>
      <c r="G185" s="108">
        <f>SUMIF(PURCHASE!$E$3:$E$506,'INVONTERY FEB'!B185:B503,PURCHASE!$H$3:$H$506)</f>
        <v>0</v>
      </c>
      <c r="H185" s="438">
        <f>SUMIF(PURCHASE!$E$3:$E$506,'INVONTERY FEB'!B185:B530,PURCHASE!$I$3:$I$506)</f>
        <v>0</v>
      </c>
      <c r="I185" s="354">
        <f>ISSU!AL185</f>
        <v>0</v>
      </c>
      <c r="J185" s="354">
        <f t="shared" si="65"/>
        <v>0</v>
      </c>
      <c r="K185" s="473">
        <f t="shared" si="66"/>
        <v>2</v>
      </c>
      <c r="L185" s="438">
        <f t="shared" si="67"/>
        <v>5000</v>
      </c>
      <c r="M185" s="358">
        <f t="shared" si="68"/>
        <v>2500</v>
      </c>
      <c r="N185" s="439">
        <f t="shared" si="69"/>
        <v>0</v>
      </c>
      <c r="O185" s="439">
        <f t="shared" si="70"/>
        <v>0</v>
      </c>
      <c r="P185" s="438">
        <f t="shared" si="71"/>
        <v>0</v>
      </c>
      <c r="Q185" s="440" t="s">
        <v>175</v>
      </c>
      <c r="R185" s="109"/>
      <c r="S185" s="97"/>
      <c r="T185" s="168"/>
      <c r="U185" s="168"/>
      <c r="V185" s="362">
        <f t="shared" si="33"/>
        <v>0</v>
      </c>
      <c r="W185" s="109"/>
      <c r="X185" s="109"/>
      <c r="Y185" s="109"/>
      <c r="Z185" s="109"/>
      <c r="AA185" s="109"/>
    </row>
    <row r="186" ht="15.75" hidden="1" customHeight="1" outlineLevel="1">
      <c r="A186" s="431">
        <v>180.0</v>
      </c>
      <c r="B186" s="393" t="s">
        <v>352</v>
      </c>
      <c r="C186" s="393" t="s">
        <v>72</v>
      </c>
      <c r="D186" s="431">
        <v>240.0</v>
      </c>
      <c r="E186" s="370">
        <v>5.0</v>
      </c>
      <c r="F186" s="455">
        <f t="shared" si="64"/>
        <v>1200</v>
      </c>
      <c r="G186" s="108">
        <f>SUMIF(PURCHASE!$E$3:$E$506,'INVONTERY FEB'!B186:B504,PURCHASE!$H$3:$H$506)</f>
        <v>0</v>
      </c>
      <c r="H186" s="438">
        <f>SUMIF(PURCHASE!$E$3:$E$506,'INVONTERY FEB'!B186:B531,PURCHASE!$I$3:$I$506)</f>
        <v>0</v>
      </c>
      <c r="I186" s="354">
        <f>ISSU!AL186</f>
        <v>0</v>
      </c>
      <c r="J186" s="354">
        <f t="shared" si="65"/>
        <v>0</v>
      </c>
      <c r="K186" s="473">
        <f t="shared" si="66"/>
        <v>5</v>
      </c>
      <c r="L186" s="438">
        <f t="shared" si="67"/>
        <v>1200</v>
      </c>
      <c r="M186" s="358">
        <f t="shared" si="68"/>
        <v>240</v>
      </c>
      <c r="N186" s="439">
        <f t="shared" si="69"/>
        <v>0</v>
      </c>
      <c r="O186" s="439">
        <f t="shared" si="70"/>
        <v>0</v>
      </c>
      <c r="P186" s="438">
        <f t="shared" si="71"/>
        <v>0</v>
      </c>
      <c r="Q186" s="440" t="s">
        <v>175</v>
      </c>
      <c r="R186" s="109"/>
      <c r="S186" s="97"/>
      <c r="T186" s="168"/>
      <c r="U186" s="168"/>
      <c r="V186" s="362">
        <f t="shared" si="33"/>
        <v>0</v>
      </c>
      <c r="W186" s="109"/>
      <c r="X186" s="109"/>
      <c r="Y186" s="109"/>
      <c r="Z186" s="109"/>
      <c r="AA186" s="109"/>
    </row>
    <row r="187" ht="15.75" hidden="1" customHeight="1" outlineLevel="1">
      <c r="A187" s="431">
        <v>181.0</v>
      </c>
      <c r="B187" s="441" t="s">
        <v>315</v>
      </c>
      <c r="C187" s="393" t="s">
        <v>72</v>
      </c>
      <c r="D187" s="431">
        <v>500.0</v>
      </c>
      <c r="E187" s="370">
        <v>1.0</v>
      </c>
      <c r="F187" s="455">
        <f t="shared" si="64"/>
        <v>500</v>
      </c>
      <c r="G187" s="108">
        <f>SUMIF(PURCHASE!$E$3:$E$506,'INVONTERY FEB'!B187:B505,PURCHASE!$H$3:$H$506)</f>
        <v>0</v>
      </c>
      <c r="H187" s="438">
        <f>SUMIF(PURCHASE!$E$3:$E$506,'INVONTERY FEB'!B187:B532,PURCHASE!$I$3:$I$506)</f>
        <v>0</v>
      </c>
      <c r="I187" s="354">
        <f>ISSU!AL187</f>
        <v>0</v>
      </c>
      <c r="J187" s="354">
        <f t="shared" si="65"/>
        <v>0</v>
      </c>
      <c r="K187" s="473">
        <f t="shared" si="66"/>
        <v>1</v>
      </c>
      <c r="L187" s="438">
        <f t="shared" si="67"/>
        <v>500</v>
      </c>
      <c r="M187" s="358">
        <f t="shared" si="68"/>
        <v>500</v>
      </c>
      <c r="N187" s="439">
        <f t="shared" si="69"/>
        <v>0</v>
      </c>
      <c r="O187" s="439">
        <f t="shared" si="70"/>
        <v>0</v>
      </c>
      <c r="P187" s="438">
        <f t="shared" si="71"/>
        <v>0</v>
      </c>
      <c r="Q187" s="440" t="s">
        <v>175</v>
      </c>
      <c r="R187" s="109"/>
      <c r="S187" s="97"/>
      <c r="T187" s="168"/>
      <c r="U187" s="168"/>
      <c r="V187" s="362">
        <f t="shared" si="33"/>
        <v>0</v>
      </c>
      <c r="W187" s="109"/>
      <c r="X187" s="109"/>
      <c r="Y187" s="109"/>
      <c r="Z187" s="109"/>
      <c r="AA187" s="109"/>
    </row>
    <row r="188" ht="15.75" hidden="1" customHeight="1" outlineLevel="1">
      <c r="A188" s="431">
        <v>182.0</v>
      </c>
      <c r="B188" s="393" t="s">
        <v>353</v>
      </c>
      <c r="C188" s="393" t="s">
        <v>72</v>
      </c>
      <c r="D188" s="431">
        <v>30.0</v>
      </c>
      <c r="E188" s="370">
        <v>0.0</v>
      </c>
      <c r="F188" s="455">
        <f t="shared" si="64"/>
        <v>0</v>
      </c>
      <c r="G188" s="108">
        <f>SUMIF(PURCHASE!$E$3:$E$506,'INVONTERY FEB'!B188:B506,PURCHASE!$H$3:$H$506)</f>
        <v>0</v>
      </c>
      <c r="H188" s="438">
        <f>SUMIF(PURCHASE!$E$3:$E$506,'INVONTERY FEB'!B188:B533,PURCHASE!$I$3:$I$506)</f>
        <v>0</v>
      </c>
      <c r="I188" s="354">
        <f>ISSU!AL188</f>
        <v>0</v>
      </c>
      <c r="J188" s="354">
        <f t="shared" si="65"/>
        <v>0</v>
      </c>
      <c r="K188" s="473">
        <f t="shared" si="66"/>
        <v>0</v>
      </c>
      <c r="L188" s="438">
        <f t="shared" si="67"/>
        <v>0</v>
      </c>
      <c r="M188" s="358">
        <f t="shared" si="68"/>
        <v>30</v>
      </c>
      <c r="N188" s="439">
        <f t="shared" si="69"/>
        <v>0</v>
      </c>
      <c r="O188" s="439">
        <f t="shared" si="70"/>
        <v>0</v>
      </c>
      <c r="P188" s="438">
        <f t="shared" si="71"/>
        <v>0</v>
      </c>
      <c r="Q188" s="440" t="s">
        <v>175</v>
      </c>
      <c r="R188" s="109"/>
      <c r="S188" s="97"/>
      <c r="T188" s="168"/>
      <c r="U188" s="168"/>
      <c r="V188" s="362">
        <f t="shared" si="33"/>
        <v>0</v>
      </c>
      <c r="W188" s="109"/>
      <c r="X188" s="109"/>
      <c r="Y188" s="109"/>
      <c r="Z188" s="109"/>
      <c r="AA188" s="109"/>
    </row>
    <row r="189" ht="15.75" hidden="1" customHeight="1" outlineLevel="1">
      <c r="A189" s="431">
        <v>183.0</v>
      </c>
      <c r="B189" s="393" t="s">
        <v>354</v>
      </c>
      <c r="C189" s="393" t="s">
        <v>72</v>
      </c>
      <c r="D189" s="431">
        <v>360.0</v>
      </c>
      <c r="E189" s="370">
        <v>1.0</v>
      </c>
      <c r="F189" s="455">
        <f t="shared" si="64"/>
        <v>360</v>
      </c>
      <c r="G189" s="108">
        <f>SUMIF(PURCHASE!$E$3:$E$506,'INVONTERY FEB'!B189:B507,PURCHASE!$H$3:$H$506)</f>
        <v>0</v>
      </c>
      <c r="H189" s="438">
        <f>SUMIF(PURCHASE!$E$3:$E$506,'INVONTERY FEB'!B189:B534,PURCHASE!$I$3:$I$506)</f>
        <v>0</v>
      </c>
      <c r="I189" s="354">
        <f>ISSU!AL189</f>
        <v>0</v>
      </c>
      <c r="J189" s="354">
        <f t="shared" si="65"/>
        <v>0</v>
      </c>
      <c r="K189" s="473">
        <f t="shared" si="66"/>
        <v>1</v>
      </c>
      <c r="L189" s="438">
        <f t="shared" si="67"/>
        <v>360</v>
      </c>
      <c r="M189" s="358">
        <f t="shared" si="68"/>
        <v>360</v>
      </c>
      <c r="N189" s="439">
        <f t="shared" si="69"/>
        <v>0</v>
      </c>
      <c r="O189" s="439">
        <f t="shared" si="70"/>
        <v>0</v>
      </c>
      <c r="P189" s="438">
        <f t="shared" si="71"/>
        <v>0</v>
      </c>
      <c r="Q189" s="440" t="s">
        <v>175</v>
      </c>
      <c r="R189" s="109"/>
      <c r="S189" s="97"/>
      <c r="T189" s="168"/>
      <c r="U189" s="168"/>
      <c r="V189" s="362">
        <f t="shared" si="33"/>
        <v>0</v>
      </c>
      <c r="W189" s="109"/>
      <c r="X189" s="109"/>
      <c r="Y189" s="109"/>
      <c r="Z189" s="109"/>
      <c r="AA189" s="109"/>
    </row>
    <row r="190" ht="15.75" hidden="1" customHeight="1" outlineLevel="1">
      <c r="A190" s="431">
        <v>184.0</v>
      </c>
      <c r="B190" s="393" t="s">
        <v>355</v>
      </c>
      <c r="C190" s="393" t="s">
        <v>72</v>
      </c>
      <c r="D190" s="431">
        <v>180.0</v>
      </c>
      <c r="E190" s="370">
        <v>1.0</v>
      </c>
      <c r="F190" s="455">
        <f t="shared" si="64"/>
        <v>180</v>
      </c>
      <c r="G190" s="108">
        <f>SUMIF(PURCHASE!$E$3:$E$506,'INVONTERY FEB'!B190:B508,PURCHASE!$H$3:$H$506)</f>
        <v>0</v>
      </c>
      <c r="H190" s="438">
        <f>SUMIF(PURCHASE!$E$3:$E$506,'INVONTERY FEB'!B190:B535,PURCHASE!$I$3:$I$506)</f>
        <v>0</v>
      </c>
      <c r="I190" s="354">
        <f>ISSU!AL190</f>
        <v>0</v>
      </c>
      <c r="J190" s="354">
        <f t="shared" si="65"/>
        <v>0</v>
      </c>
      <c r="K190" s="473">
        <f t="shared" si="66"/>
        <v>1</v>
      </c>
      <c r="L190" s="438">
        <f t="shared" si="67"/>
        <v>180</v>
      </c>
      <c r="M190" s="358">
        <f t="shared" si="68"/>
        <v>180</v>
      </c>
      <c r="N190" s="439">
        <f t="shared" si="69"/>
        <v>0</v>
      </c>
      <c r="O190" s="439">
        <f t="shared" si="70"/>
        <v>0</v>
      </c>
      <c r="P190" s="438">
        <f t="shared" si="71"/>
        <v>0</v>
      </c>
      <c r="Q190" s="440" t="s">
        <v>175</v>
      </c>
      <c r="R190" s="109"/>
      <c r="S190" s="97"/>
      <c r="T190" s="168"/>
      <c r="U190" s="168"/>
      <c r="V190" s="362">
        <f t="shared" si="33"/>
        <v>0</v>
      </c>
      <c r="W190" s="109"/>
      <c r="X190" s="109"/>
      <c r="Y190" s="109"/>
      <c r="Z190" s="109"/>
      <c r="AA190" s="109"/>
    </row>
    <row r="191" ht="15.75" hidden="1" customHeight="1" outlineLevel="1">
      <c r="A191" s="431">
        <v>185.0</v>
      </c>
      <c r="B191" s="441" t="s">
        <v>356</v>
      </c>
      <c r="C191" s="393" t="s">
        <v>72</v>
      </c>
      <c r="D191" s="431">
        <v>190.0</v>
      </c>
      <c r="E191" s="370">
        <v>1.0</v>
      </c>
      <c r="F191" s="455">
        <f t="shared" si="64"/>
        <v>190</v>
      </c>
      <c r="G191" s="108">
        <f>SUMIF(PURCHASE!$E$3:$E$506,'INVONTERY FEB'!B191:B509,PURCHASE!$H$3:$H$506)</f>
        <v>0</v>
      </c>
      <c r="H191" s="438">
        <f>SUMIF(PURCHASE!$E$3:$E$506,'INVONTERY FEB'!B191:B536,PURCHASE!$I$3:$I$506)</f>
        <v>0</v>
      </c>
      <c r="I191" s="354">
        <f>ISSU!AL191</f>
        <v>0</v>
      </c>
      <c r="J191" s="354">
        <f t="shared" si="65"/>
        <v>0</v>
      </c>
      <c r="K191" s="473">
        <f t="shared" si="66"/>
        <v>1</v>
      </c>
      <c r="L191" s="438">
        <f t="shared" si="67"/>
        <v>190</v>
      </c>
      <c r="M191" s="358">
        <f t="shared" si="68"/>
        <v>190</v>
      </c>
      <c r="N191" s="439">
        <f t="shared" si="69"/>
        <v>0</v>
      </c>
      <c r="O191" s="439">
        <f t="shared" si="70"/>
        <v>0</v>
      </c>
      <c r="P191" s="438">
        <f t="shared" si="71"/>
        <v>0</v>
      </c>
      <c r="Q191" s="440" t="s">
        <v>175</v>
      </c>
      <c r="R191" s="109"/>
      <c r="S191" s="97"/>
      <c r="T191" s="168"/>
      <c r="U191" s="168"/>
      <c r="V191" s="362">
        <f t="shared" si="33"/>
        <v>0</v>
      </c>
      <c r="W191" s="109"/>
      <c r="X191" s="109"/>
      <c r="Y191" s="109"/>
      <c r="Z191" s="109"/>
      <c r="AA191" s="109"/>
    </row>
    <row r="192" ht="15.75" hidden="1" customHeight="1" outlineLevel="1">
      <c r="A192" s="431">
        <v>186.0</v>
      </c>
      <c r="B192" s="393" t="s">
        <v>357</v>
      </c>
      <c r="C192" s="393" t="s">
        <v>72</v>
      </c>
      <c r="D192" s="431">
        <v>190.0</v>
      </c>
      <c r="E192" s="370">
        <v>2.0</v>
      </c>
      <c r="F192" s="455">
        <f t="shared" si="64"/>
        <v>380</v>
      </c>
      <c r="G192" s="108">
        <f>SUMIF(PURCHASE!$E$3:$E$506,'INVONTERY FEB'!B192:B510,PURCHASE!$H$3:$H$506)</f>
        <v>0</v>
      </c>
      <c r="H192" s="438">
        <f>SUMIF(PURCHASE!$E$3:$E$506,'INVONTERY FEB'!B192:B537,PURCHASE!$I$3:$I$506)</f>
        <v>0</v>
      </c>
      <c r="I192" s="354">
        <f>ISSU!AL192</f>
        <v>0</v>
      </c>
      <c r="J192" s="354">
        <f t="shared" si="65"/>
        <v>0</v>
      </c>
      <c r="K192" s="473">
        <f t="shared" si="66"/>
        <v>2</v>
      </c>
      <c r="L192" s="438">
        <f t="shared" si="67"/>
        <v>380</v>
      </c>
      <c r="M192" s="358">
        <f t="shared" si="68"/>
        <v>190</v>
      </c>
      <c r="N192" s="439">
        <f t="shared" si="69"/>
        <v>0</v>
      </c>
      <c r="O192" s="439">
        <f t="shared" si="70"/>
        <v>0</v>
      </c>
      <c r="P192" s="438">
        <f t="shared" si="71"/>
        <v>0</v>
      </c>
      <c r="Q192" s="440" t="s">
        <v>175</v>
      </c>
      <c r="R192" s="109"/>
      <c r="S192" s="97"/>
      <c r="T192" s="168"/>
      <c r="U192" s="168"/>
      <c r="V192" s="362">
        <f t="shared" si="33"/>
        <v>0</v>
      </c>
      <c r="W192" s="109"/>
      <c r="X192" s="109"/>
      <c r="Y192" s="109"/>
      <c r="Z192" s="109"/>
      <c r="AA192" s="109"/>
    </row>
    <row r="193" ht="15.75" hidden="1" customHeight="1" outlineLevel="1">
      <c r="A193" s="431">
        <v>187.0</v>
      </c>
      <c r="B193" s="393" t="s">
        <v>296</v>
      </c>
      <c r="C193" s="393" t="s">
        <v>72</v>
      </c>
      <c r="D193" s="431">
        <v>90.0</v>
      </c>
      <c r="E193" s="370">
        <v>55.0</v>
      </c>
      <c r="F193" s="455">
        <f t="shared" si="64"/>
        <v>4950</v>
      </c>
      <c r="G193" s="108">
        <f>SUMIF(PURCHASE!$E$3:$E$506,'INVONTERY FEB'!B193:B511,PURCHASE!$H$3:$H$506)</f>
        <v>0</v>
      </c>
      <c r="H193" s="438">
        <f>SUMIF(PURCHASE!$E$3:$E$506,'INVONTERY FEB'!B193:B538,PURCHASE!$I$3:$I$506)</f>
        <v>0</v>
      </c>
      <c r="I193" s="354">
        <f>ISSU!AL193</f>
        <v>0</v>
      </c>
      <c r="J193" s="354">
        <f t="shared" si="65"/>
        <v>0</v>
      </c>
      <c r="K193" s="473">
        <f t="shared" si="66"/>
        <v>55</v>
      </c>
      <c r="L193" s="438">
        <f t="shared" si="67"/>
        <v>4950</v>
      </c>
      <c r="M193" s="358">
        <f t="shared" si="68"/>
        <v>90</v>
      </c>
      <c r="N193" s="439">
        <f t="shared" si="69"/>
        <v>0</v>
      </c>
      <c r="O193" s="439">
        <f t="shared" si="70"/>
        <v>0</v>
      </c>
      <c r="P193" s="438">
        <f t="shared" si="71"/>
        <v>0</v>
      </c>
      <c r="Q193" s="440" t="s">
        <v>175</v>
      </c>
      <c r="R193" s="109"/>
      <c r="S193" s="97"/>
      <c r="T193" s="168"/>
      <c r="U193" s="168"/>
      <c r="V193" s="362">
        <f t="shared" si="33"/>
        <v>0</v>
      </c>
      <c r="W193" s="109"/>
      <c r="X193" s="109"/>
      <c r="Y193" s="109"/>
      <c r="Z193" s="109"/>
      <c r="AA193" s="109"/>
    </row>
    <row r="194" ht="15.75" hidden="1" customHeight="1" outlineLevel="1">
      <c r="A194" s="431">
        <v>188.0</v>
      </c>
      <c r="B194" s="393" t="s">
        <v>358</v>
      </c>
      <c r="C194" s="393" t="s">
        <v>72</v>
      </c>
      <c r="D194" s="431">
        <v>350.0</v>
      </c>
      <c r="E194" s="370">
        <v>2.0</v>
      </c>
      <c r="F194" s="455">
        <f t="shared" si="64"/>
        <v>700</v>
      </c>
      <c r="G194" s="108">
        <f>SUMIF(PURCHASE!$E$3:$E$506,'INVONTERY FEB'!B194:B512,PURCHASE!$H$3:$H$506)</f>
        <v>0</v>
      </c>
      <c r="H194" s="438">
        <f>SUMIF(PURCHASE!$E$3:$E$506,'INVONTERY FEB'!B194:B539,PURCHASE!$I$3:$I$506)</f>
        <v>0</v>
      </c>
      <c r="I194" s="354">
        <f>ISSU!AL194</f>
        <v>0</v>
      </c>
      <c r="J194" s="354">
        <f t="shared" si="65"/>
        <v>0</v>
      </c>
      <c r="K194" s="473">
        <f t="shared" si="66"/>
        <v>2</v>
      </c>
      <c r="L194" s="438">
        <f t="shared" si="67"/>
        <v>700</v>
      </c>
      <c r="M194" s="358">
        <f t="shared" si="68"/>
        <v>350</v>
      </c>
      <c r="N194" s="439">
        <f t="shared" si="69"/>
        <v>0</v>
      </c>
      <c r="O194" s="439">
        <f t="shared" si="70"/>
        <v>0</v>
      </c>
      <c r="P194" s="438">
        <f t="shared" si="71"/>
        <v>0</v>
      </c>
      <c r="Q194" s="440"/>
      <c r="R194" s="109"/>
      <c r="S194" s="97"/>
      <c r="T194" s="168"/>
      <c r="U194" s="168"/>
      <c r="V194" s="362">
        <f t="shared" si="33"/>
        <v>0</v>
      </c>
      <c r="W194" s="109"/>
      <c r="X194" s="109"/>
      <c r="Y194" s="109"/>
      <c r="Z194" s="109"/>
      <c r="AA194" s="109"/>
    </row>
    <row r="195" ht="15.75" hidden="1" customHeight="1" outlineLevel="1">
      <c r="A195" s="431">
        <v>189.0</v>
      </c>
      <c r="B195" s="393" t="s">
        <v>359</v>
      </c>
      <c r="C195" s="393" t="s">
        <v>72</v>
      </c>
      <c r="D195" s="431">
        <v>500.0</v>
      </c>
      <c r="E195" s="370">
        <v>35.0</v>
      </c>
      <c r="F195" s="455">
        <f t="shared" si="64"/>
        <v>17500</v>
      </c>
      <c r="G195" s="108">
        <f>SUMIF(PURCHASE!$E$3:$E$506,'INVONTERY FEB'!B195:B513,PURCHASE!$H$3:$H$506)</f>
        <v>0</v>
      </c>
      <c r="H195" s="438">
        <f>SUMIF(PURCHASE!$E$3:$E$506,'INVONTERY FEB'!B195:B540,PURCHASE!$I$3:$I$506)</f>
        <v>0</v>
      </c>
      <c r="I195" s="354">
        <f>ISSU!AL195</f>
        <v>0</v>
      </c>
      <c r="J195" s="354">
        <f t="shared" si="65"/>
        <v>0</v>
      </c>
      <c r="K195" s="473">
        <f t="shared" si="66"/>
        <v>35</v>
      </c>
      <c r="L195" s="438">
        <f t="shared" si="67"/>
        <v>17500</v>
      </c>
      <c r="M195" s="358">
        <f t="shared" si="68"/>
        <v>500</v>
      </c>
      <c r="N195" s="439">
        <f t="shared" si="69"/>
        <v>0</v>
      </c>
      <c r="O195" s="439">
        <f t="shared" si="70"/>
        <v>0</v>
      </c>
      <c r="P195" s="438">
        <f t="shared" si="71"/>
        <v>0</v>
      </c>
      <c r="Q195" s="440"/>
      <c r="R195" s="109"/>
      <c r="S195" s="97"/>
      <c r="T195" s="168"/>
      <c r="U195" s="168"/>
      <c r="V195" s="362">
        <f t="shared" si="33"/>
        <v>0</v>
      </c>
      <c r="W195" s="109"/>
      <c r="X195" s="109"/>
      <c r="Y195" s="109"/>
      <c r="Z195" s="109"/>
      <c r="AA195" s="109"/>
    </row>
    <row r="196" ht="15.75" hidden="1" customHeight="1" outlineLevel="1">
      <c r="A196" s="431">
        <v>190.0</v>
      </c>
      <c r="B196" s="393" t="s">
        <v>360</v>
      </c>
      <c r="C196" s="393" t="s">
        <v>72</v>
      </c>
      <c r="D196" s="431">
        <v>750.0</v>
      </c>
      <c r="E196" s="370">
        <v>15.0</v>
      </c>
      <c r="F196" s="455">
        <f t="shared" si="64"/>
        <v>11250</v>
      </c>
      <c r="G196" s="108">
        <f>SUMIF(PURCHASE!$E$3:$E$506,'INVONTERY FEB'!B196:B514,PURCHASE!$H$3:$H$506)</f>
        <v>0</v>
      </c>
      <c r="H196" s="438">
        <f>SUMIF(PURCHASE!$E$3:$E$506,'INVONTERY FEB'!B196:B541,PURCHASE!$I$3:$I$506)</f>
        <v>0</v>
      </c>
      <c r="I196" s="354">
        <f>ISSU!AL196</f>
        <v>0</v>
      </c>
      <c r="J196" s="354">
        <f t="shared" si="65"/>
        <v>0</v>
      </c>
      <c r="K196" s="473">
        <f t="shared" si="66"/>
        <v>15</v>
      </c>
      <c r="L196" s="438">
        <f t="shared" si="67"/>
        <v>11250</v>
      </c>
      <c r="M196" s="358">
        <f t="shared" si="68"/>
        <v>750</v>
      </c>
      <c r="N196" s="439">
        <f t="shared" si="69"/>
        <v>0</v>
      </c>
      <c r="O196" s="439">
        <f t="shared" si="70"/>
        <v>0</v>
      </c>
      <c r="P196" s="438">
        <f t="shared" si="71"/>
        <v>0</v>
      </c>
      <c r="Q196" s="440"/>
      <c r="R196" s="109"/>
      <c r="S196" s="97"/>
      <c r="T196" s="168"/>
      <c r="U196" s="168"/>
      <c r="V196" s="362">
        <f t="shared" si="33"/>
        <v>0</v>
      </c>
      <c r="W196" s="109"/>
      <c r="X196" s="109"/>
      <c r="Y196" s="109"/>
      <c r="Z196" s="109"/>
      <c r="AA196" s="109"/>
    </row>
    <row r="197" ht="15.75" hidden="1" customHeight="1" outlineLevel="1">
      <c r="A197" s="431">
        <v>191.0</v>
      </c>
      <c r="B197" s="350" t="s">
        <v>361</v>
      </c>
      <c r="C197" s="393" t="s">
        <v>72</v>
      </c>
      <c r="D197" s="431">
        <v>250.0</v>
      </c>
      <c r="E197" s="370">
        <v>360.0</v>
      </c>
      <c r="F197" s="455">
        <f t="shared" si="64"/>
        <v>90000</v>
      </c>
      <c r="G197" s="108">
        <f>SUMIF(PURCHASE!$E$3:$E$506,'INVONTERY FEB'!B197:B515,PURCHASE!$H$3:$H$506)</f>
        <v>0</v>
      </c>
      <c r="H197" s="438">
        <f>SUMIF(PURCHASE!$E$3:$E$506,'INVONTERY FEB'!B197:B542,PURCHASE!$I$3:$I$506)</f>
        <v>0</v>
      </c>
      <c r="I197" s="354">
        <f>ISSU!AL197</f>
        <v>0</v>
      </c>
      <c r="J197" s="354">
        <f t="shared" si="65"/>
        <v>0</v>
      </c>
      <c r="K197" s="473">
        <f t="shared" si="66"/>
        <v>360</v>
      </c>
      <c r="L197" s="438">
        <f t="shared" si="67"/>
        <v>90000</v>
      </c>
      <c r="M197" s="358">
        <f t="shared" si="68"/>
        <v>250</v>
      </c>
      <c r="N197" s="439">
        <f t="shared" si="69"/>
        <v>0</v>
      </c>
      <c r="O197" s="439">
        <f t="shared" si="70"/>
        <v>0</v>
      </c>
      <c r="P197" s="438">
        <f t="shared" si="71"/>
        <v>0</v>
      </c>
      <c r="Q197" s="440"/>
      <c r="R197" s="109"/>
      <c r="S197" s="97"/>
      <c r="T197" s="168"/>
      <c r="U197" s="168"/>
      <c r="V197" s="362">
        <f t="shared" si="33"/>
        <v>0</v>
      </c>
      <c r="W197" s="109"/>
      <c r="X197" s="109"/>
      <c r="Y197" s="109"/>
      <c r="Z197" s="109"/>
      <c r="AA197" s="109"/>
    </row>
    <row r="198" ht="15.75" hidden="1" customHeight="1" outlineLevel="1">
      <c r="A198" s="431">
        <v>192.0</v>
      </c>
      <c r="B198" s="393" t="s">
        <v>362</v>
      </c>
      <c r="C198" s="393" t="s">
        <v>72</v>
      </c>
      <c r="D198" s="431">
        <v>700.0</v>
      </c>
      <c r="E198" s="370">
        <v>1.0</v>
      </c>
      <c r="F198" s="455">
        <f t="shared" si="64"/>
        <v>700</v>
      </c>
      <c r="G198" s="108">
        <f>SUMIF(PURCHASE!$E$3:$E$506,'INVONTERY FEB'!B198:B516,PURCHASE!$H$3:$H$506)</f>
        <v>0</v>
      </c>
      <c r="H198" s="438">
        <f>SUMIF(PURCHASE!$E$3:$E$506,'INVONTERY FEB'!B198:B543,PURCHASE!$I$3:$I$506)</f>
        <v>0</v>
      </c>
      <c r="I198" s="354">
        <f>ISSU!AL198</f>
        <v>0</v>
      </c>
      <c r="J198" s="354">
        <f t="shared" si="65"/>
        <v>0</v>
      </c>
      <c r="K198" s="473">
        <f t="shared" si="66"/>
        <v>1</v>
      </c>
      <c r="L198" s="438">
        <f t="shared" si="67"/>
        <v>700</v>
      </c>
      <c r="M198" s="358">
        <f t="shared" si="68"/>
        <v>700</v>
      </c>
      <c r="N198" s="439">
        <f t="shared" si="69"/>
        <v>0</v>
      </c>
      <c r="O198" s="439">
        <f t="shared" si="70"/>
        <v>0</v>
      </c>
      <c r="P198" s="438">
        <f t="shared" si="71"/>
        <v>0</v>
      </c>
      <c r="Q198" s="440"/>
      <c r="R198" s="109"/>
      <c r="S198" s="97"/>
      <c r="T198" s="168"/>
      <c r="U198" s="168"/>
      <c r="V198" s="362">
        <f t="shared" si="33"/>
        <v>0</v>
      </c>
      <c r="W198" s="109"/>
      <c r="X198" s="109"/>
      <c r="Y198" s="109"/>
      <c r="Z198" s="109"/>
      <c r="AA198" s="109"/>
    </row>
    <row r="199" ht="15.75" hidden="1" customHeight="1" outlineLevel="1">
      <c r="A199" s="431">
        <v>193.0</v>
      </c>
      <c r="B199" s="441" t="s">
        <v>363</v>
      </c>
      <c r="C199" s="393" t="s">
        <v>72</v>
      </c>
      <c r="D199" s="431">
        <v>225.0</v>
      </c>
      <c r="E199" s="370">
        <v>4.0</v>
      </c>
      <c r="F199" s="455">
        <f t="shared" si="64"/>
        <v>900</v>
      </c>
      <c r="G199" s="108">
        <f>SUMIF(PURCHASE!$E$3:$E$506,'INVONTERY FEB'!B199:B517,PURCHASE!$H$3:$H$506)</f>
        <v>0</v>
      </c>
      <c r="H199" s="438">
        <f>SUMIF(PURCHASE!$E$3:$E$506,'INVONTERY FEB'!B199:B544,PURCHASE!$I$3:$I$506)</f>
        <v>0</v>
      </c>
      <c r="I199" s="354">
        <f>ISSU!AL199</f>
        <v>0</v>
      </c>
      <c r="J199" s="354">
        <f t="shared" si="65"/>
        <v>0</v>
      </c>
      <c r="K199" s="473">
        <f t="shared" si="66"/>
        <v>4</v>
      </c>
      <c r="L199" s="438">
        <f t="shared" si="67"/>
        <v>900</v>
      </c>
      <c r="M199" s="358">
        <f t="shared" si="68"/>
        <v>225</v>
      </c>
      <c r="N199" s="439">
        <f t="shared" si="69"/>
        <v>0</v>
      </c>
      <c r="O199" s="439">
        <f t="shared" si="70"/>
        <v>0</v>
      </c>
      <c r="P199" s="438">
        <f t="shared" si="71"/>
        <v>0</v>
      </c>
      <c r="Q199" s="440"/>
      <c r="R199" s="109"/>
      <c r="S199" s="97"/>
      <c r="T199" s="168"/>
      <c r="U199" s="168"/>
      <c r="V199" s="362">
        <f t="shared" si="33"/>
        <v>0</v>
      </c>
      <c r="W199" s="109"/>
      <c r="X199" s="109"/>
      <c r="Y199" s="109"/>
      <c r="Z199" s="109"/>
      <c r="AA199" s="109"/>
    </row>
    <row r="200" ht="15.75" hidden="1" customHeight="1" outlineLevel="1">
      <c r="A200" s="431">
        <v>194.0</v>
      </c>
      <c r="B200" s="393" t="s">
        <v>364</v>
      </c>
      <c r="C200" s="393" t="s">
        <v>72</v>
      </c>
      <c r="D200" s="431">
        <v>0.0</v>
      </c>
      <c r="E200" s="370">
        <v>0.0</v>
      </c>
      <c r="F200" s="455">
        <f t="shared" si="64"/>
        <v>0</v>
      </c>
      <c r="G200" s="108">
        <f>SUMIF(PURCHASE!$E$3:$E$506,'INVONTERY FEB'!B200:B518,PURCHASE!$H$3:$H$506)</f>
        <v>0</v>
      </c>
      <c r="H200" s="438">
        <f>SUMIF(PURCHASE!$E$3:$E$506,'INVONTERY FEB'!B200:B545,PURCHASE!$I$3:$I$506)</f>
        <v>0</v>
      </c>
      <c r="I200" s="354">
        <f>ISSU!AL200</f>
        <v>0</v>
      </c>
      <c r="J200" s="354">
        <f t="shared" si="65"/>
        <v>0</v>
      </c>
      <c r="K200" s="473">
        <f t="shared" si="66"/>
        <v>0</v>
      </c>
      <c r="L200" s="438">
        <f t="shared" si="67"/>
        <v>0</v>
      </c>
      <c r="M200" s="358">
        <f t="shared" si="68"/>
        <v>0</v>
      </c>
      <c r="N200" s="439">
        <f t="shared" si="69"/>
        <v>0</v>
      </c>
      <c r="O200" s="439">
        <f t="shared" si="70"/>
        <v>0</v>
      </c>
      <c r="P200" s="438">
        <f t="shared" si="71"/>
        <v>0</v>
      </c>
      <c r="Q200" s="440"/>
      <c r="R200" s="109"/>
      <c r="S200" s="97"/>
      <c r="T200" s="168"/>
      <c r="U200" s="168"/>
      <c r="V200" s="362">
        <f t="shared" si="33"/>
        <v>0</v>
      </c>
      <c r="W200" s="109"/>
      <c r="X200" s="109"/>
      <c r="Y200" s="109"/>
      <c r="Z200" s="109"/>
      <c r="AA200" s="109"/>
    </row>
    <row r="201" ht="15.75" hidden="1" customHeight="1" outlineLevel="1">
      <c r="A201" s="431">
        <v>195.0</v>
      </c>
      <c r="B201" s="393" t="s">
        <v>365</v>
      </c>
      <c r="C201" s="393" t="s">
        <v>72</v>
      </c>
      <c r="D201" s="431">
        <v>250.0</v>
      </c>
      <c r="E201" s="370">
        <v>2.0</v>
      </c>
      <c r="F201" s="455">
        <f t="shared" si="64"/>
        <v>500</v>
      </c>
      <c r="G201" s="108">
        <f>SUMIF(PURCHASE!$E$3:$E$506,'INVONTERY FEB'!B201:B519,PURCHASE!$H$3:$H$506)</f>
        <v>0</v>
      </c>
      <c r="H201" s="438">
        <f>SUMIF(PURCHASE!$E$3:$E$506,'INVONTERY FEB'!B201:B546,PURCHASE!$I$3:$I$506)</f>
        <v>0</v>
      </c>
      <c r="I201" s="354">
        <f>ISSU!AL201</f>
        <v>0</v>
      </c>
      <c r="J201" s="354">
        <f t="shared" si="65"/>
        <v>0</v>
      </c>
      <c r="K201" s="473">
        <f t="shared" si="66"/>
        <v>2</v>
      </c>
      <c r="L201" s="438">
        <f t="shared" si="67"/>
        <v>500</v>
      </c>
      <c r="M201" s="358">
        <f t="shared" si="68"/>
        <v>250</v>
      </c>
      <c r="N201" s="439">
        <f t="shared" si="69"/>
        <v>0</v>
      </c>
      <c r="O201" s="439">
        <f t="shared" si="70"/>
        <v>0</v>
      </c>
      <c r="P201" s="438">
        <f t="shared" si="71"/>
        <v>0</v>
      </c>
      <c r="Q201" s="440"/>
      <c r="R201" s="109"/>
      <c r="S201" s="97"/>
      <c r="T201" s="168"/>
      <c r="U201" s="168"/>
      <c r="V201" s="362">
        <f t="shared" si="33"/>
        <v>0</v>
      </c>
      <c r="W201" s="109"/>
      <c r="X201" s="109"/>
      <c r="Y201" s="109"/>
      <c r="Z201" s="109"/>
      <c r="AA201" s="109"/>
    </row>
    <row r="202" ht="15.75" hidden="1" customHeight="1" outlineLevel="1">
      <c r="A202" s="431">
        <v>196.0</v>
      </c>
      <c r="B202" s="393" t="s">
        <v>366</v>
      </c>
      <c r="C202" s="393" t="s">
        <v>72</v>
      </c>
      <c r="D202" s="431">
        <v>3250.0</v>
      </c>
      <c r="E202" s="370">
        <v>2.0</v>
      </c>
      <c r="F202" s="455">
        <f t="shared" si="64"/>
        <v>6500</v>
      </c>
      <c r="G202" s="108">
        <f>SUMIF(PURCHASE!$E$3:$E$506,'INVONTERY FEB'!B202:B520,PURCHASE!$H$3:$H$506)</f>
        <v>0</v>
      </c>
      <c r="H202" s="438">
        <f>SUMIF(PURCHASE!$E$3:$E$506,'INVONTERY FEB'!B202:B547,PURCHASE!$I$3:$I$506)</f>
        <v>0</v>
      </c>
      <c r="I202" s="354">
        <f>ISSU!AL202</f>
        <v>0</v>
      </c>
      <c r="J202" s="354">
        <f t="shared" si="65"/>
        <v>0</v>
      </c>
      <c r="K202" s="473">
        <f t="shared" si="66"/>
        <v>2</v>
      </c>
      <c r="L202" s="438">
        <f t="shared" si="67"/>
        <v>6500</v>
      </c>
      <c r="M202" s="358">
        <f t="shared" si="68"/>
        <v>3250</v>
      </c>
      <c r="N202" s="439">
        <f t="shared" si="69"/>
        <v>0</v>
      </c>
      <c r="O202" s="439">
        <f t="shared" si="70"/>
        <v>0</v>
      </c>
      <c r="P202" s="438">
        <f t="shared" si="71"/>
        <v>0</v>
      </c>
      <c r="Q202" s="440"/>
      <c r="R202" s="109"/>
      <c r="S202" s="97"/>
      <c r="T202" s="168"/>
      <c r="U202" s="168"/>
      <c r="V202" s="362">
        <f t="shared" si="33"/>
        <v>0</v>
      </c>
      <c r="W202" s="109"/>
      <c r="X202" s="109"/>
      <c r="Y202" s="109"/>
      <c r="Z202" s="109"/>
      <c r="AA202" s="109"/>
    </row>
    <row r="203" ht="15.75" hidden="1" customHeight="1" outlineLevel="1">
      <c r="A203" s="431">
        <v>197.0</v>
      </c>
      <c r="B203" s="441" t="s">
        <v>367</v>
      </c>
      <c r="C203" s="393" t="s">
        <v>72</v>
      </c>
      <c r="D203" s="431">
        <v>250.0</v>
      </c>
      <c r="E203" s="370">
        <v>2.0</v>
      </c>
      <c r="F203" s="455">
        <f t="shared" si="64"/>
        <v>500</v>
      </c>
      <c r="G203" s="108">
        <f>SUMIF(PURCHASE!$E$3:$E$506,'INVONTERY FEB'!B203:B521,PURCHASE!$H$3:$H$506)</f>
        <v>0</v>
      </c>
      <c r="H203" s="438">
        <f>SUMIF(PURCHASE!$E$3:$E$506,'INVONTERY FEB'!B203:B548,PURCHASE!$I$3:$I$506)</f>
        <v>0</v>
      </c>
      <c r="I203" s="354">
        <f>ISSU!AL203</f>
        <v>0</v>
      </c>
      <c r="J203" s="354">
        <f t="shared" si="65"/>
        <v>0</v>
      </c>
      <c r="K203" s="473">
        <f t="shared" si="66"/>
        <v>2</v>
      </c>
      <c r="L203" s="438">
        <f t="shared" si="67"/>
        <v>500</v>
      </c>
      <c r="M203" s="358">
        <f t="shared" si="68"/>
        <v>250</v>
      </c>
      <c r="N203" s="439">
        <f t="shared" si="69"/>
        <v>0</v>
      </c>
      <c r="O203" s="439">
        <f t="shared" si="70"/>
        <v>0</v>
      </c>
      <c r="P203" s="438">
        <f t="shared" si="71"/>
        <v>0</v>
      </c>
      <c r="Q203" s="440"/>
      <c r="R203" s="109"/>
      <c r="S203" s="97"/>
      <c r="T203" s="168"/>
      <c r="U203" s="168"/>
      <c r="V203" s="362">
        <f t="shared" si="33"/>
        <v>0</v>
      </c>
      <c r="W203" s="109"/>
      <c r="X203" s="109"/>
      <c r="Y203" s="109"/>
      <c r="Z203" s="109"/>
      <c r="AA203" s="109"/>
    </row>
    <row r="204" ht="15.75" hidden="1" customHeight="1" outlineLevel="1">
      <c r="A204" s="431">
        <v>198.0</v>
      </c>
      <c r="B204" s="441" t="s">
        <v>368</v>
      </c>
      <c r="C204" s="393" t="s">
        <v>72</v>
      </c>
      <c r="D204" s="431">
        <v>130.0</v>
      </c>
      <c r="E204" s="370">
        <v>2.0</v>
      </c>
      <c r="F204" s="455">
        <f t="shared" si="64"/>
        <v>260</v>
      </c>
      <c r="G204" s="108">
        <f>SUMIF(PURCHASE!$E$3:$E$506,'INVONTERY FEB'!B204:B522,PURCHASE!$H$3:$H$506)</f>
        <v>0</v>
      </c>
      <c r="H204" s="438">
        <f>SUMIF(PURCHASE!$E$3:$E$506,'INVONTERY FEB'!B204:B549,PURCHASE!$I$3:$I$506)</f>
        <v>0</v>
      </c>
      <c r="I204" s="354">
        <f>ISSU!AL204</f>
        <v>0</v>
      </c>
      <c r="J204" s="354">
        <f t="shared" si="65"/>
        <v>0</v>
      </c>
      <c r="K204" s="473">
        <f t="shared" si="66"/>
        <v>2</v>
      </c>
      <c r="L204" s="438">
        <f t="shared" si="67"/>
        <v>260</v>
      </c>
      <c r="M204" s="358">
        <f t="shared" si="68"/>
        <v>130</v>
      </c>
      <c r="N204" s="439">
        <f t="shared" si="69"/>
        <v>0</v>
      </c>
      <c r="O204" s="439">
        <f t="shared" si="70"/>
        <v>0</v>
      </c>
      <c r="P204" s="438">
        <f t="shared" si="71"/>
        <v>0</v>
      </c>
      <c r="Q204" s="440"/>
      <c r="R204" s="109"/>
      <c r="S204" s="97"/>
      <c r="T204" s="168"/>
      <c r="U204" s="168"/>
      <c r="V204" s="362">
        <f t="shared" si="33"/>
        <v>0</v>
      </c>
      <c r="W204" s="109"/>
      <c r="X204" s="109"/>
      <c r="Y204" s="109"/>
      <c r="Z204" s="109"/>
      <c r="AA204" s="109"/>
    </row>
    <row r="205" ht="15.75" hidden="1" customHeight="1" outlineLevel="1">
      <c r="A205" s="431">
        <v>199.0</v>
      </c>
      <c r="B205" s="393"/>
      <c r="C205" s="393"/>
      <c r="D205" s="475"/>
      <c r="E205" s="370">
        <v>0.0</v>
      </c>
      <c r="F205" s="455">
        <f t="shared" si="64"/>
        <v>0</v>
      </c>
      <c r="G205" s="108">
        <f>SUMIF(PURCHASE!$E$3:$E$506,'INVONTERY FEB'!B205:B523,PURCHASE!$H$3:$H$506)</f>
        <v>0</v>
      </c>
      <c r="H205" s="438">
        <f>SUMIF(PURCHASE!$E$3:$E$506,'INVONTERY FEB'!B205:B550,PURCHASE!$I$3:$I$506)</f>
        <v>0</v>
      </c>
      <c r="I205" s="354">
        <f>ISSU!AL205</f>
        <v>0</v>
      </c>
      <c r="J205" s="354">
        <f t="shared" si="65"/>
        <v>0</v>
      </c>
      <c r="K205" s="473">
        <f t="shared" si="66"/>
        <v>0</v>
      </c>
      <c r="L205" s="438">
        <f t="shared" si="67"/>
        <v>0</v>
      </c>
      <c r="M205" s="358" t="str">
        <f t="shared" si="68"/>
        <v/>
      </c>
      <c r="N205" s="439">
        <f t="shared" si="69"/>
        <v>0</v>
      </c>
      <c r="O205" s="439">
        <f t="shared" si="70"/>
        <v>0</v>
      </c>
      <c r="P205" s="438">
        <f t="shared" si="71"/>
        <v>0</v>
      </c>
      <c r="Q205" s="440"/>
      <c r="R205" s="109"/>
      <c r="S205" s="97"/>
      <c r="T205" s="168"/>
      <c r="U205" s="168"/>
      <c r="V205" s="362">
        <f t="shared" si="33"/>
        <v>0</v>
      </c>
      <c r="W205" s="109"/>
      <c r="X205" s="109"/>
      <c r="Y205" s="109"/>
      <c r="Z205" s="109"/>
      <c r="AA205" s="109"/>
    </row>
    <row r="206" ht="15.75" customHeight="1" collapsed="1">
      <c r="A206" s="431">
        <v>200.0</v>
      </c>
      <c r="B206" s="393"/>
      <c r="C206" s="393"/>
      <c r="D206" s="476"/>
      <c r="E206" s="370">
        <v>0.0</v>
      </c>
      <c r="F206" s="455">
        <f t="shared" si="64"/>
        <v>0</v>
      </c>
      <c r="G206" s="108">
        <f>SUMIF(PURCHASE!$E$3:$E$506,'INVONTERY FEB'!B206:B524,PURCHASE!$H$3:$H$506)</f>
        <v>0</v>
      </c>
      <c r="H206" s="438">
        <f>SUMIF(PURCHASE!$E$3:$E$506,'INVONTERY FEB'!B206:B551,PURCHASE!$I$3:$I$506)</f>
        <v>0</v>
      </c>
      <c r="I206" s="354">
        <f>ISSU!AL206</f>
        <v>0</v>
      </c>
      <c r="J206" s="354">
        <f t="shared" si="65"/>
        <v>0</v>
      </c>
      <c r="K206" s="473">
        <f t="shared" si="66"/>
        <v>0</v>
      </c>
      <c r="L206" s="438">
        <f t="shared" si="67"/>
        <v>0</v>
      </c>
      <c r="M206" s="358" t="str">
        <f t="shared" si="68"/>
        <v/>
      </c>
      <c r="N206" s="439">
        <f t="shared" si="69"/>
        <v>0</v>
      </c>
      <c r="O206" s="439">
        <f t="shared" si="70"/>
        <v>0</v>
      </c>
      <c r="P206" s="438">
        <f t="shared" si="71"/>
        <v>0</v>
      </c>
      <c r="Q206" s="440"/>
      <c r="R206" s="407"/>
      <c r="S206" s="97"/>
      <c r="T206" s="168"/>
      <c r="U206" s="168"/>
      <c r="V206" s="362">
        <f t="shared" si="33"/>
        <v>0</v>
      </c>
      <c r="W206" s="109"/>
      <c r="X206" s="109"/>
      <c r="Y206" s="109"/>
      <c r="Z206" s="109"/>
      <c r="AA206" s="109"/>
    </row>
    <row r="207" ht="15.75" customHeight="1">
      <c r="A207" s="403">
        <v>201.0</v>
      </c>
      <c r="B207" s="403" t="s">
        <v>369</v>
      </c>
      <c r="C207" s="404"/>
      <c r="D207" s="404">
        <v>33391.0</v>
      </c>
      <c r="E207" s="404">
        <v>0.0</v>
      </c>
      <c r="F207" s="406">
        <f t="shared" ref="F207:Q207" si="72">SUM(F148:F206)</f>
        <v>535870</v>
      </c>
      <c r="G207" s="406">
        <f t="shared" si="72"/>
        <v>0</v>
      </c>
      <c r="H207" s="406">
        <f t="shared" si="72"/>
        <v>0</v>
      </c>
      <c r="I207" s="406">
        <f t="shared" si="72"/>
        <v>0</v>
      </c>
      <c r="J207" s="406">
        <f t="shared" si="72"/>
        <v>0</v>
      </c>
      <c r="K207" s="406">
        <f t="shared" si="72"/>
        <v>1211</v>
      </c>
      <c r="L207" s="406">
        <f t="shared" si="72"/>
        <v>535870</v>
      </c>
      <c r="M207" s="406">
        <f t="shared" si="72"/>
        <v>33400</v>
      </c>
      <c r="N207" s="406">
        <f t="shared" si="72"/>
        <v>0</v>
      </c>
      <c r="O207" s="406">
        <f t="shared" si="72"/>
        <v>0</v>
      </c>
      <c r="P207" s="406">
        <f t="shared" si="72"/>
        <v>0</v>
      </c>
      <c r="Q207" s="406">
        <f t="shared" si="72"/>
        <v>0</v>
      </c>
      <c r="R207" s="109"/>
      <c r="S207" s="97"/>
      <c r="T207" s="168"/>
      <c r="U207" s="168"/>
      <c r="V207" s="362">
        <f t="shared" si="33"/>
        <v>0</v>
      </c>
      <c r="W207" s="109"/>
      <c r="X207" s="109"/>
      <c r="Y207" s="109"/>
      <c r="Z207" s="109"/>
      <c r="AA207" s="109"/>
    </row>
    <row r="208" ht="15.75" hidden="1" customHeight="1" outlineLevel="1">
      <c r="A208" s="403">
        <v>202.0</v>
      </c>
      <c r="B208" s="403" t="s">
        <v>370</v>
      </c>
      <c r="C208" s="404"/>
      <c r="D208" s="404">
        <v>0.0</v>
      </c>
      <c r="E208" s="404">
        <v>0.0</v>
      </c>
      <c r="F208" s="404">
        <v>0.0</v>
      </c>
      <c r="G208" s="404">
        <v>0.0</v>
      </c>
      <c r="H208" s="404">
        <v>0.0</v>
      </c>
      <c r="I208" s="404">
        <v>0.0</v>
      </c>
      <c r="J208" s="404">
        <v>0.0</v>
      </c>
      <c r="K208" s="404">
        <v>0.0</v>
      </c>
      <c r="L208" s="404">
        <v>0.0</v>
      </c>
      <c r="M208" s="404">
        <v>0.0</v>
      </c>
      <c r="N208" s="404">
        <v>0.0</v>
      </c>
      <c r="O208" s="404">
        <v>0.0</v>
      </c>
      <c r="P208" s="404">
        <v>0.0</v>
      </c>
      <c r="Q208" s="404">
        <v>0.0</v>
      </c>
      <c r="R208" s="109"/>
      <c r="S208" s="97"/>
      <c r="T208" s="168"/>
      <c r="U208" s="168"/>
      <c r="V208" s="362">
        <f t="shared" si="33"/>
        <v>0</v>
      </c>
      <c r="W208" s="109"/>
      <c r="X208" s="109"/>
      <c r="Y208" s="109"/>
      <c r="Z208" s="109"/>
      <c r="AA208" s="109"/>
    </row>
    <row r="209" ht="15.75" hidden="1" customHeight="1" outlineLevel="1">
      <c r="A209" s="431">
        <v>203.0</v>
      </c>
      <c r="B209" s="477" t="s">
        <v>371</v>
      </c>
      <c r="C209" s="463" t="s">
        <v>72</v>
      </c>
      <c r="D209" s="469">
        <v>2400.0</v>
      </c>
      <c r="E209" s="370">
        <v>1.0</v>
      </c>
      <c r="F209" s="465">
        <f t="shared" ref="F209:F312" si="73">E209*D209</f>
        <v>2400</v>
      </c>
      <c r="G209" s="466">
        <f>SUMIF(PURCHASE!$E$3:$E$506,'INVONTERY FEB'!B209:B527,PURCHASE!$H$3:$H$506)</f>
        <v>0</v>
      </c>
      <c r="H209" s="467">
        <f>SUMIF(PURCHASE!$E$3:$E$506,'INVONTERY FEB'!B209:B554,PURCHASE!$I$3:$I$506)</f>
        <v>0</v>
      </c>
      <c r="I209" s="478">
        <f>ISSU!AL209</f>
        <v>0</v>
      </c>
      <c r="J209" s="354">
        <f t="shared" ref="J209:J312" si="74">I209/9</f>
        <v>0</v>
      </c>
      <c r="K209" s="473">
        <f t="shared" ref="K209:K312" si="75">E209+G209-I209</f>
        <v>1</v>
      </c>
      <c r="L209" s="467">
        <f t="shared" ref="L209:L312" si="76">K209*M209</f>
        <v>2400</v>
      </c>
      <c r="M209" s="438">
        <f t="shared" ref="M209:M312" si="77">D209</f>
        <v>2400</v>
      </c>
      <c r="N209" s="439">
        <f t="shared" ref="N209:N312" si="78">M209-D209</f>
        <v>0</v>
      </c>
      <c r="O209" s="439">
        <f t="shared" ref="O209:O312" si="79">N209*I209</f>
        <v>0</v>
      </c>
      <c r="P209" s="438">
        <f t="shared" ref="P209:P312" si="80">F209+H209-L209</f>
        <v>0</v>
      </c>
      <c r="Q209" s="479"/>
      <c r="R209" s="109"/>
      <c r="S209" s="97"/>
      <c r="T209" s="168"/>
      <c r="U209" s="168"/>
      <c r="V209" s="362">
        <f t="shared" si="33"/>
        <v>0</v>
      </c>
      <c r="W209" s="109"/>
      <c r="X209" s="109"/>
      <c r="Y209" s="109"/>
      <c r="Z209" s="109"/>
      <c r="AA209" s="109"/>
    </row>
    <row r="210" ht="15.75" hidden="1" customHeight="1" outlineLevel="1">
      <c r="A210" s="431">
        <v>204.0</v>
      </c>
      <c r="B210" s="477" t="s">
        <v>372</v>
      </c>
      <c r="C210" s="463" t="s">
        <v>72</v>
      </c>
      <c r="D210" s="469">
        <v>450.0</v>
      </c>
      <c r="E210" s="370">
        <v>1.0</v>
      </c>
      <c r="F210" s="465">
        <f t="shared" si="73"/>
        <v>450</v>
      </c>
      <c r="G210" s="466">
        <f>SUMIF(PURCHASE!$E$3:$E$506,'INVONTERY FEB'!B210:B528,PURCHASE!$H$3:$H$506)</f>
        <v>0</v>
      </c>
      <c r="H210" s="467">
        <f>SUMIF(PURCHASE!$E$3:$E$506,'INVONTERY FEB'!B210:B555,PURCHASE!$I$3:$I$506)</f>
        <v>0</v>
      </c>
      <c r="I210" s="478">
        <f>ISSU!AL210</f>
        <v>0</v>
      </c>
      <c r="J210" s="354">
        <f t="shared" si="74"/>
        <v>0</v>
      </c>
      <c r="K210" s="473">
        <f t="shared" si="75"/>
        <v>1</v>
      </c>
      <c r="L210" s="467">
        <f t="shared" si="76"/>
        <v>450</v>
      </c>
      <c r="M210" s="438">
        <f t="shared" si="77"/>
        <v>450</v>
      </c>
      <c r="N210" s="439">
        <f t="shared" si="78"/>
        <v>0</v>
      </c>
      <c r="O210" s="439">
        <f t="shared" si="79"/>
        <v>0</v>
      </c>
      <c r="P210" s="438">
        <f t="shared" si="80"/>
        <v>0</v>
      </c>
      <c r="Q210" s="479"/>
      <c r="R210" s="109"/>
      <c r="S210" s="97"/>
      <c r="T210" s="168"/>
      <c r="U210" s="168"/>
      <c r="V210" s="362">
        <f t="shared" si="33"/>
        <v>0</v>
      </c>
      <c r="W210" s="109"/>
      <c r="X210" s="109"/>
      <c r="Y210" s="109"/>
      <c r="Z210" s="109"/>
      <c r="AA210" s="109"/>
    </row>
    <row r="211" ht="15.75" hidden="1" customHeight="1" outlineLevel="1">
      <c r="A211" s="431">
        <v>205.0</v>
      </c>
      <c r="B211" s="477" t="s">
        <v>373</v>
      </c>
      <c r="C211" s="463" t="s">
        <v>72</v>
      </c>
      <c r="D211" s="469">
        <v>300.0</v>
      </c>
      <c r="E211" s="370">
        <v>1.0</v>
      </c>
      <c r="F211" s="465">
        <f t="shared" si="73"/>
        <v>300</v>
      </c>
      <c r="G211" s="466">
        <f>SUMIF(PURCHASE!$E$3:$E$506,'INVONTERY FEB'!B211:B529,PURCHASE!$H$3:$H$506)</f>
        <v>0</v>
      </c>
      <c r="H211" s="467">
        <f>SUMIF(PURCHASE!$E$3:$E$506,'INVONTERY FEB'!B211:B556,PURCHASE!$I$3:$I$506)</f>
        <v>0</v>
      </c>
      <c r="I211" s="478">
        <f>ISSU!AL211</f>
        <v>0</v>
      </c>
      <c r="J211" s="354">
        <f t="shared" si="74"/>
        <v>0</v>
      </c>
      <c r="K211" s="473">
        <f t="shared" si="75"/>
        <v>1</v>
      </c>
      <c r="L211" s="467">
        <f t="shared" si="76"/>
        <v>300</v>
      </c>
      <c r="M211" s="438">
        <f t="shared" si="77"/>
        <v>300</v>
      </c>
      <c r="N211" s="439">
        <f t="shared" si="78"/>
        <v>0</v>
      </c>
      <c r="O211" s="439">
        <f t="shared" si="79"/>
        <v>0</v>
      </c>
      <c r="P211" s="438">
        <f t="shared" si="80"/>
        <v>0</v>
      </c>
      <c r="Q211" s="479"/>
      <c r="R211" s="109"/>
      <c r="S211" s="97"/>
      <c r="T211" s="168"/>
      <c r="U211" s="168"/>
      <c r="V211" s="362">
        <f t="shared" si="33"/>
        <v>0</v>
      </c>
      <c r="W211" s="109"/>
      <c r="X211" s="109"/>
      <c r="Y211" s="109"/>
      <c r="Z211" s="109"/>
      <c r="AA211" s="109"/>
    </row>
    <row r="212" ht="15.75" hidden="1" customHeight="1" outlineLevel="1">
      <c r="A212" s="431">
        <v>206.0</v>
      </c>
      <c r="B212" s="477" t="s">
        <v>374</v>
      </c>
      <c r="C212" s="463" t="s">
        <v>72</v>
      </c>
      <c r="D212" s="469">
        <v>525.0</v>
      </c>
      <c r="E212" s="370">
        <v>1.0</v>
      </c>
      <c r="F212" s="465">
        <f t="shared" si="73"/>
        <v>525</v>
      </c>
      <c r="G212" s="466">
        <f>SUMIF(PURCHASE!$E$3:$E$506,'INVONTERY FEB'!B212:B530,PURCHASE!$H$3:$H$506)</f>
        <v>0</v>
      </c>
      <c r="H212" s="467">
        <f>SUMIF(PURCHASE!$E$3:$E$506,'INVONTERY FEB'!B212:B557,PURCHASE!$I$3:$I$506)</f>
        <v>0</v>
      </c>
      <c r="I212" s="478">
        <f>ISSU!AL212</f>
        <v>0</v>
      </c>
      <c r="J212" s="354">
        <f t="shared" si="74"/>
        <v>0</v>
      </c>
      <c r="K212" s="473">
        <f t="shared" si="75"/>
        <v>1</v>
      </c>
      <c r="L212" s="467">
        <f t="shared" si="76"/>
        <v>525</v>
      </c>
      <c r="M212" s="438">
        <f t="shared" si="77"/>
        <v>525</v>
      </c>
      <c r="N212" s="439">
        <f t="shared" si="78"/>
        <v>0</v>
      </c>
      <c r="O212" s="439">
        <f t="shared" si="79"/>
        <v>0</v>
      </c>
      <c r="P212" s="438">
        <f t="shared" si="80"/>
        <v>0</v>
      </c>
      <c r="Q212" s="479"/>
      <c r="R212" s="109"/>
      <c r="S212" s="97"/>
      <c r="T212" s="168"/>
      <c r="U212" s="168"/>
      <c r="V212" s="362">
        <f t="shared" si="33"/>
        <v>0</v>
      </c>
      <c r="W212" s="109"/>
      <c r="X212" s="109"/>
      <c r="Y212" s="109"/>
      <c r="Z212" s="109"/>
      <c r="AA212" s="109"/>
    </row>
    <row r="213" ht="15.75" hidden="1" customHeight="1" outlineLevel="1">
      <c r="A213" s="431">
        <v>207.0</v>
      </c>
      <c r="B213" s="477" t="s">
        <v>375</v>
      </c>
      <c r="C213" s="463" t="s">
        <v>72</v>
      </c>
      <c r="D213" s="469">
        <v>330.0</v>
      </c>
      <c r="E213" s="370">
        <v>1.0</v>
      </c>
      <c r="F213" s="465">
        <f t="shared" si="73"/>
        <v>330</v>
      </c>
      <c r="G213" s="466">
        <f>SUMIF(PURCHASE!$E$3:$E$506,'INVONTERY FEB'!B213:B531,PURCHASE!$H$3:$H$506)</f>
        <v>0</v>
      </c>
      <c r="H213" s="467">
        <f>SUMIF(PURCHASE!$E$3:$E$506,'INVONTERY FEB'!B213:B558,PURCHASE!$I$3:$I$506)</f>
        <v>0</v>
      </c>
      <c r="I213" s="478">
        <f>ISSU!AL213</f>
        <v>0</v>
      </c>
      <c r="J213" s="354">
        <f t="shared" si="74"/>
        <v>0</v>
      </c>
      <c r="K213" s="473">
        <f t="shared" si="75"/>
        <v>1</v>
      </c>
      <c r="L213" s="467">
        <f t="shared" si="76"/>
        <v>330</v>
      </c>
      <c r="M213" s="438">
        <f t="shared" si="77"/>
        <v>330</v>
      </c>
      <c r="N213" s="439">
        <f t="shared" si="78"/>
        <v>0</v>
      </c>
      <c r="O213" s="439">
        <f t="shared" si="79"/>
        <v>0</v>
      </c>
      <c r="P213" s="438">
        <f t="shared" si="80"/>
        <v>0</v>
      </c>
      <c r="Q213" s="479"/>
      <c r="R213" s="109"/>
      <c r="S213" s="97"/>
      <c r="T213" s="168"/>
      <c r="U213" s="168"/>
      <c r="V213" s="362">
        <f t="shared" si="33"/>
        <v>0</v>
      </c>
      <c r="W213" s="109"/>
      <c r="X213" s="109"/>
      <c r="Y213" s="109"/>
      <c r="Z213" s="109"/>
      <c r="AA213" s="109"/>
    </row>
    <row r="214" ht="15.75" hidden="1" customHeight="1" outlineLevel="1">
      <c r="A214" s="431">
        <v>208.0</v>
      </c>
      <c r="B214" s="477" t="s">
        <v>376</v>
      </c>
      <c r="C214" s="463" t="s">
        <v>72</v>
      </c>
      <c r="D214" s="469">
        <v>375.0</v>
      </c>
      <c r="E214" s="370">
        <v>1.0</v>
      </c>
      <c r="F214" s="465">
        <f t="shared" si="73"/>
        <v>375</v>
      </c>
      <c r="G214" s="466">
        <f>SUMIF(PURCHASE!$E$3:$E$506,'INVONTERY FEB'!B214:B532,PURCHASE!$H$3:$H$506)</f>
        <v>0</v>
      </c>
      <c r="H214" s="467">
        <f>SUMIF(PURCHASE!$E$3:$E$506,'INVONTERY FEB'!B214:B559,PURCHASE!$I$3:$I$506)</f>
        <v>0</v>
      </c>
      <c r="I214" s="478">
        <f>ISSU!AL214</f>
        <v>0</v>
      </c>
      <c r="J214" s="354">
        <f t="shared" si="74"/>
        <v>0</v>
      </c>
      <c r="K214" s="473">
        <f t="shared" si="75"/>
        <v>1</v>
      </c>
      <c r="L214" s="467">
        <f t="shared" si="76"/>
        <v>375</v>
      </c>
      <c r="M214" s="438">
        <f t="shared" si="77"/>
        <v>375</v>
      </c>
      <c r="N214" s="439">
        <f t="shared" si="78"/>
        <v>0</v>
      </c>
      <c r="O214" s="439">
        <f t="shared" si="79"/>
        <v>0</v>
      </c>
      <c r="P214" s="438">
        <f t="shared" si="80"/>
        <v>0</v>
      </c>
      <c r="Q214" s="479"/>
      <c r="R214" s="109"/>
      <c r="S214" s="97"/>
      <c r="T214" s="168"/>
      <c r="U214" s="168"/>
      <c r="V214" s="362">
        <f t="shared" si="33"/>
        <v>0</v>
      </c>
      <c r="W214" s="109"/>
      <c r="X214" s="109"/>
      <c r="Y214" s="109"/>
      <c r="Z214" s="109"/>
      <c r="AA214" s="109"/>
    </row>
    <row r="215" ht="15.75" hidden="1" customHeight="1" outlineLevel="1">
      <c r="A215" s="431">
        <v>209.0</v>
      </c>
      <c r="B215" s="477" t="s">
        <v>377</v>
      </c>
      <c r="C215" s="463" t="s">
        <v>72</v>
      </c>
      <c r="D215" s="469">
        <v>1185.0</v>
      </c>
      <c r="E215" s="370">
        <v>1.0</v>
      </c>
      <c r="F215" s="465">
        <f t="shared" si="73"/>
        <v>1185</v>
      </c>
      <c r="G215" s="466">
        <f>SUMIF(PURCHASE!$E$3:$E$506,'INVONTERY FEB'!B215:B533,PURCHASE!$H$3:$H$506)</f>
        <v>0</v>
      </c>
      <c r="H215" s="467">
        <f>SUMIF(PURCHASE!$E$3:$E$506,'INVONTERY FEB'!B215:B560,PURCHASE!$I$3:$I$506)</f>
        <v>0</v>
      </c>
      <c r="I215" s="478">
        <f>ISSU!AL215</f>
        <v>0</v>
      </c>
      <c r="J215" s="354">
        <f t="shared" si="74"/>
        <v>0</v>
      </c>
      <c r="K215" s="473">
        <f t="shared" si="75"/>
        <v>1</v>
      </c>
      <c r="L215" s="467">
        <f t="shared" si="76"/>
        <v>1185</v>
      </c>
      <c r="M215" s="438">
        <f t="shared" si="77"/>
        <v>1185</v>
      </c>
      <c r="N215" s="439">
        <f t="shared" si="78"/>
        <v>0</v>
      </c>
      <c r="O215" s="439">
        <f t="shared" si="79"/>
        <v>0</v>
      </c>
      <c r="P215" s="438">
        <f t="shared" si="80"/>
        <v>0</v>
      </c>
      <c r="Q215" s="479"/>
      <c r="R215" s="109"/>
      <c r="S215" s="97"/>
      <c r="T215" s="168"/>
      <c r="U215" s="168"/>
      <c r="V215" s="362">
        <f t="shared" si="33"/>
        <v>0</v>
      </c>
      <c r="W215" s="109"/>
      <c r="X215" s="109"/>
      <c r="Y215" s="109"/>
      <c r="Z215" s="109"/>
      <c r="AA215" s="109"/>
    </row>
    <row r="216" ht="15.75" hidden="1" customHeight="1" outlineLevel="1">
      <c r="A216" s="431">
        <v>210.0</v>
      </c>
      <c r="B216" s="477" t="s">
        <v>378</v>
      </c>
      <c r="C216" s="463" t="s">
        <v>72</v>
      </c>
      <c r="D216" s="469">
        <v>180.0</v>
      </c>
      <c r="E216" s="370">
        <v>1.0</v>
      </c>
      <c r="F216" s="465">
        <f t="shared" si="73"/>
        <v>180</v>
      </c>
      <c r="G216" s="466">
        <f>SUMIF(PURCHASE!$E$3:$E$506,'INVONTERY FEB'!B216:B534,PURCHASE!$H$3:$H$506)</f>
        <v>0</v>
      </c>
      <c r="H216" s="467">
        <f>SUMIF(PURCHASE!$E$3:$E$506,'INVONTERY FEB'!B216:B561,PURCHASE!$I$3:$I$506)</f>
        <v>0</v>
      </c>
      <c r="I216" s="478">
        <f>ISSU!AL216</f>
        <v>0</v>
      </c>
      <c r="J216" s="354">
        <f t="shared" si="74"/>
        <v>0</v>
      </c>
      <c r="K216" s="473">
        <f t="shared" si="75"/>
        <v>1</v>
      </c>
      <c r="L216" s="467">
        <f t="shared" si="76"/>
        <v>180</v>
      </c>
      <c r="M216" s="438">
        <f t="shared" si="77"/>
        <v>180</v>
      </c>
      <c r="N216" s="439">
        <f t="shared" si="78"/>
        <v>0</v>
      </c>
      <c r="O216" s="439">
        <f t="shared" si="79"/>
        <v>0</v>
      </c>
      <c r="P216" s="438">
        <f t="shared" si="80"/>
        <v>0</v>
      </c>
      <c r="Q216" s="479"/>
      <c r="R216" s="109"/>
      <c r="S216" s="97"/>
      <c r="T216" s="168"/>
      <c r="U216" s="168"/>
      <c r="V216" s="362">
        <f t="shared" si="33"/>
        <v>0</v>
      </c>
      <c r="W216" s="109"/>
      <c r="X216" s="109"/>
      <c r="Y216" s="109"/>
      <c r="Z216" s="109"/>
      <c r="AA216" s="109"/>
    </row>
    <row r="217" ht="15.75" hidden="1" customHeight="1" outlineLevel="1">
      <c r="A217" s="431">
        <v>211.0</v>
      </c>
      <c r="B217" s="477" t="s">
        <v>379</v>
      </c>
      <c r="C217" s="463" t="s">
        <v>72</v>
      </c>
      <c r="D217" s="469">
        <v>270.0</v>
      </c>
      <c r="E217" s="370">
        <v>1.0</v>
      </c>
      <c r="F217" s="465">
        <f t="shared" si="73"/>
        <v>270</v>
      </c>
      <c r="G217" s="466">
        <f>SUMIF(PURCHASE!$E$3:$E$506,'INVONTERY FEB'!B217:B535,PURCHASE!$H$3:$H$506)</f>
        <v>0</v>
      </c>
      <c r="H217" s="467">
        <f>SUMIF(PURCHASE!$E$3:$E$506,'INVONTERY FEB'!B217:B562,PURCHASE!$I$3:$I$506)</f>
        <v>0</v>
      </c>
      <c r="I217" s="478">
        <f>ISSU!AL217</f>
        <v>0</v>
      </c>
      <c r="J217" s="354">
        <f t="shared" si="74"/>
        <v>0</v>
      </c>
      <c r="K217" s="473">
        <f t="shared" si="75"/>
        <v>1</v>
      </c>
      <c r="L217" s="467">
        <f t="shared" si="76"/>
        <v>270</v>
      </c>
      <c r="M217" s="438">
        <f t="shared" si="77"/>
        <v>270</v>
      </c>
      <c r="N217" s="439">
        <f t="shared" si="78"/>
        <v>0</v>
      </c>
      <c r="O217" s="439">
        <f t="shared" si="79"/>
        <v>0</v>
      </c>
      <c r="P217" s="438">
        <f t="shared" si="80"/>
        <v>0</v>
      </c>
      <c r="Q217" s="479"/>
      <c r="R217" s="109"/>
      <c r="S217" s="97"/>
      <c r="T217" s="168"/>
      <c r="U217" s="168"/>
      <c r="V217" s="362">
        <f t="shared" si="33"/>
        <v>0</v>
      </c>
      <c r="W217" s="109"/>
      <c r="X217" s="109"/>
      <c r="Y217" s="109"/>
      <c r="Z217" s="109"/>
      <c r="AA217" s="109"/>
    </row>
    <row r="218" ht="15.75" hidden="1" customHeight="1" outlineLevel="1">
      <c r="A218" s="431">
        <v>212.0</v>
      </c>
      <c r="B218" s="477" t="s">
        <v>380</v>
      </c>
      <c r="C218" s="463" t="s">
        <v>72</v>
      </c>
      <c r="D218" s="469">
        <v>675.0</v>
      </c>
      <c r="E218" s="370">
        <v>1.0</v>
      </c>
      <c r="F218" s="465">
        <f t="shared" si="73"/>
        <v>675</v>
      </c>
      <c r="G218" s="466">
        <f>SUMIF(PURCHASE!$E$3:$E$506,'INVONTERY FEB'!B218:B536,PURCHASE!$H$3:$H$506)</f>
        <v>0</v>
      </c>
      <c r="H218" s="467">
        <f>SUMIF(PURCHASE!$E$3:$E$506,'INVONTERY FEB'!B218:B563,PURCHASE!$I$3:$I$506)</f>
        <v>0</v>
      </c>
      <c r="I218" s="478">
        <f>ISSU!AL218</f>
        <v>0</v>
      </c>
      <c r="J218" s="354">
        <f t="shared" si="74"/>
        <v>0</v>
      </c>
      <c r="K218" s="473">
        <f t="shared" si="75"/>
        <v>1</v>
      </c>
      <c r="L218" s="467">
        <f t="shared" si="76"/>
        <v>675</v>
      </c>
      <c r="M218" s="438">
        <f t="shared" si="77"/>
        <v>675</v>
      </c>
      <c r="N218" s="439">
        <f t="shared" si="78"/>
        <v>0</v>
      </c>
      <c r="O218" s="439">
        <f t="shared" si="79"/>
        <v>0</v>
      </c>
      <c r="P218" s="438">
        <f t="shared" si="80"/>
        <v>0</v>
      </c>
      <c r="Q218" s="479"/>
      <c r="R218" s="109"/>
      <c r="S218" s="97"/>
      <c r="T218" s="168"/>
      <c r="U218" s="168"/>
      <c r="V218" s="362">
        <f t="shared" si="33"/>
        <v>0</v>
      </c>
      <c r="W218" s="109"/>
      <c r="X218" s="109"/>
      <c r="Y218" s="109"/>
      <c r="Z218" s="109"/>
      <c r="AA218" s="109"/>
    </row>
    <row r="219" ht="15.75" hidden="1" customHeight="1" outlineLevel="1">
      <c r="A219" s="431">
        <v>213.0</v>
      </c>
      <c r="B219" s="477" t="s">
        <v>381</v>
      </c>
      <c r="C219" s="463" t="s">
        <v>72</v>
      </c>
      <c r="D219" s="469">
        <v>525.0</v>
      </c>
      <c r="E219" s="370">
        <v>1.0</v>
      </c>
      <c r="F219" s="465">
        <f t="shared" si="73"/>
        <v>525</v>
      </c>
      <c r="G219" s="466">
        <f>SUMIF(PURCHASE!$E$3:$E$506,'INVONTERY FEB'!B219:B537,PURCHASE!$H$3:$H$506)</f>
        <v>0</v>
      </c>
      <c r="H219" s="467">
        <f>SUMIF(PURCHASE!$E$3:$E$506,'INVONTERY FEB'!B219:B564,PURCHASE!$I$3:$I$506)</f>
        <v>0</v>
      </c>
      <c r="I219" s="478">
        <f>ISSU!AL219</f>
        <v>0</v>
      </c>
      <c r="J219" s="354">
        <f t="shared" si="74"/>
        <v>0</v>
      </c>
      <c r="K219" s="473">
        <f t="shared" si="75"/>
        <v>1</v>
      </c>
      <c r="L219" s="467">
        <f t="shared" si="76"/>
        <v>525</v>
      </c>
      <c r="M219" s="438">
        <f t="shared" si="77"/>
        <v>525</v>
      </c>
      <c r="N219" s="439">
        <f t="shared" si="78"/>
        <v>0</v>
      </c>
      <c r="O219" s="439">
        <f t="shared" si="79"/>
        <v>0</v>
      </c>
      <c r="P219" s="438">
        <f t="shared" si="80"/>
        <v>0</v>
      </c>
      <c r="Q219" s="479"/>
      <c r="R219" s="109"/>
      <c r="S219" s="97"/>
      <c r="T219" s="168"/>
      <c r="U219" s="168"/>
      <c r="V219" s="362">
        <f t="shared" si="33"/>
        <v>0</v>
      </c>
      <c r="W219" s="109"/>
      <c r="X219" s="109"/>
      <c r="Y219" s="109"/>
      <c r="Z219" s="109"/>
      <c r="AA219" s="109"/>
    </row>
    <row r="220" ht="15.75" hidden="1" customHeight="1" outlineLevel="1">
      <c r="A220" s="431">
        <v>214.0</v>
      </c>
      <c r="B220" s="477" t="s">
        <v>382</v>
      </c>
      <c r="C220" s="463" t="s">
        <v>72</v>
      </c>
      <c r="D220" s="469">
        <v>440.0</v>
      </c>
      <c r="E220" s="370">
        <v>1.0</v>
      </c>
      <c r="F220" s="465">
        <f t="shared" si="73"/>
        <v>440</v>
      </c>
      <c r="G220" s="466">
        <f>SUMIF(PURCHASE!$E$3:$E$506,'INVONTERY FEB'!B220:B538,PURCHASE!$H$3:$H$506)</f>
        <v>0</v>
      </c>
      <c r="H220" s="467">
        <f>SUMIF(PURCHASE!$E$3:$E$506,'INVONTERY FEB'!B220:B565,PURCHASE!$I$3:$I$506)</f>
        <v>0</v>
      </c>
      <c r="I220" s="478">
        <f>ISSU!AL220</f>
        <v>0</v>
      </c>
      <c r="J220" s="354">
        <f t="shared" si="74"/>
        <v>0</v>
      </c>
      <c r="K220" s="473">
        <f t="shared" si="75"/>
        <v>1</v>
      </c>
      <c r="L220" s="467">
        <f t="shared" si="76"/>
        <v>440</v>
      </c>
      <c r="M220" s="438">
        <f t="shared" si="77"/>
        <v>440</v>
      </c>
      <c r="N220" s="439">
        <f t="shared" si="78"/>
        <v>0</v>
      </c>
      <c r="O220" s="439">
        <f t="shared" si="79"/>
        <v>0</v>
      </c>
      <c r="P220" s="438">
        <f t="shared" si="80"/>
        <v>0</v>
      </c>
      <c r="Q220" s="479"/>
      <c r="R220" s="109"/>
      <c r="S220" s="97"/>
      <c r="T220" s="168"/>
      <c r="U220" s="168"/>
      <c r="V220" s="362">
        <f t="shared" si="33"/>
        <v>0</v>
      </c>
      <c r="W220" s="109"/>
      <c r="X220" s="109"/>
      <c r="Y220" s="109"/>
      <c r="Z220" s="109"/>
      <c r="AA220" s="109"/>
    </row>
    <row r="221" ht="15.75" hidden="1" customHeight="1" outlineLevel="1">
      <c r="A221" s="431">
        <v>215.0</v>
      </c>
      <c r="B221" s="477" t="s">
        <v>383</v>
      </c>
      <c r="C221" s="463" t="s">
        <v>72</v>
      </c>
      <c r="D221" s="469">
        <v>450.0</v>
      </c>
      <c r="E221" s="370">
        <v>1.0</v>
      </c>
      <c r="F221" s="465">
        <f t="shared" si="73"/>
        <v>450</v>
      </c>
      <c r="G221" s="466">
        <f>SUMIF(PURCHASE!$E$3:$E$506,'INVONTERY FEB'!B221:B539,PURCHASE!$H$3:$H$506)</f>
        <v>0</v>
      </c>
      <c r="H221" s="467">
        <f>SUMIF(PURCHASE!$E$3:$E$506,'INVONTERY FEB'!B221:B566,PURCHASE!$I$3:$I$506)</f>
        <v>0</v>
      </c>
      <c r="I221" s="478">
        <f>ISSU!AL221</f>
        <v>0</v>
      </c>
      <c r="J221" s="354">
        <f t="shared" si="74"/>
        <v>0</v>
      </c>
      <c r="K221" s="473">
        <f t="shared" si="75"/>
        <v>1</v>
      </c>
      <c r="L221" s="467">
        <f t="shared" si="76"/>
        <v>450</v>
      </c>
      <c r="M221" s="438">
        <f t="shared" si="77"/>
        <v>450</v>
      </c>
      <c r="N221" s="439">
        <f t="shared" si="78"/>
        <v>0</v>
      </c>
      <c r="O221" s="439">
        <f t="shared" si="79"/>
        <v>0</v>
      </c>
      <c r="P221" s="438">
        <f t="shared" si="80"/>
        <v>0</v>
      </c>
      <c r="Q221" s="479"/>
      <c r="R221" s="109"/>
      <c r="S221" s="97"/>
      <c r="T221" s="168"/>
      <c r="U221" s="168"/>
      <c r="V221" s="362">
        <f t="shared" si="33"/>
        <v>0</v>
      </c>
      <c r="W221" s="109"/>
      <c r="X221" s="109"/>
      <c r="Y221" s="109"/>
      <c r="Z221" s="109"/>
      <c r="AA221" s="109"/>
    </row>
    <row r="222" ht="15.75" hidden="1" customHeight="1" outlineLevel="1">
      <c r="A222" s="431">
        <v>216.0</v>
      </c>
      <c r="B222" s="477" t="s">
        <v>384</v>
      </c>
      <c r="C222" s="463" t="s">
        <v>72</v>
      </c>
      <c r="D222" s="469">
        <v>630.0</v>
      </c>
      <c r="E222" s="370">
        <v>1.0</v>
      </c>
      <c r="F222" s="465">
        <f t="shared" si="73"/>
        <v>630</v>
      </c>
      <c r="G222" s="466">
        <f>SUMIF(PURCHASE!$E$3:$E$506,'INVONTERY FEB'!B222:B540,PURCHASE!$H$3:$H$506)</f>
        <v>0</v>
      </c>
      <c r="H222" s="467">
        <f>SUMIF(PURCHASE!$E$3:$E$506,'INVONTERY FEB'!B222:B567,PURCHASE!$I$3:$I$506)</f>
        <v>0</v>
      </c>
      <c r="I222" s="478">
        <f>ISSU!AL222</f>
        <v>0</v>
      </c>
      <c r="J222" s="354">
        <f t="shared" si="74"/>
        <v>0</v>
      </c>
      <c r="K222" s="473">
        <f t="shared" si="75"/>
        <v>1</v>
      </c>
      <c r="L222" s="467">
        <f t="shared" si="76"/>
        <v>630</v>
      </c>
      <c r="M222" s="438">
        <f t="shared" si="77"/>
        <v>630</v>
      </c>
      <c r="N222" s="439">
        <f t="shared" si="78"/>
        <v>0</v>
      </c>
      <c r="O222" s="439">
        <f t="shared" si="79"/>
        <v>0</v>
      </c>
      <c r="P222" s="438">
        <f t="shared" si="80"/>
        <v>0</v>
      </c>
      <c r="Q222" s="479"/>
      <c r="R222" s="109"/>
      <c r="S222" s="97"/>
      <c r="T222" s="168"/>
      <c r="U222" s="168"/>
      <c r="V222" s="362">
        <f t="shared" si="33"/>
        <v>0</v>
      </c>
      <c r="W222" s="109"/>
      <c r="X222" s="109"/>
      <c r="Y222" s="109"/>
      <c r="Z222" s="109"/>
      <c r="AA222" s="109"/>
    </row>
    <row r="223" ht="15.75" hidden="1" customHeight="1" outlineLevel="1">
      <c r="A223" s="431">
        <v>217.0</v>
      </c>
      <c r="B223" s="477" t="s">
        <v>385</v>
      </c>
      <c r="C223" s="463" t="s">
        <v>72</v>
      </c>
      <c r="D223" s="469">
        <v>375.0</v>
      </c>
      <c r="E223" s="370">
        <v>1.0</v>
      </c>
      <c r="F223" s="465">
        <f t="shared" si="73"/>
        <v>375</v>
      </c>
      <c r="G223" s="466">
        <f>SUMIF(PURCHASE!$E$3:$E$506,'INVONTERY FEB'!B223:B541,PURCHASE!$H$3:$H$506)</f>
        <v>0</v>
      </c>
      <c r="H223" s="467">
        <f>SUMIF(PURCHASE!$E$3:$E$506,'INVONTERY FEB'!B223:B568,PURCHASE!$I$3:$I$506)</f>
        <v>0</v>
      </c>
      <c r="I223" s="478">
        <f>ISSU!AL223</f>
        <v>0</v>
      </c>
      <c r="J223" s="354">
        <f t="shared" si="74"/>
        <v>0</v>
      </c>
      <c r="K223" s="473">
        <f t="shared" si="75"/>
        <v>1</v>
      </c>
      <c r="L223" s="467">
        <f t="shared" si="76"/>
        <v>375</v>
      </c>
      <c r="M223" s="438">
        <f t="shared" si="77"/>
        <v>375</v>
      </c>
      <c r="N223" s="439">
        <f t="shared" si="78"/>
        <v>0</v>
      </c>
      <c r="O223" s="439">
        <f t="shared" si="79"/>
        <v>0</v>
      </c>
      <c r="P223" s="438">
        <f t="shared" si="80"/>
        <v>0</v>
      </c>
      <c r="Q223" s="479"/>
      <c r="R223" s="109"/>
      <c r="S223" s="97"/>
      <c r="T223" s="168"/>
      <c r="U223" s="168"/>
      <c r="V223" s="362">
        <f t="shared" si="33"/>
        <v>0</v>
      </c>
      <c r="W223" s="109"/>
      <c r="X223" s="109"/>
      <c r="Y223" s="109"/>
      <c r="Z223" s="109"/>
      <c r="AA223" s="109"/>
    </row>
    <row r="224" ht="15.75" hidden="1" customHeight="1" outlineLevel="1">
      <c r="A224" s="431">
        <v>218.0</v>
      </c>
      <c r="B224" s="477" t="s">
        <v>386</v>
      </c>
      <c r="C224" s="463" t="s">
        <v>72</v>
      </c>
      <c r="D224" s="469">
        <v>450.0</v>
      </c>
      <c r="E224" s="370">
        <v>1.0</v>
      </c>
      <c r="F224" s="465">
        <f t="shared" si="73"/>
        <v>450</v>
      </c>
      <c r="G224" s="466">
        <f>SUMIF(PURCHASE!$E$3:$E$506,'INVONTERY FEB'!B224:B542,PURCHASE!$H$3:$H$506)</f>
        <v>0</v>
      </c>
      <c r="H224" s="467">
        <f>SUMIF(PURCHASE!$E$3:$E$506,'INVONTERY FEB'!B224:B569,PURCHASE!$I$3:$I$506)</f>
        <v>0</v>
      </c>
      <c r="I224" s="478">
        <f>ISSU!AL224</f>
        <v>0</v>
      </c>
      <c r="J224" s="354">
        <f t="shared" si="74"/>
        <v>0</v>
      </c>
      <c r="K224" s="473">
        <f t="shared" si="75"/>
        <v>1</v>
      </c>
      <c r="L224" s="467">
        <f t="shared" si="76"/>
        <v>450</v>
      </c>
      <c r="M224" s="438">
        <f t="shared" si="77"/>
        <v>450</v>
      </c>
      <c r="N224" s="439">
        <f t="shared" si="78"/>
        <v>0</v>
      </c>
      <c r="O224" s="439">
        <f t="shared" si="79"/>
        <v>0</v>
      </c>
      <c r="P224" s="438">
        <f t="shared" si="80"/>
        <v>0</v>
      </c>
      <c r="Q224" s="479"/>
      <c r="R224" s="109"/>
      <c r="S224" s="97"/>
      <c r="T224" s="168"/>
      <c r="U224" s="168"/>
      <c r="V224" s="362">
        <f t="shared" si="33"/>
        <v>0</v>
      </c>
      <c r="W224" s="109"/>
      <c r="X224" s="109"/>
      <c r="Y224" s="109"/>
      <c r="Z224" s="109"/>
      <c r="AA224" s="109"/>
    </row>
    <row r="225" ht="15.75" hidden="1" customHeight="1" outlineLevel="1">
      <c r="A225" s="431">
        <v>219.0</v>
      </c>
      <c r="B225" s="477" t="s">
        <v>387</v>
      </c>
      <c r="C225" s="463" t="s">
        <v>72</v>
      </c>
      <c r="D225" s="469">
        <v>375.0</v>
      </c>
      <c r="E225" s="370">
        <v>1.0</v>
      </c>
      <c r="F225" s="465">
        <f t="shared" si="73"/>
        <v>375</v>
      </c>
      <c r="G225" s="466">
        <f>SUMIF(PURCHASE!$E$3:$E$506,'INVONTERY FEB'!B225:B543,PURCHASE!$H$3:$H$506)</f>
        <v>0</v>
      </c>
      <c r="H225" s="467">
        <f>SUMIF(PURCHASE!$E$3:$E$506,'INVONTERY FEB'!B225:B570,PURCHASE!$I$3:$I$506)</f>
        <v>0</v>
      </c>
      <c r="I225" s="478">
        <f>ISSU!AL225</f>
        <v>0</v>
      </c>
      <c r="J225" s="354">
        <f t="shared" si="74"/>
        <v>0</v>
      </c>
      <c r="K225" s="473">
        <f t="shared" si="75"/>
        <v>1</v>
      </c>
      <c r="L225" s="467">
        <f t="shared" si="76"/>
        <v>375</v>
      </c>
      <c r="M225" s="438">
        <f t="shared" si="77"/>
        <v>375</v>
      </c>
      <c r="N225" s="439">
        <f t="shared" si="78"/>
        <v>0</v>
      </c>
      <c r="O225" s="439">
        <f t="shared" si="79"/>
        <v>0</v>
      </c>
      <c r="P225" s="438">
        <f t="shared" si="80"/>
        <v>0</v>
      </c>
      <c r="Q225" s="479"/>
      <c r="R225" s="109"/>
      <c r="S225" s="97"/>
      <c r="T225" s="168"/>
      <c r="U225" s="168"/>
      <c r="V225" s="362">
        <f t="shared" si="33"/>
        <v>0</v>
      </c>
      <c r="W225" s="109"/>
      <c r="X225" s="109"/>
      <c r="Y225" s="109"/>
      <c r="Z225" s="109"/>
      <c r="AA225" s="109"/>
    </row>
    <row r="226" ht="15.75" hidden="1" customHeight="1" outlineLevel="1">
      <c r="A226" s="431">
        <v>220.0</v>
      </c>
      <c r="B226" s="477" t="s">
        <v>388</v>
      </c>
      <c r="C226" s="463" t="s">
        <v>72</v>
      </c>
      <c r="D226" s="469">
        <v>585.0</v>
      </c>
      <c r="E226" s="370">
        <v>1.0</v>
      </c>
      <c r="F226" s="465">
        <f t="shared" si="73"/>
        <v>585</v>
      </c>
      <c r="G226" s="466">
        <f>SUMIF(PURCHASE!$E$3:$E$506,'INVONTERY FEB'!B226:B544,PURCHASE!$H$3:$H$506)</f>
        <v>0</v>
      </c>
      <c r="H226" s="467">
        <f>SUMIF(PURCHASE!$E$3:$E$506,'INVONTERY FEB'!B226:B571,PURCHASE!$I$3:$I$506)</f>
        <v>0</v>
      </c>
      <c r="I226" s="478">
        <f>ISSU!AL226</f>
        <v>0</v>
      </c>
      <c r="J226" s="354">
        <f t="shared" si="74"/>
        <v>0</v>
      </c>
      <c r="K226" s="473">
        <f t="shared" si="75"/>
        <v>1</v>
      </c>
      <c r="L226" s="467">
        <f t="shared" si="76"/>
        <v>585</v>
      </c>
      <c r="M226" s="438">
        <f t="shared" si="77"/>
        <v>585</v>
      </c>
      <c r="N226" s="439">
        <f t="shared" si="78"/>
        <v>0</v>
      </c>
      <c r="O226" s="439">
        <f t="shared" si="79"/>
        <v>0</v>
      </c>
      <c r="P226" s="438">
        <f t="shared" si="80"/>
        <v>0</v>
      </c>
      <c r="Q226" s="479"/>
      <c r="R226" s="109"/>
      <c r="S226" s="97"/>
      <c r="T226" s="168"/>
      <c r="U226" s="168"/>
      <c r="V226" s="362">
        <f t="shared" si="33"/>
        <v>0</v>
      </c>
      <c r="W226" s="109"/>
      <c r="X226" s="109"/>
      <c r="Y226" s="109"/>
      <c r="Z226" s="109"/>
      <c r="AA226" s="109"/>
    </row>
    <row r="227" ht="15.75" hidden="1" customHeight="1" outlineLevel="1">
      <c r="A227" s="431">
        <v>221.0</v>
      </c>
      <c r="B227" s="477" t="s">
        <v>389</v>
      </c>
      <c r="C227" s="463" t="s">
        <v>72</v>
      </c>
      <c r="D227" s="469">
        <v>375.0</v>
      </c>
      <c r="E227" s="370">
        <v>1.0</v>
      </c>
      <c r="F227" s="465">
        <f t="shared" si="73"/>
        <v>375</v>
      </c>
      <c r="G227" s="466">
        <f>SUMIF(PURCHASE!$E$3:$E$506,'INVONTERY FEB'!B227:B545,PURCHASE!$H$3:$H$506)</f>
        <v>0</v>
      </c>
      <c r="H227" s="467">
        <f>SUMIF(PURCHASE!$E$3:$E$506,'INVONTERY FEB'!B227:B572,PURCHASE!$I$3:$I$506)</f>
        <v>0</v>
      </c>
      <c r="I227" s="478">
        <f>ISSU!AL227</f>
        <v>0</v>
      </c>
      <c r="J227" s="354">
        <f t="shared" si="74"/>
        <v>0</v>
      </c>
      <c r="K227" s="473">
        <f t="shared" si="75"/>
        <v>1</v>
      </c>
      <c r="L227" s="467">
        <f t="shared" si="76"/>
        <v>375</v>
      </c>
      <c r="M227" s="438">
        <f t="shared" si="77"/>
        <v>375</v>
      </c>
      <c r="N227" s="439">
        <f t="shared" si="78"/>
        <v>0</v>
      </c>
      <c r="O227" s="439">
        <f t="shared" si="79"/>
        <v>0</v>
      </c>
      <c r="P227" s="438">
        <f t="shared" si="80"/>
        <v>0</v>
      </c>
      <c r="Q227" s="479"/>
      <c r="R227" s="109"/>
      <c r="S227" s="97"/>
      <c r="T227" s="168"/>
      <c r="U227" s="168"/>
      <c r="V227" s="362">
        <f t="shared" si="33"/>
        <v>0</v>
      </c>
      <c r="W227" s="109"/>
      <c r="X227" s="109"/>
      <c r="Y227" s="109"/>
      <c r="Z227" s="109"/>
      <c r="AA227" s="109"/>
    </row>
    <row r="228" ht="15.75" hidden="1" customHeight="1" outlineLevel="1">
      <c r="A228" s="431">
        <v>222.0</v>
      </c>
      <c r="B228" s="477" t="s">
        <v>390</v>
      </c>
      <c r="C228" s="463" t="s">
        <v>72</v>
      </c>
      <c r="D228" s="469">
        <v>675.0</v>
      </c>
      <c r="E228" s="370">
        <v>1.0</v>
      </c>
      <c r="F228" s="465">
        <f t="shared" si="73"/>
        <v>675</v>
      </c>
      <c r="G228" s="466">
        <f>SUMIF(PURCHASE!$E$3:$E$506,'INVONTERY FEB'!B228:B546,PURCHASE!$H$3:$H$506)</f>
        <v>0</v>
      </c>
      <c r="H228" s="467">
        <f>SUMIF(PURCHASE!$E$3:$E$506,'INVONTERY FEB'!B228:B573,PURCHASE!$I$3:$I$506)</f>
        <v>0</v>
      </c>
      <c r="I228" s="478">
        <f>ISSU!AL228</f>
        <v>0</v>
      </c>
      <c r="J228" s="354">
        <f t="shared" si="74"/>
        <v>0</v>
      </c>
      <c r="K228" s="473">
        <f t="shared" si="75"/>
        <v>1</v>
      </c>
      <c r="L228" s="467">
        <f t="shared" si="76"/>
        <v>675</v>
      </c>
      <c r="M228" s="438">
        <f t="shared" si="77"/>
        <v>675</v>
      </c>
      <c r="N228" s="439">
        <f t="shared" si="78"/>
        <v>0</v>
      </c>
      <c r="O228" s="439">
        <f t="shared" si="79"/>
        <v>0</v>
      </c>
      <c r="P228" s="438">
        <f t="shared" si="80"/>
        <v>0</v>
      </c>
      <c r="Q228" s="479"/>
      <c r="R228" s="109"/>
      <c r="S228" s="97"/>
      <c r="T228" s="168"/>
      <c r="U228" s="168"/>
      <c r="V228" s="362">
        <f t="shared" si="33"/>
        <v>0</v>
      </c>
      <c r="W228" s="109"/>
      <c r="X228" s="109"/>
      <c r="Y228" s="109"/>
      <c r="Z228" s="109"/>
      <c r="AA228" s="109"/>
    </row>
    <row r="229" ht="15.75" hidden="1" customHeight="1" outlineLevel="1">
      <c r="A229" s="431">
        <v>223.0</v>
      </c>
      <c r="B229" s="477" t="s">
        <v>391</v>
      </c>
      <c r="C229" s="463" t="s">
        <v>72</v>
      </c>
      <c r="D229" s="469">
        <v>375.0</v>
      </c>
      <c r="E229" s="370">
        <v>1.0</v>
      </c>
      <c r="F229" s="465">
        <f t="shared" si="73"/>
        <v>375</v>
      </c>
      <c r="G229" s="466">
        <f>SUMIF(PURCHASE!$E$3:$E$506,'INVONTERY FEB'!B229:B547,PURCHASE!$H$3:$H$506)</f>
        <v>0</v>
      </c>
      <c r="H229" s="467">
        <f>SUMIF(PURCHASE!$E$3:$E$506,'INVONTERY FEB'!B229:B574,PURCHASE!$I$3:$I$506)</f>
        <v>0</v>
      </c>
      <c r="I229" s="478">
        <f>ISSU!AL229</f>
        <v>0</v>
      </c>
      <c r="J229" s="354">
        <f t="shared" si="74"/>
        <v>0</v>
      </c>
      <c r="K229" s="473">
        <f t="shared" si="75"/>
        <v>1</v>
      </c>
      <c r="L229" s="467">
        <f t="shared" si="76"/>
        <v>375</v>
      </c>
      <c r="M229" s="438">
        <f t="shared" si="77"/>
        <v>375</v>
      </c>
      <c r="N229" s="439">
        <f t="shared" si="78"/>
        <v>0</v>
      </c>
      <c r="O229" s="439">
        <f t="shared" si="79"/>
        <v>0</v>
      </c>
      <c r="P229" s="438">
        <f t="shared" si="80"/>
        <v>0</v>
      </c>
      <c r="Q229" s="479"/>
      <c r="R229" s="109"/>
      <c r="S229" s="97"/>
      <c r="T229" s="168"/>
      <c r="U229" s="168"/>
      <c r="V229" s="362">
        <f t="shared" si="33"/>
        <v>0</v>
      </c>
      <c r="W229" s="109"/>
      <c r="X229" s="109"/>
      <c r="Y229" s="109"/>
      <c r="Z229" s="109"/>
      <c r="AA229" s="109"/>
    </row>
    <row r="230" ht="15.75" hidden="1" customHeight="1" outlineLevel="1">
      <c r="A230" s="431">
        <v>224.0</v>
      </c>
      <c r="B230" s="477" t="s">
        <v>392</v>
      </c>
      <c r="C230" s="463" t="s">
        <v>72</v>
      </c>
      <c r="D230" s="469">
        <v>600.0</v>
      </c>
      <c r="E230" s="370">
        <v>1.0</v>
      </c>
      <c r="F230" s="465">
        <f t="shared" si="73"/>
        <v>600</v>
      </c>
      <c r="G230" s="466">
        <f>SUMIF(PURCHASE!$E$3:$E$506,'INVONTERY FEB'!B230:B548,PURCHASE!$H$3:$H$506)</f>
        <v>0</v>
      </c>
      <c r="H230" s="467">
        <f>SUMIF(PURCHASE!$E$3:$E$506,'INVONTERY FEB'!B230:B575,PURCHASE!$I$3:$I$506)</f>
        <v>0</v>
      </c>
      <c r="I230" s="478">
        <f>ISSU!AL230</f>
        <v>0</v>
      </c>
      <c r="J230" s="354">
        <f t="shared" si="74"/>
        <v>0</v>
      </c>
      <c r="K230" s="473">
        <f t="shared" si="75"/>
        <v>1</v>
      </c>
      <c r="L230" s="467">
        <f t="shared" si="76"/>
        <v>600</v>
      </c>
      <c r="M230" s="438">
        <f t="shared" si="77"/>
        <v>600</v>
      </c>
      <c r="N230" s="439">
        <f t="shared" si="78"/>
        <v>0</v>
      </c>
      <c r="O230" s="439">
        <f t="shared" si="79"/>
        <v>0</v>
      </c>
      <c r="P230" s="438">
        <f t="shared" si="80"/>
        <v>0</v>
      </c>
      <c r="Q230" s="479"/>
      <c r="R230" s="109"/>
      <c r="S230" s="97"/>
      <c r="T230" s="168"/>
      <c r="U230" s="168"/>
      <c r="V230" s="362">
        <f t="shared" si="33"/>
        <v>0</v>
      </c>
      <c r="W230" s="109"/>
      <c r="X230" s="109"/>
      <c r="Y230" s="109"/>
      <c r="Z230" s="109"/>
      <c r="AA230" s="109"/>
    </row>
    <row r="231" ht="15.75" hidden="1" customHeight="1" outlineLevel="1">
      <c r="A231" s="431">
        <v>225.0</v>
      </c>
      <c r="B231" s="477" t="s">
        <v>393</v>
      </c>
      <c r="C231" s="463" t="s">
        <v>72</v>
      </c>
      <c r="D231" s="469">
        <v>450.0</v>
      </c>
      <c r="E231" s="370">
        <v>1.0</v>
      </c>
      <c r="F231" s="465">
        <f t="shared" si="73"/>
        <v>450</v>
      </c>
      <c r="G231" s="466">
        <f>SUMIF(PURCHASE!$E$3:$E$506,'INVONTERY FEB'!B231:B549,PURCHASE!$H$3:$H$506)</f>
        <v>0</v>
      </c>
      <c r="H231" s="467">
        <f>SUMIF(PURCHASE!$E$3:$E$506,'INVONTERY FEB'!B231:B576,PURCHASE!$I$3:$I$506)</f>
        <v>0</v>
      </c>
      <c r="I231" s="478">
        <f>ISSU!AL231</f>
        <v>0</v>
      </c>
      <c r="J231" s="354">
        <f t="shared" si="74"/>
        <v>0</v>
      </c>
      <c r="K231" s="473">
        <f t="shared" si="75"/>
        <v>1</v>
      </c>
      <c r="L231" s="467">
        <f t="shared" si="76"/>
        <v>450</v>
      </c>
      <c r="M231" s="438">
        <f t="shared" si="77"/>
        <v>450</v>
      </c>
      <c r="N231" s="439">
        <f t="shared" si="78"/>
        <v>0</v>
      </c>
      <c r="O231" s="439">
        <f t="shared" si="79"/>
        <v>0</v>
      </c>
      <c r="P231" s="438">
        <f t="shared" si="80"/>
        <v>0</v>
      </c>
      <c r="Q231" s="479"/>
      <c r="R231" s="109"/>
      <c r="S231" s="97"/>
      <c r="T231" s="168"/>
      <c r="U231" s="168"/>
      <c r="V231" s="362">
        <f t="shared" si="33"/>
        <v>0</v>
      </c>
      <c r="W231" s="109"/>
      <c r="X231" s="109"/>
      <c r="Y231" s="109"/>
      <c r="Z231" s="109"/>
      <c r="AA231" s="109"/>
    </row>
    <row r="232" ht="15.75" hidden="1" customHeight="1" outlineLevel="1">
      <c r="A232" s="431">
        <v>226.0</v>
      </c>
      <c r="B232" s="477" t="s">
        <v>394</v>
      </c>
      <c r="C232" s="463" t="s">
        <v>72</v>
      </c>
      <c r="D232" s="469">
        <v>465.0</v>
      </c>
      <c r="E232" s="370">
        <v>1.0</v>
      </c>
      <c r="F232" s="465">
        <f t="shared" si="73"/>
        <v>465</v>
      </c>
      <c r="G232" s="466">
        <f>SUMIF(PURCHASE!$E$3:$E$506,'INVONTERY FEB'!B232:B550,PURCHASE!$H$3:$H$506)</f>
        <v>0</v>
      </c>
      <c r="H232" s="467">
        <f>SUMIF(PURCHASE!$E$3:$E$506,'INVONTERY FEB'!B232:B577,PURCHASE!$I$3:$I$506)</f>
        <v>0</v>
      </c>
      <c r="I232" s="478">
        <f>ISSU!AL232</f>
        <v>0</v>
      </c>
      <c r="J232" s="354">
        <f t="shared" si="74"/>
        <v>0</v>
      </c>
      <c r="K232" s="473">
        <f t="shared" si="75"/>
        <v>1</v>
      </c>
      <c r="L232" s="467">
        <f t="shared" si="76"/>
        <v>465</v>
      </c>
      <c r="M232" s="438">
        <f t="shared" si="77"/>
        <v>465</v>
      </c>
      <c r="N232" s="439">
        <f t="shared" si="78"/>
        <v>0</v>
      </c>
      <c r="O232" s="439">
        <f t="shared" si="79"/>
        <v>0</v>
      </c>
      <c r="P232" s="438">
        <f t="shared" si="80"/>
        <v>0</v>
      </c>
      <c r="Q232" s="479"/>
      <c r="R232" s="109"/>
      <c r="S232" s="97"/>
      <c r="T232" s="168"/>
      <c r="U232" s="168"/>
      <c r="V232" s="362">
        <f t="shared" si="33"/>
        <v>0</v>
      </c>
      <c r="W232" s="109"/>
      <c r="X232" s="109"/>
      <c r="Y232" s="109"/>
      <c r="Z232" s="109"/>
      <c r="AA232" s="109"/>
    </row>
    <row r="233" ht="15.75" hidden="1" customHeight="1" outlineLevel="1">
      <c r="A233" s="431">
        <v>227.0</v>
      </c>
      <c r="B233" s="477" t="s">
        <v>395</v>
      </c>
      <c r="C233" s="463" t="s">
        <v>72</v>
      </c>
      <c r="D233" s="469">
        <v>390.0</v>
      </c>
      <c r="E233" s="370">
        <v>1.0</v>
      </c>
      <c r="F233" s="465">
        <f t="shared" si="73"/>
        <v>390</v>
      </c>
      <c r="G233" s="466">
        <f>SUMIF(PURCHASE!$E$3:$E$506,'INVONTERY FEB'!B233:B551,PURCHASE!$H$3:$H$506)</f>
        <v>0</v>
      </c>
      <c r="H233" s="467">
        <f>SUMIF(PURCHASE!$E$3:$E$506,'INVONTERY FEB'!B233:B578,PURCHASE!$I$3:$I$506)</f>
        <v>0</v>
      </c>
      <c r="I233" s="478">
        <f>ISSU!AL233</f>
        <v>0</v>
      </c>
      <c r="J233" s="354">
        <f t="shared" si="74"/>
        <v>0</v>
      </c>
      <c r="K233" s="473">
        <f t="shared" si="75"/>
        <v>1</v>
      </c>
      <c r="L233" s="467">
        <f t="shared" si="76"/>
        <v>390</v>
      </c>
      <c r="M233" s="438">
        <f t="shared" si="77"/>
        <v>390</v>
      </c>
      <c r="N233" s="439">
        <f t="shared" si="78"/>
        <v>0</v>
      </c>
      <c r="O233" s="439">
        <f t="shared" si="79"/>
        <v>0</v>
      </c>
      <c r="P233" s="438">
        <f t="shared" si="80"/>
        <v>0</v>
      </c>
      <c r="Q233" s="479"/>
      <c r="R233" s="109"/>
      <c r="S233" s="97"/>
      <c r="T233" s="168"/>
      <c r="U233" s="168"/>
      <c r="V233" s="362">
        <f t="shared" si="33"/>
        <v>0</v>
      </c>
      <c r="W233" s="109"/>
      <c r="X233" s="109"/>
      <c r="Y233" s="109"/>
      <c r="Z233" s="109"/>
      <c r="AA233" s="109"/>
    </row>
    <row r="234" ht="15.75" hidden="1" customHeight="1" outlineLevel="1">
      <c r="A234" s="431">
        <v>228.0</v>
      </c>
      <c r="B234" s="477" t="s">
        <v>396</v>
      </c>
      <c r="C234" s="463" t="s">
        <v>72</v>
      </c>
      <c r="D234" s="469">
        <v>525.0</v>
      </c>
      <c r="E234" s="370">
        <v>1.0</v>
      </c>
      <c r="F234" s="465">
        <f t="shared" si="73"/>
        <v>525</v>
      </c>
      <c r="G234" s="466">
        <f>SUMIF(PURCHASE!$E$3:$E$506,'INVONTERY FEB'!B234:B552,PURCHASE!$H$3:$H$506)</f>
        <v>0</v>
      </c>
      <c r="H234" s="467">
        <f>SUMIF(PURCHASE!$E$3:$E$506,'INVONTERY FEB'!B234:B579,PURCHASE!$I$3:$I$506)</f>
        <v>0</v>
      </c>
      <c r="I234" s="478">
        <f>ISSU!AL234</f>
        <v>0</v>
      </c>
      <c r="J234" s="354">
        <f t="shared" si="74"/>
        <v>0</v>
      </c>
      <c r="K234" s="473">
        <f t="shared" si="75"/>
        <v>1</v>
      </c>
      <c r="L234" s="467">
        <f t="shared" si="76"/>
        <v>525</v>
      </c>
      <c r="M234" s="438">
        <f t="shared" si="77"/>
        <v>525</v>
      </c>
      <c r="N234" s="439">
        <f t="shared" si="78"/>
        <v>0</v>
      </c>
      <c r="O234" s="439">
        <f t="shared" si="79"/>
        <v>0</v>
      </c>
      <c r="P234" s="438">
        <f t="shared" si="80"/>
        <v>0</v>
      </c>
      <c r="Q234" s="479"/>
      <c r="R234" s="109"/>
      <c r="S234" s="97"/>
      <c r="T234" s="168"/>
      <c r="U234" s="168"/>
      <c r="V234" s="362">
        <f t="shared" si="33"/>
        <v>0</v>
      </c>
      <c r="W234" s="109"/>
      <c r="X234" s="109"/>
      <c r="Y234" s="109"/>
      <c r="Z234" s="109"/>
      <c r="AA234" s="109"/>
    </row>
    <row r="235" ht="15.75" hidden="1" customHeight="1" outlineLevel="1">
      <c r="A235" s="431">
        <v>229.0</v>
      </c>
      <c r="B235" s="477" t="s">
        <v>397</v>
      </c>
      <c r="C235" s="463" t="s">
        <v>72</v>
      </c>
      <c r="D235" s="469">
        <v>450.0</v>
      </c>
      <c r="E235" s="370">
        <v>1.0</v>
      </c>
      <c r="F235" s="465">
        <f t="shared" si="73"/>
        <v>450</v>
      </c>
      <c r="G235" s="466">
        <f>SUMIF(PURCHASE!$E$3:$E$506,'INVONTERY FEB'!B235:B553,PURCHASE!$H$3:$H$506)</f>
        <v>0</v>
      </c>
      <c r="H235" s="467">
        <f>SUMIF(PURCHASE!$E$3:$E$506,'INVONTERY FEB'!B235:B580,PURCHASE!$I$3:$I$506)</f>
        <v>0</v>
      </c>
      <c r="I235" s="478">
        <f>ISSU!AL235</f>
        <v>0</v>
      </c>
      <c r="J235" s="354">
        <f t="shared" si="74"/>
        <v>0</v>
      </c>
      <c r="K235" s="473">
        <f t="shared" si="75"/>
        <v>1</v>
      </c>
      <c r="L235" s="467">
        <f t="shared" si="76"/>
        <v>450</v>
      </c>
      <c r="M235" s="438">
        <f t="shared" si="77"/>
        <v>450</v>
      </c>
      <c r="N235" s="439">
        <f t="shared" si="78"/>
        <v>0</v>
      </c>
      <c r="O235" s="439">
        <f t="shared" si="79"/>
        <v>0</v>
      </c>
      <c r="P235" s="438">
        <f t="shared" si="80"/>
        <v>0</v>
      </c>
      <c r="Q235" s="479"/>
      <c r="R235" s="109"/>
      <c r="S235" s="97"/>
      <c r="T235" s="168"/>
      <c r="U235" s="168"/>
      <c r="V235" s="362">
        <f t="shared" si="33"/>
        <v>0</v>
      </c>
      <c r="W235" s="109"/>
      <c r="X235" s="109"/>
      <c r="Y235" s="109"/>
      <c r="Z235" s="109"/>
      <c r="AA235" s="109"/>
    </row>
    <row r="236" ht="15.75" hidden="1" customHeight="1" outlineLevel="1">
      <c r="A236" s="431">
        <v>230.0</v>
      </c>
      <c r="B236" s="477" t="s">
        <v>398</v>
      </c>
      <c r="C236" s="463" t="s">
        <v>72</v>
      </c>
      <c r="D236" s="469">
        <v>780.0</v>
      </c>
      <c r="E236" s="370">
        <v>1.0</v>
      </c>
      <c r="F236" s="465">
        <f t="shared" si="73"/>
        <v>780</v>
      </c>
      <c r="G236" s="466">
        <f>SUMIF(PURCHASE!$E$3:$E$506,'INVONTERY FEB'!B236:B554,PURCHASE!$H$3:$H$506)</f>
        <v>0</v>
      </c>
      <c r="H236" s="467">
        <f>SUMIF(PURCHASE!$E$3:$E$506,'INVONTERY FEB'!B236:B581,PURCHASE!$I$3:$I$506)</f>
        <v>0</v>
      </c>
      <c r="I236" s="478">
        <f>ISSU!AL236</f>
        <v>0</v>
      </c>
      <c r="J236" s="354">
        <f t="shared" si="74"/>
        <v>0</v>
      </c>
      <c r="K236" s="473">
        <f t="shared" si="75"/>
        <v>1</v>
      </c>
      <c r="L236" s="467">
        <f t="shared" si="76"/>
        <v>780</v>
      </c>
      <c r="M236" s="438">
        <f t="shared" si="77"/>
        <v>780</v>
      </c>
      <c r="N236" s="439">
        <f t="shared" si="78"/>
        <v>0</v>
      </c>
      <c r="O236" s="439">
        <f t="shared" si="79"/>
        <v>0</v>
      </c>
      <c r="P236" s="438">
        <f t="shared" si="80"/>
        <v>0</v>
      </c>
      <c r="Q236" s="479"/>
      <c r="R236" s="109"/>
      <c r="S236" s="97"/>
      <c r="T236" s="168"/>
      <c r="U236" s="168"/>
      <c r="V236" s="362">
        <f t="shared" si="33"/>
        <v>0</v>
      </c>
      <c r="W236" s="109"/>
      <c r="X236" s="109"/>
      <c r="Y236" s="109"/>
      <c r="Z236" s="109"/>
      <c r="AA236" s="109"/>
    </row>
    <row r="237" ht="15.75" hidden="1" customHeight="1" outlineLevel="1">
      <c r="A237" s="431">
        <v>231.0</v>
      </c>
      <c r="B237" s="477" t="s">
        <v>399</v>
      </c>
      <c r="C237" s="463" t="s">
        <v>72</v>
      </c>
      <c r="D237" s="469">
        <v>525.0</v>
      </c>
      <c r="E237" s="370">
        <v>1.0</v>
      </c>
      <c r="F237" s="465">
        <f t="shared" si="73"/>
        <v>525</v>
      </c>
      <c r="G237" s="466">
        <f>SUMIF(PURCHASE!$E$3:$E$506,'INVONTERY FEB'!B237:B555,PURCHASE!$H$3:$H$506)</f>
        <v>0</v>
      </c>
      <c r="H237" s="467">
        <f>SUMIF(PURCHASE!$E$3:$E$506,'INVONTERY FEB'!B237:B582,PURCHASE!$I$3:$I$506)</f>
        <v>0</v>
      </c>
      <c r="I237" s="478">
        <f>ISSU!AL237</f>
        <v>0</v>
      </c>
      <c r="J237" s="354">
        <f t="shared" si="74"/>
        <v>0</v>
      </c>
      <c r="K237" s="473">
        <f t="shared" si="75"/>
        <v>1</v>
      </c>
      <c r="L237" s="467">
        <f t="shared" si="76"/>
        <v>525</v>
      </c>
      <c r="M237" s="438">
        <f t="shared" si="77"/>
        <v>525</v>
      </c>
      <c r="N237" s="439">
        <f t="shared" si="78"/>
        <v>0</v>
      </c>
      <c r="O237" s="439">
        <f t="shared" si="79"/>
        <v>0</v>
      </c>
      <c r="P237" s="438">
        <f t="shared" si="80"/>
        <v>0</v>
      </c>
      <c r="Q237" s="479"/>
      <c r="R237" s="109"/>
      <c r="S237" s="97"/>
      <c r="T237" s="168"/>
      <c r="U237" s="168"/>
      <c r="V237" s="362">
        <f t="shared" si="33"/>
        <v>0</v>
      </c>
      <c r="W237" s="109"/>
      <c r="X237" s="109"/>
      <c r="Y237" s="109"/>
      <c r="Z237" s="109"/>
      <c r="AA237" s="109"/>
    </row>
    <row r="238" ht="15.75" hidden="1" customHeight="1" outlineLevel="1">
      <c r="A238" s="431">
        <v>232.0</v>
      </c>
      <c r="B238" s="477" t="s">
        <v>400</v>
      </c>
      <c r="C238" s="463" t="s">
        <v>72</v>
      </c>
      <c r="D238" s="469">
        <v>255.0</v>
      </c>
      <c r="E238" s="370">
        <v>1.0</v>
      </c>
      <c r="F238" s="465">
        <f t="shared" si="73"/>
        <v>255</v>
      </c>
      <c r="G238" s="466">
        <f>SUMIF(PURCHASE!$E$3:$E$506,'INVONTERY FEB'!B238:B556,PURCHASE!$H$3:$H$506)</f>
        <v>0</v>
      </c>
      <c r="H238" s="467">
        <f>SUMIF(PURCHASE!$E$3:$E$506,'INVONTERY FEB'!B238:B583,PURCHASE!$I$3:$I$506)</f>
        <v>0</v>
      </c>
      <c r="I238" s="478">
        <f>ISSU!AL238</f>
        <v>0</v>
      </c>
      <c r="J238" s="354">
        <f t="shared" si="74"/>
        <v>0</v>
      </c>
      <c r="K238" s="473">
        <f t="shared" si="75"/>
        <v>1</v>
      </c>
      <c r="L238" s="467">
        <f t="shared" si="76"/>
        <v>255</v>
      </c>
      <c r="M238" s="438">
        <f t="shared" si="77"/>
        <v>255</v>
      </c>
      <c r="N238" s="439">
        <f t="shared" si="78"/>
        <v>0</v>
      </c>
      <c r="O238" s="439">
        <f t="shared" si="79"/>
        <v>0</v>
      </c>
      <c r="P238" s="438">
        <f t="shared" si="80"/>
        <v>0</v>
      </c>
      <c r="Q238" s="479"/>
      <c r="R238" s="109"/>
      <c r="S238" s="97"/>
      <c r="T238" s="168"/>
      <c r="U238" s="168"/>
      <c r="V238" s="362">
        <f t="shared" si="33"/>
        <v>0</v>
      </c>
      <c r="W238" s="109"/>
      <c r="X238" s="109"/>
      <c r="Y238" s="109"/>
      <c r="Z238" s="109"/>
      <c r="AA238" s="109"/>
    </row>
    <row r="239" ht="15.75" hidden="1" customHeight="1" outlineLevel="1">
      <c r="A239" s="431">
        <v>233.0</v>
      </c>
      <c r="B239" s="477" t="s">
        <v>401</v>
      </c>
      <c r="C239" s="463" t="s">
        <v>72</v>
      </c>
      <c r="D239" s="469">
        <v>195.0</v>
      </c>
      <c r="E239" s="370">
        <v>1.0</v>
      </c>
      <c r="F239" s="465">
        <f t="shared" si="73"/>
        <v>195</v>
      </c>
      <c r="G239" s="466">
        <f>SUMIF(PURCHASE!$E$3:$E$506,'INVONTERY FEB'!B239:B557,PURCHASE!$H$3:$H$506)</f>
        <v>0</v>
      </c>
      <c r="H239" s="467">
        <f>SUMIF(PURCHASE!$E$3:$E$506,'INVONTERY FEB'!B239:B584,PURCHASE!$I$3:$I$506)</f>
        <v>0</v>
      </c>
      <c r="I239" s="478">
        <f>ISSU!AL239</f>
        <v>0</v>
      </c>
      <c r="J239" s="354">
        <f t="shared" si="74"/>
        <v>0</v>
      </c>
      <c r="K239" s="473">
        <f t="shared" si="75"/>
        <v>1</v>
      </c>
      <c r="L239" s="467">
        <f t="shared" si="76"/>
        <v>195</v>
      </c>
      <c r="M239" s="438">
        <f t="shared" si="77"/>
        <v>195</v>
      </c>
      <c r="N239" s="439">
        <f t="shared" si="78"/>
        <v>0</v>
      </c>
      <c r="O239" s="439">
        <f t="shared" si="79"/>
        <v>0</v>
      </c>
      <c r="P239" s="438">
        <f t="shared" si="80"/>
        <v>0</v>
      </c>
      <c r="Q239" s="479"/>
      <c r="R239" s="109"/>
      <c r="S239" s="97"/>
      <c r="T239" s="168"/>
      <c r="U239" s="168"/>
      <c r="V239" s="362">
        <f t="shared" si="33"/>
        <v>0</v>
      </c>
      <c r="W239" s="109"/>
      <c r="X239" s="109"/>
      <c r="Y239" s="109"/>
      <c r="Z239" s="109"/>
      <c r="AA239" s="109"/>
    </row>
    <row r="240" ht="15.75" hidden="1" customHeight="1" outlineLevel="1">
      <c r="A240" s="431">
        <v>234.0</v>
      </c>
      <c r="B240" s="477" t="s">
        <v>402</v>
      </c>
      <c r="C240" s="463" t="s">
        <v>72</v>
      </c>
      <c r="D240" s="469">
        <v>225.0</v>
      </c>
      <c r="E240" s="370">
        <v>1.0</v>
      </c>
      <c r="F240" s="465">
        <f t="shared" si="73"/>
        <v>225</v>
      </c>
      <c r="G240" s="466">
        <f>SUMIF(PURCHASE!$E$3:$E$506,'INVONTERY FEB'!B240:B558,PURCHASE!$H$3:$H$506)</f>
        <v>0</v>
      </c>
      <c r="H240" s="467">
        <f>SUMIF(PURCHASE!$E$3:$E$506,'INVONTERY FEB'!B240:B585,PURCHASE!$I$3:$I$506)</f>
        <v>0</v>
      </c>
      <c r="I240" s="478">
        <f>ISSU!AL240</f>
        <v>0</v>
      </c>
      <c r="J240" s="354">
        <f t="shared" si="74"/>
        <v>0</v>
      </c>
      <c r="K240" s="473">
        <f t="shared" si="75"/>
        <v>1</v>
      </c>
      <c r="L240" s="467">
        <f t="shared" si="76"/>
        <v>225</v>
      </c>
      <c r="M240" s="438">
        <f t="shared" si="77"/>
        <v>225</v>
      </c>
      <c r="N240" s="439">
        <f t="shared" si="78"/>
        <v>0</v>
      </c>
      <c r="O240" s="439">
        <f t="shared" si="79"/>
        <v>0</v>
      </c>
      <c r="P240" s="438">
        <f t="shared" si="80"/>
        <v>0</v>
      </c>
      <c r="Q240" s="479"/>
      <c r="R240" s="109"/>
      <c r="S240" s="97"/>
      <c r="T240" s="168"/>
      <c r="U240" s="168"/>
      <c r="V240" s="362">
        <f t="shared" si="33"/>
        <v>0</v>
      </c>
      <c r="W240" s="109"/>
      <c r="X240" s="109"/>
      <c r="Y240" s="109"/>
      <c r="Z240" s="109"/>
      <c r="AA240" s="109"/>
    </row>
    <row r="241" ht="15.75" hidden="1" customHeight="1" outlineLevel="1">
      <c r="A241" s="431">
        <v>235.0</v>
      </c>
      <c r="B241" s="477" t="s">
        <v>403</v>
      </c>
      <c r="C241" s="463" t="s">
        <v>72</v>
      </c>
      <c r="D241" s="469">
        <v>375.0</v>
      </c>
      <c r="E241" s="370">
        <v>1.0</v>
      </c>
      <c r="F241" s="465">
        <f t="shared" si="73"/>
        <v>375</v>
      </c>
      <c r="G241" s="466">
        <f>SUMIF(PURCHASE!$E$3:$E$506,'INVONTERY FEB'!B241:B559,PURCHASE!$H$3:$H$506)</f>
        <v>0</v>
      </c>
      <c r="H241" s="467">
        <f>SUMIF(PURCHASE!$E$3:$E$506,'INVONTERY FEB'!B241:B586,PURCHASE!$I$3:$I$506)</f>
        <v>0</v>
      </c>
      <c r="I241" s="478">
        <f>ISSU!AL241</f>
        <v>0</v>
      </c>
      <c r="J241" s="354">
        <f t="shared" si="74"/>
        <v>0</v>
      </c>
      <c r="K241" s="473">
        <f t="shared" si="75"/>
        <v>1</v>
      </c>
      <c r="L241" s="467">
        <f t="shared" si="76"/>
        <v>375</v>
      </c>
      <c r="M241" s="438">
        <f t="shared" si="77"/>
        <v>375</v>
      </c>
      <c r="N241" s="439">
        <f t="shared" si="78"/>
        <v>0</v>
      </c>
      <c r="O241" s="439">
        <f t="shared" si="79"/>
        <v>0</v>
      </c>
      <c r="P241" s="438">
        <f t="shared" si="80"/>
        <v>0</v>
      </c>
      <c r="Q241" s="479"/>
      <c r="R241" s="109"/>
      <c r="S241" s="97"/>
      <c r="T241" s="168"/>
      <c r="U241" s="168"/>
      <c r="V241" s="362">
        <f t="shared" si="33"/>
        <v>0</v>
      </c>
      <c r="W241" s="109"/>
      <c r="X241" s="109"/>
      <c r="Y241" s="109"/>
      <c r="Z241" s="109"/>
      <c r="AA241" s="109"/>
    </row>
    <row r="242" ht="15.75" hidden="1" customHeight="1" outlineLevel="1">
      <c r="A242" s="431">
        <v>236.0</v>
      </c>
      <c r="B242" s="477" t="s">
        <v>404</v>
      </c>
      <c r="C242" s="463" t="s">
        <v>72</v>
      </c>
      <c r="D242" s="469">
        <v>290.0</v>
      </c>
      <c r="E242" s="370">
        <v>1.0</v>
      </c>
      <c r="F242" s="465">
        <f t="shared" si="73"/>
        <v>290</v>
      </c>
      <c r="G242" s="466">
        <f>SUMIF(PURCHASE!$E$3:$E$506,'INVONTERY FEB'!B242:B560,PURCHASE!$H$3:$H$506)</f>
        <v>0</v>
      </c>
      <c r="H242" s="467">
        <f>SUMIF(PURCHASE!$E$3:$E$506,'INVONTERY FEB'!B242:B587,PURCHASE!$I$3:$I$506)</f>
        <v>0</v>
      </c>
      <c r="I242" s="478">
        <f>ISSU!AL242</f>
        <v>0</v>
      </c>
      <c r="J242" s="354">
        <f t="shared" si="74"/>
        <v>0</v>
      </c>
      <c r="K242" s="473">
        <f t="shared" si="75"/>
        <v>1</v>
      </c>
      <c r="L242" s="467">
        <f t="shared" si="76"/>
        <v>290</v>
      </c>
      <c r="M242" s="438">
        <f t="shared" si="77"/>
        <v>290</v>
      </c>
      <c r="N242" s="439">
        <f t="shared" si="78"/>
        <v>0</v>
      </c>
      <c r="O242" s="439">
        <f t="shared" si="79"/>
        <v>0</v>
      </c>
      <c r="P242" s="438">
        <f t="shared" si="80"/>
        <v>0</v>
      </c>
      <c r="Q242" s="479"/>
      <c r="R242" s="109"/>
      <c r="S242" s="97"/>
      <c r="T242" s="168"/>
      <c r="U242" s="168"/>
      <c r="V242" s="362">
        <f t="shared" si="33"/>
        <v>0</v>
      </c>
      <c r="W242" s="109"/>
      <c r="X242" s="109"/>
      <c r="Y242" s="109"/>
      <c r="Z242" s="109"/>
      <c r="AA242" s="109"/>
    </row>
    <row r="243" ht="15.75" hidden="1" customHeight="1" outlineLevel="1">
      <c r="A243" s="431">
        <v>237.0</v>
      </c>
      <c r="B243" s="477" t="s">
        <v>405</v>
      </c>
      <c r="C243" s="463" t="s">
        <v>72</v>
      </c>
      <c r="D243" s="469">
        <v>292.0</v>
      </c>
      <c r="E243" s="370">
        <v>1.0</v>
      </c>
      <c r="F243" s="465">
        <f t="shared" si="73"/>
        <v>292</v>
      </c>
      <c r="G243" s="466">
        <f>SUMIF(PURCHASE!$E$3:$E$506,'INVONTERY FEB'!B243:B561,PURCHASE!$H$3:$H$506)</f>
        <v>0</v>
      </c>
      <c r="H243" s="467">
        <f>SUMIF(PURCHASE!$E$3:$E$506,'INVONTERY FEB'!B243:B588,PURCHASE!$I$3:$I$506)</f>
        <v>0</v>
      </c>
      <c r="I243" s="478">
        <f>ISSU!AL243</f>
        <v>0</v>
      </c>
      <c r="J243" s="354">
        <f t="shared" si="74"/>
        <v>0</v>
      </c>
      <c r="K243" s="473">
        <f t="shared" si="75"/>
        <v>1</v>
      </c>
      <c r="L243" s="467">
        <f t="shared" si="76"/>
        <v>292</v>
      </c>
      <c r="M243" s="438">
        <f t="shared" si="77"/>
        <v>292</v>
      </c>
      <c r="N243" s="439">
        <f t="shared" si="78"/>
        <v>0</v>
      </c>
      <c r="O243" s="439">
        <f t="shared" si="79"/>
        <v>0</v>
      </c>
      <c r="P243" s="438">
        <f t="shared" si="80"/>
        <v>0</v>
      </c>
      <c r="Q243" s="479"/>
      <c r="R243" s="109"/>
      <c r="S243" s="97"/>
      <c r="T243" s="168"/>
      <c r="U243" s="168"/>
      <c r="V243" s="362">
        <f t="shared" si="33"/>
        <v>0</v>
      </c>
      <c r="W243" s="109"/>
      <c r="X243" s="109"/>
      <c r="Y243" s="109"/>
      <c r="Z243" s="109"/>
      <c r="AA243" s="109"/>
    </row>
    <row r="244" ht="15.75" hidden="1" customHeight="1" outlineLevel="1">
      <c r="A244" s="431">
        <v>238.0</v>
      </c>
      <c r="B244" s="477" t="s">
        <v>406</v>
      </c>
      <c r="C244" s="463" t="s">
        <v>72</v>
      </c>
      <c r="D244" s="469">
        <v>290.0</v>
      </c>
      <c r="E244" s="370">
        <v>1.0</v>
      </c>
      <c r="F244" s="465">
        <f t="shared" si="73"/>
        <v>290</v>
      </c>
      <c r="G244" s="466">
        <f>SUMIF(PURCHASE!$E$3:$E$506,'INVONTERY FEB'!B244:B562,PURCHASE!$H$3:$H$506)</f>
        <v>0</v>
      </c>
      <c r="H244" s="467">
        <f>SUMIF(PURCHASE!$E$3:$E$506,'INVONTERY FEB'!B244:B589,PURCHASE!$I$3:$I$506)</f>
        <v>0</v>
      </c>
      <c r="I244" s="478">
        <f>ISSU!AL244</f>
        <v>0</v>
      </c>
      <c r="J244" s="354">
        <f t="shared" si="74"/>
        <v>0</v>
      </c>
      <c r="K244" s="473">
        <f t="shared" si="75"/>
        <v>1</v>
      </c>
      <c r="L244" s="467">
        <f t="shared" si="76"/>
        <v>290</v>
      </c>
      <c r="M244" s="438">
        <f t="shared" si="77"/>
        <v>290</v>
      </c>
      <c r="N244" s="439">
        <f t="shared" si="78"/>
        <v>0</v>
      </c>
      <c r="O244" s="439">
        <f t="shared" si="79"/>
        <v>0</v>
      </c>
      <c r="P244" s="438">
        <f t="shared" si="80"/>
        <v>0</v>
      </c>
      <c r="Q244" s="479"/>
      <c r="R244" s="109"/>
      <c r="S244" s="97"/>
      <c r="T244" s="168"/>
      <c r="U244" s="168"/>
      <c r="V244" s="362">
        <f t="shared" si="33"/>
        <v>0</v>
      </c>
      <c r="W244" s="109"/>
      <c r="X244" s="109"/>
      <c r="Y244" s="109"/>
      <c r="Z244" s="109"/>
      <c r="AA244" s="109"/>
    </row>
    <row r="245" ht="15.75" hidden="1" customHeight="1" outlineLevel="1">
      <c r="A245" s="431">
        <v>239.0</v>
      </c>
      <c r="B245" s="477" t="s">
        <v>407</v>
      </c>
      <c r="C245" s="463" t="s">
        <v>72</v>
      </c>
      <c r="D245" s="469">
        <v>292.0</v>
      </c>
      <c r="E245" s="370">
        <v>1.0</v>
      </c>
      <c r="F245" s="465">
        <f t="shared" si="73"/>
        <v>292</v>
      </c>
      <c r="G245" s="466">
        <f>SUMIF(PURCHASE!$E$3:$E$506,'INVONTERY FEB'!B245:B563,PURCHASE!$H$3:$H$506)</f>
        <v>0</v>
      </c>
      <c r="H245" s="467">
        <f>SUMIF(PURCHASE!$E$3:$E$506,'INVONTERY FEB'!B245:B590,PURCHASE!$I$3:$I$506)</f>
        <v>0</v>
      </c>
      <c r="I245" s="478">
        <f>ISSU!AL245</f>
        <v>0</v>
      </c>
      <c r="J245" s="354">
        <f t="shared" si="74"/>
        <v>0</v>
      </c>
      <c r="K245" s="473">
        <f t="shared" si="75"/>
        <v>1</v>
      </c>
      <c r="L245" s="467">
        <f t="shared" si="76"/>
        <v>292</v>
      </c>
      <c r="M245" s="438">
        <f t="shared" si="77"/>
        <v>292</v>
      </c>
      <c r="N245" s="439">
        <f t="shared" si="78"/>
        <v>0</v>
      </c>
      <c r="O245" s="439">
        <f t="shared" si="79"/>
        <v>0</v>
      </c>
      <c r="P245" s="438">
        <f t="shared" si="80"/>
        <v>0</v>
      </c>
      <c r="Q245" s="479"/>
      <c r="R245" s="109"/>
      <c r="S245" s="97"/>
      <c r="T245" s="168"/>
      <c r="U245" s="168"/>
      <c r="V245" s="362">
        <f t="shared" si="33"/>
        <v>0</v>
      </c>
      <c r="W245" s="109"/>
      <c r="X245" s="109"/>
      <c r="Y245" s="109"/>
      <c r="Z245" s="109"/>
      <c r="AA245" s="109"/>
    </row>
    <row r="246" ht="15.75" hidden="1" customHeight="1" outlineLevel="1">
      <c r="A246" s="431">
        <v>240.0</v>
      </c>
      <c r="B246" s="477" t="s">
        <v>408</v>
      </c>
      <c r="C246" s="463" t="s">
        <v>72</v>
      </c>
      <c r="D246" s="469">
        <v>225.0</v>
      </c>
      <c r="E246" s="370">
        <v>1.0</v>
      </c>
      <c r="F246" s="465">
        <f t="shared" si="73"/>
        <v>225</v>
      </c>
      <c r="G246" s="466">
        <f>SUMIF(PURCHASE!$E$3:$E$506,'INVONTERY FEB'!B246:B564,PURCHASE!$H$3:$H$506)</f>
        <v>0</v>
      </c>
      <c r="H246" s="467">
        <f>SUMIF(PURCHASE!$E$3:$E$506,'INVONTERY FEB'!B246:B591,PURCHASE!$I$3:$I$506)</f>
        <v>0</v>
      </c>
      <c r="I246" s="478">
        <f>ISSU!AL246</f>
        <v>0</v>
      </c>
      <c r="J246" s="354">
        <f t="shared" si="74"/>
        <v>0</v>
      </c>
      <c r="K246" s="473">
        <f t="shared" si="75"/>
        <v>1</v>
      </c>
      <c r="L246" s="467">
        <f t="shared" si="76"/>
        <v>225</v>
      </c>
      <c r="M246" s="438">
        <f t="shared" si="77"/>
        <v>225</v>
      </c>
      <c r="N246" s="439">
        <f t="shared" si="78"/>
        <v>0</v>
      </c>
      <c r="O246" s="439">
        <f t="shared" si="79"/>
        <v>0</v>
      </c>
      <c r="P246" s="438">
        <f t="shared" si="80"/>
        <v>0</v>
      </c>
      <c r="Q246" s="479"/>
      <c r="R246" s="109"/>
      <c r="S246" s="97"/>
      <c r="T246" s="168"/>
      <c r="U246" s="168"/>
      <c r="V246" s="362">
        <f t="shared" si="33"/>
        <v>0</v>
      </c>
      <c r="W246" s="109"/>
      <c r="X246" s="109"/>
      <c r="Y246" s="109"/>
      <c r="Z246" s="109"/>
      <c r="AA246" s="109"/>
    </row>
    <row r="247" ht="15.75" hidden="1" customHeight="1" outlineLevel="1">
      <c r="A247" s="431">
        <v>241.0</v>
      </c>
      <c r="B247" s="477" t="s">
        <v>409</v>
      </c>
      <c r="C247" s="463" t="s">
        <v>190</v>
      </c>
      <c r="D247" s="469">
        <v>480.0</v>
      </c>
      <c r="E247" s="370">
        <v>1.0</v>
      </c>
      <c r="F247" s="465">
        <f t="shared" si="73"/>
        <v>480</v>
      </c>
      <c r="G247" s="466">
        <f>SUMIF(PURCHASE!$E$3:$E$506,'INVONTERY FEB'!B247:B565,PURCHASE!$H$3:$H$506)</f>
        <v>0</v>
      </c>
      <c r="H247" s="467">
        <f>SUMIF(PURCHASE!$E$3:$E$506,'INVONTERY FEB'!B247:B592,PURCHASE!$I$3:$I$506)</f>
        <v>0</v>
      </c>
      <c r="I247" s="478">
        <f>ISSU!AL247</f>
        <v>0</v>
      </c>
      <c r="J247" s="354">
        <f t="shared" si="74"/>
        <v>0</v>
      </c>
      <c r="K247" s="473">
        <f t="shared" si="75"/>
        <v>1</v>
      </c>
      <c r="L247" s="467">
        <f t="shared" si="76"/>
        <v>480</v>
      </c>
      <c r="M247" s="438">
        <f t="shared" si="77"/>
        <v>480</v>
      </c>
      <c r="N247" s="439">
        <f t="shared" si="78"/>
        <v>0</v>
      </c>
      <c r="O247" s="439">
        <f t="shared" si="79"/>
        <v>0</v>
      </c>
      <c r="P247" s="438">
        <f t="shared" si="80"/>
        <v>0</v>
      </c>
      <c r="Q247" s="479"/>
      <c r="R247" s="109"/>
      <c r="S247" s="97">
        <v>48.0</v>
      </c>
      <c r="T247" s="168"/>
      <c r="U247" s="168"/>
      <c r="V247" s="362">
        <f t="shared" si="33"/>
        <v>48</v>
      </c>
      <c r="W247" s="109"/>
      <c r="X247" s="109"/>
      <c r="Y247" s="109"/>
      <c r="Z247" s="109"/>
      <c r="AA247" s="109"/>
    </row>
    <row r="248" ht="15.75" hidden="1" customHeight="1" outlineLevel="1">
      <c r="A248" s="431">
        <v>242.0</v>
      </c>
      <c r="B248" s="477" t="s">
        <v>410</v>
      </c>
      <c r="C248" s="463" t="s">
        <v>72</v>
      </c>
      <c r="D248" s="469">
        <v>420.0</v>
      </c>
      <c r="E248" s="370">
        <v>1.0</v>
      </c>
      <c r="F248" s="465">
        <f t="shared" si="73"/>
        <v>420</v>
      </c>
      <c r="G248" s="466">
        <f>SUMIF(PURCHASE!$E$3:$E$506,'INVONTERY FEB'!B248:B566,PURCHASE!$H$3:$H$506)</f>
        <v>0</v>
      </c>
      <c r="H248" s="467">
        <f>SUMIF(PURCHASE!$E$3:$E$506,'INVONTERY FEB'!B248:B593,PURCHASE!$I$3:$I$506)</f>
        <v>0</v>
      </c>
      <c r="I248" s="478">
        <f>ISSU!AL248</f>
        <v>0</v>
      </c>
      <c r="J248" s="354">
        <f t="shared" si="74"/>
        <v>0</v>
      </c>
      <c r="K248" s="473">
        <f t="shared" si="75"/>
        <v>1</v>
      </c>
      <c r="L248" s="467">
        <f t="shared" si="76"/>
        <v>420</v>
      </c>
      <c r="M248" s="438">
        <f t="shared" si="77"/>
        <v>420</v>
      </c>
      <c r="N248" s="439">
        <f t="shared" si="78"/>
        <v>0</v>
      </c>
      <c r="O248" s="439">
        <f t="shared" si="79"/>
        <v>0</v>
      </c>
      <c r="P248" s="438">
        <f t="shared" si="80"/>
        <v>0</v>
      </c>
      <c r="Q248" s="479"/>
      <c r="R248" s="109"/>
      <c r="S248" s="97"/>
      <c r="T248" s="168"/>
      <c r="U248" s="168"/>
      <c r="V248" s="362">
        <f t="shared" si="33"/>
        <v>0</v>
      </c>
      <c r="W248" s="109"/>
      <c r="X248" s="109"/>
      <c r="Y248" s="109"/>
      <c r="Z248" s="109"/>
      <c r="AA248" s="109"/>
    </row>
    <row r="249" ht="15.75" hidden="1" customHeight="1" outlineLevel="1">
      <c r="A249" s="431">
        <v>243.0</v>
      </c>
      <c r="B249" s="477" t="s">
        <v>411</v>
      </c>
      <c r="C249" s="463" t="s">
        <v>72</v>
      </c>
      <c r="D249" s="469">
        <v>290.0</v>
      </c>
      <c r="E249" s="370">
        <v>1.0</v>
      </c>
      <c r="F249" s="465">
        <f t="shared" si="73"/>
        <v>290</v>
      </c>
      <c r="G249" s="466">
        <f>SUMIF(PURCHASE!$E$3:$E$506,'INVONTERY FEB'!B249:B567,PURCHASE!$H$3:$H$506)</f>
        <v>0</v>
      </c>
      <c r="H249" s="467">
        <f>SUMIF(PURCHASE!$E$3:$E$506,'INVONTERY FEB'!B249:B594,PURCHASE!$I$3:$I$506)</f>
        <v>0</v>
      </c>
      <c r="I249" s="478">
        <f>ISSU!AL249</f>
        <v>0</v>
      </c>
      <c r="J249" s="354">
        <f t="shared" si="74"/>
        <v>0</v>
      </c>
      <c r="K249" s="473">
        <f t="shared" si="75"/>
        <v>1</v>
      </c>
      <c r="L249" s="467">
        <f t="shared" si="76"/>
        <v>290</v>
      </c>
      <c r="M249" s="438">
        <f t="shared" si="77"/>
        <v>290</v>
      </c>
      <c r="N249" s="439">
        <f t="shared" si="78"/>
        <v>0</v>
      </c>
      <c r="O249" s="439">
        <f t="shared" si="79"/>
        <v>0</v>
      </c>
      <c r="P249" s="438">
        <f t="shared" si="80"/>
        <v>0</v>
      </c>
      <c r="Q249" s="479"/>
      <c r="R249" s="109"/>
      <c r="S249" s="97"/>
      <c r="T249" s="168"/>
      <c r="U249" s="168"/>
      <c r="V249" s="362">
        <f t="shared" si="33"/>
        <v>0</v>
      </c>
      <c r="W249" s="109"/>
      <c r="X249" s="109"/>
      <c r="Y249" s="109"/>
      <c r="Z249" s="109"/>
      <c r="AA249" s="109"/>
    </row>
    <row r="250" ht="15.75" hidden="1" customHeight="1" outlineLevel="1">
      <c r="A250" s="431">
        <v>244.0</v>
      </c>
      <c r="B250" s="477" t="s">
        <v>412</v>
      </c>
      <c r="C250" s="463" t="s">
        <v>72</v>
      </c>
      <c r="D250" s="469">
        <v>425.0</v>
      </c>
      <c r="E250" s="370">
        <v>1.0</v>
      </c>
      <c r="F250" s="465">
        <f t="shared" si="73"/>
        <v>425</v>
      </c>
      <c r="G250" s="466">
        <f>SUMIF(PURCHASE!$E$3:$E$506,'INVONTERY FEB'!B250:B568,PURCHASE!$H$3:$H$506)</f>
        <v>0</v>
      </c>
      <c r="H250" s="467">
        <f>SUMIF(PURCHASE!$E$3:$E$506,'INVONTERY FEB'!B250:B595,PURCHASE!$I$3:$I$506)</f>
        <v>0</v>
      </c>
      <c r="I250" s="478">
        <f>ISSU!AL250</f>
        <v>0</v>
      </c>
      <c r="J250" s="354">
        <f t="shared" si="74"/>
        <v>0</v>
      </c>
      <c r="K250" s="473">
        <f t="shared" si="75"/>
        <v>1</v>
      </c>
      <c r="L250" s="467">
        <f t="shared" si="76"/>
        <v>425</v>
      </c>
      <c r="M250" s="438">
        <f t="shared" si="77"/>
        <v>425</v>
      </c>
      <c r="N250" s="439">
        <f t="shared" si="78"/>
        <v>0</v>
      </c>
      <c r="O250" s="439">
        <f t="shared" si="79"/>
        <v>0</v>
      </c>
      <c r="P250" s="438">
        <f t="shared" si="80"/>
        <v>0</v>
      </c>
      <c r="Q250" s="479"/>
      <c r="R250" s="109"/>
      <c r="S250" s="97"/>
      <c r="T250" s="168"/>
      <c r="U250" s="168"/>
      <c r="V250" s="362">
        <f t="shared" si="33"/>
        <v>0</v>
      </c>
      <c r="W250" s="109"/>
      <c r="X250" s="109"/>
      <c r="Y250" s="109"/>
      <c r="Z250" s="109"/>
      <c r="AA250" s="109"/>
    </row>
    <row r="251" ht="15.75" hidden="1" customHeight="1" outlineLevel="1">
      <c r="A251" s="431">
        <v>245.0</v>
      </c>
      <c r="B251" s="477" t="s">
        <v>413</v>
      </c>
      <c r="C251" s="463" t="s">
        <v>72</v>
      </c>
      <c r="D251" s="469">
        <v>375.0</v>
      </c>
      <c r="E251" s="370">
        <v>1.0</v>
      </c>
      <c r="F251" s="465">
        <f t="shared" si="73"/>
        <v>375</v>
      </c>
      <c r="G251" s="466">
        <f>SUMIF(PURCHASE!$E$3:$E$506,'INVONTERY FEB'!B251:B569,PURCHASE!$H$3:$H$506)</f>
        <v>0</v>
      </c>
      <c r="H251" s="467">
        <f>SUMIF(PURCHASE!$E$3:$E$506,'INVONTERY FEB'!B251:B596,PURCHASE!$I$3:$I$506)</f>
        <v>0</v>
      </c>
      <c r="I251" s="478">
        <f>ISSU!AL251</f>
        <v>0</v>
      </c>
      <c r="J251" s="354">
        <f t="shared" si="74"/>
        <v>0</v>
      </c>
      <c r="K251" s="473">
        <f t="shared" si="75"/>
        <v>1</v>
      </c>
      <c r="L251" s="467">
        <f t="shared" si="76"/>
        <v>375</v>
      </c>
      <c r="M251" s="438">
        <f t="shared" si="77"/>
        <v>375</v>
      </c>
      <c r="N251" s="439">
        <f t="shared" si="78"/>
        <v>0</v>
      </c>
      <c r="O251" s="439">
        <f t="shared" si="79"/>
        <v>0</v>
      </c>
      <c r="P251" s="438">
        <f t="shared" si="80"/>
        <v>0</v>
      </c>
      <c r="Q251" s="479"/>
      <c r="R251" s="109"/>
      <c r="S251" s="97"/>
      <c r="T251" s="168"/>
      <c r="U251" s="168"/>
      <c r="V251" s="362">
        <f t="shared" si="33"/>
        <v>0</v>
      </c>
      <c r="W251" s="109"/>
      <c r="X251" s="109"/>
      <c r="Y251" s="109"/>
      <c r="Z251" s="109"/>
      <c r="AA251" s="109"/>
    </row>
    <row r="252" ht="15.75" hidden="1" customHeight="1" outlineLevel="1">
      <c r="A252" s="431">
        <v>246.0</v>
      </c>
      <c r="B252" s="477" t="s">
        <v>414</v>
      </c>
      <c r="C252" s="463" t="s">
        <v>72</v>
      </c>
      <c r="D252" s="469">
        <v>570.0</v>
      </c>
      <c r="E252" s="370">
        <v>1.0</v>
      </c>
      <c r="F252" s="465">
        <f t="shared" si="73"/>
        <v>570</v>
      </c>
      <c r="G252" s="466">
        <f>SUMIF(PURCHASE!$E$3:$E$506,'INVONTERY FEB'!B252:B570,PURCHASE!$H$3:$H$506)</f>
        <v>0</v>
      </c>
      <c r="H252" s="467">
        <f>SUMIF(PURCHASE!$E$3:$E$506,'INVONTERY FEB'!B252:B597,PURCHASE!$I$3:$I$506)</f>
        <v>0</v>
      </c>
      <c r="I252" s="478">
        <f>ISSU!AL252</f>
        <v>0</v>
      </c>
      <c r="J252" s="354">
        <f t="shared" si="74"/>
        <v>0</v>
      </c>
      <c r="K252" s="473">
        <f t="shared" si="75"/>
        <v>1</v>
      </c>
      <c r="L252" s="467">
        <f t="shared" si="76"/>
        <v>570</v>
      </c>
      <c r="M252" s="438">
        <f t="shared" si="77"/>
        <v>570</v>
      </c>
      <c r="N252" s="439">
        <f t="shared" si="78"/>
        <v>0</v>
      </c>
      <c r="O252" s="439">
        <f t="shared" si="79"/>
        <v>0</v>
      </c>
      <c r="P252" s="438">
        <f t="shared" si="80"/>
        <v>0</v>
      </c>
      <c r="Q252" s="479"/>
      <c r="R252" s="109"/>
      <c r="S252" s="97"/>
      <c r="T252" s="168"/>
      <c r="U252" s="168"/>
      <c r="V252" s="362">
        <f t="shared" si="33"/>
        <v>0</v>
      </c>
      <c r="W252" s="109"/>
      <c r="X252" s="109"/>
      <c r="Y252" s="109"/>
      <c r="Z252" s="109"/>
      <c r="AA252" s="109"/>
    </row>
    <row r="253" ht="15.75" hidden="1" customHeight="1" outlineLevel="1">
      <c r="A253" s="431">
        <v>247.0</v>
      </c>
      <c r="B253" s="477" t="s">
        <v>415</v>
      </c>
      <c r="C253" s="463" t="s">
        <v>72</v>
      </c>
      <c r="D253" s="469">
        <v>290.0</v>
      </c>
      <c r="E253" s="370">
        <v>1.0</v>
      </c>
      <c r="F253" s="465">
        <f t="shared" si="73"/>
        <v>290</v>
      </c>
      <c r="G253" s="466">
        <f>SUMIF(PURCHASE!$E$3:$E$506,'INVONTERY FEB'!B253:B571,PURCHASE!$H$3:$H$506)</f>
        <v>0</v>
      </c>
      <c r="H253" s="467">
        <f>SUMIF(PURCHASE!$E$3:$E$506,'INVONTERY FEB'!B253:B598,PURCHASE!$I$3:$I$506)</f>
        <v>0</v>
      </c>
      <c r="I253" s="478">
        <f>ISSU!AL253</f>
        <v>0</v>
      </c>
      <c r="J253" s="354">
        <f t="shared" si="74"/>
        <v>0</v>
      </c>
      <c r="K253" s="473">
        <f t="shared" si="75"/>
        <v>1</v>
      </c>
      <c r="L253" s="467">
        <f t="shared" si="76"/>
        <v>290</v>
      </c>
      <c r="M253" s="438">
        <f t="shared" si="77"/>
        <v>290</v>
      </c>
      <c r="N253" s="439">
        <f t="shared" si="78"/>
        <v>0</v>
      </c>
      <c r="O253" s="439">
        <f t="shared" si="79"/>
        <v>0</v>
      </c>
      <c r="P253" s="438">
        <f t="shared" si="80"/>
        <v>0</v>
      </c>
      <c r="Q253" s="479"/>
      <c r="R253" s="109"/>
      <c r="S253" s="97"/>
      <c r="T253" s="168"/>
      <c r="U253" s="168"/>
      <c r="V253" s="362">
        <f t="shared" si="33"/>
        <v>0</v>
      </c>
      <c r="W253" s="109"/>
      <c r="X253" s="109"/>
      <c r="Y253" s="109"/>
      <c r="Z253" s="109"/>
      <c r="AA253" s="109"/>
    </row>
    <row r="254" ht="15.75" hidden="1" customHeight="1" outlineLevel="1">
      <c r="A254" s="431">
        <v>248.0</v>
      </c>
      <c r="B254" s="477" t="s">
        <v>416</v>
      </c>
      <c r="C254" s="463" t="s">
        <v>72</v>
      </c>
      <c r="D254" s="469">
        <v>910.0</v>
      </c>
      <c r="E254" s="370">
        <v>1.0</v>
      </c>
      <c r="F254" s="465">
        <f t="shared" si="73"/>
        <v>910</v>
      </c>
      <c r="G254" s="466">
        <f>SUMIF(PURCHASE!$E$3:$E$506,'INVONTERY FEB'!B254:B572,PURCHASE!$H$3:$H$506)</f>
        <v>0</v>
      </c>
      <c r="H254" s="467">
        <f>SUMIF(PURCHASE!$E$3:$E$506,'INVONTERY FEB'!B254:B599,PURCHASE!$I$3:$I$506)</f>
        <v>0</v>
      </c>
      <c r="I254" s="478">
        <f>ISSU!AL254</f>
        <v>0</v>
      </c>
      <c r="J254" s="354">
        <f t="shared" si="74"/>
        <v>0</v>
      </c>
      <c r="K254" s="473">
        <f t="shared" si="75"/>
        <v>1</v>
      </c>
      <c r="L254" s="467">
        <f t="shared" si="76"/>
        <v>910</v>
      </c>
      <c r="M254" s="438">
        <f t="shared" si="77"/>
        <v>910</v>
      </c>
      <c r="N254" s="439">
        <f t="shared" si="78"/>
        <v>0</v>
      </c>
      <c r="O254" s="439">
        <f t="shared" si="79"/>
        <v>0</v>
      </c>
      <c r="P254" s="438">
        <f t="shared" si="80"/>
        <v>0</v>
      </c>
      <c r="Q254" s="479"/>
      <c r="R254" s="109"/>
      <c r="S254" s="97"/>
      <c r="T254" s="168"/>
      <c r="U254" s="168"/>
      <c r="V254" s="362">
        <f t="shared" si="33"/>
        <v>0</v>
      </c>
      <c r="W254" s="109"/>
      <c r="X254" s="109"/>
      <c r="Y254" s="109"/>
      <c r="Z254" s="109"/>
      <c r="AA254" s="109"/>
    </row>
    <row r="255" ht="15.75" hidden="1" customHeight="1" outlineLevel="1">
      <c r="A255" s="431">
        <v>249.0</v>
      </c>
      <c r="B255" s="477" t="s">
        <v>417</v>
      </c>
      <c r="C255" s="463" t="s">
        <v>72</v>
      </c>
      <c r="D255" s="469">
        <v>290.0</v>
      </c>
      <c r="E255" s="370">
        <v>1.0</v>
      </c>
      <c r="F255" s="465">
        <f t="shared" si="73"/>
        <v>290</v>
      </c>
      <c r="G255" s="466">
        <f>SUMIF(PURCHASE!$E$3:$E$506,'INVONTERY FEB'!B255:B573,PURCHASE!$H$3:$H$506)</f>
        <v>0</v>
      </c>
      <c r="H255" s="467">
        <f>SUMIF(PURCHASE!$E$3:$E$506,'INVONTERY FEB'!B255:B600,PURCHASE!$I$3:$I$506)</f>
        <v>0</v>
      </c>
      <c r="I255" s="478">
        <f>ISSU!AL255</f>
        <v>0</v>
      </c>
      <c r="J255" s="354">
        <f t="shared" si="74"/>
        <v>0</v>
      </c>
      <c r="K255" s="473">
        <f t="shared" si="75"/>
        <v>1</v>
      </c>
      <c r="L255" s="467">
        <f t="shared" si="76"/>
        <v>290</v>
      </c>
      <c r="M255" s="438">
        <f t="shared" si="77"/>
        <v>290</v>
      </c>
      <c r="N255" s="439">
        <f t="shared" si="78"/>
        <v>0</v>
      </c>
      <c r="O255" s="439">
        <f t="shared" si="79"/>
        <v>0</v>
      </c>
      <c r="P255" s="438">
        <f t="shared" si="80"/>
        <v>0</v>
      </c>
      <c r="Q255" s="479"/>
      <c r="R255" s="109"/>
      <c r="S255" s="97"/>
      <c r="T255" s="168"/>
      <c r="U255" s="168"/>
      <c r="V255" s="362">
        <f t="shared" si="33"/>
        <v>0</v>
      </c>
      <c r="W255" s="109"/>
      <c r="X255" s="109"/>
      <c r="Y255" s="109"/>
      <c r="Z255" s="109"/>
      <c r="AA255" s="109"/>
    </row>
    <row r="256" ht="15.75" hidden="1" customHeight="1" outlineLevel="1">
      <c r="A256" s="431">
        <v>250.0</v>
      </c>
      <c r="B256" s="477" t="s">
        <v>418</v>
      </c>
      <c r="C256" s="463" t="s">
        <v>72</v>
      </c>
      <c r="D256" s="469">
        <v>550.0</v>
      </c>
      <c r="E256" s="370">
        <v>1.0</v>
      </c>
      <c r="F256" s="465">
        <f t="shared" si="73"/>
        <v>550</v>
      </c>
      <c r="G256" s="466">
        <f>SUMIF(PURCHASE!$E$3:$E$506,'INVONTERY FEB'!B256:B574,PURCHASE!$H$3:$H$506)</f>
        <v>0</v>
      </c>
      <c r="H256" s="467">
        <f>SUMIF(PURCHASE!$E$3:$E$506,'INVONTERY FEB'!B256:B601,PURCHASE!$I$3:$I$506)</f>
        <v>0</v>
      </c>
      <c r="I256" s="478">
        <f>ISSU!AL256</f>
        <v>0</v>
      </c>
      <c r="J256" s="354">
        <f t="shared" si="74"/>
        <v>0</v>
      </c>
      <c r="K256" s="473">
        <f t="shared" si="75"/>
        <v>1</v>
      </c>
      <c r="L256" s="467">
        <f t="shared" si="76"/>
        <v>550</v>
      </c>
      <c r="M256" s="438">
        <f t="shared" si="77"/>
        <v>550</v>
      </c>
      <c r="N256" s="439">
        <f t="shared" si="78"/>
        <v>0</v>
      </c>
      <c r="O256" s="439">
        <f t="shared" si="79"/>
        <v>0</v>
      </c>
      <c r="P256" s="438">
        <f t="shared" si="80"/>
        <v>0</v>
      </c>
      <c r="Q256" s="479"/>
      <c r="R256" s="109"/>
      <c r="S256" s="97"/>
      <c r="T256" s="168"/>
      <c r="U256" s="168"/>
      <c r="V256" s="362">
        <f t="shared" si="33"/>
        <v>0</v>
      </c>
      <c r="W256" s="109"/>
      <c r="X256" s="109"/>
      <c r="Y256" s="109"/>
      <c r="Z256" s="109"/>
      <c r="AA256" s="109"/>
    </row>
    <row r="257" ht="15.75" hidden="1" customHeight="1" outlineLevel="1">
      <c r="A257" s="431">
        <v>251.0</v>
      </c>
      <c r="B257" s="477" t="s">
        <v>419</v>
      </c>
      <c r="C257" s="463" t="s">
        <v>72</v>
      </c>
      <c r="D257" s="469">
        <v>550.0</v>
      </c>
      <c r="E257" s="370">
        <v>1.0</v>
      </c>
      <c r="F257" s="465">
        <f t="shared" si="73"/>
        <v>550</v>
      </c>
      <c r="G257" s="466">
        <f>SUMIF(PURCHASE!$E$3:$E$506,'INVONTERY FEB'!B257:B575,PURCHASE!$H$3:$H$506)</f>
        <v>0</v>
      </c>
      <c r="H257" s="467">
        <f>SUMIF(PURCHASE!$E$3:$E$506,'INVONTERY FEB'!B257:B602,PURCHASE!$I$3:$I$506)</f>
        <v>0</v>
      </c>
      <c r="I257" s="478">
        <f>ISSU!AL257</f>
        <v>0</v>
      </c>
      <c r="J257" s="354">
        <f t="shared" si="74"/>
        <v>0</v>
      </c>
      <c r="K257" s="473">
        <f t="shared" si="75"/>
        <v>1</v>
      </c>
      <c r="L257" s="467">
        <f t="shared" si="76"/>
        <v>550</v>
      </c>
      <c r="M257" s="438">
        <f t="shared" si="77"/>
        <v>550</v>
      </c>
      <c r="N257" s="439">
        <f t="shared" si="78"/>
        <v>0</v>
      </c>
      <c r="O257" s="439">
        <f t="shared" si="79"/>
        <v>0</v>
      </c>
      <c r="P257" s="438">
        <f t="shared" si="80"/>
        <v>0</v>
      </c>
      <c r="Q257" s="479"/>
      <c r="R257" s="109"/>
      <c r="S257" s="97"/>
      <c r="T257" s="168"/>
      <c r="U257" s="168"/>
      <c r="V257" s="362">
        <f t="shared" si="33"/>
        <v>0</v>
      </c>
      <c r="W257" s="109"/>
      <c r="X257" s="109"/>
      <c r="Y257" s="109"/>
      <c r="Z257" s="109"/>
      <c r="AA257" s="109"/>
    </row>
    <row r="258" ht="15.75" hidden="1" customHeight="1" outlineLevel="1">
      <c r="A258" s="431">
        <v>252.0</v>
      </c>
      <c r="B258" s="477" t="s">
        <v>420</v>
      </c>
      <c r="C258" s="463" t="s">
        <v>72</v>
      </c>
      <c r="D258" s="469">
        <v>293.0</v>
      </c>
      <c r="E258" s="370">
        <v>1.0</v>
      </c>
      <c r="F258" s="465">
        <f t="shared" si="73"/>
        <v>293</v>
      </c>
      <c r="G258" s="466">
        <f>SUMIF(PURCHASE!$E$3:$E$506,'INVONTERY FEB'!B258:B576,PURCHASE!$H$3:$H$506)</f>
        <v>0</v>
      </c>
      <c r="H258" s="467">
        <f>SUMIF(PURCHASE!$E$3:$E$506,'INVONTERY FEB'!B258:B603,PURCHASE!$I$3:$I$506)</f>
        <v>0</v>
      </c>
      <c r="I258" s="478">
        <f>ISSU!AL258</f>
        <v>0</v>
      </c>
      <c r="J258" s="354">
        <f t="shared" si="74"/>
        <v>0</v>
      </c>
      <c r="K258" s="473">
        <f t="shared" si="75"/>
        <v>1</v>
      </c>
      <c r="L258" s="467">
        <f t="shared" si="76"/>
        <v>293</v>
      </c>
      <c r="M258" s="438">
        <f t="shared" si="77"/>
        <v>293</v>
      </c>
      <c r="N258" s="439">
        <f t="shared" si="78"/>
        <v>0</v>
      </c>
      <c r="O258" s="439">
        <f t="shared" si="79"/>
        <v>0</v>
      </c>
      <c r="P258" s="438">
        <f t="shared" si="80"/>
        <v>0</v>
      </c>
      <c r="Q258" s="479"/>
      <c r="R258" s="109"/>
      <c r="S258" s="97"/>
      <c r="T258" s="168"/>
      <c r="U258" s="168"/>
      <c r="V258" s="362">
        <f t="shared" si="33"/>
        <v>0</v>
      </c>
      <c r="W258" s="109"/>
      <c r="X258" s="109"/>
      <c r="Y258" s="109"/>
      <c r="Z258" s="109"/>
      <c r="AA258" s="109"/>
    </row>
    <row r="259" ht="15.75" hidden="1" customHeight="1" outlineLevel="1">
      <c r="A259" s="431">
        <v>253.0</v>
      </c>
      <c r="B259" s="477" t="s">
        <v>421</v>
      </c>
      <c r="C259" s="463" t="s">
        <v>72</v>
      </c>
      <c r="D259" s="469">
        <v>1350.0</v>
      </c>
      <c r="E259" s="370">
        <v>1.0</v>
      </c>
      <c r="F259" s="465">
        <f t="shared" si="73"/>
        <v>1350</v>
      </c>
      <c r="G259" s="466">
        <f>SUMIF(PURCHASE!$E$3:$E$506,'INVONTERY FEB'!B259:B577,PURCHASE!$H$3:$H$506)</f>
        <v>0</v>
      </c>
      <c r="H259" s="467">
        <f>SUMIF(PURCHASE!$E$3:$E$506,'INVONTERY FEB'!B259:B604,PURCHASE!$I$3:$I$506)</f>
        <v>0</v>
      </c>
      <c r="I259" s="478">
        <f>ISSU!AL259</f>
        <v>0</v>
      </c>
      <c r="J259" s="354">
        <f t="shared" si="74"/>
        <v>0</v>
      </c>
      <c r="K259" s="473">
        <f t="shared" si="75"/>
        <v>1</v>
      </c>
      <c r="L259" s="467">
        <f t="shared" si="76"/>
        <v>1350</v>
      </c>
      <c r="M259" s="438">
        <f t="shared" si="77"/>
        <v>1350</v>
      </c>
      <c r="N259" s="439">
        <f t="shared" si="78"/>
        <v>0</v>
      </c>
      <c r="O259" s="439">
        <f t="shared" si="79"/>
        <v>0</v>
      </c>
      <c r="P259" s="438">
        <f t="shared" si="80"/>
        <v>0</v>
      </c>
      <c r="Q259" s="479"/>
      <c r="R259" s="109"/>
      <c r="S259" s="97"/>
      <c r="T259" s="168"/>
      <c r="U259" s="168"/>
      <c r="V259" s="362">
        <f t="shared" si="33"/>
        <v>0</v>
      </c>
      <c r="W259" s="109"/>
      <c r="X259" s="109"/>
      <c r="Y259" s="109"/>
      <c r="Z259" s="109"/>
      <c r="AA259" s="109"/>
    </row>
    <row r="260" ht="15.75" hidden="1" customHeight="1" outlineLevel="1">
      <c r="A260" s="431">
        <v>254.0</v>
      </c>
      <c r="B260" s="477" t="s">
        <v>422</v>
      </c>
      <c r="C260" s="463" t="s">
        <v>72</v>
      </c>
      <c r="D260" s="469">
        <v>120.0</v>
      </c>
      <c r="E260" s="370">
        <v>1.0</v>
      </c>
      <c r="F260" s="465">
        <f t="shared" si="73"/>
        <v>120</v>
      </c>
      <c r="G260" s="466">
        <f>SUMIF(PURCHASE!$E$3:$E$506,'INVONTERY FEB'!B260:B578,PURCHASE!$H$3:$H$506)</f>
        <v>0</v>
      </c>
      <c r="H260" s="467">
        <f>SUMIF(PURCHASE!$E$3:$E$506,'INVONTERY FEB'!B260:B605,PURCHASE!$I$3:$I$506)</f>
        <v>0</v>
      </c>
      <c r="I260" s="478">
        <f>ISSU!AL260</f>
        <v>0</v>
      </c>
      <c r="J260" s="354">
        <f t="shared" si="74"/>
        <v>0</v>
      </c>
      <c r="K260" s="473">
        <f t="shared" si="75"/>
        <v>1</v>
      </c>
      <c r="L260" s="467">
        <f t="shared" si="76"/>
        <v>120</v>
      </c>
      <c r="M260" s="438">
        <f t="shared" si="77"/>
        <v>120</v>
      </c>
      <c r="N260" s="439">
        <f t="shared" si="78"/>
        <v>0</v>
      </c>
      <c r="O260" s="439">
        <f t="shared" si="79"/>
        <v>0</v>
      </c>
      <c r="P260" s="438">
        <f t="shared" si="80"/>
        <v>0</v>
      </c>
      <c r="Q260" s="479"/>
      <c r="R260" s="109"/>
      <c r="S260" s="97"/>
      <c r="T260" s="168"/>
      <c r="U260" s="168"/>
      <c r="V260" s="362">
        <f t="shared" si="33"/>
        <v>0</v>
      </c>
      <c r="W260" s="109"/>
      <c r="X260" s="109"/>
      <c r="Y260" s="109"/>
      <c r="Z260" s="109"/>
      <c r="AA260" s="109"/>
    </row>
    <row r="261" ht="15.75" hidden="1" customHeight="1" outlineLevel="1">
      <c r="A261" s="431">
        <v>255.0</v>
      </c>
      <c r="B261" s="477" t="s">
        <v>423</v>
      </c>
      <c r="C261" s="463" t="s">
        <v>72</v>
      </c>
      <c r="D261" s="469">
        <v>290.0</v>
      </c>
      <c r="E261" s="370">
        <v>1.0</v>
      </c>
      <c r="F261" s="465">
        <f t="shared" si="73"/>
        <v>290</v>
      </c>
      <c r="G261" s="466">
        <f>SUMIF(PURCHASE!$E$3:$E$506,'INVONTERY FEB'!B261:B579,PURCHASE!$H$3:$H$506)</f>
        <v>0</v>
      </c>
      <c r="H261" s="467">
        <f>SUMIF(PURCHASE!$E$3:$E$506,'INVONTERY FEB'!B261:B606,PURCHASE!$I$3:$I$506)</f>
        <v>0</v>
      </c>
      <c r="I261" s="478">
        <f>ISSU!AL261</f>
        <v>0</v>
      </c>
      <c r="J261" s="354">
        <f t="shared" si="74"/>
        <v>0</v>
      </c>
      <c r="K261" s="473">
        <f t="shared" si="75"/>
        <v>1</v>
      </c>
      <c r="L261" s="467">
        <f t="shared" si="76"/>
        <v>290</v>
      </c>
      <c r="M261" s="438">
        <f t="shared" si="77"/>
        <v>290</v>
      </c>
      <c r="N261" s="439">
        <f t="shared" si="78"/>
        <v>0</v>
      </c>
      <c r="O261" s="439">
        <f t="shared" si="79"/>
        <v>0</v>
      </c>
      <c r="P261" s="438">
        <f t="shared" si="80"/>
        <v>0</v>
      </c>
      <c r="Q261" s="479"/>
      <c r="R261" s="109"/>
      <c r="S261" s="97"/>
      <c r="T261" s="168"/>
      <c r="U261" s="168"/>
      <c r="V261" s="362">
        <f t="shared" si="33"/>
        <v>0</v>
      </c>
      <c r="W261" s="109"/>
      <c r="X261" s="109"/>
      <c r="Y261" s="109"/>
      <c r="Z261" s="109"/>
      <c r="AA261" s="109"/>
    </row>
    <row r="262" ht="15.75" hidden="1" customHeight="1" outlineLevel="1">
      <c r="A262" s="431">
        <v>256.0</v>
      </c>
      <c r="B262" s="477" t="s">
        <v>424</v>
      </c>
      <c r="C262" s="463" t="s">
        <v>72</v>
      </c>
      <c r="D262" s="469">
        <v>435.0</v>
      </c>
      <c r="E262" s="370">
        <v>1.0</v>
      </c>
      <c r="F262" s="465">
        <f t="shared" si="73"/>
        <v>435</v>
      </c>
      <c r="G262" s="466">
        <f>SUMIF(PURCHASE!$E$3:$E$506,'INVONTERY FEB'!B262:B580,PURCHASE!$H$3:$H$506)</f>
        <v>0</v>
      </c>
      <c r="H262" s="467">
        <f>SUMIF(PURCHASE!$E$3:$E$506,'INVONTERY FEB'!B262:B607,PURCHASE!$I$3:$I$506)</f>
        <v>0</v>
      </c>
      <c r="I262" s="478">
        <f>ISSU!AL262</f>
        <v>0</v>
      </c>
      <c r="J262" s="354">
        <f t="shared" si="74"/>
        <v>0</v>
      </c>
      <c r="K262" s="473">
        <f t="shared" si="75"/>
        <v>1</v>
      </c>
      <c r="L262" s="467">
        <f t="shared" si="76"/>
        <v>435</v>
      </c>
      <c r="M262" s="438">
        <f t="shared" si="77"/>
        <v>435</v>
      </c>
      <c r="N262" s="439">
        <f t="shared" si="78"/>
        <v>0</v>
      </c>
      <c r="O262" s="439">
        <f t="shared" si="79"/>
        <v>0</v>
      </c>
      <c r="P262" s="438">
        <f t="shared" si="80"/>
        <v>0</v>
      </c>
      <c r="Q262" s="479"/>
      <c r="R262" s="109"/>
      <c r="S262" s="97"/>
      <c r="T262" s="168"/>
      <c r="U262" s="168"/>
      <c r="V262" s="362">
        <f t="shared" si="33"/>
        <v>0</v>
      </c>
      <c r="W262" s="109"/>
      <c r="X262" s="109"/>
      <c r="Y262" s="109"/>
      <c r="Z262" s="109"/>
      <c r="AA262" s="109"/>
    </row>
    <row r="263" ht="15.75" hidden="1" customHeight="1" outlineLevel="1">
      <c r="A263" s="431">
        <v>257.0</v>
      </c>
      <c r="B263" s="477" t="s">
        <v>425</v>
      </c>
      <c r="C263" s="463" t="s">
        <v>72</v>
      </c>
      <c r="D263" s="469">
        <v>225.0</v>
      </c>
      <c r="E263" s="370">
        <v>1.0</v>
      </c>
      <c r="F263" s="465">
        <f t="shared" si="73"/>
        <v>225</v>
      </c>
      <c r="G263" s="466">
        <f>SUMIF(PURCHASE!$E$3:$E$506,'INVONTERY FEB'!B263:B581,PURCHASE!$H$3:$H$506)</f>
        <v>0</v>
      </c>
      <c r="H263" s="467">
        <f>SUMIF(PURCHASE!$E$3:$E$506,'INVONTERY FEB'!B263:B608,PURCHASE!$I$3:$I$506)</f>
        <v>0</v>
      </c>
      <c r="I263" s="478">
        <f>ISSU!AL263</f>
        <v>0</v>
      </c>
      <c r="J263" s="354">
        <f t="shared" si="74"/>
        <v>0</v>
      </c>
      <c r="K263" s="473">
        <f t="shared" si="75"/>
        <v>1</v>
      </c>
      <c r="L263" s="467">
        <f t="shared" si="76"/>
        <v>225</v>
      </c>
      <c r="M263" s="438">
        <f t="shared" si="77"/>
        <v>225</v>
      </c>
      <c r="N263" s="439">
        <f t="shared" si="78"/>
        <v>0</v>
      </c>
      <c r="O263" s="439">
        <f t="shared" si="79"/>
        <v>0</v>
      </c>
      <c r="P263" s="438">
        <f t="shared" si="80"/>
        <v>0</v>
      </c>
      <c r="Q263" s="479"/>
      <c r="R263" s="109"/>
      <c r="S263" s="97"/>
      <c r="T263" s="168"/>
      <c r="U263" s="168"/>
      <c r="V263" s="362">
        <f t="shared" si="33"/>
        <v>0</v>
      </c>
      <c r="W263" s="109"/>
      <c r="X263" s="109"/>
      <c r="Y263" s="109"/>
      <c r="Z263" s="109"/>
      <c r="AA263" s="109"/>
    </row>
    <row r="264" ht="15.75" hidden="1" customHeight="1" outlineLevel="1">
      <c r="A264" s="431">
        <v>258.0</v>
      </c>
      <c r="B264" s="477" t="s">
        <v>426</v>
      </c>
      <c r="C264" s="463" t="s">
        <v>72</v>
      </c>
      <c r="D264" s="469">
        <v>1050.0</v>
      </c>
      <c r="E264" s="370">
        <v>1.0</v>
      </c>
      <c r="F264" s="465">
        <f t="shared" si="73"/>
        <v>1050</v>
      </c>
      <c r="G264" s="466">
        <f>SUMIF(PURCHASE!$E$3:$E$506,'INVONTERY FEB'!B264:B582,PURCHASE!$H$3:$H$506)</f>
        <v>0</v>
      </c>
      <c r="H264" s="467">
        <f>SUMIF(PURCHASE!$E$3:$E$506,'INVONTERY FEB'!B264:B609,PURCHASE!$I$3:$I$506)</f>
        <v>0</v>
      </c>
      <c r="I264" s="478">
        <f>ISSU!AL264</f>
        <v>0</v>
      </c>
      <c r="J264" s="354">
        <f t="shared" si="74"/>
        <v>0</v>
      </c>
      <c r="K264" s="473">
        <f t="shared" si="75"/>
        <v>1</v>
      </c>
      <c r="L264" s="467">
        <f t="shared" si="76"/>
        <v>1050</v>
      </c>
      <c r="M264" s="438">
        <f t="shared" si="77"/>
        <v>1050</v>
      </c>
      <c r="N264" s="439">
        <f t="shared" si="78"/>
        <v>0</v>
      </c>
      <c r="O264" s="439">
        <f t="shared" si="79"/>
        <v>0</v>
      </c>
      <c r="P264" s="438">
        <f t="shared" si="80"/>
        <v>0</v>
      </c>
      <c r="Q264" s="479"/>
      <c r="R264" s="109"/>
      <c r="S264" s="97"/>
      <c r="T264" s="168"/>
      <c r="U264" s="168"/>
      <c r="V264" s="362">
        <f t="shared" si="33"/>
        <v>0</v>
      </c>
      <c r="W264" s="109"/>
      <c r="X264" s="109"/>
      <c r="Y264" s="109"/>
      <c r="Z264" s="109"/>
      <c r="AA264" s="109"/>
    </row>
    <row r="265" ht="15.75" hidden="1" customHeight="1" outlineLevel="1">
      <c r="A265" s="431">
        <v>259.0</v>
      </c>
      <c r="B265" s="477" t="s">
        <v>427</v>
      </c>
      <c r="C265" s="463" t="s">
        <v>72</v>
      </c>
      <c r="D265" s="469">
        <v>210.0</v>
      </c>
      <c r="E265" s="370">
        <v>1.0</v>
      </c>
      <c r="F265" s="465">
        <f t="shared" si="73"/>
        <v>210</v>
      </c>
      <c r="G265" s="466">
        <f>SUMIF(PURCHASE!$E$3:$E$506,'INVONTERY FEB'!B265:B583,PURCHASE!$H$3:$H$506)</f>
        <v>0</v>
      </c>
      <c r="H265" s="467">
        <f>SUMIF(PURCHASE!$E$3:$E$506,'INVONTERY FEB'!B265:B610,PURCHASE!$I$3:$I$506)</f>
        <v>0</v>
      </c>
      <c r="I265" s="478">
        <f>ISSU!AL265</f>
        <v>0</v>
      </c>
      <c r="J265" s="354">
        <f t="shared" si="74"/>
        <v>0</v>
      </c>
      <c r="K265" s="473">
        <f t="shared" si="75"/>
        <v>1</v>
      </c>
      <c r="L265" s="467">
        <f t="shared" si="76"/>
        <v>210</v>
      </c>
      <c r="M265" s="438">
        <f t="shared" si="77"/>
        <v>210</v>
      </c>
      <c r="N265" s="439">
        <f t="shared" si="78"/>
        <v>0</v>
      </c>
      <c r="O265" s="439">
        <f t="shared" si="79"/>
        <v>0</v>
      </c>
      <c r="P265" s="438">
        <f t="shared" si="80"/>
        <v>0</v>
      </c>
      <c r="Q265" s="479"/>
      <c r="R265" s="109"/>
      <c r="S265" s="97"/>
      <c r="T265" s="168"/>
      <c r="U265" s="168"/>
      <c r="V265" s="362">
        <f t="shared" si="33"/>
        <v>0</v>
      </c>
      <c r="W265" s="109"/>
      <c r="X265" s="109"/>
      <c r="Y265" s="109"/>
      <c r="Z265" s="109"/>
      <c r="AA265" s="109"/>
    </row>
    <row r="266" ht="15.75" hidden="1" customHeight="1" outlineLevel="1">
      <c r="A266" s="431">
        <v>260.0</v>
      </c>
      <c r="B266" s="477" t="s">
        <v>428</v>
      </c>
      <c r="C266" s="463" t="s">
        <v>72</v>
      </c>
      <c r="D266" s="469">
        <v>290.0</v>
      </c>
      <c r="E266" s="370">
        <v>12.0</v>
      </c>
      <c r="F266" s="465">
        <f t="shared" si="73"/>
        <v>3480</v>
      </c>
      <c r="G266" s="466">
        <f>SUMIF(PURCHASE!$E$3:$E$506,'INVONTERY FEB'!B266:B584,PURCHASE!$H$3:$H$506)</f>
        <v>0</v>
      </c>
      <c r="H266" s="467">
        <f>SUMIF(PURCHASE!$E$3:$E$506,'INVONTERY FEB'!B266:B611,PURCHASE!$I$3:$I$506)</f>
        <v>0</v>
      </c>
      <c r="I266" s="478">
        <f>ISSU!AL266</f>
        <v>0</v>
      </c>
      <c r="J266" s="354">
        <f t="shared" si="74"/>
        <v>0</v>
      </c>
      <c r="K266" s="473">
        <f t="shared" si="75"/>
        <v>12</v>
      </c>
      <c r="L266" s="467">
        <f t="shared" si="76"/>
        <v>3480</v>
      </c>
      <c r="M266" s="438">
        <f t="shared" si="77"/>
        <v>290</v>
      </c>
      <c r="N266" s="439">
        <f t="shared" si="78"/>
        <v>0</v>
      </c>
      <c r="O266" s="439">
        <f t="shared" si="79"/>
        <v>0</v>
      </c>
      <c r="P266" s="438">
        <f t="shared" si="80"/>
        <v>0</v>
      </c>
      <c r="Q266" s="479"/>
      <c r="R266" s="109"/>
      <c r="S266" s="97"/>
      <c r="T266" s="168"/>
      <c r="U266" s="168"/>
      <c r="V266" s="362">
        <f t="shared" si="33"/>
        <v>0</v>
      </c>
      <c r="W266" s="109"/>
      <c r="X266" s="109"/>
      <c r="Y266" s="109"/>
      <c r="Z266" s="109"/>
      <c r="AA266" s="109"/>
    </row>
    <row r="267" ht="15.75" hidden="1" customHeight="1" outlineLevel="1">
      <c r="A267" s="431">
        <v>261.0</v>
      </c>
      <c r="B267" s="477" t="s">
        <v>429</v>
      </c>
      <c r="C267" s="463" t="s">
        <v>72</v>
      </c>
      <c r="D267" s="469">
        <v>1575.0</v>
      </c>
      <c r="E267" s="370">
        <v>1.0</v>
      </c>
      <c r="F267" s="465">
        <f t="shared" si="73"/>
        <v>1575</v>
      </c>
      <c r="G267" s="466">
        <f>SUMIF(PURCHASE!$E$3:$E$506,'INVONTERY FEB'!B267:B585,PURCHASE!$H$3:$H$506)</f>
        <v>0</v>
      </c>
      <c r="H267" s="467">
        <f>SUMIF(PURCHASE!$E$3:$E$506,'INVONTERY FEB'!B267:B612,PURCHASE!$I$3:$I$506)</f>
        <v>0</v>
      </c>
      <c r="I267" s="478">
        <f>ISSU!AL267</f>
        <v>0</v>
      </c>
      <c r="J267" s="354">
        <f t="shared" si="74"/>
        <v>0</v>
      </c>
      <c r="K267" s="473">
        <f t="shared" si="75"/>
        <v>1</v>
      </c>
      <c r="L267" s="467">
        <f t="shared" si="76"/>
        <v>1575</v>
      </c>
      <c r="M267" s="438">
        <f t="shared" si="77"/>
        <v>1575</v>
      </c>
      <c r="N267" s="439">
        <f t="shared" si="78"/>
        <v>0</v>
      </c>
      <c r="O267" s="439">
        <f t="shared" si="79"/>
        <v>0</v>
      </c>
      <c r="P267" s="438">
        <f t="shared" si="80"/>
        <v>0</v>
      </c>
      <c r="Q267" s="479"/>
      <c r="R267" s="109"/>
      <c r="S267" s="97"/>
      <c r="T267" s="168"/>
      <c r="U267" s="168"/>
      <c r="V267" s="362">
        <f t="shared" si="33"/>
        <v>0</v>
      </c>
      <c r="W267" s="109"/>
      <c r="X267" s="109"/>
      <c r="Y267" s="109"/>
      <c r="Z267" s="109"/>
      <c r="AA267" s="109"/>
    </row>
    <row r="268" ht="15.75" hidden="1" customHeight="1" outlineLevel="1">
      <c r="A268" s="431">
        <v>262.0</v>
      </c>
      <c r="B268" s="477" t="s">
        <v>430</v>
      </c>
      <c r="C268" s="463" t="s">
        <v>72</v>
      </c>
      <c r="D268" s="469">
        <v>360.0</v>
      </c>
      <c r="E268" s="370">
        <v>1.0</v>
      </c>
      <c r="F268" s="465">
        <f t="shared" si="73"/>
        <v>360</v>
      </c>
      <c r="G268" s="466">
        <f>SUMIF(PURCHASE!$E$3:$E$506,'INVONTERY FEB'!B268:B586,PURCHASE!$H$3:$H$506)</f>
        <v>0</v>
      </c>
      <c r="H268" s="467">
        <f>SUMIF(PURCHASE!$E$3:$E$506,'INVONTERY FEB'!B268:B613,PURCHASE!$I$3:$I$506)</f>
        <v>0</v>
      </c>
      <c r="I268" s="478">
        <f>ISSU!AL268</f>
        <v>0</v>
      </c>
      <c r="J268" s="354">
        <f t="shared" si="74"/>
        <v>0</v>
      </c>
      <c r="K268" s="473">
        <f t="shared" si="75"/>
        <v>1</v>
      </c>
      <c r="L268" s="467">
        <f t="shared" si="76"/>
        <v>360</v>
      </c>
      <c r="M268" s="438">
        <f t="shared" si="77"/>
        <v>360</v>
      </c>
      <c r="N268" s="439">
        <f t="shared" si="78"/>
        <v>0</v>
      </c>
      <c r="O268" s="439">
        <f t="shared" si="79"/>
        <v>0</v>
      </c>
      <c r="P268" s="438">
        <f t="shared" si="80"/>
        <v>0</v>
      </c>
      <c r="Q268" s="479"/>
      <c r="R268" s="109"/>
      <c r="S268" s="97"/>
      <c r="T268" s="168"/>
      <c r="U268" s="168"/>
      <c r="V268" s="362">
        <f t="shared" si="33"/>
        <v>0</v>
      </c>
      <c r="W268" s="109"/>
      <c r="X268" s="109"/>
      <c r="Y268" s="109"/>
      <c r="Z268" s="109"/>
      <c r="AA268" s="109"/>
    </row>
    <row r="269" ht="15.75" hidden="1" customHeight="1" outlineLevel="1">
      <c r="A269" s="431">
        <v>263.0</v>
      </c>
      <c r="B269" s="477" t="s">
        <v>431</v>
      </c>
      <c r="C269" s="463" t="s">
        <v>72</v>
      </c>
      <c r="D269" s="469">
        <v>12750.0</v>
      </c>
      <c r="E269" s="370">
        <v>1.0</v>
      </c>
      <c r="F269" s="465">
        <f t="shared" si="73"/>
        <v>12750</v>
      </c>
      <c r="G269" s="466">
        <f>SUMIF(PURCHASE!$E$3:$E$506,'INVONTERY FEB'!B269:B587,PURCHASE!$H$3:$H$506)</f>
        <v>0</v>
      </c>
      <c r="H269" s="467">
        <f>SUMIF(PURCHASE!$E$3:$E$506,'INVONTERY FEB'!B269:B614,PURCHASE!$I$3:$I$506)</f>
        <v>0</v>
      </c>
      <c r="I269" s="478">
        <f>ISSU!AL269</f>
        <v>0</v>
      </c>
      <c r="J269" s="354">
        <f t="shared" si="74"/>
        <v>0</v>
      </c>
      <c r="K269" s="473">
        <f t="shared" si="75"/>
        <v>1</v>
      </c>
      <c r="L269" s="467">
        <f t="shared" si="76"/>
        <v>12750</v>
      </c>
      <c r="M269" s="438">
        <f t="shared" si="77"/>
        <v>12750</v>
      </c>
      <c r="N269" s="439">
        <f t="shared" si="78"/>
        <v>0</v>
      </c>
      <c r="O269" s="439">
        <f t="shared" si="79"/>
        <v>0</v>
      </c>
      <c r="P269" s="438">
        <f t="shared" si="80"/>
        <v>0</v>
      </c>
      <c r="Q269" s="479"/>
      <c r="R269" s="109"/>
      <c r="S269" s="97"/>
      <c r="T269" s="168"/>
      <c r="U269" s="168"/>
      <c r="V269" s="362">
        <f t="shared" si="33"/>
        <v>0</v>
      </c>
      <c r="W269" s="109"/>
      <c r="X269" s="109"/>
      <c r="Y269" s="109"/>
      <c r="Z269" s="109"/>
      <c r="AA269" s="109"/>
    </row>
    <row r="270" ht="15.75" hidden="1" customHeight="1" outlineLevel="1">
      <c r="A270" s="431">
        <v>264.0</v>
      </c>
      <c r="B270" s="477" t="s">
        <v>432</v>
      </c>
      <c r="C270" s="463" t="s">
        <v>72</v>
      </c>
      <c r="D270" s="469">
        <v>450.0</v>
      </c>
      <c r="E270" s="370">
        <v>1.0</v>
      </c>
      <c r="F270" s="465">
        <f t="shared" si="73"/>
        <v>450</v>
      </c>
      <c r="G270" s="466">
        <f>SUMIF(PURCHASE!$E$3:$E$506,'INVONTERY FEB'!B270:B588,PURCHASE!$H$3:$H$506)</f>
        <v>0</v>
      </c>
      <c r="H270" s="467">
        <f>SUMIF(PURCHASE!$E$3:$E$506,'INVONTERY FEB'!B270:B615,PURCHASE!$I$3:$I$506)</f>
        <v>0</v>
      </c>
      <c r="I270" s="478">
        <f>ISSU!AL270</f>
        <v>0</v>
      </c>
      <c r="J270" s="354">
        <f t="shared" si="74"/>
        <v>0</v>
      </c>
      <c r="K270" s="473">
        <f t="shared" si="75"/>
        <v>1</v>
      </c>
      <c r="L270" s="467">
        <f t="shared" si="76"/>
        <v>450</v>
      </c>
      <c r="M270" s="438">
        <f t="shared" si="77"/>
        <v>450</v>
      </c>
      <c r="N270" s="439">
        <f t="shared" si="78"/>
        <v>0</v>
      </c>
      <c r="O270" s="439">
        <f t="shared" si="79"/>
        <v>0</v>
      </c>
      <c r="P270" s="438">
        <f t="shared" si="80"/>
        <v>0</v>
      </c>
      <c r="Q270" s="479"/>
      <c r="R270" s="109"/>
      <c r="S270" s="97"/>
      <c r="T270" s="168"/>
      <c r="U270" s="168"/>
      <c r="V270" s="362">
        <f t="shared" si="33"/>
        <v>0</v>
      </c>
      <c r="W270" s="109"/>
      <c r="X270" s="109"/>
      <c r="Y270" s="109"/>
      <c r="Z270" s="109"/>
      <c r="AA270" s="109"/>
    </row>
    <row r="271" ht="15.75" hidden="1" customHeight="1" outlineLevel="1">
      <c r="A271" s="431">
        <v>265.0</v>
      </c>
      <c r="B271" s="477" t="s">
        <v>433</v>
      </c>
      <c r="C271" s="463" t="s">
        <v>72</v>
      </c>
      <c r="D271" s="469">
        <v>300.0</v>
      </c>
      <c r="E271" s="370">
        <v>1.0</v>
      </c>
      <c r="F271" s="465">
        <f t="shared" si="73"/>
        <v>300</v>
      </c>
      <c r="G271" s="466">
        <f>SUMIF(PURCHASE!$E$3:$E$506,'INVONTERY FEB'!B271:B589,PURCHASE!$H$3:$H$506)</f>
        <v>0</v>
      </c>
      <c r="H271" s="467">
        <f>SUMIF(PURCHASE!$E$3:$E$506,'INVONTERY FEB'!B271:B616,PURCHASE!$I$3:$I$506)</f>
        <v>0</v>
      </c>
      <c r="I271" s="478">
        <f>ISSU!AL271</f>
        <v>0</v>
      </c>
      <c r="J271" s="354">
        <f t="shared" si="74"/>
        <v>0</v>
      </c>
      <c r="K271" s="473">
        <f t="shared" si="75"/>
        <v>1</v>
      </c>
      <c r="L271" s="467">
        <f t="shared" si="76"/>
        <v>300</v>
      </c>
      <c r="M271" s="438">
        <f t="shared" si="77"/>
        <v>300</v>
      </c>
      <c r="N271" s="439">
        <f t="shared" si="78"/>
        <v>0</v>
      </c>
      <c r="O271" s="439">
        <f t="shared" si="79"/>
        <v>0</v>
      </c>
      <c r="P271" s="438">
        <f t="shared" si="80"/>
        <v>0</v>
      </c>
      <c r="Q271" s="479"/>
      <c r="R271" s="109"/>
      <c r="S271" s="97"/>
      <c r="T271" s="168"/>
      <c r="U271" s="168"/>
      <c r="V271" s="362">
        <f t="shared" si="33"/>
        <v>0</v>
      </c>
      <c r="W271" s="109"/>
      <c r="X271" s="109"/>
      <c r="Y271" s="109"/>
      <c r="Z271" s="109"/>
      <c r="AA271" s="109"/>
    </row>
    <row r="272" ht="15.75" hidden="1" customHeight="1" outlineLevel="1">
      <c r="A272" s="431">
        <v>266.0</v>
      </c>
      <c r="B272" s="477" t="s">
        <v>434</v>
      </c>
      <c r="C272" s="463" t="s">
        <v>72</v>
      </c>
      <c r="D272" s="469">
        <v>510.0</v>
      </c>
      <c r="E272" s="370">
        <v>1.0</v>
      </c>
      <c r="F272" s="465">
        <f t="shared" si="73"/>
        <v>510</v>
      </c>
      <c r="G272" s="466">
        <f>SUMIF(PURCHASE!$E$3:$E$506,'INVONTERY FEB'!B272:B590,PURCHASE!$H$3:$H$506)</f>
        <v>0</v>
      </c>
      <c r="H272" s="467">
        <f>SUMIF(PURCHASE!$E$3:$E$506,'INVONTERY FEB'!B272:B617,PURCHASE!$I$3:$I$506)</f>
        <v>0</v>
      </c>
      <c r="I272" s="478">
        <f>ISSU!AL272</f>
        <v>0</v>
      </c>
      <c r="J272" s="354">
        <f t="shared" si="74"/>
        <v>0</v>
      </c>
      <c r="K272" s="473">
        <f t="shared" si="75"/>
        <v>1</v>
      </c>
      <c r="L272" s="467">
        <f t="shared" si="76"/>
        <v>510</v>
      </c>
      <c r="M272" s="438">
        <f t="shared" si="77"/>
        <v>510</v>
      </c>
      <c r="N272" s="439">
        <f t="shared" si="78"/>
        <v>0</v>
      </c>
      <c r="O272" s="439">
        <f t="shared" si="79"/>
        <v>0</v>
      </c>
      <c r="P272" s="438">
        <f t="shared" si="80"/>
        <v>0</v>
      </c>
      <c r="Q272" s="479"/>
      <c r="R272" s="109"/>
      <c r="S272" s="97"/>
      <c r="T272" s="168"/>
      <c r="U272" s="168"/>
      <c r="V272" s="362">
        <f t="shared" si="33"/>
        <v>0</v>
      </c>
      <c r="W272" s="109"/>
      <c r="X272" s="109"/>
      <c r="Y272" s="109"/>
      <c r="Z272" s="109"/>
      <c r="AA272" s="109"/>
    </row>
    <row r="273" ht="15.75" hidden="1" customHeight="1" outlineLevel="1">
      <c r="A273" s="431">
        <v>267.0</v>
      </c>
      <c r="B273" s="477" t="s">
        <v>435</v>
      </c>
      <c r="C273" s="463" t="s">
        <v>72</v>
      </c>
      <c r="D273" s="469">
        <v>290.0</v>
      </c>
      <c r="E273" s="370">
        <v>1.0</v>
      </c>
      <c r="F273" s="465">
        <f t="shared" si="73"/>
        <v>290</v>
      </c>
      <c r="G273" s="466">
        <f>SUMIF(PURCHASE!$E$3:$E$506,'INVONTERY FEB'!B273:B591,PURCHASE!$H$3:$H$506)</f>
        <v>0</v>
      </c>
      <c r="H273" s="467">
        <f>SUMIF(PURCHASE!$E$3:$E$506,'INVONTERY FEB'!B273:B618,PURCHASE!$I$3:$I$506)</f>
        <v>0</v>
      </c>
      <c r="I273" s="478">
        <f>ISSU!AL273</f>
        <v>0</v>
      </c>
      <c r="J273" s="354">
        <f t="shared" si="74"/>
        <v>0</v>
      </c>
      <c r="K273" s="473">
        <f t="shared" si="75"/>
        <v>1</v>
      </c>
      <c r="L273" s="467">
        <f t="shared" si="76"/>
        <v>290</v>
      </c>
      <c r="M273" s="438">
        <f t="shared" si="77"/>
        <v>290</v>
      </c>
      <c r="N273" s="439">
        <f t="shared" si="78"/>
        <v>0</v>
      </c>
      <c r="O273" s="439">
        <f t="shared" si="79"/>
        <v>0</v>
      </c>
      <c r="P273" s="438">
        <f t="shared" si="80"/>
        <v>0</v>
      </c>
      <c r="Q273" s="479"/>
      <c r="R273" s="109"/>
      <c r="S273" s="97"/>
      <c r="T273" s="168"/>
      <c r="U273" s="168"/>
      <c r="V273" s="362">
        <f t="shared" si="33"/>
        <v>0</v>
      </c>
      <c r="W273" s="109"/>
      <c r="X273" s="109"/>
      <c r="Y273" s="109"/>
      <c r="Z273" s="109"/>
      <c r="AA273" s="109"/>
    </row>
    <row r="274" ht="15.75" hidden="1" customHeight="1" outlineLevel="1">
      <c r="A274" s="431">
        <v>268.0</v>
      </c>
      <c r="B274" s="477" t="s">
        <v>436</v>
      </c>
      <c r="C274" s="463" t="s">
        <v>72</v>
      </c>
      <c r="D274" s="469">
        <v>290.0</v>
      </c>
      <c r="E274" s="370">
        <v>1.0</v>
      </c>
      <c r="F274" s="465">
        <f t="shared" si="73"/>
        <v>290</v>
      </c>
      <c r="G274" s="466">
        <f>SUMIF(PURCHASE!$E$3:$E$506,'INVONTERY FEB'!B274:B592,PURCHASE!$H$3:$H$506)</f>
        <v>0</v>
      </c>
      <c r="H274" s="467">
        <f>SUMIF(PURCHASE!$E$3:$E$506,'INVONTERY FEB'!B274:B619,PURCHASE!$I$3:$I$506)</f>
        <v>0</v>
      </c>
      <c r="I274" s="478">
        <f>ISSU!AL274</f>
        <v>0</v>
      </c>
      <c r="J274" s="354">
        <f t="shared" si="74"/>
        <v>0</v>
      </c>
      <c r="K274" s="473">
        <f t="shared" si="75"/>
        <v>1</v>
      </c>
      <c r="L274" s="467">
        <f t="shared" si="76"/>
        <v>290</v>
      </c>
      <c r="M274" s="438">
        <f t="shared" si="77"/>
        <v>290</v>
      </c>
      <c r="N274" s="439">
        <f t="shared" si="78"/>
        <v>0</v>
      </c>
      <c r="O274" s="439">
        <f t="shared" si="79"/>
        <v>0</v>
      </c>
      <c r="P274" s="438">
        <f t="shared" si="80"/>
        <v>0</v>
      </c>
      <c r="Q274" s="479"/>
      <c r="R274" s="109"/>
      <c r="S274" s="97"/>
      <c r="T274" s="168"/>
      <c r="U274" s="168"/>
      <c r="V274" s="362">
        <f t="shared" si="33"/>
        <v>0</v>
      </c>
      <c r="W274" s="109"/>
      <c r="X274" s="109"/>
      <c r="Y274" s="109"/>
      <c r="Z274" s="109"/>
      <c r="AA274" s="109"/>
    </row>
    <row r="275" ht="15.75" hidden="1" customHeight="1" outlineLevel="1">
      <c r="A275" s="431">
        <v>269.0</v>
      </c>
      <c r="B275" s="477" t="s">
        <v>437</v>
      </c>
      <c r="C275" s="463" t="s">
        <v>72</v>
      </c>
      <c r="D275" s="469">
        <v>1275.0</v>
      </c>
      <c r="E275" s="370">
        <v>1.0</v>
      </c>
      <c r="F275" s="465">
        <f t="shared" si="73"/>
        <v>1275</v>
      </c>
      <c r="G275" s="466">
        <f>SUMIF(PURCHASE!$E$3:$E$506,'INVONTERY FEB'!B275:B593,PURCHASE!$H$3:$H$506)</f>
        <v>0</v>
      </c>
      <c r="H275" s="467">
        <f>SUMIF(PURCHASE!$E$3:$E$506,'INVONTERY FEB'!B275:B620,PURCHASE!$I$3:$I$506)</f>
        <v>0</v>
      </c>
      <c r="I275" s="478">
        <f>ISSU!AL275</f>
        <v>0</v>
      </c>
      <c r="J275" s="354">
        <f t="shared" si="74"/>
        <v>0</v>
      </c>
      <c r="K275" s="473">
        <f t="shared" si="75"/>
        <v>1</v>
      </c>
      <c r="L275" s="467">
        <f t="shared" si="76"/>
        <v>1275</v>
      </c>
      <c r="M275" s="438">
        <f t="shared" si="77"/>
        <v>1275</v>
      </c>
      <c r="N275" s="439">
        <f t="shared" si="78"/>
        <v>0</v>
      </c>
      <c r="O275" s="439">
        <f t="shared" si="79"/>
        <v>0</v>
      </c>
      <c r="P275" s="438">
        <f t="shared" si="80"/>
        <v>0</v>
      </c>
      <c r="Q275" s="479"/>
      <c r="R275" s="109"/>
      <c r="S275" s="97"/>
      <c r="T275" s="168"/>
      <c r="U275" s="168"/>
      <c r="V275" s="362">
        <f t="shared" si="33"/>
        <v>0</v>
      </c>
      <c r="W275" s="109"/>
      <c r="X275" s="109"/>
      <c r="Y275" s="109"/>
      <c r="Z275" s="109"/>
      <c r="AA275" s="109"/>
    </row>
    <row r="276" ht="15.75" hidden="1" customHeight="1" outlineLevel="1">
      <c r="A276" s="431">
        <v>270.0</v>
      </c>
      <c r="B276" s="477" t="s">
        <v>438</v>
      </c>
      <c r="C276" s="463" t="s">
        <v>72</v>
      </c>
      <c r="D276" s="469">
        <v>292.0</v>
      </c>
      <c r="E276" s="370">
        <v>1.0</v>
      </c>
      <c r="F276" s="465">
        <f t="shared" si="73"/>
        <v>292</v>
      </c>
      <c r="G276" s="466">
        <f>SUMIF(PURCHASE!$E$3:$E$506,'INVONTERY FEB'!B276:B594,PURCHASE!$H$3:$H$506)</f>
        <v>0</v>
      </c>
      <c r="H276" s="467">
        <f>SUMIF(PURCHASE!$E$3:$E$506,'INVONTERY FEB'!B276:B621,PURCHASE!$I$3:$I$506)</f>
        <v>0</v>
      </c>
      <c r="I276" s="478">
        <f>ISSU!AL276</f>
        <v>0</v>
      </c>
      <c r="J276" s="354">
        <f t="shared" si="74"/>
        <v>0</v>
      </c>
      <c r="K276" s="473">
        <f t="shared" si="75"/>
        <v>1</v>
      </c>
      <c r="L276" s="467">
        <f t="shared" si="76"/>
        <v>292</v>
      </c>
      <c r="M276" s="438">
        <f t="shared" si="77"/>
        <v>292</v>
      </c>
      <c r="N276" s="439">
        <f t="shared" si="78"/>
        <v>0</v>
      </c>
      <c r="O276" s="439">
        <f t="shared" si="79"/>
        <v>0</v>
      </c>
      <c r="P276" s="438">
        <f t="shared" si="80"/>
        <v>0</v>
      </c>
      <c r="Q276" s="479"/>
      <c r="R276" s="109"/>
      <c r="S276" s="97"/>
      <c r="T276" s="168"/>
      <c r="U276" s="168"/>
      <c r="V276" s="362">
        <f t="shared" si="33"/>
        <v>0</v>
      </c>
      <c r="W276" s="109"/>
      <c r="X276" s="109"/>
      <c r="Y276" s="109"/>
      <c r="Z276" s="109"/>
      <c r="AA276" s="109"/>
    </row>
    <row r="277" ht="15.75" hidden="1" customHeight="1" outlineLevel="1">
      <c r="A277" s="431">
        <v>271.0</v>
      </c>
      <c r="B277" s="477" t="s">
        <v>439</v>
      </c>
      <c r="C277" s="463" t="s">
        <v>72</v>
      </c>
      <c r="D277" s="469">
        <v>825.0</v>
      </c>
      <c r="E277" s="370">
        <v>1.0</v>
      </c>
      <c r="F277" s="465">
        <f t="shared" si="73"/>
        <v>825</v>
      </c>
      <c r="G277" s="466">
        <f>SUMIF(PURCHASE!$E$3:$E$506,'INVONTERY FEB'!B277:B595,PURCHASE!$H$3:$H$506)</f>
        <v>0</v>
      </c>
      <c r="H277" s="467">
        <f>SUMIF(PURCHASE!$E$3:$E$506,'INVONTERY FEB'!B277:B622,PURCHASE!$I$3:$I$506)</f>
        <v>0</v>
      </c>
      <c r="I277" s="478">
        <f>ISSU!AL277</f>
        <v>0</v>
      </c>
      <c r="J277" s="354">
        <f t="shared" si="74"/>
        <v>0</v>
      </c>
      <c r="K277" s="473">
        <f t="shared" si="75"/>
        <v>1</v>
      </c>
      <c r="L277" s="467">
        <f t="shared" si="76"/>
        <v>825</v>
      </c>
      <c r="M277" s="438">
        <f t="shared" si="77"/>
        <v>825</v>
      </c>
      <c r="N277" s="439">
        <f t="shared" si="78"/>
        <v>0</v>
      </c>
      <c r="O277" s="439">
        <f t="shared" si="79"/>
        <v>0</v>
      </c>
      <c r="P277" s="438">
        <f t="shared" si="80"/>
        <v>0</v>
      </c>
      <c r="Q277" s="479"/>
      <c r="R277" s="109"/>
      <c r="S277" s="97"/>
      <c r="T277" s="168"/>
      <c r="U277" s="168"/>
      <c r="V277" s="362">
        <f t="shared" si="33"/>
        <v>0</v>
      </c>
      <c r="W277" s="109"/>
      <c r="X277" s="109"/>
      <c r="Y277" s="109"/>
      <c r="Z277" s="109"/>
      <c r="AA277" s="109"/>
    </row>
    <row r="278" ht="15.75" hidden="1" customHeight="1" outlineLevel="1">
      <c r="A278" s="431">
        <v>272.0</v>
      </c>
      <c r="B278" s="477" t="s">
        <v>440</v>
      </c>
      <c r="C278" s="463" t="s">
        <v>72</v>
      </c>
      <c r="D278" s="469">
        <v>330.0</v>
      </c>
      <c r="E278" s="370">
        <v>1.0</v>
      </c>
      <c r="F278" s="465">
        <f t="shared" si="73"/>
        <v>330</v>
      </c>
      <c r="G278" s="466">
        <f>SUMIF(PURCHASE!$E$3:$E$506,'INVONTERY FEB'!B278:B596,PURCHASE!$H$3:$H$506)</f>
        <v>0</v>
      </c>
      <c r="H278" s="467">
        <f>SUMIF(PURCHASE!$E$3:$E$506,'INVONTERY FEB'!B278:B623,PURCHASE!$I$3:$I$506)</f>
        <v>0</v>
      </c>
      <c r="I278" s="478">
        <f>ISSU!AL278</f>
        <v>0</v>
      </c>
      <c r="J278" s="354">
        <f t="shared" si="74"/>
        <v>0</v>
      </c>
      <c r="K278" s="473">
        <f t="shared" si="75"/>
        <v>1</v>
      </c>
      <c r="L278" s="467">
        <f t="shared" si="76"/>
        <v>330</v>
      </c>
      <c r="M278" s="438">
        <f t="shared" si="77"/>
        <v>330</v>
      </c>
      <c r="N278" s="439">
        <f t="shared" si="78"/>
        <v>0</v>
      </c>
      <c r="O278" s="439">
        <f t="shared" si="79"/>
        <v>0</v>
      </c>
      <c r="P278" s="438">
        <f t="shared" si="80"/>
        <v>0</v>
      </c>
      <c r="Q278" s="479"/>
      <c r="R278" s="109"/>
      <c r="S278" s="97"/>
      <c r="T278" s="168"/>
      <c r="U278" s="168"/>
      <c r="V278" s="362">
        <f t="shared" si="33"/>
        <v>0</v>
      </c>
      <c r="W278" s="109"/>
      <c r="X278" s="109"/>
      <c r="Y278" s="109"/>
      <c r="Z278" s="109"/>
      <c r="AA278" s="109"/>
    </row>
    <row r="279" ht="15.75" hidden="1" customHeight="1" outlineLevel="1">
      <c r="A279" s="431">
        <v>273.0</v>
      </c>
      <c r="B279" s="477" t="s">
        <v>441</v>
      </c>
      <c r="C279" s="463" t="s">
        <v>72</v>
      </c>
      <c r="D279" s="469">
        <v>795.0</v>
      </c>
      <c r="E279" s="370">
        <v>1.0</v>
      </c>
      <c r="F279" s="465">
        <f t="shared" si="73"/>
        <v>795</v>
      </c>
      <c r="G279" s="466">
        <f>SUMIF(PURCHASE!$E$3:$E$506,'INVONTERY FEB'!B279:B597,PURCHASE!$H$3:$H$506)</f>
        <v>0</v>
      </c>
      <c r="H279" s="467">
        <f>SUMIF(PURCHASE!$E$3:$E$506,'INVONTERY FEB'!B279:B624,PURCHASE!$I$3:$I$506)</f>
        <v>0</v>
      </c>
      <c r="I279" s="478">
        <f>ISSU!AL279</f>
        <v>0</v>
      </c>
      <c r="J279" s="354">
        <f t="shared" si="74"/>
        <v>0</v>
      </c>
      <c r="K279" s="473">
        <f t="shared" si="75"/>
        <v>1</v>
      </c>
      <c r="L279" s="467">
        <f t="shared" si="76"/>
        <v>795</v>
      </c>
      <c r="M279" s="438">
        <f t="shared" si="77"/>
        <v>795</v>
      </c>
      <c r="N279" s="439">
        <f t="shared" si="78"/>
        <v>0</v>
      </c>
      <c r="O279" s="439">
        <f t="shared" si="79"/>
        <v>0</v>
      </c>
      <c r="P279" s="438">
        <f t="shared" si="80"/>
        <v>0</v>
      </c>
      <c r="Q279" s="479"/>
      <c r="R279" s="109"/>
      <c r="S279" s="97"/>
      <c r="T279" s="168"/>
      <c r="U279" s="168"/>
      <c r="V279" s="362">
        <f t="shared" si="33"/>
        <v>0</v>
      </c>
      <c r="W279" s="109"/>
      <c r="X279" s="109"/>
      <c r="Y279" s="109"/>
      <c r="Z279" s="109"/>
      <c r="AA279" s="109"/>
    </row>
    <row r="280" ht="15.75" hidden="1" customHeight="1" outlineLevel="1">
      <c r="A280" s="431">
        <v>274.0</v>
      </c>
      <c r="B280" s="477" t="s">
        <v>442</v>
      </c>
      <c r="C280" s="463" t="s">
        <v>72</v>
      </c>
      <c r="D280" s="469">
        <v>680.0</v>
      </c>
      <c r="E280" s="370">
        <v>1.0</v>
      </c>
      <c r="F280" s="465">
        <f t="shared" si="73"/>
        <v>680</v>
      </c>
      <c r="G280" s="466">
        <f>SUMIF(PURCHASE!$E$3:$E$506,'INVONTERY FEB'!B280:B598,PURCHASE!$H$3:$H$506)</f>
        <v>0</v>
      </c>
      <c r="H280" s="467">
        <f>SUMIF(PURCHASE!$E$3:$E$506,'INVONTERY FEB'!B280:B625,PURCHASE!$I$3:$I$506)</f>
        <v>0</v>
      </c>
      <c r="I280" s="478">
        <f>ISSU!AL280</f>
        <v>0</v>
      </c>
      <c r="J280" s="354">
        <f t="shared" si="74"/>
        <v>0</v>
      </c>
      <c r="K280" s="473">
        <f t="shared" si="75"/>
        <v>1</v>
      </c>
      <c r="L280" s="467">
        <f t="shared" si="76"/>
        <v>680</v>
      </c>
      <c r="M280" s="438">
        <f t="shared" si="77"/>
        <v>680</v>
      </c>
      <c r="N280" s="439">
        <f t="shared" si="78"/>
        <v>0</v>
      </c>
      <c r="O280" s="439">
        <f t="shared" si="79"/>
        <v>0</v>
      </c>
      <c r="P280" s="438">
        <f t="shared" si="80"/>
        <v>0</v>
      </c>
      <c r="Q280" s="479"/>
      <c r="R280" s="109"/>
      <c r="S280" s="97"/>
      <c r="T280" s="168"/>
      <c r="U280" s="168"/>
      <c r="V280" s="362">
        <f t="shared" si="33"/>
        <v>0</v>
      </c>
      <c r="W280" s="109"/>
      <c r="X280" s="109"/>
      <c r="Y280" s="109"/>
      <c r="Z280" s="109"/>
      <c r="AA280" s="109"/>
    </row>
    <row r="281" ht="15.75" hidden="1" customHeight="1" outlineLevel="1">
      <c r="A281" s="431">
        <v>275.0</v>
      </c>
      <c r="B281" s="477" t="s">
        <v>443</v>
      </c>
      <c r="C281" s="463" t="s">
        <v>72</v>
      </c>
      <c r="D281" s="469">
        <v>225.0</v>
      </c>
      <c r="E281" s="370">
        <v>1.0</v>
      </c>
      <c r="F281" s="465">
        <f t="shared" si="73"/>
        <v>225</v>
      </c>
      <c r="G281" s="466">
        <f>SUMIF(PURCHASE!$E$3:$E$506,'INVONTERY FEB'!B281:B599,PURCHASE!$H$3:$H$506)</f>
        <v>0</v>
      </c>
      <c r="H281" s="467">
        <f>SUMIF(PURCHASE!$E$3:$E$506,'INVONTERY FEB'!B281:B626,PURCHASE!$I$3:$I$506)</f>
        <v>0</v>
      </c>
      <c r="I281" s="478">
        <f>ISSU!AL281</f>
        <v>0</v>
      </c>
      <c r="J281" s="354">
        <f t="shared" si="74"/>
        <v>0</v>
      </c>
      <c r="K281" s="473">
        <f t="shared" si="75"/>
        <v>1</v>
      </c>
      <c r="L281" s="467">
        <f t="shared" si="76"/>
        <v>225</v>
      </c>
      <c r="M281" s="438">
        <f t="shared" si="77"/>
        <v>225</v>
      </c>
      <c r="N281" s="439">
        <f t="shared" si="78"/>
        <v>0</v>
      </c>
      <c r="O281" s="439">
        <f t="shared" si="79"/>
        <v>0</v>
      </c>
      <c r="P281" s="438">
        <f t="shared" si="80"/>
        <v>0</v>
      </c>
      <c r="Q281" s="479"/>
      <c r="R281" s="109"/>
      <c r="S281" s="97"/>
      <c r="T281" s="168"/>
      <c r="U281" s="168"/>
      <c r="V281" s="362">
        <f t="shared" si="33"/>
        <v>0</v>
      </c>
      <c r="W281" s="109"/>
      <c r="X281" s="109"/>
      <c r="Y281" s="109"/>
      <c r="Z281" s="109"/>
      <c r="AA281" s="109"/>
    </row>
    <row r="282" ht="15.75" hidden="1" customHeight="1" outlineLevel="1">
      <c r="A282" s="431">
        <v>276.0</v>
      </c>
      <c r="B282" s="477" t="s">
        <v>444</v>
      </c>
      <c r="C282" s="463" t="s">
        <v>72</v>
      </c>
      <c r="D282" s="469">
        <v>675.0</v>
      </c>
      <c r="E282" s="370">
        <v>1.0</v>
      </c>
      <c r="F282" s="465">
        <f t="shared" si="73"/>
        <v>675</v>
      </c>
      <c r="G282" s="466">
        <f>SUMIF(PURCHASE!$E$3:$E$506,'INVONTERY FEB'!B282:B600,PURCHASE!$H$3:$H$506)</f>
        <v>0</v>
      </c>
      <c r="H282" s="467">
        <f>SUMIF(PURCHASE!$E$3:$E$506,'INVONTERY FEB'!B282:B627,PURCHASE!$I$3:$I$506)</f>
        <v>0</v>
      </c>
      <c r="I282" s="478">
        <f>ISSU!AL282</f>
        <v>0</v>
      </c>
      <c r="J282" s="354">
        <f t="shared" si="74"/>
        <v>0</v>
      </c>
      <c r="K282" s="473">
        <f t="shared" si="75"/>
        <v>1</v>
      </c>
      <c r="L282" s="467">
        <f t="shared" si="76"/>
        <v>675</v>
      </c>
      <c r="M282" s="438">
        <f t="shared" si="77"/>
        <v>675</v>
      </c>
      <c r="N282" s="439">
        <f t="shared" si="78"/>
        <v>0</v>
      </c>
      <c r="O282" s="439">
        <f t="shared" si="79"/>
        <v>0</v>
      </c>
      <c r="P282" s="438">
        <f t="shared" si="80"/>
        <v>0</v>
      </c>
      <c r="Q282" s="479"/>
      <c r="R282" s="109"/>
      <c r="S282" s="97"/>
      <c r="T282" s="168"/>
      <c r="U282" s="168"/>
      <c r="V282" s="362">
        <f t="shared" si="33"/>
        <v>0</v>
      </c>
      <c r="W282" s="109"/>
      <c r="X282" s="109"/>
      <c r="Y282" s="109"/>
      <c r="Z282" s="109"/>
      <c r="AA282" s="109"/>
    </row>
    <row r="283" ht="15.75" hidden="1" customHeight="1" outlineLevel="1">
      <c r="A283" s="431">
        <v>277.0</v>
      </c>
      <c r="B283" s="477" t="s">
        <v>445</v>
      </c>
      <c r="C283" s="463" t="s">
        <v>72</v>
      </c>
      <c r="D283" s="469">
        <v>675.0</v>
      </c>
      <c r="E283" s="370">
        <v>1.0</v>
      </c>
      <c r="F283" s="465">
        <f t="shared" si="73"/>
        <v>675</v>
      </c>
      <c r="G283" s="466">
        <f>SUMIF(PURCHASE!$E$3:$E$506,'INVONTERY FEB'!B283:B601,PURCHASE!$H$3:$H$506)</f>
        <v>0</v>
      </c>
      <c r="H283" s="467">
        <f>SUMIF(PURCHASE!$E$3:$E$506,'INVONTERY FEB'!B283:B628,PURCHASE!$I$3:$I$506)</f>
        <v>0</v>
      </c>
      <c r="I283" s="478">
        <f>ISSU!AL283</f>
        <v>0</v>
      </c>
      <c r="J283" s="354">
        <f t="shared" si="74"/>
        <v>0</v>
      </c>
      <c r="K283" s="473">
        <f t="shared" si="75"/>
        <v>1</v>
      </c>
      <c r="L283" s="467">
        <f t="shared" si="76"/>
        <v>675</v>
      </c>
      <c r="M283" s="438">
        <f t="shared" si="77"/>
        <v>675</v>
      </c>
      <c r="N283" s="439">
        <f t="shared" si="78"/>
        <v>0</v>
      </c>
      <c r="O283" s="439">
        <f t="shared" si="79"/>
        <v>0</v>
      </c>
      <c r="P283" s="438">
        <f t="shared" si="80"/>
        <v>0</v>
      </c>
      <c r="Q283" s="479"/>
      <c r="R283" s="109"/>
      <c r="S283" s="97"/>
      <c r="T283" s="168"/>
      <c r="U283" s="168"/>
      <c r="V283" s="362">
        <f t="shared" si="33"/>
        <v>0</v>
      </c>
      <c r="W283" s="109"/>
      <c r="X283" s="109"/>
      <c r="Y283" s="109"/>
      <c r="Z283" s="109"/>
      <c r="AA283" s="109"/>
    </row>
    <row r="284" ht="15.75" hidden="1" customHeight="1" outlineLevel="1">
      <c r="A284" s="431">
        <v>278.0</v>
      </c>
      <c r="B284" s="477" t="s">
        <v>446</v>
      </c>
      <c r="C284" s="463" t="s">
        <v>72</v>
      </c>
      <c r="D284" s="469">
        <v>225.0</v>
      </c>
      <c r="E284" s="370">
        <v>1.0</v>
      </c>
      <c r="F284" s="465">
        <f t="shared" si="73"/>
        <v>225</v>
      </c>
      <c r="G284" s="466">
        <f>SUMIF(PURCHASE!$E$3:$E$506,'INVONTERY FEB'!B284:B602,PURCHASE!$H$3:$H$506)</f>
        <v>0</v>
      </c>
      <c r="H284" s="467">
        <f>SUMIF(PURCHASE!$E$3:$E$506,'INVONTERY FEB'!B284:B629,PURCHASE!$I$3:$I$506)</f>
        <v>0</v>
      </c>
      <c r="I284" s="478">
        <f>ISSU!AL284</f>
        <v>0</v>
      </c>
      <c r="J284" s="354">
        <f t="shared" si="74"/>
        <v>0</v>
      </c>
      <c r="K284" s="473">
        <f t="shared" si="75"/>
        <v>1</v>
      </c>
      <c r="L284" s="467">
        <f t="shared" si="76"/>
        <v>225</v>
      </c>
      <c r="M284" s="438">
        <f t="shared" si="77"/>
        <v>225</v>
      </c>
      <c r="N284" s="439">
        <f t="shared" si="78"/>
        <v>0</v>
      </c>
      <c r="O284" s="439">
        <f t="shared" si="79"/>
        <v>0</v>
      </c>
      <c r="P284" s="438">
        <f t="shared" si="80"/>
        <v>0</v>
      </c>
      <c r="Q284" s="479"/>
      <c r="R284" s="109"/>
      <c r="S284" s="97"/>
      <c r="T284" s="168"/>
      <c r="U284" s="168"/>
      <c r="V284" s="362">
        <f t="shared" si="33"/>
        <v>0</v>
      </c>
      <c r="W284" s="109"/>
      <c r="X284" s="109"/>
      <c r="Y284" s="109"/>
      <c r="Z284" s="109"/>
      <c r="AA284" s="109"/>
    </row>
    <row r="285" ht="15.75" hidden="1" customHeight="1" outlineLevel="1">
      <c r="A285" s="431">
        <v>279.0</v>
      </c>
      <c r="B285" s="477" t="s">
        <v>447</v>
      </c>
      <c r="C285" s="463" t="s">
        <v>72</v>
      </c>
      <c r="D285" s="469">
        <v>675.0</v>
      </c>
      <c r="E285" s="370">
        <v>1.0</v>
      </c>
      <c r="F285" s="465">
        <f t="shared" si="73"/>
        <v>675</v>
      </c>
      <c r="G285" s="466">
        <f>SUMIF(PURCHASE!$E$3:$E$506,'INVONTERY FEB'!B285:B603,PURCHASE!$H$3:$H$506)</f>
        <v>0</v>
      </c>
      <c r="H285" s="467">
        <f>SUMIF(PURCHASE!$E$3:$E$506,'INVONTERY FEB'!B285:B630,PURCHASE!$I$3:$I$506)</f>
        <v>0</v>
      </c>
      <c r="I285" s="478">
        <f>ISSU!AL285</f>
        <v>0</v>
      </c>
      <c r="J285" s="354">
        <f t="shared" si="74"/>
        <v>0</v>
      </c>
      <c r="K285" s="473">
        <f t="shared" si="75"/>
        <v>1</v>
      </c>
      <c r="L285" s="467">
        <f t="shared" si="76"/>
        <v>675</v>
      </c>
      <c r="M285" s="438">
        <f t="shared" si="77"/>
        <v>675</v>
      </c>
      <c r="N285" s="439">
        <f t="shared" si="78"/>
        <v>0</v>
      </c>
      <c r="O285" s="439">
        <f t="shared" si="79"/>
        <v>0</v>
      </c>
      <c r="P285" s="438">
        <f t="shared" si="80"/>
        <v>0</v>
      </c>
      <c r="Q285" s="479"/>
      <c r="R285" s="109"/>
      <c r="S285" s="97"/>
      <c r="T285" s="168"/>
      <c r="U285" s="168"/>
      <c r="V285" s="362">
        <f t="shared" si="33"/>
        <v>0</v>
      </c>
      <c r="W285" s="109"/>
      <c r="X285" s="109"/>
      <c r="Y285" s="109"/>
      <c r="Z285" s="109"/>
      <c r="AA285" s="109"/>
    </row>
    <row r="286" ht="15.75" hidden="1" customHeight="1" outlineLevel="1">
      <c r="A286" s="431">
        <v>280.0</v>
      </c>
      <c r="B286" s="477" t="s">
        <v>448</v>
      </c>
      <c r="C286" s="463" t="s">
        <v>72</v>
      </c>
      <c r="D286" s="469">
        <v>300.0</v>
      </c>
      <c r="E286" s="370">
        <v>1.0</v>
      </c>
      <c r="F286" s="465">
        <f t="shared" si="73"/>
        <v>300</v>
      </c>
      <c r="G286" s="466">
        <f>SUMIF(PURCHASE!$E$3:$E$506,'INVONTERY FEB'!B286:B604,PURCHASE!$H$3:$H$506)</f>
        <v>0</v>
      </c>
      <c r="H286" s="467">
        <f>SUMIF(PURCHASE!$E$3:$E$506,'INVONTERY FEB'!B286:B631,PURCHASE!$I$3:$I$506)</f>
        <v>0</v>
      </c>
      <c r="I286" s="478">
        <f>ISSU!AL286</f>
        <v>0</v>
      </c>
      <c r="J286" s="354">
        <f t="shared" si="74"/>
        <v>0</v>
      </c>
      <c r="K286" s="473">
        <f t="shared" si="75"/>
        <v>1</v>
      </c>
      <c r="L286" s="467">
        <f t="shared" si="76"/>
        <v>300</v>
      </c>
      <c r="M286" s="438">
        <f t="shared" si="77"/>
        <v>300</v>
      </c>
      <c r="N286" s="439">
        <f t="shared" si="78"/>
        <v>0</v>
      </c>
      <c r="O286" s="439">
        <f t="shared" si="79"/>
        <v>0</v>
      </c>
      <c r="P286" s="438">
        <f t="shared" si="80"/>
        <v>0</v>
      </c>
      <c r="Q286" s="479"/>
      <c r="R286" s="109"/>
      <c r="S286" s="97"/>
      <c r="T286" s="168"/>
      <c r="U286" s="168"/>
      <c r="V286" s="362">
        <f t="shared" si="33"/>
        <v>0</v>
      </c>
      <c r="W286" s="109"/>
      <c r="X286" s="109"/>
      <c r="Y286" s="109"/>
      <c r="Z286" s="109"/>
      <c r="AA286" s="109"/>
    </row>
    <row r="287" ht="15.75" hidden="1" customHeight="1" outlineLevel="1">
      <c r="A287" s="431">
        <v>281.0</v>
      </c>
      <c r="B287" s="477" t="s">
        <v>449</v>
      </c>
      <c r="C287" s="463" t="s">
        <v>72</v>
      </c>
      <c r="D287" s="469">
        <v>345.0</v>
      </c>
      <c r="E287" s="370">
        <v>1.0</v>
      </c>
      <c r="F287" s="465">
        <f t="shared" si="73"/>
        <v>345</v>
      </c>
      <c r="G287" s="466">
        <f>SUMIF(PURCHASE!$E$3:$E$506,'INVONTERY FEB'!B287:B605,PURCHASE!$H$3:$H$506)</f>
        <v>0</v>
      </c>
      <c r="H287" s="467">
        <f>SUMIF(PURCHASE!$E$3:$E$506,'INVONTERY FEB'!B287:B632,PURCHASE!$I$3:$I$506)</f>
        <v>0</v>
      </c>
      <c r="I287" s="478">
        <f>ISSU!AL287</f>
        <v>0</v>
      </c>
      <c r="J287" s="354">
        <f t="shared" si="74"/>
        <v>0</v>
      </c>
      <c r="K287" s="473">
        <f t="shared" si="75"/>
        <v>1</v>
      </c>
      <c r="L287" s="467">
        <f t="shared" si="76"/>
        <v>345</v>
      </c>
      <c r="M287" s="438">
        <f t="shared" si="77"/>
        <v>345</v>
      </c>
      <c r="N287" s="439">
        <f t="shared" si="78"/>
        <v>0</v>
      </c>
      <c r="O287" s="439">
        <f t="shared" si="79"/>
        <v>0</v>
      </c>
      <c r="P287" s="438">
        <f t="shared" si="80"/>
        <v>0</v>
      </c>
      <c r="Q287" s="479"/>
      <c r="R287" s="109"/>
      <c r="S287" s="97"/>
      <c r="T287" s="168"/>
      <c r="U287" s="168"/>
      <c r="V287" s="362">
        <f t="shared" si="33"/>
        <v>0</v>
      </c>
      <c r="W287" s="109"/>
      <c r="X287" s="109"/>
      <c r="Y287" s="109"/>
      <c r="Z287" s="109"/>
      <c r="AA287" s="109"/>
    </row>
    <row r="288" ht="15.75" hidden="1" customHeight="1" outlineLevel="1">
      <c r="A288" s="431">
        <v>282.0</v>
      </c>
      <c r="B288" s="477" t="s">
        <v>450</v>
      </c>
      <c r="C288" s="463" t="s">
        <v>72</v>
      </c>
      <c r="D288" s="469">
        <v>975.0</v>
      </c>
      <c r="E288" s="370">
        <v>1.0</v>
      </c>
      <c r="F288" s="465">
        <f t="shared" si="73"/>
        <v>975</v>
      </c>
      <c r="G288" s="466">
        <f>SUMIF(PURCHASE!$E$3:$E$506,'INVONTERY FEB'!B288:B606,PURCHASE!$H$3:$H$506)</f>
        <v>0</v>
      </c>
      <c r="H288" s="467">
        <f>SUMIF(PURCHASE!$E$3:$E$506,'INVONTERY FEB'!B288:B633,PURCHASE!$I$3:$I$506)</f>
        <v>0</v>
      </c>
      <c r="I288" s="478">
        <f>ISSU!AL288</f>
        <v>0</v>
      </c>
      <c r="J288" s="354">
        <f t="shared" si="74"/>
        <v>0</v>
      </c>
      <c r="K288" s="473">
        <f t="shared" si="75"/>
        <v>1</v>
      </c>
      <c r="L288" s="467">
        <f t="shared" si="76"/>
        <v>975</v>
      </c>
      <c r="M288" s="438">
        <f t="shared" si="77"/>
        <v>975</v>
      </c>
      <c r="N288" s="439">
        <f t="shared" si="78"/>
        <v>0</v>
      </c>
      <c r="O288" s="439">
        <f t="shared" si="79"/>
        <v>0</v>
      </c>
      <c r="P288" s="438">
        <f t="shared" si="80"/>
        <v>0</v>
      </c>
      <c r="Q288" s="479"/>
      <c r="R288" s="109"/>
      <c r="S288" s="97"/>
      <c r="T288" s="168"/>
      <c r="U288" s="168"/>
      <c r="V288" s="362">
        <f t="shared" si="33"/>
        <v>0</v>
      </c>
      <c r="W288" s="109"/>
      <c r="X288" s="109"/>
      <c r="Y288" s="109"/>
      <c r="Z288" s="109"/>
      <c r="AA288" s="109"/>
    </row>
    <row r="289" ht="15.75" hidden="1" customHeight="1" outlineLevel="1">
      <c r="A289" s="431">
        <v>283.0</v>
      </c>
      <c r="B289" s="477" t="s">
        <v>451</v>
      </c>
      <c r="C289" s="463" t="s">
        <v>72</v>
      </c>
      <c r="D289" s="469">
        <v>420.0</v>
      </c>
      <c r="E289" s="370">
        <v>1.0</v>
      </c>
      <c r="F289" s="465">
        <f t="shared" si="73"/>
        <v>420</v>
      </c>
      <c r="G289" s="466">
        <f>SUMIF(PURCHASE!$E$3:$E$506,'INVONTERY FEB'!B289:B607,PURCHASE!$H$3:$H$506)</f>
        <v>0</v>
      </c>
      <c r="H289" s="467">
        <f>SUMIF(PURCHASE!$E$3:$E$506,'INVONTERY FEB'!B289:B634,PURCHASE!$I$3:$I$506)</f>
        <v>0</v>
      </c>
      <c r="I289" s="478">
        <f>ISSU!AL289</f>
        <v>0</v>
      </c>
      <c r="J289" s="354">
        <f t="shared" si="74"/>
        <v>0</v>
      </c>
      <c r="K289" s="473">
        <f t="shared" si="75"/>
        <v>1</v>
      </c>
      <c r="L289" s="467">
        <f t="shared" si="76"/>
        <v>420</v>
      </c>
      <c r="M289" s="438">
        <f t="shared" si="77"/>
        <v>420</v>
      </c>
      <c r="N289" s="439">
        <f t="shared" si="78"/>
        <v>0</v>
      </c>
      <c r="O289" s="439">
        <f t="shared" si="79"/>
        <v>0</v>
      </c>
      <c r="P289" s="438">
        <f t="shared" si="80"/>
        <v>0</v>
      </c>
      <c r="Q289" s="479"/>
      <c r="R289" s="109"/>
      <c r="S289" s="97"/>
      <c r="T289" s="168"/>
      <c r="U289" s="168"/>
      <c r="V289" s="362">
        <f t="shared" si="33"/>
        <v>0</v>
      </c>
      <c r="W289" s="109"/>
      <c r="X289" s="109"/>
      <c r="Y289" s="109"/>
      <c r="Z289" s="109"/>
      <c r="AA289" s="109"/>
    </row>
    <row r="290" ht="15.75" hidden="1" customHeight="1" outlineLevel="1">
      <c r="A290" s="431">
        <v>284.0</v>
      </c>
      <c r="B290" s="477" t="s">
        <v>452</v>
      </c>
      <c r="C290" s="463" t="s">
        <v>72</v>
      </c>
      <c r="D290" s="469">
        <v>300.0</v>
      </c>
      <c r="E290" s="370">
        <v>1.0</v>
      </c>
      <c r="F290" s="465">
        <f t="shared" si="73"/>
        <v>300</v>
      </c>
      <c r="G290" s="466">
        <f>SUMIF(PURCHASE!$E$3:$E$506,'INVONTERY FEB'!B290:B608,PURCHASE!$H$3:$H$506)</f>
        <v>0</v>
      </c>
      <c r="H290" s="467">
        <f>SUMIF(PURCHASE!$E$3:$E$506,'INVONTERY FEB'!B290:B635,PURCHASE!$I$3:$I$506)</f>
        <v>0</v>
      </c>
      <c r="I290" s="478">
        <f>ISSU!AL290</f>
        <v>0</v>
      </c>
      <c r="J290" s="354">
        <f t="shared" si="74"/>
        <v>0</v>
      </c>
      <c r="K290" s="473">
        <f t="shared" si="75"/>
        <v>1</v>
      </c>
      <c r="L290" s="467">
        <f t="shared" si="76"/>
        <v>300</v>
      </c>
      <c r="M290" s="438">
        <f t="shared" si="77"/>
        <v>300</v>
      </c>
      <c r="N290" s="439">
        <f t="shared" si="78"/>
        <v>0</v>
      </c>
      <c r="O290" s="439">
        <f t="shared" si="79"/>
        <v>0</v>
      </c>
      <c r="P290" s="438">
        <f t="shared" si="80"/>
        <v>0</v>
      </c>
      <c r="Q290" s="479"/>
      <c r="R290" s="109"/>
      <c r="S290" s="97"/>
      <c r="T290" s="168"/>
      <c r="U290" s="168"/>
      <c r="V290" s="362">
        <f t="shared" si="33"/>
        <v>0</v>
      </c>
      <c r="W290" s="109"/>
      <c r="X290" s="109"/>
      <c r="Y290" s="109"/>
      <c r="Z290" s="109"/>
      <c r="AA290" s="109"/>
    </row>
    <row r="291" ht="15.75" hidden="1" customHeight="1" outlineLevel="1">
      <c r="A291" s="431">
        <v>285.0</v>
      </c>
      <c r="B291" s="477" t="s">
        <v>453</v>
      </c>
      <c r="C291" s="463" t="s">
        <v>72</v>
      </c>
      <c r="D291" s="469">
        <v>375.0</v>
      </c>
      <c r="E291" s="370">
        <v>1.0</v>
      </c>
      <c r="F291" s="465">
        <f t="shared" si="73"/>
        <v>375</v>
      </c>
      <c r="G291" s="466">
        <f>SUMIF(PURCHASE!$E$3:$E$506,'INVONTERY FEB'!B291:B609,PURCHASE!$H$3:$H$506)</f>
        <v>0</v>
      </c>
      <c r="H291" s="467">
        <f>SUMIF(PURCHASE!$E$3:$E$506,'INVONTERY FEB'!B291:B636,PURCHASE!$I$3:$I$506)</f>
        <v>0</v>
      </c>
      <c r="I291" s="478">
        <f>ISSU!AL291</f>
        <v>0</v>
      </c>
      <c r="J291" s="354">
        <f t="shared" si="74"/>
        <v>0</v>
      </c>
      <c r="K291" s="473">
        <f t="shared" si="75"/>
        <v>1</v>
      </c>
      <c r="L291" s="467">
        <f t="shared" si="76"/>
        <v>375</v>
      </c>
      <c r="M291" s="438">
        <f t="shared" si="77"/>
        <v>375</v>
      </c>
      <c r="N291" s="439">
        <f t="shared" si="78"/>
        <v>0</v>
      </c>
      <c r="O291" s="439">
        <f t="shared" si="79"/>
        <v>0</v>
      </c>
      <c r="P291" s="438">
        <f t="shared" si="80"/>
        <v>0</v>
      </c>
      <c r="Q291" s="479"/>
      <c r="R291" s="109"/>
      <c r="S291" s="97"/>
      <c r="T291" s="168"/>
      <c r="U291" s="168"/>
      <c r="V291" s="362">
        <f t="shared" si="33"/>
        <v>0</v>
      </c>
      <c r="W291" s="109"/>
      <c r="X291" s="109"/>
      <c r="Y291" s="109"/>
      <c r="Z291" s="109"/>
      <c r="AA291" s="109"/>
    </row>
    <row r="292" ht="15.75" hidden="1" customHeight="1" outlineLevel="1">
      <c r="A292" s="431">
        <v>286.0</v>
      </c>
      <c r="B292" s="477" t="s">
        <v>454</v>
      </c>
      <c r="C292" s="463" t="s">
        <v>72</v>
      </c>
      <c r="D292" s="469">
        <v>270.0</v>
      </c>
      <c r="E292" s="370">
        <v>1.0</v>
      </c>
      <c r="F292" s="465">
        <f t="shared" si="73"/>
        <v>270</v>
      </c>
      <c r="G292" s="466">
        <f>SUMIF(PURCHASE!$E$3:$E$506,'INVONTERY FEB'!B292:B610,PURCHASE!$H$3:$H$506)</f>
        <v>0</v>
      </c>
      <c r="H292" s="467">
        <f>SUMIF(PURCHASE!$E$3:$E$506,'INVONTERY FEB'!B292:B637,PURCHASE!$I$3:$I$506)</f>
        <v>0</v>
      </c>
      <c r="I292" s="478">
        <f>ISSU!AL292</f>
        <v>0</v>
      </c>
      <c r="J292" s="354">
        <f t="shared" si="74"/>
        <v>0</v>
      </c>
      <c r="K292" s="473">
        <f t="shared" si="75"/>
        <v>1</v>
      </c>
      <c r="L292" s="467">
        <f t="shared" si="76"/>
        <v>270</v>
      </c>
      <c r="M292" s="438">
        <f t="shared" si="77"/>
        <v>270</v>
      </c>
      <c r="N292" s="439">
        <f t="shared" si="78"/>
        <v>0</v>
      </c>
      <c r="O292" s="439">
        <f t="shared" si="79"/>
        <v>0</v>
      </c>
      <c r="P292" s="438">
        <f t="shared" si="80"/>
        <v>0</v>
      </c>
      <c r="Q292" s="479"/>
      <c r="R292" s="109"/>
      <c r="S292" s="97"/>
      <c r="T292" s="168"/>
      <c r="U292" s="168"/>
      <c r="V292" s="362">
        <f t="shared" si="33"/>
        <v>0</v>
      </c>
      <c r="W292" s="109"/>
      <c r="X292" s="109"/>
      <c r="Y292" s="109"/>
      <c r="Z292" s="109"/>
      <c r="AA292" s="109"/>
    </row>
    <row r="293" ht="15.75" hidden="1" customHeight="1" outlineLevel="1">
      <c r="A293" s="431">
        <v>287.0</v>
      </c>
      <c r="B293" s="477" t="s">
        <v>455</v>
      </c>
      <c r="C293" s="463" t="s">
        <v>72</v>
      </c>
      <c r="D293" s="469">
        <v>435.0</v>
      </c>
      <c r="E293" s="370">
        <v>1.0</v>
      </c>
      <c r="F293" s="465">
        <f t="shared" si="73"/>
        <v>435</v>
      </c>
      <c r="G293" s="466">
        <f>SUMIF(PURCHASE!$E$3:$E$506,'INVONTERY FEB'!B293:B611,PURCHASE!$H$3:$H$506)</f>
        <v>0</v>
      </c>
      <c r="H293" s="467">
        <f>SUMIF(PURCHASE!$E$3:$E$506,'INVONTERY FEB'!B293:B638,PURCHASE!$I$3:$I$506)</f>
        <v>0</v>
      </c>
      <c r="I293" s="478">
        <f>ISSU!AL293</f>
        <v>0</v>
      </c>
      <c r="J293" s="354">
        <f t="shared" si="74"/>
        <v>0</v>
      </c>
      <c r="K293" s="473">
        <f t="shared" si="75"/>
        <v>1</v>
      </c>
      <c r="L293" s="467">
        <f t="shared" si="76"/>
        <v>435</v>
      </c>
      <c r="M293" s="438">
        <f t="shared" si="77"/>
        <v>435</v>
      </c>
      <c r="N293" s="439">
        <f t="shared" si="78"/>
        <v>0</v>
      </c>
      <c r="O293" s="439">
        <f t="shared" si="79"/>
        <v>0</v>
      </c>
      <c r="P293" s="438">
        <f t="shared" si="80"/>
        <v>0</v>
      </c>
      <c r="Q293" s="479"/>
      <c r="R293" s="109"/>
      <c r="S293" s="97"/>
      <c r="T293" s="168"/>
      <c r="U293" s="168"/>
      <c r="V293" s="362">
        <f t="shared" si="33"/>
        <v>0</v>
      </c>
      <c r="W293" s="109"/>
      <c r="X293" s="109"/>
      <c r="Y293" s="109"/>
      <c r="Z293" s="109"/>
      <c r="AA293" s="109"/>
    </row>
    <row r="294" ht="15.75" hidden="1" customHeight="1" outlineLevel="1">
      <c r="A294" s="431">
        <v>288.0</v>
      </c>
      <c r="B294" s="477" t="s">
        <v>456</v>
      </c>
      <c r="C294" s="463" t="s">
        <v>72</v>
      </c>
      <c r="D294" s="469">
        <v>255.0</v>
      </c>
      <c r="E294" s="370">
        <v>1.0</v>
      </c>
      <c r="F294" s="465">
        <f t="shared" si="73"/>
        <v>255</v>
      </c>
      <c r="G294" s="466">
        <f>SUMIF(PURCHASE!$E$3:$E$506,'INVONTERY FEB'!B294:B612,PURCHASE!$H$3:$H$506)</f>
        <v>0</v>
      </c>
      <c r="H294" s="467">
        <f>SUMIF(PURCHASE!$E$3:$E$506,'INVONTERY FEB'!B294:B639,PURCHASE!$I$3:$I$506)</f>
        <v>0</v>
      </c>
      <c r="I294" s="478">
        <f>ISSU!AL294</f>
        <v>0</v>
      </c>
      <c r="J294" s="354">
        <f t="shared" si="74"/>
        <v>0</v>
      </c>
      <c r="K294" s="473">
        <f t="shared" si="75"/>
        <v>1</v>
      </c>
      <c r="L294" s="467">
        <f t="shared" si="76"/>
        <v>255</v>
      </c>
      <c r="M294" s="438">
        <f t="shared" si="77"/>
        <v>255</v>
      </c>
      <c r="N294" s="439">
        <f t="shared" si="78"/>
        <v>0</v>
      </c>
      <c r="O294" s="439">
        <f t="shared" si="79"/>
        <v>0</v>
      </c>
      <c r="P294" s="438">
        <f t="shared" si="80"/>
        <v>0</v>
      </c>
      <c r="Q294" s="479"/>
      <c r="R294" s="109"/>
      <c r="S294" s="97"/>
      <c r="T294" s="168"/>
      <c r="U294" s="168"/>
      <c r="V294" s="362">
        <f t="shared" si="33"/>
        <v>0</v>
      </c>
      <c r="W294" s="109"/>
      <c r="X294" s="109"/>
      <c r="Y294" s="109"/>
      <c r="Z294" s="109"/>
      <c r="AA294" s="109"/>
    </row>
    <row r="295" ht="15.75" hidden="1" customHeight="1" outlineLevel="1">
      <c r="A295" s="431">
        <v>289.0</v>
      </c>
      <c r="B295" s="477" t="s">
        <v>457</v>
      </c>
      <c r="C295" s="463" t="s">
        <v>72</v>
      </c>
      <c r="D295" s="469">
        <v>675.0</v>
      </c>
      <c r="E295" s="370">
        <v>1.0</v>
      </c>
      <c r="F295" s="465">
        <f t="shared" si="73"/>
        <v>675</v>
      </c>
      <c r="G295" s="466">
        <f>SUMIF(PURCHASE!$E$3:$E$506,'INVONTERY FEB'!B295:B613,PURCHASE!$H$3:$H$506)</f>
        <v>0</v>
      </c>
      <c r="H295" s="467">
        <f>SUMIF(PURCHASE!$E$3:$E$506,'INVONTERY FEB'!B295:B640,PURCHASE!$I$3:$I$506)</f>
        <v>0</v>
      </c>
      <c r="I295" s="478">
        <f>ISSU!AL295</f>
        <v>0</v>
      </c>
      <c r="J295" s="354">
        <f t="shared" si="74"/>
        <v>0</v>
      </c>
      <c r="K295" s="473">
        <f t="shared" si="75"/>
        <v>1</v>
      </c>
      <c r="L295" s="467">
        <f t="shared" si="76"/>
        <v>675</v>
      </c>
      <c r="M295" s="438">
        <f t="shared" si="77"/>
        <v>675</v>
      </c>
      <c r="N295" s="439">
        <f t="shared" si="78"/>
        <v>0</v>
      </c>
      <c r="O295" s="439">
        <f t="shared" si="79"/>
        <v>0</v>
      </c>
      <c r="P295" s="438">
        <f t="shared" si="80"/>
        <v>0</v>
      </c>
      <c r="Q295" s="479"/>
      <c r="R295" s="109"/>
      <c r="S295" s="97"/>
      <c r="T295" s="210"/>
      <c r="U295" s="210"/>
      <c r="V295" s="362">
        <f t="shared" si="33"/>
        <v>0</v>
      </c>
      <c r="W295" s="109"/>
      <c r="X295" s="109"/>
      <c r="Y295" s="109"/>
      <c r="Z295" s="109"/>
      <c r="AA295" s="109"/>
    </row>
    <row r="296" ht="15.75" hidden="1" customHeight="1" outlineLevel="1">
      <c r="A296" s="431">
        <v>290.0</v>
      </c>
      <c r="B296" s="477" t="s">
        <v>458</v>
      </c>
      <c r="C296" s="463" t="s">
        <v>72</v>
      </c>
      <c r="D296" s="469">
        <v>375.0</v>
      </c>
      <c r="E296" s="370">
        <v>1.0</v>
      </c>
      <c r="F296" s="465">
        <f t="shared" si="73"/>
        <v>375</v>
      </c>
      <c r="G296" s="466">
        <f>SUMIF(PURCHASE!$E$3:$E$506,'INVONTERY FEB'!B296:B614,PURCHASE!$H$3:$H$506)</f>
        <v>0</v>
      </c>
      <c r="H296" s="467">
        <f>SUMIF(PURCHASE!$E$3:$E$506,'INVONTERY FEB'!B296:B641,PURCHASE!$I$3:$I$506)</f>
        <v>0</v>
      </c>
      <c r="I296" s="478">
        <f>ISSU!AL296</f>
        <v>0</v>
      </c>
      <c r="J296" s="354">
        <f t="shared" si="74"/>
        <v>0</v>
      </c>
      <c r="K296" s="473">
        <f t="shared" si="75"/>
        <v>1</v>
      </c>
      <c r="L296" s="467">
        <f t="shared" si="76"/>
        <v>375</v>
      </c>
      <c r="M296" s="438">
        <f t="shared" si="77"/>
        <v>375</v>
      </c>
      <c r="N296" s="439">
        <f t="shared" si="78"/>
        <v>0</v>
      </c>
      <c r="O296" s="439">
        <f t="shared" si="79"/>
        <v>0</v>
      </c>
      <c r="P296" s="438">
        <f t="shared" si="80"/>
        <v>0</v>
      </c>
      <c r="Q296" s="479"/>
      <c r="R296" s="109"/>
      <c r="S296" s="97"/>
      <c r="T296" s="210"/>
      <c r="U296" s="210"/>
      <c r="V296" s="362">
        <f t="shared" si="33"/>
        <v>0</v>
      </c>
      <c r="W296" s="109"/>
      <c r="X296" s="109"/>
      <c r="Y296" s="109"/>
      <c r="Z296" s="109"/>
      <c r="AA296" s="109"/>
    </row>
    <row r="297" ht="15.75" hidden="1" customHeight="1" outlineLevel="1">
      <c r="A297" s="431">
        <v>291.0</v>
      </c>
      <c r="B297" s="477" t="s">
        <v>459</v>
      </c>
      <c r="C297" s="463" t="s">
        <v>72</v>
      </c>
      <c r="D297" s="469">
        <v>290.0</v>
      </c>
      <c r="E297" s="370">
        <v>1.0</v>
      </c>
      <c r="F297" s="465">
        <f t="shared" si="73"/>
        <v>290</v>
      </c>
      <c r="G297" s="466">
        <f>SUMIF(PURCHASE!$E$3:$E$506,'INVONTERY FEB'!B297:B615,PURCHASE!$H$3:$H$506)</f>
        <v>0</v>
      </c>
      <c r="H297" s="467">
        <f>SUMIF(PURCHASE!$E$3:$E$506,'INVONTERY FEB'!B297:B642,PURCHASE!$I$3:$I$506)</f>
        <v>0</v>
      </c>
      <c r="I297" s="478">
        <f>ISSU!AL297</f>
        <v>0</v>
      </c>
      <c r="J297" s="354">
        <f t="shared" si="74"/>
        <v>0</v>
      </c>
      <c r="K297" s="473">
        <f t="shared" si="75"/>
        <v>1</v>
      </c>
      <c r="L297" s="467">
        <f t="shared" si="76"/>
        <v>290</v>
      </c>
      <c r="M297" s="438">
        <f t="shared" si="77"/>
        <v>290</v>
      </c>
      <c r="N297" s="439">
        <f t="shared" si="78"/>
        <v>0</v>
      </c>
      <c r="O297" s="439">
        <f t="shared" si="79"/>
        <v>0</v>
      </c>
      <c r="P297" s="438">
        <f t="shared" si="80"/>
        <v>0</v>
      </c>
      <c r="Q297" s="479"/>
      <c r="R297" s="109"/>
      <c r="S297" s="97"/>
      <c r="T297" s="210"/>
      <c r="U297" s="210"/>
      <c r="V297" s="362">
        <f t="shared" si="33"/>
        <v>0</v>
      </c>
      <c r="W297" s="109"/>
      <c r="X297" s="109"/>
      <c r="Y297" s="109"/>
      <c r="Z297" s="109"/>
      <c r="AA297" s="109"/>
    </row>
    <row r="298" ht="15.75" hidden="1" customHeight="1" outlineLevel="1">
      <c r="A298" s="431">
        <v>292.0</v>
      </c>
      <c r="B298" s="477" t="s">
        <v>460</v>
      </c>
      <c r="C298" s="463" t="s">
        <v>72</v>
      </c>
      <c r="D298" s="469">
        <v>120.0</v>
      </c>
      <c r="E298" s="370">
        <v>1.0</v>
      </c>
      <c r="F298" s="465">
        <f t="shared" si="73"/>
        <v>120</v>
      </c>
      <c r="G298" s="466">
        <f>SUMIF(PURCHASE!$E$3:$E$506,'INVONTERY FEB'!B298:B616,PURCHASE!$H$3:$H$506)</f>
        <v>0</v>
      </c>
      <c r="H298" s="467">
        <f>SUMIF(PURCHASE!$E$3:$E$506,'INVONTERY FEB'!B298:B643,PURCHASE!$I$3:$I$506)</f>
        <v>0</v>
      </c>
      <c r="I298" s="478">
        <f>ISSU!AL298</f>
        <v>0</v>
      </c>
      <c r="J298" s="354">
        <f t="shared" si="74"/>
        <v>0</v>
      </c>
      <c r="K298" s="473">
        <f t="shared" si="75"/>
        <v>1</v>
      </c>
      <c r="L298" s="467">
        <f t="shared" si="76"/>
        <v>120</v>
      </c>
      <c r="M298" s="438">
        <f t="shared" si="77"/>
        <v>120</v>
      </c>
      <c r="N298" s="439">
        <f t="shared" si="78"/>
        <v>0</v>
      </c>
      <c r="O298" s="439">
        <f t="shared" si="79"/>
        <v>0</v>
      </c>
      <c r="P298" s="438">
        <f t="shared" si="80"/>
        <v>0</v>
      </c>
      <c r="Q298" s="479"/>
      <c r="R298" s="109"/>
      <c r="S298" s="97"/>
      <c r="T298" s="210"/>
      <c r="U298" s="210"/>
      <c r="V298" s="362">
        <f t="shared" si="33"/>
        <v>0</v>
      </c>
      <c r="W298" s="109"/>
      <c r="X298" s="109"/>
      <c r="Y298" s="109"/>
      <c r="Z298" s="109"/>
      <c r="AA298" s="109"/>
    </row>
    <row r="299" ht="15.75" hidden="1" customHeight="1" outlineLevel="1">
      <c r="A299" s="431">
        <v>293.0</v>
      </c>
      <c r="B299" s="477" t="s">
        <v>461</v>
      </c>
      <c r="C299" s="463" t="s">
        <v>72</v>
      </c>
      <c r="D299" s="469">
        <v>480.0</v>
      </c>
      <c r="E299" s="370">
        <v>1.0</v>
      </c>
      <c r="F299" s="465">
        <f t="shared" si="73"/>
        <v>480</v>
      </c>
      <c r="G299" s="466">
        <f>SUMIF(PURCHASE!$E$3:$E$506,'INVONTERY FEB'!B299:B617,PURCHASE!$H$3:$H$506)</f>
        <v>0</v>
      </c>
      <c r="H299" s="467">
        <f>SUMIF(PURCHASE!$E$3:$E$506,'INVONTERY FEB'!B299:B644,PURCHASE!$I$3:$I$506)</f>
        <v>0</v>
      </c>
      <c r="I299" s="478">
        <f>ISSU!AL299</f>
        <v>0</v>
      </c>
      <c r="J299" s="354">
        <f t="shared" si="74"/>
        <v>0</v>
      </c>
      <c r="K299" s="473">
        <f t="shared" si="75"/>
        <v>1</v>
      </c>
      <c r="L299" s="467">
        <f t="shared" si="76"/>
        <v>480</v>
      </c>
      <c r="M299" s="438">
        <f t="shared" si="77"/>
        <v>480</v>
      </c>
      <c r="N299" s="439">
        <f t="shared" si="78"/>
        <v>0</v>
      </c>
      <c r="O299" s="439">
        <f t="shared" si="79"/>
        <v>0</v>
      </c>
      <c r="P299" s="438">
        <f t="shared" si="80"/>
        <v>0</v>
      </c>
      <c r="Q299" s="479"/>
      <c r="R299" s="109"/>
      <c r="S299" s="97"/>
      <c r="T299" s="210"/>
      <c r="U299" s="210"/>
      <c r="V299" s="362">
        <f t="shared" si="33"/>
        <v>0</v>
      </c>
      <c r="W299" s="109"/>
      <c r="X299" s="109"/>
      <c r="Y299" s="109"/>
      <c r="Z299" s="109"/>
      <c r="AA299" s="109"/>
    </row>
    <row r="300" ht="15.75" hidden="1" customHeight="1" outlineLevel="1">
      <c r="A300" s="431">
        <v>294.0</v>
      </c>
      <c r="B300" s="477" t="s">
        <v>462</v>
      </c>
      <c r="C300" s="463" t="s">
        <v>72</v>
      </c>
      <c r="D300" s="469">
        <v>675.0</v>
      </c>
      <c r="E300" s="370">
        <v>1.0</v>
      </c>
      <c r="F300" s="465">
        <f t="shared" si="73"/>
        <v>675</v>
      </c>
      <c r="G300" s="466">
        <f>SUMIF(PURCHASE!$E$3:$E$506,'INVONTERY FEB'!B300:B618,PURCHASE!$H$3:$H$506)</f>
        <v>0</v>
      </c>
      <c r="H300" s="467">
        <f>SUMIF(PURCHASE!$E$3:$E$506,'INVONTERY FEB'!B300:B645,PURCHASE!$I$3:$I$506)</f>
        <v>0</v>
      </c>
      <c r="I300" s="478">
        <f>ISSU!AL300</f>
        <v>0</v>
      </c>
      <c r="J300" s="354">
        <f t="shared" si="74"/>
        <v>0</v>
      </c>
      <c r="K300" s="473">
        <f t="shared" si="75"/>
        <v>1</v>
      </c>
      <c r="L300" s="467">
        <f t="shared" si="76"/>
        <v>675</v>
      </c>
      <c r="M300" s="438">
        <f t="shared" si="77"/>
        <v>675</v>
      </c>
      <c r="N300" s="439">
        <f t="shared" si="78"/>
        <v>0</v>
      </c>
      <c r="O300" s="439">
        <f t="shared" si="79"/>
        <v>0</v>
      </c>
      <c r="P300" s="438">
        <f t="shared" si="80"/>
        <v>0</v>
      </c>
      <c r="Q300" s="479"/>
      <c r="R300" s="109"/>
      <c r="S300" s="97"/>
      <c r="T300" s="210"/>
      <c r="U300" s="210"/>
      <c r="V300" s="362">
        <f t="shared" si="33"/>
        <v>0</v>
      </c>
      <c r="W300" s="109"/>
      <c r="X300" s="109"/>
      <c r="Y300" s="109"/>
      <c r="Z300" s="109"/>
      <c r="AA300" s="109"/>
    </row>
    <row r="301" ht="15.75" hidden="1" customHeight="1" outlineLevel="1">
      <c r="A301" s="431">
        <v>295.0</v>
      </c>
      <c r="B301" s="477" t="s">
        <v>463</v>
      </c>
      <c r="C301" s="463" t="s">
        <v>72</v>
      </c>
      <c r="D301" s="469">
        <v>375.0</v>
      </c>
      <c r="E301" s="370">
        <v>1.0</v>
      </c>
      <c r="F301" s="465">
        <f t="shared" si="73"/>
        <v>375</v>
      </c>
      <c r="G301" s="466">
        <f>SUMIF(PURCHASE!$E$3:$E$506,'INVONTERY FEB'!B301:B619,PURCHASE!$H$3:$H$506)</f>
        <v>0</v>
      </c>
      <c r="H301" s="467">
        <f>SUMIF(PURCHASE!$E$3:$E$506,'INVONTERY FEB'!B301:B646,PURCHASE!$I$3:$I$506)</f>
        <v>0</v>
      </c>
      <c r="I301" s="478">
        <f>ISSU!AL301</f>
        <v>0</v>
      </c>
      <c r="J301" s="354">
        <f t="shared" si="74"/>
        <v>0</v>
      </c>
      <c r="K301" s="473">
        <f t="shared" si="75"/>
        <v>1</v>
      </c>
      <c r="L301" s="467">
        <f t="shared" si="76"/>
        <v>375</v>
      </c>
      <c r="M301" s="438">
        <f t="shared" si="77"/>
        <v>375</v>
      </c>
      <c r="N301" s="439">
        <f t="shared" si="78"/>
        <v>0</v>
      </c>
      <c r="O301" s="439">
        <f t="shared" si="79"/>
        <v>0</v>
      </c>
      <c r="P301" s="438">
        <f t="shared" si="80"/>
        <v>0</v>
      </c>
      <c r="Q301" s="479"/>
      <c r="R301" s="109"/>
      <c r="S301" s="97"/>
      <c r="T301" s="210"/>
      <c r="U301" s="210"/>
      <c r="V301" s="362">
        <f t="shared" si="33"/>
        <v>0</v>
      </c>
      <c r="W301" s="109"/>
      <c r="X301" s="109"/>
      <c r="Y301" s="109"/>
      <c r="Z301" s="109"/>
      <c r="AA301" s="109"/>
    </row>
    <row r="302" ht="15.75" hidden="1" customHeight="1" outlineLevel="1">
      <c r="A302" s="431">
        <v>296.0</v>
      </c>
      <c r="B302" s="477" t="s">
        <v>464</v>
      </c>
      <c r="C302" s="463" t="s">
        <v>72</v>
      </c>
      <c r="D302" s="469">
        <v>300.0</v>
      </c>
      <c r="E302" s="370">
        <v>1.0</v>
      </c>
      <c r="F302" s="465">
        <f t="shared" si="73"/>
        <v>300</v>
      </c>
      <c r="G302" s="466">
        <f>SUMIF(PURCHASE!$E$3:$E$506,'INVONTERY FEB'!B302:B620,PURCHASE!$H$3:$H$506)</f>
        <v>0</v>
      </c>
      <c r="H302" s="467">
        <f>SUMIF(PURCHASE!$E$3:$E$506,'INVONTERY FEB'!B302:B647,PURCHASE!$I$3:$I$506)</f>
        <v>0</v>
      </c>
      <c r="I302" s="478">
        <f>ISSU!AL302</f>
        <v>0</v>
      </c>
      <c r="J302" s="354">
        <f t="shared" si="74"/>
        <v>0</v>
      </c>
      <c r="K302" s="473">
        <f t="shared" si="75"/>
        <v>1</v>
      </c>
      <c r="L302" s="467">
        <f t="shared" si="76"/>
        <v>300</v>
      </c>
      <c r="M302" s="438">
        <f t="shared" si="77"/>
        <v>300</v>
      </c>
      <c r="N302" s="439">
        <f t="shared" si="78"/>
        <v>0</v>
      </c>
      <c r="O302" s="439">
        <f t="shared" si="79"/>
        <v>0</v>
      </c>
      <c r="P302" s="438">
        <f t="shared" si="80"/>
        <v>0</v>
      </c>
      <c r="Q302" s="479"/>
      <c r="R302" s="109"/>
      <c r="S302" s="97"/>
      <c r="T302" s="210"/>
      <c r="U302" s="210"/>
      <c r="V302" s="362">
        <f t="shared" si="33"/>
        <v>0</v>
      </c>
      <c r="W302" s="109"/>
      <c r="X302" s="109"/>
      <c r="Y302" s="109"/>
      <c r="Z302" s="109"/>
      <c r="AA302" s="109"/>
    </row>
    <row r="303" ht="15.75" hidden="1" customHeight="1" outlineLevel="1">
      <c r="A303" s="431">
        <v>297.0</v>
      </c>
      <c r="B303" s="477" t="s">
        <v>465</v>
      </c>
      <c r="C303" s="463" t="s">
        <v>72</v>
      </c>
      <c r="D303" s="469">
        <v>300.0</v>
      </c>
      <c r="E303" s="370">
        <v>1.0</v>
      </c>
      <c r="F303" s="465">
        <f t="shared" si="73"/>
        <v>300</v>
      </c>
      <c r="G303" s="466">
        <f>SUMIF(PURCHASE!$E$3:$E$506,'INVONTERY FEB'!B303:B621,PURCHASE!$H$3:$H$506)</f>
        <v>0</v>
      </c>
      <c r="H303" s="467">
        <f>SUMIF(PURCHASE!$E$3:$E$506,'INVONTERY FEB'!B303:B648,PURCHASE!$I$3:$I$506)</f>
        <v>0</v>
      </c>
      <c r="I303" s="478">
        <f>ISSU!AL303</f>
        <v>0</v>
      </c>
      <c r="J303" s="354">
        <f t="shared" si="74"/>
        <v>0</v>
      </c>
      <c r="K303" s="473">
        <f t="shared" si="75"/>
        <v>1</v>
      </c>
      <c r="L303" s="467">
        <f t="shared" si="76"/>
        <v>300</v>
      </c>
      <c r="M303" s="438">
        <f t="shared" si="77"/>
        <v>300</v>
      </c>
      <c r="N303" s="439">
        <f t="shared" si="78"/>
        <v>0</v>
      </c>
      <c r="O303" s="439">
        <f t="shared" si="79"/>
        <v>0</v>
      </c>
      <c r="P303" s="438">
        <f t="shared" si="80"/>
        <v>0</v>
      </c>
      <c r="Q303" s="479"/>
      <c r="R303" s="109"/>
      <c r="S303" s="97"/>
      <c r="T303" s="210"/>
      <c r="U303" s="210"/>
      <c r="V303" s="362">
        <f t="shared" si="33"/>
        <v>0</v>
      </c>
      <c r="W303" s="109"/>
      <c r="X303" s="109"/>
      <c r="Y303" s="109"/>
      <c r="Z303" s="109"/>
      <c r="AA303" s="109"/>
    </row>
    <row r="304" ht="15.75" hidden="1" customHeight="1" outlineLevel="1">
      <c r="A304" s="431">
        <v>298.0</v>
      </c>
      <c r="B304" s="477" t="s">
        <v>466</v>
      </c>
      <c r="C304" s="463" t="s">
        <v>72</v>
      </c>
      <c r="D304" s="469">
        <v>360.0</v>
      </c>
      <c r="E304" s="370">
        <v>1.0</v>
      </c>
      <c r="F304" s="465">
        <f t="shared" si="73"/>
        <v>360</v>
      </c>
      <c r="G304" s="466">
        <f>SUMIF(PURCHASE!$E$3:$E$506,'INVONTERY FEB'!B304:B622,PURCHASE!$H$3:$H$506)</f>
        <v>0</v>
      </c>
      <c r="H304" s="467">
        <f>SUMIF(PURCHASE!$E$3:$E$506,'INVONTERY FEB'!B304:B649,PURCHASE!$I$3:$I$506)</f>
        <v>0</v>
      </c>
      <c r="I304" s="478">
        <f>ISSU!AL304</f>
        <v>0</v>
      </c>
      <c r="J304" s="354">
        <f t="shared" si="74"/>
        <v>0</v>
      </c>
      <c r="K304" s="473">
        <f t="shared" si="75"/>
        <v>1</v>
      </c>
      <c r="L304" s="467">
        <f t="shared" si="76"/>
        <v>360</v>
      </c>
      <c r="M304" s="438">
        <f t="shared" si="77"/>
        <v>360</v>
      </c>
      <c r="N304" s="439">
        <f t="shared" si="78"/>
        <v>0</v>
      </c>
      <c r="O304" s="439">
        <f t="shared" si="79"/>
        <v>0</v>
      </c>
      <c r="P304" s="438">
        <f t="shared" si="80"/>
        <v>0</v>
      </c>
      <c r="Q304" s="479"/>
      <c r="R304" s="109"/>
      <c r="S304" s="97"/>
      <c r="T304" s="210"/>
      <c r="U304" s="210"/>
      <c r="V304" s="362">
        <f t="shared" si="33"/>
        <v>0</v>
      </c>
      <c r="W304" s="109"/>
      <c r="X304" s="109"/>
      <c r="Y304" s="109"/>
      <c r="Z304" s="109"/>
      <c r="AA304" s="109"/>
    </row>
    <row r="305" ht="15.75" hidden="1" customHeight="1" outlineLevel="1">
      <c r="A305" s="431">
        <v>299.0</v>
      </c>
      <c r="B305" s="477" t="s">
        <v>467</v>
      </c>
      <c r="C305" s="463" t="s">
        <v>72</v>
      </c>
      <c r="D305" s="469">
        <v>900.0</v>
      </c>
      <c r="E305" s="370">
        <v>0.0</v>
      </c>
      <c r="F305" s="465">
        <f t="shared" si="73"/>
        <v>0</v>
      </c>
      <c r="G305" s="466">
        <f>SUMIF(PURCHASE!$E$3:$E$506,'INVONTERY FEB'!B305:B623,PURCHASE!$H$3:$H$506)</f>
        <v>0</v>
      </c>
      <c r="H305" s="467">
        <f>SUMIF(PURCHASE!$E$3:$E$506,'INVONTERY FEB'!B305:B650,PURCHASE!$I$3:$I$506)</f>
        <v>0</v>
      </c>
      <c r="I305" s="478">
        <f>ISSU!AL305</f>
        <v>0</v>
      </c>
      <c r="J305" s="354">
        <f t="shared" si="74"/>
        <v>0</v>
      </c>
      <c r="K305" s="473">
        <f t="shared" si="75"/>
        <v>0</v>
      </c>
      <c r="L305" s="467">
        <f t="shared" si="76"/>
        <v>0</v>
      </c>
      <c r="M305" s="438">
        <f t="shared" si="77"/>
        <v>900</v>
      </c>
      <c r="N305" s="439">
        <f t="shared" si="78"/>
        <v>0</v>
      </c>
      <c r="O305" s="439">
        <f t="shared" si="79"/>
        <v>0</v>
      </c>
      <c r="P305" s="438">
        <f t="shared" si="80"/>
        <v>0</v>
      </c>
      <c r="Q305" s="479"/>
      <c r="R305" s="109"/>
      <c r="S305" s="97"/>
      <c r="T305" s="210"/>
      <c r="U305" s="210"/>
      <c r="V305" s="362">
        <f t="shared" si="33"/>
        <v>0</v>
      </c>
      <c r="W305" s="109"/>
      <c r="X305" s="109"/>
      <c r="Y305" s="109"/>
      <c r="Z305" s="109"/>
      <c r="AA305" s="109"/>
    </row>
    <row r="306" ht="15.75" hidden="1" customHeight="1" outlineLevel="1">
      <c r="A306" s="431">
        <v>300.0</v>
      </c>
      <c r="B306" s="477" t="s">
        <v>468</v>
      </c>
      <c r="C306" s="463" t="s">
        <v>245</v>
      </c>
      <c r="D306" s="469">
        <v>22950.0</v>
      </c>
      <c r="E306" s="370">
        <v>1.0</v>
      </c>
      <c r="F306" s="465">
        <f t="shared" si="73"/>
        <v>22950</v>
      </c>
      <c r="G306" s="466">
        <f>SUMIF(PURCHASE!$E$3:$E$506,'INVONTERY FEB'!B306:B624,PURCHASE!$H$3:$H$506)</f>
        <v>0</v>
      </c>
      <c r="H306" s="467">
        <f>SUMIF(PURCHASE!$E$3:$E$506,'INVONTERY FEB'!B306:B651,PURCHASE!$I$3:$I$506)</f>
        <v>0</v>
      </c>
      <c r="I306" s="478">
        <f>ISSU!AL306</f>
        <v>0</v>
      </c>
      <c r="J306" s="354">
        <f t="shared" si="74"/>
        <v>0</v>
      </c>
      <c r="K306" s="473">
        <f t="shared" si="75"/>
        <v>1</v>
      </c>
      <c r="L306" s="467">
        <f t="shared" si="76"/>
        <v>22950</v>
      </c>
      <c r="M306" s="438">
        <f t="shared" si="77"/>
        <v>22950</v>
      </c>
      <c r="N306" s="439">
        <f t="shared" si="78"/>
        <v>0</v>
      </c>
      <c r="O306" s="439">
        <f t="shared" si="79"/>
        <v>0</v>
      </c>
      <c r="P306" s="438">
        <f t="shared" si="80"/>
        <v>0</v>
      </c>
      <c r="Q306" s="479"/>
      <c r="R306" s="109"/>
      <c r="S306" s="97"/>
      <c r="T306" s="210"/>
      <c r="U306" s="210"/>
      <c r="V306" s="362">
        <f t="shared" si="33"/>
        <v>0</v>
      </c>
      <c r="W306" s="109"/>
      <c r="X306" s="109"/>
      <c r="Y306" s="109"/>
      <c r="Z306" s="109"/>
      <c r="AA306" s="109"/>
    </row>
    <row r="307" ht="15.75" hidden="1" customHeight="1" outlineLevel="1">
      <c r="A307" s="431">
        <v>301.0</v>
      </c>
      <c r="B307" s="477" t="s">
        <v>469</v>
      </c>
      <c r="C307" s="463" t="s">
        <v>72</v>
      </c>
      <c r="D307" s="469">
        <v>0.0</v>
      </c>
      <c r="E307" s="370">
        <v>0.0</v>
      </c>
      <c r="F307" s="465">
        <f t="shared" si="73"/>
        <v>0</v>
      </c>
      <c r="G307" s="466">
        <f>SUMIF(PURCHASE!$E$3:$E$506,'INVONTERY FEB'!B307:B625,PURCHASE!$H$3:$H$506)</f>
        <v>0</v>
      </c>
      <c r="H307" s="467">
        <f>SUMIF(PURCHASE!$E$3:$E$506,'INVONTERY FEB'!B307:B652,PURCHASE!$I$3:$I$506)</f>
        <v>0</v>
      </c>
      <c r="I307" s="478">
        <f>ISSU!AL307</f>
        <v>0</v>
      </c>
      <c r="J307" s="354">
        <f t="shared" si="74"/>
        <v>0</v>
      </c>
      <c r="K307" s="473">
        <f t="shared" si="75"/>
        <v>0</v>
      </c>
      <c r="L307" s="467">
        <f t="shared" si="76"/>
        <v>0</v>
      </c>
      <c r="M307" s="438">
        <f t="shared" si="77"/>
        <v>0</v>
      </c>
      <c r="N307" s="439">
        <f t="shared" si="78"/>
        <v>0</v>
      </c>
      <c r="O307" s="439">
        <f t="shared" si="79"/>
        <v>0</v>
      </c>
      <c r="P307" s="438">
        <f t="shared" si="80"/>
        <v>0</v>
      </c>
      <c r="Q307" s="479"/>
      <c r="R307" s="109"/>
      <c r="S307" s="97"/>
      <c r="T307" s="210"/>
      <c r="U307" s="210"/>
      <c r="V307" s="362">
        <f t="shared" si="33"/>
        <v>0</v>
      </c>
      <c r="W307" s="109"/>
      <c r="X307" s="109"/>
      <c r="Y307" s="109"/>
      <c r="Z307" s="109"/>
      <c r="AA307" s="109"/>
    </row>
    <row r="308" ht="15.75" hidden="1" customHeight="1" outlineLevel="1">
      <c r="A308" s="431">
        <v>302.0</v>
      </c>
      <c r="B308" s="477" t="s">
        <v>470</v>
      </c>
      <c r="C308" s="463" t="s">
        <v>72</v>
      </c>
      <c r="D308" s="469">
        <v>0.0</v>
      </c>
      <c r="E308" s="370">
        <v>0.0</v>
      </c>
      <c r="F308" s="465">
        <f t="shared" si="73"/>
        <v>0</v>
      </c>
      <c r="G308" s="466">
        <f>SUMIF(PURCHASE!$E$3:$E$506,'INVONTERY FEB'!B308:B626,PURCHASE!$H$3:$H$506)</f>
        <v>0</v>
      </c>
      <c r="H308" s="467">
        <f>SUMIF(PURCHASE!$E$3:$E$506,'INVONTERY FEB'!B308:B653,PURCHASE!$I$3:$I$506)</f>
        <v>0</v>
      </c>
      <c r="I308" s="478">
        <f>ISSU!AL308</f>
        <v>0</v>
      </c>
      <c r="J308" s="354">
        <f t="shared" si="74"/>
        <v>0</v>
      </c>
      <c r="K308" s="473">
        <f t="shared" si="75"/>
        <v>0</v>
      </c>
      <c r="L308" s="467">
        <f t="shared" si="76"/>
        <v>0</v>
      </c>
      <c r="M308" s="438">
        <f t="shared" si="77"/>
        <v>0</v>
      </c>
      <c r="N308" s="439">
        <f t="shared" si="78"/>
        <v>0</v>
      </c>
      <c r="O308" s="439">
        <f t="shared" si="79"/>
        <v>0</v>
      </c>
      <c r="P308" s="438">
        <f t="shared" si="80"/>
        <v>0</v>
      </c>
      <c r="Q308" s="479"/>
      <c r="R308" s="109"/>
      <c r="S308" s="97"/>
      <c r="T308" s="210"/>
      <c r="U308" s="210"/>
      <c r="V308" s="362">
        <f t="shared" si="33"/>
        <v>0</v>
      </c>
      <c r="W308" s="109"/>
      <c r="X308" s="109"/>
      <c r="Y308" s="109"/>
      <c r="Z308" s="109"/>
      <c r="AA308" s="109"/>
    </row>
    <row r="309" ht="15.75" hidden="1" customHeight="1" outlineLevel="1">
      <c r="A309" s="431">
        <v>303.0</v>
      </c>
      <c r="B309" s="477" t="s">
        <v>471</v>
      </c>
      <c r="C309" s="463" t="s">
        <v>190</v>
      </c>
      <c r="D309" s="469">
        <v>450.0</v>
      </c>
      <c r="E309" s="370">
        <v>1.0</v>
      </c>
      <c r="F309" s="465">
        <f t="shared" si="73"/>
        <v>450</v>
      </c>
      <c r="G309" s="466">
        <f>SUMIF(PURCHASE!$E$3:$E$506,'INVONTERY FEB'!B309:B627,PURCHASE!$H$3:$H$506)</f>
        <v>0</v>
      </c>
      <c r="H309" s="467">
        <f>SUMIF(PURCHASE!$E$3:$E$506,'INVONTERY FEB'!B309:B654,PURCHASE!$I$3:$I$506)</f>
        <v>0</v>
      </c>
      <c r="I309" s="478">
        <f>ISSU!AL309</f>
        <v>0</v>
      </c>
      <c r="J309" s="354">
        <f t="shared" si="74"/>
        <v>0</v>
      </c>
      <c r="K309" s="473">
        <f t="shared" si="75"/>
        <v>1</v>
      </c>
      <c r="L309" s="467">
        <f t="shared" si="76"/>
        <v>450</v>
      </c>
      <c r="M309" s="438">
        <f t="shared" si="77"/>
        <v>450</v>
      </c>
      <c r="N309" s="439">
        <f t="shared" si="78"/>
        <v>0</v>
      </c>
      <c r="O309" s="439">
        <f t="shared" si="79"/>
        <v>0</v>
      </c>
      <c r="P309" s="438">
        <f t="shared" si="80"/>
        <v>0</v>
      </c>
      <c r="Q309" s="479"/>
      <c r="R309" s="109"/>
      <c r="S309" s="97"/>
      <c r="T309" s="210"/>
      <c r="U309" s="210"/>
      <c r="V309" s="362">
        <f t="shared" si="33"/>
        <v>0</v>
      </c>
      <c r="W309" s="109"/>
      <c r="X309" s="109"/>
      <c r="Y309" s="109"/>
      <c r="Z309" s="109"/>
      <c r="AA309" s="109"/>
    </row>
    <row r="310" ht="15.75" hidden="1" customHeight="1" outlineLevel="1">
      <c r="A310" s="431">
        <v>304.0</v>
      </c>
      <c r="B310" s="477" t="s">
        <v>472</v>
      </c>
      <c r="C310" s="463" t="s">
        <v>72</v>
      </c>
      <c r="D310" s="469">
        <v>1600.0</v>
      </c>
      <c r="E310" s="370">
        <v>0.0</v>
      </c>
      <c r="F310" s="465">
        <f t="shared" si="73"/>
        <v>0</v>
      </c>
      <c r="G310" s="466">
        <f>SUMIF(PURCHASE!$E$3:$E$506,'INVONTERY FEB'!B310:B623,PURCHASE!$H$3:$H$506)</f>
        <v>0</v>
      </c>
      <c r="H310" s="467">
        <f>SUMIF(PURCHASE!$E$3:$E$506,'INVONTERY FEB'!B310:B650,PURCHASE!$I$3:$I$506)</f>
        <v>0</v>
      </c>
      <c r="I310" s="478">
        <f>ISSU!AL310</f>
        <v>0</v>
      </c>
      <c r="J310" s="354">
        <f t="shared" si="74"/>
        <v>0</v>
      </c>
      <c r="K310" s="473">
        <f t="shared" si="75"/>
        <v>0</v>
      </c>
      <c r="L310" s="467">
        <f t="shared" si="76"/>
        <v>0</v>
      </c>
      <c r="M310" s="438">
        <f t="shared" si="77"/>
        <v>1600</v>
      </c>
      <c r="N310" s="439">
        <f t="shared" si="78"/>
        <v>0</v>
      </c>
      <c r="O310" s="439">
        <f t="shared" si="79"/>
        <v>0</v>
      </c>
      <c r="P310" s="438">
        <f t="shared" si="80"/>
        <v>0</v>
      </c>
      <c r="Q310" s="479"/>
      <c r="R310" s="109"/>
      <c r="S310" s="97"/>
      <c r="T310" s="210"/>
      <c r="U310" s="210"/>
      <c r="V310" s="362">
        <f t="shared" si="33"/>
        <v>0</v>
      </c>
      <c r="W310" s="109"/>
      <c r="X310" s="109"/>
      <c r="Y310" s="109"/>
      <c r="Z310" s="109"/>
      <c r="AA310" s="109"/>
    </row>
    <row r="311" outlineLevel="1">
      <c r="A311" s="431">
        <v>305.0</v>
      </c>
      <c r="B311" s="477" t="s">
        <v>473</v>
      </c>
      <c r="C311" s="463" t="s">
        <v>72</v>
      </c>
      <c r="D311" s="469">
        <v>200.0</v>
      </c>
      <c r="E311" s="370">
        <v>0.0</v>
      </c>
      <c r="F311" s="465">
        <f t="shared" si="73"/>
        <v>0</v>
      </c>
      <c r="G311" s="466">
        <f>SUMIF(PURCHASE!$E$3:$E$506,'INVONTERY FEB'!B311:B619,PURCHASE!$H$3:$H$506)</f>
        <v>0</v>
      </c>
      <c r="H311" s="467">
        <f>SUMIF(PURCHASE!$E$3:$E$506,'INVONTERY FEB'!B311:B646,PURCHASE!$I$3:$I$506)</f>
        <v>0</v>
      </c>
      <c r="I311" s="478">
        <f>ISSU!AL311</f>
        <v>0</v>
      </c>
      <c r="J311" s="354">
        <f t="shared" si="74"/>
        <v>0</v>
      </c>
      <c r="K311" s="473">
        <f t="shared" si="75"/>
        <v>0</v>
      </c>
      <c r="L311" s="467">
        <f t="shared" si="76"/>
        <v>0</v>
      </c>
      <c r="M311" s="438">
        <f t="shared" si="77"/>
        <v>200</v>
      </c>
      <c r="N311" s="439">
        <f t="shared" si="78"/>
        <v>0</v>
      </c>
      <c r="O311" s="439">
        <f t="shared" si="79"/>
        <v>0</v>
      </c>
      <c r="P311" s="438">
        <f t="shared" si="80"/>
        <v>0</v>
      </c>
      <c r="Q311" s="479"/>
      <c r="R311" s="109"/>
      <c r="S311" s="97"/>
      <c r="T311" s="210"/>
      <c r="U311" s="210"/>
      <c r="V311" s="362">
        <f t="shared" si="33"/>
        <v>0</v>
      </c>
      <c r="W311" s="109"/>
      <c r="X311" s="109"/>
      <c r="Y311" s="109"/>
      <c r="Z311" s="109"/>
      <c r="AA311" s="109"/>
    </row>
    <row r="312" ht="6.0" customHeight="1">
      <c r="A312" s="431">
        <v>306.0</v>
      </c>
      <c r="B312" s="477" t="s">
        <v>474</v>
      </c>
      <c r="C312" s="463" t="s">
        <v>72</v>
      </c>
      <c r="D312" s="469">
        <v>140.0</v>
      </c>
      <c r="E312" s="370">
        <v>0.0</v>
      </c>
      <c r="F312" s="465">
        <f t="shared" si="73"/>
        <v>0</v>
      </c>
      <c r="G312" s="466">
        <f>SUMIF(PURCHASE!$E$3:$E$506,'INVONTERY FEB'!B312:B620,PURCHASE!$H$3:$H$506)</f>
        <v>0</v>
      </c>
      <c r="H312" s="467">
        <f>SUMIF(PURCHASE!$E$3:$E$506,'INVONTERY FEB'!B312:B647,PURCHASE!$I$3:$I$506)</f>
        <v>0</v>
      </c>
      <c r="I312" s="478">
        <f>ISSU!AL312</f>
        <v>0</v>
      </c>
      <c r="J312" s="354">
        <f t="shared" si="74"/>
        <v>0</v>
      </c>
      <c r="K312" s="473">
        <f t="shared" si="75"/>
        <v>0</v>
      </c>
      <c r="L312" s="467">
        <f t="shared" si="76"/>
        <v>0</v>
      </c>
      <c r="M312" s="438">
        <f t="shared" si="77"/>
        <v>140</v>
      </c>
      <c r="N312" s="439">
        <f t="shared" si="78"/>
        <v>0</v>
      </c>
      <c r="O312" s="439">
        <f t="shared" si="79"/>
        <v>0</v>
      </c>
      <c r="P312" s="438">
        <f t="shared" si="80"/>
        <v>0</v>
      </c>
      <c r="Q312" s="479"/>
      <c r="R312" s="407"/>
      <c r="S312" s="97"/>
      <c r="T312" s="210"/>
      <c r="U312" s="210"/>
      <c r="V312" s="362">
        <f t="shared" si="33"/>
        <v>0</v>
      </c>
      <c r="W312" s="109"/>
      <c r="X312" s="109"/>
      <c r="Y312" s="109"/>
      <c r="Z312" s="109"/>
      <c r="AA312" s="109"/>
    </row>
    <row r="313" ht="15.75" customHeight="1">
      <c r="A313" s="403">
        <v>307.0</v>
      </c>
      <c r="B313" s="480" t="s">
        <v>475</v>
      </c>
      <c r="C313" s="404"/>
      <c r="D313" s="404"/>
      <c r="E313" s="404"/>
      <c r="F313" s="472">
        <f t="shared" ref="F313:Q313" si="81">SUM(F208:F312)</f>
        <v>85394</v>
      </c>
      <c r="G313" s="472">
        <f t="shared" si="81"/>
        <v>0</v>
      </c>
      <c r="H313" s="472">
        <f t="shared" si="81"/>
        <v>0</v>
      </c>
      <c r="I313" s="472">
        <f t="shared" si="81"/>
        <v>0</v>
      </c>
      <c r="J313" s="472">
        <f t="shared" si="81"/>
        <v>0</v>
      </c>
      <c r="K313" s="472">
        <f t="shared" si="81"/>
        <v>109</v>
      </c>
      <c r="L313" s="472">
        <f t="shared" si="81"/>
        <v>85394</v>
      </c>
      <c r="M313" s="472">
        <f t="shared" si="81"/>
        <v>85044</v>
      </c>
      <c r="N313" s="472">
        <f t="shared" si="81"/>
        <v>0</v>
      </c>
      <c r="O313" s="472">
        <f t="shared" si="81"/>
        <v>0</v>
      </c>
      <c r="P313" s="472">
        <f t="shared" si="81"/>
        <v>0</v>
      </c>
      <c r="Q313" s="472">
        <f t="shared" si="81"/>
        <v>0</v>
      </c>
      <c r="R313" s="109"/>
      <c r="S313" s="97"/>
      <c r="T313" s="210"/>
      <c r="U313" s="210"/>
      <c r="V313" s="362">
        <f t="shared" si="33"/>
        <v>0</v>
      </c>
      <c r="W313" s="109"/>
      <c r="X313" s="109"/>
      <c r="Y313" s="109"/>
      <c r="Z313" s="109"/>
      <c r="AA313" s="109"/>
    </row>
    <row r="314" ht="15.75" customHeight="1" outlineLevel="1">
      <c r="A314" s="403">
        <v>308.0</v>
      </c>
      <c r="B314" s="480" t="s">
        <v>476</v>
      </c>
      <c r="C314" s="404"/>
      <c r="D314" s="404">
        <v>0.0</v>
      </c>
      <c r="E314" s="352"/>
      <c r="F314" s="455">
        <f t="shared" ref="F314:F324" si="82">E314*D314</f>
        <v>0</v>
      </c>
      <c r="G314" s="108">
        <f>SUMIF(PURCHASE!$E$3:$E$506,'INVONTERY FEB'!B314:B515,PURCHASE!$H$3:$H$506)</f>
        <v>0</v>
      </c>
      <c r="H314" s="438">
        <f>SUMIF(PURCHASE!$E$3:$E$506,'INVONTERY FEB'!B314:B542,PURCHASE!$I$3:$I$506)</f>
        <v>0</v>
      </c>
      <c r="I314" s="354">
        <f>ISSU!AL314</f>
        <v>0</v>
      </c>
      <c r="J314" s="354">
        <f t="shared" ref="J314:J324" si="83">I314/28</f>
        <v>0</v>
      </c>
      <c r="K314" s="380">
        <f t="shared" ref="K314:K324" si="84">E314+G314-I314</f>
        <v>0</v>
      </c>
      <c r="L314" s="438">
        <f t="shared" ref="L314:L324" si="85">K314*M314</f>
        <v>0</v>
      </c>
      <c r="M314" s="438">
        <f t="shared" ref="M314:M324" si="86">D314</f>
        <v>0</v>
      </c>
      <c r="N314" s="436">
        <v>0.0</v>
      </c>
      <c r="O314" s="439">
        <f t="shared" ref="O314:O324" si="87">N314*I314</f>
        <v>0</v>
      </c>
      <c r="P314" s="435">
        <f t="shared" ref="P314:P324" si="88">F314+H314-L314</f>
        <v>0</v>
      </c>
      <c r="Q314" s="434" t="s">
        <v>175</v>
      </c>
      <c r="R314" s="109"/>
      <c r="S314" s="97"/>
      <c r="T314" s="210"/>
      <c r="U314" s="210"/>
      <c r="V314" s="362">
        <f t="shared" si="33"/>
        <v>0</v>
      </c>
      <c r="W314" s="109"/>
      <c r="X314" s="109"/>
      <c r="Y314" s="109"/>
      <c r="Z314" s="109"/>
      <c r="AA314" s="109"/>
    </row>
    <row r="315" ht="15.75" customHeight="1" outlineLevel="1">
      <c r="A315" s="431">
        <v>309.0</v>
      </c>
      <c r="B315" s="393" t="s">
        <v>477</v>
      </c>
      <c r="C315" s="393" t="s">
        <v>72</v>
      </c>
      <c r="D315" s="431">
        <v>780.0</v>
      </c>
      <c r="E315" s="370">
        <v>0.0</v>
      </c>
      <c r="F315" s="455">
        <f t="shared" si="82"/>
        <v>0</v>
      </c>
      <c r="G315" s="108">
        <f>SUMIF(PURCHASE!$E$3:$E$506,'INVONTERY FEB'!B315:B516,PURCHASE!$H$3:$H$506)</f>
        <v>0</v>
      </c>
      <c r="H315" s="438">
        <f>SUMIF(PURCHASE!$E$3:$E$506,'INVONTERY FEB'!B315:B543,PURCHASE!$I$3:$I$506)</f>
        <v>0</v>
      </c>
      <c r="I315" s="354">
        <f>ISSU!AL315</f>
        <v>0</v>
      </c>
      <c r="J315" s="354">
        <f t="shared" si="83"/>
        <v>0</v>
      </c>
      <c r="K315" s="380">
        <f t="shared" si="84"/>
        <v>0</v>
      </c>
      <c r="L315" s="438">
        <f t="shared" si="85"/>
        <v>0</v>
      </c>
      <c r="M315" s="438">
        <f t="shared" si="86"/>
        <v>780</v>
      </c>
      <c r="N315" s="439">
        <f t="shared" ref="N315:N324" si="89">M315-D315</f>
        <v>0</v>
      </c>
      <c r="O315" s="439">
        <f t="shared" si="87"/>
        <v>0</v>
      </c>
      <c r="P315" s="438">
        <f t="shared" si="88"/>
        <v>0</v>
      </c>
      <c r="Q315" s="108" t="s">
        <v>175</v>
      </c>
      <c r="R315" s="109"/>
      <c r="S315" s="97"/>
      <c r="T315" s="210"/>
      <c r="U315" s="210"/>
      <c r="V315" s="362">
        <f t="shared" si="33"/>
        <v>0</v>
      </c>
      <c r="W315" s="109"/>
      <c r="X315" s="109"/>
      <c r="Y315" s="109"/>
      <c r="Z315" s="109"/>
      <c r="AA315" s="109"/>
    </row>
    <row r="316" ht="15.75" customHeight="1" outlineLevel="1">
      <c r="A316" s="431">
        <v>310.0</v>
      </c>
      <c r="B316" s="393" t="s">
        <v>478</v>
      </c>
      <c r="C316" s="393" t="s">
        <v>72</v>
      </c>
      <c r="D316" s="431">
        <v>260.0</v>
      </c>
      <c r="E316" s="370">
        <v>0.0</v>
      </c>
      <c r="F316" s="455">
        <f t="shared" si="82"/>
        <v>0</v>
      </c>
      <c r="G316" s="108">
        <f>SUMIF(PURCHASE!$E$3:$E$506,'INVONTERY FEB'!B316:B517,PURCHASE!$H$3:$H$506)</f>
        <v>0</v>
      </c>
      <c r="H316" s="438">
        <f>SUMIF(PURCHASE!$E$3:$E$506,'INVONTERY FEB'!B316:B544,PURCHASE!$I$3:$I$506)</f>
        <v>0</v>
      </c>
      <c r="I316" s="354">
        <f>ISSU!AL316</f>
        <v>0</v>
      </c>
      <c r="J316" s="354">
        <f t="shared" si="83"/>
        <v>0</v>
      </c>
      <c r="K316" s="380">
        <f t="shared" si="84"/>
        <v>0</v>
      </c>
      <c r="L316" s="438">
        <f t="shared" si="85"/>
        <v>0</v>
      </c>
      <c r="M316" s="438">
        <f t="shared" si="86"/>
        <v>260</v>
      </c>
      <c r="N316" s="439">
        <f t="shared" si="89"/>
        <v>0</v>
      </c>
      <c r="O316" s="439">
        <f t="shared" si="87"/>
        <v>0</v>
      </c>
      <c r="P316" s="438">
        <f t="shared" si="88"/>
        <v>0</v>
      </c>
      <c r="Q316" s="108" t="s">
        <v>175</v>
      </c>
      <c r="R316" s="109"/>
      <c r="S316" s="97"/>
      <c r="T316" s="210"/>
      <c r="U316" s="210"/>
      <c r="V316" s="362">
        <f t="shared" si="33"/>
        <v>0</v>
      </c>
      <c r="W316" s="109"/>
      <c r="X316" s="109"/>
      <c r="Y316" s="109"/>
      <c r="Z316" s="109"/>
      <c r="AA316" s="109"/>
    </row>
    <row r="317" ht="15.75" customHeight="1" outlineLevel="1">
      <c r="A317" s="431">
        <v>311.0</v>
      </c>
      <c r="B317" s="393" t="s">
        <v>479</v>
      </c>
      <c r="C317" s="393" t="s">
        <v>72</v>
      </c>
      <c r="D317" s="431">
        <v>500.0</v>
      </c>
      <c r="E317" s="370">
        <v>0.0</v>
      </c>
      <c r="F317" s="455">
        <f t="shared" si="82"/>
        <v>0</v>
      </c>
      <c r="G317" s="108">
        <f>SUMIF(PURCHASE!$E$3:$E$506,'INVONTERY FEB'!B317:B518,PURCHASE!$H$3:$H$506)</f>
        <v>0</v>
      </c>
      <c r="H317" s="438">
        <f>SUMIF(PURCHASE!$E$3:$E$506,'INVONTERY FEB'!B317:B545,PURCHASE!$I$3:$I$506)</f>
        <v>0</v>
      </c>
      <c r="I317" s="354">
        <f>ISSU!AL317</f>
        <v>0</v>
      </c>
      <c r="J317" s="354">
        <f t="shared" si="83"/>
        <v>0</v>
      </c>
      <c r="K317" s="380">
        <f t="shared" si="84"/>
        <v>0</v>
      </c>
      <c r="L317" s="438">
        <f t="shared" si="85"/>
        <v>0</v>
      </c>
      <c r="M317" s="438">
        <f t="shared" si="86"/>
        <v>500</v>
      </c>
      <c r="N317" s="439">
        <f t="shared" si="89"/>
        <v>0</v>
      </c>
      <c r="O317" s="439">
        <f t="shared" si="87"/>
        <v>0</v>
      </c>
      <c r="P317" s="438">
        <f t="shared" si="88"/>
        <v>0</v>
      </c>
      <c r="Q317" s="108" t="s">
        <v>175</v>
      </c>
      <c r="R317" s="109"/>
      <c r="S317" s="97"/>
      <c r="T317" s="210"/>
      <c r="U317" s="210"/>
      <c r="V317" s="362">
        <f t="shared" si="33"/>
        <v>0</v>
      </c>
      <c r="W317" s="109"/>
      <c r="X317" s="109"/>
      <c r="Y317" s="109"/>
      <c r="Z317" s="109"/>
      <c r="AA317" s="109"/>
    </row>
    <row r="318" ht="15.75" customHeight="1" outlineLevel="1">
      <c r="A318" s="431">
        <v>312.0</v>
      </c>
      <c r="B318" s="393" t="s">
        <v>480</v>
      </c>
      <c r="C318" s="393" t="s">
        <v>178</v>
      </c>
      <c r="D318" s="431">
        <v>350.0</v>
      </c>
      <c r="E318" s="370">
        <v>0.0</v>
      </c>
      <c r="F318" s="455">
        <f t="shared" si="82"/>
        <v>0</v>
      </c>
      <c r="G318" s="108">
        <f>SUMIF(PURCHASE!$E$3:$E$506,'INVONTERY FEB'!B318:B519,PURCHASE!$H$3:$H$506)</f>
        <v>0</v>
      </c>
      <c r="H318" s="438">
        <f>SUMIF(PURCHASE!$E$3:$E$506,'INVONTERY FEB'!B318:B546,PURCHASE!$I$3:$I$506)</f>
        <v>0</v>
      </c>
      <c r="I318" s="354">
        <f>ISSU!AL318</f>
        <v>0</v>
      </c>
      <c r="J318" s="354">
        <f t="shared" si="83"/>
        <v>0</v>
      </c>
      <c r="K318" s="380">
        <f t="shared" si="84"/>
        <v>0</v>
      </c>
      <c r="L318" s="438">
        <f t="shared" si="85"/>
        <v>0</v>
      </c>
      <c r="M318" s="438">
        <f t="shared" si="86"/>
        <v>350</v>
      </c>
      <c r="N318" s="439">
        <f t="shared" si="89"/>
        <v>0</v>
      </c>
      <c r="O318" s="439">
        <f t="shared" si="87"/>
        <v>0</v>
      </c>
      <c r="P318" s="438">
        <f t="shared" si="88"/>
        <v>0</v>
      </c>
      <c r="Q318" s="108"/>
      <c r="R318" s="109"/>
      <c r="S318" s="97"/>
      <c r="T318" s="210"/>
      <c r="U318" s="210"/>
      <c r="V318" s="362">
        <f t="shared" si="33"/>
        <v>0</v>
      </c>
      <c r="W318" s="109"/>
      <c r="X318" s="109"/>
      <c r="Y318" s="109"/>
      <c r="Z318" s="109"/>
      <c r="AA318" s="109"/>
    </row>
    <row r="319" ht="15.75" customHeight="1" outlineLevel="1">
      <c r="A319" s="431">
        <v>313.0</v>
      </c>
      <c r="B319" s="393" t="s">
        <v>481</v>
      </c>
      <c r="C319" s="393" t="s">
        <v>290</v>
      </c>
      <c r="D319" s="431">
        <v>1250.0</v>
      </c>
      <c r="E319" s="370">
        <v>0.0</v>
      </c>
      <c r="F319" s="455">
        <f t="shared" si="82"/>
        <v>0</v>
      </c>
      <c r="G319" s="108">
        <f>SUMIF(PURCHASE!$E$3:$E$506,'INVONTERY FEB'!B319:B520,PURCHASE!$H$3:$H$506)</f>
        <v>0</v>
      </c>
      <c r="H319" s="438">
        <f>SUMIF(PURCHASE!$E$3:$E$506,'INVONTERY FEB'!B319:B547,PURCHASE!$I$3:$I$506)</f>
        <v>0</v>
      </c>
      <c r="I319" s="354">
        <f>ISSU!AL319</f>
        <v>0</v>
      </c>
      <c r="J319" s="354">
        <f t="shared" si="83"/>
        <v>0</v>
      </c>
      <c r="K319" s="380">
        <f t="shared" si="84"/>
        <v>0</v>
      </c>
      <c r="L319" s="438">
        <f t="shared" si="85"/>
        <v>0</v>
      </c>
      <c r="M319" s="438">
        <f t="shared" si="86"/>
        <v>1250</v>
      </c>
      <c r="N319" s="439">
        <f t="shared" si="89"/>
        <v>0</v>
      </c>
      <c r="O319" s="439">
        <f t="shared" si="87"/>
        <v>0</v>
      </c>
      <c r="P319" s="438">
        <f t="shared" si="88"/>
        <v>0</v>
      </c>
      <c r="Q319" s="108"/>
      <c r="R319" s="109"/>
      <c r="S319" s="97"/>
      <c r="T319" s="210"/>
      <c r="U319" s="210"/>
      <c r="V319" s="362">
        <f t="shared" si="33"/>
        <v>0</v>
      </c>
      <c r="W319" s="109"/>
      <c r="X319" s="109"/>
      <c r="Y319" s="109"/>
      <c r="Z319" s="109"/>
      <c r="AA319" s="109"/>
    </row>
    <row r="320" ht="15.75" customHeight="1" outlineLevel="1">
      <c r="A320" s="431">
        <v>314.0</v>
      </c>
      <c r="B320" s="393" t="s">
        <v>482</v>
      </c>
      <c r="C320" s="393" t="s">
        <v>72</v>
      </c>
      <c r="D320" s="431">
        <v>950.0</v>
      </c>
      <c r="E320" s="370">
        <v>0.0</v>
      </c>
      <c r="F320" s="455">
        <f t="shared" si="82"/>
        <v>0</v>
      </c>
      <c r="G320" s="108">
        <f>SUMIF(PURCHASE!$E$3:$E$506,'INVONTERY FEB'!B320:B521,PURCHASE!$H$3:$H$506)</f>
        <v>0</v>
      </c>
      <c r="H320" s="438">
        <f>SUMIF(PURCHASE!$E$3:$E$506,'INVONTERY FEB'!B320:B548,PURCHASE!$I$3:$I$506)</f>
        <v>0</v>
      </c>
      <c r="I320" s="354">
        <f>ISSU!AL320</f>
        <v>0</v>
      </c>
      <c r="J320" s="354">
        <f t="shared" si="83"/>
        <v>0</v>
      </c>
      <c r="K320" s="380">
        <f t="shared" si="84"/>
        <v>0</v>
      </c>
      <c r="L320" s="438">
        <f t="shared" si="85"/>
        <v>0</v>
      </c>
      <c r="M320" s="438">
        <f t="shared" si="86"/>
        <v>950</v>
      </c>
      <c r="N320" s="439">
        <f t="shared" si="89"/>
        <v>0</v>
      </c>
      <c r="O320" s="439">
        <f t="shared" si="87"/>
        <v>0</v>
      </c>
      <c r="P320" s="438">
        <f t="shared" si="88"/>
        <v>0</v>
      </c>
      <c r="Q320" s="108"/>
      <c r="R320" s="109"/>
      <c r="S320" s="97"/>
      <c r="T320" s="210"/>
      <c r="U320" s="210"/>
      <c r="V320" s="362">
        <f t="shared" si="33"/>
        <v>0</v>
      </c>
      <c r="W320" s="109"/>
      <c r="X320" s="109"/>
      <c r="Y320" s="109"/>
      <c r="Z320" s="109"/>
      <c r="AA320" s="109"/>
    </row>
    <row r="321" ht="15.75" customHeight="1" outlineLevel="1">
      <c r="A321" s="431">
        <v>315.0</v>
      </c>
      <c r="B321" s="393" t="s">
        <v>134</v>
      </c>
      <c r="C321" s="393" t="s">
        <v>483</v>
      </c>
      <c r="D321" s="431">
        <v>13166.0</v>
      </c>
      <c r="E321" s="370">
        <v>2.0</v>
      </c>
      <c r="F321" s="455">
        <f t="shared" si="82"/>
        <v>26332</v>
      </c>
      <c r="G321" s="108">
        <f>SUMIF(PURCHASE!$E$3:$E$506,'INVONTERY FEB'!B321:B522,PURCHASE!$H$3:$H$506)</f>
        <v>7</v>
      </c>
      <c r="H321" s="438">
        <f>SUMIF(PURCHASE!$E$3:$E$506,'INVONTERY FEB'!B321:B549,PURCHASE!$I$3:$I$506)</f>
        <v>97610</v>
      </c>
      <c r="I321" s="354">
        <f>ISSU!AL321</f>
        <v>6</v>
      </c>
      <c r="J321" s="371">
        <f t="shared" si="83"/>
        <v>0.2142857143</v>
      </c>
      <c r="K321" s="380">
        <f t="shared" si="84"/>
        <v>3</v>
      </c>
      <c r="L321" s="438">
        <f t="shared" si="85"/>
        <v>39498</v>
      </c>
      <c r="M321" s="438">
        <f t="shared" si="86"/>
        <v>13166</v>
      </c>
      <c r="N321" s="439">
        <f t="shared" si="89"/>
        <v>0</v>
      </c>
      <c r="O321" s="439">
        <f t="shared" si="87"/>
        <v>0</v>
      </c>
      <c r="P321" s="438">
        <f t="shared" si="88"/>
        <v>84444</v>
      </c>
      <c r="Q321" s="108"/>
      <c r="R321" s="109"/>
      <c r="S321" s="97"/>
      <c r="T321" s="210"/>
      <c r="U321" s="210"/>
      <c r="V321" s="362">
        <f t="shared" si="33"/>
        <v>0</v>
      </c>
      <c r="W321" s="109"/>
      <c r="X321" s="109"/>
      <c r="Y321" s="109"/>
      <c r="Z321" s="109"/>
      <c r="AA321" s="109"/>
    </row>
    <row r="322" ht="15.75" customHeight="1" outlineLevel="1">
      <c r="A322" s="431">
        <v>316.0</v>
      </c>
      <c r="B322" s="393" t="s">
        <v>484</v>
      </c>
      <c r="C322" s="393" t="s">
        <v>190</v>
      </c>
      <c r="D322" s="431">
        <v>450.0</v>
      </c>
      <c r="E322" s="370">
        <v>0.0</v>
      </c>
      <c r="F322" s="455">
        <f t="shared" si="82"/>
        <v>0</v>
      </c>
      <c r="G322" s="108">
        <f>SUMIF(PURCHASE!$E$3:$E$506,'INVONTERY FEB'!B322:B523,PURCHASE!$H$3:$H$506)</f>
        <v>0</v>
      </c>
      <c r="H322" s="438">
        <f>SUMIF(PURCHASE!$E$3:$E$506,'INVONTERY FEB'!B322:B550,PURCHASE!$I$3:$I$506)</f>
        <v>0</v>
      </c>
      <c r="I322" s="354">
        <f>ISSU!AL322</f>
        <v>0</v>
      </c>
      <c r="J322" s="354">
        <f t="shared" si="83"/>
        <v>0</v>
      </c>
      <c r="K322" s="380">
        <f t="shared" si="84"/>
        <v>0</v>
      </c>
      <c r="L322" s="438">
        <f t="shared" si="85"/>
        <v>0</v>
      </c>
      <c r="M322" s="438">
        <f t="shared" si="86"/>
        <v>450</v>
      </c>
      <c r="N322" s="439">
        <f t="shared" si="89"/>
        <v>0</v>
      </c>
      <c r="O322" s="439">
        <f t="shared" si="87"/>
        <v>0</v>
      </c>
      <c r="P322" s="438">
        <f t="shared" si="88"/>
        <v>0</v>
      </c>
      <c r="Q322" s="108"/>
      <c r="R322" s="109"/>
      <c r="S322" s="97"/>
      <c r="T322" s="210"/>
      <c r="U322" s="210"/>
      <c r="V322" s="362">
        <f t="shared" si="33"/>
        <v>0</v>
      </c>
      <c r="W322" s="109"/>
      <c r="X322" s="109"/>
      <c r="Y322" s="109"/>
      <c r="Z322" s="109"/>
      <c r="AA322" s="109"/>
    </row>
    <row r="323" ht="15.75" customHeight="1" outlineLevel="1">
      <c r="A323" s="431">
        <v>317.0</v>
      </c>
      <c r="B323" s="393" t="s">
        <v>485</v>
      </c>
      <c r="C323" s="393" t="s">
        <v>72</v>
      </c>
      <c r="D323" s="431">
        <v>200.0</v>
      </c>
      <c r="E323" s="370">
        <v>0.0</v>
      </c>
      <c r="F323" s="455">
        <f t="shared" si="82"/>
        <v>0</v>
      </c>
      <c r="G323" s="108">
        <f>SUMIF(PURCHASE!$E$3:$E$506,'INVONTERY FEB'!B323:B519,PURCHASE!$H$3:$H$506)</f>
        <v>0</v>
      </c>
      <c r="H323" s="438">
        <f>SUMIF(PURCHASE!$E$3:$E$506,'INVONTERY FEB'!B323:B546,PURCHASE!$I$3:$I$506)</f>
        <v>0</v>
      </c>
      <c r="I323" s="354">
        <f>ISSU!AL323</f>
        <v>0</v>
      </c>
      <c r="J323" s="354">
        <f t="shared" si="83"/>
        <v>0</v>
      </c>
      <c r="K323" s="380">
        <f t="shared" si="84"/>
        <v>0</v>
      </c>
      <c r="L323" s="438">
        <f t="shared" si="85"/>
        <v>0</v>
      </c>
      <c r="M323" s="438">
        <f t="shared" si="86"/>
        <v>200</v>
      </c>
      <c r="N323" s="439">
        <f t="shared" si="89"/>
        <v>0</v>
      </c>
      <c r="O323" s="439">
        <f t="shared" si="87"/>
        <v>0</v>
      </c>
      <c r="P323" s="438">
        <f t="shared" si="88"/>
        <v>0</v>
      </c>
      <c r="Q323" s="108" t="s">
        <v>175</v>
      </c>
      <c r="R323" s="109"/>
      <c r="S323" s="97"/>
      <c r="T323" s="210"/>
      <c r="U323" s="210"/>
      <c r="V323" s="362">
        <f t="shared" si="33"/>
        <v>0</v>
      </c>
      <c r="W323" s="109"/>
      <c r="X323" s="109"/>
      <c r="Y323" s="109"/>
      <c r="Z323" s="109"/>
      <c r="AA323" s="109"/>
    </row>
    <row r="324" ht="17.25" customHeight="1">
      <c r="A324" s="431">
        <v>318.0</v>
      </c>
      <c r="B324" s="393" t="s">
        <v>486</v>
      </c>
      <c r="C324" s="393" t="s">
        <v>72</v>
      </c>
      <c r="D324" s="431">
        <v>575.0</v>
      </c>
      <c r="E324" s="370">
        <v>0.0</v>
      </c>
      <c r="F324" s="455">
        <f t="shared" si="82"/>
        <v>0</v>
      </c>
      <c r="G324" s="108">
        <f>SUMIF(PURCHASE!$E$3:$E$506,'INVONTERY FEB'!B324:B520,PURCHASE!$H$3:$H$506)</f>
        <v>0</v>
      </c>
      <c r="H324" s="438">
        <f>SUMIF(PURCHASE!$E$3:$E$506,'INVONTERY FEB'!B324:B547,PURCHASE!$I$3:$I$506)</f>
        <v>0</v>
      </c>
      <c r="I324" s="354">
        <f>ISSU!AL324</f>
        <v>0</v>
      </c>
      <c r="J324" s="354">
        <f t="shared" si="83"/>
        <v>0</v>
      </c>
      <c r="K324" s="380">
        <f t="shared" si="84"/>
        <v>0</v>
      </c>
      <c r="L324" s="438">
        <f t="shared" si="85"/>
        <v>0</v>
      </c>
      <c r="M324" s="438">
        <f t="shared" si="86"/>
        <v>575</v>
      </c>
      <c r="N324" s="439">
        <f t="shared" si="89"/>
        <v>0</v>
      </c>
      <c r="O324" s="439">
        <f t="shared" si="87"/>
        <v>0</v>
      </c>
      <c r="P324" s="438">
        <f t="shared" si="88"/>
        <v>0</v>
      </c>
      <c r="Q324" s="108" t="s">
        <v>175</v>
      </c>
      <c r="R324" s="407"/>
      <c r="S324" s="97"/>
      <c r="T324" s="210"/>
      <c r="U324" s="210"/>
      <c r="V324" s="362">
        <f t="shared" si="33"/>
        <v>0</v>
      </c>
      <c r="W324" s="109"/>
      <c r="X324" s="109"/>
      <c r="Y324" s="109"/>
      <c r="Z324" s="109"/>
      <c r="AA324" s="109"/>
    </row>
    <row r="325" ht="15.75" customHeight="1">
      <c r="A325" s="481">
        <v>319.0</v>
      </c>
      <c r="B325" s="482" t="s">
        <v>487</v>
      </c>
      <c r="C325" s="482"/>
      <c r="D325" s="481"/>
      <c r="E325" s="483">
        <v>2.0</v>
      </c>
      <c r="F325" s="484">
        <f>F324+F323+F322+F321+F320+F319+F318+F317+F316+F315</f>
        <v>26332</v>
      </c>
      <c r="G325" s="485"/>
      <c r="H325" s="484"/>
      <c r="I325" s="486"/>
      <c r="J325" s="486"/>
      <c r="K325" s="485"/>
      <c r="L325" s="484">
        <f>L324+L323+L322+L321+L320+L319+L318+L317+L316+L315</f>
        <v>39498</v>
      </c>
      <c r="M325" s="484"/>
      <c r="N325" s="487"/>
      <c r="O325" s="487"/>
      <c r="P325" s="484"/>
      <c r="Q325" s="485"/>
      <c r="R325" s="488"/>
      <c r="S325" s="489"/>
      <c r="T325" s="490"/>
      <c r="U325" s="490"/>
      <c r="V325" s="491"/>
      <c r="W325" s="489"/>
      <c r="X325" s="489"/>
      <c r="Y325" s="489"/>
      <c r="Z325" s="489"/>
      <c r="AA325" s="489"/>
    </row>
    <row r="326" ht="15.75" customHeight="1">
      <c r="A326" s="492"/>
      <c r="B326" s="493"/>
      <c r="C326" s="494" t="s">
        <v>488</v>
      </c>
      <c r="D326" s="495"/>
      <c r="E326" s="496"/>
      <c r="F326" s="497">
        <f>F313+F207+F147+F131+F108+F325</f>
        <v>2019838.037</v>
      </c>
      <c r="G326" s="498"/>
      <c r="H326" s="494" t="str">
        <f>+C326</f>
        <v>PHYSICAL INVENTORY</v>
      </c>
      <c r="I326" s="495"/>
      <c r="J326" s="495"/>
      <c r="K326" s="499"/>
      <c r="L326" s="497">
        <f>L313+L207+L147+L131+L108+L325</f>
        <v>2010397.131</v>
      </c>
      <c r="M326" s="498"/>
      <c r="N326" s="500">
        <f>L326-F326</f>
        <v>-9440.905963</v>
      </c>
      <c r="O326" s="499"/>
      <c r="P326" s="501">
        <f>+P324+P312+P206+P146+P130+P106+P86+P50+P29</f>
        <v>1357105.282</v>
      </c>
      <c r="Q326" s="502" t="s">
        <v>489</v>
      </c>
      <c r="R326" s="503"/>
      <c r="S326" s="109"/>
      <c r="T326" s="109"/>
      <c r="U326" s="109"/>
      <c r="V326" s="109"/>
      <c r="W326" s="109"/>
      <c r="X326" s="109"/>
      <c r="Y326" s="109"/>
      <c r="Z326" s="109"/>
      <c r="AA326" s="109"/>
    </row>
    <row r="327" ht="15.75" customHeight="1">
      <c r="A327" s="504"/>
      <c r="B327" s="505"/>
      <c r="C327" s="506" t="s">
        <v>44</v>
      </c>
      <c r="D327" s="313"/>
      <c r="E327" s="507"/>
      <c r="F327" s="508">
        <f>'AMOUNT UPDATE'!C28</f>
        <v>0</v>
      </c>
      <c r="G327" s="509"/>
      <c r="H327" s="506" t="s">
        <v>44</v>
      </c>
      <c r="I327" s="313"/>
      <c r="J327" s="313"/>
      <c r="K327" s="510"/>
      <c r="L327" s="511">
        <f>'AMOUNT UPDATE'!H28</f>
        <v>-0.3765203596</v>
      </c>
      <c r="M327" s="509"/>
      <c r="N327" s="512">
        <f>+-L327+F327</f>
        <v>0.3765203596</v>
      </c>
      <c r="O327" s="510"/>
      <c r="P327" s="513"/>
      <c r="Q327" s="514"/>
      <c r="R327" s="514"/>
      <c r="S327" s="109"/>
      <c r="T327" s="109"/>
      <c r="U327" s="109"/>
      <c r="V327" s="109"/>
      <c r="W327" s="109"/>
      <c r="X327" s="109"/>
      <c r="Y327" s="109"/>
      <c r="Z327" s="109"/>
      <c r="AA327" s="109"/>
    </row>
    <row r="328" ht="15.75" customHeight="1">
      <c r="A328" s="515"/>
      <c r="B328" s="516"/>
      <c r="C328" s="517" t="s">
        <v>490</v>
      </c>
      <c r="D328" s="518"/>
      <c r="E328" s="519"/>
      <c r="F328" s="520">
        <f>+F327+F326</f>
        <v>2019838.037</v>
      </c>
      <c r="G328" s="521"/>
      <c r="H328" s="517" t="s">
        <v>490</v>
      </c>
      <c r="I328" s="518"/>
      <c r="J328" s="518"/>
      <c r="K328" s="522"/>
      <c r="L328" s="520">
        <f>+L327+L326</f>
        <v>2010396.754</v>
      </c>
      <c r="M328" s="521"/>
      <c r="N328" s="523">
        <f>L328-F328</f>
        <v>-9441.282484</v>
      </c>
      <c r="O328" s="522"/>
      <c r="P328" s="524"/>
      <c r="Q328" s="338"/>
      <c r="R328" s="338"/>
      <c r="S328" s="109"/>
      <c r="T328" s="109"/>
      <c r="U328" s="109"/>
      <c r="V328" s="109"/>
      <c r="W328" s="109"/>
      <c r="X328" s="109"/>
      <c r="Y328" s="109"/>
      <c r="Z328" s="109"/>
      <c r="AA328" s="109"/>
    </row>
    <row r="329" ht="15.75" customHeight="1">
      <c r="A329" s="109"/>
      <c r="B329" s="109"/>
      <c r="C329" s="109"/>
      <c r="D329" s="109"/>
      <c r="E329" s="525"/>
      <c r="F329" s="132"/>
      <c r="G329" s="130"/>
      <c r="H329" s="130"/>
      <c r="I329" s="132"/>
      <c r="J329" s="132"/>
      <c r="K329" s="525"/>
      <c r="L329" s="109"/>
      <c r="M329" s="526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</row>
    <row r="330" ht="15.75" customHeight="1">
      <c r="A330" s="109"/>
      <c r="B330" s="109"/>
      <c r="C330" s="109"/>
      <c r="D330" s="109"/>
      <c r="E330" s="525"/>
      <c r="F330" s="132"/>
      <c r="G330" s="130"/>
      <c r="H330" s="130"/>
      <c r="I330" s="132"/>
      <c r="J330" s="132"/>
      <c r="K330" s="525"/>
      <c r="L330" s="109"/>
      <c r="M330" s="117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</row>
    <row r="331" ht="15.75" customHeight="1">
      <c r="A331" s="109"/>
      <c r="B331" s="109"/>
      <c r="C331" s="109"/>
      <c r="D331" s="109"/>
      <c r="E331" s="525"/>
      <c r="F331" s="132"/>
      <c r="G331" s="130"/>
      <c r="H331" s="130"/>
      <c r="I331" s="132"/>
      <c r="J331" s="132"/>
      <c r="K331" s="525"/>
      <c r="L331" s="109"/>
      <c r="M331" s="117"/>
      <c r="N331" s="109"/>
      <c r="O331" s="407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</row>
    <row r="332" ht="15.75" customHeight="1">
      <c r="A332" s="109"/>
      <c r="B332" s="109"/>
      <c r="C332" s="109"/>
      <c r="D332" s="109"/>
      <c r="E332" s="525"/>
      <c r="F332" s="132"/>
      <c r="G332" s="130"/>
      <c r="H332" s="130"/>
      <c r="I332" s="132"/>
      <c r="J332" s="132"/>
      <c r="K332" s="525"/>
      <c r="L332" s="109"/>
      <c r="M332" s="117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</row>
    <row r="333" ht="15.75" customHeight="1">
      <c r="A333" s="109"/>
      <c r="B333" s="109"/>
      <c r="C333" s="109"/>
      <c r="D333" s="109"/>
      <c r="E333" s="525"/>
      <c r="F333" s="132"/>
      <c r="G333" s="130"/>
      <c r="H333" s="130"/>
      <c r="I333" s="132"/>
      <c r="J333" s="132"/>
      <c r="K333" s="525"/>
      <c r="L333" s="109"/>
      <c r="M333" s="117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</row>
    <row r="334" ht="15.75" customHeight="1">
      <c r="A334" s="109"/>
      <c r="B334" s="109"/>
      <c r="C334" s="109"/>
      <c r="D334" s="109"/>
      <c r="E334" s="525"/>
      <c r="F334" s="132"/>
      <c r="G334" s="130"/>
      <c r="H334" s="130"/>
      <c r="I334" s="132"/>
      <c r="J334" s="132"/>
      <c r="K334" s="525"/>
      <c r="L334" s="109"/>
      <c r="M334" s="117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</row>
    <row r="335" ht="15.75" customHeight="1">
      <c r="A335" s="109"/>
      <c r="B335" s="109"/>
      <c r="C335" s="109"/>
      <c r="D335" s="109"/>
      <c r="E335" s="525"/>
      <c r="F335" s="132"/>
      <c r="G335" s="130"/>
      <c r="H335" s="130"/>
      <c r="I335" s="132"/>
      <c r="J335" s="132"/>
      <c r="K335" s="525"/>
      <c r="L335" s="109"/>
      <c r="M335" s="117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</row>
    <row r="336" ht="15.75" customHeight="1">
      <c r="A336" s="109"/>
      <c r="B336" s="109"/>
      <c r="C336" s="109"/>
      <c r="D336" s="109"/>
      <c r="E336" s="525"/>
      <c r="F336" s="132"/>
      <c r="G336" s="130"/>
      <c r="H336" s="130"/>
      <c r="I336" s="132"/>
      <c r="J336" s="132"/>
      <c r="K336" s="525"/>
      <c r="L336" s="109"/>
      <c r="M336" s="117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</row>
    <row r="337" ht="15.75" customHeight="1">
      <c r="A337" s="109"/>
      <c r="B337" s="109"/>
      <c r="C337" s="109"/>
      <c r="D337" s="109"/>
      <c r="E337" s="525"/>
      <c r="F337" s="132"/>
      <c r="G337" s="130"/>
      <c r="H337" s="130"/>
      <c r="I337" s="132"/>
      <c r="J337" s="132"/>
      <c r="K337" s="525"/>
      <c r="L337" s="109"/>
      <c r="M337" s="117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</row>
    <row r="338" ht="15.75" customHeight="1">
      <c r="A338" s="109"/>
      <c r="B338" s="109"/>
      <c r="C338" s="109"/>
      <c r="D338" s="109"/>
      <c r="E338" s="525"/>
      <c r="F338" s="132"/>
      <c r="G338" s="130"/>
      <c r="H338" s="130"/>
      <c r="I338" s="132"/>
      <c r="J338" s="132"/>
      <c r="K338" s="525"/>
      <c r="L338" s="109"/>
      <c r="M338" s="117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</row>
    <row r="339" ht="15.75" customHeight="1">
      <c r="A339" s="109"/>
      <c r="B339" s="109"/>
      <c r="C339" s="109"/>
      <c r="D339" s="109"/>
      <c r="E339" s="525"/>
      <c r="F339" s="132"/>
      <c r="G339" s="130"/>
      <c r="H339" s="130"/>
      <c r="I339" s="132"/>
      <c r="J339" s="132"/>
      <c r="K339" s="525"/>
      <c r="L339" s="109"/>
      <c r="M339" s="117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</row>
    <row r="340" ht="15.75" customHeight="1">
      <c r="A340" s="109"/>
      <c r="B340" s="109"/>
      <c r="C340" s="109"/>
      <c r="D340" s="109"/>
      <c r="E340" s="525"/>
      <c r="F340" s="132"/>
      <c r="G340" s="130"/>
      <c r="H340" s="130"/>
      <c r="I340" s="132"/>
      <c r="J340" s="132"/>
      <c r="K340" s="525"/>
      <c r="L340" s="109"/>
      <c r="M340" s="117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</row>
    <row r="341" ht="15.75" customHeight="1">
      <c r="A341" s="109"/>
      <c r="B341" s="109"/>
      <c r="C341" s="109"/>
      <c r="D341" s="109"/>
      <c r="E341" s="525"/>
      <c r="F341" s="132"/>
      <c r="G341" s="130"/>
      <c r="H341" s="130"/>
      <c r="I341" s="132"/>
      <c r="J341" s="132"/>
      <c r="K341" s="525"/>
      <c r="L341" s="109"/>
      <c r="M341" s="117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</row>
    <row r="342" ht="15.75" customHeight="1">
      <c r="A342" s="109"/>
      <c r="B342" s="109"/>
      <c r="C342" s="109"/>
      <c r="D342" s="109"/>
      <c r="E342" s="525"/>
      <c r="F342" s="132"/>
      <c r="G342" s="130"/>
      <c r="H342" s="130"/>
      <c r="I342" s="132"/>
      <c r="J342" s="132"/>
      <c r="K342" s="525"/>
      <c r="L342" s="109"/>
      <c r="M342" s="117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</row>
    <row r="343" ht="15.75" customHeight="1">
      <c r="A343" s="109"/>
      <c r="B343" s="109"/>
      <c r="C343" s="109"/>
      <c r="D343" s="109"/>
      <c r="E343" s="525"/>
      <c r="F343" s="132"/>
      <c r="G343" s="130"/>
      <c r="H343" s="130"/>
      <c r="I343" s="132"/>
      <c r="J343" s="132"/>
      <c r="K343" s="525"/>
      <c r="L343" s="109"/>
      <c r="M343" s="117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</row>
    <row r="344" ht="15.75" customHeight="1">
      <c r="A344" s="109"/>
      <c r="B344" s="109"/>
      <c r="C344" s="109"/>
      <c r="D344" s="109"/>
      <c r="E344" s="525"/>
      <c r="F344" s="132"/>
      <c r="G344" s="130"/>
      <c r="H344" s="130"/>
      <c r="I344" s="132"/>
      <c r="J344" s="132"/>
      <c r="K344" s="525"/>
      <c r="L344" s="109"/>
      <c r="M344" s="117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</row>
    <row r="345" ht="15.75" customHeight="1">
      <c r="A345" s="109"/>
      <c r="B345" s="109"/>
      <c r="C345" s="109"/>
      <c r="D345" s="109"/>
      <c r="E345" s="525"/>
      <c r="F345" s="132"/>
      <c r="G345" s="130"/>
      <c r="H345" s="130"/>
      <c r="I345" s="132"/>
      <c r="J345" s="132"/>
      <c r="K345" s="525"/>
      <c r="L345" s="109"/>
      <c r="M345" s="117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</row>
    <row r="346" ht="15.75" customHeight="1">
      <c r="A346" s="109"/>
      <c r="B346" s="109"/>
      <c r="C346" s="109"/>
      <c r="D346" s="109"/>
      <c r="E346" s="525"/>
      <c r="F346" s="132"/>
      <c r="G346" s="130"/>
      <c r="H346" s="130"/>
      <c r="I346" s="132"/>
      <c r="J346" s="132"/>
      <c r="K346" s="525"/>
      <c r="L346" s="109"/>
      <c r="M346" s="117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</row>
    <row r="347" ht="15.75" customHeight="1">
      <c r="A347" s="109"/>
      <c r="B347" s="109"/>
      <c r="C347" s="109"/>
      <c r="D347" s="109"/>
      <c r="E347" s="525"/>
      <c r="F347" s="132"/>
      <c r="G347" s="130"/>
      <c r="H347" s="130"/>
      <c r="I347" s="132"/>
      <c r="J347" s="132"/>
      <c r="K347" s="525"/>
      <c r="L347" s="109"/>
      <c r="M347" s="117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</row>
    <row r="348" ht="15.75" customHeight="1">
      <c r="A348" s="109"/>
      <c r="B348" s="109"/>
      <c r="C348" s="109"/>
      <c r="D348" s="109"/>
      <c r="E348" s="525"/>
      <c r="F348" s="132"/>
      <c r="G348" s="130"/>
      <c r="H348" s="130"/>
      <c r="I348" s="132"/>
      <c r="J348" s="132"/>
      <c r="K348" s="525"/>
      <c r="L348" s="109"/>
      <c r="M348" s="117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</row>
    <row r="349" ht="15.75" customHeight="1">
      <c r="A349" s="109"/>
      <c r="B349" s="109"/>
      <c r="C349" s="109"/>
      <c r="D349" s="109"/>
      <c r="E349" s="525"/>
      <c r="F349" s="132"/>
      <c r="G349" s="130"/>
      <c r="H349" s="130"/>
      <c r="I349" s="132"/>
      <c r="J349" s="132"/>
      <c r="K349" s="525"/>
      <c r="L349" s="109"/>
      <c r="M349" s="117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</row>
    <row r="350" ht="15.75" customHeight="1">
      <c r="A350" s="109"/>
      <c r="B350" s="109"/>
      <c r="C350" s="109"/>
      <c r="D350" s="109"/>
      <c r="E350" s="525"/>
      <c r="F350" s="132"/>
      <c r="G350" s="130"/>
      <c r="H350" s="130"/>
      <c r="I350" s="132"/>
      <c r="J350" s="132"/>
      <c r="K350" s="525"/>
      <c r="L350" s="109"/>
      <c r="M350" s="117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</row>
    <row r="351" ht="15.75" customHeight="1">
      <c r="A351" s="109"/>
      <c r="B351" s="109"/>
      <c r="C351" s="109"/>
      <c r="D351" s="109"/>
      <c r="E351" s="525"/>
      <c r="F351" s="132"/>
      <c r="G351" s="130"/>
      <c r="H351" s="130"/>
      <c r="I351" s="132"/>
      <c r="J351" s="132"/>
      <c r="K351" s="525"/>
      <c r="L351" s="109"/>
      <c r="M351" s="117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</row>
    <row r="352" ht="15.75" customHeight="1">
      <c r="A352" s="109"/>
      <c r="B352" s="109"/>
      <c r="C352" s="109"/>
      <c r="D352" s="109"/>
      <c r="E352" s="525"/>
      <c r="F352" s="132"/>
      <c r="G352" s="130"/>
      <c r="H352" s="130"/>
      <c r="I352" s="132"/>
      <c r="J352" s="132"/>
      <c r="K352" s="525"/>
      <c r="L352" s="109"/>
      <c r="M352" s="117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</row>
    <row r="353" ht="15.75" customHeight="1">
      <c r="A353" s="109"/>
      <c r="B353" s="109"/>
      <c r="C353" s="109"/>
      <c r="D353" s="109"/>
      <c r="E353" s="525"/>
      <c r="F353" s="132"/>
      <c r="G353" s="130"/>
      <c r="H353" s="130"/>
      <c r="I353" s="132"/>
      <c r="J353" s="132"/>
      <c r="K353" s="525"/>
      <c r="L353" s="109"/>
      <c r="M353" s="117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</row>
    <row r="354" ht="15.75" customHeight="1">
      <c r="A354" s="109"/>
      <c r="B354" s="109"/>
      <c r="C354" s="109"/>
      <c r="D354" s="109"/>
      <c r="E354" s="525"/>
      <c r="F354" s="132"/>
      <c r="G354" s="130"/>
      <c r="H354" s="130"/>
      <c r="I354" s="132"/>
      <c r="J354" s="132"/>
      <c r="K354" s="525"/>
      <c r="L354" s="109"/>
      <c r="M354" s="117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</row>
    <row r="355" ht="15.75" customHeight="1">
      <c r="A355" s="109"/>
      <c r="B355" s="109"/>
      <c r="C355" s="109"/>
      <c r="D355" s="109"/>
      <c r="E355" s="525"/>
      <c r="F355" s="132"/>
      <c r="G355" s="130"/>
      <c r="H355" s="130"/>
      <c r="I355" s="132"/>
      <c r="J355" s="132"/>
      <c r="K355" s="525"/>
      <c r="L355" s="109"/>
      <c r="M355" s="117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</row>
    <row r="356" ht="15.75" customHeight="1">
      <c r="A356" s="109"/>
      <c r="B356" s="109"/>
      <c r="C356" s="109"/>
      <c r="D356" s="109"/>
      <c r="E356" s="525"/>
      <c r="F356" s="132"/>
      <c r="G356" s="130"/>
      <c r="H356" s="130"/>
      <c r="I356" s="132"/>
      <c r="J356" s="132"/>
      <c r="K356" s="525"/>
      <c r="L356" s="109"/>
      <c r="M356" s="117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</row>
    <row r="357" ht="15.75" customHeight="1">
      <c r="A357" s="109"/>
      <c r="B357" s="109"/>
      <c r="C357" s="109"/>
      <c r="D357" s="109"/>
      <c r="E357" s="525"/>
      <c r="F357" s="132"/>
      <c r="G357" s="130"/>
      <c r="H357" s="130"/>
      <c r="I357" s="132"/>
      <c r="J357" s="132"/>
      <c r="K357" s="525"/>
      <c r="L357" s="109"/>
      <c r="M357" s="117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</row>
    <row r="358" ht="15.75" customHeight="1">
      <c r="A358" s="109"/>
      <c r="B358" s="109"/>
      <c r="C358" s="109"/>
      <c r="D358" s="109"/>
      <c r="E358" s="525"/>
      <c r="F358" s="132"/>
      <c r="G358" s="130"/>
      <c r="H358" s="130"/>
      <c r="I358" s="132"/>
      <c r="J358" s="132"/>
      <c r="K358" s="525"/>
      <c r="L358" s="109"/>
      <c r="M358" s="117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</row>
    <row r="359" ht="15.75" customHeight="1">
      <c r="A359" s="109"/>
      <c r="B359" s="109"/>
      <c r="C359" s="109"/>
      <c r="D359" s="109"/>
      <c r="E359" s="525"/>
      <c r="F359" s="132"/>
      <c r="G359" s="130"/>
      <c r="H359" s="130"/>
      <c r="I359" s="132"/>
      <c r="J359" s="132"/>
      <c r="K359" s="525"/>
      <c r="L359" s="109"/>
      <c r="M359" s="117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</row>
    <row r="360" ht="15.75" customHeight="1">
      <c r="A360" s="109"/>
      <c r="B360" s="109"/>
      <c r="C360" s="109"/>
      <c r="D360" s="109"/>
      <c r="E360" s="525"/>
      <c r="F360" s="132"/>
      <c r="G360" s="130"/>
      <c r="H360" s="130"/>
      <c r="I360" s="132"/>
      <c r="J360" s="132"/>
      <c r="K360" s="525"/>
      <c r="L360" s="109"/>
      <c r="M360" s="117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</row>
    <row r="361" ht="15.75" customHeight="1">
      <c r="A361" s="109"/>
      <c r="B361" s="109"/>
      <c r="C361" s="109"/>
      <c r="D361" s="109"/>
      <c r="E361" s="525"/>
      <c r="F361" s="132"/>
      <c r="G361" s="130"/>
      <c r="H361" s="130"/>
      <c r="I361" s="132"/>
      <c r="J361" s="132"/>
      <c r="K361" s="525"/>
      <c r="L361" s="109"/>
      <c r="M361" s="117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</row>
    <row r="362" ht="15.75" customHeight="1">
      <c r="A362" s="109"/>
      <c r="B362" s="109"/>
      <c r="C362" s="109"/>
      <c r="D362" s="109"/>
      <c r="E362" s="525"/>
      <c r="F362" s="132"/>
      <c r="G362" s="130"/>
      <c r="H362" s="130"/>
      <c r="I362" s="132"/>
      <c r="J362" s="132"/>
      <c r="K362" s="525"/>
      <c r="L362" s="109"/>
      <c r="M362" s="117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</row>
    <row r="363" ht="15.75" customHeight="1">
      <c r="A363" s="109"/>
      <c r="B363" s="109"/>
      <c r="C363" s="109"/>
      <c r="D363" s="109"/>
      <c r="E363" s="525"/>
      <c r="F363" s="132"/>
      <c r="G363" s="130"/>
      <c r="H363" s="130"/>
      <c r="I363" s="132"/>
      <c r="J363" s="132"/>
      <c r="K363" s="525"/>
      <c r="L363" s="109"/>
      <c r="M363" s="117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</row>
    <row r="364" ht="15.75" customHeight="1">
      <c r="A364" s="109"/>
      <c r="B364" s="109"/>
      <c r="C364" s="109"/>
      <c r="D364" s="109"/>
      <c r="E364" s="525"/>
      <c r="F364" s="132"/>
      <c r="G364" s="130"/>
      <c r="H364" s="130"/>
      <c r="I364" s="132"/>
      <c r="J364" s="132"/>
      <c r="K364" s="525"/>
      <c r="L364" s="109"/>
      <c r="M364" s="117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</row>
    <row r="365" ht="15.75" customHeight="1">
      <c r="A365" s="109"/>
      <c r="B365" s="109"/>
      <c r="C365" s="109"/>
      <c r="D365" s="109"/>
      <c r="E365" s="525"/>
      <c r="F365" s="132"/>
      <c r="G365" s="130"/>
      <c r="H365" s="130"/>
      <c r="I365" s="132"/>
      <c r="J365" s="132"/>
      <c r="K365" s="525"/>
      <c r="L365" s="109"/>
      <c r="M365" s="117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</row>
    <row r="366" ht="15.75" customHeight="1">
      <c r="A366" s="109"/>
      <c r="B366" s="109"/>
      <c r="C366" s="109"/>
      <c r="D366" s="109"/>
      <c r="E366" s="525"/>
      <c r="F366" s="132"/>
      <c r="G366" s="130"/>
      <c r="H366" s="130"/>
      <c r="I366" s="132"/>
      <c r="J366" s="132"/>
      <c r="K366" s="525"/>
      <c r="L366" s="109"/>
      <c r="M366" s="117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</row>
    <row r="367" ht="15.75" customHeight="1">
      <c r="A367" s="109"/>
      <c r="B367" s="109"/>
      <c r="C367" s="109"/>
      <c r="D367" s="109"/>
      <c r="E367" s="525"/>
      <c r="F367" s="132"/>
      <c r="G367" s="130"/>
      <c r="H367" s="130"/>
      <c r="I367" s="132"/>
      <c r="J367" s="132"/>
      <c r="K367" s="525"/>
      <c r="L367" s="109"/>
      <c r="M367" s="117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</row>
    <row r="368" ht="15.75" customHeight="1">
      <c r="A368" s="109"/>
      <c r="B368" s="109"/>
      <c r="C368" s="109"/>
      <c r="D368" s="109"/>
      <c r="E368" s="525"/>
      <c r="F368" s="132"/>
      <c r="G368" s="130"/>
      <c r="H368" s="130"/>
      <c r="I368" s="132"/>
      <c r="J368" s="132"/>
      <c r="K368" s="525"/>
      <c r="L368" s="109"/>
      <c r="M368" s="117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</row>
    <row r="369" ht="15.75" customHeight="1">
      <c r="A369" s="109"/>
      <c r="B369" s="109"/>
      <c r="C369" s="109"/>
      <c r="D369" s="109"/>
      <c r="E369" s="525"/>
      <c r="F369" s="132"/>
      <c r="G369" s="130"/>
      <c r="H369" s="130"/>
      <c r="I369" s="132"/>
      <c r="J369" s="132"/>
      <c r="K369" s="527"/>
      <c r="L369" s="109"/>
      <c r="M369" s="117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</row>
    <row r="370" ht="15.75" customHeight="1">
      <c r="A370" s="109"/>
      <c r="B370" s="109"/>
      <c r="C370" s="109"/>
      <c r="D370" s="109"/>
      <c r="E370" s="525"/>
      <c r="F370" s="132"/>
      <c r="G370" s="130"/>
      <c r="H370" s="130"/>
      <c r="I370" s="132"/>
      <c r="J370" s="132"/>
      <c r="K370" s="527"/>
      <c r="L370" s="109"/>
      <c r="M370" s="117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</row>
    <row r="371" ht="15.75" customHeight="1">
      <c r="A371" s="109"/>
      <c r="B371" s="109"/>
      <c r="C371" s="109"/>
      <c r="D371" s="109"/>
      <c r="E371" s="525"/>
      <c r="F371" s="132"/>
      <c r="G371" s="130"/>
      <c r="H371" s="130"/>
      <c r="I371" s="132"/>
      <c r="J371" s="132"/>
      <c r="K371" s="527"/>
      <c r="L371" s="109"/>
      <c r="M371" s="117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</row>
    <row r="372" ht="15.75" customHeight="1">
      <c r="A372" s="109"/>
      <c r="B372" s="109"/>
      <c r="C372" s="109"/>
      <c r="D372" s="109"/>
      <c r="E372" s="525"/>
      <c r="F372" s="132"/>
      <c r="G372" s="130"/>
      <c r="H372" s="130"/>
      <c r="I372" s="132"/>
      <c r="J372" s="132"/>
      <c r="K372" s="527"/>
      <c r="L372" s="109"/>
      <c r="M372" s="117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</row>
    <row r="373" ht="15.75" customHeight="1">
      <c r="A373" s="109"/>
      <c r="B373" s="109"/>
      <c r="C373" s="109"/>
      <c r="D373" s="109"/>
      <c r="E373" s="525"/>
      <c r="F373" s="132"/>
      <c r="G373" s="130"/>
      <c r="H373" s="130"/>
      <c r="I373" s="132"/>
      <c r="J373" s="132"/>
      <c r="K373" s="527"/>
      <c r="L373" s="109"/>
      <c r="M373" s="117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</row>
    <row r="374" ht="15.75" customHeight="1">
      <c r="A374" s="109"/>
      <c r="B374" s="109"/>
      <c r="C374" s="109"/>
      <c r="D374" s="109"/>
      <c r="E374" s="525"/>
      <c r="F374" s="132"/>
      <c r="G374" s="130"/>
      <c r="H374" s="130"/>
      <c r="I374" s="132"/>
      <c r="J374" s="132"/>
      <c r="K374" s="527"/>
      <c r="L374" s="109"/>
      <c r="M374" s="117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</row>
    <row r="375" ht="15.75" customHeight="1">
      <c r="A375" s="109"/>
      <c r="B375" s="109"/>
      <c r="C375" s="109"/>
      <c r="D375" s="109"/>
      <c r="E375" s="528"/>
      <c r="F375" s="132"/>
      <c r="G375" s="130"/>
      <c r="H375" s="130"/>
      <c r="I375" s="132"/>
      <c r="J375" s="132"/>
      <c r="K375" s="527"/>
      <c r="L375" s="109"/>
      <c r="M375" s="117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</row>
    <row r="376" ht="15.75" customHeight="1">
      <c r="A376" s="109"/>
      <c r="B376" s="109"/>
      <c r="C376" s="109"/>
      <c r="D376" s="109"/>
      <c r="E376" s="528"/>
      <c r="F376" s="132"/>
      <c r="G376" s="130"/>
      <c r="H376" s="130"/>
      <c r="I376" s="132"/>
      <c r="J376" s="132"/>
      <c r="K376" s="527"/>
      <c r="L376" s="109"/>
      <c r="M376" s="117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</row>
    <row r="377" ht="15.75" customHeight="1">
      <c r="A377" s="109"/>
      <c r="B377" s="109"/>
      <c r="C377" s="109"/>
      <c r="D377" s="109"/>
      <c r="E377" s="528"/>
      <c r="F377" s="132"/>
      <c r="G377" s="130"/>
      <c r="H377" s="130"/>
      <c r="I377" s="132"/>
      <c r="J377" s="132"/>
      <c r="K377" s="527"/>
      <c r="L377" s="109"/>
      <c r="M377" s="117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</row>
    <row r="378" ht="15.75" customHeight="1">
      <c r="A378" s="109"/>
      <c r="B378" s="109"/>
      <c r="C378" s="109"/>
      <c r="D378" s="109"/>
      <c r="E378" s="528"/>
      <c r="F378" s="132"/>
      <c r="G378" s="130"/>
      <c r="H378" s="130"/>
      <c r="I378" s="132"/>
      <c r="J378" s="132"/>
      <c r="K378" s="527"/>
      <c r="L378" s="109"/>
      <c r="M378" s="117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</row>
    <row r="379" ht="15.75" customHeight="1">
      <c r="A379" s="109"/>
      <c r="B379" s="109"/>
      <c r="C379" s="109"/>
      <c r="D379" s="109"/>
      <c r="E379" s="528"/>
      <c r="F379" s="132"/>
      <c r="G379" s="130"/>
      <c r="H379" s="130"/>
      <c r="I379" s="132"/>
      <c r="J379" s="132"/>
      <c r="K379" s="527"/>
      <c r="L379" s="109"/>
      <c r="M379" s="117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</row>
    <row r="380" ht="15.75" customHeight="1">
      <c r="A380" s="109"/>
      <c r="B380" s="109"/>
      <c r="C380" s="109"/>
      <c r="D380" s="109"/>
      <c r="E380" s="528"/>
      <c r="F380" s="132"/>
      <c r="G380" s="130"/>
      <c r="H380" s="130"/>
      <c r="I380" s="132"/>
      <c r="J380" s="132"/>
      <c r="K380" s="527"/>
      <c r="L380" s="109"/>
      <c r="M380" s="117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</row>
    <row r="381" ht="15.75" customHeight="1">
      <c r="A381" s="109"/>
      <c r="B381" s="109"/>
      <c r="C381" s="109"/>
      <c r="D381" s="109"/>
      <c r="E381" s="528"/>
      <c r="F381" s="132"/>
      <c r="G381" s="130"/>
      <c r="H381" s="130"/>
      <c r="I381" s="132"/>
      <c r="J381" s="132"/>
      <c r="K381" s="527"/>
      <c r="L381" s="109"/>
      <c r="M381" s="117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</row>
    <row r="382" ht="15.75" customHeight="1">
      <c r="A382" s="109"/>
      <c r="B382" s="109"/>
      <c r="C382" s="109"/>
      <c r="D382" s="109"/>
      <c r="E382" s="528"/>
      <c r="F382" s="132"/>
      <c r="G382" s="130"/>
      <c r="H382" s="130"/>
      <c r="I382" s="132"/>
      <c r="J382" s="132"/>
      <c r="K382" s="527"/>
      <c r="L382" s="109"/>
      <c r="M382" s="117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</row>
    <row r="383" ht="15.75" customHeight="1">
      <c r="A383" s="109"/>
      <c r="B383" s="109"/>
      <c r="C383" s="109"/>
      <c r="D383" s="109"/>
      <c r="E383" s="528"/>
      <c r="F383" s="132"/>
      <c r="G383" s="130"/>
      <c r="H383" s="130"/>
      <c r="I383" s="132"/>
      <c r="J383" s="132"/>
      <c r="K383" s="527"/>
      <c r="L383" s="109"/>
      <c r="M383" s="117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</row>
    <row r="384" ht="15.75" customHeight="1">
      <c r="A384" s="109"/>
      <c r="B384" s="109"/>
      <c r="C384" s="109"/>
      <c r="D384" s="109"/>
      <c r="E384" s="528"/>
      <c r="F384" s="132"/>
      <c r="G384" s="130"/>
      <c r="H384" s="130"/>
      <c r="I384" s="132"/>
      <c r="J384" s="132"/>
      <c r="K384" s="527"/>
      <c r="L384" s="109"/>
      <c r="M384" s="117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</row>
    <row r="385" ht="15.75" customHeight="1">
      <c r="A385" s="109"/>
      <c r="B385" s="350"/>
      <c r="C385" s="109"/>
      <c r="D385" s="109"/>
      <c r="E385" s="528"/>
      <c r="F385" s="132"/>
      <c r="G385" s="130"/>
      <c r="H385" s="130"/>
      <c r="I385" s="132"/>
      <c r="J385" s="132"/>
      <c r="K385" s="527"/>
      <c r="L385" s="109"/>
      <c r="M385" s="117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</row>
    <row r="386" ht="15.75" customHeight="1">
      <c r="A386" s="109"/>
      <c r="B386" s="350"/>
      <c r="C386" s="109"/>
      <c r="D386" s="109"/>
      <c r="E386" s="528"/>
      <c r="F386" s="132"/>
      <c r="G386" s="130"/>
      <c r="H386" s="130"/>
      <c r="I386" s="132"/>
      <c r="J386" s="132"/>
      <c r="K386" s="527"/>
      <c r="L386" s="109"/>
      <c r="M386" s="117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</row>
    <row r="387" ht="15.75" customHeight="1">
      <c r="A387" s="109"/>
      <c r="B387" s="350"/>
      <c r="C387" s="109"/>
      <c r="D387" s="109"/>
      <c r="E387" s="528"/>
      <c r="F387" s="132"/>
      <c r="G387" s="130"/>
      <c r="H387" s="130"/>
      <c r="I387" s="132"/>
      <c r="J387" s="132"/>
      <c r="K387" s="527"/>
      <c r="L387" s="109"/>
      <c r="M387" s="117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</row>
    <row r="388" ht="15.75" customHeight="1">
      <c r="A388" s="109"/>
      <c r="B388" s="350"/>
      <c r="C388" s="109"/>
      <c r="D388" s="109"/>
      <c r="E388" s="528"/>
      <c r="F388" s="132"/>
      <c r="G388" s="130"/>
      <c r="H388" s="130"/>
      <c r="I388" s="132"/>
      <c r="J388" s="132"/>
      <c r="K388" s="527"/>
      <c r="L388" s="109"/>
      <c r="M388" s="117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</row>
    <row r="389" ht="15.75" customHeight="1">
      <c r="A389" s="109"/>
      <c r="B389" s="350"/>
      <c r="C389" s="109"/>
      <c r="D389" s="109"/>
      <c r="E389" s="528"/>
      <c r="F389" s="132"/>
      <c r="G389" s="130"/>
      <c r="H389" s="130"/>
      <c r="I389" s="132"/>
      <c r="J389" s="132"/>
      <c r="K389" s="527"/>
      <c r="L389" s="109"/>
      <c r="M389" s="117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</row>
    <row r="390" ht="15.75" customHeight="1">
      <c r="A390" s="109"/>
      <c r="B390" s="350"/>
      <c r="C390" s="109"/>
      <c r="D390" s="109"/>
      <c r="E390" s="528"/>
      <c r="F390" s="132"/>
      <c r="G390" s="130"/>
      <c r="H390" s="130"/>
      <c r="I390" s="132"/>
      <c r="J390" s="132"/>
      <c r="K390" s="527"/>
      <c r="L390" s="109"/>
      <c r="M390" s="117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</row>
    <row r="391" ht="15.75" customHeight="1">
      <c r="A391" s="109"/>
      <c r="B391" s="350"/>
      <c r="C391" s="109"/>
      <c r="D391" s="109"/>
      <c r="E391" s="528"/>
      <c r="F391" s="132"/>
      <c r="G391" s="130"/>
      <c r="H391" s="130"/>
      <c r="I391" s="132"/>
      <c r="J391" s="132"/>
      <c r="K391" s="527"/>
      <c r="L391" s="109"/>
      <c r="M391" s="117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</row>
    <row r="392" ht="15.75" customHeight="1">
      <c r="A392" s="109"/>
      <c r="B392" s="350"/>
      <c r="C392" s="109"/>
      <c r="D392" s="109"/>
      <c r="E392" s="528"/>
      <c r="F392" s="132"/>
      <c r="G392" s="130"/>
      <c r="H392" s="130"/>
      <c r="I392" s="132"/>
      <c r="J392" s="132"/>
      <c r="K392" s="527"/>
      <c r="L392" s="109"/>
      <c r="M392" s="117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</row>
    <row r="393" ht="15.75" customHeight="1">
      <c r="A393" s="109"/>
      <c r="B393" s="350"/>
      <c r="C393" s="109"/>
      <c r="D393" s="109"/>
      <c r="E393" s="528"/>
      <c r="F393" s="132"/>
      <c r="G393" s="130"/>
      <c r="H393" s="130"/>
      <c r="I393" s="132"/>
      <c r="J393" s="132"/>
      <c r="K393" s="527"/>
      <c r="L393" s="109"/>
      <c r="M393" s="117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</row>
    <row r="394" ht="15.75" customHeight="1">
      <c r="A394" s="109"/>
      <c r="B394" s="350"/>
      <c r="C394" s="109"/>
      <c r="D394" s="109"/>
      <c r="E394" s="528"/>
      <c r="F394" s="132"/>
      <c r="G394" s="130"/>
      <c r="H394" s="130"/>
      <c r="I394" s="132"/>
      <c r="J394" s="132"/>
      <c r="K394" s="527"/>
      <c r="L394" s="109"/>
      <c r="M394" s="117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</row>
    <row r="395" ht="15.75" customHeight="1">
      <c r="A395" s="109"/>
      <c r="B395" s="350"/>
      <c r="C395" s="109"/>
      <c r="D395" s="109"/>
      <c r="E395" s="528"/>
      <c r="F395" s="132"/>
      <c r="G395" s="130"/>
      <c r="H395" s="130"/>
      <c r="I395" s="132"/>
      <c r="J395" s="132"/>
      <c r="K395" s="527"/>
      <c r="L395" s="109"/>
      <c r="M395" s="117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</row>
    <row r="396" ht="15.75" customHeight="1">
      <c r="A396" s="109"/>
      <c r="B396" s="350"/>
      <c r="C396" s="109"/>
      <c r="D396" s="109"/>
      <c r="E396" s="528"/>
      <c r="F396" s="132"/>
      <c r="G396" s="130"/>
      <c r="H396" s="130"/>
      <c r="I396" s="132"/>
      <c r="J396" s="132"/>
      <c r="K396" s="527"/>
      <c r="L396" s="109"/>
      <c r="M396" s="117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</row>
    <row r="397" ht="15.75" customHeight="1">
      <c r="A397" s="109"/>
      <c r="B397" s="350"/>
      <c r="C397" s="109"/>
      <c r="D397" s="109"/>
      <c r="E397" s="528"/>
      <c r="F397" s="132"/>
      <c r="G397" s="130"/>
      <c r="H397" s="130"/>
      <c r="I397" s="132"/>
      <c r="J397" s="132"/>
      <c r="K397" s="527"/>
      <c r="L397" s="109"/>
      <c r="M397" s="117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</row>
    <row r="398" ht="15.75" customHeight="1">
      <c r="A398" s="109"/>
      <c r="B398" s="350"/>
      <c r="C398" s="109"/>
      <c r="D398" s="109"/>
      <c r="E398" s="528"/>
      <c r="F398" s="132"/>
      <c r="G398" s="130"/>
      <c r="H398" s="130"/>
      <c r="I398" s="132"/>
      <c r="J398" s="132"/>
      <c r="K398" s="527"/>
      <c r="L398" s="109"/>
      <c r="M398" s="117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</row>
    <row r="399" ht="15.75" customHeight="1">
      <c r="A399" s="109"/>
      <c r="B399" s="350"/>
      <c r="C399" s="109"/>
      <c r="D399" s="109"/>
      <c r="E399" s="528"/>
      <c r="F399" s="132"/>
      <c r="G399" s="130"/>
      <c r="H399" s="130"/>
      <c r="I399" s="132"/>
      <c r="J399" s="132"/>
      <c r="K399" s="527"/>
      <c r="L399" s="109"/>
      <c r="M399" s="117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</row>
    <row r="400" ht="15.75" customHeight="1">
      <c r="A400" s="109"/>
      <c r="B400" s="350"/>
      <c r="C400" s="109"/>
      <c r="D400" s="109"/>
      <c r="E400" s="528"/>
      <c r="F400" s="132"/>
      <c r="G400" s="130"/>
      <c r="H400" s="130"/>
      <c r="I400" s="132"/>
      <c r="J400" s="132"/>
      <c r="K400" s="527"/>
      <c r="L400" s="109"/>
      <c r="M400" s="117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</row>
    <row r="401" ht="15.75" customHeight="1">
      <c r="A401" s="109"/>
      <c r="B401" s="350"/>
      <c r="C401" s="109"/>
      <c r="D401" s="109"/>
      <c r="E401" s="528"/>
      <c r="F401" s="132"/>
      <c r="G401" s="130"/>
      <c r="H401" s="130"/>
      <c r="I401" s="132"/>
      <c r="J401" s="132"/>
      <c r="K401" s="527"/>
      <c r="L401" s="109"/>
      <c r="M401" s="117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</row>
    <row r="402" ht="15.75" customHeight="1">
      <c r="A402" s="109"/>
      <c r="B402" s="350"/>
      <c r="C402" s="109"/>
      <c r="D402" s="109"/>
      <c r="E402" s="528"/>
      <c r="F402" s="132"/>
      <c r="G402" s="130"/>
      <c r="H402" s="130"/>
      <c r="I402" s="132"/>
      <c r="J402" s="132"/>
      <c r="K402" s="527"/>
      <c r="L402" s="109"/>
      <c r="M402" s="117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</row>
    <row r="403" ht="15.75" customHeight="1">
      <c r="A403" s="109"/>
      <c r="B403" s="350"/>
      <c r="C403" s="109"/>
      <c r="D403" s="109"/>
      <c r="E403" s="528"/>
      <c r="F403" s="132"/>
      <c r="G403" s="130"/>
      <c r="H403" s="130"/>
      <c r="I403" s="132"/>
      <c r="J403" s="132"/>
      <c r="K403" s="527"/>
      <c r="L403" s="109"/>
      <c r="M403" s="117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</row>
    <row r="404" ht="15.75" customHeight="1">
      <c r="A404" s="109"/>
      <c r="B404" s="393"/>
      <c r="C404" s="109"/>
      <c r="D404" s="109"/>
      <c r="E404" s="528"/>
      <c r="F404" s="132"/>
      <c r="G404" s="130"/>
      <c r="H404" s="130"/>
      <c r="I404" s="132"/>
      <c r="J404" s="132"/>
      <c r="K404" s="527"/>
      <c r="L404" s="109"/>
      <c r="M404" s="117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</row>
    <row r="405" ht="15.75" customHeight="1">
      <c r="A405" s="109"/>
      <c r="B405" s="350"/>
      <c r="C405" s="109"/>
      <c r="D405" s="109"/>
      <c r="E405" s="528"/>
      <c r="F405" s="132"/>
      <c r="G405" s="130"/>
      <c r="H405" s="130"/>
      <c r="I405" s="132"/>
      <c r="J405" s="132"/>
      <c r="K405" s="527"/>
      <c r="L405" s="109"/>
      <c r="M405" s="117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</row>
    <row r="406" ht="15.75" customHeight="1">
      <c r="A406" s="109"/>
      <c r="B406" s="350"/>
      <c r="C406" s="109"/>
      <c r="D406" s="109"/>
      <c r="E406" s="528"/>
      <c r="F406" s="132"/>
      <c r="G406" s="130"/>
      <c r="H406" s="130"/>
      <c r="I406" s="132"/>
      <c r="J406" s="132"/>
      <c r="K406" s="527"/>
      <c r="L406" s="109"/>
      <c r="M406" s="117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</row>
    <row r="407" ht="15.75" customHeight="1">
      <c r="A407" s="109"/>
      <c r="B407" s="393"/>
      <c r="C407" s="109"/>
      <c r="D407" s="109"/>
      <c r="E407" s="528"/>
      <c r="F407" s="132"/>
      <c r="G407" s="130"/>
      <c r="H407" s="130"/>
      <c r="I407" s="132"/>
      <c r="J407" s="132"/>
      <c r="K407" s="527"/>
      <c r="L407" s="109"/>
      <c r="M407" s="117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</row>
    <row r="408" ht="15.75" customHeight="1">
      <c r="A408" s="109"/>
      <c r="B408" s="393"/>
      <c r="C408" s="109"/>
      <c r="D408" s="109"/>
      <c r="E408" s="528"/>
      <c r="F408" s="132"/>
      <c r="G408" s="130"/>
      <c r="H408" s="130"/>
      <c r="I408" s="132"/>
      <c r="J408" s="132"/>
      <c r="K408" s="527"/>
      <c r="L408" s="109"/>
      <c r="M408" s="117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</row>
    <row r="409" ht="15.75" customHeight="1">
      <c r="A409" s="109"/>
      <c r="B409" s="393"/>
      <c r="C409" s="109"/>
      <c r="D409" s="109"/>
      <c r="E409" s="528"/>
      <c r="F409" s="132"/>
      <c r="G409" s="130"/>
      <c r="H409" s="130"/>
      <c r="I409" s="132"/>
      <c r="J409" s="132"/>
      <c r="K409" s="527"/>
      <c r="L409" s="109"/>
      <c r="M409" s="117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</row>
    <row r="410" ht="15.75" customHeight="1">
      <c r="A410" s="109"/>
      <c r="B410" s="393"/>
      <c r="C410" s="109"/>
      <c r="D410" s="109"/>
      <c r="E410" s="528"/>
      <c r="F410" s="132"/>
      <c r="G410" s="130"/>
      <c r="H410" s="130"/>
      <c r="I410" s="132"/>
      <c r="J410" s="132"/>
      <c r="K410" s="527"/>
      <c r="L410" s="109"/>
      <c r="M410" s="117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</row>
    <row r="411" ht="15.75" customHeight="1">
      <c r="A411" s="109"/>
      <c r="B411" s="393"/>
      <c r="C411" s="109"/>
      <c r="D411" s="109"/>
      <c r="E411" s="528"/>
      <c r="F411" s="132"/>
      <c r="G411" s="130"/>
      <c r="H411" s="130"/>
      <c r="I411" s="132"/>
      <c r="J411" s="132"/>
      <c r="K411" s="527"/>
      <c r="L411" s="109"/>
      <c r="M411" s="117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</row>
    <row r="412" ht="15.75" customHeight="1">
      <c r="A412" s="109"/>
      <c r="B412" s="529"/>
      <c r="C412" s="109"/>
      <c r="D412" s="109"/>
      <c r="E412" s="528"/>
      <c r="F412" s="132"/>
      <c r="G412" s="130"/>
      <c r="H412" s="130"/>
      <c r="I412" s="132"/>
      <c r="J412" s="132"/>
      <c r="K412" s="527"/>
      <c r="L412" s="109"/>
      <c r="M412" s="117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</row>
    <row r="413" ht="15.75" customHeight="1">
      <c r="A413" s="109"/>
      <c r="B413" s="109"/>
      <c r="C413" s="109"/>
      <c r="D413" s="109"/>
      <c r="E413" s="528"/>
      <c r="F413" s="132"/>
      <c r="G413" s="130"/>
      <c r="H413" s="130"/>
      <c r="I413" s="132"/>
      <c r="J413" s="132"/>
      <c r="K413" s="527"/>
      <c r="L413" s="109"/>
      <c r="M413" s="117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</row>
    <row r="414" ht="15.75" customHeight="1">
      <c r="A414" s="109"/>
      <c r="B414" s="109"/>
      <c r="C414" s="109"/>
      <c r="D414" s="109"/>
      <c r="E414" s="528"/>
      <c r="F414" s="132"/>
      <c r="G414" s="130"/>
      <c r="H414" s="130"/>
      <c r="I414" s="132"/>
      <c r="J414" s="132"/>
      <c r="K414" s="527"/>
      <c r="L414" s="109"/>
      <c r="M414" s="117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</row>
    <row r="415" ht="15.75" customHeight="1">
      <c r="A415" s="109"/>
      <c r="B415" s="109"/>
      <c r="C415" s="109"/>
      <c r="D415" s="109"/>
      <c r="E415" s="528"/>
      <c r="F415" s="132"/>
      <c r="G415" s="130"/>
      <c r="H415" s="130"/>
      <c r="I415" s="132"/>
      <c r="J415" s="132"/>
      <c r="K415" s="527"/>
      <c r="L415" s="109"/>
      <c r="M415" s="117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</row>
    <row r="416" ht="15.75" customHeight="1">
      <c r="A416" s="109"/>
      <c r="B416" s="109"/>
      <c r="C416" s="109"/>
      <c r="D416" s="109"/>
      <c r="E416" s="528"/>
      <c r="F416" s="132"/>
      <c r="G416" s="130"/>
      <c r="H416" s="130"/>
      <c r="I416" s="132"/>
      <c r="J416" s="132"/>
      <c r="K416" s="527"/>
      <c r="L416" s="109"/>
      <c r="M416" s="117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</row>
    <row r="417" ht="15.75" customHeight="1">
      <c r="A417" s="109"/>
      <c r="B417" s="109"/>
      <c r="C417" s="109"/>
      <c r="D417" s="109"/>
      <c r="E417" s="528"/>
      <c r="F417" s="132"/>
      <c r="G417" s="130"/>
      <c r="H417" s="130"/>
      <c r="I417" s="132"/>
      <c r="J417" s="132"/>
      <c r="K417" s="527"/>
      <c r="L417" s="109"/>
      <c r="M417" s="117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</row>
    <row r="418" ht="15.75" customHeight="1">
      <c r="A418" s="109"/>
      <c r="B418" s="109"/>
      <c r="C418" s="109"/>
      <c r="D418" s="109"/>
      <c r="E418" s="528"/>
      <c r="F418" s="132"/>
      <c r="G418" s="130"/>
      <c r="H418" s="130"/>
      <c r="I418" s="132"/>
      <c r="J418" s="132"/>
      <c r="K418" s="527"/>
      <c r="L418" s="109"/>
      <c r="M418" s="117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</row>
    <row r="419" ht="15.75" customHeight="1">
      <c r="A419" s="109"/>
      <c r="B419" s="109"/>
      <c r="C419" s="109"/>
      <c r="D419" s="109"/>
      <c r="E419" s="528"/>
      <c r="F419" s="132"/>
      <c r="G419" s="130"/>
      <c r="H419" s="130"/>
      <c r="I419" s="132"/>
      <c r="J419" s="132"/>
      <c r="K419" s="527"/>
      <c r="L419" s="109"/>
      <c r="M419" s="117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</row>
    <row r="420" ht="15.75" customHeight="1">
      <c r="A420" s="109"/>
      <c r="B420" s="109"/>
      <c r="C420" s="109"/>
      <c r="D420" s="109"/>
      <c r="E420" s="528"/>
      <c r="F420" s="132"/>
      <c r="G420" s="130"/>
      <c r="H420" s="130"/>
      <c r="I420" s="132"/>
      <c r="J420" s="132"/>
      <c r="K420" s="527"/>
      <c r="L420" s="109"/>
      <c r="M420" s="117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</row>
    <row r="421" ht="15.75" customHeight="1">
      <c r="A421" s="109"/>
      <c r="B421" s="109"/>
      <c r="C421" s="109"/>
      <c r="D421" s="109"/>
      <c r="E421" s="528"/>
      <c r="F421" s="132"/>
      <c r="G421" s="130"/>
      <c r="H421" s="130"/>
      <c r="I421" s="132"/>
      <c r="J421" s="132"/>
      <c r="K421" s="527"/>
      <c r="L421" s="109"/>
      <c r="M421" s="117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</row>
    <row r="422" ht="15.75" customHeight="1">
      <c r="A422" s="109"/>
      <c r="B422" s="109"/>
      <c r="C422" s="109"/>
      <c r="D422" s="109"/>
      <c r="E422" s="528"/>
      <c r="F422" s="132"/>
      <c r="G422" s="130"/>
      <c r="H422" s="130"/>
      <c r="I422" s="132"/>
      <c r="J422" s="132"/>
      <c r="K422" s="527"/>
      <c r="L422" s="109"/>
      <c r="M422" s="117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</row>
    <row r="423" ht="15.75" customHeight="1">
      <c r="A423" s="109"/>
      <c r="B423" s="109"/>
      <c r="C423" s="109"/>
      <c r="D423" s="109"/>
      <c r="E423" s="528"/>
      <c r="F423" s="132"/>
      <c r="G423" s="130"/>
      <c r="H423" s="130"/>
      <c r="I423" s="132"/>
      <c r="J423" s="132"/>
      <c r="K423" s="527"/>
      <c r="L423" s="109"/>
      <c r="M423" s="117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</row>
    <row r="424" ht="15.75" customHeight="1">
      <c r="A424" s="109"/>
      <c r="B424" s="109"/>
      <c r="C424" s="109"/>
      <c r="D424" s="109"/>
      <c r="E424" s="528"/>
      <c r="F424" s="132"/>
      <c r="G424" s="130"/>
      <c r="H424" s="130"/>
      <c r="I424" s="132"/>
      <c r="J424" s="132"/>
      <c r="K424" s="527"/>
      <c r="L424" s="109"/>
      <c r="M424" s="117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</row>
    <row r="425" ht="15.75" customHeight="1">
      <c r="A425" s="109"/>
      <c r="B425" s="109"/>
      <c r="C425" s="109"/>
      <c r="D425" s="109"/>
      <c r="E425" s="528"/>
      <c r="F425" s="132"/>
      <c r="G425" s="130"/>
      <c r="H425" s="130"/>
      <c r="I425" s="132"/>
      <c r="J425" s="132"/>
      <c r="K425" s="527"/>
      <c r="L425" s="109"/>
      <c r="M425" s="117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</row>
    <row r="426" ht="15.75" customHeight="1">
      <c r="A426" s="109"/>
      <c r="B426" s="109"/>
      <c r="C426" s="109"/>
      <c r="D426" s="109"/>
      <c r="E426" s="528"/>
      <c r="F426" s="132"/>
      <c r="G426" s="130"/>
      <c r="H426" s="130"/>
      <c r="I426" s="132"/>
      <c r="J426" s="132"/>
      <c r="K426" s="527"/>
      <c r="L426" s="109"/>
      <c r="M426" s="117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</row>
    <row r="427" ht="15.75" customHeight="1">
      <c r="A427" s="109"/>
      <c r="B427" s="109"/>
      <c r="C427" s="109"/>
      <c r="D427" s="109"/>
      <c r="E427" s="528"/>
      <c r="F427" s="132"/>
      <c r="G427" s="130"/>
      <c r="H427" s="130"/>
      <c r="I427" s="132"/>
      <c r="J427" s="132"/>
      <c r="K427" s="527"/>
      <c r="L427" s="109"/>
      <c r="M427" s="117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</row>
    <row r="428" ht="15.75" customHeight="1">
      <c r="A428" s="109"/>
      <c r="B428" s="109"/>
      <c r="C428" s="109"/>
      <c r="D428" s="109"/>
      <c r="E428" s="528"/>
      <c r="F428" s="132"/>
      <c r="G428" s="130"/>
      <c r="H428" s="130"/>
      <c r="I428" s="132"/>
      <c r="J428" s="132"/>
      <c r="K428" s="527"/>
      <c r="L428" s="109"/>
      <c r="M428" s="117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</row>
    <row r="429" ht="15.75" customHeight="1">
      <c r="A429" s="109"/>
      <c r="B429" s="109"/>
      <c r="C429" s="109"/>
      <c r="D429" s="109"/>
      <c r="E429" s="528"/>
      <c r="F429" s="132"/>
      <c r="G429" s="130"/>
      <c r="H429" s="130"/>
      <c r="I429" s="132"/>
      <c r="J429" s="132"/>
      <c r="K429" s="527"/>
      <c r="L429" s="109"/>
      <c r="M429" s="117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</row>
    <row r="430" ht="15.75" customHeight="1">
      <c r="A430" s="109"/>
      <c r="B430" s="109"/>
      <c r="C430" s="109"/>
      <c r="D430" s="109"/>
      <c r="E430" s="528"/>
      <c r="F430" s="132"/>
      <c r="G430" s="130"/>
      <c r="H430" s="130"/>
      <c r="I430" s="132"/>
      <c r="J430" s="132"/>
      <c r="K430" s="527"/>
      <c r="L430" s="109"/>
      <c r="M430" s="117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</row>
    <row r="431" ht="15.75" customHeight="1">
      <c r="A431" s="109"/>
      <c r="B431" s="109"/>
      <c r="C431" s="109"/>
      <c r="D431" s="109"/>
      <c r="E431" s="528"/>
      <c r="F431" s="132"/>
      <c r="G431" s="130"/>
      <c r="H431" s="130"/>
      <c r="I431" s="132"/>
      <c r="J431" s="132"/>
      <c r="K431" s="527"/>
      <c r="L431" s="109"/>
      <c r="M431" s="117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</row>
    <row r="432" ht="15.75" customHeight="1">
      <c r="A432" s="109"/>
      <c r="B432" s="109"/>
      <c r="C432" s="109"/>
      <c r="D432" s="109"/>
      <c r="E432" s="528"/>
      <c r="F432" s="132"/>
      <c r="G432" s="130"/>
      <c r="H432" s="130"/>
      <c r="I432" s="132"/>
      <c r="J432" s="132"/>
      <c r="K432" s="527"/>
      <c r="L432" s="109"/>
      <c r="M432" s="117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</row>
    <row r="433" ht="15.75" customHeight="1">
      <c r="A433" s="109"/>
      <c r="B433" s="109"/>
      <c r="C433" s="109"/>
      <c r="D433" s="109"/>
      <c r="E433" s="528"/>
      <c r="F433" s="132"/>
      <c r="G433" s="130"/>
      <c r="H433" s="130"/>
      <c r="I433" s="132"/>
      <c r="J433" s="132"/>
      <c r="K433" s="527"/>
      <c r="L433" s="109"/>
      <c r="M433" s="117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</row>
    <row r="434" ht="15.75" customHeight="1">
      <c r="A434" s="109"/>
      <c r="B434" s="109"/>
      <c r="C434" s="109"/>
      <c r="D434" s="109"/>
      <c r="E434" s="528"/>
      <c r="F434" s="132"/>
      <c r="G434" s="130"/>
      <c r="H434" s="130"/>
      <c r="I434" s="132"/>
      <c r="J434" s="132"/>
      <c r="K434" s="527"/>
      <c r="L434" s="109"/>
      <c r="M434" s="117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</row>
    <row r="435" ht="15.75" customHeight="1">
      <c r="A435" s="109"/>
      <c r="B435" s="109"/>
      <c r="C435" s="109"/>
      <c r="D435" s="109"/>
      <c r="E435" s="528"/>
      <c r="F435" s="132"/>
      <c r="G435" s="130"/>
      <c r="H435" s="130"/>
      <c r="I435" s="132"/>
      <c r="J435" s="132"/>
      <c r="K435" s="527"/>
      <c r="L435" s="109"/>
      <c r="M435" s="117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</row>
    <row r="436" ht="15.75" customHeight="1">
      <c r="A436" s="109"/>
      <c r="B436" s="109"/>
      <c r="C436" s="109"/>
      <c r="D436" s="109"/>
      <c r="E436" s="528"/>
      <c r="F436" s="132"/>
      <c r="G436" s="130"/>
      <c r="H436" s="130"/>
      <c r="I436" s="132"/>
      <c r="J436" s="132"/>
      <c r="K436" s="527"/>
      <c r="L436" s="109"/>
      <c r="M436" s="117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</row>
    <row r="437" ht="15.75" customHeight="1">
      <c r="A437" s="109"/>
      <c r="B437" s="109"/>
      <c r="C437" s="109"/>
      <c r="D437" s="109"/>
      <c r="E437" s="528"/>
      <c r="F437" s="132"/>
      <c r="G437" s="130"/>
      <c r="H437" s="130"/>
      <c r="I437" s="132"/>
      <c r="J437" s="132"/>
      <c r="K437" s="527"/>
      <c r="L437" s="109"/>
      <c r="M437" s="117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</row>
    <row r="438" ht="15.75" customHeight="1">
      <c r="A438" s="109"/>
      <c r="B438" s="109"/>
      <c r="C438" s="109"/>
      <c r="D438" s="109"/>
      <c r="E438" s="528"/>
      <c r="F438" s="132"/>
      <c r="G438" s="130"/>
      <c r="H438" s="130"/>
      <c r="I438" s="132"/>
      <c r="J438" s="132"/>
      <c r="K438" s="527"/>
      <c r="L438" s="109"/>
      <c r="M438" s="117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</row>
    <row r="439" ht="15.75" customHeight="1">
      <c r="A439" s="109"/>
      <c r="B439" s="109"/>
      <c r="C439" s="109"/>
      <c r="D439" s="109"/>
      <c r="E439" s="528"/>
      <c r="F439" s="132"/>
      <c r="G439" s="130"/>
      <c r="H439" s="130"/>
      <c r="I439" s="132"/>
      <c r="J439" s="132"/>
      <c r="K439" s="527"/>
      <c r="L439" s="109"/>
      <c r="M439" s="117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</row>
    <row r="440" ht="15.75" customHeight="1">
      <c r="A440" s="109"/>
      <c r="B440" s="109"/>
      <c r="C440" s="109"/>
      <c r="D440" s="109"/>
      <c r="E440" s="528"/>
      <c r="F440" s="132"/>
      <c r="G440" s="130"/>
      <c r="H440" s="130"/>
      <c r="I440" s="132"/>
      <c r="J440" s="132"/>
      <c r="K440" s="527"/>
      <c r="L440" s="109"/>
      <c r="M440" s="117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</row>
    <row r="441" ht="15.75" customHeight="1">
      <c r="A441" s="109"/>
      <c r="B441" s="109"/>
      <c r="C441" s="109"/>
      <c r="D441" s="109"/>
      <c r="E441" s="528"/>
      <c r="F441" s="132"/>
      <c r="G441" s="130"/>
      <c r="H441" s="130"/>
      <c r="I441" s="132"/>
      <c r="J441" s="132"/>
      <c r="K441" s="527"/>
      <c r="L441" s="109"/>
      <c r="M441" s="117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</row>
    <row r="442" ht="15.75" customHeight="1">
      <c r="A442" s="109"/>
      <c r="B442" s="109"/>
      <c r="C442" s="109"/>
      <c r="D442" s="109"/>
      <c r="E442" s="528"/>
      <c r="F442" s="132"/>
      <c r="G442" s="130"/>
      <c r="H442" s="130"/>
      <c r="I442" s="132"/>
      <c r="J442" s="132"/>
      <c r="K442" s="527"/>
      <c r="L442" s="109"/>
      <c r="M442" s="117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</row>
    <row r="443" ht="15.75" customHeight="1">
      <c r="A443" s="109"/>
      <c r="B443" s="109"/>
      <c r="C443" s="109"/>
      <c r="D443" s="109"/>
      <c r="E443" s="528"/>
      <c r="F443" s="132"/>
      <c r="G443" s="130"/>
      <c r="H443" s="130"/>
      <c r="I443" s="132"/>
      <c r="J443" s="132"/>
      <c r="K443" s="527"/>
      <c r="L443" s="109"/>
      <c r="M443" s="117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</row>
    <row r="444" ht="15.75" customHeight="1">
      <c r="A444" s="109"/>
      <c r="B444" s="109"/>
      <c r="C444" s="109"/>
      <c r="D444" s="109"/>
      <c r="E444" s="528"/>
      <c r="F444" s="132"/>
      <c r="G444" s="130"/>
      <c r="H444" s="130"/>
      <c r="I444" s="132"/>
      <c r="J444" s="132"/>
      <c r="K444" s="527"/>
      <c r="L444" s="109"/>
      <c r="M444" s="117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</row>
    <row r="445" ht="15.75" customHeight="1">
      <c r="A445" s="109"/>
      <c r="B445" s="109"/>
      <c r="C445" s="109"/>
      <c r="D445" s="109"/>
      <c r="E445" s="528"/>
      <c r="F445" s="132"/>
      <c r="G445" s="130"/>
      <c r="H445" s="130"/>
      <c r="I445" s="132"/>
      <c r="J445" s="132"/>
      <c r="K445" s="527"/>
      <c r="L445" s="109"/>
      <c r="M445" s="117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</row>
    <row r="446" ht="15.75" customHeight="1">
      <c r="A446" s="109"/>
      <c r="B446" s="109"/>
      <c r="C446" s="109"/>
      <c r="D446" s="109"/>
      <c r="E446" s="528"/>
      <c r="F446" s="132"/>
      <c r="G446" s="130"/>
      <c r="H446" s="130"/>
      <c r="I446" s="132"/>
      <c r="J446" s="132"/>
      <c r="K446" s="527"/>
      <c r="L446" s="109"/>
      <c r="M446" s="117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</row>
    <row r="447" ht="15.75" customHeight="1">
      <c r="A447" s="109"/>
      <c r="B447" s="109"/>
      <c r="C447" s="109"/>
      <c r="D447" s="109"/>
      <c r="E447" s="528"/>
      <c r="F447" s="132"/>
      <c r="G447" s="130"/>
      <c r="H447" s="130"/>
      <c r="I447" s="132"/>
      <c r="J447" s="132"/>
      <c r="K447" s="527"/>
      <c r="L447" s="109"/>
      <c r="M447" s="117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</row>
    <row r="448" ht="15.75" customHeight="1">
      <c r="A448" s="109"/>
      <c r="B448" s="109"/>
      <c r="C448" s="109"/>
      <c r="D448" s="109"/>
      <c r="E448" s="528"/>
      <c r="F448" s="132"/>
      <c r="G448" s="130"/>
      <c r="H448" s="130"/>
      <c r="I448" s="132"/>
      <c r="J448" s="132"/>
      <c r="K448" s="527"/>
      <c r="L448" s="109"/>
      <c r="M448" s="117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</row>
    <row r="449" ht="15.75" customHeight="1">
      <c r="A449" s="109"/>
      <c r="B449" s="109"/>
      <c r="C449" s="109"/>
      <c r="D449" s="109"/>
      <c r="E449" s="528"/>
      <c r="F449" s="132"/>
      <c r="G449" s="130"/>
      <c r="H449" s="130"/>
      <c r="I449" s="132"/>
      <c r="J449" s="132"/>
      <c r="K449" s="527"/>
      <c r="L449" s="109"/>
      <c r="M449" s="117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</row>
    <row r="450" ht="15.75" customHeight="1">
      <c r="A450" s="109"/>
      <c r="B450" s="109"/>
      <c r="C450" s="109"/>
      <c r="D450" s="109"/>
      <c r="E450" s="528"/>
      <c r="F450" s="132"/>
      <c r="G450" s="130"/>
      <c r="H450" s="130"/>
      <c r="I450" s="132"/>
      <c r="J450" s="132"/>
      <c r="K450" s="527"/>
      <c r="L450" s="109"/>
      <c r="M450" s="117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</row>
    <row r="451" ht="15.75" customHeight="1">
      <c r="A451" s="109"/>
      <c r="B451" s="109"/>
      <c r="C451" s="109"/>
      <c r="D451" s="109"/>
      <c r="E451" s="528"/>
      <c r="F451" s="132"/>
      <c r="G451" s="130"/>
      <c r="H451" s="130"/>
      <c r="I451" s="132"/>
      <c r="J451" s="132"/>
      <c r="K451" s="527"/>
      <c r="L451" s="109"/>
      <c r="M451" s="117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</row>
    <row r="452" ht="15.75" customHeight="1">
      <c r="A452" s="109"/>
      <c r="B452" s="109"/>
      <c r="C452" s="109"/>
      <c r="D452" s="109"/>
      <c r="E452" s="528"/>
      <c r="F452" s="132"/>
      <c r="G452" s="130"/>
      <c r="H452" s="130"/>
      <c r="I452" s="132"/>
      <c r="J452" s="132"/>
      <c r="K452" s="527"/>
      <c r="L452" s="109"/>
      <c r="M452" s="117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</row>
    <row r="453" ht="15.75" customHeight="1">
      <c r="A453" s="109"/>
      <c r="B453" s="109"/>
      <c r="C453" s="109"/>
      <c r="D453" s="109"/>
      <c r="E453" s="528"/>
      <c r="F453" s="132"/>
      <c r="G453" s="130"/>
      <c r="H453" s="130"/>
      <c r="I453" s="132"/>
      <c r="J453" s="132"/>
      <c r="K453" s="527"/>
      <c r="L453" s="109"/>
      <c r="M453" s="117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</row>
    <row r="454" ht="15.75" customHeight="1">
      <c r="A454" s="109"/>
      <c r="B454" s="109"/>
      <c r="C454" s="109"/>
      <c r="D454" s="109"/>
      <c r="E454" s="528"/>
      <c r="F454" s="132"/>
      <c r="G454" s="130"/>
      <c r="H454" s="130"/>
      <c r="I454" s="132"/>
      <c r="J454" s="132"/>
      <c r="K454" s="527"/>
      <c r="L454" s="109"/>
      <c r="M454" s="117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</row>
    <row r="455" ht="15.75" customHeight="1">
      <c r="A455" s="109"/>
      <c r="B455" s="109"/>
      <c r="C455" s="109"/>
      <c r="D455" s="109"/>
      <c r="E455" s="528"/>
      <c r="F455" s="132"/>
      <c r="G455" s="130"/>
      <c r="H455" s="130"/>
      <c r="I455" s="132"/>
      <c r="J455" s="132"/>
      <c r="K455" s="527"/>
      <c r="L455" s="109"/>
      <c r="M455" s="117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</row>
    <row r="456" ht="15.75" customHeight="1">
      <c r="A456" s="109"/>
      <c r="B456" s="109"/>
      <c r="C456" s="109"/>
      <c r="D456" s="109"/>
      <c r="E456" s="528"/>
      <c r="F456" s="132"/>
      <c r="G456" s="130"/>
      <c r="H456" s="130"/>
      <c r="I456" s="132"/>
      <c r="J456" s="132"/>
      <c r="K456" s="527"/>
      <c r="L456" s="109"/>
      <c r="M456" s="117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</row>
    <row r="457" ht="15.75" customHeight="1">
      <c r="A457" s="109"/>
      <c r="B457" s="109"/>
      <c r="C457" s="109"/>
      <c r="D457" s="109"/>
      <c r="E457" s="528"/>
      <c r="F457" s="132"/>
      <c r="G457" s="130"/>
      <c r="H457" s="130"/>
      <c r="I457" s="132"/>
      <c r="J457" s="132"/>
      <c r="K457" s="527"/>
      <c r="L457" s="109"/>
      <c r="M457" s="117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</row>
    <row r="458" ht="15.75" customHeight="1">
      <c r="A458" s="109"/>
      <c r="B458" s="109"/>
      <c r="C458" s="109"/>
      <c r="D458" s="109"/>
      <c r="E458" s="528"/>
      <c r="F458" s="132"/>
      <c r="G458" s="130"/>
      <c r="H458" s="130"/>
      <c r="I458" s="132"/>
      <c r="J458" s="132"/>
      <c r="K458" s="527"/>
      <c r="L458" s="109"/>
      <c r="M458" s="117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</row>
    <row r="459" ht="15.75" customHeight="1">
      <c r="A459" s="109"/>
      <c r="B459" s="109"/>
      <c r="C459" s="109"/>
      <c r="D459" s="109"/>
      <c r="E459" s="528"/>
      <c r="F459" s="132"/>
      <c r="G459" s="130"/>
      <c r="H459" s="130"/>
      <c r="I459" s="132"/>
      <c r="J459" s="132"/>
      <c r="K459" s="527"/>
      <c r="L459" s="109"/>
      <c r="M459" s="117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</row>
    <row r="460" ht="15.75" customHeight="1">
      <c r="A460" s="109"/>
      <c r="B460" s="109"/>
      <c r="C460" s="109"/>
      <c r="D460" s="109"/>
      <c r="E460" s="528"/>
      <c r="F460" s="132"/>
      <c r="G460" s="130"/>
      <c r="H460" s="130"/>
      <c r="I460" s="132"/>
      <c r="J460" s="132"/>
      <c r="K460" s="527"/>
      <c r="L460" s="109"/>
      <c r="M460" s="117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</row>
    <row r="461" ht="15.75" customHeight="1">
      <c r="A461" s="109"/>
      <c r="B461" s="109"/>
      <c r="C461" s="109"/>
      <c r="D461" s="109"/>
      <c r="E461" s="528"/>
      <c r="F461" s="132"/>
      <c r="G461" s="130"/>
      <c r="H461" s="130"/>
      <c r="I461" s="132"/>
      <c r="J461" s="132"/>
      <c r="K461" s="527"/>
      <c r="L461" s="109"/>
      <c r="M461" s="117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</row>
    <row r="462" ht="15.75" customHeight="1">
      <c r="A462" s="109"/>
      <c r="B462" s="109"/>
      <c r="C462" s="109"/>
      <c r="D462" s="109"/>
      <c r="E462" s="528"/>
      <c r="F462" s="132"/>
      <c r="G462" s="130"/>
      <c r="H462" s="130"/>
      <c r="I462" s="132"/>
      <c r="J462" s="132"/>
      <c r="K462" s="527"/>
      <c r="L462" s="109"/>
      <c r="M462" s="117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</row>
    <row r="463" ht="15.75" customHeight="1">
      <c r="A463" s="109"/>
      <c r="B463" s="109"/>
      <c r="C463" s="109"/>
      <c r="D463" s="109"/>
      <c r="E463" s="528"/>
      <c r="F463" s="132"/>
      <c r="G463" s="130"/>
      <c r="H463" s="130"/>
      <c r="I463" s="132"/>
      <c r="J463" s="132"/>
      <c r="K463" s="527"/>
      <c r="L463" s="109"/>
      <c r="M463" s="117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</row>
    <row r="464" ht="15.75" customHeight="1">
      <c r="A464" s="109"/>
      <c r="B464" s="109"/>
      <c r="C464" s="109"/>
      <c r="D464" s="109"/>
      <c r="E464" s="528"/>
      <c r="F464" s="132"/>
      <c r="G464" s="130"/>
      <c r="H464" s="130"/>
      <c r="I464" s="132"/>
      <c r="J464" s="132"/>
      <c r="K464" s="527"/>
      <c r="L464" s="109"/>
      <c r="M464" s="117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</row>
    <row r="465" ht="15.75" customHeight="1">
      <c r="A465" s="109"/>
      <c r="B465" s="109"/>
      <c r="C465" s="109"/>
      <c r="D465" s="109"/>
      <c r="E465" s="528"/>
      <c r="F465" s="132"/>
      <c r="G465" s="130"/>
      <c r="H465" s="130"/>
      <c r="I465" s="132"/>
      <c r="J465" s="132"/>
      <c r="K465" s="527"/>
      <c r="L465" s="109"/>
      <c r="M465" s="117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</row>
    <row r="466" ht="15.75" customHeight="1">
      <c r="A466" s="109"/>
      <c r="B466" s="109"/>
      <c r="C466" s="109"/>
      <c r="D466" s="109"/>
      <c r="E466" s="528"/>
      <c r="F466" s="132"/>
      <c r="G466" s="130"/>
      <c r="H466" s="130"/>
      <c r="I466" s="132"/>
      <c r="J466" s="132"/>
      <c r="K466" s="527"/>
      <c r="L466" s="109"/>
      <c r="M466" s="117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</row>
    <row r="467" ht="15.75" customHeight="1">
      <c r="A467" s="109"/>
      <c r="B467" s="109"/>
      <c r="C467" s="109"/>
      <c r="D467" s="109"/>
      <c r="E467" s="528"/>
      <c r="F467" s="132"/>
      <c r="G467" s="130"/>
      <c r="H467" s="130"/>
      <c r="I467" s="132"/>
      <c r="J467" s="132"/>
      <c r="K467" s="527"/>
      <c r="L467" s="109"/>
      <c r="M467" s="117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</row>
    <row r="468" ht="15.75" customHeight="1">
      <c r="A468" s="109"/>
      <c r="B468" s="109"/>
      <c r="C468" s="109"/>
      <c r="D468" s="109"/>
      <c r="E468" s="528"/>
      <c r="F468" s="132"/>
      <c r="G468" s="130"/>
      <c r="H468" s="130"/>
      <c r="I468" s="132"/>
      <c r="J468" s="132"/>
      <c r="K468" s="527"/>
      <c r="L468" s="109"/>
      <c r="M468" s="117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</row>
    <row r="469" ht="15.75" customHeight="1">
      <c r="A469" s="109"/>
      <c r="B469" s="109"/>
      <c r="C469" s="109"/>
      <c r="D469" s="109"/>
      <c r="E469" s="528"/>
      <c r="F469" s="132"/>
      <c r="G469" s="130"/>
      <c r="H469" s="130"/>
      <c r="I469" s="132"/>
      <c r="J469" s="132"/>
      <c r="K469" s="527"/>
      <c r="L469" s="109"/>
      <c r="M469" s="117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</row>
    <row r="470" ht="15.75" customHeight="1">
      <c r="A470" s="109"/>
      <c r="B470" s="109"/>
      <c r="C470" s="109"/>
      <c r="D470" s="109"/>
      <c r="E470" s="528"/>
      <c r="F470" s="132"/>
      <c r="G470" s="130"/>
      <c r="H470" s="130"/>
      <c r="I470" s="132"/>
      <c r="J470" s="132"/>
      <c r="K470" s="527"/>
      <c r="L470" s="109"/>
      <c r="M470" s="117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</row>
    <row r="471" ht="15.75" customHeight="1">
      <c r="A471" s="109"/>
      <c r="B471" s="109"/>
      <c r="C471" s="109"/>
      <c r="D471" s="109"/>
      <c r="E471" s="528"/>
      <c r="F471" s="132"/>
      <c r="G471" s="130"/>
      <c r="H471" s="130"/>
      <c r="I471" s="132"/>
      <c r="J471" s="132"/>
      <c r="K471" s="527"/>
      <c r="L471" s="109"/>
      <c r="M471" s="117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</row>
    <row r="472" ht="15.75" customHeight="1">
      <c r="A472" s="109"/>
      <c r="B472" s="109"/>
      <c r="C472" s="109"/>
      <c r="D472" s="109"/>
      <c r="E472" s="528"/>
      <c r="F472" s="132"/>
      <c r="G472" s="130"/>
      <c r="H472" s="130"/>
      <c r="I472" s="132"/>
      <c r="J472" s="132"/>
      <c r="K472" s="527"/>
      <c r="L472" s="109"/>
      <c r="M472" s="117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</row>
    <row r="473" ht="15.75" customHeight="1">
      <c r="A473" s="109"/>
      <c r="B473" s="109"/>
      <c r="C473" s="109"/>
      <c r="D473" s="109"/>
      <c r="E473" s="528"/>
      <c r="F473" s="132"/>
      <c r="G473" s="130"/>
      <c r="H473" s="130"/>
      <c r="I473" s="132"/>
      <c r="J473" s="132"/>
      <c r="K473" s="527"/>
      <c r="L473" s="109"/>
      <c r="M473" s="117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</row>
    <row r="474" ht="15.75" customHeight="1">
      <c r="A474" s="109"/>
      <c r="B474" s="109"/>
      <c r="C474" s="109"/>
      <c r="D474" s="109"/>
      <c r="E474" s="528"/>
      <c r="F474" s="132"/>
      <c r="G474" s="130"/>
      <c r="H474" s="130"/>
      <c r="I474" s="132"/>
      <c r="J474" s="132"/>
      <c r="K474" s="527"/>
      <c r="L474" s="109"/>
      <c r="M474" s="117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</row>
    <row r="475" ht="15.75" customHeight="1">
      <c r="A475" s="109"/>
      <c r="B475" s="109"/>
      <c r="C475" s="109"/>
      <c r="D475" s="109"/>
      <c r="E475" s="528"/>
      <c r="F475" s="132"/>
      <c r="G475" s="130"/>
      <c r="H475" s="130"/>
      <c r="I475" s="132"/>
      <c r="J475" s="132"/>
      <c r="K475" s="527"/>
      <c r="L475" s="109"/>
      <c r="M475" s="117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</row>
    <row r="476" ht="15.75" customHeight="1">
      <c r="A476" s="109"/>
      <c r="B476" s="109"/>
      <c r="C476" s="109"/>
      <c r="D476" s="109"/>
      <c r="E476" s="528"/>
      <c r="F476" s="132"/>
      <c r="G476" s="130"/>
      <c r="H476" s="130"/>
      <c r="I476" s="132"/>
      <c r="J476" s="132"/>
      <c r="K476" s="527"/>
      <c r="L476" s="109"/>
      <c r="M476" s="117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</row>
    <row r="477" ht="15.75" customHeight="1">
      <c r="A477" s="109"/>
      <c r="B477" s="109"/>
      <c r="C477" s="109"/>
      <c r="D477" s="109"/>
      <c r="E477" s="528"/>
      <c r="F477" s="132"/>
      <c r="G477" s="130"/>
      <c r="H477" s="130"/>
      <c r="I477" s="132"/>
      <c r="J477" s="132"/>
      <c r="K477" s="527"/>
      <c r="L477" s="109"/>
      <c r="M477" s="117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</row>
    <row r="478" ht="15.75" customHeight="1">
      <c r="A478" s="109"/>
      <c r="B478" s="109"/>
      <c r="C478" s="109"/>
      <c r="D478" s="109"/>
      <c r="E478" s="528"/>
      <c r="F478" s="132"/>
      <c r="G478" s="130"/>
      <c r="H478" s="130"/>
      <c r="I478" s="132"/>
      <c r="J478" s="132"/>
      <c r="K478" s="527"/>
      <c r="L478" s="109"/>
      <c r="M478" s="117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</row>
    <row r="479" ht="15.75" customHeight="1">
      <c r="A479" s="109"/>
      <c r="B479" s="109"/>
      <c r="C479" s="109"/>
      <c r="D479" s="109"/>
      <c r="E479" s="528"/>
      <c r="F479" s="132"/>
      <c r="G479" s="130"/>
      <c r="H479" s="130"/>
      <c r="I479" s="132"/>
      <c r="J479" s="132"/>
      <c r="K479" s="527"/>
      <c r="L479" s="109"/>
      <c r="M479" s="117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</row>
    <row r="480" ht="15.75" customHeight="1">
      <c r="A480" s="109"/>
      <c r="B480" s="109"/>
      <c r="C480" s="109"/>
      <c r="D480" s="109"/>
      <c r="E480" s="528"/>
      <c r="F480" s="132"/>
      <c r="G480" s="130"/>
      <c r="H480" s="130"/>
      <c r="I480" s="132"/>
      <c r="J480" s="132"/>
      <c r="K480" s="527"/>
      <c r="L480" s="109"/>
      <c r="M480" s="117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</row>
    <row r="481" ht="15.75" customHeight="1">
      <c r="A481" s="109"/>
      <c r="B481" s="109"/>
      <c r="C481" s="109"/>
      <c r="D481" s="109"/>
      <c r="E481" s="528"/>
      <c r="F481" s="132"/>
      <c r="G481" s="130"/>
      <c r="H481" s="130"/>
      <c r="I481" s="132"/>
      <c r="J481" s="132"/>
      <c r="K481" s="527"/>
      <c r="L481" s="109"/>
      <c r="M481" s="117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</row>
    <row r="482" ht="15.75" customHeight="1">
      <c r="A482" s="109"/>
      <c r="B482" s="109"/>
      <c r="C482" s="109"/>
      <c r="D482" s="109"/>
      <c r="E482" s="528"/>
      <c r="F482" s="132"/>
      <c r="G482" s="130"/>
      <c r="H482" s="130"/>
      <c r="I482" s="132"/>
      <c r="J482" s="132"/>
      <c r="K482" s="527"/>
      <c r="L482" s="109"/>
      <c r="M482" s="117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</row>
    <row r="483" ht="15.75" customHeight="1">
      <c r="A483" s="109"/>
      <c r="B483" s="109"/>
      <c r="C483" s="109"/>
      <c r="D483" s="109"/>
      <c r="E483" s="528"/>
      <c r="F483" s="132"/>
      <c r="G483" s="130"/>
      <c r="H483" s="130"/>
      <c r="I483" s="132"/>
      <c r="J483" s="132"/>
      <c r="K483" s="527"/>
      <c r="L483" s="109"/>
      <c r="M483" s="117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</row>
    <row r="484" ht="15.75" customHeight="1">
      <c r="A484" s="109"/>
      <c r="B484" s="109"/>
      <c r="C484" s="109"/>
      <c r="D484" s="109"/>
      <c r="E484" s="528"/>
      <c r="F484" s="132"/>
      <c r="G484" s="130"/>
      <c r="H484" s="130"/>
      <c r="I484" s="132"/>
      <c r="J484" s="132"/>
      <c r="K484" s="527"/>
      <c r="L484" s="109"/>
      <c r="M484" s="117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</row>
    <row r="485" ht="15.75" customHeight="1">
      <c r="A485" s="109"/>
      <c r="B485" s="109"/>
      <c r="C485" s="109"/>
      <c r="D485" s="109"/>
      <c r="E485" s="528"/>
      <c r="F485" s="132"/>
      <c r="G485" s="130"/>
      <c r="H485" s="130"/>
      <c r="I485" s="132"/>
      <c r="J485" s="132"/>
      <c r="K485" s="527"/>
      <c r="L485" s="109"/>
      <c r="M485" s="117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</row>
    <row r="486" ht="15.75" customHeight="1">
      <c r="A486" s="109"/>
      <c r="B486" s="109"/>
      <c r="C486" s="109"/>
      <c r="D486" s="109"/>
      <c r="E486" s="528"/>
      <c r="F486" s="132"/>
      <c r="G486" s="130"/>
      <c r="H486" s="130"/>
      <c r="I486" s="132"/>
      <c r="J486" s="132"/>
      <c r="K486" s="527"/>
      <c r="L486" s="109"/>
      <c r="M486" s="117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</row>
    <row r="487" ht="15.75" customHeight="1">
      <c r="A487" s="109"/>
      <c r="B487" s="109"/>
      <c r="C487" s="109"/>
      <c r="D487" s="109"/>
      <c r="E487" s="528"/>
      <c r="F487" s="132"/>
      <c r="G487" s="130"/>
      <c r="H487" s="130"/>
      <c r="I487" s="132"/>
      <c r="J487" s="132"/>
      <c r="K487" s="527"/>
      <c r="L487" s="109"/>
      <c r="M487" s="117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</row>
    <row r="488" ht="15.75" customHeight="1">
      <c r="A488" s="109"/>
      <c r="B488" s="109"/>
      <c r="C488" s="109"/>
      <c r="D488" s="109"/>
      <c r="E488" s="528"/>
      <c r="F488" s="132"/>
      <c r="G488" s="130"/>
      <c r="H488" s="130"/>
      <c r="I488" s="132"/>
      <c r="J488" s="132"/>
      <c r="K488" s="527"/>
      <c r="L488" s="109"/>
      <c r="M488" s="117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</row>
    <row r="489" ht="15.75" customHeight="1">
      <c r="A489" s="109"/>
      <c r="B489" s="109"/>
      <c r="C489" s="109"/>
      <c r="D489" s="109"/>
      <c r="E489" s="528"/>
      <c r="F489" s="132"/>
      <c r="G489" s="130"/>
      <c r="H489" s="130"/>
      <c r="I489" s="132"/>
      <c r="J489" s="132"/>
      <c r="K489" s="527"/>
      <c r="L489" s="109"/>
      <c r="M489" s="117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</row>
    <row r="490" ht="15.75" customHeight="1">
      <c r="A490" s="109"/>
      <c r="B490" s="109"/>
      <c r="C490" s="109"/>
      <c r="D490" s="109"/>
      <c r="E490" s="528"/>
      <c r="F490" s="132"/>
      <c r="G490" s="130"/>
      <c r="H490" s="130"/>
      <c r="I490" s="132"/>
      <c r="J490" s="132"/>
      <c r="K490" s="527"/>
      <c r="L490" s="109"/>
      <c r="M490" s="117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</row>
    <row r="491" ht="15.75" customHeight="1">
      <c r="A491" s="109"/>
      <c r="B491" s="109"/>
      <c r="C491" s="109"/>
      <c r="D491" s="109"/>
      <c r="E491" s="528"/>
      <c r="F491" s="132"/>
      <c r="G491" s="130"/>
      <c r="H491" s="130"/>
      <c r="I491" s="132"/>
      <c r="J491" s="132"/>
      <c r="K491" s="527"/>
      <c r="L491" s="109"/>
      <c r="M491" s="117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</row>
    <row r="492" ht="15.75" customHeight="1">
      <c r="A492" s="109"/>
      <c r="B492" s="109"/>
      <c r="C492" s="109"/>
      <c r="D492" s="109"/>
      <c r="E492" s="528"/>
      <c r="F492" s="132"/>
      <c r="G492" s="130"/>
      <c r="H492" s="130"/>
      <c r="I492" s="132"/>
      <c r="J492" s="132"/>
      <c r="K492" s="527"/>
      <c r="L492" s="109"/>
      <c r="M492" s="117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</row>
    <row r="493" ht="15.75" customHeight="1">
      <c r="A493" s="109"/>
      <c r="B493" s="109"/>
      <c r="C493" s="109"/>
      <c r="D493" s="109"/>
      <c r="E493" s="528"/>
      <c r="F493" s="132"/>
      <c r="G493" s="130"/>
      <c r="H493" s="130"/>
      <c r="I493" s="132"/>
      <c r="J493" s="132"/>
      <c r="K493" s="527"/>
      <c r="L493" s="109"/>
      <c r="M493" s="117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</row>
    <row r="494" ht="15.75" customHeight="1">
      <c r="A494" s="109"/>
      <c r="B494" s="109"/>
      <c r="C494" s="109"/>
      <c r="D494" s="109"/>
      <c r="E494" s="528"/>
      <c r="F494" s="132"/>
      <c r="G494" s="130"/>
      <c r="H494" s="130"/>
      <c r="I494" s="132"/>
      <c r="J494" s="132"/>
      <c r="K494" s="527"/>
      <c r="L494" s="109"/>
      <c r="M494" s="117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</row>
    <row r="495" ht="15.75" customHeight="1">
      <c r="A495" s="109"/>
      <c r="B495" s="109"/>
      <c r="C495" s="109"/>
      <c r="D495" s="109"/>
      <c r="E495" s="528"/>
      <c r="F495" s="132"/>
      <c r="G495" s="130"/>
      <c r="H495" s="130"/>
      <c r="I495" s="132"/>
      <c r="J495" s="132"/>
      <c r="K495" s="527"/>
      <c r="L495" s="109"/>
      <c r="M495" s="117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</row>
    <row r="496" ht="15.75" customHeight="1">
      <c r="A496" s="109"/>
      <c r="B496" s="109"/>
      <c r="C496" s="109"/>
      <c r="D496" s="109"/>
      <c r="E496" s="528"/>
      <c r="F496" s="132"/>
      <c r="G496" s="130"/>
      <c r="H496" s="130"/>
      <c r="I496" s="132"/>
      <c r="J496" s="132"/>
      <c r="K496" s="527"/>
      <c r="L496" s="109"/>
      <c r="M496" s="117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</row>
    <row r="497" ht="15.75" customHeight="1">
      <c r="A497" s="109"/>
      <c r="B497" s="109"/>
      <c r="C497" s="109"/>
      <c r="D497" s="109"/>
      <c r="E497" s="528"/>
      <c r="F497" s="132"/>
      <c r="G497" s="130"/>
      <c r="H497" s="130"/>
      <c r="I497" s="132"/>
      <c r="J497" s="132"/>
      <c r="K497" s="527"/>
      <c r="L497" s="109"/>
      <c r="M497" s="117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</row>
    <row r="498" ht="15.75" customHeight="1">
      <c r="A498" s="109"/>
      <c r="B498" s="109"/>
      <c r="C498" s="109"/>
      <c r="D498" s="109"/>
      <c r="E498" s="528"/>
      <c r="F498" s="132"/>
      <c r="G498" s="130"/>
      <c r="H498" s="130"/>
      <c r="I498" s="132"/>
      <c r="J498" s="132"/>
      <c r="K498" s="527"/>
      <c r="L498" s="109"/>
      <c r="M498" s="117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</row>
    <row r="499" ht="15.75" customHeight="1">
      <c r="A499" s="109"/>
      <c r="B499" s="109"/>
      <c r="C499" s="109"/>
      <c r="D499" s="109"/>
      <c r="E499" s="528"/>
      <c r="F499" s="132"/>
      <c r="G499" s="130"/>
      <c r="H499" s="130"/>
      <c r="I499" s="132"/>
      <c r="J499" s="132"/>
      <c r="K499" s="527"/>
      <c r="L499" s="109"/>
      <c r="M499" s="117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</row>
    <row r="500" ht="15.75" customHeight="1">
      <c r="A500" s="109"/>
      <c r="B500" s="109"/>
      <c r="C500" s="109"/>
      <c r="D500" s="109"/>
      <c r="E500" s="528"/>
      <c r="F500" s="132"/>
      <c r="G500" s="130"/>
      <c r="H500" s="130"/>
      <c r="I500" s="132"/>
      <c r="J500" s="132"/>
      <c r="K500" s="527"/>
      <c r="L500" s="109"/>
      <c r="M500" s="117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</row>
    <row r="501" ht="15.75" customHeight="1">
      <c r="A501" s="109"/>
      <c r="B501" s="109"/>
      <c r="C501" s="109"/>
      <c r="D501" s="109"/>
      <c r="E501" s="528"/>
      <c r="F501" s="132"/>
      <c r="G501" s="130"/>
      <c r="H501" s="130"/>
      <c r="I501" s="132"/>
      <c r="J501" s="132"/>
      <c r="K501" s="527"/>
      <c r="L501" s="109"/>
      <c r="M501" s="117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</row>
    <row r="502" ht="15.75" customHeight="1">
      <c r="A502" s="109"/>
      <c r="B502" s="109"/>
      <c r="C502" s="109"/>
      <c r="D502" s="109"/>
      <c r="E502" s="528"/>
      <c r="F502" s="132"/>
      <c r="G502" s="130"/>
      <c r="H502" s="130"/>
      <c r="I502" s="132"/>
      <c r="J502" s="132"/>
      <c r="K502" s="527"/>
      <c r="L502" s="109"/>
      <c r="M502" s="117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</row>
    <row r="503" ht="15.75" customHeight="1">
      <c r="A503" s="109"/>
      <c r="B503" s="109"/>
      <c r="C503" s="109"/>
      <c r="D503" s="109"/>
      <c r="E503" s="528"/>
      <c r="F503" s="132"/>
      <c r="G503" s="130"/>
      <c r="H503" s="130"/>
      <c r="I503" s="132"/>
      <c r="J503" s="132"/>
      <c r="K503" s="527"/>
      <c r="L503" s="109"/>
      <c r="M503" s="117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</row>
    <row r="504" ht="15.75" customHeight="1">
      <c r="A504" s="109"/>
      <c r="B504" s="109"/>
      <c r="C504" s="109"/>
      <c r="D504" s="109"/>
      <c r="E504" s="528"/>
      <c r="F504" s="132"/>
      <c r="G504" s="130"/>
      <c r="H504" s="130"/>
      <c r="I504" s="132"/>
      <c r="J504" s="132"/>
      <c r="K504" s="527"/>
      <c r="L504" s="109"/>
      <c r="M504" s="117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</row>
    <row r="505" ht="15.75" customHeight="1">
      <c r="A505" s="109"/>
      <c r="B505" s="109"/>
      <c r="C505" s="109"/>
      <c r="D505" s="109"/>
      <c r="E505" s="528"/>
      <c r="F505" s="132"/>
      <c r="G505" s="130"/>
      <c r="H505" s="130"/>
      <c r="I505" s="132"/>
      <c r="J505" s="132"/>
      <c r="K505" s="527"/>
      <c r="L505" s="109"/>
      <c r="M505" s="117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</row>
    <row r="506" ht="15.75" customHeight="1">
      <c r="A506" s="109"/>
      <c r="B506" s="109"/>
      <c r="C506" s="109"/>
      <c r="D506" s="109"/>
      <c r="E506" s="528"/>
      <c r="F506" s="132"/>
      <c r="G506" s="130"/>
      <c r="H506" s="130"/>
      <c r="I506" s="132"/>
      <c r="J506" s="132"/>
      <c r="K506" s="527"/>
      <c r="L506" s="109"/>
      <c r="M506" s="117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</row>
    <row r="507" ht="15.75" customHeight="1">
      <c r="A507" s="109"/>
      <c r="B507" s="109"/>
      <c r="C507" s="109"/>
      <c r="D507" s="109"/>
      <c r="E507" s="528"/>
      <c r="F507" s="132"/>
      <c r="G507" s="130"/>
      <c r="H507" s="130"/>
      <c r="I507" s="132"/>
      <c r="J507" s="132"/>
      <c r="K507" s="527"/>
      <c r="L507" s="109"/>
      <c r="M507" s="117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</row>
    <row r="508" ht="15.75" customHeight="1">
      <c r="A508" s="109"/>
      <c r="B508" s="109"/>
      <c r="C508" s="109"/>
      <c r="D508" s="109"/>
      <c r="E508" s="528"/>
      <c r="F508" s="132"/>
      <c r="G508" s="130"/>
      <c r="H508" s="130"/>
      <c r="I508" s="132"/>
      <c r="J508" s="132"/>
      <c r="K508" s="527"/>
      <c r="L508" s="109"/>
      <c r="M508" s="117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</row>
    <row r="509" ht="15.75" customHeight="1">
      <c r="A509" s="109"/>
      <c r="B509" s="109"/>
      <c r="C509" s="109"/>
      <c r="D509" s="109"/>
      <c r="E509" s="528"/>
      <c r="F509" s="132"/>
      <c r="G509" s="130"/>
      <c r="H509" s="130"/>
      <c r="I509" s="132"/>
      <c r="J509" s="132"/>
      <c r="K509" s="527"/>
      <c r="L509" s="109"/>
      <c r="M509" s="117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</row>
    <row r="510" ht="15.75" customHeight="1">
      <c r="A510" s="109"/>
      <c r="B510" s="109"/>
      <c r="C510" s="109"/>
      <c r="D510" s="109"/>
      <c r="E510" s="528"/>
      <c r="F510" s="132"/>
      <c r="G510" s="130"/>
      <c r="H510" s="130"/>
      <c r="I510" s="132"/>
      <c r="J510" s="132"/>
      <c r="K510" s="527"/>
      <c r="L510" s="109"/>
      <c r="M510" s="117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</row>
    <row r="511" ht="15.75" customHeight="1">
      <c r="A511" s="109"/>
      <c r="B511" s="109"/>
      <c r="C511" s="109"/>
      <c r="D511" s="109"/>
      <c r="E511" s="528"/>
      <c r="F511" s="132"/>
      <c r="G511" s="130"/>
      <c r="H511" s="130"/>
      <c r="I511" s="132"/>
      <c r="J511" s="132"/>
      <c r="K511" s="527"/>
      <c r="L511" s="109"/>
      <c r="M511" s="117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</row>
    <row r="512" ht="15.75" customHeight="1">
      <c r="A512" s="109"/>
      <c r="B512" s="109"/>
      <c r="C512" s="109"/>
      <c r="D512" s="109"/>
      <c r="E512" s="528"/>
      <c r="F512" s="132"/>
      <c r="G512" s="130"/>
      <c r="H512" s="130"/>
      <c r="I512" s="132"/>
      <c r="J512" s="132"/>
      <c r="K512" s="527"/>
      <c r="L512" s="109"/>
      <c r="M512" s="117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</row>
    <row r="513" ht="15.75" customHeight="1">
      <c r="A513" s="109"/>
      <c r="B513" s="109"/>
      <c r="C513" s="109"/>
      <c r="D513" s="109"/>
      <c r="E513" s="528"/>
      <c r="F513" s="132"/>
      <c r="G513" s="130"/>
      <c r="H513" s="130"/>
      <c r="I513" s="132"/>
      <c r="J513" s="132"/>
      <c r="K513" s="527"/>
      <c r="L513" s="109"/>
      <c r="M513" s="117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</row>
    <row r="514" ht="15.75" customHeight="1">
      <c r="A514" s="109"/>
      <c r="B514" s="109"/>
      <c r="C514" s="109"/>
      <c r="D514" s="109"/>
      <c r="E514" s="528"/>
      <c r="F514" s="132"/>
      <c r="G514" s="130"/>
      <c r="H514" s="130"/>
      <c r="I514" s="132"/>
      <c r="J514" s="132"/>
      <c r="K514" s="527"/>
      <c r="L514" s="109"/>
      <c r="M514" s="117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</row>
    <row r="515" ht="15.75" customHeight="1">
      <c r="A515" s="109"/>
      <c r="B515" s="109"/>
      <c r="C515" s="109"/>
      <c r="D515" s="109"/>
      <c r="E515" s="528"/>
      <c r="F515" s="132"/>
      <c r="G515" s="130"/>
      <c r="H515" s="130"/>
      <c r="I515" s="132"/>
      <c r="J515" s="132"/>
      <c r="K515" s="527"/>
      <c r="L515" s="109"/>
      <c r="M515" s="117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</row>
    <row r="516" ht="15.75" customHeight="1">
      <c r="A516" s="109"/>
      <c r="B516" s="109"/>
      <c r="C516" s="109"/>
      <c r="D516" s="109"/>
      <c r="E516" s="528"/>
      <c r="F516" s="132"/>
      <c r="G516" s="130"/>
      <c r="H516" s="130"/>
      <c r="I516" s="132"/>
      <c r="J516" s="132"/>
      <c r="K516" s="527"/>
      <c r="L516" s="109"/>
      <c r="M516" s="117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</row>
    <row r="517" ht="15.75" customHeight="1">
      <c r="A517" s="109"/>
      <c r="B517" s="109"/>
      <c r="C517" s="109"/>
      <c r="D517" s="109"/>
      <c r="E517" s="528"/>
      <c r="F517" s="132"/>
      <c r="G517" s="130"/>
      <c r="H517" s="130"/>
      <c r="I517" s="132"/>
      <c r="J517" s="132"/>
      <c r="K517" s="527"/>
      <c r="L517" s="109"/>
      <c r="M517" s="117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</row>
    <row r="518" ht="15.75" customHeight="1">
      <c r="A518" s="109"/>
      <c r="B518" s="109"/>
      <c r="C518" s="109"/>
      <c r="D518" s="109"/>
      <c r="E518" s="528"/>
      <c r="F518" s="132"/>
      <c r="G518" s="130"/>
      <c r="H518" s="130"/>
      <c r="I518" s="132"/>
      <c r="J518" s="132"/>
      <c r="K518" s="527"/>
      <c r="L518" s="109"/>
      <c r="M518" s="117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</row>
    <row r="519" ht="15.75" customHeight="1">
      <c r="A519" s="109"/>
      <c r="B519" s="109"/>
      <c r="C519" s="109"/>
      <c r="D519" s="109"/>
      <c r="E519" s="528"/>
      <c r="F519" s="132"/>
      <c r="G519" s="130"/>
      <c r="H519" s="130"/>
      <c r="I519" s="132"/>
      <c r="J519" s="132"/>
      <c r="K519" s="527"/>
      <c r="L519" s="109"/>
      <c r="M519" s="117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</row>
    <row r="520" ht="15.75" customHeight="1">
      <c r="A520" s="109"/>
      <c r="B520" s="109"/>
      <c r="C520" s="109"/>
      <c r="D520" s="109"/>
      <c r="E520" s="528"/>
      <c r="F520" s="132"/>
      <c r="G520" s="130"/>
      <c r="H520" s="130"/>
      <c r="I520" s="132"/>
      <c r="J520" s="132"/>
      <c r="K520" s="527"/>
      <c r="L520" s="109"/>
      <c r="M520" s="117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</row>
    <row r="521" ht="15.75" customHeight="1">
      <c r="A521" s="109"/>
      <c r="B521" s="109"/>
      <c r="C521" s="109"/>
      <c r="D521" s="109"/>
      <c r="E521" s="528"/>
      <c r="F521" s="132"/>
      <c r="G521" s="130"/>
      <c r="H521" s="130"/>
      <c r="I521" s="132"/>
      <c r="J521" s="132"/>
      <c r="K521" s="527"/>
      <c r="L521" s="109"/>
      <c r="M521" s="117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</row>
    <row r="522" ht="15.75" customHeight="1">
      <c r="A522" s="109"/>
      <c r="B522" s="109"/>
      <c r="C522" s="109"/>
      <c r="D522" s="109"/>
      <c r="E522" s="528"/>
      <c r="F522" s="132"/>
      <c r="G522" s="130"/>
      <c r="H522" s="130"/>
      <c r="I522" s="132"/>
      <c r="J522" s="132"/>
      <c r="K522" s="527"/>
      <c r="L522" s="109"/>
      <c r="M522" s="117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</row>
    <row r="523" ht="15.75" customHeight="1">
      <c r="A523" s="109"/>
      <c r="B523" s="109"/>
      <c r="C523" s="109"/>
      <c r="D523" s="109"/>
      <c r="E523" s="528"/>
      <c r="F523" s="132"/>
      <c r="G523" s="130"/>
      <c r="H523" s="130"/>
      <c r="I523" s="132"/>
      <c r="J523" s="132"/>
      <c r="K523" s="527"/>
      <c r="L523" s="109"/>
      <c r="M523" s="117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</row>
    <row r="524" ht="15.75" customHeight="1">
      <c r="A524" s="109"/>
      <c r="B524" s="109"/>
      <c r="C524" s="109"/>
      <c r="D524" s="109"/>
      <c r="E524" s="528"/>
      <c r="F524" s="132"/>
      <c r="G524" s="130"/>
      <c r="H524" s="130"/>
      <c r="I524" s="132"/>
      <c r="J524" s="132"/>
      <c r="K524" s="527"/>
      <c r="L524" s="109"/>
      <c r="M524" s="117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</row>
    <row r="525" ht="15.75" customHeight="1">
      <c r="A525" s="109"/>
      <c r="B525" s="109"/>
      <c r="C525" s="109"/>
      <c r="D525" s="109"/>
      <c r="E525" s="528"/>
      <c r="F525" s="132"/>
      <c r="G525" s="130"/>
      <c r="H525" s="130"/>
      <c r="I525" s="132"/>
      <c r="J525" s="132"/>
      <c r="K525" s="527"/>
      <c r="L525" s="109"/>
      <c r="M525" s="117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</row>
    <row r="526" ht="15.75" customHeight="1">
      <c r="A526" s="109"/>
      <c r="B526" s="109"/>
      <c r="C526" s="109"/>
      <c r="D526" s="109"/>
      <c r="E526" s="528"/>
      <c r="F526" s="132"/>
      <c r="G526" s="130"/>
      <c r="H526" s="130"/>
      <c r="I526" s="132"/>
      <c r="J526" s="132"/>
      <c r="K526" s="527"/>
      <c r="L526" s="109"/>
      <c r="M526" s="117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</row>
    <row r="527" ht="15.75" customHeight="1">
      <c r="A527" s="109"/>
      <c r="B527" s="109"/>
      <c r="C527" s="109"/>
      <c r="D527" s="109"/>
      <c r="E527" s="528"/>
      <c r="F527" s="132"/>
      <c r="G527" s="130"/>
      <c r="H527" s="130"/>
      <c r="I527" s="132"/>
      <c r="J527" s="132"/>
      <c r="K527" s="527"/>
      <c r="L527" s="109"/>
      <c r="M527" s="117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</row>
    <row r="528" ht="15.75" customHeight="1">
      <c r="A528" s="109"/>
      <c r="B528" s="109"/>
      <c r="C528" s="109"/>
      <c r="D528" s="109"/>
      <c r="E528" s="528"/>
      <c r="F528" s="132"/>
      <c r="G528" s="130"/>
      <c r="H528" s="130"/>
      <c r="I528" s="132"/>
      <c r="J528" s="132"/>
      <c r="K528" s="527"/>
      <c r="L528" s="109"/>
      <c r="M528" s="117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P$328"/>
  <mergeCells count="21">
    <mergeCell ref="L326:M326"/>
    <mergeCell ref="N326:O326"/>
    <mergeCell ref="Q326:Q328"/>
    <mergeCell ref="R326:R328"/>
    <mergeCell ref="L327:M327"/>
    <mergeCell ref="N327:O327"/>
    <mergeCell ref="L328:M328"/>
    <mergeCell ref="N328:O328"/>
    <mergeCell ref="C327:E327"/>
    <mergeCell ref="F327:G327"/>
    <mergeCell ref="H327:K327"/>
    <mergeCell ref="C328:E328"/>
    <mergeCell ref="F328:G328"/>
    <mergeCell ref="H328:K328"/>
    <mergeCell ref="A1:H1"/>
    <mergeCell ref="A2:Q2"/>
    <mergeCell ref="G3:H3"/>
    <mergeCell ref="Q3:Q4"/>
    <mergeCell ref="C326:E326"/>
    <mergeCell ref="F326:G326"/>
    <mergeCell ref="H326:K326"/>
  </mergeCells>
  <conditionalFormatting sqref="O16">
    <cfRule type="cellIs" dxfId="2" priority="1" operator="greaterThan">
      <formula>0</formula>
    </cfRule>
  </conditionalFormatting>
  <conditionalFormatting sqref="O16">
    <cfRule type="cellIs" dxfId="1" priority="2" operator="lessThan">
      <formula>0</formula>
    </cfRule>
  </conditionalFormatting>
  <conditionalFormatting sqref="N5:O28">
    <cfRule type="cellIs" dxfId="2" priority="3" operator="greaterThan">
      <formula>0</formula>
    </cfRule>
  </conditionalFormatting>
  <conditionalFormatting sqref="N5:O28">
    <cfRule type="cellIs" dxfId="1" priority="4" operator="lessThan">
      <formula>0</formula>
    </cfRule>
  </conditionalFormatting>
  <conditionalFormatting sqref="N30:O49">
    <cfRule type="cellIs" dxfId="2" priority="5" operator="greaterThan">
      <formula>0</formula>
    </cfRule>
  </conditionalFormatting>
  <conditionalFormatting sqref="N30:O49">
    <cfRule type="cellIs" dxfId="1" priority="6" operator="lessThan">
      <formula>0</formula>
    </cfRule>
  </conditionalFormatting>
  <conditionalFormatting sqref="N51:O85">
    <cfRule type="cellIs" dxfId="2" priority="7" operator="greaterThan">
      <formula>0</formula>
    </cfRule>
  </conditionalFormatting>
  <conditionalFormatting sqref="N51:O85">
    <cfRule type="cellIs" dxfId="1" priority="8" operator="lessThan">
      <formula>0</formula>
    </cfRule>
  </conditionalFormatting>
  <conditionalFormatting sqref="N88:O106">
    <cfRule type="cellIs" dxfId="2" priority="9" operator="greaterThan">
      <formula>0</formula>
    </cfRule>
  </conditionalFormatting>
  <conditionalFormatting sqref="N88:O106">
    <cfRule type="cellIs" dxfId="1" priority="10" operator="lessThan">
      <formula>0</formula>
    </cfRule>
  </conditionalFormatting>
  <conditionalFormatting sqref="N110:O130">
    <cfRule type="cellIs" dxfId="2" priority="11" operator="greaterThan">
      <formula>0</formula>
    </cfRule>
  </conditionalFormatting>
  <conditionalFormatting sqref="N110:O130">
    <cfRule type="cellIs" dxfId="1" priority="12" operator="lessThan">
      <formula>0</formula>
    </cfRule>
  </conditionalFormatting>
  <conditionalFormatting sqref="N133:O146">
    <cfRule type="cellIs" dxfId="2" priority="13" operator="greaterThan">
      <formula>0</formula>
    </cfRule>
  </conditionalFormatting>
  <conditionalFormatting sqref="N133:O146">
    <cfRule type="cellIs" dxfId="1" priority="14" operator="lessThan">
      <formula>0</formula>
    </cfRule>
  </conditionalFormatting>
  <conditionalFormatting sqref="N149:O206">
    <cfRule type="cellIs" dxfId="2" priority="15" operator="greaterThan">
      <formula>0</formula>
    </cfRule>
  </conditionalFormatting>
  <conditionalFormatting sqref="N149:O206">
    <cfRule type="cellIs" dxfId="1" priority="16" operator="lessThan">
      <formula>0</formula>
    </cfRule>
  </conditionalFormatting>
  <conditionalFormatting sqref="N209:O312">
    <cfRule type="cellIs" dxfId="2" priority="17" operator="greaterThan">
      <formula>0</formula>
    </cfRule>
  </conditionalFormatting>
  <conditionalFormatting sqref="N209:O312">
    <cfRule type="cellIs" dxfId="1" priority="18" operator="lessThan">
      <formula>0</formula>
    </cfRule>
  </conditionalFormatting>
  <conditionalFormatting sqref="N314:O327">
    <cfRule type="cellIs" dxfId="2" priority="19" operator="greaterThan">
      <formula>0</formula>
    </cfRule>
  </conditionalFormatting>
  <conditionalFormatting sqref="N314:O327">
    <cfRule type="cellIs" dxfId="1" priority="20" operator="lessThan">
      <formula>0</formula>
    </cfRule>
  </conditionalFormatting>
  <conditionalFormatting sqref="N329:O1000">
    <cfRule type="cellIs" dxfId="2" priority="21" operator="greaterThan">
      <formula>0</formula>
    </cfRule>
  </conditionalFormatting>
  <conditionalFormatting sqref="N329:O1000">
    <cfRule type="cellIs" dxfId="1" priority="22" operator="lessThan">
      <formula>0</formula>
    </cfRule>
  </conditionalFormatting>
  <printOptions horizontalCentered="1" verticalCentered="1"/>
  <pageMargins bottom="0.0" footer="0.0" header="0.0" left="0.0" right="0.0" top="0.0"/>
  <pageSetup paperSize="9" scale="9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4.43"/>
    <col customWidth="1" min="2" max="2" width="35.14"/>
    <col customWidth="1" min="3" max="3" width="5.14"/>
    <col customWidth="1" min="4" max="4" width="6.43"/>
    <col customWidth="1" min="5" max="6" width="6.71"/>
    <col customWidth="1" min="7" max="7" width="6.14"/>
    <col customWidth="1" min="8" max="8" width="7.29"/>
    <col customWidth="1" min="9" max="10" width="7.14"/>
    <col customWidth="1" min="11" max="13" width="6.14"/>
    <col customWidth="1" min="14" max="14" width="7.29"/>
    <col customWidth="1" min="15" max="23" width="6.14"/>
    <col customWidth="1" min="24" max="24" width="7.43"/>
    <col customWidth="1" min="25" max="34" width="7.0"/>
    <col customWidth="1" min="35" max="36" width="6.14"/>
    <col customWidth="1" min="37" max="37" width="6.43"/>
    <col customWidth="1" min="38" max="38" width="12.86"/>
    <col customWidth="1" min="39" max="39" width="14.0"/>
    <col customWidth="1" min="40" max="40" width="12.86"/>
    <col customWidth="1" min="41" max="41" width="10.0"/>
  </cols>
  <sheetData>
    <row r="1" hidden="1">
      <c r="C1" s="530"/>
      <c r="E1" s="531"/>
      <c r="F1" s="531"/>
      <c r="H1" s="532"/>
      <c r="N1" s="532"/>
      <c r="X1" s="532"/>
    </row>
    <row r="2" ht="48.0" customHeight="1">
      <c r="A2" s="533" t="str">
        <f>'INVONTERY FEB'!A3</f>
        <v>ID</v>
      </c>
      <c r="B2" s="534" t="str">
        <f>'INVONTERY FEB'!B3</f>
        <v>PRODUCT DETAIL</v>
      </c>
      <c r="C2" s="535" t="str">
        <f>'INVONTERY FEB'!C3</f>
        <v>UNIT</v>
      </c>
      <c r="D2" s="536" t="str">
        <f>'INVONTERY FEB'!D3</f>
        <v>RATE</v>
      </c>
      <c r="E2" s="537" t="s">
        <v>491</v>
      </c>
      <c r="F2" s="538">
        <v>46054.0</v>
      </c>
      <c r="G2" s="539">
        <f t="shared" ref="G2:AJ2" si="1">1+F2</f>
        <v>46055</v>
      </c>
      <c r="H2" s="539">
        <f t="shared" si="1"/>
        <v>46056</v>
      </c>
      <c r="I2" s="539">
        <f t="shared" si="1"/>
        <v>46057</v>
      </c>
      <c r="J2" s="539">
        <f t="shared" si="1"/>
        <v>46058</v>
      </c>
      <c r="K2" s="539">
        <f t="shared" si="1"/>
        <v>46059</v>
      </c>
      <c r="L2" s="539">
        <f t="shared" si="1"/>
        <v>46060</v>
      </c>
      <c r="M2" s="539">
        <f t="shared" si="1"/>
        <v>46061</v>
      </c>
      <c r="N2" s="539">
        <f t="shared" si="1"/>
        <v>46062</v>
      </c>
      <c r="O2" s="539">
        <f t="shared" si="1"/>
        <v>46063</v>
      </c>
      <c r="P2" s="539">
        <f t="shared" si="1"/>
        <v>46064</v>
      </c>
      <c r="Q2" s="539">
        <f t="shared" si="1"/>
        <v>46065</v>
      </c>
      <c r="R2" s="539">
        <f t="shared" si="1"/>
        <v>46066</v>
      </c>
      <c r="S2" s="539">
        <f t="shared" si="1"/>
        <v>46067</v>
      </c>
      <c r="T2" s="539">
        <f t="shared" si="1"/>
        <v>46068</v>
      </c>
      <c r="U2" s="539">
        <f t="shared" si="1"/>
        <v>46069</v>
      </c>
      <c r="V2" s="539">
        <f t="shared" si="1"/>
        <v>46070</v>
      </c>
      <c r="W2" s="539">
        <f t="shared" si="1"/>
        <v>46071</v>
      </c>
      <c r="X2" s="539">
        <f t="shared" si="1"/>
        <v>46072</v>
      </c>
      <c r="Y2" s="539">
        <f t="shared" si="1"/>
        <v>46073</v>
      </c>
      <c r="Z2" s="539">
        <f t="shared" si="1"/>
        <v>46074</v>
      </c>
      <c r="AA2" s="539">
        <f t="shared" si="1"/>
        <v>46075</v>
      </c>
      <c r="AB2" s="539">
        <f t="shared" si="1"/>
        <v>46076</v>
      </c>
      <c r="AC2" s="539">
        <f t="shared" si="1"/>
        <v>46077</v>
      </c>
      <c r="AD2" s="539">
        <f t="shared" si="1"/>
        <v>46078</v>
      </c>
      <c r="AE2" s="539">
        <f t="shared" si="1"/>
        <v>46079</v>
      </c>
      <c r="AF2" s="539">
        <f t="shared" si="1"/>
        <v>46080</v>
      </c>
      <c r="AG2" s="539">
        <f t="shared" si="1"/>
        <v>46081</v>
      </c>
      <c r="AH2" s="539">
        <f t="shared" si="1"/>
        <v>46082</v>
      </c>
      <c r="AI2" s="539">
        <f t="shared" si="1"/>
        <v>46083</v>
      </c>
      <c r="AJ2" s="539">
        <f t="shared" si="1"/>
        <v>46084</v>
      </c>
      <c r="AK2" s="540" t="s">
        <v>492</v>
      </c>
      <c r="AL2" s="541" t="s">
        <v>62</v>
      </c>
      <c r="AM2" s="542" t="s">
        <v>493</v>
      </c>
    </row>
    <row r="3" hidden="1">
      <c r="A3" s="543"/>
      <c r="B3" s="544"/>
      <c r="C3" s="545"/>
      <c r="D3" s="546"/>
      <c r="E3" s="547"/>
      <c r="F3" s="547"/>
      <c r="G3" s="548"/>
      <c r="H3" s="549"/>
      <c r="I3" s="548"/>
      <c r="J3" s="548"/>
      <c r="K3" s="548"/>
      <c r="L3" s="548"/>
      <c r="M3" s="548"/>
      <c r="N3" s="549"/>
      <c r="O3" s="548"/>
      <c r="P3" s="548"/>
      <c r="Q3" s="548"/>
      <c r="R3" s="548"/>
      <c r="S3" s="548"/>
      <c r="T3" s="548"/>
      <c r="U3" s="548"/>
      <c r="V3" s="548"/>
      <c r="W3" s="548"/>
      <c r="X3" s="549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50"/>
      <c r="AK3" s="551"/>
    </row>
    <row r="4" hidden="1">
      <c r="A4" s="109"/>
      <c r="B4" s="109"/>
      <c r="C4" s="530"/>
      <c r="D4" s="109"/>
      <c r="E4" s="547"/>
      <c r="F4" s="547"/>
      <c r="G4" s="548"/>
      <c r="H4" s="549"/>
      <c r="I4" s="548"/>
      <c r="J4" s="548"/>
      <c r="K4" s="548"/>
      <c r="L4" s="548"/>
      <c r="M4" s="548"/>
      <c r="N4" s="552"/>
      <c r="O4" s="553"/>
      <c r="P4" s="553"/>
      <c r="Q4" s="553"/>
      <c r="R4" s="553"/>
      <c r="S4" s="548"/>
      <c r="T4" s="553"/>
      <c r="U4" s="553"/>
      <c r="V4" s="553"/>
      <c r="W4" s="548"/>
      <c r="X4" s="552"/>
      <c r="Y4" s="553"/>
      <c r="Z4" s="553"/>
      <c r="AA4" s="548"/>
      <c r="AB4" s="553"/>
      <c r="AC4" s="553"/>
      <c r="AD4" s="553"/>
      <c r="AE4" s="548"/>
      <c r="AF4" s="553"/>
      <c r="AG4" s="553"/>
      <c r="AH4" s="553"/>
      <c r="AI4" s="548"/>
      <c r="AJ4" s="550"/>
      <c r="AK4" s="551"/>
    </row>
    <row r="5">
      <c r="A5" s="554">
        <f>'INVONTERY FEB'!A5</f>
        <v>1.1</v>
      </c>
      <c r="B5" s="555" t="str">
        <f>'INVONTERY FEB'!B5</f>
        <v>SPONAGE</v>
      </c>
      <c r="C5" s="554" t="str">
        <f>'INVONTERY FEB'!C5</f>
        <v/>
      </c>
      <c r="D5" s="556" t="str">
        <f>'INVONTERY FEB'!D5</f>
        <v/>
      </c>
      <c r="E5" s="557"/>
      <c r="F5" s="558"/>
      <c r="G5" s="559"/>
      <c r="H5" s="559"/>
      <c r="I5" s="559"/>
      <c r="J5" s="559"/>
      <c r="K5" s="559"/>
      <c r="L5" s="560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61"/>
      <c r="Z5" s="559"/>
      <c r="AA5" s="559"/>
      <c r="AB5" s="559"/>
      <c r="AC5" s="559"/>
      <c r="AD5" s="559"/>
      <c r="AE5" s="559"/>
      <c r="AF5" s="559"/>
      <c r="AG5" s="559"/>
      <c r="AH5" s="559"/>
      <c r="AI5" s="559"/>
      <c r="AJ5" s="560"/>
      <c r="AK5" s="562"/>
      <c r="AL5" s="563">
        <f t="shared" ref="AL5:AL324" si="2">SUM(E5:AK5)</f>
        <v>0</v>
      </c>
      <c r="AM5" s="105">
        <f t="shared" ref="AM5:AM324" si="3">AVERAGE(E5:AL5)</f>
        <v>0</v>
      </c>
      <c r="AO5" s="564"/>
    </row>
    <row r="6" hidden="1">
      <c r="A6" s="554">
        <f>'INVONTERY FEB'!A6</f>
        <v>1</v>
      </c>
      <c r="B6" s="554" t="str">
        <f>'INVONTERY FEB'!B6</f>
        <v>RED VELVET CONCENTRATE 10 KG</v>
      </c>
      <c r="C6" s="554" t="str">
        <f>'INVONTERY FEB'!C6</f>
        <v>KG</v>
      </c>
      <c r="D6" s="556" t="str">
        <f>'INVONTERY FEB'!D6</f>
        <v/>
      </c>
      <c r="E6" s="565"/>
      <c r="F6" s="566"/>
      <c r="G6" s="567"/>
      <c r="H6" s="567"/>
      <c r="I6" s="567"/>
      <c r="J6" s="567"/>
      <c r="K6" s="567"/>
      <c r="L6" s="568"/>
      <c r="M6" s="567"/>
      <c r="N6" s="567"/>
      <c r="O6" s="567"/>
      <c r="P6" s="567"/>
      <c r="Q6" s="567"/>
      <c r="R6" s="567"/>
      <c r="S6" s="567"/>
      <c r="T6" s="567"/>
      <c r="U6" s="567"/>
      <c r="V6" s="567"/>
      <c r="W6" s="567"/>
      <c r="X6" s="567"/>
      <c r="Y6" s="569"/>
      <c r="Z6" s="567"/>
      <c r="AA6" s="567"/>
      <c r="AB6" s="567"/>
      <c r="AC6" s="567"/>
      <c r="AD6" s="567"/>
      <c r="AE6" s="567"/>
      <c r="AF6" s="567"/>
      <c r="AG6" s="567"/>
      <c r="AH6" s="567"/>
      <c r="AI6" s="567"/>
      <c r="AJ6" s="560"/>
      <c r="AK6" s="562"/>
      <c r="AL6" s="563">
        <f t="shared" si="2"/>
        <v>0</v>
      </c>
      <c r="AM6" s="105">
        <f t="shared" si="3"/>
        <v>0</v>
      </c>
      <c r="AO6" s="564"/>
    </row>
    <row r="7" hidden="1">
      <c r="A7" s="554">
        <f>'INVONTERY FEB'!A7</f>
        <v>2</v>
      </c>
      <c r="B7" s="554" t="str">
        <f>'INVONTERY FEB'!B7</f>
        <v>LA OLA CONCENTRATE</v>
      </c>
      <c r="C7" s="554" t="str">
        <f>'INVONTERY FEB'!C7</f>
        <v>KG</v>
      </c>
      <c r="D7" s="556" t="str">
        <f>'INVONTERY FEB'!D7</f>
        <v/>
      </c>
      <c r="E7" s="565"/>
      <c r="F7" s="566"/>
      <c r="G7" s="567"/>
      <c r="H7" s="567"/>
      <c r="I7" s="567"/>
      <c r="J7" s="567"/>
      <c r="K7" s="567"/>
      <c r="L7" s="568"/>
      <c r="M7" s="567"/>
      <c r="N7" s="567"/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9"/>
      <c r="Z7" s="567"/>
      <c r="AA7" s="567"/>
      <c r="AB7" s="567"/>
      <c r="AC7" s="567"/>
      <c r="AD7" s="567"/>
      <c r="AE7" s="567"/>
      <c r="AF7" s="567"/>
      <c r="AG7" s="567"/>
      <c r="AH7" s="567"/>
      <c r="AI7" s="567"/>
      <c r="AJ7" s="560"/>
      <c r="AK7" s="562"/>
      <c r="AL7" s="563">
        <f t="shared" si="2"/>
        <v>0</v>
      </c>
      <c r="AM7" s="105">
        <f t="shared" si="3"/>
        <v>0</v>
      </c>
      <c r="AO7" s="564"/>
    </row>
    <row r="8" hidden="1">
      <c r="A8" s="554">
        <f>'INVONTERY FEB'!A8</f>
        <v>3</v>
      </c>
      <c r="B8" s="554" t="str">
        <f>'INVONTERY FEB'!B8</f>
        <v>AUSTRIA SPONGE MIX CONCENTRATE (269)</v>
      </c>
      <c r="C8" s="554" t="str">
        <f>'INVONTERY FEB'!C8</f>
        <v>KG</v>
      </c>
      <c r="D8" s="556" t="str">
        <f>'INVONTERY FEB'!D8</f>
        <v/>
      </c>
      <c r="E8" s="565"/>
      <c r="F8" s="566"/>
      <c r="G8" s="567"/>
      <c r="H8" s="567"/>
      <c r="I8" s="567"/>
      <c r="J8" s="567"/>
      <c r="K8" s="567"/>
      <c r="L8" s="568"/>
      <c r="M8" s="567"/>
      <c r="N8" s="567"/>
      <c r="O8" s="567"/>
      <c r="P8" s="567"/>
      <c r="Q8" s="567"/>
      <c r="R8" s="567"/>
      <c r="S8" s="567"/>
      <c r="T8" s="567"/>
      <c r="U8" s="567"/>
      <c r="V8" s="567"/>
      <c r="W8" s="567"/>
      <c r="X8" s="567"/>
      <c r="Y8" s="569"/>
      <c r="Z8" s="567"/>
      <c r="AA8" s="567"/>
      <c r="AB8" s="567"/>
      <c r="AC8" s="567"/>
      <c r="AD8" s="567"/>
      <c r="AE8" s="567"/>
      <c r="AF8" s="567"/>
      <c r="AG8" s="567"/>
      <c r="AH8" s="567"/>
      <c r="AI8" s="567"/>
      <c r="AJ8" s="560"/>
      <c r="AK8" s="562"/>
      <c r="AL8" s="563">
        <f t="shared" si="2"/>
        <v>0</v>
      </c>
      <c r="AM8" s="105">
        <f t="shared" si="3"/>
        <v>0</v>
      </c>
      <c r="AO8" s="564"/>
    </row>
    <row r="9">
      <c r="A9" s="554">
        <f>'INVONTERY FEB'!A9</f>
        <v>4</v>
      </c>
      <c r="B9" s="554" t="str">
        <f>'INVONTERY FEB'!B9</f>
        <v>KISAN CANOLA OIL 5 LTR</v>
      </c>
      <c r="C9" s="554" t="str">
        <f>'INVONTERY FEB'!C9</f>
        <v>BOX</v>
      </c>
      <c r="D9" s="556">
        <f>'INVONTERY FEB'!D9</f>
        <v>560</v>
      </c>
      <c r="E9" s="565"/>
      <c r="F9" s="570">
        <v>5.0</v>
      </c>
      <c r="G9" s="567"/>
      <c r="H9" s="567"/>
      <c r="I9" s="571">
        <v>2.0</v>
      </c>
      <c r="J9" s="571">
        <v>10.0</v>
      </c>
      <c r="K9" s="571">
        <v>15.0</v>
      </c>
      <c r="L9" s="572">
        <v>10.0</v>
      </c>
      <c r="M9" s="567"/>
      <c r="N9" s="571">
        <v>10.0</v>
      </c>
      <c r="O9" s="567"/>
      <c r="P9" s="567"/>
      <c r="Q9" s="571">
        <v>5.0</v>
      </c>
      <c r="R9" s="571">
        <v>15.0</v>
      </c>
      <c r="S9" s="571">
        <v>10.0</v>
      </c>
      <c r="T9" s="567"/>
      <c r="U9" s="571">
        <v>13.0</v>
      </c>
      <c r="V9" s="573">
        <v>10.0</v>
      </c>
      <c r="W9" s="571">
        <v>5.0</v>
      </c>
      <c r="X9" s="571">
        <v>5.0</v>
      </c>
      <c r="Y9" s="573">
        <v>10.0</v>
      </c>
      <c r="Z9" s="571">
        <v>5.0</v>
      </c>
      <c r="AA9" s="567"/>
      <c r="AB9" s="571">
        <v>10.0</v>
      </c>
      <c r="AC9" s="567"/>
      <c r="AD9" s="571">
        <v>10.0</v>
      </c>
      <c r="AE9" s="573">
        <v>5.0</v>
      </c>
      <c r="AF9" s="571">
        <v>5.0</v>
      </c>
      <c r="AG9" s="571">
        <v>10.0</v>
      </c>
      <c r="AH9" s="567"/>
      <c r="AI9" s="567"/>
      <c r="AJ9" s="560"/>
      <c r="AK9" s="562"/>
      <c r="AL9" s="563">
        <f t="shared" si="2"/>
        <v>170</v>
      </c>
      <c r="AM9" s="105">
        <f t="shared" si="3"/>
        <v>16.19047619</v>
      </c>
      <c r="AO9" s="564"/>
    </row>
    <row r="10">
      <c r="A10" s="554">
        <f>'INVONTERY FEB'!A10</f>
        <v>5</v>
      </c>
      <c r="B10" s="554" t="str">
        <f>'INVONTERY FEB'!B10</f>
        <v>FLOUR</v>
      </c>
      <c r="C10" s="554" t="str">
        <f>'INVONTERY FEB'!C10</f>
        <v>BAG</v>
      </c>
      <c r="D10" s="556">
        <f>'INVONTERY FEB'!D10</f>
        <v>134</v>
      </c>
      <c r="E10" s="565"/>
      <c r="F10" s="570">
        <v>50.0</v>
      </c>
      <c r="G10" s="567"/>
      <c r="H10" s="567"/>
      <c r="I10" s="567"/>
      <c r="J10" s="567"/>
      <c r="K10" s="571">
        <v>50.0</v>
      </c>
      <c r="L10" s="568"/>
      <c r="M10" s="560"/>
      <c r="N10" s="567"/>
      <c r="O10" s="567"/>
      <c r="P10" s="567"/>
      <c r="Q10" s="574">
        <v>50.0</v>
      </c>
      <c r="R10" s="567"/>
      <c r="S10" s="567"/>
      <c r="T10" s="567"/>
      <c r="U10" s="571">
        <v>50.0</v>
      </c>
      <c r="V10" s="567"/>
      <c r="W10" s="567"/>
      <c r="X10" s="567"/>
      <c r="Y10" s="569"/>
      <c r="Z10" s="567"/>
      <c r="AA10" s="567"/>
      <c r="AB10" s="567"/>
      <c r="AC10" s="567"/>
      <c r="AD10" s="567"/>
      <c r="AE10" s="567"/>
      <c r="AF10" s="571">
        <v>50.0</v>
      </c>
      <c r="AG10" s="575"/>
      <c r="AH10" s="567"/>
      <c r="AI10" s="567"/>
      <c r="AJ10" s="560"/>
      <c r="AK10" s="562"/>
      <c r="AL10" s="563">
        <f t="shared" si="2"/>
        <v>250</v>
      </c>
      <c r="AM10" s="105">
        <f t="shared" si="3"/>
        <v>83.33333333</v>
      </c>
      <c r="AO10" s="576">
        <f>9296-9325</f>
        <v>-29</v>
      </c>
    </row>
    <row r="11">
      <c r="A11" s="554">
        <f>'INVONTERY FEB'!A11</f>
        <v>6</v>
      </c>
      <c r="B11" s="554" t="str">
        <f>'INVONTERY FEB'!B11</f>
        <v>LOSSE SUGAR 50KG</v>
      </c>
      <c r="C11" s="554" t="str">
        <f>'INVONTERY FEB'!C11</f>
        <v>KG</v>
      </c>
      <c r="D11" s="556">
        <f>'INVONTERY FEB'!D11</f>
        <v>184</v>
      </c>
      <c r="E11" s="565"/>
      <c r="F11" s="566"/>
      <c r="G11" s="567"/>
      <c r="H11" s="575"/>
      <c r="I11" s="567"/>
      <c r="J11" s="571">
        <v>50.0</v>
      </c>
      <c r="K11" s="567"/>
      <c r="L11" s="568"/>
      <c r="M11" s="560"/>
      <c r="N11" s="571">
        <v>50.0</v>
      </c>
      <c r="O11" s="567"/>
      <c r="P11" s="567"/>
      <c r="Q11" s="577"/>
      <c r="R11" s="571">
        <v>50.0</v>
      </c>
      <c r="S11" s="567"/>
      <c r="T11" s="567"/>
      <c r="U11" s="567"/>
      <c r="V11" s="571">
        <v>50.0</v>
      </c>
      <c r="W11" s="567"/>
      <c r="X11" s="567"/>
      <c r="Y11" s="569"/>
      <c r="Z11" s="567"/>
      <c r="AA11" s="567"/>
      <c r="AB11" s="567"/>
      <c r="AC11" s="567"/>
      <c r="AD11" s="567"/>
      <c r="AE11" s="571">
        <v>50.0</v>
      </c>
      <c r="AF11" s="571">
        <v>50.0</v>
      </c>
      <c r="AG11" s="575"/>
      <c r="AH11" s="567"/>
      <c r="AI11" s="567"/>
      <c r="AJ11" s="560"/>
      <c r="AK11" s="562"/>
      <c r="AL11" s="563">
        <f t="shared" si="2"/>
        <v>300</v>
      </c>
      <c r="AM11" s="105">
        <f t="shared" si="3"/>
        <v>85.71428571</v>
      </c>
      <c r="AO11" s="564"/>
    </row>
    <row r="12">
      <c r="A12" s="554">
        <f>'INVONTERY FEB'!A12</f>
        <v>7</v>
      </c>
      <c r="B12" s="554" t="str">
        <f>'INVONTERY FEB'!B12</f>
        <v>EGGS</v>
      </c>
      <c r="C12" s="554" t="str">
        <f>'INVONTERY FEB'!C12</f>
        <v>PCS</v>
      </c>
      <c r="D12" s="556">
        <f>'INVONTERY FEB'!D12</f>
        <v>31.66875</v>
      </c>
      <c r="E12" s="565"/>
      <c r="F12" s="570">
        <v>200.0</v>
      </c>
      <c r="G12" s="578">
        <v>200.0</v>
      </c>
      <c r="H12" s="571">
        <v>0.0</v>
      </c>
      <c r="I12" s="578">
        <v>200.0</v>
      </c>
      <c r="J12" s="578">
        <v>370.0</v>
      </c>
      <c r="K12" s="571">
        <v>300.0</v>
      </c>
      <c r="L12" s="579">
        <v>200.0</v>
      </c>
      <c r="M12" s="580">
        <v>300.0</v>
      </c>
      <c r="N12" s="571">
        <v>270.0</v>
      </c>
      <c r="O12" s="574">
        <v>100.0</v>
      </c>
      <c r="P12" s="571">
        <v>200.0</v>
      </c>
      <c r="Q12" s="571">
        <v>200.0</v>
      </c>
      <c r="R12" s="571">
        <v>500.0</v>
      </c>
      <c r="S12" s="571">
        <v>470.0</v>
      </c>
      <c r="T12" s="577"/>
      <c r="U12" s="574">
        <v>200.0</v>
      </c>
      <c r="V12" s="573">
        <v>300.0</v>
      </c>
      <c r="W12" s="581"/>
      <c r="X12" s="574">
        <v>260.0</v>
      </c>
      <c r="Y12" s="581"/>
      <c r="Z12" s="571">
        <v>200.0</v>
      </c>
      <c r="AA12" s="571">
        <v>100.0</v>
      </c>
      <c r="AB12" s="578">
        <v>200.0</v>
      </c>
      <c r="AC12" s="577"/>
      <c r="AD12" s="577"/>
      <c r="AE12" s="573">
        <v>100.0</v>
      </c>
      <c r="AF12" s="571">
        <v>100.0</v>
      </c>
      <c r="AG12" s="578">
        <v>200.0</v>
      </c>
      <c r="AH12" s="567"/>
      <c r="AI12" s="567"/>
      <c r="AJ12" s="560"/>
      <c r="AK12" s="562"/>
      <c r="AL12" s="563">
        <f t="shared" si="2"/>
        <v>5170</v>
      </c>
      <c r="AM12" s="105">
        <f t="shared" si="3"/>
        <v>430.8333333</v>
      </c>
      <c r="AO12" s="564"/>
    </row>
    <row r="13">
      <c r="A13" s="554">
        <f>'INVONTERY FEB'!A13</f>
        <v>8</v>
      </c>
      <c r="B13" s="554" t="str">
        <f>'INVONTERY FEB'!B13</f>
        <v>POLAC CONDENSED MILK 1-LTR</v>
      </c>
      <c r="C13" s="554" t="str">
        <f>'INVONTERY FEB'!C13</f>
        <v>TIN</v>
      </c>
      <c r="D13" s="556">
        <f>'INVONTERY FEB'!D13</f>
        <v>625</v>
      </c>
      <c r="E13" s="565"/>
      <c r="F13" s="570">
        <v>4.0</v>
      </c>
      <c r="G13" s="571">
        <v>2.0</v>
      </c>
      <c r="H13" s="571">
        <v>2.0</v>
      </c>
      <c r="I13" s="571">
        <v>1.0</v>
      </c>
      <c r="J13" s="571"/>
      <c r="K13" s="575"/>
      <c r="L13" s="582">
        <v>3.0</v>
      </c>
      <c r="M13" s="583">
        <v>4.0</v>
      </c>
      <c r="N13" s="574">
        <v>4.0</v>
      </c>
      <c r="O13" s="574">
        <v>2.0</v>
      </c>
      <c r="P13" s="574">
        <v>3.0</v>
      </c>
      <c r="Q13" s="574">
        <v>3.0</v>
      </c>
      <c r="R13" s="574">
        <v>4.0</v>
      </c>
      <c r="S13" s="584">
        <v>5.0</v>
      </c>
      <c r="T13" s="571">
        <v>3.0</v>
      </c>
      <c r="U13" s="571">
        <v>3.0</v>
      </c>
      <c r="V13" s="571">
        <v>3.0</v>
      </c>
      <c r="W13" s="581"/>
      <c r="X13" s="567"/>
      <c r="Y13" s="577"/>
      <c r="Z13" s="567"/>
      <c r="AA13" s="567"/>
      <c r="AB13" s="571">
        <v>4.0</v>
      </c>
      <c r="AC13" s="567"/>
      <c r="AD13" s="567"/>
      <c r="AE13" s="571">
        <v>3.0</v>
      </c>
      <c r="AF13" s="571">
        <v>1.0</v>
      </c>
      <c r="AG13" s="575"/>
      <c r="AH13" s="575"/>
      <c r="AI13" s="567"/>
      <c r="AJ13" s="560"/>
      <c r="AK13" s="562"/>
      <c r="AL13" s="563">
        <f t="shared" si="2"/>
        <v>54</v>
      </c>
      <c r="AM13" s="105">
        <f t="shared" si="3"/>
        <v>5.684210526</v>
      </c>
      <c r="AO13" s="564"/>
    </row>
    <row r="14">
      <c r="A14" s="554">
        <f>'INVONTERY FEB'!A14</f>
        <v>9</v>
      </c>
      <c r="B14" s="554" t="str">
        <f>'INVONTERY FEB'!B14</f>
        <v>OLPERS MILK 1.5 LTR</v>
      </c>
      <c r="C14" s="554" t="str">
        <f>'INVONTERY FEB'!C14</f>
        <v>PCS</v>
      </c>
      <c r="D14" s="556">
        <f>'INVONTERY FEB'!D14</f>
        <v>488.1129032</v>
      </c>
      <c r="E14" s="565"/>
      <c r="F14" s="585">
        <v>8.0</v>
      </c>
      <c r="G14" s="567"/>
      <c r="H14" s="578">
        <v>8.0</v>
      </c>
      <c r="I14" s="571">
        <v>8.0</v>
      </c>
      <c r="J14" s="578">
        <v>8.0</v>
      </c>
      <c r="K14" s="571">
        <v>16.0</v>
      </c>
      <c r="L14" s="579">
        <v>8.0</v>
      </c>
      <c r="M14" s="586"/>
      <c r="N14" s="571">
        <v>8.0</v>
      </c>
      <c r="O14" s="574">
        <v>3.0</v>
      </c>
      <c r="P14" s="567"/>
      <c r="Q14" s="571">
        <v>9.0</v>
      </c>
      <c r="R14" s="574">
        <v>16.0</v>
      </c>
      <c r="S14" s="571">
        <v>8.0</v>
      </c>
      <c r="T14" s="567"/>
      <c r="U14" s="574">
        <v>8.0</v>
      </c>
      <c r="V14" s="574">
        <v>8.0</v>
      </c>
      <c r="W14" s="571">
        <v>8.0</v>
      </c>
      <c r="X14" s="574">
        <v>8.0</v>
      </c>
      <c r="Y14" s="577"/>
      <c r="Z14" s="571">
        <v>8.0</v>
      </c>
      <c r="AA14" s="575"/>
      <c r="AB14" s="571">
        <v>8.0</v>
      </c>
      <c r="AC14" s="571">
        <v>16.0</v>
      </c>
      <c r="AD14" s="577"/>
      <c r="AE14" s="574">
        <v>10.0</v>
      </c>
      <c r="AF14" s="575"/>
      <c r="AG14" s="571">
        <v>8.0</v>
      </c>
      <c r="AH14" s="578">
        <v>8.0</v>
      </c>
      <c r="AI14" s="567"/>
      <c r="AJ14" s="560"/>
      <c r="AK14" s="562"/>
      <c r="AL14" s="563">
        <f t="shared" si="2"/>
        <v>190</v>
      </c>
      <c r="AM14" s="105">
        <f t="shared" si="3"/>
        <v>17.27272727</v>
      </c>
      <c r="AO14" s="564"/>
    </row>
    <row r="15">
      <c r="A15" s="554">
        <f>'INVONTERY FEB'!A15</f>
        <v>10</v>
      </c>
      <c r="B15" s="554" t="str">
        <f>'INVONTERY FEB'!B15</f>
        <v>COCO POWDER MALASIAN</v>
      </c>
      <c r="C15" s="554" t="str">
        <f>'INVONTERY FEB'!C15</f>
        <v>KG</v>
      </c>
      <c r="D15" s="556">
        <f>'INVONTERY FEB'!D15</f>
        <v>3917.085714</v>
      </c>
      <c r="E15" s="565"/>
      <c r="F15" s="570">
        <v>2.0</v>
      </c>
      <c r="G15" s="567"/>
      <c r="H15" s="571">
        <v>2.0</v>
      </c>
      <c r="I15" s="571">
        <v>2.0</v>
      </c>
      <c r="J15" s="567"/>
      <c r="K15" s="571">
        <v>4.0</v>
      </c>
      <c r="L15" s="582">
        <v>2.0</v>
      </c>
      <c r="M15" s="560"/>
      <c r="N15" s="571">
        <v>2.0</v>
      </c>
      <c r="O15" s="571">
        <v>2.0</v>
      </c>
      <c r="P15" s="571">
        <v>2.0</v>
      </c>
      <c r="Q15" s="571">
        <v>2.0</v>
      </c>
      <c r="R15" s="571">
        <v>3.0</v>
      </c>
      <c r="S15" s="571">
        <v>2.0</v>
      </c>
      <c r="T15" s="567"/>
      <c r="U15" s="571">
        <v>2.0</v>
      </c>
      <c r="V15" s="587"/>
      <c r="W15" s="581"/>
      <c r="X15" s="587">
        <v>3.0</v>
      </c>
      <c r="Y15" s="569"/>
      <c r="Z15" s="567"/>
      <c r="AA15" s="571">
        <v>3.0</v>
      </c>
      <c r="AB15" s="575"/>
      <c r="AC15" s="567"/>
      <c r="AD15" s="567"/>
      <c r="AE15" s="587">
        <v>2.0</v>
      </c>
      <c r="AF15" s="567"/>
      <c r="AG15" s="571">
        <v>2.0</v>
      </c>
      <c r="AH15" s="567"/>
      <c r="AI15" s="567"/>
      <c r="AJ15" s="560"/>
      <c r="AK15" s="562"/>
      <c r="AL15" s="563">
        <f t="shared" si="2"/>
        <v>37</v>
      </c>
      <c r="AM15" s="105">
        <f t="shared" si="3"/>
        <v>4.352941176</v>
      </c>
      <c r="AO15" s="564"/>
    </row>
    <row r="16">
      <c r="A16" s="554">
        <f>'INVONTERY FEB'!A16</f>
        <v>11</v>
      </c>
      <c r="B16" s="554" t="str">
        <f>'INVONTERY FEB'!B16</f>
        <v>VANILLA ESSENCE 500 GM</v>
      </c>
      <c r="C16" s="554" t="str">
        <f>'INVONTERY FEB'!C16</f>
        <v>BOTT</v>
      </c>
      <c r="D16" s="556">
        <f>'INVONTERY FEB'!D16</f>
        <v>1150</v>
      </c>
      <c r="E16" s="565"/>
      <c r="F16" s="566"/>
      <c r="G16" s="567"/>
      <c r="H16" s="567"/>
      <c r="I16" s="567"/>
      <c r="J16" s="567"/>
      <c r="K16" s="567"/>
      <c r="L16" s="568"/>
      <c r="M16" s="560"/>
      <c r="N16" s="567"/>
      <c r="O16" s="571">
        <v>1.0</v>
      </c>
      <c r="P16" s="588"/>
      <c r="Q16" s="567"/>
      <c r="R16" s="567"/>
      <c r="S16" s="567"/>
      <c r="T16" s="567"/>
      <c r="U16" s="567"/>
      <c r="V16" s="571">
        <v>1.0</v>
      </c>
      <c r="W16" s="567"/>
      <c r="X16" s="567"/>
      <c r="Y16" s="587">
        <v>1.0</v>
      </c>
      <c r="Z16" s="567"/>
      <c r="AA16" s="567"/>
      <c r="AB16" s="567"/>
      <c r="AC16" s="567"/>
      <c r="AD16" s="567"/>
      <c r="AE16" s="571">
        <v>2.0</v>
      </c>
      <c r="AF16" s="567"/>
      <c r="AG16" s="567"/>
      <c r="AH16" s="567"/>
      <c r="AI16" s="567"/>
      <c r="AJ16" s="560"/>
      <c r="AK16" s="562"/>
      <c r="AL16" s="563">
        <f t="shared" si="2"/>
        <v>5</v>
      </c>
      <c r="AM16" s="105">
        <f t="shared" si="3"/>
        <v>2</v>
      </c>
      <c r="AO16" s="564"/>
    </row>
    <row r="17">
      <c r="A17" s="554">
        <f>'INVONTERY FEB'!A17</f>
        <v>12</v>
      </c>
      <c r="B17" s="554" t="str">
        <f>'INVONTERY FEB'!B17</f>
        <v>SALT 800GM</v>
      </c>
      <c r="C17" s="554" t="str">
        <f>'INVONTERY FEB'!C17</f>
        <v>PKT</v>
      </c>
      <c r="D17" s="556">
        <f>'INVONTERY FEB'!D17</f>
        <v>29</v>
      </c>
      <c r="E17" s="565"/>
      <c r="F17" s="566"/>
      <c r="G17" s="567"/>
      <c r="H17" s="567"/>
      <c r="I17" s="567"/>
      <c r="J17" s="567"/>
      <c r="K17" s="567"/>
      <c r="L17" s="568"/>
      <c r="M17" s="560"/>
      <c r="N17" s="567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9"/>
      <c r="Z17" s="567"/>
      <c r="AA17" s="567"/>
      <c r="AB17" s="567"/>
      <c r="AC17" s="567"/>
      <c r="AD17" s="567"/>
      <c r="AE17" s="567"/>
      <c r="AF17" s="567"/>
      <c r="AG17" s="567"/>
      <c r="AH17" s="567"/>
      <c r="AI17" s="567"/>
      <c r="AJ17" s="560"/>
      <c r="AK17" s="562"/>
      <c r="AL17" s="563">
        <f t="shared" si="2"/>
        <v>0</v>
      </c>
      <c r="AM17" s="105">
        <f t="shared" si="3"/>
        <v>0</v>
      </c>
      <c r="AO17" s="564"/>
    </row>
    <row r="18">
      <c r="A18" s="554">
        <f>'INVONTERY FEB'!A18</f>
        <v>13</v>
      </c>
      <c r="B18" s="554" t="str">
        <f>'INVONTERY FEB'!B19</f>
        <v>BAKING SODA 1- KG</v>
      </c>
      <c r="C18" s="554" t="str">
        <f>'INVONTERY FEB'!C19</f>
        <v>KG</v>
      </c>
      <c r="D18" s="556">
        <f>'INVONTERY FEB'!D19</f>
        <v>160</v>
      </c>
      <c r="E18" s="565"/>
      <c r="F18" s="566"/>
      <c r="G18" s="567"/>
      <c r="H18" s="567"/>
      <c r="I18" s="567"/>
      <c r="J18" s="571"/>
      <c r="K18" s="567"/>
      <c r="L18" s="568"/>
      <c r="M18" s="560"/>
      <c r="N18" s="567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9"/>
      <c r="Z18" s="567"/>
      <c r="AA18" s="567"/>
      <c r="AB18" s="567"/>
      <c r="AC18" s="567"/>
      <c r="AD18" s="567"/>
      <c r="AE18" s="567"/>
      <c r="AF18" s="567"/>
      <c r="AG18" s="567"/>
      <c r="AH18" s="567"/>
      <c r="AI18" s="567"/>
      <c r="AJ18" s="560"/>
      <c r="AK18" s="562"/>
      <c r="AL18" s="563">
        <f t="shared" si="2"/>
        <v>0</v>
      </c>
      <c r="AM18" s="105">
        <f t="shared" si="3"/>
        <v>0</v>
      </c>
      <c r="AO18" s="564"/>
    </row>
    <row r="19">
      <c r="A19" s="554">
        <f>'INVONTERY FEB'!A19</f>
        <v>14</v>
      </c>
      <c r="B19" s="554" t="str">
        <f>'INVONTERY FEB'!B18</f>
        <v>BAKING POWDER HOLIDAY</v>
      </c>
      <c r="C19" s="554" t="str">
        <f>'INVONTERY FEB'!C18</f>
        <v>KG</v>
      </c>
      <c r="D19" s="556">
        <f>'INVONTERY FEB'!D18</f>
        <v>2000</v>
      </c>
      <c r="E19" s="565"/>
      <c r="F19" s="566"/>
      <c r="G19" s="567"/>
      <c r="H19" s="567"/>
      <c r="I19" s="567"/>
      <c r="J19" s="571">
        <v>1.0</v>
      </c>
      <c r="K19" s="567"/>
      <c r="L19" s="568"/>
      <c r="M19" s="560"/>
      <c r="N19" s="567"/>
      <c r="O19" s="567"/>
      <c r="P19" s="567"/>
      <c r="Q19" s="571">
        <v>1.0</v>
      </c>
      <c r="R19" s="567"/>
      <c r="S19" s="567"/>
      <c r="T19" s="567"/>
      <c r="U19" s="567"/>
      <c r="V19" s="567"/>
      <c r="W19" s="567"/>
      <c r="X19" s="567"/>
      <c r="Y19" s="587">
        <v>1.0</v>
      </c>
      <c r="Z19" s="567"/>
      <c r="AA19" s="567"/>
      <c r="AB19" s="567"/>
      <c r="AC19" s="567"/>
      <c r="AD19" s="567"/>
      <c r="AE19" s="567"/>
      <c r="AF19" s="575"/>
      <c r="AG19" s="567"/>
      <c r="AH19" s="567"/>
      <c r="AI19" s="567"/>
      <c r="AJ19" s="560"/>
      <c r="AK19" s="562"/>
      <c r="AL19" s="563">
        <f t="shared" si="2"/>
        <v>3</v>
      </c>
      <c r="AM19" s="105">
        <f t="shared" si="3"/>
        <v>1.5</v>
      </c>
      <c r="AO19" s="564"/>
    </row>
    <row r="20">
      <c r="A20" s="554">
        <f>'INVONTERY FEB'!A20</f>
        <v>15</v>
      </c>
      <c r="B20" s="554" t="str">
        <f>'INVONTERY FEB'!B20</f>
        <v>STARCH</v>
      </c>
      <c r="C20" s="554" t="str">
        <f>'INVONTERY FEB'!C20</f>
        <v>KG</v>
      </c>
      <c r="D20" s="556">
        <f>'INVONTERY FEB'!D20</f>
        <v>200</v>
      </c>
      <c r="E20" s="565"/>
      <c r="F20" s="566"/>
      <c r="G20" s="567"/>
      <c r="H20" s="567"/>
      <c r="I20" s="567"/>
      <c r="J20" s="567"/>
      <c r="K20" s="567"/>
      <c r="L20" s="568"/>
      <c r="M20" s="560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9"/>
      <c r="Z20" s="567"/>
      <c r="AA20" s="567"/>
      <c r="AB20" s="567"/>
      <c r="AC20" s="567"/>
      <c r="AD20" s="567"/>
      <c r="AE20" s="567"/>
      <c r="AF20" s="567"/>
      <c r="AG20" s="567"/>
      <c r="AH20" s="567"/>
      <c r="AI20" s="567"/>
      <c r="AJ20" s="560"/>
      <c r="AK20" s="562"/>
      <c r="AL20" s="563">
        <f t="shared" si="2"/>
        <v>0</v>
      </c>
      <c r="AM20" s="105">
        <f t="shared" si="3"/>
        <v>0</v>
      </c>
      <c r="AO20" s="564"/>
    </row>
    <row r="21" ht="15.75" customHeight="1">
      <c r="A21" s="554">
        <f>'INVONTERY FEB'!A21</f>
        <v>16</v>
      </c>
      <c r="B21" s="554" t="str">
        <f>'INVONTERY FEB'!B21</f>
        <v>KHOYA ESSANSE</v>
      </c>
      <c r="C21" s="554" t="str">
        <f>'INVONTERY FEB'!C21</f>
        <v>PCS</v>
      </c>
      <c r="D21" s="556" t="str">
        <f>'INVONTERY FEB'!D21</f>
        <v/>
      </c>
      <c r="E21" s="565"/>
      <c r="F21" s="566"/>
      <c r="G21" s="567"/>
      <c r="H21" s="567"/>
      <c r="I21" s="567"/>
      <c r="J21" s="567"/>
      <c r="K21" s="567"/>
      <c r="L21" s="568"/>
      <c r="M21" s="560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81"/>
      <c r="Z21" s="567"/>
      <c r="AA21" s="567"/>
      <c r="AB21" s="567"/>
      <c r="AC21" s="567"/>
      <c r="AD21" s="567"/>
      <c r="AE21" s="567"/>
      <c r="AF21" s="567"/>
      <c r="AG21" s="567"/>
      <c r="AH21" s="567"/>
      <c r="AI21" s="567"/>
      <c r="AJ21" s="560"/>
      <c r="AK21" s="562"/>
      <c r="AL21" s="563">
        <f t="shared" si="2"/>
        <v>0</v>
      </c>
      <c r="AM21" s="105">
        <f t="shared" si="3"/>
        <v>0</v>
      </c>
      <c r="AO21" s="564"/>
    </row>
    <row r="22" ht="15.75" customHeight="1">
      <c r="A22" s="554">
        <f>'INVONTERY FEB'!A22</f>
        <v>17</v>
      </c>
      <c r="B22" s="554" t="str">
        <f>'INVONTERY FEB'!B22</f>
        <v>HABIB OIL 4.5 L BOT</v>
      </c>
      <c r="C22" s="554" t="str">
        <f>'INVONTERY FEB'!C22</f>
        <v>BOTT</v>
      </c>
      <c r="D22" s="556" t="str">
        <f>'INVONTERY FEB'!D22</f>
        <v/>
      </c>
      <c r="E22" s="565"/>
      <c r="F22" s="566"/>
      <c r="G22" s="567"/>
      <c r="H22" s="575"/>
      <c r="I22" s="567"/>
      <c r="J22" s="567"/>
      <c r="K22" s="575"/>
      <c r="L22" s="568"/>
      <c r="M22" s="589"/>
      <c r="N22" s="567"/>
      <c r="O22" s="575"/>
      <c r="P22" s="588"/>
      <c r="Q22" s="588"/>
      <c r="R22" s="567"/>
      <c r="S22" s="588"/>
      <c r="T22" s="588"/>
      <c r="U22" s="588"/>
      <c r="V22" s="567"/>
      <c r="W22" s="577"/>
      <c r="X22" s="567"/>
      <c r="Y22" s="577"/>
      <c r="Z22" s="567"/>
      <c r="AA22" s="575"/>
      <c r="AB22" s="567"/>
      <c r="AC22" s="588"/>
      <c r="AD22" s="588"/>
      <c r="AE22" s="567"/>
      <c r="AF22" s="575"/>
      <c r="AG22" s="567"/>
      <c r="AH22" s="567"/>
      <c r="AI22" s="567"/>
      <c r="AJ22" s="560"/>
      <c r="AK22" s="562"/>
      <c r="AL22" s="563">
        <f t="shared" si="2"/>
        <v>0</v>
      </c>
      <c r="AM22" s="105">
        <f t="shared" si="3"/>
        <v>0</v>
      </c>
      <c r="AO22" s="564"/>
    </row>
    <row r="23" ht="15.75" customHeight="1">
      <c r="A23" s="554">
        <f>'INVONTERY FEB'!A23</f>
        <v>18</v>
      </c>
      <c r="B23" s="554" t="str">
        <f>'INVONTERY FEB'!B23</f>
        <v>PUCK CHEESE</v>
      </c>
      <c r="C23" s="554" t="str">
        <f>'INVONTERY FEB'!C23</f>
        <v>JAR</v>
      </c>
      <c r="D23" s="556" t="str">
        <f>'INVONTERY FEB'!D23</f>
        <v/>
      </c>
      <c r="E23" s="565"/>
      <c r="F23" s="566"/>
      <c r="G23" s="567"/>
      <c r="H23" s="567"/>
      <c r="I23" s="567"/>
      <c r="J23" s="567"/>
      <c r="K23" s="567"/>
      <c r="L23" s="568"/>
      <c r="M23" s="560"/>
      <c r="N23" s="567"/>
      <c r="O23" s="567"/>
      <c r="P23" s="567"/>
      <c r="Q23" s="567"/>
      <c r="R23" s="567"/>
      <c r="S23" s="567"/>
      <c r="T23" s="567"/>
      <c r="U23" s="567"/>
      <c r="V23" s="567"/>
      <c r="W23" s="567"/>
      <c r="X23" s="567"/>
      <c r="Y23" s="569"/>
      <c r="Z23" s="567"/>
      <c r="AA23" s="567"/>
      <c r="AB23" s="575"/>
      <c r="AC23" s="567"/>
      <c r="AD23" s="567"/>
      <c r="AE23" s="567"/>
      <c r="AF23" s="588"/>
      <c r="AG23" s="567"/>
      <c r="AH23" s="567"/>
      <c r="AI23" s="567"/>
      <c r="AJ23" s="560"/>
      <c r="AK23" s="562"/>
      <c r="AL23" s="563">
        <f t="shared" si="2"/>
        <v>0</v>
      </c>
      <c r="AM23" s="105">
        <f t="shared" si="3"/>
        <v>0</v>
      </c>
      <c r="AO23" s="564"/>
    </row>
    <row r="24" ht="15.75" customHeight="1">
      <c r="A24" s="554">
        <f>'INVONTERY FEB'!A24</f>
        <v>19</v>
      </c>
      <c r="B24" s="554" t="str">
        <f>'INVONTERY FEB'!B24</f>
        <v>GULCOSE LIQUID</v>
      </c>
      <c r="C24" s="554" t="str">
        <f>'INVONTERY FEB'!C24</f>
        <v>BOTT</v>
      </c>
      <c r="D24" s="556" t="str">
        <f>'INVONTERY FEB'!D24</f>
        <v/>
      </c>
      <c r="E24" s="565"/>
      <c r="F24" s="566"/>
      <c r="G24" s="567"/>
      <c r="H24" s="567"/>
      <c r="I24" s="567"/>
      <c r="J24" s="567"/>
      <c r="K24" s="567"/>
      <c r="L24" s="568"/>
      <c r="M24" s="560"/>
      <c r="N24" s="567"/>
      <c r="O24" s="567"/>
      <c r="P24" s="567"/>
      <c r="Q24" s="567"/>
      <c r="R24" s="567"/>
      <c r="S24" s="567"/>
      <c r="T24" s="567"/>
      <c r="U24" s="567"/>
      <c r="V24" s="567"/>
      <c r="W24" s="567"/>
      <c r="X24" s="567"/>
      <c r="Y24" s="569"/>
      <c r="Z24" s="567"/>
      <c r="AA24" s="567"/>
      <c r="AB24" s="567"/>
      <c r="AC24" s="567"/>
      <c r="AD24" s="567"/>
      <c r="AE24" s="567"/>
      <c r="AF24" s="567"/>
      <c r="AG24" s="567"/>
      <c r="AH24" s="567"/>
      <c r="AI24" s="567"/>
      <c r="AJ24" s="560"/>
      <c r="AK24" s="562"/>
      <c r="AL24" s="563">
        <f t="shared" si="2"/>
        <v>0</v>
      </c>
      <c r="AM24" s="105">
        <f t="shared" si="3"/>
        <v>0</v>
      </c>
      <c r="AO24" s="564"/>
    </row>
    <row r="25" ht="15.75" customHeight="1">
      <c r="A25" s="554">
        <f>'INVONTERY FEB'!A25</f>
        <v>20</v>
      </c>
      <c r="B25" s="554" t="str">
        <f>'INVONTERY FEB'!B25</f>
        <v>POLAC MILK 390 GM</v>
      </c>
      <c r="C25" s="554" t="str">
        <f>'INVONTERY FEB'!C25</f>
        <v>TIN</v>
      </c>
      <c r="D25" s="556">
        <f>'INVONTERY FEB'!D25</f>
        <v>0</v>
      </c>
      <c r="E25" s="565"/>
      <c r="F25" s="566"/>
      <c r="G25" s="567"/>
      <c r="H25" s="571">
        <v>2.0</v>
      </c>
      <c r="I25" s="567"/>
      <c r="J25" s="567"/>
      <c r="K25" s="567"/>
      <c r="L25" s="582">
        <v>10.0</v>
      </c>
      <c r="M25" s="560"/>
      <c r="N25" s="567"/>
      <c r="O25" s="567"/>
      <c r="P25" s="567"/>
      <c r="Q25" s="567"/>
      <c r="R25" s="567"/>
      <c r="S25" s="567"/>
      <c r="T25" s="567"/>
      <c r="U25" s="567"/>
      <c r="V25" s="567"/>
      <c r="W25" s="571">
        <v>9.0</v>
      </c>
      <c r="X25" s="571">
        <v>2.0</v>
      </c>
      <c r="Y25" s="587">
        <v>10.0</v>
      </c>
      <c r="Z25" s="567"/>
      <c r="AA25" s="571">
        <v>3.0</v>
      </c>
      <c r="AB25" s="567"/>
      <c r="AC25" s="567"/>
      <c r="AD25" s="567"/>
      <c r="AE25" s="567"/>
      <c r="AF25" s="567"/>
      <c r="AG25" s="571">
        <v>6.0</v>
      </c>
      <c r="AH25" s="567"/>
      <c r="AI25" s="567"/>
      <c r="AJ25" s="560"/>
      <c r="AK25" s="562"/>
      <c r="AL25" s="563">
        <f t="shared" si="2"/>
        <v>42</v>
      </c>
      <c r="AM25" s="105">
        <f t="shared" si="3"/>
        <v>10.5</v>
      </c>
      <c r="AO25" s="564"/>
    </row>
    <row r="26" ht="1.5" customHeight="1">
      <c r="A26" s="554">
        <f>'INVONTERY FEB'!A26</f>
        <v>21</v>
      </c>
      <c r="B26" s="554" t="str">
        <f>'INVONTERY FEB'!B26</f>
        <v/>
      </c>
      <c r="C26" s="554" t="str">
        <f>'INVONTERY FEB'!C26</f>
        <v/>
      </c>
      <c r="D26" s="556">
        <f>'INVONTERY FEB'!D26</f>
        <v>0</v>
      </c>
      <c r="E26" s="565"/>
      <c r="F26" s="566"/>
      <c r="G26" s="567"/>
      <c r="H26" s="567"/>
      <c r="I26" s="567"/>
      <c r="J26" s="567"/>
      <c r="K26" s="567"/>
      <c r="L26" s="568"/>
      <c r="M26" s="560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9"/>
      <c r="Z26" s="567"/>
      <c r="AA26" s="567"/>
      <c r="AB26" s="567"/>
      <c r="AC26" s="567"/>
      <c r="AD26" s="567"/>
      <c r="AE26" s="567"/>
      <c r="AF26" s="567"/>
      <c r="AG26" s="567"/>
      <c r="AH26" s="567"/>
      <c r="AI26" s="567"/>
      <c r="AJ26" s="560"/>
      <c r="AK26" s="562"/>
      <c r="AL26" s="563">
        <f t="shared" si="2"/>
        <v>0</v>
      </c>
      <c r="AM26" s="105">
        <f t="shared" si="3"/>
        <v>0</v>
      </c>
      <c r="AO26" s="564"/>
    </row>
    <row r="27" ht="15.75" customHeight="1">
      <c r="A27" s="554">
        <f>'INVONTERY FEB'!A27</f>
        <v>22</v>
      </c>
      <c r="B27" s="554" t="str">
        <f>'INVONTERY FEB'!B27</f>
        <v/>
      </c>
      <c r="C27" s="554" t="str">
        <f>'INVONTERY FEB'!C27</f>
        <v/>
      </c>
      <c r="D27" s="556">
        <f>'INVONTERY FEB'!D27</f>
        <v>0</v>
      </c>
      <c r="E27" s="565"/>
      <c r="F27" s="566"/>
      <c r="G27" s="567"/>
      <c r="H27" s="567"/>
      <c r="I27" s="567"/>
      <c r="J27" s="567"/>
      <c r="K27" s="567"/>
      <c r="L27" s="568"/>
      <c r="M27" s="560"/>
      <c r="N27" s="567"/>
      <c r="O27" s="567"/>
      <c r="P27" s="567"/>
      <c r="Q27" s="567"/>
      <c r="R27" s="567"/>
      <c r="S27" s="567"/>
      <c r="T27" s="567"/>
      <c r="U27" s="567"/>
      <c r="V27" s="567"/>
      <c r="W27" s="567"/>
      <c r="X27" s="567"/>
      <c r="Y27" s="569"/>
      <c r="Z27" s="567"/>
      <c r="AA27" s="567"/>
      <c r="AB27" s="567"/>
      <c r="AC27" s="567"/>
      <c r="AD27" s="567"/>
      <c r="AE27" s="567"/>
      <c r="AF27" s="567"/>
      <c r="AG27" s="567"/>
      <c r="AH27" s="567"/>
      <c r="AI27" s="567"/>
      <c r="AJ27" s="560"/>
      <c r="AK27" s="562"/>
      <c r="AL27" s="563">
        <f t="shared" si="2"/>
        <v>0</v>
      </c>
      <c r="AM27" s="105">
        <f t="shared" si="3"/>
        <v>0</v>
      </c>
      <c r="AO27" s="564"/>
    </row>
    <row r="28" ht="1.5" customHeight="1">
      <c r="A28" s="554">
        <f>'INVONTERY FEB'!A28</f>
        <v>23</v>
      </c>
      <c r="B28" s="554" t="str">
        <f>'INVONTERY FEB'!B28</f>
        <v/>
      </c>
      <c r="C28" s="554" t="str">
        <f>'INVONTERY FEB'!C28</f>
        <v/>
      </c>
      <c r="D28" s="556">
        <f>'INVONTERY FEB'!D28</f>
        <v>0</v>
      </c>
      <c r="E28" s="565"/>
      <c r="F28" s="566"/>
      <c r="G28" s="567"/>
      <c r="H28" s="567"/>
      <c r="I28" s="567"/>
      <c r="J28" s="567"/>
      <c r="K28" s="567"/>
      <c r="L28" s="568"/>
      <c r="M28" s="560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9"/>
      <c r="Z28" s="567"/>
      <c r="AA28" s="567"/>
      <c r="AB28" s="567"/>
      <c r="AC28" s="567"/>
      <c r="AD28" s="567"/>
      <c r="AE28" s="567"/>
      <c r="AF28" s="567"/>
      <c r="AG28" s="567"/>
      <c r="AH28" s="567"/>
      <c r="AI28" s="567"/>
      <c r="AJ28" s="560"/>
      <c r="AK28" s="562"/>
      <c r="AL28" s="563">
        <f t="shared" si="2"/>
        <v>0</v>
      </c>
      <c r="AM28" s="105">
        <f t="shared" si="3"/>
        <v>0</v>
      </c>
      <c r="AO28" s="564"/>
    </row>
    <row r="29" ht="15.75" customHeight="1">
      <c r="A29" s="554">
        <f>'INVONTERY FEB'!A29</f>
        <v>24</v>
      </c>
      <c r="B29" s="554" t="str">
        <f>'INVONTERY FEB'!B29</f>
        <v>TOTA SPONAGE AMOUNT</v>
      </c>
      <c r="C29" s="554" t="str">
        <f>'INVONTERY FEB'!C29</f>
        <v/>
      </c>
      <c r="D29" s="556" t="str">
        <f>'INVONTERY FEB'!D29</f>
        <v/>
      </c>
      <c r="E29" s="565"/>
      <c r="F29" s="566"/>
      <c r="G29" s="567"/>
      <c r="H29" s="567"/>
      <c r="I29" s="567"/>
      <c r="J29" s="567"/>
      <c r="K29" s="567"/>
      <c r="L29" s="568"/>
      <c r="M29" s="560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9"/>
      <c r="Z29" s="567"/>
      <c r="AA29" s="567"/>
      <c r="AB29" s="567"/>
      <c r="AC29" s="567"/>
      <c r="AD29" s="567"/>
      <c r="AE29" s="567"/>
      <c r="AF29" s="567"/>
      <c r="AG29" s="567"/>
      <c r="AH29" s="567"/>
      <c r="AI29" s="567"/>
      <c r="AJ29" s="560"/>
      <c r="AK29" s="562"/>
      <c r="AL29" s="563">
        <f t="shared" si="2"/>
        <v>0</v>
      </c>
      <c r="AM29" s="105">
        <f t="shared" si="3"/>
        <v>0</v>
      </c>
      <c r="AO29" s="564"/>
    </row>
    <row r="30" ht="15.75" customHeight="1">
      <c r="A30" s="554">
        <f>'INVONTERY FEB'!A30</f>
        <v>25</v>
      </c>
      <c r="B30" s="555" t="str">
        <f>'INVONTERY FEB'!B30</f>
        <v>CAKE CRÈME</v>
      </c>
      <c r="C30" s="554" t="str">
        <f>'INVONTERY FEB'!C30</f>
        <v/>
      </c>
      <c r="D30" s="556" t="str">
        <f>'INVONTERY FEB'!D30</f>
        <v/>
      </c>
      <c r="E30" s="565"/>
      <c r="F30" s="566"/>
      <c r="G30" s="567"/>
      <c r="H30" s="567"/>
      <c r="I30" s="567"/>
      <c r="J30" s="567"/>
      <c r="K30" s="567"/>
      <c r="L30" s="568"/>
      <c r="M30" s="560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9"/>
      <c r="Z30" s="567"/>
      <c r="AA30" s="567"/>
      <c r="AB30" s="567"/>
      <c r="AC30" s="567"/>
      <c r="AD30" s="567"/>
      <c r="AE30" s="567"/>
      <c r="AF30" s="567"/>
      <c r="AG30" s="567"/>
      <c r="AH30" s="567"/>
      <c r="AI30" s="567"/>
      <c r="AJ30" s="560"/>
      <c r="AK30" s="562"/>
      <c r="AL30" s="563">
        <f t="shared" si="2"/>
        <v>0</v>
      </c>
      <c r="AM30" s="105">
        <f t="shared" si="3"/>
        <v>0</v>
      </c>
      <c r="AO30" s="564"/>
    </row>
    <row r="31" ht="15.75" customHeight="1">
      <c r="A31" s="554">
        <f>'INVONTERY FEB'!A31</f>
        <v>26</v>
      </c>
      <c r="B31" s="554" t="str">
        <f>'INVONTERY FEB'!B31</f>
        <v>CHOCO KNOC</v>
      </c>
      <c r="C31" s="554" t="str">
        <f>'INVONTERY FEB'!C31</f>
        <v>BUCKET</v>
      </c>
      <c r="D31" s="556">
        <f>'INVONTERY FEB'!D31</f>
        <v>7800</v>
      </c>
      <c r="E31" s="565"/>
      <c r="F31" s="566"/>
      <c r="G31" s="567"/>
      <c r="H31" s="567"/>
      <c r="I31" s="567"/>
      <c r="J31" s="567"/>
      <c r="K31" s="567"/>
      <c r="L31" s="568"/>
      <c r="M31" s="560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9"/>
      <c r="Z31" s="567"/>
      <c r="AA31" s="567"/>
      <c r="AB31" s="567"/>
      <c r="AC31" s="567"/>
      <c r="AD31" s="567"/>
      <c r="AE31" s="567"/>
      <c r="AF31" s="567"/>
      <c r="AG31" s="567"/>
      <c r="AH31" s="567"/>
      <c r="AI31" s="567"/>
      <c r="AJ31" s="560"/>
      <c r="AK31" s="562"/>
      <c r="AL31" s="563">
        <f t="shared" si="2"/>
        <v>0</v>
      </c>
      <c r="AM31" s="105">
        <f t="shared" si="3"/>
        <v>0</v>
      </c>
      <c r="AO31" s="564"/>
    </row>
    <row r="32" ht="15.75" customHeight="1">
      <c r="A32" s="554">
        <f>'INVONTERY FEB'!A32</f>
        <v>27</v>
      </c>
      <c r="B32" s="554" t="str">
        <f>'INVONTERY FEB'!B32</f>
        <v>MILK PACK CREAM200ML</v>
      </c>
      <c r="C32" s="554" t="str">
        <f>'INVONTERY FEB'!C32</f>
        <v>PCS</v>
      </c>
      <c r="D32" s="556">
        <f>'INVONTERY FEB'!D32</f>
        <v>211</v>
      </c>
      <c r="E32" s="565"/>
      <c r="F32" s="590"/>
      <c r="G32" s="575"/>
      <c r="H32" s="575"/>
      <c r="I32" s="575"/>
      <c r="J32" s="575"/>
      <c r="K32" s="567"/>
      <c r="L32" s="567"/>
      <c r="M32" s="560"/>
      <c r="N32" s="577"/>
      <c r="O32" s="567"/>
      <c r="P32" s="577"/>
      <c r="Q32" s="567"/>
      <c r="R32" s="577"/>
      <c r="S32" s="567"/>
      <c r="T32" s="577"/>
      <c r="U32" s="567"/>
      <c r="V32" s="581"/>
      <c r="W32" s="567"/>
      <c r="X32" s="577"/>
      <c r="Y32" s="581"/>
      <c r="Z32" s="575"/>
      <c r="AA32" s="567"/>
      <c r="AB32" s="575"/>
      <c r="AC32" s="577"/>
      <c r="AD32" s="567"/>
      <c r="AE32" s="581"/>
      <c r="AF32" s="575"/>
      <c r="AG32" s="567"/>
      <c r="AH32" s="575"/>
      <c r="AI32" s="567"/>
      <c r="AJ32" s="560"/>
      <c r="AK32" s="562"/>
      <c r="AL32" s="563">
        <f t="shared" si="2"/>
        <v>0</v>
      </c>
      <c r="AM32" s="105">
        <f t="shared" si="3"/>
        <v>0</v>
      </c>
      <c r="AO32" s="564"/>
    </row>
    <row r="33" ht="17.25" customHeight="1">
      <c r="A33" s="554">
        <f>'INVONTERY FEB'!A33</f>
        <v>28</v>
      </c>
      <c r="B33" s="554" t="str">
        <f>'INVONTERY FEB'!B33</f>
        <v>NESTLE BUTTER</v>
      </c>
      <c r="C33" s="554" t="str">
        <f>'INVONTERY FEB'!C33</f>
        <v>KG</v>
      </c>
      <c r="D33" s="556">
        <f>'INVONTERY FEB'!D33</f>
        <v>1850</v>
      </c>
      <c r="E33" s="565"/>
      <c r="F33" s="566"/>
      <c r="G33" s="567"/>
      <c r="H33" s="567"/>
      <c r="I33" s="575"/>
      <c r="J33" s="567"/>
      <c r="K33" s="567"/>
      <c r="L33" s="591"/>
      <c r="M33" s="580">
        <v>10.0</v>
      </c>
      <c r="N33" s="567"/>
      <c r="O33" s="567"/>
      <c r="P33" s="567"/>
      <c r="Q33" s="567"/>
      <c r="R33" s="567"/>
      <c r="S33" s="571">
        <v>5.0</v>
      </c>
      <c r="T33" s="567"/>
      <c r="U33" s="567"/>
      <c r="V33" s="567"/>
      <c r="W33" s="567"/>
      <c r="X33" s="567"/>
      <c r="Y33" s="569"/>
      <c r="Z33" s="567"/>
      <c r="AA33" s="567"/>
      <c r="AB33" s="567"/>
      <c r="AC33" s="567"/>
      <c r="AD33" s="567"/>
      <c r="AE33" s="567"/>
      <c r="AF33" s="575"/>
      <c r="AG33" s="567"/>
      <c r="AH33" s="567"/>
      <c r="AI33" s="567"/>
      <c r="AJ33" s="560"/>
      <c r="AK33" s="562"/>
      <c r="AL33" s="563">
        <f t="shared" si="2"/>
        <v>15</v>
      </c>
      <c r="AM33" s="105">
        <f t="shared" si="3"/>
        <v>10</v>
      </c>
      <c r="AO33" s="564"/>
    </row>
    <row r="34" ht="15.75" customHeight="1">
      <c r="A34" s="554">
        <f>'INVONTERY FEB'!A34</f>
        <v>29</v>
      </c>
      <c r="B34" s="554" t="str">
        <f>'INVONTERY FEB'!B34</f>
        <v>WHIPPING CREAM</v>
      </c>
      <c r="C34" s="554" t="str">
        <f>'INVONTERY FEB'!C34</f>
        <v>PCS</v>
      </c>
      <c r="D34" s="556">
        <f>'INVONTERY FEB'!D34</f>
        <v>700</v>
      </c>
      <c r="E34" s="565"/>
      <c r="F34" s="570">
        <v>12.0</v>
      </c>
      <c r="G34" s="578">
        <v>9.0</v>
      </c>
      <c r="H34" s="571">
        <v>8.0</v>
      </c>
      <c r="I34" s="571">
        <v>10.0</v>
      </c>
      <c r="J34" s="571">
        <v>11.0</v>
      </c>
      <c r="K34" s="571">
        <v>11.0</v>
      </c>
      <c r="L34" s="582">
        <v>10.0</v>
      </c>
      <c r="M34" s="583">
        <v>13.0</v>
      </c>
      <c r="N34" s="571">
        <v>13.0</v>
      </c>
      <c r="O34" s="574">
        <v>13.0</v>
      </c>
      <c r="P34" s="571">
        <v>10.0</v>
      </c>
      <c r="Q34" s="571">
        <v>9.0</v>
      </c>
      <c r="R34" s="571">
        <v>15.0</v>
      </c>
      <c r="S34" s="574">
        <v>18.0</v>
      </c>
      <c r="T34" s="574">
        <v>12.0</v>
      </c>
      <c r="U34" s="571">
        <v>12.0</v>
      </c>
      <c r="V34" s="574">
        <v>14.0</v>
      </c>
      <c r="W34" s="571">
        <v>7.0</v>
      </c>
      <c r="X34" s="574">
        <v>10.0</v>
      </c>
      <c r="Y34" s="573">
        <v>10.0</v>
      </c>
      <c r="Z34" s="578">
        <v>0.0</v>
      </c>
      <c r="AA34" s="578">
        <v>10.0</v>
      </c>
      <c r="AB34" s="571">
        <v>6.0</v>
      </c>
      <c r="AC34" s="577"/>
      <c r="AD34" s="567"/>
      <c r="AE34" s="574">
        <v>13.0</v>
      </c>
      <c r="AF34" s="571">
        <v>6.0</v>
      </c>
      <c r="AG34" s="571">
        <v>7.0</v>
      </c>
      <c r="AH34" s="575"/>
      <c r="AI34" s="567"/>
      <c r="AJ34" s="560"/>
      <c r="AK34" s="562"/>
      <c r="AL34" s="563">
        <f t="shared" si="2"/>
        <v>269</v>
      </c>
      <c r="AM34" s="105">
        <f t="shared" si="3"/>
        <v>19.92592593</v>
      </c>
      <c r="AO34" s="564"/>
    </row>
    <row r="35" ht="15.75" customHeight="1">
      <c r="A35" s="554">
        <f>'INVONTERY FEB'!A35</f>
        <v>30</v>
      </c>
      <c r="B35" s="554" t="str">
        <f>'INVONTERY FEB'!B35</f>
        <v>ROXELLA CRUNCHY CREAM</v>
      </c>
      <c r="C35" s="554" t="str">
        <f>'INVONTERY FEB'!C35</f>
        <v>KG</v>
      </c>
      <c r="D35" s="556">
        <f>'INVONTERY FEB'!D35</f>
        <v>4281</v>
      </c>
      <c r="E35" s="565"/>
      <c r="F35" s="570">
        <v>1.0</v>
      </c>
      <c r="G35" s="567"/>
      <c r="H35" s="567"/>
      <c r="I35" s="567"/>
      <c r="J35" s="567"/>
      <c r="K35" s="571">
        <v>1.0</v>
      </c>
      <c r="L35" s="568"/>
      <c r="M35" s="560"/>
      <c r="N35" s="571">
        <v>1.0</v>
      </c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81"/>
      <c r="Z35" s="567"/>
      <c r="AA35" s="567"/>
      <c r="AB35" s="567"/>
      <c r="AC35" s="567"/>
      <c r="AD35" s="567"/>
      <c r="AE35" s="567"/>
      <c r="AF35" s="567"/>
      <c r="AG35" s="567"/>
      <c r="AH35" s="567"/>
      <c r="AI35" s="567"/>
      <c r="AJ35" s="560"/>
      <c r="AK35" s="562"/>
      <c r="AL35" s="563">
        <f t="shared" si="2"/>
        <v>3</v>
      </c>
      <c r="AM35" s="105">
        <f t="shared" si="3"/>
        <v>1.5</v>
      </c>
      <c r="AO35" s="564"/>
    </row>
    <row r="36" ht="15.75" customHeight="1">
      <c r="A36" s="554">
        <f>'INVONTERY FEB'!A36</f>
        <v>31</v>
      </c>
      <c r="B36" s="554" t="str">
        <f>'INVONTERY FEB'!B36</f>
        <v>NURPUR BUTTER</v>
      </c>
      <c r="C36" s="554" t="str">
        <f>'INVONTERY FEB'!C36</f>
        <v>KG</v>
      </c>
      <c r="D36" s="556">
        <f>'INVONTERY FEB'!D36</f>
        <v>1800</v>
      </c>
      <c r="E36" s="565"/>
      <c r="F36" s="570">
        <v>10.0</v>
      </c>
      <c r="G36" s="567"/>
      <c r="H36" s="567"/>
      <c r="I36" s="567"/>
      <c r="J36" s="567"/>
      <c r="K36" s="567"/>
      <c r="L36" s="568"/>
      <c r="M36" s="580">
        <v>15.0</v>
      </c>
      <c r="N36" s="567"/>
      <c r="O36" s="571">
        <v>0.0</v>
      </c>
      <c r="P36" s="567"/>
      <c r="Q36" s="567"/>
      <c r="R36" s="567"/>
      <c r="S36" s="571"/>
      <c r="T36" s="567"/>
      <c r="U36" s="567"/>
      <c r="V36" s="567"/>
      <c r="W36" s="567"/>
      <c r="X36" s="567"/>
      <c r="Y36" s="569"/>
      <c r="Z36" s="567"/>
      <c r="AA36" s="567"/>
      <c r="AB36" s="567"/>
      <c r="AC36" s="567"/>
      <c r="AD36" s="567"/>
      <c r="AE36" s="567"/>
      <c r="AF36" s="567"/>
      <c r="AG36" s="567"/>
      <c r="AH36" s="567"/>
      <c r="AI36" s="567"/>
      <c r="AJ36" s="560"/>
      <c r="AK36" s="562"/>
      <c r="AL36" s="563">
        <f t="shared" si="2"/>
        <v>25</v>
      </c>
      <c r="AM36" s="105">
        <f t="shared" si="3"/>
        <v>12.5</v>
      </c>
      <c r="AO36" s="564"/>
    </row>
    <row r="37" ht="15.75" customHeight="1">
      <c r="A37" s="554">
        <f>'INVONTERY FEB'!A37</f>
        <v>32</v>
      </c>
      <c r="B37" s="554" t="str">
        <f>'INVONTERY FEB'!B37</f>
        <v>CHEESE CREAM </v>
      </c>
      <c r="C37" s="554" t="str">
        <f>'INVONTERY FEB'!C37</f>
        <v>LTR</v>
      </c>
      <c r="D37" s="556">
        <f>'INVONTERY FEB'!D37</f>
        <v>2500</v>
      </c>
      <c r="E37" s="565"/>
      <c r="F37" s="566"/>
      <c r="G37" s="567"/>
      <c r="H37" s="567"/>
      <c r="I37" s="567"/>
      <c r="J37" s="571">
        <v>1.0</v>
      </c>
      <c r="K37" s="567"/>
      <c r="L37" s="568"/>
      <c r="M37" s="560"/>
      <c r="N37" s="588"/>
      <c r="O37" s="567"/>
      <c r="P37" s="567"/>
      <c r="Q37" s="567"/>
      <c r="R37" s="567"/>
      <c r="S37" s="567"/>
      <c r="T37" s="567"/>
      <c r="U37" s="567"/>
      <c r="V37" s="567"/>
      <c r="W37" s="581"/>
      <c r="X37" s="567"/>
      <c r="Y37" s="581"/>
      <c r="Z37" s="567"/>
      <c r="AA37" s="567"/>
      <c r="AB37" s="567"/>
      <c r="AC37" s="567"/>
      <c r="AD37" s="567"/>
      <c r="AE37" s="567"/>
      <c r="AF37" s="567"/>
      <c r="AG37" s="567"/>
      <c r="AH37" s="567"/>
      <c r="AI37" s="567"/>
      <c r="AJ37" s="560"/>
      <c r="AK37" s="562"/>
      <c r="AL37" s="563">
        <f t="shared" si="2"/>
        <v>1</v>
      </c>
      <c r="AM37" s="105">
        <f t="shared" si="3"/>
        <v>1</v>
      </c>
      <c r="AO37" s="564"/>
    </row>
    <row r="38" ht="15.75" customHeight="1">
      <c r="A38" s="554">
        <f>'INVONTERY FEB'!A38</f>
        <v>33</v>
      </c>
      <c r="B38" s="554" t="str">
        <f>'INVONTERY FEB'!B38</f>
        <v>G.P ICING SUGAR</v>
      </c>
      <c r="C38" s="554" t="str">
        <f>'INVONTERY FEB'!C38</f>
        <v>PCS</v>
      </c>
      <c r="D38" s="556">
        <f>'INVONTERY FEB'!D38</f>
        <v>155</v>
      </c>
      <c r="E38" s="565"/>
      <c r="F38" s="566"/>
      <c r="G38" s="575"/>
      <c r="H38" s="575"/>
      <c r="I38" s="575"/>
      <c r="J38" s="567"/>
      <c r="K38" s="575"/>
      <c r="L38" s="568"/>
      <c r="M38" s="560"/>
      <c r="N38" s="577"/>
      <c r="O38" s="577"/>
      <c r="P38" s="577"/>
      <c r="Q38" s="567"/>
      <c r="R38" s="567"/>
      <c r="S38" s="571">
        <v>10.0</v>
      </c>
      <c r="T38" s="577"/>
      <c r="U38" s="577"/>
      <c r="V38" s="581"/>
      <c r="W38" s="571">
        <v>10.0</v>
      </c>
      <c r="X38" s="577"/>
      <c r="Y38" s="569"/>
      <c r="Z38" s="592"/>
      <c r="AA38" s="567"/>
      <c r="AB38" s="575"/>
      <c r="AC38" s="574">
        <v>10.0</v>
      </c>
      <c r="AD38" s="577"/>
      <c r="AE38" s="581"/>
      <c r="AF38" s="575"/>
      <c r="AG38" s="571">
        <v>2.0</v>
      </c>
      <c r="AH38" s="567"/>
      <c r="AI38" s="567"/>
      <c r="AJ38" s="560"/>
      <c r="AK38" s="562"/>
      <c r="AL38" s="563">
        <f t="shared" si="2"/>
        <v>32</v>
      </c>
      <c r="AM38" s="105">
        <f t="shared" si="3"/>
        <v>12.8</v>
      </c>
      <c r="AO38" s="593"/>
    </row>
    <row r="39" ht="15.75" customHeight="1">
      <c r="A39" s="554">
        <f>'INVONTERY FEB'!A39</f>
        <v>34</v>
      </c>
      <c r="B39" s="554" t="str">
        <f>'INVONTERY FEB'!B39</f>
        <v>DARK CHOCLATE SLAB 2 KG</v>
      </c>
      <c r="C39" s="554" t="str">
        <f>'INVONTERY FEB'!C39</f>
        <v>PKT</v>
      </c>
      <c r="D39" s="556">
        <f>'INVONTERY FEB'!D39</f>
        <v>1400</v>
      </c>
      <c r="E39" s="565"/>
      <c r="F39" s="570">
        <v>3.0</v>
      </c>
      <c r="G39" s="575"/>
      <c r="H39" s="567"/>
      <c r="I39" s="567"/>
      <c r="J39" s="571">
        <v>3.0</v>
      </c>
      <c r="K39" s="571">
        <v>4.0</v>
      </c>
      <c r="L39" s="568"/>
      <c r="M39" s="560"/>
      <c r="N39" s="571">
        <v>3.0</v>
      </c>
      <c r="O39" s="571">
        <v>3.0</v>
      </c>
      <c r="P39" s="571">
        <v>2.0</v>
      </c>
      <c r="Q39" s="567"/>
      <c r="R39" s="574">
        <v>3.0</v>
      </c>
      <c r="S39" s="571">
        <v>3.0</v>
      </c>
      <c r="T39" s="567"/>
      <c r="U39" s="571">
        <v>3.0</v>
      </c>
      <c r="V39" s="567"/>
      <c r="W39" s="567"/>
      <c r="X39" s="567"/>
      <c r="Y39" s="569"/>
      <c r="Z39" s="575"/>
      <c r="AA39" s="571">
        <v>3.0</v>
      </c>
      <c r="AB39" s="567"/>
      <c r="AC39" s="567"/>
      <c r="AD39" s="567"/>
      <c r="AE39" s="567"/>
      <c r="AF39" s="571">
        <v>3.0</v>
      </c>
      <c r="AG39" s="567"/>
      <c r="AH39" s="567"/>
      <c r="AI39" s="567"/>
      <c r="AJ39" s="560"/>
      <c r="AK39" s="562"/>
      <c r="AL39" s="563">
        <f t="shared" si="2"/>
        <v>33</v>
      </c>
      <c r="AM39" s="105">
        <f t="shared" si="3"/>
        <v>5.5</v>
      </c>
      <c r="AO39" s="564"/>
    </row>
    <row r="40" ht="15.75" customHeight="1">
      <c r="A40" s="554">
        <f>'INVONTERY FEB'!A40</f>
        <v>35</v>
      </c>
      <c r="B40" s="554" t="str">
        <f>'INVONTERY FEB'!B40</f>
        <v>MILKI CHOCLATE SLAB 2 KG</v>
      </c>
      <c r="C40" s="554" t="str">
        <f>'INVONTERY FEB'!C40</f>
        <v>PKT</v>
      </c>
      <c r="D40" s="556">
        <f>'INVONTERY FEB'!D40</f>
        <v>1600</v>
      </c>
      <c r="E40" s="565"/>
      <c r="F40" s="566"/>
      <c r="G40" s="567"/>
      <c r="H40" s="571">
        <v>2.0</v>
      </c>
      <c r="I40" s="567"/>
      <c r="J40" s="567"/>
      <c r="K40" s="571">
        <v>2.0</v>
      </c>
      <c r="L40" s="568"/>
      <c r="M40" s="560"/>
      <c r="N40" s="571">
        <v>5.0</v>
      </c>
      <c r="O40" s="567"/>
      <c r="P40" s="571">
        <v>5.0</v>
      </c>
      <c r="Q40" s="567"/>
      <c r="R40" s="574">
        <v>2.0</v>
      </c>
      <c r="S40" s="571">
        <v>2.0</v>
      </c>
      <c r="T40" s="567"/>
      <c r="U40" s="571">
        <v>2.0</v>
      </c>
      <c r="V40" s="567"/>
      <c r="W40" s="567"/>
      <c r="X40" s="567"/>
      <c r="Y40" s="587">
        <v>2.0</v>
      </c>
      <c r="Z40" s="575"/>
      <c r="AA40" s="567"/>
      <c r="AB40" s="571">
        <v>2.0</v>
      </c>
      <c r="AC40" s="567"/>
      <c r="AD40" s="567"/>
      <c r="AE40" s="567"/>
      <c r="AF40" s="567"/>
      <c r="AG40" s="571">
        <v>2.0</v>
      </c>
      <c r="AH40" s="567"/>
      <c r="AI40" s="567"/>
      <c r="AJ40" s="560"/>
      <c r="AK40" s="562"/>
      <c r="AL40" s="563">
        <f t="shared" si="2"/>
        <v>26</v>
      </c>
      <c r="AM40" s="105">
        <f t="shared" si="3"/>
        <v>4.727272727</v>
      </c>
      <c r="AO40" s="564"/>
    </row>
    <row r="41" ht="15.75" customHeight="1">
      <c r="A41" s="554">
        <f>'INVONTERY FEB'!A41</f>
        <v>36</v>
      </c>
      <c r="B41" s="554" t="str">
        <f>'INVONTERY FEB'!B41</f>
        <v>HISS CHOCLATE 4 RINGS</v>
      </c>
      <c r="C41" s="554" t="str">
        <f>'INVONTERY FEB'!C41</f>
        <v>BOX</v>
      </c>
      <c r="D41" s="556">
        <f>'INVONTERY FEB'!D41</f>
        <v>1500</v>
      </c>
      <c r="E41" s="565"/>
      <c r="F41" s="590"/>
      <c r="G41" s="575"/>
      <c r="H41" s="567"/>
      <c r="I41" s="567"/>
      <c r="J41" s="567"/>
      <c r="K41" s="567"/>
      <c r="L41" s="568"/>
      <c r="M41" s="560"/>
      <c r="N41" s="567"/>
      <c r="O41" s="567"/>
      <c r="P41" s="577"/>
      <c r="Q41" s="567"/>
      <c r="R41" s="577"/>
      <c r="S41" s="567"/>
      <c r="T41" s="567"/>
      <c r="U41" s="567"/>
      <c r="V41" s="577"/>
      <c r="W41" s="567"/>
      <c r="X41" s="567"/>
      <c r="Y41" s="581"/>
      <c r="Z41" s="567"/>
      <c r="AA41" s="567"/>
      <c r="AB41" s="567"/>
      <c r="AC41" s="567"/>
      <c r="AD41" s="567"/>
      <c r="AE41" s="577"/>
      <c r="AF41" s="575"/>
      <c r="AG41" s="575"/>
      <c r="AH41" s="567"/>
      <c r="AI41" s="567"/>
      <c r="AJ41" s="560"/>
      <c r="AK41" s="562"/>
      <c r="AL41" s="563">
        <f t="shared" si="2"/>
        <v>0</v>
      </c>
      <c r="AM41" s="105">
        <f t="shared" si="3"/>
        <v>0</v>
      </c>
      <c r="AO41" s="564"/>
    </row>
    <row r="42" ht="15.75" customHeight="1">
      <c r="A42" s="554">
        <f>'INVONTERY FEB'!A42</f>
        <v>37</v>
      </c>
      <c r="B42" s="554" t="str">
        <f>'INVONTERY FEB'!B42</f>
        <v>HISS CHOCLATE 2 RINGS</v>
      </c>
      <c r="C42" s="554" t="str">
        <f>'INVONTERY FEB'!C42</f>
        <v>BOX</v>
      </c>
      <c r="D42" s="556">
        <f>'INVONTERY FEB'!D42</f>
        <v>667</v>
      </c>
      <c r="E42" s="565"/>
      <c r="F42" s="570">
        <v>2.0</v>
      </c>
      <c r="G42" s="567"/>
      <c r="H42" s="567"/>
      <c r="I42" s="571">
        <v>1.0</v>
      </c>
      <c r="J42" s="567"/>
      <c r="K42" s="571">
        <v>2.0</v>
      </c>
      <c r="L42" s="568"/>
      <c r="M42" s="560"/>
      <c r="N42" s="571">
        <v>2.0</v>
      </c>
      <c r="O42" s="567"/>
      <c r="P42" s="567"/>
      <c r="Q42" s="567"/>
      <c r="R42" s="567"/>
      <c r="S42" s="571">
        <v>1.0</v>
      </c>
      <c r="T42" s="567"/>
      <c r="U42" s="567"/>
      <c r="V42" s="571">
        <v>1.0</v>
      </c>
      <c r="W42" s="571">
        <v>1.0</v>
      </c>
      <c r="X42" s="567"/>
      <c r="Y42" s="569"/>
      <c r="Z42" s="567"/>
      <c r="AA42" s="571">
        <v>1.0</v>
      </c>
      <c r="AB42" s="567"/>
      <c r="AC42" s="571">
        <v>3.0</v>
      </c>
      <c r="AD42" s="567"/>
      <c r="AE42" s="567"/>
      <c r="AF42" s="567"/>
      <c r="AG42" s="571">
        <v>1.0</v>
      </c>
      <c r="AH42" s="567"/>
      <c r="AI42" s="567"/>
      <c r="AJ42" s="560"/>
      <c r="AK42" s="562"/>
      <c r="AL42" s="563">
        <f t="shared" si="2"/>
        <v>15</v>
      </c>
      <c r="AM42" s="105">
        <f t="shared" si="3"/>
        <v>2.727272727</v>
      </c>
      <c r="AO42" s="564"/>
    </row>
    <row r="43" ht="15.75" customHeight="1">
      <c r="A43" s="554">
        <f>'INVONTERY FEB'!A43</f>
        <v>38</v>
      </c>
      <c r="B43" s="554" t="str">
        <f>'INVONTERY FEB'!B43</f>
        <v>DAIRY MILK</v>
      </c>
      <c r="C43" s="554" t="str">
        <f>'INVONTERY FEB'!C43</f>
        <v>BOX</v>
      </c>
      <c r="D43" s="556">
        <f>'INVONTERY FEB'!D43</f>
        <v>433.3043478</v>
      </c>
      <c r="E43" s="565"/>
      <c r="F43" s="566"/>
      <c r="G43" s="567"/>
      <c r="H43" s="571">
        <v>3.0</v>
      </c>
      <c r="I43" s="578">
        <v>2.0</v>
      </c>
      <c r="J43" s="567"/>
      <c r="K43" s="571">
        <v>3.0</v>
      </c>
      <c r="L43" s="568"/>
      <c r="M43" s="560"/>
      <c r="N43" s="571">
        <v>1.0</v>
      </c>
      <c r="O43" s="567"/>
      <c r="P43" s="574">
        <v>1.0</v>
      </c>
      <c r="Q43" s="567"/>
      <c r="R43" s="567"/>
      <c r="S43" s="574">
        <v>2.0</v>
      </c>
      <c r="T43" s="567"/>
      <c r="U43" s="567"/>
      <c r="V43" s="571">
        <v>3.0</v>
      </c>
      <c r="W43" s="567"/>
      <c r="X43" s="567"/>
      <c r="Y43" s="581"/>
      <c r="Z43" s="571">
        <v>3.0</v>
      </c>
      <c r="AA43" s="567"/>
      <c r="AB43" s="567"/>
      <c r="AC43" s="567"/>
      <c r="AD43" s="567"/>
      <c r="AE43" s="571">
        <v>3.0</v>
      </c>
      <c r="AF43" s="567"/>
      <c r="AG43" s="571">
        <v>2.0</v>
      </c>
      <c r="AH43" s="575"/>
      <c r="AI43" s="567"/>
      <c r="AJ43" s="560"/>
      <c r="AK43" s="562"/>
      <c r="AL43" s="563">
        <f t="shared" si="2"/>
        <v>23</v>
      </c>
      <c r="AM43" s="105">
        <f t="shared" si="3"/>
        <v>4.181818182</v>
      </c>
      <c r="AO43" s="564"/>
    </row>
    <row r="44" ht="15.75" customHeight="1">
      <c r="A44" s="554">
        <f>'INVONTERY FEB'!A44</f>
        <v>39</v>
      </c>
      <c r="B44" s="554" t="str">
        <f>'INVONTERY FEB'!B44</f>
        <v>CORN FLOURE</v>
      </c>
      <c r="C44" s="554" t="str">
        <f>'INVONTERY FEB'!C44</f>
        <v>KG</v>
      </c>
      <c r="D44" s="556">
        <f>'INVONTERY FEB'!D44</f>
        <v>232</v>
      </c>
      <c r="E44" s="565"/>
      <c r="F44" s="566"/>
      <c r="G44" s="567"/>
      <c r="H44" s="567"/>
      <c r="I44" s="567"/>
      <c r="J44" s="567"/>
      <c r="K44" s="567"/>
      <c r="L44" s="568"/>
      <c r="M44" s="560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9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0"/>
      <c r="AK44" s="562"/>
      <c r="AL44" s="563">
        <f t="shared" si="2"/>
        <v>0</v>
      </c>
      <c r="AM44" s="105">
        <f t="shared" si="3"/>
        <v>0</v>
      </c>
      <c r="AO44" s="564"/>
    </row>
    <row r="45" ht="15.75" customHeight="1">
      <c r="A45" s="554">
        <f>'INVONTERY FEB'!A45</f>
        <v>40</v>
      </c>
      <c r="B45" s="554" t="str">
        <f>'INVONTERY FEB'!B45</f>
        <v>WHITE CHOCLATE SLAB 2 KG</v>
      </c>
      <c r="C45" s="554" t="str">
        <f>'INVONTERY FEB'!C45</f>
        <v>PKT</v>
      </c>
      <c r="D45" s="556">
        <f>'INVONTERY FEB'!D45</f>
        <v>1600</v>
      </c>
      <c r="E45" s="565"/>
      <c r="F45" s="566"/>
      <c r="G45" s="567"/>
      <c r="H45" s="567"/>
      <c r="I45" s="567"/>
      <c r="J45" s="567"/>
      <c r="K45" s="567"/>
      <c r="L45" s="582">
        <v>1.0</v>
      </c>
      <c r="M45" s="560"/>
      <c r="N45" s="567"/>
      <c r="O45" s="567"/>
      <c r="P45" s="567"/>
      <c r="Q45" s="567"/>
      <c r="R45" s="567"/>
      <c r="S45" s="567"/>
      <c r="T45" s="571">
        <v>1.0</v>
      </c>
      <c r="U45" s="567"/>
      <c r="V45" s="571">
        <v>1.0</v>
      </c>
      <c r="W45" s="567"/>
      <c r="X45" s="567"/>
      <c r="Y45" s="569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0"/>
      <c r="AK45" s="562"/>
      <c r="AL45" s="563">
        <f t="shared" si="2"/>
        <v>3</v>
      </c>
      <c r="AM45" s="105">
        <f t="shared" si="3"/>
        <v>1.5</v>
      </c>
      <c r="AO45" s="564"/>
    </row>
    <row r="46" ht="15.75" customHeight="1">
      <c r="A46" s="554">
        <f>'INVONTERY FEB'!A46</f>
        <v>41</v>
      </c>
      <c r="B46" s="554" t="str">
        <f>'INVONTERY FEB'!B46</f>
        <v>LUEVEN CREAM</v>
      </c>
      <c r="C46" s="554" t="str">
        <f>'INVONTERY FEB'!C46</f>
        <v>KG</v>
      </c>
      <c r="D46" s="556">
        <f>'INVONTERY FEB'!D46</f>
        <v>3300</v>
      </c>
      <c r="E46" s="565"/>
      <c r="F46" s="566"/>
      <c r="G46" s="567"/>
      <c r="H46" s="567"/>
      <c r="I46" s="567"/>
      <c r="J46" s="567"/>
      <c r="K46" s="571">
        <v>5.0</v>
      </c>
      <c r="L46" s="568"/>
      <c r="M46" s="560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9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0"/>
      <c r="AK46" s="562"/>
      <c r="AL46" s="563">
        <f t="shared" si="2"/>
        <v>5</v>
      </c>
      <c r="AM46" s="105">
        <f t="shared" si="3"/>
        <v>5</v>
      </c>
      <c r="AN46" s="594"/>
      <c r="AO46" s="564"/>
    </row>
    <row r="47" ht="15.75" customHeight="1">
      <c r="A47" s="554">
        <f>'INVONTERY FEB'!A47</f>
        <v>42</v>
      </c>
      <c r="B47" s="554" t="str">
        <f>'INVONTERY FEB'!B47</f>
        <v>PISTACHIO SAPREAD</v>
      </c>
      <c r="C47" s="554" t="str">
        <f>'INVONTERY FEB'!C47</f>
        <v>KG</v>
      </c>
      <c r="D47" s="556">
        <f>'INVONTERY FEB'!D47</f>
        <v>5200</v>
      </c>
      <c r="E47" s="565"/>
      <c r="F47" s="566"/>
      <c r="G47" s="567"/>
      <c r="H47" s="567"/>
      <c r="I47" s="571">
        <v>3.0</v>
      </c>
      <c r="J47" s="567"/>
      <c r="K47" s="567"/>
      <c r="L47" s="567"/>
      <c r="M47" s="560"/>
      <c r="N47" s="567"/>
      <c r="O47" s="567"/>
      <c r="P47" s="577"/>
      <c r="Q47" s="567"/>
      <c r="R47" s="567"/>
      <c r="S47" s="567"/>
      <c r="T47" s="567"/>
      <c r="U47" s="567"/>
      <c r="V47" s="567"/>
      <c r="W47" s="567"/>
      <c r="X47" s="567"/>
      <c r="Y47" s="569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0"/>
      <c r="AK47" s="562"/>
      <c r="AL47" s="563">
        <f t="shared" si="2"/>
        <v>3</v>
      </c>
      <c r="AM47" s="105">
        <f t="shared" si="3"/>
        <v>3</v>
      </c>
      <c r="AN47" s="594"/>
      <c r="AO47" s="564"/>
    </row>
    <row r="48" ht="15.75" customHeight="1">
      <c r="A48" s="554">
        <f>'INVONTERY FEB'!A48</f>
        <v>43</v>
      </c>
      <c r="B48" s="554" t="str">
        <f>'INVONTERY FEB'!B48</f>
        <v>OLPERS CREAM 200 ML</v>
      </c>
      <c r="C48" s="554" t="str">
        <f>'INVONTERY FEB'!C48</f>
        <v>PCS</v>
      </c>
      <c r="D48" s="556">
        <f>'INVONTERY FEB'!D48</f>
        <v>207.2819672</v>
      </c>
      <c r="E48" s="565"/>
      <c r="F48" s="570">
        <v>24.0</v>
      </c>
      <c r="G48" s="567"/>
      <c r="H48" s="571">
        <v>24.0</v>
      </c>
      <c r="I48" s="567"/>
      <c r="J48" s="571">
        <v>24.0</v>
      </c>
      <c r="K48" s="567">
        <f>24*3</f>
        <v>72</v>
      </c>
      <c r="L48" s="568"/>
      <c r="M48" s="580">
        <v>48.0</v>
      </c>
      <c r="N48" s="571">
        <v>48.0</v>
      </c>
      <c r="O48" s="571">
        <v>24.0</v>
      </c>
      <c r="P48" s="571">
        <v>24.0</v>
      </c>
      <c r="Q48" s="567"/>
      <c r="R48" s="567"/>
      <c r="S48" s="567">
        <f>24*3</f>
        <v>72</v>
      </c>
      <c r="T48" s="567"/>
      <c r="U48" s="571">
        <v>48.0</v>
      </c>
      <c r="V48" s="567"/>
      <c r="W48" s="571">
        <v>72.0</v>
      </c>
      <c r="X48" s="567"/>
      <c r="Y48" s="587">
        <v>24.0</v>
      </c>
      <c r="Z48" s="567"/>
      <c r="AA48" s="571">
        <v>24.0</v>
      </c>
      <c r="AB48" s="571">
        <v>24.0</v>
      </c>
      <c r="AC48" s="571">
        <v>25.0</v>
      </c>
      <c r="AD48" s="571">
        <v>20.0</v>
      </c>
      <c r="AE48" s="571">
        <v>20.0</v>
      </c>
      <c r="AF48" s="571">
        <v>24.0</v>
      </c>
      <c r="AG48" s="571">
        <v>24.0</v>
      </c>
      <c r="AH48" s="567"/>
      <c r="AI48" s="567"/>
      <c r="AJ48" s="560"/>
      <c r="AK48" s="562"/>
      <c r="AL48" s="563">
        <f t="shared" si="2"/>
        <v>665</v>
      </c>
      <c r="AM48" s="105">
        <f t="shared" si="3"/>
        <v>66.5</v>
      </c>
      <c r="AN48" s="594"/>
      <c r="AO48" s="564"/>
    </row>
    <row r="49" ht="15.75" customHeight="1">
      <c r="A49" s="554">
        <f>'INVONTERY FEB'!A49</f>
        <v>44</v>
      </c>
      <c r="B49" s="554" t="str">
        <f>'INVONTERY FEB'!B49</f>
        <v>SALBON CHOCLATE</v>
      </c>
      <c r="C49" s="554" t="str">
        <f>'INVONTERY FEB'!C49</f>
        <v>KG</v>
      </c>
      <c r="D49" s="556">
        <f>'INVONTERY FEB'!D49</f>
        <v>0</v>
      </c>
      <c r="E49" s="565"/>
      <c r="F49" s="566"/>
      <c r="G49" s="567"/>
      <c r="H49" s="567"/>
      <c r="I49" s="567"/>
      <c r="J49" s="567"/>
      <c r="K49" s="567"/>
      <c r="L49" s="568"/>
      <c r="M49" s="560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9"/>
      <c r="Z49" s="567"/>
      <c r="AA49" s="567"/>
      <c r="AB49" s="567"/>
      <c r="AC49" s="567"/>
      <c r="AD49" s="567"/>
      <c r="AE49" s="567"/>
      <c r="AF49" s="567"/>
      <c r="AG49" s="567"/>
      <c r="AH49" s="567"/>
      <c r="AJ49" s="560"/>
      <c r="AK49" s="562"/>
      <c r="AL49" s="563">
        <f t="shared" si="2"/>
        <v>0</v>
      </c>
      <c r="AM49" s="105">
        <f t="shared" si="3"/>
        <v>0</v>
      </c>
      <c r="AN49" s="594"/>
      <c r="AO49" s="564"/>
    </row>
    <row r="50" ht="15.75" customHeight="1">
      <c r="A50" s="554">
        <f>'INVONTERY FEB'!A50</f>
        <v>45</v>
      </c>
      <c r="B50" s="554" t="str">
        <f>'INVONTERY FEB'!B50</f>
        <v>TOTAL CAKE CREME AMOUNT</v>
      </c>
      <c r="C50" s="554" t="str">
        <f>'INVONTERY FEB'!C50</f>
        <v/>
      </c>
      <c r="D50" s="556" t="str">
        <f>'INVONTERY FEB'!D50</f>
        <v/>
      </c>
      <c r="E50" s="565"/>
      <c r="F50" s="566"/>
      <c r="G50" s="567"/>
      <c r="H50" s="567"/>
      <c r="I50" s="567"/>
      <c r="J50" s="567"/>
      <c r="K50" s="567"/>
      <c r="L50" s="568"/>
      <c r="M50" s="560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9"/>
      <c r="Z50" s="567"/>
      <c r="AA50" s="567"/>
      <c r="AB50" s="567"/>
      <c r="AC50" s="567"/>
      <c r="AD50" s="567"/>
      <c r="AE50" s="567"/>
      <c r="AF50" s="567"/>
      <c r="AG50" s="567"/>
      <c r="AH50" s="567"/>
      <c r="AI50" s="567"/>
      <c r="AJ50" s="560"/>
      <c r="AK50" s="562"/>
      <c r="AL50" s="563">
        <f t="shared" si="2"/>
        <v>0</v>
      </c>
      <c r="AM50" s="105">
        <f t="shared" si="3"/>
        <v>0</v>
      </c>
      <c r="AN50" s="594"/>
      <c r="AO50" s="564"/>
    </row>
    <row r="51" ht="15.75" customHeight="1">
      <c r="A51" s="554">
        <f>'INVONTERY FEB'!A51</f>
        <v>46</v>
      </c>
      <c r="B51" s="595" t="str">
        <f>'INVONTERY FEB'!B51</f>
        <v>CAKE TOPPINGS</v>
      </c>
      <c r="C51" s="554" t="str">
        <f>'INVONTERY FEB'!C51</f>
        <v/>
      </c>
      <c r="D51" s="556" t="str">
        <f>'INVONTERY FEB'!D51</f>
        <v/>
      </c>
      <c r="E51" s="565"/>
      <c r="F51" s="566"/>
      <c r="G51" s="567"/>
      <c r="H51" s="567"/>
      <c r="I51" s="567"/>
      <c r="J51" s="567"/>
      <c r="K51" s="567"/>
      <c r="L51" s="568"/>
      <c r="M51" s="560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9"/>
      <c r="Z51" s="567"/>
      <c r="AA51" s="567"/>
      <c r="AB51" s="567"/>
      <c r="AC51" s="567"/>
      <c r="AD51" s="567"/>
      <c r="AE51" s="567"/>
      <c r="AF51" s="567"/>
      <c r="AG51" s="567"/>
      <c r="AH51" s="567"/>
      <c r="AI51" s="567"/>
      <c r="AJ51" s="560"/>
      <c r="AK51" s="562"/>
      <c r="AL51" s="563">
        <f t="shared" si="2"/>
        <v>0</v>
      </c>
      <c r="AM51" s="105">
        <f t="shared" si="3"/>
        <v>0</v>
      </c>
      <c r="AN51" s="594"/>
      <c r="AO51" s="564"/>
    </row>
    <row r="52" ht="15.75" customHeight="1">
      <c r="A52" s="554">
        <f>'INVONTERY FEB'!A52</f>
        <v>47</v>
      </c>
      <c r="B52" s="554" t="str">
        <f>'INVONTERY FEB'!B52</f>
        <v>LOTUS BISCOFF</v>
      </c>
      <c r="C52" s="554" t="str">
        <f>'INVONTERY FEB'!C52</f>
        <v>PKT</v>
      </c>
      <c r="D52" s="556">
        <f>'INVONTERY FEB'!D52</f>
        <v>1100</v>
      </c>
      <c r="E52" s="565"/>
      <c r="F52" s="570">
        <v>1.0</v>
      </c>
      <c r="G52" s="584">
        <v>2.0</v>
      </c>
      <c r="H52" s="567"/>
      <c r="I52" s="567"/>
      <c r="J52" s="567"/>
      <c r="K52" s="571">
        <v>4.0</v>
      </c>
      <c r="L52" s="568"/>
      <c r="M52" s="560"/>
      <c r="N52" s="571">
        <v>2.0</v>
      </c>
      <c r="O52" s="571"/>
      <c r="P52" s="571">
        <v>1.0</v>
      </c>
      <c r="Q52" s="567"/>
      <c r="R52" s="574">
        <v>1.0</v>
      </c>
      <c r="S52" s="571">
        <v>3.0</v>
      </c>
      <c r="T52" s="567"/>
      <c r="U52" s="567"/>
      <c r="V52" s="571">
        <v>1.0</v>
      </c>
      <c r="W52" s="571">
        <v>1.0</v>
      </c>
      <c r="X52" s="567"/>
      <c r="Y52" s="581"/>
      <c r="Z52" s="567"/>
      <c r="AA52" s="575"/>
      <c r="AB52" s="571">
        <v>2.0</v>
      </c>
      <c r="AC52" s="567"/>
      <c r="AD52" s="567"/>
      <c r="AE52" s="567"/>
      <c r="AF52" s="571">
        <v>1.0</v>
      </c>
      <c r="AG52" s="571">
        <v>2.0</v>
      </c>
      <c r="AH52" s="567"/>
      <c r="AI52" s="567"/>
      <c r="AJ52" s="560"/>
      <c r="AK52" s="562"/>
      <c r="AL52" s="563">
        <f t="shared" si="2"/>
        <v>21</v>
      </c>
      <c r="AM52" s="105">
        <f t="shared" si="3"/>
        <v>3.230769231</v>
      </c>
      <c r="AO52" s="564"/>
    </row>
    <row r="53" ht="15.75" customHeight="1">
      <c r="A53" s="554">
        <f>'INVONTERY FEB'!A54</f>
        <v>49</v>
      </c>
      <c r="B53" s="554" t="str">
        <f>'INVONTERY FEB'!B54</f>
        <v>RED CHERRIES</v>
      </c>
      <c r="C53" s="554" t="str">
        <f>'INVONTERY FEB'!C54</f>
        <v>CASE</v>
      </c>
      <c r="D53" s="556">
        <f>'INVONTERY FEB'!D54</f>
        <v>6600</v>
      </c>
      <c r="E53" s="565"/>
      <c r="F53" s="566"/>
      <c r="G53" s="567"/>
      <c r="H53" s="567"/>
      <c r="I53" s="567"/>
      <c r="J53" s="567"/>
      <c r="K53" s="567"/>
      <c r="L53" s="568"/>
      <c r="M53" s="560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9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0"/>
      <c r="AK53" s="562"/>
      <c r="AL53" s="563">
        <f t="shared" si="2"/>
        <v>0</v>
      </c>
      <c r="AM53" s="105">
        <f t="shared" si="3"/>
        <v>0</v>
      </c>
      <c r="AO53" s="564"/>
    </row>
    <row r="54" ht="15.75" customHeight="1">
      <c r="A54" s="554">
        <f>'INVONTERY FEB'!A55</f>
        <v>50</v>
      </c>
      <c r="B54" s="554" t="str">
        <f>'INVONTERY FEB'!B55</f>
        <v>ALMONDS</v>
      </c>
      <c r="C54" s="554" t="str">
        <f>'INVONTERY FEB'!C55</f>
        <v>KG</v>
      </c>
      <c r="D54" s="556">
        <f>'INVONTERY FEB'!D55</f>
        <v>2600</v>
      </c>
      <c r="E54" s="565"/>
      <c r="F54" s="566"/>
      <c r="G54" s="567"/>
      <c r="H54" s="571">
        <v>1.0</v>
      </c>
      <c r="I54" s="571">
        <v>1.0</v>
      </c>
      <c r="J54" s="567"/>
      <c r="K54" s="571">
        <v>0.5</v>
      </c>
      <c r="L54" s="568"/>
      <c r="M54" s="560"/>
      <c r="N54" s="567"/>
      <c r="O54" s="567"/>
      <c r="P54" s="567"/>
      <c r="Q54" s="567"/>
      <c r="R54" s="567"/>
      <c r="S54" s="571">
        <v>1.0</v>
      </c>
      <c r="T54" s="567"/>
      <c r="U54" s="567"/>
      <c r="V54" s="567"/>
      <c r="W54" s="567"/>
      <c r="X54" s="571">
        <v>0.5</v>
      </c>
      <c r="Y54" s="569"/>
      <c r="Z54" s="567"/>
      <c r="AA54" s="567"/>
      <c r="AB54" s="567"/>
      <c r="AC54" s="567"/>
      <c r="AD54" s="567"/>
      <c r="AE54" s="567"/>
      <c r="AF54" s="567"/>
      <c r="AG54" s="567"/>
      <c r="AH54" s="567"/>
      <c r="AI54" s="567"/>
      <c r="AJ54" s="560"/>
      <c r="AK54" s="562"/>
      <c r="AL54" s="563">
        <f t="shared" si="2"/>
        <v>4</v>
      </c>
      <c r="AM54" s="105">
        <f t="shared" si="3"/>
        <v>1.333333333</v>
      </c>
      <c r="AO54" s="564"/>
    </row>
    <row r="55" ht="15.75" customHeight="1">
      <c r="A55" s="554">
        <f>'INVONTERY FEB'!A56</f>
        <v>51</v>
      </c>
      <c r="B55" s="554" t="str">
        <f>'INVONTERY FEB'!B56</f>
        <v>CASHEW NUT</v>
      </c>
      <c r="C55" s="554" t="str">
        <f>'INVONTERY FEB'!C56</f>
        <v>KG</v>
      </c>
      <c r="D55" s="556">
        <f>'INVONTERY FEB'!D56</f>
        <v>3300</v>
      </c>
      <c r="E55" s="565"/>
      <c r="F55" s="566"/>
      <c r="G55" s="567"/>
      <c r="H55" s="567"/>
      <c r="I55" s="571"/>
      <c r="J55" s="567"/>
      <c r="K55" s="567"/>
      <c r="L55" s="568"/>
      <c r="M55" s="560"/>
      <c r="N55" s="567"/>
      <c r="O55" s="567"/>
      <c r="P55" s="567"/>
      <c r="Q55" s="567"/>
      <c r="R55" s="588"/>
      <c r="S55" s="567"/>
      <c r="T55" s="567"/>
      <c r="U55" s="567"/>
      <c r="V55" s="567"/>
      <c r="W55" s="567"/>
      <c r="X55" s="567"/>
      <c r="Y55" s="577"/>
      <c r="Z55" s="567"/>
      <c r="AA55" s="567"/>
      <c r="AB55" s="567"/>
      <c r="AC55" s="567"/>
      <c r="AD55" s="567"/>
      <c r="AE55" s="567"/>
      <c r="AF55" s="575"/>
      <c r="AG55" s="567"/>
      <c r="AH55" s="567"/>
      <c r="AI55" s="567"/>
      <c r="AJ55" s="560"/>
      <c r="AK55" s="562"/>
      <c r="AL55" s="563">
        <f t="shared" si="2"/>
        <v>0</v>
      </c>
      <c r="AM55" s="105">
        <f t="shared" si="3"/>
        <v>0</v>
      </c>
      <c r="AO55" s="564"/>
    </row>
    <row r="56" ht="15.75" customHeight="1">
      <c r="A56" s="554">
        <f>'INVONTERY FEB'!A57</f>
        <v>52</v>
      </c>
      <c r="B56" s="554" t="str">
        <f>'INVONTERY FEB'!B57</f>
        <v>PISTACHIO</v>
      </c>
      <c r="C56" s="554" t="str">
        <f>'INVONTERY FEB'!C57</f>
        <v>KG</v>
      </c>
      <c r="D56" s="556">
        <f>'INVONTERY FEB'!D57</f>
        <v>5113</v>
      </c>
      <c r="E56" s="565"/>
      <c r="F56" s="566"/>
      <c r="G56" s="571">
        <v>0.5</v>
      </c>
      <c r="H56" s="567"/>
      <c r="I56" s="567"/>
      <c r="J56" s="567"/>
      <c r="K56" s="571">
        <v>0.5</v>
      </c>
      <c r="L56" s="568"/>
      <c r="M56" s="560"/>
      <c r="N56" s="567"/>
      <c r="O56" s="567"/>
      <c r="P56" s="567"/>
      <c r="Q56" s="567"/>
      <c r="R56" s="588"/>
      <c r="S56" s="571">
        <v>1.0</v>
      </c>
      <c r="T56" s="567"/>
      <c r="U56" s="567"/>
      <c r="V56" s="567"/>
      <c r="W56" s="567"/>
      <c r="X56" s="567"/>
      <c r="Y56" s="569"/>
      <c r="Z56" s="567"/>
      <c r="AA56" s="567"/>
      <c r="AB56" s="567"/>
      <c r="AC56" s="567"/>
      <c r="AD56" s="567"/>
      <c r="AE56" s="567"/>
      <c r="AF56" s="567"/>
      <c r="AG56" s="567"/>
      <c r="AH56" s="567"/>
      <c r="AI56" s="567"/>
      <c r="AJ56" s="560"/>
      <c r="AK56" s="562"/>
      <c r="AL56" s="563">
        <f t="shared" si="2"/>
        <v>2</v>
      </c>
      <c r="AM56" s="105">
        <f t="shared" si="3"/>
        <v>1</v>
      </c>
      <c r="AO56" s="564"/>
    </row>
    <row r="57" ht="15.75" customHeight="1">
      <c r="A57" s="554">
        <f>'INVONTERY FEB'!A58</f>
        <v>53</v>
      </c>
      <c r="B57" s="554" t="str">
        <f>'INVONTERY FEB'!B58</f>
        <v>PEANUTS</v>
      </c>
      <c r="C57" s="554" t="str">
        <f>'INVONTERY FEB'!C58</f>
        <v>KG</v>
      </c>
      <c r="D57" s="556">
        <f>'INVONTERY FEB'!D58</f>
        <v>750</v>
      </c>
      <c r="E57" s="565"/>
      <c r="F57" s="566"/>
      <c r="G57" s="567"/>
      <c r="H57" s="567"/>
      <c r="I57" s="567"/>
      <c r="J57" s="567"/>
      <c r="K57" s="567"/>
      <c r="L57" s="568"/>
      <c r="M57" s="560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9"/>
      <c r="Z57" s="567"/>
      <c r="AA57" s="567"/>
      <c r="AB57" s="567"/>
      <c r="AC57" s="567"/>
      <c r="AD57" s="567"/>
      <c r="AE57" s="567"/>
      <c r="AF57" s="567"/>
      <c r="AG57" s="567"/>
      <c r="AH57" s="567"/>
      <c r="AI57" s="567"/>
      <c r="AJ57" s="560"/>
      <c r="AK57" s="562"/>
      <c r="AL57" s="563">
        <f t="shared" si="2"/>
        <v>0</v>
      </c>
      <c r="AM57" s="105">
        <f t="shared" si="3"/>
        <v>0</v>
      </c>
      <c r="AO57" s="564"/>
    </row>
    <row r="58" ht="15.75" customHeight="1">
      <c r="A58" s="554">
        <f>'INVONTERY FEB'!A59</f>
        <v>54</v>
      </c>
      <c r="B58" s="554" t="str">
        <f>'INVONTERY FEB'!B59</f>
        <v>CAKE SPRINKELS</v>
      </c>
      <c r="C58" s="554" t="str">
        <f>'INVONTERY FEB'!C59</f>
        <v>PCS</v>
      </c>
      <c r="D58" s="556">
        <f>'INVONTERY FEB'!D59</f>
        <v>483</v>
      </c>
      <c r="E58" s="565"/>
      <c r="F58" s="566"/>
      <c r="G58" s="567"/>
      <c r="H58" s="567"/>
      <c r="I58" s="567"/>
      <c r="J58" s="567"/>
      <c r="K58" s="567"/>
      <c r="L58" s="568"/>
      <c r="M58" s="560"/>
      <c r="N58" s="567"/>
      <c r="O58" s="567"/>
      <c r="P58" s="567"/>
      <c r="Q58" s="567"/>
      <c r="R58" s="567"/>
      <c r="S58" s="567"/>
      <c r="T58" s="588"/>
      <c r="U58" s="567"/>
      <c r="V58" s="567"/>
      <c r="W58" s="567"/>
      <c r="X58" s="567"/>
      <c r="Y58" s="569"/>
      <c r="Z58" s="567"/>
      <c r="AA58" s="567"/>
      <c r="AB58" s="567"/>
      <c r="AC58" s="588"/>
      <c r="AD58" s="567"/>
      <c r="AE58" s="567"/>
      <c r="AF58" s="567"/>
      <c r="AG58" s="567"/>
      <c r="AH58" s="567"/>
      <c r="AI58" s="567"/>
      <c r="AJ58" s="560"/>
      <c r="AK58" s="562"/>
      <c r="AL58" s="563">
        <f t="shared" si="2"/>
        <v>0</v>
      </c>
      <c r="AM58" s="105">
        <f t="shared" si="3"/>
        <v>0</v>
      </c>
      <c r="AO58" s="564"/>
    </row>
    <row r="59" ht="15.75" customHeight="1">
      <c r="A59" s="554">
        <f>'INVONTERY FEB'!A60</f>
        <v>55</v>
      </c>
      <c r="B59" s="554" t="str">
        <f>'INVONTERY FEB'!B60</f>
        <v>COCONUT CRUMBULES</v>
      </c>
      <c r="C59" s="554" t="str">
        <f>'INVONTERY FEB'!C60</f>
        <v>KG</v>
      </c>
      <c r="D59" s="556">
        <f>'INVONTERY FEB'!D60</f>
        <v>1000</v>
      </c>
      <c r="E59" s="565"/>
      <c r="F59" s="566"/>
      <c r="G59" s="567"/>
      <c r="H59" s="567"/>
      <c r="I59" s="567"/>
      <c r="J59" s="567"/>
      <c r="K59" s="567"/>
      <c r="L59" s="568"/>
      <c r="M59" s="560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9"/>
      <c r="Z59" s="567"/>
      <c r="AA59" s="567"/>
      <c r="AB59" s="567"/>
      <c r="AC59" s="567"/>
      <c r="AD59" s="567"/>
      <c r="AE59" s="567"/>
      <c r="AF59" s="567"/>
      <c r="AG59" s="567"/>
      <c r="AH59" s="567"/>
      <c r="AI59" s="567"/>
      <c r="AJ59" s="560"/>
      <c r="AK59" s="562"/>
      <c r="AL59" s="563">
        <f t="shared" si="2"/>
        <v>0</v>
      </c>
      <c r="AM59" s="105">
        <f t="shared" si="3"/>
        <v>0</v>
      </c>
      <c r="AO59" s="564"/>
    </row>
    <row r="60" ht="15.75" customHeight="1">
      <c r="A60" s="554">
        <f>'INVONTERY FEB'!A61</f>
        <v>56</v>
      </c>
      <c r="B60" s="554" t="str">
        <f>'INVONTERY FEB'!B61</f>
        <v>FERRY ROSE</v>
      </c>
      <c r="C60" s="554" t="str">
        <f>'INVONTERY FEB'!C61</f>
        <v>BOX</v>
      </c>
      <c r="D60" s="556">
        <f>'INVONTERY FEB'!D61</f>
        <v>1000</v>
      </c>
      <c r="E60" s="565"/>
      <c r="F60" s="566"/>
      <c r="G60" s="567"/>
      <c r="H60" s="567"/>
      <c r="I60" s="567"/>
      <c r="J60" s="571">
        <v>1.0</v>
      </c>
      <c r="K60" s="571">
        <v>1.0</v>
      </c>
      <c r="L60" s="568"/>
      <c r="M60" s="560"/>
      <c r="N60" s="571">
        <v>1.0</v>
      </c>
      <c r="O60" s="567"/>
      <c r="P60" s="571">
        <v>1.0</v>
      </c>
      <c r="Q60" s="567"/>
      <c r="R60" s="567"/>
      <c r="S60" s="567"/>
      <c r="T60" s="567"/>
      <c r="U60" s="567"/>
      <c r="V60" s="567"/>
      <c r="W60" s="567"/>
      <c r="X60" s="567"/>
      <c r="Y60" s="596"/>
      <c r="Z60" s="567"/>
      <c r="AA60" s="567"/>
      <c r="AB60" s="567"/>
      <c r="AC60" s="567"/>
      <c r="AD60" s="567"/>
      <c r="AE60" s="567"/>
      <c r="AF60" s="567"/>
      <c r="AG60" s="567"/>
      <c r="AH60" s="567"/>
      <c r="AI60" s="567"/>
      <c r="AJ60" s="560"/>
      <c r="AK60" s="562"/>
      <c r="AL60" s="563">
        <f t="shared" si="2"/>
        <v>4</v>
      </c>
      <c r="AM60" s="105">
        <f t="shared" si="3"/>
        <v>1.6</v>
      </c>
      <c r="AO60" s="564"/>
    </row>
    <row r="61" ht="15.75" customHeight="1">
      <c r="A61" s="554">
        <f>'INVONTERY FEB'!A62</f>
        <v>57</v>
      </c>
      <c r="B61" s="554" t="str">
        <f>'INVONTERY FEB'!B62</f>
        <v>LOTO CRUMBEL (885)</v>
      </c>
      <c r="C61" s="554" t="str">
        <f>'INVONTERY FEB'!C62</f>
        <v>KG</v>
      </c>
      <c r="D61" s="556">
        <f>'INVONTERY FEB'!D62</f>
        <v>3440</v>
      </c>
      <c r="E61" s="565"/>
      <c r="F61" s="566"/>
      <c r="G61" s="567"/>
      <c r="H61" s="567"/>
      <c r="I61" s="567"/>
      <c r="J61" s="567"/>
      <c r="K61" s="567"/>
      <c r="L61" s="568"/>
      <c r="M61" s="560"/>
      <c r="N61" s="567"/>
      <c r="O61" s="567"/>
      <c r="P61" s="567"/>
      <c r="Q61" s="567"/>
      <c r="R61" s="588"/>
      <c r="S61" s="567"/>
      <c r="T61" s="567"/>
      <c r="U61" s="567"/>
      <c r="V61" s="567"/>
      <c r="W61" s="567"/>
      <c r="X61" s="567"/>
      <c r="Y61" s="581"/>
      <c r="Z61" s="567"/>
      <c r="AA61" s="588"/>
      <c r="AB61" s="567"/>
      <c r="AC61" s="567"/>
      <c r="AD61" s="567"/>
      <c r="AE61" s="567"/>
      <c r="AF61" s="567"/>
      <c r="AG61" s="567"/>
      <c r="AH61" s="567"/>
      <c r="AI61" s="567"/>
      <c r="AJ61" s="560"/>
      <c r="AK61" s="562"/>
      <c r="AL61" s="563">
        <f t="shared" si="2"/>
        <v>0</v>
      </c>
      <c r="AM61" s="105">
        <f t="shared" si="3"/>
        <v>0</v>
      </c>
      <c r="AO61" s="564"/>
    </row>
    <row r="62" ht="15.75" customHeight="1">
      <c r="A62" s="554">
        <f>'INVONTERY FEB'!A63</f>
        <v>58</v>
      </c>
      <c r="B62" s="554" t="str">
        <f>'INVONTERY FEB'!B63</f>
        <v>CAREMAL SYRUP</v>
      </c>
      <c r="C62" s="554" t="str">
        <f>'INVONTERY FEB'!C63</f>
        <v>BOTT</v>
      </c>
      <c r="D62" s="556">
        <f>'INVONTERY FEB'!D63</f>
        <v>1200</v>
      </c>
      <c r="E62" s="565"/>
      <c r="F62" s="566"/>
      <c r="G62" s="567"/>
      <c r="H62" s="567"/>
      <c r="I62" s="567"/>
      <c r="J62" s="567"/>
      <c r="K62" s="567"/>
      <c r="L62" s="568"/>
      <c r="M62" s="560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9"/>
      <c r="Z62" s="567"/>
      <c r="AA62" s="567"/>
      <c r="AB62" s="567"/>
      <c r="AC62" s="567"/>
      <c r="AD62" s="567"/>
      <c r="AE62" s="567"/>
      <c r="AF62" s="567"/>
      <c r="AG62" s="567"/>
      <c r="AH62" s="567"/>
      <c r="AI62" s="567"/>
      <c r="AJ62" s="560"/>
      <c r="AK62" s="562"/>
      <c r="AL62" s="563">
        <f t="shared" si="2"/>
        <v>0</v>
      </c>
      <c r="AM62" s="105">
        <f t="shared" si="3"/>
        <v>0</v>
      </c>
      <c r="AO62" s="564"/>
    </row>
    <row r="63" ht="15.75" customHeight="1">
      <c r="A63" s="554">
        <f>'INVONTERY FEB'!A64</f>
        <v>59</v>
      </c>
      <c r="B63" s="554" t="str">
        <f>'INVONTERY FEB'!B64</f>
        <v>DARK CHOCLATE CHIPS</v>
      </c>
      <c r="C63" s="554" t="str">
        <f>'INVONTERY FEB'!C64</f>
        <v>KG</v>
      </c>
      <c r="D63" s="556">
        <f>'INVONTERY FEB'!D64</f>
        <v>525</v>
      </c>
      <c r="E63" s="565"/>
      <c r="F63" s="566"/>
      <c r="G63" s="571">
        <v>1.0</v>
      </c>
      <c r="H63" s="567"/>
      <c r="I63" s="567"/>
      <c r="J63" s="567"/>
      <c r="K63" s="571">
        <v>1.0</v>
      </c>
      <c r="L63" s="568"/>
      <c r="M63" s="560"/>
      <c r="N63" s="567"/>
      <c r="O63" s="571">
        <v>1.0</v>
      </c>
      <c r="P63" s="567"/>
      <c r="Q63" s="567"/>
      <c r="R63" s="567"/>
      <c r="S63" s="571">
        <v>1.0</v>
      </c>
      <c r="T63" s="567"/>
      <c r="U63" s="567"/>
      <c r="V63" s="567"/>
      <c r="W63" s="567"/>
      <c r="X63" s="567"/>
      <c r="Y63" s="569"/>
      <c r="Z63" s="567"/>
      <c r="AA63" s="567"/>
      <c r="AB63" s="567"/>
      <c r="AC63" s="567"/>
      <c r="AD63" s="567"/>
      <c r="AE63" s="567"/>
      <c r="AF63" s="567"/>
      <c r="AG63" s="567"/>
      <c r="AH63" s="567"/>
      <c r="AI63" s="567"/>
      <c r="AJ63" s="560"/>
      <c r="AK63" s="562"/>
      <c r="AL63" s="563">
        <f t="shared" si="2"/>
        <v>4</v>
      </c>
      <c r="AM63" s="105">
        <f t="shared" si="3"/>
        <v>1.6</v>
      </c>
      <c r="AO63" s="564"/>
    </row>
    <row r="64" ht="15.75" customHeight="1">
      <c r="A64" s="554">
        <f>'INVONTERY FEB'!A65</f>
        <v>60</v>
      </c>
      <c r="B64" s="554" t="str">
        <f>'INVONTERY FEB'!B65</f>
        <v>PICTURE CAKE</v>
      </c>
      <c r="C64" s="554" t="str">
        <f>'INVONTERY FEB'!C65</f>
        <v>PCS</v>
      </c>
      <c r="D64" s="556">
        <f>'INVONTERY FEB'!D65</f>
        <v>180</v>
      </c>
      <c r="E64" s="565"/>
      <c r="F64" s="566"/>
      <c r="G64" s="567"/>
      <c r="H64" s="567"/>
      <c r="I64" s="567"/>
      <c r="J64" s="567"/>
      <c r="K64" s="567"/>
      <c r="L64" s="568"/>
      <c r="M64" s="560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81"/>
      <c r="Z64" s="567"/>
      <c r="AA64" s="567"/>
      <c r="AB64" s="567"/>
      <c r="AC64" s="567"/>
      <c r="AD64" s="567"/>
      <c r="AE64" s="567"/>
      <c r="AF64" s="567"/>
      <c r="AG64" s="567"/>
      <c r="AH64" s="567"/>
      <c r="AI64" s="567"/>
      <c r="AJ64" s="560"/>
      <c r="AK64" s="562"/>
      <c r="AL64" s="563">
        <f t="shared" si="2"/>
        <v>0</v>
      </c>
      <c r="AM64" s="105">
        <f t="shared" si="3"/>
        <v>0</v>
      </c>
      <c r="AO64" s="564"/>
    </row>
    <row r="65" ht="15.75" customHeight="1">
      <c r="A65" s="554">
        <f>'INVONTERY FEB'!A66</f>
        <v>61</v>
      </c>
      <c r="B65" s="554" t="str">
        <f>'INVONTERY FEB'!B66</f>
        <v>LOTO SPREAD 400G</v>
      </c>
      <c r="C65" s="554" t="str">
        <f>'INVONTERY FEB'!C66</f>
        <v>PCS</v>
      </c>
      <c r="D65" s="556">
        <f>'INVONTERY FEB'!D66</f>
        <v>1750</v>
      </c>
      <c r="E65" s="565"/>
      <c r="F65" s="566"/>
      <c r="G65" s="567"/>
      <c r="H65" s="567"/>
      <c r="I65" s="567"/>
      <c r="J65" s="567"/>
      <c r="K65" s="567"/>
      <c r="L65" s="568"/>
      <c r="M65" s="560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9"/>
      <c r="Z65" s="567"/>
      <c r="AA65" s="567"/>
      <c r="AB65" s="571">
        <v>2.0</v>
      </c>
      <c r="AC65" s="567"/>
      <c r="AD65" s="567"/>
      <c r="AE65" s="571">
        <v>2.0</v>
      </c>
      <c r="AF65" s="571">
        <v>1.0</v>
      </c>
      <c r="AG65" s="571">
        <v>1.0</v>
      </c>
      <c r="AH65" s="567"/>
      <c r="AI65" s="567"/>
      <c r="AJ65" s="560"/>
      <c r="AK65" s="562"/>
      <c r="AL65" s="563">
        <f t="shared" si="2"/>
        <v>6</v>
      </c>
      <c r="AM65" s="105">
        <f t="shared" si="3"/>
        <v>2.4</v>
      </c>
      <c r="AO65" s="564"/>
    </row>
    <row r="66" ht="15.75" customHeight="1">
      <c r="A66" s="554">
        <f>'INVONTERY FEB'!A67</f>
        <v>62</v>
      </c>
      <c r="B66" s="554" t="str">
        <f>'INVONTERY FEB'!B67</f>
        <v>LOTO SPREAD </v>
      </c>
      <c r="C66" s="554" t="str">
        <f>'INVONTERY FEB'!C67</f>
        <v>KG</v>
      </c>
      <c r="D66" s="556">
        <f>'INVONTERY FEB'!D67</f>
        <v>4375</v>
      </c>
      <c r="E66" s="565"/>
      <c r="F66" s="590"/>
      <c r="G66" s="578">
        <v>8.0</v>
      </c>
      <c r="H66" s="567"/>
      <c r="I66" s="575"/>
      <c r="J66" s="575"/>
      <c r="K66" s="567"/>
      <c r="L66" s="579">
        <v>8.0</v>
      </c>
      <c r="M66" s="560"/>
      <c r="N66" s="567"/>
      <c r="O66" s="567"/>
      <c r="P66" s="567"/>
      <c r="Q66" s="577"/>
      <c r="R66" s="571">
        <v>8.0</v>
      </c>
      <c r="S66" s="567"/>
      <c r="T66" s="567"/>
      <c r="U66" s="577"/>
      <c r="V66" s="567"/>
      <c r="W66" s="581"/>
      <c r="X66" s="567"/>
      <c r="Y66" s="577"/>
      <c r="Z66" s="567"/>
      <c r="AA66" s="567"/>
      <c r="AB66" s="567"/>
      <c r="AC66" s="567"/>
      <c r="AD66" s="577"/>
      <c r="AE66" s="567"/>
      <c r="AF66" s="575"/>
      <c r="AG66" s="567"/>
      <c r="AH66" s="567"/>
      <c r="AI66" s="567"/>
      <c r="AJ66" s="560"/>
      <c r="AK66" s="562"/>
      <c r="AL66" s="563">
        <f t="shared" si="2"/>
        <v>24</v>
      </c>
      <c r="AM66" s="105">
        <f t="shared" si="3"/>
        <v>12</v>
      </c>
      <c r="AO66" s="564"/>
    </row>
    <row r="67" ht="15.75" customHeight="1">
      <c r="A67" s="554">
        <f>'INVONTERY FEB'!A68</f>
        <v>63</v>
      </c>
      <c r="B67" s="554" t="str">
        <f>'INVONTERY FEB'!B68</f>
        <v>SPARK CHOCLATE OLD</v>
      </c>
      <c r="C67" s="554" t="str">
        <f>'INVONTERY FEB'!C68</f>
        <v>CTN</v>
      </c>
      <c r="D67" s="556">
        <f>'INVONTERY FEB'!D68</f>
        <v>3520</v>
      </c>
      <c r="E67" s="565"/>
      <c r="F67" s="566"/>
      <c r="G67" s="597"/>
      <c r="H67" s="567"/>
      <c r="I67" s="567"/>
      <c r="J67" s="567"/>
      <c r="K67" s="567"/>
      <c r="L67" s="568"/>
      <c r="M67" s="560"/>
      <c r="N67" s="567"/>
      <c r="O67" s="567"/>
      <c r="P67" s="567"/>
      <c r="Q67" s="567"/>
      <c r="R67" s="567"/>
      <c r="S67" s="567"/>
      <c r="T67" s="567"/>
      <c r="U67" s="567"/>
      <c r="V67" s="567"/>
      <c r="W67" s="596"/>
      <c r="X67" s="567"/>
      <c r="Y67" s="569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0"/>
      <c r="AK67" s="562"/>
      <c r="AL67" s="563">
        <f t="shared" si="2"/>
        <v>0</v>
      </c>
      <c r="AM67" s="105">
        <f t="shared" si="3"/>
        <v>0</v>
      </c>
      <c r="AO67" s="564"/>
    </row>
    <row r="68" ht="15.75" customHeight="1">
      <c r="A68" s="554">
        <f>'INVONTERY FEB'!A69</f>
        <v>64</v>
      </c>
      <c r="B68" s="554" t="str">
        <f>'INVONTERY FEB'!B69</f>
        <v>MIX FRUIT GELL</v>
      </c>
      <c r="C68" s="554" t="str">
        <f>'INVONTERY FEB'!C69</f>
        <v>CASE</v>
      </c>
      <c r="D68" s="556">
        <f>'INVONTERY FEB'!D69</f>
        <v>2000</v>
      </c>
      <c r="E68" s="565"/>
      <c r="F68" s="566"/>
      <c r="G68" s="567"/>
      <c r="H68" s="567"/>
      <c r="I68" s="567"/>
      <c r="J68" s="567"/>
      <c r="K68" s="567"/>
      <c r="L68" s="568"/>
      <c r="M68" s="560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9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0"/>
      <c r="AK68" s="562"/>
      <c r="AL68" s="563">
        <f t="shared" si="2"/>
        <v>0</v>
      </c>
      <c r="AM68" s="105">
        <f t="shared" si="3"/>
        <v>0</v>
      </c>
      <c r="AO68" s="564"/>
    </row>
    <row r="69" ht="15.75" customHeight="1">
      <c r="A69" s="554">
        <f>'INVONTERY FEB'!A70</f>
        <v>65</v>
      </c>
      <c r="B69" s="554" t="str">
        <f>'INVONTERY FEB'!B70</f>
        <v>CHECKPEAS</v>
      </c>
      <c r="C69" s="554" t="str">
        <f>'INVONTERY FEB'!C70</f>
        <v>PKT</v>
      </c>
      <c r="D69" s="556">
        <f>'INVONTERY FEB'!D70</f>
        <v>450</v>
      </c>
      <c r="E69" s="565"/>
      <c r="F69" s="566"/>
      <c r="G69" s="567"/>
      <c r="H69" s="567"/>
      <c r="I69" s="567"/>
      <c r="J69" s="567"/>
      <c r="K69" s="567"/>
      <c r="L69" s="568"/>
      <c r="M69" s="560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9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0"/>
      <c r="AK69" s="562"/>
      <c r="AL69" s="563">
        <f t="shared" si="2"/>
        <v>0</v>
      </c>
      <c r="AM69" s="105">
        <f t="shared" si="3"/>
        <v>0</v>
      </c>
      <c r="AO69" s="564"/>
    </row>
    <row r="70" ht="15.75" customHeight="1">
      <c r="A70" s="554">
        <f>'INVONTERY FEB'!A71</f>
        <v>66</v>
      </c>
      <c r="B70" s="554" t="str">
        <f>'INVONTERY FEB'!B71</f>
        <v>GOLOKOZ</v>
      </c>
      <c r="C70" s="554" t="str">
        <f>'INVONTERY FEB'!C71</f>
        <v>PKT</v>
      </c>
      <c r="D70" s="556">
        <f>'INVONTERY FEB'!D71</f>
        <v>220</v>
      </c>
      <c r="E70" s="565"/>
      <c r="F70" s="566"/>
      <c r="G70" s="567"/>
      <c r="H70" s="567"/>
      <c r="I70" s="567"/>
      <c r="J70" s="567"/>
      <c r="K70" s="567"/>
      <c r="L70" s="568"/>
      <c r="M70" s="560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9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0"/>
      <c r="AK70" s="562"/>
      <c r="AL70" s="563">
        <f t="shared" si="2"/>
        <v>0</v>
      </c>
      <c r="AM70" s="105">
        <f t="shared" si="3"/>
        <v>0</v>
      </c>
      <c r="AO70" s="564"/>
    </row>
    <row r="71" ht="15.75" customHeight="1">
      <c r="A71" s="554">
        <f>'INVONTERY FEB'!A72</f>
        <v>67</v>
      </c>
      <c r="B71" s="554" t="str">
        <f>'INVONTERY FEB'!B72</f>
        <v>EDIBLE COLOUR</v>
      </c>
      <c r="C71" s="554" t="str">
        <f>'INVONTERY FEB'!C72</f>
        <v>BOTT</v>
      </c>
      <c r="D71" s="556">
        <f>'INVONTERY FEB'!D72</f>
        <v>250</v>
      </c>
      <c r="E71" s="565"/>
      <c r="F71" s="566"/>
      <c r="G71" s="567"/>
      <c r="H71" s="567"/>
      <c r="I71" s="567"/>
      <c r="J71" s="567"/>
      <c r="K71" s="567"/>
      <c r="L71" s="568"/>
      <c r="M71" s="560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9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0"/>
      <c r="AK71" s="562"/>
      <c r="AL71" s="563">
        <f t="shared" si="2"/>
        <v>0</v>
      </c>
      <c r="AM71" s="105">
        <f t="shared" si="3"/>
        <v>0</v>
      </c>
      <c r="AO71" s="564"/>
    </row>
    <row r="72" ht="15.75" customHeight="1">
      <c r="A72" s="554">
        <f>'INVONTERY FEB'!A73</f>
        <v>68</v>
      </c>
      <c r="B72" s="554" t="str">
        <f>'INVONTERY FEB'!B73</f>
        <v>PINE APPLE</v>
      </c>
      <c r="C72" s="554" t="str">
        <f>'INVONTERY FEB'!C73</f>
        <v>TIN </v>
      </c>
      <c r="D72" s="556">
        <f>'INVONTERY FEB'!D73</f>
        <v>1366</v>
      </c>
      <c r="E72" s="565"/>
      <c r="F72" s="566"/>
      <c r="G72" s="567"/>
      <c r="H72" s="567"/>
      <c r="I72" s="567"/>
      <c r="J72" s="567"/>
      <c r="K72" s="567"/>
      <c r="L72" s="568"/>
      <c r="M72" s="560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9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0"/>
      <c r="AK72" s="562"/>
      <c r="AL72" s="563">
        <f t="shared" si="2"/>
        <v>0</v>
      </c>
      <c r="AM72" s="105">
        <f t="shared" si="3"/>
        <v>0</v>
      </c>
      <c r="AO72" s="564"/>
    </row>
    <row r="73" ht="15.75" customHeight="1">
      <c r="A73" s="554">
        <f>'INVONTERY FEB'!A74</f>
        <v>69</v>
      </c>
      <c r="B73" s="554" t="str">
        <f>'INVONTERY FEB'!B74</f>
        <v>SPARK CHOCLATE NEW</v>
      </c>
      <c r="C73" s="554" t="str">
        <f>'INVONTERY FEB'!C74</f>
        <v>BOX</v>
      </c>
      <c r="D73" s="556">
        <f>'INVONTERY FEB'!D74</f>
        <v>550</v>
      </c>
      <c r="E73" s="565"/>
      <c r="F73" s="566"/>
      <c r="G73" s="567"/>
      <c r="H73" s="567"/>
      <c r="I73" s="567"/>
      <c r="J73" s="567"/>
      <c r="K73" s="567"/>
      <c r="L73" s="568"/>
      <c r="M73" s="560"/>
      <c r="N73" s="567"/>
      <c r="O73" s="567"/>
      <c r="P73" s="567"/>
      <c r="Q73" s="567"/>
      <c r="R73" s="567"/>
      <c r="S73" s="567"/>
      <c r="T73" s="567"/>
      <c r="U73" s="567"/>
      <c r="V73" s="581"/>
      <c r="W73" s="567"/>
      <c r="X73" s="567"/>
      <c r="Y73" s="581"/>
      <c r="Z73" s="567"/>
      <c r="AA73" s="567"/>
      <c r="AB73" s="567"/>
      <c r="AC73" s="567"/>
      <c r="AD73" s="567"/>
      <c r="AE73" s="581"/>
      <c r="AF73" s="567"/>
      <c r="AG73" s="567"/>
      <c r="AH73" s="567"/>
      <c r="AI73" s="567"/>
      <c r="AJ73" s="560"/>
      <c r="AK73" s="562"/>
      <c r="AL73" s="563">
        <f t="shared" si="2"/>
        <v>0</v>
      </c>
      <c r="AM73" s="105">
        <f t="shared" si="3"/>
        <v>0</v>
      </c>
      <c r="AO73" s="564"/>
    </row>
    <row r="74" ht="15.75" customHeight="1">
      <c r="A74" s="554">
        <f>'INVONTERY FEB'!A75</f>
        <v>70</v>
      </c>
      <c r="B74" s="554" t="str">
        <f>'INVONTERY FEB'!B75</f>
        <v>SILVER MOTI</v>
      </c>
      <c r="C74" s="554" t="str">
        <f>'INVONTERY FEB'!C75</f>
        <v>BOTT</v>
      </c>
      <c r="D74" s="556">
        <f>'INVONTERY FEB'!D75</f>
        <v>450</v>
      </c>
      <c r="E74" s="565"/>
      <c r="F74" s="566"/>
      <c r="G74" s="567"/>
      <c r="H74" s="567"/>
      <c r="I74" s="567"/>
      <c r="J74" s="567"/>
      <c r="K74" s="567"/>
      <c r="L74" s="568"/>
      <c r="M74" s="560"/>
      <c r="N74" s="567"/>
      <c r="O74" s="588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88"/>
      <c r="AG74" s="567"/>
      <c r="AH74" s="567"/>
      <c r="AI74" s="567"/>
      <c r="AJ74" s="560"/>
      <c r="AK74" s="562"/>
      <c r="AL74" s="563">
        <f t="shared" si="2"/>
        <v>0</v>
      </c>
      <c r="AM74" s="105">
        <f t="shared" si="3"/>
        <v>0</v>
      </c>
      <c r="AO74" s="564"/>
    </row>
    <row r="75" ht="15.75" customHeight="1">
      <c r="A75" s="554">
        <f>'INVONTERY FEB'!A76</f>
        <v>71</v>
      </c>
      <c r="B75" s="554" t="str">
        <f>'INVONTERY FEB'!B76</f>
        <v>GOLDEN MOTI</v>
      </c>
      <c r="C75" s="554" t="str">
        <f>'INVONTERY FEB'!C76</f>
        <v>BOTT</v>
      </c>
      <c r="D75" s="556">
        <f>'INVONTERY FEB'!D76</f>
        <v>450</v>
      </c>
      <c r="E75" s="565"/>
      <c r="F75" s="566"/>
      <c r="G75" s="567"/>
      <c r="H75" s="567"/>
      <c r="I75" s="567"/>
      <c r="J75" s="567"/>
      <c r="K75" s="567"/>
      <c r="L75" s="568"/>
      <c r="M75" s="560"/>
      <c r="N75" s="567"/>
      <c r="O75" s="588"/>
      <c r="P75" s="567"/>
      <c r="Q75" s="567"/>
      <c r="R75" s="567"/>
      <c r="S75" s="588"/>
      <c r="T75" s="567"/>
      <c r="U75" s="567"/>
      <c r="V75" s="567"/>
      <c r="W75" s="567"/>
      <c r="X75" s="567"/>
      <c r="Y75" s="581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0"/>
      <c r="AK75" s="562"/>
      <c r="AL75" s="563">
        <f t="shared" si="2"/>
        <v>0</v>
      </c>
      <c r="AM75" s="105">
        <f t="shared" si="3"/>
        <v>0</v>
      </c>
      <c r="AO75" s="564"/>
    </row>
    <row r="76" ht="15.75" customHeight="1">
      <c r="A76" s="554">
        <f>'INVONTERY FEB'!A77</f>
        <v>72</v>
      </c>
      <c r="B76" s="554" t="str">
        <f>'INVONTERY FEB'!B77</f>
        <v>GOLDEN WORK</v>
      </c>
      <c r="C76" s="554" t="str">
        <f>'INVONTERY FEB'!C77</f>
        <v>PKT</v>
      </c>
      <c r="D76" s="556">
        <f>'INVONTERY FEB'!D77</f>
        <v>3300</v>
      </c>
      <c r="E76" s="565"/>
      <c r="F76" s="566"/>
      <c r="G76" s="567"/>
      <c r="H76" s="567"/>
      <c r="I76" s="567"/>
      <c r="J76" s="567"/>
      <c r="K76" s="567"/>
      <c r="L76" s="568"/>
      <c r="M76" s="560"/>
      <c r="N76" s="567"/>
      <c r="O76" s="588"/>
      <c r="P76" s="567"/>
      <c r="Q76" s="567"/>
      <c r="R76" s="567"/>
      <c r="S76" s="588"/>
      <c r="T76" s="567"/>
      <c r="U76" s="567"/>
      <c r="V76" s="567"/>
      <c r="W76" s="567"/>
      <c r="X76" s="567"/>
      <c r="Y76" s="581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0"/>
      <c r="AK76" s="562"/>
      <c r="AL76" s="563">
        <f t="shared" si="2"/>
        <v>0</v>
      </c>
      <c r="AM76" s="105">
        <f t="shared" si="3"/>
        <v>0</v>
      </c>
      <c r="AO76" s="564"/>
    </row>
    <row r="77" ht="15.75" customHeight="1">
      <c r="A77" s="554">
        <f>'INVONTERY FEB'!A78</f>
        <v>73</v>
      </c>
      <c r="B77" s="554" t="str">
        <f>'INVONTERY FEB'!B78</f>
        <v>SILVER WORK</v>
      </c>
      <c r="C77" s="554" t="str">
        <f>'INVONTERY FEB'!C78</f>
        <v>PKT</v>
      </c>
      <c r="D77" s="556">
        <f>'INVONTERY FEB'!D78</f>
        <v>150</v>
      </c>
      <c r="E77" s="565"/>
      <c r="F77" s="566"/>
      <c r="G77" s="567"/>
      <c r="H77" s="567"/>
      <c r="I77" s="567"/>
      <c r="J77" s="567"/>
      <c r="K77" s="567"/>
      <c r="L77" s="568"/>
      <c r="M77" s="560"/>
      <c r="N77" s="567"/>
      <c r="O77" s="577"/>
      <c r="P77" s="567"/>
      <c r="Q77" s="567"/>
      <c r="R77" s="567"/>
      <c r="S77" s="567"/>
      <c r="T77" s="567"/>
      <c r="U77" s="567"/>
      <c r="V77" s="567"/>
      <c r="W77" s="567"/>
      <c r="X77" s="581"/>
      <c r="Y77" s="57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0"/>
      <c r="AK77" s="562"/>
      <c r="AL77" s="563">
        <f t="shared" si="2"/>
        <v>0</v>
      </c>
      <c r="AM77" s="105">
        <f t="shared" si="3"/>
        <v>0</v>
      </c>
      <c r="AO77" s="564"/>
    </row>
    <row r="78" ht="15.75" customHeight="1">
      <c r="A78" s="554">
        <f>'INVONTERY FEB'!A79</f>
        <v>74</v>
      </c>
      <c r="B78" s="554" t="str">
        <f>'INVONTERY FEB'!B79</f>
        <v>CHOCO LAVA BISCUIT</v>
      </c>
      <c r="C78" s="554" t="str">
        <f>'INVONTERY FEB'!C79</f>
        <v>BOX</v>
      </c>
      <c r="D78" s="556">
        <f>'INVONTERY FEB'!D79</f>
        <v>229</v>
      </c>
      <c r="E78" s="565"/>
      <c r="F78" s="566"/>
      <c r="G78" s="567"/>
      <c r="H78" s="567"/>
      <c r="I78" s="567"/>
      <c r="J78" s="567"/>
      <c r="K78" s="567"/>
      <c r="L78" s="568"/>
      <c r="M78" s="560"/>
      <c r="N78" s="567"/>
      <c r="O78" s="567"/>
      <c r="P78" s="567"/>
      <c r="Q78" s="567"/>
      <c r="R78" s="567"/>
      <c r="S78" s="577"/>
      <c r="T78" s="567"/>
      <c r="U78" s="567"/>
      <c r="V78" s="567"/>
      <c r="W78" s="567"/>
      <c r="X78" s="581"/>
      <c r="Y78" s="57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0"/>
      <c r="AK78" s="562"/>
      <c r="AL78" s="563">
        <f t="shared" si="2"/>
        <v>0</v>
      </c>
      <c r="AM78" s="105">
        <f t="shared" si="3"/>
        <v>0</v>
      </c>
      <c r="AO78" s="598"/>
    </row>
    <row r="79" ht="15.75" customHeight="1">
      <c r="A79" s="554">
        <f>'INVONTERY FEB'!A80</f>
        <v>75</v>
      </c>
      <c r="B79" s="554" t="str">
        <f>'INVONTERY FEB'!B80</f>
        <v>OREO BISCUIT</v>
      </c>
      <c r="C79" s="554" t="str">
        <f>'INVONTERY FEB'!C80</f>
        <v>BOX</v>
      </c>
      <c r="D79" s="556">
        <f>'INVONTERY FEB'!D80</f>
        <v>280</v>
      </c>
      <c r="E79" s="565"/>
      <c r="F79" s="566"/>
      <c r="G79" s="567"/>
      <c r="H79" s="567"/>
      <c r="I79" s="567"/>
      <c r="J79" s="567"/>
      <c r="K79" s="567"/>
      <c r="L79" s="568"/>
      <c r="M79" s="560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9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0"/>
      <c r="AK79" s="562"/>
      <c r="AL79" s="563">
        <f t="shared" si="2"/>
        <v>0</v>
      </c>
      <c r="AM79" s="105">
        <f t="shared" si="3"/>
        <v>0</v>
      </c>
      <c r="AO79" s="564"/>
    </row>
    <row r="80" ht="15.75" customHeight="1">
      <c r="A80" s="554">
        <f>'INVONTERY FEB'!A81</f>
        <v>76</v>
      </c>
      <c r="B80" s="554" t="str">
        <f>'INVONTERY FEB'!B81</f>
        <v/>
      </c>
      <c r="C80" s="554" t="str">
        <f>'INVONTERY FEB'!C81</f>
        <v/>
      </c>
      <c r="D80" s="556">
        <f>'INVONTERY FEB'!D81</f>
        <v>0</v>
      </c>
      <c r="E80" s="565"/>
      <c r="F80" s="566"/>
      <c r="G80" s="567"/>
      <c r="H80" s="567"/>
      <c r="I80" s="567"/>
      <c r="J80" s="567"/>
      <c r="K80" s="567"/>
      <c r="L80" s="568"/>
      <c r="M80" s="560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9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0"/>
      <c r="AK80" s="562"/>
      <c r="AL80" s="563">
        <f t="shared" si="2"/>
        <v>0</v>
      </c>
      <c r="AM80" s="105">
        <f t="shared" si="3"/>
        <v>0</v>
      </c>
      <c r="AO80" s="564"/>
    </row>
    <row r="81" ht="15.75" customHeight="1">
      <c r="A81" s="554">
        <f>'INVONTERY FEB'!A82</f>
        <v>77</v>
      </c>
      <c r="B81" s="554" t="str">
        <f>'INVONTERY FEB'!B82</f>
        <v/>
      </c>
      <c r="C81" s="554" t="str">
        <f>'INVONTERY FEB'!C82</f>
        <v/>
      </c>
      <c r="D81" s="556" t="str">
        <f>'INVONTERY FEB'!D82</f>
        <v/>
      </c>
      <c r="E81" s="565"/>
      <c r="F81" s="566"/>
      <c r="G81" s="567"/>
      <c r="H81" s="567"/>
      <c r="I81" s="567"/>
      <c r="J81" s="567"/>
      <c r="K81" s="567"/>
      <c r="L81" s="568"/>
      <c r="M81" s="560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9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0"/>
      <c r="AK81" s="562"/>
      <c r="AL81" s="563">
        <f t="shared" si="2"/>
        <v>0</v>
      </c>
      <c r="AM81" s="105">
        <f t="shared" si="3"/>
        <v>0</v>
      </c>
      <c r="AO81" s="564"/>
    </row>
    <row r="82" ht="15.75" customHeight="1">
      <c r="A82" s="554">
        <f>'INVONTERY FEB'!A83</f>
        <v>78</v>
      </c>
      <c r="B82" s="554" t="str">
        <f>'INVONTERY FEB'!B83</f>
        <v/>
      </c>
      <c r="C82" s="554" t="str">
        <f>'INVONTERY FEB'!C83</f>
        <v/>
      </c>
      <c r="D82" s="556" t="str">
        <f>'INVONTERY FEB'!D83</f>
        <v/>
      </c>
      <c r="E82" s="565"/>
      <c r="F82" s="566"/>
      <c r="G82" s="567"/>
      <c r="H82" s="567"/>
      <c r="I82" s="567"/>
      <c r="J82" s="567"/>
      <c r="K82" s="567"/>
      <c r="L82" s="568"/>
      <c r="M82" s="560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9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0"/>
      <c r="AK82" s="562"/>
      <c r="AL82" s="563">
        <f t="shared" si="2"/>
        <v>0</v>
      </c>
      <c r="AM82" s="105">
        <f t="shared" si="3"/>
        <v>0</v>
      </c>
      <c r="AO82" s="564"/>
    </row>
    <row r="83" ht="15.75" customHeight="1">
      <c r="A83" s="554">
        <f>'INVONTERY FEB'!A84</f>
        <v>79</v>
      </c>
      <c r="B83" s="554" t="str">
        <f>'INVONTERY FEB'!B84</f>
        <v/>
      </c>
      <c r="C83" s="554" t="str">
        <f>'INVONTERY FEB'!C84</f>
        <v/>
      </c>
      <c r="D83" s="556" t="str">
        <f>'INVONTERY FEB'!D84</f>
        <v/>
      </c>
      <c r="E83" s="565"/>
      <c r="F83" s="566"/>
      <c r="G83" s="567"/>
      <c r="H83" s="567"/>
      <c r="I83" s="567"/>
      <c r="J83" s="567"/>
      <c r="K83" s="567"/>
      <c r="L83" s="568"/>
      <c r="M83" s="560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9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0"/>
      <c r="AK83" s="562"/>
      <c r="AL83" s="563">
        <f t="shared" si="2"/>
        <v>0</v>
      </c>
      <c r="AM83" s="105">
        <f t="shared" si="3"/>
        <v>0</v>
      </c>
      <c r="AO83" s="564"/>
    </row>
    <row r="84" ht="15.75" customHeight="1">
      <c r="A84" s="554">
        <f>'INVONTERY FEB'!A85</f>
        <v>80</v>
      </c>
      <c r="B84" s="554" t="str">
        <f>'INVONTERY FEB'!B85</f>
        <v/>
      </c>
      <c r="C84" s="554" t="str">
        <f>'INVONTERY FEB'!C85</f>
        <v/>
      </c>
      <c r="D84" s="556" t="str">
        <f>'INVONTERY FEB'!D85</f>
        <v/>
      </c>
      <c r="E84" s="565"/>
      <c r="F84" s="566"/>
      <c r="G84" s="567"/>
      <c r="H84" s="567"/>
      <c r="I84" s="567"/>
      <c r="J84" s="567"/>
      <c r="K84" s="567"/>
      <c r="L84" s="568"/>
      <c r="M84" s="560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9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0"/>
      <c r="AK84" s="562"/>
      <c r="AL84" s="563">
        <f t="shared" si="2"/>
        <v>0</v>
      </c>
      <c r="AM84" s="105">
        <f t="shared" si="3"/>
        <v>0</v>
      </c>
      <c r="AO84" s="564"/>
    </row>
    <row r="85" ht="15.75" customHeight="1">
      <c r="A85" s="554">
        <f>'INVONTERY FEB'!A86</f>
        <v>81</v>
      </c>
      <c r="B85" s="554" t="str">
        <f>'INVONTERY FEB'!B86</f>
        <v>TOTAL CAKE TOPPING AMOUNT</v>
      </c>
      <c r="C85" s="554" t="str">
        <f>'INVONTERY FEB'!C86</f>
        <v/>
      </c>
      <c r="D85" s="556" t="str">
        <f>#REF!</f>
        <v>#REF!</v>
      </c>
      <c r="E85" s="565"/>
      <c r="F85" s="566"/>
      <c r="G85" s="567"/>
      <c r="H85" s="567"/>
      <c r="I85" s="567"/>
      <c r="J85" s="567"/>
      <c r="K85" s="567"/>
      <c r="L85" s="568"/>
      <c r="M85" s="560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9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0"/>
      <c r="AK85" s="562"/>
      <c r="AL85" s="563">
        <f t="shared" si="2"/>
        <v>0</v>
      </c>
      <c r="AM85" s="105">
        <f t="shared" si="3"/>
        <v>0</v>
      </c>
      <c r="AO85" s="564"/>
    </row>
    <row r="86" ht="15.75" customHeight="1">
      <c r="A86" s="554">
        <f>'INVONTERY FEB'!A87</f>
        <v>82</v>
      </c>
      <c r="B86" s="554" t="str">
        <f>'INVONTERY FEB'!B86</f>
        <v>TOTAL CAKE TOPPING AMOUNT</v>
      </c>
      <c r="C86" s="554" t="str">
        <f>'INVONTERY FEB'!C87</f>
        <v/>
      </c>
      <c r="D86" s="556" t="str">
        <f>'INVONTERY FEB'!D86</f>
        <v/>
      </c>
      <c r="E86" s="565"/>
      <c r="F86" s="566"/>
      <c r="G86" s="567"/>
      <c r="H86" s="567"/>
      <c r="I86" s="567"/>
      <c r="J86" s="567"/>
      <c r="K86" s="567"/>
      <c r="L86" s="568"/>
      <c r="M86" s="560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9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0"/>
      <c r="AK86" s="562"/>
      <c r="AL86" s="563">
        <f t="shared" si="2"/>
        <v>0</v>
      </c>
      <c r="AM86" s="105">
        <f t="shared" si="3"/>
        <v>0</v>
      </c>
      <c r="AO86" s="564"/>
    </row>
    <row r="87" ht="15.75" customHeight="1">
      <c r="A87" s="554">
        <f>'INVONTERY FEB'!A88</f>
        <v>83</v>
      </c>
      <c r="B87" s="554" t="str">
        <f>'INVONTERY FEB'!B87</f>
        <v>FOUNDANT CAKE</v>
      </c>
      <c r="C87" s="554" t="str">
        <f>'INVONTERY FEB'!C88</f>
        <v>BOTT</v>
      </c>
      <c r="D87" s="556" t="str">
        <f>'INVONTERY FEB'!D87</f>
        <v/>
      </c>
      <c r="E87" s="565"/>
      <c r="F87" s="566"/>
      <c r="G87" s="567"/>
      <c r="H87" s="567"/>
      <c r="I87" s="567"/>
      <c r="J87" s="567"/>
      <c r="K87" s="567"/>
      <c r="L87" s="568"/>
      <c r="M87" s="560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9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0"/>
      <c r="AK87" s="562"/>
      <c r="AL87" s="563">
        <f t="shared" si="2"/>
        <v>0</v>
      </c>
      <c r="AM87" s="105">
        <f t="shared" si="3"/>
        <v>0</v>
      </c>
      <c r="AO87" s="564"/>
    </row>
    <row r="88" ht="15.75" customHeight="1">
      <c r="A88" s="554">
        <f>'INVONTERY FEB'!A89</f>
        <v>84</v>
      </c>
      <c r="B88" s="595" t="str">
        <f>'INVONTERY FEB'!B87</f>
        <v>FOUNDANT CAKE</v>
      </c>
      <c r="C88" s="554" t="str">
        <f>'INVONTERY FEB'!C89</f>
        <v>BOTT</v>
      </c>
      <c r="D88" s="556" t="str">
        <f>'INVONTERY FEB'!D87</f>
        <v/>
      </c>
      <c r="E88" s="565"/>
      <c r="F88" s="566"/>
      <c r="G88" s="567"/>
      <c r="H88" s="567"/>
      <c r="I88" s="567"/>
      <c r="J88" s="567"/>
      <c r="K88" s="567"/>
      <c r="L88" s="568"/>
      <c r="M88" s="560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9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0"/>
      <c r="AK88" s="562"/>
      <c r="AL88" s="563">
        <f t="shared" si="2"/>
        <v>0</v>
      </c>
      <c r="AM88" s="105">
        <f t="shared" si="3"/>
        <v>0</v>
      </c>
      <c r="AO88" s="564"/>
    </row>
    <row r="89" ht="15.75" customHeight="1">
      <c r="A89" s="554">
        <f>'INVONTERY FEB'!A90</f>
        <v>85</v>
      </c>
      <c r="B89" s="554" t="str">
        <f>'INVONTERY FEB'!B88</f>
        <v>RED SPONCH FOOD COLOUR 400GMS</v>
      </c>
      <c r="C89" s="554" t="str">
        <f>'INVONTERY FEB'!C90</f>
        <v>BOTT</v>
      </c>
      <c r="D89" s="556">
        <f>'INVONTERY FEB'!D88</f>
        <v>650</v>
      </c>
      <c r="E89" s="565"/>
      <c r="F89" s="566"/>
      <c r="G89" s="567"/>
      <c r="H89" s="567"/>
      <c r="I89" s="567"/>
      <c r="J89" s="567"/>
      <c r="K89" s="567"/>
      <c r="L89" s="568"/>
      <c r="M89" s="560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81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0"/>
      <c r="AK89" s="562"/>
      <c r="AL89" s="563">
        <f t="shared" si="2"/>
        <v>0</v>
      </c>
      <c r="AM89" s="105">
        <f t="shared" si="3"/>
        <v>0</v>
      </c>
      <c r="AO89" s="564"/>
    </row>
    <row r="90" ht="15.75" customHeight="1">
      <c r="A90" s="554">
        <f>'INVONTERY FEB'!A91</f>
        <v>86</v>
      </c>
      <c r="B90" s="554" t="str">
        <f>'INVONTERY FEB'!B89</f>
        <v>ORANGE SPONCH FOOD COLOUR 400GMS</v>
      </c>
      <c r="C90" s="554" t="str">
        <f>'INVONTERY FEB'!C91</f>
        <v>BOTT</v>
      </c>
      <c r="D90" s="556">
        <f>'INVONTERY FEB'!D89</f>
        <v>650</v>
      </c>
      <c r="E90" s="565"/>
      <c r="F90" s="566"/>
      <c r="G90" s="567"/>
      <c r="H90" s="567"/>
      <c r="I90" s="567"/>
      <c r="J90" s="567"/>
      <c r="K90" s="567"/>
      <c r="L90" s="568"/>
      <c r="M90" s="560"/>
      <c r="N90" s="567"/>
      <c r="O90" s="577"/>
      <c r="P90" s="567"/>
      <c r="Q90" s="567"/>
      <c r="R90" s="567"/>
      <c r="S90" s="567"/>
      <c r="T90" s="567"/>
      <c r="U90" s="567"/>
      <c r="V90" s="567"/>
      <c r="W90" s="567"/>
      <c r="X90" s="567"/>
      <c r="Y90" s="581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0"/>
      <c r="AK90" s="562"/>
      <c r="AL90" s="563">
        <f t="shared" si="2"/>
        <v>0</v>
      </c>
      <c r="AM90" s="105">
        <f t="shared" si="3"/>
        <v>0</v>
      </c>
      <c r="AO90" s="564"/>
    </row>
    <row r="91" ht="15.75" customHeight="1">
      <c r="A91" s="554">
        <f>'INVONTERY FEB'!A90</f>
        <v>85</v>
      </c>
      <c r="B91" s="554" t="str">
        <f>'INVONTERY FEB'!B90</f>
        <v>VIBGYOR BASE FOUNDANT COLOURE</v>
      </c>
      <c r="C91" s="554" t="str">
        <f>'INVONTERY FEB'!C92</f>
        <v>BOTT</v>
      </c>
      <c r="D91" s="556">
        <f>'INVONTERY FEB'!D90</f>
        <v>1230.8</v>
      </c>
      <c r="E91" s="565"/>
      <c r="F91" s="566"/>
      <c r="G91" s="567"/>
      <c r="H91" s="567"/>
      <c r="I91" s="571">
        <v>5.0</v>
      </c>
      <c r="J91" s="567"/>
      <c r="K91" s="571">
        <v>1.0</v>
      </c>
      <c r="L91" s="582">
        <v>1.0</v>
      </c>
      <c r="M91" s="560"/>
      <c r="N91" s="567"/>
      <c r="O91" s="571">
        <v>3.0</v>
      </c>
      <c r="P91" s="567"/>
      <c r="Q91" s="567"/>
      <c r="R91" s="571"/>
      <c r="S91" s="571">
        <v>2.0</v>
      </c>
      <c r="T91" s="571"/>
      <c r="U91" s="567"/>
      <c r="V91" s="567"/>
      <c r="W91" s="571">
        <v>2.0</v>
      </c>
      <c r="X91" s="567"/>
      <c r="Y91" s="569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0"/>
      <c r="AK91" s="562"/>
      <c r="AL91" s="563">
        <f t="shared" si="2"/>
        <v>14</v>
      </c>
      <c r="AM91" s="105">
        <f t="shared" si="3"/>
        <v>4</v>
      </c>
      <c r="AO91" s="564"/>
    </row>
    <row r="92" ht="15.75" customHeight="1">
      <c r="A92" s="554">
        <f>'INVONTERY FEB'!A91</f>
        <v>86</v>
      </c>
      <c r="B92" s="554" t="str">
        <f>'INVONTERY FEB'!B91</f>
        <v>ALMOND SYRUP</v>
      </c>
      <c r="C92" s="554" t="str">
        <f>'INVONTERY FEB'!C93</f>
        <v>BOTT</v>
      </c>
      <c r="D92" s="556">
        <f>'INVONTERY FEB'!D91</f>
        <v>380</v>
      </c>
      <c r="E92" s="565"/>
      <c r="F92" s="566"/>
      <c r="G92" s="567"/>
      <c r="H92" s="567"/>
      <c r="I92" s="567"/>
      <c r="J92" s="567"/>
      <c r="K92" s="571">
        <v>1.0</v>
      </c>
      <c r="L92" s="568"/>
      <c r="M92" s="560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9"/>
      <c r="Z92" s="567"/>
      <c r="AA92" s="567"/>
      <c r="AB92" s="567"/>
      <c r="AC92" s="567"/>
      <c r="AD92" s="567"/>
      <c r="AE92" s="571">
        <v>1.0</v>
      </c>
      <c r="AF92" s="567"/>
      <c r="AG92" s="567"/>
      <c r="AH92" s="567"/>
      <c r="AI92" s="567"/>
      <c r="AJ92" s="560"/>
      <c r="AK92" s="562"/>
      <c r="AL92" s="563">
        <f t="shared" si="2"/>
        <v>2</v>
      </c>
      <c r="AM92" s="105">
        <f t="shared" si="3"/>
        <v>1.333333333</v>
      </c>
      <c r="AO92" s="564"/>
    </row>
    <row r="93" ht="15.75" customHeight="1">
      <c r="A93" s="554">
        <f>'INVONTERY FEB'!A92</f>
        <v>87</v>
      </c>
      <c r="B93" s="554" t="str">
        <f>'INVONTERY FEB'!B92</f>
        <v>CARDMOM SYRUP</v>
      </c>
      <c r="C93" s="554" t="str">
        <f>'INVONTERY FEB'!C94</f>
        <v>BOTT</v>
      </c>
      <c r="D93" s="556">
        <f>'INVONTERY FEB'!D92</f>
        <v>450</v>
      </c>
      <c r="E93" s="599"/>
      <c r="F93" s="566"/>
      <c r="G93" s="571">
        <v>1.0</v>
      </c>
      <c r="H93" s="567"/>
      <c r="I93" s="567"/>
      <c r="J93" s="567"/>
      <c r="K93" s="567"/>
      <c r="L93" s="568"/>
      <c r="M93" s="560"/>
      <c r="N93" s="567"/>
      <c r="O93" s="567"/>
      <c r="P93" s="567"/>
      <c r="Q93" s="567"/>
      <c r="R93" s="567"/>
      <c r="S93" s="567"/>
      <c r="T93" s="567"/>
      <c r="U93" s="571">
        <v>1.0</v>
      </c>
      <c r="V93" s="567"/>
      <c r="W93" s="567"/>
      <c r="X93" s="567"/>
      <c r="Y93" s="581"/>
      <c r="Z93" s="567"/>
      <c r="AA93" s="567"/>
      <c r="AB93" s="567"/>
      <c r="AC93" s="567"/>
      <c r="AD93" s="567"/>
      <c r="AE93" s="571">
        <v>1.0</v>
      </c>
      <c r="AF93" s="567"/>
      <c r="AG93" s="567"/>
      <c r="AH93" s="567"/>
      <c r="AI93" s="567"/>
      <c r="AJ93" s="560"/>
      <c r="AK93" s="600"/>
      <c r="AL93" s="563">
        <f t="shared" si="2"/>
        <v>3</v>
      </c>
      <c r="AM93" s="105">
        <f t="shared" si="3"/>
        <v>1.5</v>
      </c>
      <c r="AO93" s="564"/>
    </row>
    <row r="94" ht="15.75" customHeight="1">
      <c r="A94" s="554">
        <f>'INVONTERY FEB'!A93</f>
        <v>88</v>
      </c>
      <c r="B94" s="554" t="str">
        <f>'INVONTERY FEB'!B93</f>
        <v>VIZYON CHOCLATE SAYRUP</v>
      </c>
      <c r="C94" s="554" t="str">
        <f>'INVONTERY FEB'!C95</f>
        <v>BOTT</v>
      </c>
      <c r="D94" s="556">
        <f>'INVONTERY FEB'!D93</f>
        <v>1300</v>
      </c>
      <c r="E94" s="599"/>
      <c r="F94" s="566"/>
      <c r="G94" s="567"/>
      <c r="H94" s="567"/>
      <c r="I94" s="567"/>
      <c r="J94" s="567"/>
      <c r="K94" s="567"/>
      <c r="L94" s="568"/>
      <c r="M94" s="560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9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0"/>
      <c r="AK94" s="600"/>
      <c r="AL94" s="563">
        <f t="shared" si="2"/>
        <v>0</v>
      </c>
      <c r="AM94" s="105">
        <f t="shared" si="3"/>
        <v>0</v>
      </c>
      <c r="AO94" s="564"/>
    </row>
    <row r="95" ht="15.75" customHeight="1">
      <c r="A95" s="554">
        <f>'INVONTERY FEB'!A94</f>
        <v>89</v>
      </c>
      <c r="B95" s="554" t="str">
        <f>'INVONTERY FEB'!B94</f>
        <v>VIZYON TOPPING CERAMAL</v>
      </c>
      <c r="C95" s="554" t="str">
        <f>'INVONTERY FEB'!C96</f>
        <v>BOTT</v>
      </c>
      <c r="D95" s="556">
        <f>'INVONTERY FEB'!D94</f>
        <v>1267</v>
      </c>
      <c r="E95" s="599"/>
      <c r="F95" s="566"/>
      <c r="G95" s="567"/>
      <c r="H95" s="567"/>
      <c r="I95" s="567"/>
      <c r="J95" s="567"/>
      <c r="K95" s="567"/>
      <c r="L95" s="568"/>
      <c r="M95" s="560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81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0"/>
      <c r="AK95" s="600"/>
      <c r="AL95" s="563">
        <f t="shared" si="2"/>
        <v>0</v>
      </c>
      <c r="AM95" s="105">
        <f t="shared" si="3"/>
        <v>0</v>
      </c>
      <c r="AO95" s="564"/>
    </row>
    <row r="96" ht="15.75" customHeight="1">
      <c r="A96" s="554">
        <f>'INVONTERY FEB'!A95</f>
        <v>90</v>
      </c>
      <c r="B96" s="554" t="str">
        <f>'INVONTERY FEB'!B95</f>
        <v>FOUNDANT</v>
      </c>
      <c r="C96" s="554" t="str">
        <f>'INVONTERY FEB'!C97</f>
        <v>BOTT</v>
      </c>
      <c r="D96" s="556">
        <f>'INVONTERY FEB'!D95</f>
        <v>1230</v>
      </c>
      <c r="E96" s="599"/>
      <c r="F96" s="566"/>
      <c r="G96" s="567"/>
      <c r="H96" s="567"/>
      <c r="I96" s="575"/>
      <c r="J96" s="567"/>
      <c r="K96" s="567"/>
      <c r="L96" s="568"/>
      <c r="M96" s="560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9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0"/>
      <c r="AK96" s="600"/>
      <c r="AL96" s="563">
        <f t="shared" si="2"/>
        <v>0</v>
      </c>
      <c r="AM96" s="105">
        <f t="shared" si="3"/>
        <v>0</v>
      </c>
      <c r="AO96" s="564"/>
    </row>
    <row r="97" ht="15.75" customHeight="1">
      <c r="A97" s="554">
        <f>'INVONTERY FEB'!A96</f>
        <v>91</v>
      </c>
      <c r="B97" s="554" t="str">
        <f>'INVONTERY FEB'!B96</f>
        <v>LEMON ESSENCE</v>
      </c>
      <c r="C97" s="554" t="str">
        <f>'INVONTERY FEB'!C98</f>
        <v>KG</v>
      </c>
      <c r="D97" s="556">
        <f>'INVONTERY FEB'!D96</f>
        <v>820</v>
      </c>
      <c r="E97" s="599"/>
      <c r="F97" s="566"/>
      <c r="G97" s="567"/>
      <c r="H97" s="567"/>
      <c r="I97" s="567"/>
      <c r="J97" s="567"/>
      <c r="K97" s="567"/>
      <c r="L97" s="568"/>
      <c r="M97" s="560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9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0"/>
      <c r="AK97" s="600"/>
      <c r="AL97" s="563">
        <f t="shared" si="2"/>
        <v>0</v>
      </c>
      <c r="AM97" s="105">
        <f t="shared" si="3"/>
        <v>0</v>
      </c>
      <c r="AO97" s="564"/>
    </row>
    <row r="98" ht="15.75" customHeight="1">
      <c r="A98" s="554">
        <f>'INVONTERY FEB'!A97</f>
        <v>92</v>
      </c>
      <c r="B98" s="554" t="str">
        <f>'INVONTERY FEB'!B97</f>
        <v>NESTLE COFFEE</v>
      </c>
      <c r="C98" s="554" t="str">
        <f>'INVONTERY FEB'!C99</f>
        <v>PCS</v>
      </c>
      <c r="D98" s="556">
        <f>'INVONTERY FEB'!D97</f>
        <v>1072</v>
      </c>
      <c r="E98" s="599"/>
      <c r="F98" s="566"/>
      <c r="G98" s="567"/>
      <c r="H98" s="567"/>
      <c r="I98" s="567"/>
      <c r="J98" s="567"/>
      <c r="K98" s="567"/>
      <c r="L98" s="568"/>
      <c r="M98" s="560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9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0"/>
      <c r="AK98" s="600"/>
      <c r="AL98" s="563">
        <f t="shared" si="2"/>
        <v>0</v>
      </c>
      <c r="AM98" s="105">
        <f t="shared" si="3"/>
        <v>0</v>
      </c>
      <c r="AO98" s="564"/>
    </row>
    <row r="99" ht="15.75" customHeight="1">
      <c r="A99" s="554">
        <f>'INVONTERY FEB'!A98</f>
        <v>93</v>
      </c>
      <c r="B99" s="554" t="str">
        <f>'INVONTERY FEB'!B98</f>
        <v>MITHA SODA</v>
      </c>
      <c r="C99" s="554" t="str">
        <f>'INVONTERY FEB'!C100</f>
        <v>BOTT</v>
      </c>
      <c r="D99" s="556">
        <f>'INVONTERY FEB'!D98</f>
        <v>160</v>
      </c>
      <c r="E99" s="599"/>
      <c r="F99" s="566"/>
      <c r="G99" s="567"/>
      <c r="H99" s="567"/>
      <c r="I99" s="567"/>
      <c r="J99" s="567"/>
      <c r="K99" s="567"/>
      <c r="L99" s="568"/>
      <c r="M99" s="560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9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0"/>
      <c r="AK99" s="600"/>
      <c r="AL99" s="563">
        <f t="shared" si="2"/>
        <v>0</v>
      </c>
      <c r="AM99" s="105">
        <f t="shared" si="3"/>
        <v>0</v>
      </c>
      <c r="AO99" s="564"/>
    </row>
    <row r="100" ht="15.75" customHeight="1">
      <c r="A100" s="554">
        <f>'INVONTERY FEB'!A99</f>
        <v>94</v>
      </c>
      <c r="B100" s="554" t="str">
        <f>'INVONTERY FEB'!B99</f>
        <v>BISCOTTO WAFER</v>
      </c>
      <c r="C100" s="554" t="str">
        <f>'INVONTERY FEB'!C101</f>
        <v>BOTT</v>
      </c>
      <c r="D100" s="556">
        <f>'INVONTERY FEB'!D99</f>
        <v>695</v>
      </c>
      <c r="E100" s="599"/>
      <c r="F100" s="566"/>
      <c r="G100" s="567"/>
      <c r="H100" s="567"/>
      <c r="I100" s="567"/>
      <c r="J100" s="567"/>
      <c r="K100" s="567"/>
      <c r="L100" s="568"/>
      <c r="M100" s="560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9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0"/>
      <c r="AK100" s="600"/>
      <c r="AL100" s="563">
        <f t="shared" si="2"/>
        <v>0</v>
      </c>
      <c r="AM100" s="105">
        <f t="shared" si="3"/>
        <v>0</v>
      </c>
      <c r="AN100" s="601"/>
      <c r="AO100" s="564"/>
    </row>
    <row r="101" ht="15.75" customHeight="1">
      <c r="A101" s="554">
        <f>'INVONTERY FEB'!A100</f>
        <v>95</v>
      </c>
      <c r="B101" s="554" t="str">
        <f>'INVONTERY FEB'!B100</f>
        <v>GOLDEN EATABLE COLOUR</v>
      </c>
      <c r="C101" s="554" t="str">
        <f>'INVONTERY FEB'!C102</f>
        <v>PCS</v>
      </c>
      <c r="D101" s="556">
        <f>'INVONTERY FEB'!D100</f>
        <v>900</v>
      </c>
      <c r="E101" s="599"/>
      <c r="F101" s="566"/>
      <c r="G101" s="567"/>
      <c r="H101" s="567"/>
      <c r="I101" s="567"/>
      <c r="J101" s="567"/>
      <c r="K101" s="567"/>
      <c r="L101" s="568"/>
      <c r="M101" s="560"/>
      <c r="N101" s="567"/>
      <c r="O101" s="567"/>
      <c r="P101" s="567"/>
      <c r="Q101" s="567"/>
      <c r="R101" s="571"/>
      <c r="S101" s="567"/>
      <c r="T101" s="567"/>
      <c r="U101" s="567"/>
      <c r="V101" s="567"/>
      <c r="W101" s="567"/>
      <c r="X101" s="567"/>
      <c r="Y101" s="569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0"/>
      <c r="AK101" s="600"/>
      <c r="AL101" s="563">
        <f t="shared" si="2"/>
        <v>0</v>
      </c>
      <c r="AM101" s="105">
        <f t="shared" si="3"/>
        <v>0</v>
      </c>
      <c r="AO101" s="564"/>
    </row>
    <row r="102" ht="15.75" customHeight="1">
      <c r="A102" s="554">
        <f>'INVONTERY FEB'!A101</f>
        <v>96</v>
      </c>
      <c r="B102" s="554" t="str">
        <f>'INVONTERY FEB'!B101</f>
        <v>SILVER EATABLE COLOURE</v>
      </c>
      <c r="C102" s="554" t="str">
        <f>'INVONTERY FEB'!C103</f>
        <v>BOTT</v>
      </c>
      <c r="D102" s="556">
        <f>'INVONTERY FEB'!D101</f>
        <v>900</v>
      </c>
      <c r="E102" s="599"/>
      <c r="F102" s="566"/>
      <c r="G102" s="567"/>
      <c r="H102" s="567"/>
      <c r="I102" s="567"/>
      <c r="J102" s="567"/>
      <c r="K102" s="567"/>
      <c r="L102" s="568"/>
      <c r="M102" s="560"/>
      <c r="N102" s="567"/>
      <c r="O102" s="567"/>
      <c r="P102" s="567"/>
      <c r="Q102" s="567"/>
      <c r="R102" s="571"/>
      <c r="S102" s="567"/>
      <c r="T102" s="567"/>
      <c r="U102" s="567"/>
      <c r="V102" s="567"/>
      <c r="W102" s="567"/>
      <c r="X102" s="567"/>
      <c r="Y102" s="569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0"/>
      <c r="AK102" s="600"/>
      <c r="AL102" s="563">
        <f t="shared" si="2"/>
        <v>0</v>
      </c>
      <c r="AM102" s="105">
        <f t="shared" si="3"/>
        <v>0</v>
      </c>
      <c r="AO102" s="564"/>
    </row>
    <row r="103" ht="15.75" customHeight="1">
      <c r="A103" s="554">
        <f>'INVONTERY FEB'!A102</f>
        <v>97</v>
      </c>
      <c r="B103" s="554" t="str">
        <f>'INVONTERY FEB'!B102</f>
        <v>BUTTERFLY</v>
      </c>
      <c r="C103" s="554" t="str">
        <f>'INVONTERY FEB'!C104</f>
        <v>KG</v>
      </c>
      <c r="D103" s="556">
        <f>'INVONTERY FEB'!D102</f>
        <v>30</v>
      </c>
      <c r="E103" s="599"/>
      <c r="F103" s="566"/>
      <c r="G103" s="567"/>
      <c r="H103" s="567"/>
      <c r="I103" s="567"/>
      <c r="J103" s="567"/>
      <c r="K103" s="567"/>
      <c r="L103" s="568"/>
      <c r="M103" s="560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9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0"/>
      <c r="AK103" s="600"/>
      <c r="AL103" s="563">
        <f t="shared" si="2"/>
        <v>0</v>
      </c>
      <c r="AM103" s="105">
        <f t="shared" si="3"/>
        <v>0</v>
      </c>
      <c r="AO103" s="564"/>
    </row>
    <row r="104" ht="15.75" customHeight="1">
      <c r="A104" s="554">
        <f>'INVONTERY FEB'!A103</f>
        <v>98</v>
      </c>
      <c r="B104" s="554" t="str">
        <f>'INVONTERY FEB'!B103</f>
        <v>VIBGOR FOOD COLOUR</v>
      </c>
      <c r="C104" s="554" t="str">
        <f>'INVONTERY FEB'!C105</f>
        <v>KG</v>
      </c>
      <c r="D104" s="556">
        <f>'INVONTERY FEB'!D103</f>
        <v>750</v>
      </c>
      <c r="E104" s="599"/>
      <c r="F104" s="566"/>
      <c r="G104" s="567"/>
      <c r="H104" s="567"/>
      <c r="I104" s="567"/>
      <c r="J104" s="567"/>
      <c r="K104" s="567"/>
      <c r="L104" s="568"/>
      <c r="M104" s="560"/>
      <c r="N104" s="567"/>
      <c r="O104" s="567"/>
      <c r="P104" s="567"/>
      <c r="Q104" s="567"/>
      <c r="R104" s="567"/>
      <c r="S104" s="571">
        <v>1.0</v>
      </c>
      <c r="T104" s="567"/>
      <c r="U104" s="567"/>
      <c r="V104" s="567"/>
      <c r="W104" s="567"/>
      <c r="X104" s="567"/>
      <c r="Y104" s="587">
        <v>3.0</v>
      </c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0"/>
      <c r="AK104" s="600"/>
      <c r="AL104" s="563">
        <f t="shared" si="2"/>
        <v>4</v>
      </c>
      <c r="AM104" s="105">
        <f t="shared" si="3"/>
        <v>2.666666667</v>
      </c>
      <c r="AO104" s="564"/>
    </row>
    <row r="105" ht="15.75" customHeight="1">
      <c r="A105" s="554">
        <f>'INVONTERY FEB'!A104</f>
        <v>99</v>
      </c>
      <c r="B105" s="554" t="str">
        <f>'INVONTERY FEB'!B105</f>
        <v>PEANUTS</v>
      </c>
      <c r="C105" s="554" t="str">
        <f>'INVONTERY FEB'!C106</f>
        <v>PCS</v>
      </c>
      <c r="D105" s="556">
        <f>'INVONTERY FEB'!D105</f>
        <v>700</v>
      </c>
      <c r="E105" s="599"/>
      <c r="F105" s="566"/>
      <c r="G105" s="567"/>
      <c r="H105" s="567"/>
      <c r="I105" s="567"/>
      <c r="J105" s="567"/>
      <c r="K105" s="567"/>
      <c r="L105" s="568"/>
      <c r="M105" s="560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9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0"/>
      <c r="AK105" s="600"/>
      <c r="AL105" s="563">
        <f t="shared" si="2"/>
        <v>0</v>
      </c>
      <c r="AM105" s="105">
        <f t="shared" si="3"/>
        <v>0</v>
      </c>
      <c r="AO105" s="564"/>
    </row>
    <row r="106" ht="15.75" customHeight="1">
      <c r="A106" s="554">
        <f>'INVONTERY FEB'!A105</f>
        <v>100</v>
      </c>
      <c r="B106" s="554" t="str">
        <f>'INVONTERY FEB'!B104</f>
        <v>WALNUT</v>
      </c>
      <c r="C106" s="554" t="str">
        <f>'INVONTERY FEB'!C107</f>
        <v/>
      </c>
      <c r="D106" s="556">
        <f>'INVONTERY FEB'!D104</f>
        <v>2400</v>
      </c>
      <c r="E106" s="599"/>
      <c r="F106" s="566"/>
      <c r="G106" s="567"/>
      <c r="H106" s="567"/>
      <c r="I106" s="567"/>
      <c r="J106" s="567"/>
      <c r="K106" s="567"/>
      <c r="L106" s="568"/>
      <c r="M106" s="560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9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0"/>
      <c r="AK106" s="600"/>
      <c r="AL106" s="563">
        <f t="shared" si="2"/>
        <v>0</v>
      </c>
      <c r="AM106" s="105">
        <f t="shared" si="3"/>
        <v>0</v>
      </c>
      <c r="AO106" s="564"/>
    </row>
    <row r="107" ht="15.75" customHeight="1">
      <c r="A107" s="554">
        <f>'INVONTERY FEB'!A106</f>
        <v>101</v>
      </c>
      <c r="B107" s="554" t="str">
        <f>'INVONTERY FEB'!B106</f>
        <v>SNICKERS</v>
      </c>
      <c r="C107" s="554" t="str">
        <f>'INVONTERY FEB'!C108</f>
        <v/>
      </c>
      <c r="D107" s="556">
        <f>'INVONTERY FEB'!D106</f>
        <v>188</v>
      </c>
      <c r="E107" s="599"/>
      <c r="F107" s="566"/>
      <c r="G107" s="567"/>
      <c r="H107" s="567"/>
      <c r="I107" s="567"/>
      <c r="J107" s="567"/>
      <c r="K107" s="567"/>
      <c r="L107" s="568"/>
      <c r="M107" s="560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9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0"/>
      <c r="AK107" s="600"/>
      <c r="AL107" s="563">
        <f t="shared" si="2"/>
        <v>0</v>
      </c>
      <c r="AM107" s="105">
        <f t="shared" si="3"/>
        <v>0</v>
      </c>
      <c r="AO107" s="564"/>
    </row>
    <row r="108" ht="15.75" customHeight="1">
      <c r="A108" s="554">
        <f>'INVONTERY FEB'!A107</f>
        <v>102</v>
      </c>
      <c r="B108" s="555" t="str">
        <f>'INVONTERY FEB'!B108</f>
        <v>TOTAL FOOD COST</v>
      </c>
      <c r="C108" s="554" t="str">
        <f>'INVONTERY FEB'!C109</f>
        <v/>
      </c>
      <c r="D108" s="556" t="str">
        <f>'INVONTERY FEB'!D108</f>
        <v/>
      </c>
      <c r="E108" s="599"/>
      <c r="F108" s="566"/>
      <c r="G108" s="567"/>
      <c r="H108" s="567"/>
      <c r="I108" s="567"/>
      <c r="J108" s="567"/>
      <c r="K108" s="567"/>
      <c r="L108" s="568"/>
      <c r="M108" s="560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9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0"/>
      <c r="AK108" s="600"/>
      <c r="AL108" s="563">
        <f t="shared" si="2"/>
        <v>0</v>
      </c>
      <c r="AM108" s="105">
        <f t="shared" si="3"/>
        <v>0</v>
      </c>
      <c r="AO108" s="564"/>
    </row>
    <row r="109" ht="15.75" customHeight="1">
      <c r="A109" s="554">
        <f>'INVONTERY FEB'!A109</f>
        <v>103</v>
      </c>
      <c r="B109" s="554" t="str">
        <f>'INVONTERY FEB'!B109</f>
        <v>PAPER ITEMS</v>
      </c>
      <c r="C109" s="554" t="str">
        <f>'INVONTERY FEB'!C110</f>
        <v>PCS</v>
      </c>
      <c r="D109" s="556" t="str">
        <f>'INVONTERY FEB'!D109</f>
        <v/>
      </c>
      <c r="E109" s="599"/>
      <c r="F109" s="566"/>
      <c r="G109" s="567"/>
      <c r="H109" s="567"/>
      <c r="I109" s="567"/>
      <c r="J109" s="567"/>
      <c r="K109" s="567"/>
      <c r="L109" s="568"/>
      <c r="M109" s="560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9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0"/>
      <c r="AK109" s="600"/>
      <c r="AL109" s="563">
        <f t="shared" si="2"/>
        <v>0</v>
      </c>
      <c r="AM109" s="105">
        <f t="shared" si="3"/>
        <v>0</v>
      </c>
      <c r="AO109" s="564"/>
    </row>
    <row r="110" ht="15.75" customHeight="1">
      <c r="A110" s="554">
        <f>'INVONTERY FEB'!A110</f>
        <v>104</v>
      </c>
      <c r="B110" s="554" t="str">
        <f>'INVONTERY FEB'!B110</f>
        <v>CAKE BOX</v>
      </c>
      <c r="C110" s="554" t="str">
        <f>'INVONTERY FEB'!C111</f>
        <v>PCS</v>
      </c>
      <c r="D110" s="556">
        <f>'INVONTERY FEB'!D110</f>
        <v>50</v>
      </c>
      <c r="E110" s="599"/>
      <c r="F110" s="602"/>
      <c r="G110" s="603"/>
      <c r="H110" s="603"/>
      <c r="I110" s="603"/>
      <c r="J110" s="603"/>
      <c r="K110" s="603"/>
      <c r="L110" s="604"/>
      <c r="M110" s="592"/>
      <c r="N110" s="603"/>
      <c r="O110" s="603"/>
      <c r="P110" s="603"/>
      <c r="Q110" s="603"/>
      <c r="R110" s="603"/>
      <c r="S110" s="603"/>
      <c r="T110" s="603"/>
      <c r="U110" s="603"/>
      <c r="V110" s="605"/>
      <c r="W110" s="605"/>
      <c r="X110" s="605"/>
      <c r="Y110" s="605"/>
      <c r="Z110" s="603"/>
      <c r="AA110" s="603"/>
      <c r="AB110" s="603"/>
      <c r="AC110" s="603"/>
      <c r="AD110" s="603"/>
      <c r="AE110" s="605"/>
      <c r="AF110" s="603"/>
      <c r="AG110" s="603"/>
      <c r="AH110" s="603"/>
      <c r="AI110" s="603"/>
      <c r="AJ110" s="592"/>
      <c r="AK110" s="600"/>
      <c r="AL110" s="563">
        <f t="shared" si="2"/>
        <v>0</v>
      </c>
      <c r="AM110" s="105">
        <f t="shared" si="3"/>
        <v>0</v>
      </c>
      <c r="AO110" s="564"/>
    </row>
    <row r="111" ht="15.75" customHeight="1">
      <c r="A111" s="554">
        <f>'INVONTERY FEB'!A111</f>
        <v>105</v>
      </c>
      <c r="B111" s="554" t="str">
        <f>'INVONTERY FEB'!B111</f>
        <v>CAKE BOARD PRINTED</v>
      </c>
      <c r="C111" s="554" t="str">
        <f>'INVONTERY FEB'!C112</f>
        <v>PCS</v>
      </c>
      <c r="D111" s="556">
        <f>'INVONTERY FEB'!D111</f>
        <v>31</v>
      </c>
      <c r="E111" s="599"/>
      <c r="F111" s="606">
        <v>50.0</v>
      </c>
      <c r="G111" s="607">
        <v>50.0</v>
      </c>
      <c r="H111" s="607">
        <v>50.0</v>
      </c>
      <c r="I111" s="607">
        <v>50.0</v>
      </c>
      <c r="J111" s="607">
        <v>50.0</v>
      </c>
      <c r="K111" s="607">
        <v>50.0</v>
      </c>
      <c r="L111" s="608">
        <v>100.0</v>
      </c>
      <c r="M111" s="609">
        <v>50.0</v>
      </c>
      <c r="N111" s="607">
        <v>50.0</v>
      </c>
      <c r="O111" s="607">
        <v>50.0</v>
      </c>
      <c r="P111" s="607">
        <v>50.0</v>
      </c>
      <c r="Q111" s="574">
        <v>50.0</v>
      </c>
      <c r="R111" s="571">
        <v>50.0</v>
      </c>
      <c r="S111" s="574">
        <v>100.0</v>
      </c>
      <c r="T111" s="574">
        <v>50.0</v>
      </c>
      <c r="U111" s="571">
        <v>50.0</v>
      </c>
      <c r="V111" s="574">
        <v>50.0</v>
      </c>
      <c r="W111" s="573">
        <v>50.0</v>
      </c>
      <c r="X111" s="577"/>
      <c r="Y111" s="581"/>
      <c r="Z111" s="567"/>
      <c r="AA111" s="571">
        <v>100.0</v>
      </c>
      <c r="AB111" s="575"/>
      <c r="AC111" s="577"/>
      <c r="AD111" s="567"/>
      <c r="AE111" s="574">
        <v>50.0</v>
      </c>
      <c r="AF111" s="575"/>
      <c r="AG111" s="567"/>
      <c r="AH111" s="575"/>
      <c r="AI111" s="567"/>
      <c r="AJ111" s="560"/>
      <c r="AK111" s="600"/>
      <c r="AL111" s="563">
        <f t="shared" si="2"/>
        <v>1150</v>
      </c>
      <c r="AM111" s="105">
        <f t="shared" si="3"/>
        <v>109.5238095</v>
      </c>
      <c r="AO111" s="564"/>
    </row>
    <row r="112" ht="15.75" customHeight="1">
      <c r="A112" s="554">
        <f>'INVONTERY FEB'!A112</f>
        <v>106</v>
      </c>
      <c r="B112" s="554" t="str">
        <f>'INVONTERY FEB'!B112</f>
        <v>CAKE SHEET 3 POUND</v>
      </c>
      <c r="C112" s="554" t="str">
        <f>'INVONTERY FEB'!C113</f>
        <v>PKT</v>
      </c>
      <c r="D112" s="556">
        <f>'INVONTERY FEB'!D112</f>
        <v>35</v>
      </c>
      <c r="E112" s="599"/>
      <c r="F112" s="566"/>
      <c r="G112" s="567"/>
      <c r="H112" s="567"/>
      <c r="I112" s="567"/>
      <c r="J112" s="610"/>
      <c r="K112" s="567"/>
      <c r="L112" s="568"/>
      <c r="M112" s="560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81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0"/>
      <c r="AK112" s="600"/>
      <c r="AL112" s="563">
        <f t="shared" si="2"/>
        <v>0</v>
      </c>
      <c r="AM112" s="105">
        <f t="shared" si="3"/>
        <v>0</v>
      </c>
      <c r="AO112" s="564"/>
    </row>
    <row r="113" ht="15.75" customHeight="1">
      <c r="A113" s="554">
        <f>'INVONTERY FEB'!A113</f>
        <v>107</v>
      </c>
      <c r="B113" s="554" t="str">
        <f>'INVONTERY FEB'!B113</f>
        <v>CAKE SHEET 4 POUND</v>
      </c>
      <c r="C113" s="554" t="str">
        <f>'INVONTERY FEB'!C114</f>
        <v>PCS</v>
      </c>
      <c r="D113" s="556">
        <f>'INVONTERY FEB'!D113</f>
        <v>32</v>
      </c>
      <c r="E113" s="599"/>
      <c r="F113" s="566"/>
      <c r="G113" s="567"/>
      <c r="H113" s="567"/>
      <c r="I113" s="567"/>
      <c r="J113" s="567"/>
      <c r="K113" s="567"/>
      <c r="L113" s="568"/>
      <c r="M113" s="560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81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0"/>
      <c r="AK113" s="600"/>
      <c r="AL113" s="563">
        <f t="shared" si="2"/>
        <v>0</v>
      </c>
      <c r="AM113" s="105">
        <f t="shared" si="3"/>
        <v>0</v>
      </c>
      <c r="AO113" s="564"/>
    </row>
    <row r="114" ht="15.75" customHeight="1">
      <c r="A114" s="554">
        <f>'INVONTERY FEB'!A114</f>
        <v>108</v>
      </c>
      <c r="B114" s="554" t="str">
        <f>'INVONTERY FEB'!B114</f>
        <v>PAPER TRAY 5 POUND</v>
      </c>
      <c r="C114" s="554" t="str">
        <f>'INVONTERY FEB'!C115</f>
        <v>PCS</v>
      </c>
      <c r="D114" s="556">
        <f>'INVONTERY FEB'!D114</f>
        <v>40</v>
      </c>
      <c r="E114" s="599"/>
      <c r="F114" s="570">
        <v>10.0</v>
      </c>
      <c r="G114" s="567"/>
      <c r="H114" s="567"/>
      <c r="I114" s="567"/>
      <c r="J114" s="567"/>
      <c r="K114" s="567"/>
      <c r="L114" s="568"/>
      <c r="M114" s="560"/>
      <c r="N114" s="567"/>
      <c r="O114" s="567"/>
      <c r="P114" s="567"/>
      <c r="Q114" s="567"/>
      <c r="R114" s="567"/>
      <c r="S114" s="571">
        <v>5.0</v>
      </c>
      <c r="T114" s="567"/>
      <c r="U114" s="567"/>
      <c r="V114" s="567"/>
      <c r="W114" s="567"/>
      <c r="X114" s="567"/>
      <c r="Y114" s="569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0"/>
      <c r="AK114" s="600"/>
      <c r="AL114" s="563">
        <f t="shared" si="2"/>
        <v>15</v>
      </c>
      <c r="AM114" s="105">
        <f t="shared" si="3"/>
        <v>10</v>
      </c>
      <c r="AO114" s="564"/>
    </row>
    <row r="115" ht="15.75" customHeight="1">
      <c r="A115" s="554">
        <f>'INVONTERY FEB'!A115</f>
        <v>109</v>
      </c>
      <c r="B115" s="554" t="str">
        <f>'INVONTERY FEB'!B115</f>
        <v>PAPER TRAY 6 POUND</v>
      </c>
      <c r="C115" s="554" t="str">
        <f>'INVONTERY FEB'!C116</f>
        <v>PCS</v>
      </c>
      <c r="D115" s="556">
        <f>'INVONTERY FEB'!D115</f>
        <v>50</v>
      </c>
      <c r="E115" s="599"/>
      <c r="F115" s="566"/>
      <c r="G115" s="567"/>
      <c r="H115" s="567"/>
      <c r="I115" s="567"/>
      <c r="J115" s="567"/>
      <c r="K115" s="567"/>
      <c r="L115" s="568"/>
      <c r="M115" s="560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9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0"/>
      <c r="AK115" s="600"/>
      <c r="AL115" s="563">
        <f t="shared" si="2"/>
        <v>0</v>
      </c>
      <c r="AM115" s="105">
        <f t="shared" si="3"/>
        <v>0</v>
      </c>
      <c r="AO115" s="564"/>
    </row>
    <row r="116" ht="15.75" customHeight="1">
      <c r="A116" s="554">
        <f>'INVONTERY FEB'!A116</f>
        <v>110</v>
      </c>
      <c r="B116" s="554" t="str">
        <f>'INVONTERY FEB'!B116</f>
        <v>PAPER TRAY 7 POUND</v>
      </c>
      <c r="C116" s="554" t="str">
        <f>'INVONTERY FEB'!C117</f>
        <v>PCS</v>
      </c>
      <c r="D116" s="556">
        <f>'INVONTERY FEB'!D116</f>
        <v>50</v>
      </c>
      <c r="E116" s="599"/>
      <c r="F116" s="566"/>
      <c r="G116" s="567"/>
      <c r="H116" s="567"/>
      <c r="I116" s="567"/>
      <c r="J116" s="567"/>
      <c r="K116" s="567"/>
      <c r="L116" s="568"/>
      <c r="M116" s="560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9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0"/>
      <c r="AK116" s="600"/>
      <c r="AL116" s="563">
        <f t="shared" si="2"/>
        <v>0</v>
      </c>
      <c r="AM116" s="105">
        <f t="shared" si="3"/>
        <v>0</v>
      </c>
      <c r="AO116" s="564"/>
    </row>
    <row r="117" ht="15.75" customHeight="1">
      <c r="A117" s="554">
        <f>'INVONTERY FEB'!A117</f>
        <v>111</v>
      </c>
      <c r="B117" s="554" t="str">
        <f>'INVONTERY FEB'!B117</f>
        <v>PAPER TRAY 8 POUND</v>
      </c>
      <c r="C117" s="554" t="str">
        <f>'INVONTERY FEB'!C118</f>
        <v>PCS</v>
      </c>
      <c r="D117" s="556">
        <f>'INVONTERY FEB'!D117</f>
        <v>50</v>
      </c>
      <c r="E117" s="599"/>
      <c r="F117" s="602"/>
      <c r="G117" s="603"/>
      <c r="H117" s="603"/>
      <c r="I117" s="603"/>
      <c r="J117" s="603"/>
      <c r="K117" s="603"/>
      <c r="L117" s="604"/>
      <c r="M117" s="592"/>
      <c r="N117" s="603"/>
      <c r="O117" s="603"/>
      <c r="P117" s="603"/>
      <c r="Q117" s="603"/>
      <c r="R117" s="603"/>
      <c r="S117" s="603"/>
      <c r="T117" s="603"/>
      <c r="U117" s="603"/>
      <c r="V117" s="605"/>
      <c r="W117" s="605"/>
      <c r="X117" s="605"/>
      <c r="Y117" s="605"/>
      <c r="Z117" s="603"/>
      <c r="AA117" s="603"/>
      <c r="AB117" s="603"/>
      <c r="AC117" s="603"/>
      <c r="AD117" s="603"/>
      <c r="AE117" s="605"/>
      <c r="AF117" s="603"/>
      <c r="AG117" s="603"/>
      <c r="AH117" s="603"/>
      <c r="AI117" s="603"/>
      <c r="AJ117" s="592"/>
      <c r="AK117" s="600"/>
      <c r="AL117" s="563">
        <f t="shared" si="2"/>
        <v>0</v>
      </c>
      <c r="AM117" s="105">
        <f t="shared" si="3"/>
        <v>0</v>
      </c>
      <c r="AO117" s="564"/>
    </row>
    <row r="118" ht="15.75" customHeight="1">
      <c r="A118" s="554">
        <f>'INVONTERY FEB'!A118</f>
        <v>112</v>
      </c>
      <c r="B118" s="554" t="str">
        <f>'INVONTERY FEB'!B118</f>
        <v>CLING FLIM</v>
      </c>
      <c r="C118" s="554" t="str">
        <f>'INVONTERY FEB'!C119</f>
        <v>PCS</v>
      </c>
      <c r="D118" s="556">
        <f>'INVONTERY FEB'!D118</f>
        <v>450</v>
      </c>
      <c r="E118" s="599"/>
      <c r="F118" s="566"/>
      <c r="G118" s="567"/>
      <c r="H118" s="567"/>
      <c r="I118" s="588"/>
      <c r="J118" s="567"/>
      <c r="K118" s="567"/>
      <c r="L118" s="568"/>
      <c r="M118" s="560"/>
      <c r="N118" s="567"/>
      <c r="O118" s="567"/>
      <c r="P118" s="567"/>
      <c r="Q118" s="571">
        <v>2.0</v>
      </c>
      <c r="R118" s="567"/>
      <c r="S118" s="567"/>
      <c r="T118" s="567"/>
      <c r="U118" s="567"/>
      <c r="V118" s="567"/>
      <c r="W118" s="567"/>
      <c r="X118" s="567"/>
      <c r="Y118" s="577"/>
      <c r="Z118" s="567"/>
      <c r="AA118" s="567"/>
      <c r="AB118" s="567"/>
      <c r="AC118" s="567"/>
      <c r="AD118" s="567"/>
      <c r="AE118" s="567"/>
      <c r="AF118" s="567"/>
      <c r="AG118" s="575"/>
      <c r="AH118" s="567"/>
      <c r="AI118" s="567"/>
      <c r="AJ118" s="560"/>
      <c r="AK118" s="600"/>
      <c r="AL118" s="563">
        <f t="shared" si="2"/>
        <v>2</v>
      </c>
      <c r="AM118" s="105">
        <f t="shared" si="3"/>
        <v>2</v>
      </c>
      <c r="AO118" s="564"/>
    </row>
    <row r="119" ht="15.75" customHeight="1">
      <c r="A119" s="554">
        <f>'INVONTERY FEB'!A119</f>
        <v>113</v>
      </c>
      <c r="B119" s="554" t="str">
        <f>'INVONTERY FEB'!B119</f>
        <v>MINI MUFFIN CASE</v>
      </c>
      <c r="C119" s="554" t="str">
        <f>'INVONTERY FEB'!C120</f>
        <v>PKT</v>
      </c>
      <c r="D119" s="556">
        <f>'INVONTERY FEB'!D119</f>
        <v>457</v>
      </c>
      <c r="E119" s="599"/>
      <c r="F119" s="566"/>
      <c r="G119" s="567"/>
      <c r="H119" s="567"/>
      <c r="I119" s="567"/>
      <c r="J119" s="567"/>
      <c r="K119" s="567"/>
      <c r="L119" s="568"/>
      <c r="M119" s="560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9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0"/>
      <c r="AK119" s="600"/>
      <c r="AL119" s="563">
        <f t="shared" si="2"/>
        <v>0</v>
      </c>
      <c r="AM119" s="105">
        <f t="shared" si="3"/>
        <v>0</v>
      </c>
      <c r="AO119" s="564"/>
    </row>
    <row r="120" ht="15.75" customHeight="1">
      <c r="A120" s="554">
        <f>'INVONTERY FEB'!A120</f>
        <v>114</v>
      </c>
      <c r="B120" s="554" t="str">
        <f>'INVONTERY FEB'!B120</f>
        <v>BRWON MUFFIN CASE</v>
      </c>
      <c r="C120" s="554" t="str">
        <f>'INVONTERY FEB'!C121</f>
        <v>KG</v>
      </c>
      <c r="D120" s="556">
        <f>'INVONTERY FEB'!D120</f>
        <v>1800</v>
      </c>
      <c r="E120" s="599"/>
      <c r="F120" s="566"/>
      <c r="G120" s="567"/>
      <c r="H120" s="567"/>
      <c r="I120" s="567"/>
      <c r="J120" s="567"/>
      <c r="K120" s="567"/>
      <c r="L120" s="568"/>
      <c r="M120" s="560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9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0"/>
      <c r="AK120" s="600"/>
      <c r="AL120" s="563">
        <f t="shared" si="2"/>
        <v>0</v>
      </c>
      <c r="AM120" s="105">
        <f t="shared" si="3"/>
        <v>0</v>
      </c>
      <c r="AO120" s="564"/>
    </row>
    <row r="121" ht="15.75" customHeight="1">
      <c r="A121" s="554">
        <f>'INVONTERY FEB'!A121</f>
        <v>115</v>
      </c>
      <c r="B121" s="554" t="str">
        <f>'INVONTERY FEB'!B121</f>
        <v>BUTTER PAPER</v>
      </c>
      <c r="C121" s="554" t="str">
        <f>'INVONTERY FEB'!C122</f>
        <v>RIM</v>
      </c>
      <c r="D121" s="556">
        <f>'INVONTERY FEB'!D121</f>
        <v>3500</v>
      </c>
      <c r="E121" s="599"/>
      <c r="F121" s="566"/>
      <c r="G121" s="567"/>
      <c r="H121" s="567"/>
      <c r="I121" s="588"/>
      <c r="J121" s="567"/>
      <c r="K121" s="567"/>
      <c r="L121" s="568"/>
      <c r="M121" s="560"/>
      <c r="N121" s="567"/>
      <c r="O121" s="567"/>
      <c r="P121" s="567"/>
      <c r="Q121" s="567"/>
      <c r="R121" s="567"/>
      <c r="S121" s="567"/>
      <c r="T121" s="567"/>
      <c r="U121" s="567"/>
      <c r="V121" s="569"/>
      <c r="W121" s="569"/>
      <c r="X121" s="569"/>
      <c r="Y121" s="569"/>
      <c r="Z121" s="567"/>
      <c r="AA121" s="567"/>
      <c r="AB121" s="567"/>
      <c r="AC121" s="567"/>
      <c r="AD121" s="567"/>
      <c r="AE121" s="569"/>
      <c r="AF121" s="567"/>
      <c r="AG121" s="567"/>
      <c r="AH121" s="611"/>
      <c r="AI121" s="611"/>
      <c r="AJ121" s="560"/>
      <c r="AK121" s="600"/>
      <c r="AL121" s="563">
        <f t="shared" si="2"/>
        <v>0</v>
      </c>
      <c r="AM121" s="105">
        <f t="shared" si="3"/>
        <v>0</v>
      </c>
      <c r="AO121" s="564"/>
    </row>
    <row r="122" ht="15.75" customHeight="1">
      <c r="A122" s="554">
        <f>'INVONTERY FEB'!A122</f>
        <v>116</v>
      </c>
      <c r="B122" s="554" t="str">
        <f>'INVONTERY FEB'!B122</f>
        <v>BROWN PAPER RIM</v>
      </c>
      <c r="C122" s="554" t="str">
        <f>'INVONTERY FEB'!C123</f>
        <v>PKT</v>
      </c>
      <c r="D122" s="556">
        <f>'INVONTERY FEB'!D122</f>
        <v>7500</v>
      </c>
      <c r="E122" s="599"/>
      <c r="F122" s="566"/>
      <c r="G122" s="567"/>
      <c r="H122" s="567"/>
      <c r="I122" s="567"/>
      <c r="J122" s="567"/>
      <c r="K122" s="567"/>
      <c r="L122" s="582">
        <v>0.5</v>
      </c>
      <c r="M122" s="560"/>
      <c r="N122" s="567"/>
      <c r="O122" s="567"/>
      <c r="P122" s="567"/>
      <c r="Q122" s="588"/>
      <c r="R122" s="567"/>
      <c r="S122" s="567"/>
      <c r="T122" s="567"/>
      <c r="U122" s="567"/>
      <c r="V122" s="567"/>
      <c r="W122" s="567"/>
      <c r="X122" s="567"/>
      <c r="Y122" s="587">
        <v>0.5</v>
      </c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0"/>
      <c r="AK122" s="600"/>
      <c r="AL122" s="563">
        <f t="shared" si="2"/>
        <v>1</v>
      </c>
      <c r="AM122" s="105">
        <f t="shared" si="3"/>
        <v>0.6666666667</v>
      </c>
      <c r="AO122" s="564"/>
    </row>
    <row r="123" ht="15.75" customHeight="1">
      <c r="A123" s="554">
        <f>'INVONTERY FEB'!A123</f>
        <v>117</v>
      </c>
      <c r="B123" s="554" t="str">
        <f>'INVONTERY FEB'!B123</f>
        <v>CAKE PAN PAPER</v>
      </c>
      <c r="C123" s="554" t="str">
        <f>'INVONTERY FEB'!C124</f>
        <v>PCS</v>
      </c>
      <c r="D123" s="556">
        <f>'INVONTERY FEB'!D123</f>
        <v>100</v>
      </c>
      <c r="E123" s="599"/>
      <c r="F123" s="566"/>
      <c r="G123" s="567"/>
      <c r="H123" s="567"/>
      <c r="I123" s="567"/>
      <c r="J123" s="567"/>
      <c r="K123" s="571">
        <v>5.0</v>
      </c>
      <c r="L123" s="568"/>
      <c r="M123" s="560"/>
      <c r="N123" s="567"/>
      <c r="O123" s="567"/>
      <c r="P123" s="567"/>
      <c r="Q123" s="577"/>
      <c r="R123" s="567"/>
      <c r="S123" s="567"/>
      <c r="T123" s="567"/>
      <c r="U123" s="567"/>
      <c r="V123" s="581"/>
      <c r="W123" s="581"/>
      <c r="X123" s="567"/>
      <c r="Y123" s="581">
        <f>54-30</f>
        <v>24</v>
      </c>
      <c r="Z123" s="567"/>
      <c r="AA123" s="567"/>
      <c r="AB123" s="567"/>
      <c r="AC123" s="567"/>
      <c r="AD123" s="567"/>
      <c r="AE123" s="581"/>
      <c r="AF123" s="567"/>
      <c r="AG123" s="567"/>
      <c r="AH123" s="567"/>
      <c r="AI123" s="567"/>
      <c r="AJ123" s="560"/>
      <c r="AK123" s="600"/>
      <c r="AL123" s="563">
        <f t="shared" si="2"/>
        <v>29</v>
      </c>
      <c r="AM123" s="105">
        <f t="shared" si="3"/>
        <v>19.33333333</v>
      </c>
      <c r="AO123" s="564"/>
    </row>
    <row r="124" ht="15.75" customHeight="1">
      <c r="A124" s="554">
        <f>'INVONTERY FEB'!A124</f>
        <v>118</v>
      </c>
      <c r="B124" s="554" t="str">
        <f>'INVONTERY FEB'!B124</f>
        <v>SUNDAE CUP PRINTED</v>
      </c>
      <c r="C124" s="554" t="str">
        <f>'INVONTERY FEB'!C125</f>
        <v>PKT</v>
      </c>
      <c r="D124" s="556">
        <f>'INVONTERY FEB'!D124</f>
        <v>9</v>
      </c>
      <c r="E124" s="599"/>
      <c r="F124" s="590"/>
      <c r="G124" s="567"/>
      <c r="H124" s="567"/>
      <c r="I124" s="567"/>
      <c r="J124" s="567"/>
      <c r="K124" s="578">
        <v>100.0</v>
      </c>
      <c r="L124" s="568"/>
      <c r="M124" s="586"/>
      <c r="N124" s="571">
        <v>50.0</v>
      </c>
      <c r="O124" s="567"/>
      <c r="P124" s="577"/>
      <c r="Q124" s="571">
        <v>100.0</v>
      </c>
      <c r="R124" s="577"/>
      <c r="S124" s="574">
        <v>100.0</v>
      </c>
      <c r="T124" s="567"/>
      <c r="U124" s="567"/>
      <c r="V124" s="571">
        <v>50.0</v>
      </c>
      <c r="W124" s="573">
        <v>50.0</v>
      </c>
      <c r="X124" s="571">
        <v>50.0</v>
      </c>
      <c r="Y124" s="569"/>
      <c r="Z124" s="567"/>
      <c r="AA124" s="567"/>
      <c r="AB124" s="567"/>
      <c r="AC124" s="567"/>
      <c r="AD124" s="567"/>
      <c r="AE124" s="571">
        <v>50.0</v>
      </c>
      <c r="AF124" s="567"/>
      <c r="AG124" s="567"/>
      <c r="AH124" s="575"/>
      <c r="AI124" s="567"/>
      <c r="AJ124" s="560"/>
      <c r="AK124" s="600"/>
      <c r="AL124" s="563">
        <f t="shared" si="2"/>
        <v>550</v>
      </c>
      <c r="AM124" s="105">
        <f t="shared" si="3"/>
        <v>122.2222222</v>
      </c>
      <c r="AO124" s="564"/>
    </row>
    <row r="125" ht="15.75" customHeight="1">
      <c r="A125" s="554">
        <f>'INVONTERY FEB'!A125</f>
        <v>119</v>
      </c>
      <c r="B125" s="554" t="str">
        <f>'INVONTERY FEB'!B125</f>
        <v>THERMAPOL BOLL SHEET</v>
      </c>
      <c r="C125" s="554" t="str">
        <f>'INVONTERY FEB'!C126</f>
        <v>PCS</v>
      </c>
      <c r="D125" s="556">
        <f>'INVONTERY FEB'!D125</f>
        <v>150</v>
      </c>
      <c r="E125" s="599"/>
      <c r="F125" s="566"/>
      <c r="G125" s="567"/>
      <c r="H125" s="567"/>
      <c r="I125" s="567"/>
      <c r="J125" s="567"/>
      <c r="K125" s="567"/>
      <c r="L125" s="568"/>
      <c r="M125" s="560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9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0"/>
      <c r="AK125" s="600"/>
      <c r="AL125" s="563">
        <f t="shared" si="2"/>
        <v>0</v>
      </c>
      <c r="AM125" s="105">
        <f t="shared" si="3"/>
        <v>0</v>
      </c>
      <c r="AO125" s="564"/>
    </row>
    <row r="126" ht="15.75" customHeight="1">
      <c r="A126" s="554">
        <f>'INVONTERY FEB'!A126</f>
        <v>120</v>
      </c>
      <c r="B126" s="554" t="str">
        <f>'INVONTERY FEB'!B126</f>
        <v>TOOTH STICK</v>
      </c>
      <c r="C126" s="554" t="str">
        <f>'INVONTERY FEB'!C127</f>
        <v>PKT</v>
      </c>
      <c r="D126" s="556">
        <f>'INVONTERY FEB'!D126</f>
        <v>84</v>
      </c>
      <c r="E126" s="599"/>
      <c r="F126" s="566"/>
      <c r="G126" s="567"/>
      <c r="H126" s="567"/>
      <c r="I126" s="567"/>
      <c r="J126" s="567"/>
      <c r="K126" s="567"/>
      <c r="L126" s="568"/>
      <c r="M126" s="560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9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0"/>
      <c r="AK126" s="600"/>
      <c r="AL126" s="563">
        <f t="shared" si="2"/>
        <v>0</v>
      </c>
      <c r="AM126" s="105">
        <f t="shared" si="3"/>
        <v>0</v>
      </c>
      <c r="AO126" s="564"/>
    </row>
    <row r="127" ht="15.75" customHeight="1">
      <c r="A127" s="554">
        <f>'INVONTERY FEB'!A127</f>
        <v>121</v>
      </c>
      <c r="B127" s="554" t="str">
        <f>'INVONTERY FEB'!B127</f>
        <v>GOLDEN STONE</v>
      </c>
      <c r="C127" s="554" t="str">
        <f>'INVONTERY FEB'!C128</f>
        <v>PCS</v>
      </c>
      <c r="D127" s="556">
        <f>'INVONTERY FEB'!D127</f>
        <v>150</v>
      </c>
      <c r="E127" s="599"/>
      <c r="F127" s="566"/>
      <c r="G127" s="567"/>
      <c r="H127" s="567"/>
      <c r="I127" s="567"/>
      <c r="J127" s="567"/>
      <c r="K127" s="567"/>
      <c r="L127" s="612"/>
      <c r="M127" s="560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9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0"/>
      <c r="AK127" s="600"/>
      <c r="AL127" s="563">
        <f t="shared" si="2"/>
        <v>0</v>
      </c>
      <c r="AM127" s="105">
        <f t="shared" si="3"/>
        <v>0</v>
      </c>
      <c r="AO127" s="564"/>
    </row>
    <row r="128" ht="15.75" customHeight="1">
      <c r="A128" s="554">
        <f>'INVONTERY FEB'!A128</f>
        <v>122</v>
      </c>
      <c r="B128" s="554" t="str">
        <f>'INVONTERY FEB'!B128</f>
        <v>DISSPOSSABLE PACKING</v>
      </c>
      <c r="C128" s="554" t="str">
        <f>'INVONTERY FEB'!C129</f>
        <v>PCS</v>
      </c>
      <c r="D128" s="556">
        <f>'INVONTERY FEB'!D128</f>
        <v>6.5</v>
      </c>
      <c r="E128" s="599"/>
      <c r="F128" s="566"/>
      <c r="G128" s="571">
        <v>100.0</v>
      </c>
      <c r="H128" s="567"/>
      <c r="I128" s="571">
        <v>10.0</v>
      </c>
      <c r="J128" s="567"/>
      <c r="K128" s="571">
        <v>0.0</v>
      </c>
      <c r="L128" s="582">
        <v>50.0</v>
      </c>
      <c r="M128" s="560"/>
      <c r="N128" s="571">
        <v>50.0</v>
      </c>
      <c r="O128" s="567"/>
      <c r="P128" s="567"/>
      <c r="Q128" s="567"/>
      <c r="R128" s="567"/>
      <c r="S128" s="571">
        <v>100.0</v>
      </c>
      <c r="T128" s="567"/>
      <c r="U128" s="567"/>
      <c r="V128" s="571">
        <v>50.0</v>
      </c>
      <c r="W128" s="567"/>
      <c r="X128" s="567"/>
      <c r="Y128" s="569"/>
      <c r="Z128" s="567"/>
      <c r="AA128" s="567"/>
      <c r="AB128" s="567"/>
      <c r="AC128" s="567"/>
      <c r="AD128" s="567"/>
      <c r="AE128" s="571">
        <v>50.0</v>
      </c>
      <c r="AF128" s="567"/>
      <c r="AG128" s="567"/>
      <c r="AH128" s="567"/>
      <c r="AI128" s="567"/>
      <c r="AJ128" s="560"/>
      <c r="AK128" s="600"/>
      <c r="AL128" s="563">
        <f t="shared" si="2"/>
        <v>410</v>
      </c>
      <c r="AM128" s="105">
        <f t="shared" si="3"/>
        <v>91.11111111</v>
      </c>
      <c r="AO128" s="564"/>
    </row>
    <row r="129" ht="15.75" customHeight="1">
      <c r="A129" s="554">
        <f>'INVONTERY FEB'!A129</f>
        <v>123</v>
      </c>
      <c r="B129" s="554" t="str">
        <f>'INVONTERY FEB'!B129</f>
        <v>PAPER TRAY 10 POUND</v>
      </c>
      <c r="C129" s="554" t="str">
        <f>'INVONTERY FEB'!C130</f>
        <v>PCS</v>
      </c>
      <c r="D129" s="556">
        <f>'INVONTERY FEB'!D129</f>
        <v>60</v>
      </c>
      <c r="E129" s="599"/>
      <c r="F129" s="566"/>
      <c r="G129" s="567"/>
      <c r="H129" s="567"/>
      <c r="I129" s="567"/>
      <c r="J129" s="567"/>
      <c r="K129" s="567"/>
      <c r="L129" s="568"/>
      <c r="M129" s="560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9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0"/>
      <c r="AK129" s="600"/>
      <c r="AL129" s="563">
        <f t="shared" si="2"/>
        <v>0</v>
      </c>
      <c r="AM129" s="105">
        <f t="shared" si="3"/>
        <v>0</v>
      </c>
      <c r="AO129" s="564"/>
    </row>
    <row r="130" ht="15.75" customHeight="1">
      <c r="A130" s="554">
        <f>'INVONTERY FEB'!A130</f>
        <v>124</v>
      </c>
      <c r="B130" s="554" t="str">
        <f>'INVONTERY FEB'!B130</f>
        <v>FOOD SFTEY LINER</v>
      </c>
      <c r="C130" s="554" t="str">
        <f>'INVONTERY FEB'!C131</f>
        <v/>
      </c>
      <c r="D130" s="556">
        <f>'INVONTERY FEB'!D130</f>
        <v>0</v>
      </c>
      <c r="E130" s="599"/>
      <c r="F130" s="566"/>
      <c r="G130" s="567"/>
      <c r="H130" s="567"/>
      <c r="I130" s="567"/>
      <c r="J130" s="567"/>
      <c r="K130" s="567"/>
      <c r="L130" s="568"/>
      <c r="M130" s="560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9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0"/>
      <c r="AK130" s="600"/>
      <c r="AL130" s="563">
        <f t="shared" si="2"/>
        <v>0</v>
      </c>
      <c r="AM130" s="105">
        <f t="shared" si="3"/>
        <v>0</v>
      </c>
      <c r="AO130" s="564"/>
    </row>
    <row r="131" ht="15.75" customHeight="1">
      <c r="A131" s="554">
        <f>'INVONTERY FEB'!A131</f>
        <v>125</v>
      </c>
      <c r="B131" s="554" t="str">
        <f>'INVONTERY FEB'!B131</f>
        <v>TOTAL PAPER AMOUNT</v>
      </c>
      <c r="C131" s="554" t="str">
        <f>'INVONTERY FEB'!C132</f>
        <v/>
      </c>
      <c r="D131" s="556" t="str">
        <f>'INVONTERY FEB'!D131</f>
        <v/>
      </c>
      <c r="E131" s="599"/>
      <c r="F131" s="566"/>
      <c r="G131" s="567"/>
      <c r="H131" s="567"/>
      <c r="I131" s="567"/>
      <c r="J131" s="567"/>
      <c r="K131" s="567"/>
      <c r="L131" s="568"/>
      <c r="M131" s="560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9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0"/>
      <c r="AK131" s="600"/>
      <c r="AL131" s="563">
        <f t="shared" si="2"/>
        <v>0</v>
      </c>
      <c r="AM131" s="105">
        <f t="shared" si="3"/>
        <v>0</v>
      </c>
      <c r="AO131" s="564"/>
    </row>
    <row r="132" ht="15.75" customHeight="1">
      <c r="A132" s="554">
        <f>'INVONTERY FEB'!A132</f>
        <v>126</v>
      </c>
      <c r="B132" s="595" t="str">
        <f>'INVONTERY FEB'!B132</f>
        <v>CLEANING ITEMS</v>
      </c>
      <c r="C132" s="554" t="str">
        <f>'INVONTERY FEB'!C133</f>
        <v>PCS</v>
      </c>
      <c r="D132" s="556" t="str">
        <f>'INVONTERY FEB'!D132</f>
        <v/>
      </c>
      <c r="E132" s="599"/>
      <c r="F132" s="566"/>
      <c r="G132" s="567"/>
      <c r="H132" s="567"/>
      <c r="I132" s="567"/>
      <c r="J132" s="567"/>
      <c r="K132" s="567"/>
      <c r="L132" s="568"/>
      <c r="M132" s="560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9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0"/>
      <c r="AK132" s="600"/>
      <c r="AL132" s="563">
        <f t="shared" si="2"/>
        <v>0</v>
      </c>
      <c r="AM132" s="105">
        <f t="shared" si="3"/>
        <v>0</v>
      </c>
      <c r="AO132" s="564"/>
    </row>
    <row r="133" ht="15.75" customHeight="1">
      <c r="A133" s="554">
        <f>'INVONTERY FEB'!A133</f>
        <v>127</v>
      </c>
      <c r="B133" s="554" t="str">
        <f>'INVONTERY FEB'!B133</f>
        <v>DUST BIN LARGE</v>
      </c>
      <c r="C133" s="554" t="str">
        <f>'INVONTERY FEB'!C134</f>
        <v>PCS</v>
      </c>
      <c r="D133" s="556">
        <f>'INVONTERY FEB'!D133</f>
        <v>1120</v>
      </c>
      <c r="E133" s="599"/>
      <c r="F133" s="566"/>
      <c r="G133" s="567"/>
      <c r="H133" s="567"/>
      <c r="I133" s="567"/>
      <c r="J133" s="567"/>
      <c r="K133" s="567"/>
      <c r="L133" s="568"/>
      <c r="M133" s="560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9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0"/>
      <c r="AK133" s="600"/>
      <c r="AL133" s="563">
        <f t="shared" si="2"/>
        <v>0</v>
      </c>
      <c r="AM133" s="105">
        <f t="shared" si="3"/>
        <v>0</v>
      </c>
      <c r="AO133" s="564"/>
    </row>
    <row r="134" ht="15.75" customHeight="1">
      <c r="A134" s="554">
        <f>'INVONTERY FEB'!A134</f>
        <v>128</v>
      </c>
      <c r="B134" s="554" t="str">
        <f>'INVONTERY FEB'!B134</f>
        <v>OVEN GLOVES</v>
      </c>
      <c r="C134" s="554" t="str">
        <f>'INVONTERY FEB'!C135</f>
        <v>PCS</v>
      </c>
      <c r="D134" s="556">
        <f>'INVONTERY FEB'!D134</f>
        <v>2070</v>
      </c>
      <c r="E134" s="599"/>
      <c r="F134" s="566"/>
      <c r="G134" s="567"/>
      <c r="H134" s="567"/>
      <c r="I134" s="567"/>
      <c r="J134" s="567"/>
      <c r="K134" s="567"/>
      <c r="L134" s="568"/>
      <c r="M134" s="560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9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0"/>
      <c r="AK134" s="600"/>
      <c r="AL134" s="563">
        <f t="shared" si="2"/>
        <v>0</v>
      </c>
      <c r="AM134" s="105">
        <f t="shared" si="3"/>
        <v>0</v>
      </c>
      <c r="AO134" s="564"/>
    </row>
    <row r="135" ht="15.75" customHeight="1">
      <c r="A135" s="554">
        <f>'INVONTERY FEB'!A135</f>
        <v>129</v>
      </c>
      <c r="B135" s="554" t="str">
        <f>'INVONTERY FEB'!B135</f>
        <v>IN WARD BOOK</v>
      </c>
      <c r="C135" s="554" t="str">
        <f>'INVONTERY FEB'!C136</f>
        <v>PCS</v>
      </c>
      <c r="D135" s="556">
        <f>'INVONTERY FEB'!D135</f>
        <v>340</v>
      </c>
      <c r="E135" s="599"/>
      <c r="F135" s="566"/>
      <c r="G135" s="567"/>
      <c r="H135" s="567"/>
      <c r="I135" s="567"/>
      <c r="J135" s="567"/>
      <c r="K135" s="567"/>
      <c r="L135" s="568"/>
      <c r="M135" s="560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9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0"/>
      <c r="AK135" s="600"/>
      <c r="AL135" s="563">
        <f t="shared" si="2"/>
        <v>0</v>
      </c>
      <c r="AM135" s="105">
        <f t="shared" si="3"/>
        <v>0</v>
      </c>
      <c r="AO135" s="564"/>
    </row>
    <row r="136" ht="15.75" customHeight="1">
      <c r="A136" s="554">
        <f>'INVONTERY FEB'!A136</f>
        <v>130</v>
      </c>
      <c r="B136" s="554" t="str">
        <f>'INVONTERY FEB'!B136</f>
        <v>OUT WARD BOOK</v>
      </c>
      <c r="C136" s="554" t="str">
        <f>'INVONTERY FEB'!C137</f>
        <v>PCS</v>
      </c>
      <c r="D136" s="556">
        <f>'INVONTERY FEB'!D136</f>
        <v>340</v>
      </c>
      <c r="E136" s="599"/>
      <c r="F136" s="566"/>
      <c r="G136" s="567"/>
      <c r="H136" s="567"/>
      <c r="I136" s="567"/>
      <c r="J136" s="567"/>
      <c r="K136" s="567"/>
      <c r="L136" s="568"/>
      <c r="M136" s="560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9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0"/>
      <c r="AK136" s="600"/>
      <c r="AL136" s="563">
        <f t="shared" si="2"/>
        <v>0</v>
      </c>
      <c r="AM136" s="105">
        <f t="shared" si="3"/>
        <v>0</v>
      </c>
      <c r="AO136" s="564"/>
    </row>
    <row r="137" ht="15.75" customHeight="1">
      <c r="A137" s="554">
        <f>'INVONTERY FEB'!A137</f>
        <v>131</v>
      </c>
      <c r="B137" s="554" t="str">
        <f>'INVONTERY FEB'!B137</f>
        <v>SENDING BRANCH BOOK</v>
      </c>
      <c r="C137" s="554" t="str">
        <f>'INVONTERY FEB'!C138</f>
        <v>PCS</v>
      </c>
      <c r="D137" s="556">
        <f>'INVONTERY FEB'!D137</f>
        <v>250</v>
      </c>
      <c r="E137" s="599"/>
      <c r="F137" s="566"/>
      <c r="G137" s="567"/>
      <c r="H137" s="567"/>
      <c r="I137" s="567"/>
      <c r="J137" s="567"/>
      <c r="K137" s="567"/>
      <c r="L137" s="568"/>
      <c r="M137" s="560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9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0"/>
      <c r="AK137" s="600"/>
      <c r="AL137" s="563">
        <f t="shared" si="2"/>
        <v>0</v>
      </c>
      <c r="AM137" s="105">
        <f t="shared" si="3"/>
        <v>0</v>
      </c>
      <c r="AO137" s="564"/>
    </row>
    <row r="138" ht="15.75" customHeight="1">
      <c r="A138" s="554">
        <f>'INVONTERY FEB'!A138</f>
        <v>132</v>
      </c>
      <c r="B138" s="554" t="str">
        <f>'INVONTERY FEB'!B138</f>
        <v>DEMAND BOOK</v>
      </c>
      <c r="C138" s="554" t="str">
        <f>'INVONTERY FEB'!C139</f>
        <v>PKT</v>
      </c>
      <c r="D138" s="556">
        <f>'INVONTERY FEB'!D138</f>
        <v>170</v>
      </c>
      <c r="E138" s="599"/>
      <c r="F138" s="566"/>
      <c r="G138" s="567"/>
      <c r="H138" s="567"/>
      <c r="I138" s="567"/>
      <c r="J138" s="567"/>
      <c r="K138" s="567"/>
      <c r="L138" s="568"/>
      <c r="M138" s="560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9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0"/>
      <c r="AK138" s="600"/>
      <c r="AL138" s="563">
        <f t="shared" si="2"/>
        <v>0</v>
      </c>
      <c r="AM138" s="105">
        <f t="shared" si="3"/>
        <v>0</v>
      </c>
      <c r="AO138" s="564"/>
    </row>
    <row r="139" ht="15.75" customHeight="1">
      <c r="A139" s="554">
        <f>'INVONTERY FEB'!A139</f>
        <v>133</v>
      </c>
      <c r="B139" s="554" t="str">
        <f>'INVONTERY FEB'!B139</f>
        <v>VISORS</v>
      </c>
      <c r="C139" s="554" t="str">
        <f>'INVONTERY FEB'!C140</f>
        <v>PCS</v>
      </c>
      <c r="D139" s="556">
        <f>'INVONTERY FEB'!D139</f>
        <v>170</v>
      </c>
      <c r="E139" s="599"/>
      <c r="F139" s="566"/>
      <c r="G139" s="567"/>
      <c r="H139" s="567"/>
      <c r="I139" s="567"/>
      <c r="J139" s="567"/>
      <c r="K139" s="567"/>
      <c r="L139" s="568"/>
      <c r="M139" s="560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9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0"/>
      <c r="AK139" s="600"/>
      <c r="AL139" s="563">
        <f t="shared" si="2"/>
        <v>0</v>
      </c>
      <c r="AM139" s="105">
        <f t="shared" si="3"/>
        <v>0</v>
      </c>
      <c r="AO139" s="564"/>
    </row>
    <row r="140" ht="15.75" customHeight="1">
      <c r="A140" s="554">
        <f>'INVONTERY FEB'!A140</f>
        <v>134</v>
      </c>
      <c r="B140" s="554" t="str">
        <f>'INVONTERY FEB'!B140</f>
        <v>MOB REFILL</v>
      </c>
      <c r="C140" s="554" t="str">
        <f>'INVONTERY FEB'!C141</f>
        <v>PCS</v>
      </c>
      <c r="D140" s="556">
        <f>'INVONTERY FEB'!D140</f>
        <v>45</v>
      </c>
      <c r="E140" s="599"/>
      <c r="F140" s="566"/>
      <c r="G140" s="567"/>
      <c r="H140" s="567"/>
      <c r="I140" s="567"/>
      <c r="J140" s="567"/>
      <c r="K140" s="567"/>
      <c r="L140" s="568"/>
      <c r="M140" s="560"/>
      <c r="N140" s="577"/>
      <c r="O140" s="567"/>
      <c r="P140" s="567"/>
      <c r="Q140" s="567"/>
      <c r="R140" s="577"/>
      <c r="S140" s="567"/>
      <c r="T140" s="567"/>
      <c r="U140" s="567"/>
      <c r="V140" s="577"/>
      <c r="W140" s="581"/>
      <c r="X140" s="567"/>
      <c r="Y140" s="581"/>
      <c r="Z140" s="575"/>
      <c r="AA140" s="567"/>
      <c r="AB140" s="567"/>
      <c r="AC140" s="567"/>
      <c r="AD140" s="567"/>
      <c r="AE140" s="577"/>
      <c r="AF140" s="567"/>
      <c r="AG140" s="567"/>
      <c r="AH140" s="575"/>
      <c r="AI140" s="567"/>
      <c r="AJ140" s="560"/>
      <c r="AK140" s="600"/>
      <c r="AL140" s="563">
        <f t="shared" si="2"/>
        <v>0</v>
      </c>
      <c r="AM140" s="105">
        <f t="shared" si="3"/>
        <v>0</v>
      </c>
      <c r="AO140" s="564"/>
    </row>
    <row r="141" ht="15.75" customHeight="1">
      <c r="A141" s="554">
        <f>'INVONTERY FEB'!A141</f>
        <v>135</v>
      </c>
      <c r="B141" s="554" t="str">
        <f>'INVONTERY FEB'!B141</f>
        <v>CLEANING BURUSH</v>
      </c>
      <c r="C141" s="554" t="str">
        <f>'INVONTERY FEB'!C142</f>
        <v>PCS</v>
      </c>
      <c r="D141" s="556">
        <f>'INVONTERY FEB'!D141</f>
        <v>150</v>
      </c>
      <c r="E141" s="599"/>
      <c r="F141" s="566"/>
      <c r="G141" s="567"/>
      <c r="H141" s="567"/>
      <c r="I141" s="567"/>
      <c r="J141" s="567"/>
      <c r="K141" s="567"/>
      <c r="L141" s="568"/>
      <c r="M141" s="560"/>
      <c r="N141" s="57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9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0"/>
      <c r="AK141" s="600"/>
      <c r="AL141" s="563">
        <f t="shared" si="2"/>
        <v>0</v>
      </c>
      <c r="AM141" s="105">
        <f t="shared" si="3"/>
        <v>0</v>
      </c>
      <c r="AO141" s="564"/>
    </row>
    <row r="142" ht="15.75" customHeight="1">
      <c r="A142" s="554">
        <f>'INVONTERY FEB'!A142</f>
        <v>136</v>
      </c>
      <c r="B142" s="554" t="str">
        <f>'INVONTERY FEB'!B142</f>
        <v>PACKING TAPE</v>
      </c>
      <c r="C142" s="554" t="str">
        <f>'INVONTERY FEB'!C143</f>
        <v>PKT</v>
      </c>
      <c r="D142" s="556">
        <f>'INVONTERY FEB'!D142</f>
        <v>350</v>
      </c>
      <c r="E142" s="599"/>
      <c r="F142" s="566"/>
      <c r="G142" s="567"/>
      <c r="H142" s="567"/>
      <c r="I142" s="567"/>
      <c r="J142" s="567"/>
      <c r="K142" s="567"/>
      <c r="L142" s="568"/>
      <c r="M142" s="560"/>
      <c r="N142" s="567"/>
      <c r="O142" s="567"/>
      <c r="P142" s="577"/>
      <c r="Q142" s="567"/>
      <c r="R142" s="567"/>
      <c r="S142" s="577"/>
      <c r="T142" s="567"/>
      <c r="U142" s="567"/>
      <c r="V142" s="567"/>
      <c r="W142" s="567"/>
      <c r="X142" s="567"/>
      <c r="Y142" s="577"/>
      <c r="Z142" s="567"/>
      <c r="AA142" s="567"/>
      <c r="AB142" s="567"/>
      <c r="AC142" s="567"/>
      <c r="AD142" s="567"/>
      <c r="AE142" s="567"/>
      <c r="AF142" s="567"/>
      <c r="AG142" s="567"/>
      <c r="AH142" s="575"/>
      <c r="AI142" s="567"/>
      <c r="AJ142" s="560"/>
      <c r="AK142" s="600"/>
      <c r="AL142" s="563">
        <f t="shared" si="2"/>
        <v>0</v>
      </c>
      <c r="AM142" s="105">
        <f t="shared" si="3"/>
        <v>0</v>
      </c>
      <c r="AO142" s="564"/>
    </row>
    <row r="143" ht="15.75" customHeight="1">
      <c r="A143" s="554">
        <f>'INVONTERY FEB'!A143</f>
        <v>137</v>
      </c>
      <c r="B143" s="554" t="str">
        <f>'INVONTERY FEB'!B143</f>
        <v>DISPOSIBLE GLOVES</v>
      </c>
      <c r="C143" s="554" t="str">
        <f>'INVONTERY FEB'!C144</f>
        <v>KG</v>
      </c>
      <c r="D143" s="556">
        <f>'INVONTERY FEB'!D143</f>
        <v>70</v>
      </c>
      <c r="E143" s="599"/>
      <c r="F143" s="590"/>
      <c r="G143" s="567"/>
      <c r="H143" s="567"/>
      <c r="I143" s="567"/>
      <c r="J143" s="567"/>
      <c r="K143" s="575"/>
      <c r="L143" s="568"/>
      <c r="M143" s="560"/>
      <c r="N143" s="567"/>
      <c r="O143" s="567"/>
      <c r="P143" s="577"/>
      <c r="Q143" s="567"/>
      <c r="R143" s="567"/>
      <c r="S143" s="577"/>
      <c r="T143" s="567"/>
      <c r="U143" s="567"/>
      <c r="V143" s="567"/>
      <c r="W143" s="567"/>
      <c r="X143" s="581"/>
      <c r="Y143" s="581"/>
      <c r="Z143" s="567"/>
      <c r="AA143" s="567"/>
      <c r="AB143" s="567"/>
      <c r="AC143" s="567"/>
      <c r="AD143" s="567"/>
      <c r="AE143" s="567"/>
      <c r="AF143" s="567"/>
      <c r="AG143" s="567"/>
      <c r="AH143" s="575"/>
      <c r="AI143" s="567"/>
      <c r="AJ143" s="560"/>
      <c r="AK143" s="600"/>
      <c r="AL143" s="563">
        <f t="shared" si="2"/>
        <v>0</v>
      </c>
      <c r="AM143" s="105">
        <f t="shared" si="3"/>
        <v>0</v>
      </c>
      <c r="AO143" s="564"/>
    </row>
    <row r="144" ht="15.75" customHeight="1">
      <c r="A144" s="554">
        <f>'INVONTERY FEB'!A144</f>
        <v>138</v>
      </c>
      <c r="B144" s="554" t="str">
        <f>'INVONTERY FEB'!B144</f>
        <v>DUSTER</v>
      </c>
      <c r="C144" s="554" t="str">
        <f>'INVONTERY FEB'!C145</f>
        <v>LTR</v>
      </c>
      <c r="D144" s="556">
        <f>'INVONTERY FEB'!D144</f>
        <v>400</v>
      </c>
      <c r="E144" s="599"/>
      <c r="F144" s="566"/>
      <c r="G144" s="567"/>
      <c r="H144" s="567"/>
      <c r="I144" s="567"/>
      <c r="J144" s="567"/>
      <c r="K144" s="567"/>
      <c r="L144" s="568"/>
      <c r="M144" s="560"/>
      <c r="N144" s="588"/>
      <c r="O144" s="567"/>
      <c r="P144" s="567"/>
      <c r="Q144" s="588"/>
      <c r="R144" s="567"/>
      <c r="S144" s="567"/>
      <c r="T144" s="588"/>
      <c r="U144" s="567"/>
      <c r="V144" s="588"/>
      <c r="W144" s="567"/>
      <c r="X144" s="567"/>
      <c r="Y144" s="569"/>
      <c r="Z144" s="588"/>
      <c r="AA144" s="567"/>
      <c r="AB144" s="567"/>
      <c r="AC144" s="588"/>
      <c r="AD144" s="567"/>
      <c r="AE144" s="588"/>
      <c r="AF144" s="567"/>
      <c r="AG144" s="567"/>
      <c r="AH144" s="567"/>
      <c r="AI144" s="567"/>
      <c r="AJ144" s="560"/>
      <c r="AK144" s="600"/>
      <c r="AL144" s="563">
        <f t="shared" si="2"/>
        <v>0</v>
      </c>
      <c r="AM144" s="105">
        <f t="shared" si="3"/>
        <v>0</v>
      </c>
      <c r="AO144" s="564"/>
    </row>
    <row r="145" ht="15.75" customHeight="1">
      <c r="A145" s="554">
        <f>'INVONTERY FEB'!A145</f>
        <v>139</v>
      </c>
      <c r="B145" s="554" t="str">
        <f>'INVONTERY FEB'!B145</f>
        <v>PHYNYL</v>
      </c>
      <c r="C145" s="554" t="str">
        <f>'INVONTERY FEB'!C146</f>
        <v>LTR</v>
      </c>
      <c r="D145" s="556">
        <f>'INVONTERY FEB'!D145</f>
        <v>170</v>
      </c>
      <c r="E145" s="599"/>
      <c r="F145" s="566"/>
      <c r="G145" s="567"/>
      <c r="H145" s="567"/>
      <c r="I145" s="567"/>
      <c r="J145" s="567"/>
      <c r="K145" s="567"/>
      <c r="L145" s="568"/>
      <c r="M145" s="560"/>
      <c r="N145" s="567"/>
      <c r="O145" s="567"/>
      <c r="P145" s="567"/>
      <c r="Q145" s="567"/>
      <c r="R145" s="567"/>
      <c r="S145" s="567"/>
      <c r="T145" s="567"/>
      <c r="U145" s="567"/>
      <c r="V145" s="567"/>
      <c r="W145" s="581"/>
      <c r="X145" s="567"/>
      <c r="Y145" s="581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0"/>
      <c r="AK145" s="600"/>
      <c r="AL145" s="563">
        <f t="shared" si="2"/>
        <v>0</v>
      </c>
      <c r="AM145" s="105">
        <f t="shared" si="3"/>
        <v>0</v>
      </c>
      <c r="AO145" s="564"/>
    </row>
    <row r="146" ht="15.75" customHeight="1">
      <c r="A146" s="554">
        <f>'INVONTERY FEB'!A146</f>
        <v>140</v>
      </c>
      <c r="B146" s="554" t="str">
        <f>'INVONTERY FEB'!B146</f>
        <v>DISH WASH</v>
      </c>
      <c r="C146" s="554" t="str">
        <f>'INVONTERY FEB'!C147</f>
        <v/>
      </c>
      <c r="D146" s="556">
        <f>'INVONTERY FEB'!D146</f>
        <v>80</v>
      </c>
      <c r="E146" s="599"/>
      <c r="F146" s="590"/>
      <c r="G146" s="575"/>
      <c r="H146" s="575"/>
      <c r="I146" s="567"/>
      <c r="J146" s="575"/>
      <c r="K146" s="567"/>
      <c r="L146" s="591"/>
      <c r="M146" s="560"/>
      <c r="N146" s="567"/>
      <c r="O146" s="567"/>
      <c r="P146" s="567"/>
      <c r="Q146" s="567"/>
      <c r="R146" s="567"/>
      <c r="S146" s="577"/>
      <c r="T146" s="567"/>
      <c r="U146" s="567"/>
      <c r="V146" s="567"/>
      <c r="W146" s="577"/>
      <c r="X146" s="567"/>
      <c r="Y146" s="581"/>
      <c r="Z146" s="567"/>
      <c r="AA146" s="575"/>
      <c r="AB146" s="567"/>
      <c r="AC146" s="567"/>
      <c r="AD146" s="567"/>
      <c r="AE146" s="567"/>
      <c r="AF146" s="567"/>
      <c r="AG146" s="567"/>
      <c r="AH146" s="575"/>
      <c r="AI146" s="567"/>
      <c r="AJ146" s="560"/>
      <c r="AK146" s="600"/>
      <c r="AL146" s="563">
        <f t="shared" si="2"/>
        <v>0</v>
      </c>
      <c r="AM146" s="105">
        <f t="shared" si="3"/>
        <v>0</v>
      </c>
      <c r="AO146" s="564"/>
    </row>
    <row r="147" ht="15.75" customHeight="1">
      <c r="A147" s="554">
        <f>'INVONTERY FEB'!A147</f>
        <v>141</v>
      </c>
      <c r="B147" s="554" t="str">
        <f>'INVONTERY FEB'!B147</f>
        <v>TOTAL CLEANING AMOUNT</v>
      </c>
      <c r="C147" s="554" t="str">
        <f>'INVONTERY FEB'!C148</f>
        <v/>
      </c>
      <c r="D147" s="556">
        <f>'INVONTERY FEB'!D147</f>
        <v>5725</v>
      </c>
      <c r="E147" s="599"/>
      <c r="F147" s="566"/>
      <c r="G147" s="567"/>
      <c r="H147" s="567"/>
      <c r="I147" s="567"/>
      <c r="J147" s="567"/>
      <c r="K147" s="567"/>
      <c r="L147" s="568"/>
      <c r="M147" s="560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9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0"/>
      <c r="AK147" s="600"/>
      <c r="AL147" s="563">
        <f t="shared" si="2"/>
        <v>0</v>
      </c>
      <c r="AM147" s="105">
        <f t="shared" si="3"/>
        <v>0</v>
      </c>
      <c r="AO147" s="564"/>
    </row>
    <row r="148" ht="15.75" hidden="1" customHeight="1">
      <c r="A148" s="554">
        <f>'INVONTERY FEB'!A148</f>
        <v>142</v>
      </c>
      <c r="B148" s="554" t="str">
        <f>'INVONTERY FEB'!B148</f>
        <v>CROCKERY ITEMS</v>
      </c>
      <c r="C148" s="554" t="str">
        <f>'INVONTERY FEB'!C149</f>
        <v>PCS</v>
      </c>
      <c r="D148" s="556">
        <f>'INVONTERY FEB'!D148</f>
        <v>0</v>
      </c>
      <c r="E148" s="599"/>
      <c r="F148" s="566"/>
      <c r="G148" s="567"/>
      <c r="H148" s="567"/>
      <c r="I148" s="567"/>
      <c r="J148" s="567"/>
      <c r="K148" s="567"/>
      <c r="L148" s="568"/>
      <c r="M148" s="560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9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0"/>
      <c r="AK148" s="600"/>
      <c r="AL148" s="563">
        <f t="shared" si="2"/>
        <v>0</v>
      </c>
      <c r="AM148" s="105">
        <f t="shared" si="3"/>
        <v>0</v>
      </c>
      <c r="AO148" s="564"/>
    </row>
    <row r="149" ht="15.75" hidden="1" customHeight="1">
      <c r="A149" s="554">
        <f>'INVONTERY FEB'!A149</f>
        <v>143</v>
      </c>
      <c r="B149" s="554" t="str">
        <f>'INVONTERY FEB'!B149</f>
        <v>SCISSOR</v>
      </c>
      <c r="C149" s="554" t="str">
        <f>'INVONTERY FEB'!C150</f>
        <v>PCS</v>
      </c>
      <c r="D149" s="556">
        <f>'INVONTERY FEB'!D149</f>
        <v>110</v>
      </c>
      <c r="E149" s="599"/>
      <c r="F149" s="566"/>
      <c r="G149" s="567"/>
      <c r="H149" s="567"/>
      <c r="I149" s="567"/>
      <c r="J149" s="567"/>
      <c r="K149" s="567"/>
      <c r="L149" s="568"/>
      <c r="M149" s="560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9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0"/>
      <c r="AK149" s="600"/>
      <c r="AL149" s="563">
        <f t="shared" si="2"/>
        <v>0</v>
      </c>
      <c r="AM149" s="105">
        <f t="shared" si="3"/>
        <v>0</v>
      </c>
      <c r="AO149" s="564"/>
    </row>
    <row r="150" ht="15.75" hidden="1" customHeight="1">
      <c r="A150" s="554">
        <f>'INVONTERY FEB'!A150</f>
        <v>144</v>
      </c>
      <c r="B150" s="554" t="str">
        <f>'INVONTERY FEB'!B150</f>
        <v>CRK BOWL XL</v>
      </c>
      <c r="C150" s="554" t="str">
        <f>'INVONTERY FEB'!C151</f>
        <v>PCS</v>
      </c>
      <c r="D150" s="556">
        <f>'INVONTERY FEB'!D150</f>
        <v>1050</v>
      </c>
      <c r="E150" s="599"/>
      <c r="F150" s="566"/>
      <c r="G150" s="567"/>
      <c r="H150" s="567"/>
      <c r="I150" s="567"/>
      <c r="J150" s="567"/>
      <c r="K150" s="567"/>
      <c r="L150" s="568"/>
      <c r="M150" s="560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9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0"/>
      <c r="AK150" s="600"/>
      <c r="AL150" s="563">
        <f t="shared" si="2"/>
        <v>0</v>
      </c>
      <c r="AM150" s="105">
        <f t="shared" si="3"/>
        <v>0</v>
      </c>
      <c r="AO150" s="564"/>
    </row>
    <row r="151" ht="15.75" hidden="1" customHeight="1">
      <c r="A151" s="554">
        <f>'INVONTERY FEB'!A151</f>
        <v>145</v>
      </c>
      <c r="B151" s="554" t="str">
        <f>'INVONTERY FEB'!B151</f>
        <v>CRK BOWL SMALL</v>
      </c>
      <c r="C151" s="554" t="str">
        <f>'INVONTERY FEB'!C152</f>
        <v>PCS</v>
      </c>
      <c r="D151" s="556">
        <f>'INVONTERY FEB'!D151</f>
        <v>400</v>
      </c>
      <c r="E151" s="599"/>
      <c r="F151" s="566"/>
      <c r="G151" s="567"/>
      <c r="H151" s="567"/>
      <c r="I151" s="567"/>
      <c r="J151" s="567"/>
      <c r="K151" s="567"/>
      <c r="L151" s="568"/>
      <c r="M151" s="560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9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0"/>
      <c r="AK151" s="600"/>
      <c r="AL151" s="563">
        <f t="shared" si="2"/>
        <v>0</v>
      </c>
      <c r="AM151" s="105">
        <f t="shared" si="3"/>
        <v>0</v>
      </c>
      <c r="AN151" s="601"/>
      <c r="AO151" s="564"/>
    </row>
    <row r="152" ht="15.75" hidden="1" customHeight="1">
      <c r="A152" s="554">
        <f>'INVONTERY FEB'!A152</f>
        <v>146</v>
      </c>
      <c r="B152" s="554" t="str">
        <f>'INVONTERY FEB'!B152</f>
        <v>CRK BOWL MEDIUM</v>
      </c>
      <c r="C152" s="554" t="str">
        <f>'INVONTERY FEB'!C153</f>
        <v>PCS</v>
      </c>
      <c r="D152" s="556">
        <f>'INVONTERY FEB'!D152</f>
        <v>600</v>
      </c>
      <c r="E152" s="599"/>
      <c r="F152" s="566"/>
      <c r="G152" s="567"/>
      <c r="H152" s="567"/>
      <c r="I152" s="567"/>
      <c r="J152" s="567"/>
      <c r="K152" s="567"/>
      <c r="L152" s="568"/>
      <c r="M152" s="560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9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0"/>
      <c r="AK152" s="600"/>
      <c r="AL152" s="563">
        <f t="shared" si="2"/>
        <v>0</v>
      </c>
      <c r="AM152" s="105">
        <f t="shared" si="3"/>
        <v>0</v>
      </c>
      <c r="AO152" s="564"/>
    </row>
    <row r="153" ht="15.75" hidden="1" customHeight="1">
      <c r="A153" s="554">
        <f>'INVONTERY FEB'!A153</f>
        <v>147</v>
      </c>
      <c r="B153" s="554" t="str">
        <f>'INVONTERY FEB'!B153</f>
        <v>CRK SPACTULA</v>
      </c>
      <c r="C153" s="554" t="str">
        <f>'INVONTERY FEB'!C154</f>
        <v>PCS</v>
      </c>
      <c r="D153" s="556">
        <f>'INVONTERY FEB'!D153</f>
        <v>200</v>
      </c>
      <c r="E153" s="599"/>
      <c r="F153" s="566"/>
      <c r="G153" s="567"/>
      <c r="H153" s="567"/>
      <c r="I153" s="567"/>
      <c r="J153" s="567"/>
      <c r="K153" s="567"/>
      <c r="L153" s="568"/>
      <c r="M153" s="560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9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0"/>
      <c r="AK153" s="600"/>
      <c r="AL153" s="563">
        <f t="shared" si="2"/>
        <v>0</v>
      </c>
      <c r="AM153" s="105">
        <f t="shared" si="3"/>
        <v>0</v>
      </c>
      <c r="AO153" s="564"/>
    </row>
    <row r="154" ht="15.75" hidden="1" customHeight="1">
      <c r="A154" s="554">
        <f>'INVONTERY FEB'!A154</f>
        <v>148</v>
      </c>
      <c r="B154" s="554" t="str">
        <f>'INVONTERY FEB'!B154</f>
        <v>FLOUR ROLLER</v>
      </c>
      <c r="C154" s="554" t="str">
        <f>'INVONTERY FEB'!C155</f>
        <v>PCS</v>
      </c>
      <c r="D154" s="556">
        <f>'INVONTERY FEB'!D154</f>
        <v>650</v>
      </c>
      <c r="E154" s="599"/>
      <c r="F154" s="566"/>
      <c r="G154" s="567"/>
      <c r="H154" s="567"/>
      <c r="I154" s="567"/>
      <c r="J154" s="567"/>
      <c r="K154" s="567"/>
      <c r="L154" s="568"/>
      <c r="M154" s="560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9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0"/>
      <c r="AK154" s="600"/>
      <c r="AL154" s="563">
        <f t="shared" si="2"/>
        <v>0</v>
      </c>
      <c r="AM154" s="105">
        <f t="shared" si="3"/>
        <v>0</v>
      </c>
      <c r="AO154" s="564"/>
    </row>
    <row r="155" ht="15.75" hidden="1" customHeight="1">
      <c r="A155" s="554">
        <f>'INVONTERY FEB'!A155</f>
        <v>149</v>
      </c>
      <c r="B155" s="554" t="str">
        <f>'INVONTERY FEB'!B155</f>
        <v>CAKE LRG PAN</v>
      </c>
      <c r="C155" s="554" t="str">
        <f>'INVONTERY FEB'!C156</f>
        <v>PCS</v>
      </c>
      <c r="D155" s="556">
        <f>'INVONTERY FEB'!D155</f>
        <v>580</v>
      </c>
      <c r="E155" s="599"/>
      <c r="F155" s="566"/>
      <c r="G155" s="567"/>
      <c r="H155" s="567"/>
      <c r="I155" s="567"/>
      <c r="J155" s="567"/>
      <c r="K155" s="567"/>
      <c r="L155" s="568"/>
      <c r="M155" s="560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9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0"/>
      <c r="AK155" s="600"/>
      <c r="AL155" s="563">
        <f t="shared" si="2"/>
        <v>0</v>
      </c>
      <c r="AM155" s="105">
        <f t="shared" si="3"/>
        <v>0</v>
      </c>
      <c r="AO155" s="564"/>
    </row>
    <row r="156" ht="15.75" hidden="1" customHeight="1">
      <c r="A156" s="554">
        <f>'INVONTERY FEB'!A156</f>
        <v>150</v>
      </c>
      <c r="B156" s="554" t="str">
        <f>'INVONTERY FEB'!B156</f>
        <v>MUFFIN CUP SMALL</v>
      </c>
      <c r="C156" s="554" t="str">
        <f>'INVONTERY FEB'!C157</f>
        <v>PCS</v>
      </c>
      <c r="D156" s="556">
        <f>'INVONTERY FEB'!D156</f>
        <v>200</v>
      </c>
      <c r="E156" s="599"/>
      <c r="F156" s="566"/>
      <c r="G156" s="567"/>
      <c r="H156" s="567"/>
      <c r="I156" s="567"/>
      <c r="J156" s="567"/>
      <c r="K156" s="567"/>
      <c r="L156" s="568"/>
      <c r="M156" s="560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9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0"/>
      <c r="AK156" s="600"/>
      <c r="AL156" s="563">
        <f t="shared" si="2"/>
        <v>0</v>
      </c>
      <c r="AM156" s="105">
        <f t="shared" si="3"/>
        <v>0</v>
      </c>
      <c r="AO156" s="564"/>
    </row>
    <row r="157" ht="15.75" hidden="1" customHeight="1">
      <c r="A157" s="554">
        <f>'INVONTERY FEB'!A157</f>
        <v>151</v>
      </c>
      <c r="B157" s="554" t="str">
        <f>'INVONTERY FEB'!B157</f>
        <v>MUFFIN CUP LRG</v>
      </c>
      <c r="C157" s="554" t="str">
        <f>'INVONTERY FEB'!C158</f>
        <v>PCS</v>
      </c>
      <c r="D157" s="556">
        <f>'INVONTERY FEB'!D157</f>
        <v>250</v>
      </c>
      <c r="E157" s="599"/>
      <c r="F157" s="566"/>
      <c r="G157" s="567"/>
      <c r="H157" s="567"/>
      <c r="I157" s="567"/>
      <c r="J157" s="567"/>
      <c r="K157" s="567"/>
      <c r="L157" s="568"/>
      <c r="M157" s="560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9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0"/>
      <c r="AK157" s="600"/>
      <c r="AL157" s="563">
        <f t="shared" si="2"/>
        <v>0</v>
      </c>
      <c r="AM157" s="105">
        <f t="shared" si="3"/>
        <v>0</v>
      </c>
      <c r="AO157" s="564"/>
    </row>
    <row r="158" ht="15.75" hidden="1" customHeight="1">
      <c r="A158" s="554">
        <f>'INVONTERY FEB'!A158</f>
        <v>152</v>
      </c>
      <c r="B158" s="554" t="str">
        <f>'INVONTERY FEB'!B158</f>
        <v>LAVA CUP LRG</v>
      </c>
      <c r="C158" s="554" t="str">
        <f>'INVONTERY FEB'!C159</f>
        <v>PCS</v>
      </c>
      <c r="D158" s="556">
        <f>'INVONTERY FEB'!D158</f>
        <v>250</v>
      </c>
      <c r="E158" s="599"/>
      <c r="F158" s="566"/>
      <c r="G158" s="567"/>
      <c r="H158" s="567"/>
      <c r="I158" s="567"/>
      <c r="J158" s="567"/>
      <c r="K158" s="567"/>
      <c r="L158" s="568"/>
      <c r="M158" s="560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9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0"/>
      <c r="AK158" s="600"/>
      <c r="AL158" s="563">
        <f t="shared" si="2"/>
        <v>0</v>
      </c>
      <c r="AM158" s="105">
        <f t="shared" si="3"/>
        <v>0</v>
      </c>
      <c r="AO158" s="564"/>
    </row>
    <row r="159" ht="15.75" hidden="1" customHeight="1">
      <c r="A159" s="554">
        <f>'INVONTERY FEB'!A159</f>
        <v>153</v>
      </c>
      <c r="B159" s="554" t="str">
        <f>'INVONTERY FEB'!B159</f>
        <v>BROWNIE TRAY</v>
      </c>
      <c r="C159" s="554" t="str">
        <f>'INVONTERY FEB'!C160</f>
        <v>PCS</v>
      </c>
      <c r="D159" s="556">
        <f>'INVONTERY FEB'!D159</f>
        <v>500</v>
      </c>
      <c r="E159" s="599"/>
      <c r="F159" s="566"/>
      <c r="G159" s="567"/>
      <c r="H159" s="567"/>
      <c r="I159" s="567"/>
      <c r="J159" s="567"/>
      <c r="K159" s="567"/>
      <c r="L159" s="568"/>
      <c r="M159" s="560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9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0"/>
      <c r="AK159" s="600"/>
      <c r="AL159" s="563">
        <f t="shared" si="2"/>
        <v>0</v>
      </c>
      <c r="AM159" s="105">
        <f t="shared" si="3"/>
        <v>0</v>
      </c>
      <c r="AO159" s="564"/>
    </row>
    <row r="160" ht="15.75" hidden="1" customHeight="1">
      <c r="A160" s="554">
        <f>'INVONTERY FEB'!A160</f>
        <v>154</v>
      </c>
      <c r="B160" s="554" t="str">
        <f>'INVONTERY FEB'!B160</f>
        <v>CAKE SANCHA</v>
      </c>
      <c r="C160" s="554" t="str">
        <f>'INVONTERY FEB'!C161</f>
        <v>PCS</v>
      </c>
      <c r="D160" s="556">
        <f>'INVONTERY FEB'!D160</f>
        <v>1200</v>
      </c>
      <c r="E160" s="599"/>
      <c r="F160" s="566"/>
      <c r="G160" s="567"/>
      <c r="H160" s="567"/>
      <c r="I160" s="567"/>
      <c r="J160" s="567"/>
      <c r="K160" s="567"/>
      <c r="L160" s="568"/>
      <c r="M160" s="560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9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0"/>
      <c r="AK160" s="600"/>
      <c r="AL160" s="563">
        <f t="shared" si="2"/>
        <v>0</v>
      </c>
      <c r="AM160" s="105">
        <f t="shared" si="3"/>
        <v>0</v>
      </c>
      <c r="AO160" s="564"/>
    </row>
    <row r="161" ht="15.75" hidden="1" customHeight="1">
      <c r="A161" s="554">
        <f>'INVONTERY FEB'!A161</f>
        <v>155</v>
      </c>
      <c r="B161" s="554" t="str">
        <f>'INVONTERY FEB'!B161</f>
        <v>WEIGHT SCALE</v>
      </c>
      <c r="C161" s="554" t="str">
        <f>'INVONTERY FEB'!C162</f>
        <v>PCS</v>
      </c>
      <c r="D161" s="556">
        <f>'INVONTERY FEB'!D161</f>
        <v>3800</v>
      </c>
      <c r="E161" s="599"/>
      <c r="F161" s="566"/>
      <c r="G161" s="567"/>
      <c r="H161" s="567"/>
      <c r="I161" s="567"/>
      <c r="J161" s="567"/>
      <c r="K161" s="567"/>
      <c r="L161" s="568"/>
      <c r="M161" s="560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9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0"/>
      <c r="AK161" s="600"/>
      <c r="AL161" s="563">
        <f t="shared" si="2"/>
        <v>0</v>
      </c>
      <c r="AM161" s="105">
        <f t="shared" si="3"/>
        <v>0</v>
      </c>
      <c r="AO161" s="564"/>
    </row>
    <row r="162" ht="15.75" hidden="1" customHeight="1">
      <c r="A162" s="554">
        <f>'INVONTERY FEB'!A162</f>
        <v>156</v>
      </c>
      <c r="B162" s="554" t="str">
        <f>'INVONTERY FEB'!B162</f>
        <v>CRK BOWL LARGE</v>
      </c>
      <c r="C162" s="554" t="str">
        <f>'INVONTERY FEB'!C163</f>
        <v>PCS</v>
      </c>
      <c r="D162" s="556">
        <f>'INVONTERY FEB'!D162</f>
        <v>850</v>
      </c>
      <c r="E162" s="599"/>
      <c r="F162" s="566"/>
      <c r="G162" s="567"/>
      <c r="H162" s="567"/>
      <c r="I162" s="567"/>
      <c r="J162" s="567"/>
      <c r="K162" s="567"/>
      <c r="L162" s="568"/>
      <c r="M162" s="560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9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0"/>
      <c r="AK162" s="600"/>
      <c r="AL162" s="563">
        <f t="shared" si="2"/>
        <v>0</v>
      </c>
      <c r="AM162" s="105">
        <f t="shared" si="3"/>
        <v>0</v>
      </c>
      <c r="AO162" s="564"/>
    </row>
    <row r="163" ht="15.75" hidden="1" customHeight="1">
      <c r="A163" s="554">
        <f>'INVONTERY FEB'!A163</f>
        <v>157</v>
      </c>
      <c r="B163" s="554" t="str">
        <f>'INVONTERY FEB'!B163</f>
        <v>KNIF ARI</v>
      </c>
      <c r="C163" s="554" t="str">
        <f>'INVONTERY FEB'!C164</f>
        <v>PCS</v>
      </c>
      <c r="D163" s="556">
        <f>'INVONTERY FEB'!D163</f>
        <v>400</v>
      </c>
      <c r="E163" s="599"/>
      <c r="F163" s="566"/>
      <c r="G163" s="567"/>
      <c r="H163" s="567"/>
      <c r="I163" s="567"/>
      <c r="J163" s="567"/>
      <c r="K163" s="567"/>
      <c r="L163" s="568"/>
      <c r="M163" s="560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9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0"/>
      <c r="AK163" s="600"/>
      <c r="AL163" s="563">
        <f t="shared" si="2"/>
        <v>0</v>
      </c>
      <c r="AM163" s="105">
        <f t="shared" si="3"/>
        <v>0</v>
      </c>
      <c r="AO163" s="564"/>
    </row>
    <row r="164" ht="15.75" hidden="1" customHeight="1">
      <c r="A164" s="554">
        <f>'INVONTERY FEB'!A164</f>
        <v>158</v>
      </c>
      <c r="B164" s="554" t="str">
        <f>'INVONTERY FEB'!B164</f>
        <v>CUTTING BOARD</v>
      </c>
      <c r="C164" s="554" t="str">
        <f>'INVONTERY FEB'!C165</f>
        <v>PCS</v>
      </c>
      <c r="D164" s="556">
        <f>'INVONTERY FEB'!D164</f>
        <v>1100</v>
      </c>
      <c r="E164" s="599"/>
      <c r="F164" s="566"/>
      <c r="G164" s="567"/>
      <c r="H164" s="567"/>
      <c r="I164" s="567"/>
      <c r="J164" s="567"/>
      <c r="K164" s="567"/>
      <c r="L164" s="568"/>
      <c r="M164" s="560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9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0"/>
      <c r="AK164" s="600"/>
      <c r="AL164" s="563">
        <f t="shared" si="2"/>
        <v>0</v>
      </c>
      <c r="AM164" s="105">
        <f t="shared" si="3"/>
        <v>0</v>
      </c>
      <c r="AO164" s="564"/>
    </row>
    <row r="165" ht="15.75" hidden="1" customHeight="1">
      <c r="A165" s="554">
        <f>'INVONTERY FEB'!A165</f>
        <v>159</v>
      </c>
      <c r="B165" s="554" t="str">
        <f>'INVONTERY FEB'!B165</f>
        <v>STEEL KNIF</v>
      </c>
      <c r="C165" s="554" t="str">
        <f>'INVONTERY FEB'!C166</f>
        <v>PCS</v>
      </c>
      <c r="D165" s="556">
        <f>'INVONTERY FEB'!D165</f>
        <v>320</v>
      </c>
      <c r="E165" s="599"/>
      <c r="F165" s="566"/>
      <c r="G165" s="567"/>
      <c r="H165" s="567"/>
      <c r="I165" s="567"/>
      <c r="J165" s="567"/>
      <c r="K165" s="567"/>
      <c r="L165" s="568"/>
      <c r="M165" s="560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9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0"/>
      <c r="AK165" s="600"/>
      <c r="AL165" s="563">
        <f t="shared" si="2"/>
        <v>0</v>
      </c>
      <c r="AM165" s="105">
        <f t="shared" si="3"/>
        <v>0</v>
      </c>
      <c r="AO165" s="564"/>
    </row>
    <row r="166" ht="15.75" hidden="1" customHeight="1">
      <c r="A166" s="554">
        <f>'INVONTERY FEB'!A166</f>
        <v>160</v>
      </c>
      <c r="B166" s="554" t="str">
        <f>'INVONTERY FEB'!B166</f>
        <v>TEA CUP</v>
      </c>
      <c r="C166" s="554" t="str">
        <f>'INVONTERY FEB'!C167</f>
        <v>PCS</v>
      </c>
      <c r="D166" s="556">
        <f>'INVONTERY FEB'!D166</f>
        <v>60</v>
      </c>
      <c r="E166" s="599"/>
      <c r="F166" s="566"/>
      <c r="G166" s="567"/>
      <c r="H166" s="567"/>
      <c r="I166" s="567"/>
      <c r="J166" s="567"/>
      <c r="K166" s="567"/>
      <c r="L166" s="568"/>
      <c r="M166" s="560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9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0"/>
      <c r="AK166" s="600"/>
      <c r="AL166" s="563">
        <f t="shared" si="2"/>
        <v>0</v>
      </c>
      <c r="AM166" s="105">
        <f t="shared" si="3"/>
        <v>0</v>
      </c>
      <c r="AO166" s="564"/>
    </row>
    <row r="167" ht="15.75" hidden="1" customHeight="1">
      <c r="A167" s="554">
        <f>'INVONTERY FEB'!A167</f>
        <v>161</v>
      </c>
      <c r="B167" s="554" t="str">
        <f>'INVONTERY FEB'!B167</f>
        <v>NON STICK KARAHI</v>
      </c>
      <c r="C167" s="554" t="str">
        <f>'INVONTERY FEB'!C168</f>
        <v>PSC</v>
      </c>
      <c r="D167" s="556">
        <f>'INVONTERY FEB'!D167</f>
        <v>2700</v>
      </c>
      <c r="E167" s="599"/>
      <c r="F167" s="566"/>
      <c r="G167" s="567"/>
      <c r="H167" s="567"/>
      <c r="I167" s="567"/>
      <c r="J167" s="567"/>
      <c r="K167" s="567"/>
      <c r="L167" s="568"/>
      <c r="M167" s="560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9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0"/>
      <c r="AK167" s="600"/>
      <c r="AL167" s="563">
        <f t="shared" si="2"/>
        <v>0</v>
      </c>
      <c r="AM167" s="105">
        <f t="shared" si="3"/>
        <v>0</v>
      </c>
      <c r="AO167" s="564"/>
    </row>
    <row r="168" ht="15.75" hidden="1" customHeight="1">
      <c r="A168" s="554">
        <f>'INVONTERY FEB'!A168</f>
        <v>162</v>
      </c>
      <c r="B168" s="554" t="str">
        <f>'INVONTERY FEB'!B168</f>
        <v>CAKE STAND</v>
      </c>
      <c r="C168" s="554" t="str">
        <f>'INVONTERY FEB'!C169</f>
        <v>PCS</v>
      </c>
      <c r="D168" s="556">
        <f>'INVONTERY FEB'!D168</f>
        <v>2700</v>
      </c>
      <c r="E168" s="599"/>
      <c r="F168" s="566"/>
      <c r="G168" s="567"/>
      <c r="H168" s="567"/>
      <c r="I168" s="567"/>
      <c r="J168" s="567"/>
      <c r="K168" s="567"/>
      <c r="L168" s="568"/>
      <c r="M168" s="560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9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0"/>
      <c r="AK168" s="600"/>
      <c r="AL168" s="563">
        <f t="shared" si="2"/>
        <v>0</v>
      </c>
      <c r="AM168" s="105">
        <f t="shared" si="3"/>
        <v>0</v>
      </c>
      <c r="AO168" s="564"/>
    </row>
    <row r="169" ht="15.75" hidden="1" customHeight="1">
      <c r="A169" s="554">
        <f>'INVONTERY FEB'!A169</f>
        <v>163</v>
      </c>
      <c r="B169" s="554" t="str">
        <f>'INVONTERY FEB'!B169</f>
        <v>OLING BURCH</v>
      </c>
      <c r="C169" s="554" t="str">
        <f>'INVONTERY FEB'!C170</f>
        <v>PCS</v>
      </c>
      <c r="D169" s="556">
        <f>'INVONTERY FEB'!D169</f>
        <v>200</v>
      </c>
      <c r="E169" s="599"/>
      <c r="F169" s="566"/>
      <c r="G169" s="567"/>
      <c r="H169" s="567"/>
      <c r="I169" s="567"/>
      <c r="J169" s="567"/>
      <c r="K169" s="567"/>
      <c r="L169" s="568"/>
      <c r="M169" s="560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9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0"/>
      <c r="AK169" s="600"/>
      <c r="AL169" s="563">
        <f t="shared" si="2"/>
        <v>0</v>
      </c>
      <c r="AM169" s="105">
        <f t="shared" si="3"/>
        <v>0</v>
      </c>
      <c r="AO169" s="564"/>
    </row>
    <row r="170" ht="15.75" hidden="1" customHeight="1">
      <c r="A170" s="554">
        <f>'INVONTERY FEB'!A170</f>
        <v>164</v>
      </c>
      <c r="B170" s="554" t="str">
        <f>'INVONTERY FEB'!B170</f>
        <v>COOKIE CUTTERS</v>
      </c>
      <c r="C170" s="554" t="str">
        <f>'INVONTERY FEB'!C171</f>
        <v>PCS</v>
      </c>
      <c r="D170" s="556">
        <f>'INVONTERY FEB'!D170</f>
        <v>350</v>
      </c>
      <c r="E170" s="599"/>
      <c r="F170" s="566"/>
      <c r="G170" s="567"/>
      <c r="H170" s="567"/>
      <c r="I170" s="567"/>
      <c r="J170" s="567"/>
      <c r="K170" s="567"/>
      <c r="L170" s="568"/>
      <c r="M170" s="560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9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0"/>
      <c r="AK170" s="600"/>
      <c r="AL170" s="563">
        <f t="shared" si="2"/>
        <v>0</v>
      </c>
      <c r="AM170" s="105">
        <f t="shared" si="3"/>
        <v>0</v>
      </c>
      <c r="AO170" s="564"/>
    </row>
    <row r="171" ht="15.75" hidden="1" customHeight="1">
      <c r="A171" s="554">
        <f>'INVONTERY FEB'!A171</f>
        <v>165</v>
      </c>
      <c r="B171" s="554" t="str">
        <f>'INVONTERY FEB'!B171</f>
        <v>STEEL CARD</v>
      </c>
      <c r="C171" s="554" t="str">
        <f>'INVONTERY FEB'!C172</f>
        <v>PCS</v>
      </c>
      <c r="D171" s="556">
        <f>'INVONTERY FEB'!D171</f>
        <v>100</v>
      </c>
      <c r="E171" s="599"/>
      <c r="F171" s="566"/>
      <c r="G171" s="567"/>
      <c r="H171" s="567"/>
      <c r="I171" s="567"/>
      <c r="J171" s="567"/>
      <c r="K171" s="567"/>
      <c r="L171" s="568"/>
      <c r="M171" s="560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9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0"/>
      <c r="AK171" s="600"/>
      <c r="AL171" s="563">
        <f t="shared" si="2"/>
        <v>0</v>
      </c>
      <c r="AM171" s="105">
        <f t="shared" si="3"/>
        <v>0</v>
      </c>
      <c r="AO171" s="564"/>
    </row>
    <row r="172" ht="15.75" hidden="1" customHeight="1">
      <c r="A172" s="554">
        <f>'INVONTERY FEB'!A172</f>
        <v>166</v>
      </c>
      <c r="B172" s="554" t="str">
        <f>'INVONTERY FEB'!B172</f>
        <v>SAHVER GAN</v>
      </c>
      <c r="C172" s="554" t="str">
        <f>'INVONTERY FEB'!C173</f>
        <v>PCS</v>
      </c>
      <c r="D172" s="556">
        <f>'INVONTERY FEB'!D172</f>
        <v>70</v>
      </c>
      <c r="E172" s="599"/>
      <c r="F172" s="566"/>
      <c r="G172" s="567"/>
      <c r="H172" s="567"/>
      <c r="I172" s="567"/>
      <c r="J172" s="567"/>
      <c r="K172" s="567"/>
      <c r="L172" s="568"/>
      <c r="M172" s="560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9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0"/>
      <c r="AK172" s="600"/>
      <c r="AL172" s="563">
        <f t="shared" si="2"/>
        <v>0</v>
      </c>
      <c r="AM172" s="105">
        <f t="shared" si="3"/>
        <v>0</v>
      </c>
      <c r="AO172" s="564"/>
    </row>
    <row r="173" ht="15.75" hidden="1" customHeight="1">
      <c r="A173" s="554">
        <f>'INVONTERY FEB'!A173</f>
        <v>167</v>
      </c>
      <c r="B173" s="554" t="str">
        <f>'INVONTERY FEB'!B173</f>
        <v>PLASTIC BOTT</v>
      </c>
      <c r="C173" s="554" t="str">
        <f>'INVONTERY FEB'!C174</f>
        <v>PCS</v>
      </c>
      <c r="D173" s="556">
        <f>'INVONTERY FEB'!D173</f>
        <v>50</v>
      </c>
      <c r="E173" s="599"/>
      <c r="F173" s="566"/>
      <c r="G173" s="567"/>
      <c r="H173" s="567"/>
      <c r="I173" s="567"/>
      <c r="J173" s="567"/>
      <c r="K173" s="567"/>
      <c r="L173" s="568"/>
      <c r="M173" s="560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9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0"/>
      <c r="AK173" s="600"/>
      <c r="AL173" s="563">
        <f t="shared" si="2"/>
        <v>0</v>
      </c>
      <c r="AM173" s="105">
        <f t="shared" si="3"/>
        <v>0</v>
      </c>
      <c r="AO173" s="564"/>
    </row>
    <row r="174" ht="15.75" hidden="1" customHeight="1">
      <c r="A174" s="554">
        <f>'INVONTERY FEB'!A174</f>
        <v>168</v>
      </c>
      <c r="B174" s="554" t="str">
        <f>'INVONTERY FEB'!B174</f>
        <v>KNIFE LARGE</v>
      </c>
      <c r="C174" s="554" t="str">
        <f>'INVONTERY FEB'!C175</f>
        <v>PCS</v>
      </c>
      <c r="D174" s="556">
        <f>'INVONTERY FEB'!D174</f>
        <v>250</v>
      </c>
      <c r="E174" s="599"/>
      <c r="F174" s="566"/>
      <c r="G174" s="567"/>
      <c r="H174" s="567"/>
      <c r="I174" s="567"/>
      <c r="J174" s="567"/>
      <c r="K174" s="567"/>
      <c r="L174" s="568"/>
      <c r="M174" s="560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9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0"/>
      <c r="AK174" s="600"/>
      <c r="AL174" s="563">
        <f t="shared" si="2"/>
        <v>0</v>
      </c>
      <c r="AM174" s="105">
        <f t="shared" si="3"/>
        <v>0</v>
      </c>
      <c r="AO174" s="564"/>
    </row>
    <row r="175" ht="15.75" hidden="1" customHeight="1">
      <c r="A175" s="554">
        <f>'INVONTERY FEB'!A175</f>
        <v>169</v>
      </c>
      <c r="B175" s="554" t="str">
        <f>'INVONTERY FEB'!B175</f>
        <v>KNIFE SMALL</v>
      </c>
      <c r="C175" s="554" t="str">
        <f>'INVONTERY FEB'!C176</f>
        <v>PCS</v>
      </c>
      <c r="D175" s="556">
        <f>'INVONTERY FEB'!D175</f>
        <v>150</v>
      </c>
      <c r="E175" s="599"/>
      <c r="F175" s="566"/>
      <c r="G175" s="567"/>
      <c r="H175" s="567"/>
      <c r="I175" s="567"/>
      <c r="J175" s="567"/>
      <c r="K175" s="567"/>
      <c r="L175" s="568"/>
      <c r="M175" s="560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9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0"/>
      <c r="AK175" s="600"/>
      <c r="AL175" s="563">
        <f t="shared" si="2"/>
        <v>0</v>
      </c>
      <c r="AM175" s="105">
        <f t="shared" si="3"/>
        <v>0</v>
      </c>
      <c r="AO175" s="564"/>
    </row>
    <row r="176" ht="15.75" hidden="1" customHeight="1">
      <c r="A176" s="554">
        <f>'INVONTERY FEB'!A176</f>
        <v>170</v>
      </c>
      <c r="B176" s="554" t="str">
        <f>'INVONTERY FEB'!B176</f>
        <v>SCRAPER SET</v>
      </c>
      <c r="C176" s="554" t="str">
        <f>'INVONTERY FEB'!C177</f>
        <v>PCS</v>
      </c>
      <c r="D176" s="556">
        <f>'INVONTERY FEB'!D176</f>
        <v>100</v>
      </c>
      <c r="E176" s="599"/>
      <c r="F176" s="566"/>
      <c r="G176" s="567"/>
      <c r="H176" s="567"/>
      <c r="I176" s="567"/>
      <c r="J176" s="567"/>
      <c r="K176" s="567"/>
      <c r="L176" s="568"/>
      <c r="M176" s="560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9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0"/>
      <c r="AK176" s="600"/>
      <c r="AL176" s="563">
        <f t="shared" si="2"/>
        <v>0</v>
      </c>
      <c r="AM176" s="105">
        <f t="shared" si="3"/>
        <v>0</v>
      </c>
      <c r="AO176" s="564"/>
    </row>
    <row r="177" ht="15.75" hidden="1" customHeight="1">
      <c r="A177" s="554">
        <f>'INVONTERY FEB'!A177</f>
        <v>171</v>
      </c>
      <c r="B177" s="554" t="str">
        <f>'INVONTERY FEB'!B177</f>
        <v>SIDE SCRAPER</v>
      </c>
      <c r="C177" s="554" t="str">
        <f>'INVONTERY FEB'!C178</f>
        <v>PCS</v>
      </c>
      <c r="D177" s="556">
        <f>'INVONTERY FEB'!D177</f>
        <v>825</v>
      </c>
      <c r="E177" s="599"/>
      <c r="F177" s="566"/>
      <c r="G177" s="567"/>
      <c r="H177" s="567"/>
      <c r="I177" s="567"/>
      <c r="J177" s="567"/>
      <c r="K177" s="567"/>
      <c r="L177" s="568"/>
      <c r="M177" s="560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9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0"/>
      <c r="AK177" s="600"/>
      <c r="AL177" s="563">
        <f t="shared" si="2"/>
        <v>0</v>
      </c>
      <c r="AM177" s="105">
        <f t="shared" si="3"/>
        <v>0</v>
      </c>
      <c r="AO177" s="564"/>
    </row>
    <row r="178" ht="15.75" hidden="1" customHeight="1">
      <c r="A178" s="554">
        <f>'INVONTERY FEB'!A178</f>
        <v>172</v>
      </c>
      <c r="B178" s="554" t="str">
        <f>'INVONTERY FEB'!B178</f>
        <v>CAKE PAN</v>
      </c>
      <c r="C178" s="554" t="str">
        <f>'INVONTERY FEB'!C179</f>
        <v>PCS</v>
      </c>
      <c r="D178" s="556">
        <f>'INVONTERY FEB'!D178</f>
        <v>1000</v>
      </c>
      <c r="E178" s="599"/>
      <c r="F178" s="566"/>
      <c r="G178" s="567"/>
      <c r="H178" s="567"/>
      <c r="I178" s="567"/>
      <c r="J178" s="567"/>
      <c r="K178" s="567"/>
      <c r="L178" s="568"/>
      <c r="M178" s="560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9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0"/>
      <c r="AK178" s="600"/>
      <c r="AL178" s="563">
        <f t="shared" si="2"/>
        <v>0</v>
      </c>
      <c r="AM178" s="105">
        <f t="shared" si="3"/>
        <v>0</v>
      </c>
      <c r="AO178" s="564"/>
    </row>
    <row r="179" ht="15.75" hidden="1" customHeight="1">
      <c r="A179" s="554">
        <f>'INVONTERY FEB'!A179</f>
        <v>173</v>
      </c>
      <c r="B179" s="554" t="str">
        <f>'INVONTERY FEB'!B179</f>
        <v>STEEL BAMBO</v>
      </c>
      <c r="C179" s="554" t="str">
        <f>'INVONTERY FEB'!C180</f>
        <v>PCS</v>
      </c>
      <c r="D179" s="556">
        <f>'INVONTERY FEB'!D179</f>
        <v>0</v>
      </c>
      <c r="E179" s="599"/>
      <c r="F179" s="566"/>
      <c r="G179" s="567"/>
      <c r="H179" s="567"/>
      <c r="I179" s="567"/>
      <c r="J179" s="567"/>
      <c r="K179" s="567"/>
      <c r="L179" s="568"/>
      <c r="M179" s="560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9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0"/>
      <c r="AK179" s="600"/>
      <c r="AL179" s="563">
        <f t="shared" si="2"/>
        <v>0</v>
      </c>
      <c r="AM179" s="105">
        <f t="shared" si="3"/>
        <v>0</v>
      </c>
      <c r="AO179" s="564"/>
    </row>
    <row r="180" ht="15.75" hidden="1" customHeight="1">
      <c r="A180" s="554">
        <f>'INVONTERY FEB'!A180</f>
        <v>174</v>
      </c>
      <c r="B180" s="554" t="str">
        <f>'INVONTERY FEB'!B180</f>
        <v>STEEL SPOON SET</v>
      </c>
      <c r="C180" s="554" t="str">
        <f>'INVONTERY FEB'!C181</f>
        <v>PCS</v>
      </c>
      <c r="D180" s="556">
        <f>'INVONTERY FEB'!D180</f>
        <v>50</v>
      </c>
      <c r="E180" s="599"/>
      <c r="F180" s="566"/>
      <c r="G180" s="567"/>
      <c r="H180" s="567"/>
      <c r="I180" s="567"/>
      <c r="J180" s="567"/>
      <c r="K180" s="567"/>
      <c r="L180" s="568"/>
      <c r="M180" s="560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9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0"/>
      <c r="AK180" s="600"/>
      <c r="AL180" s="563">
        <f t="shared" si="2"/>
        <v>0</v>
      </c>
      <c r="AM180" s="105">
        <f t="shared" si="3"/>
        <v>0</v>
      </c>
      <c r="AO180" s="564"/>
    </row>
    <row r="181" ht="15.75" hidden="1" customHeight="1">
      <c r="A181" s="554">
        <f>'INVONTERY FEB'!A181</f>
        <v>175</v>
      </c>
      <c r="B181" s="554" t="str">
        <f>'INVONTERY FEB'!B181</f>
        <v>EGG MIXCHER</v>
      </c>
      <c r="C181" s="554" t="str">
        <f>'INVONTERY FEB'!C182</f>
        <v>PCS</v>
      </c>
      <c r="D181" s="556">
        <f>'INVONTERY FEB'!D181</f>
        <v>800</v>
      </c>
      <c r="E181" s="599"/>
      <c r="F181" s="566"/>
      <c r="G181" s="567"/>
      <c r="H181" s="567"/>
      <c r="I181" s="567"/>
      <c r="J181" s="567"/>
      <c r="K181" s="567"/>
      <c r="L181" s="568"/>
      <c r="M181" s="560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9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0"/>
      <c r="AK181" s="600"/>
      <c r="AL181" s="563">
        <f t="shared" si="2"/>
        <v>0</v>
      </c>
      <c r="AM181" s="105">
        <f t="shared" si="3"/>
        <v>0</v>
      </c>
      <c r="AO181" s="564"/>
    </row>
    <row r="182" ht="15.75" hidden="1" customHeight="1">
      <c r="A182" s="554">
        <f>'INVONTERY FEB'!A182</f>
        <v>176</v>
      </c>
      <c r="B182" s="554" t="str">
        <f>'INVONTERY FEB'!B182</f>
        <v>STEEL TRAY LARG</v>
      </c>
      <c r="C182" s="554" t="str">
        <f>'INVONTERY FEB'!C183</f>
        <v>PCS</v>
      </c>
      <c r="D182" s="556">
        <f>'INVONTERY FEB'!D182</f>
        <v>350</v>
      </c>
      <c r="E182" s="599"/>
      <c r="F182" s="566"/>
      <c r="G182" s="567"/>
      <c r="H182" s="567"/>
      <c r="I182" s="567"/>
      <c r="J182" s="567"/>
      <c r="K182" s="567"/>
      <c r="L182" s="568"/>
      <c r="M182" s="560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9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0"/>
      <c r="AK182" s="600"/>
      <c r="AL182" s="563">
        <f t="shared" si="2"/>
        <v>0</v>
      </c>
      <c r="AM182" s="105">
        <f t="shared" si="3"/>
        <v>0</v>
      </c>
      <c r="AO182" s="564"/>
    </row>
    <row r="183" ht="15.75" hidden="1" customHeight="1">
      <c r="A183" s="554">
        <f>'INVONTERY FEB'!A183</f>
        <v>177</v>
      </c>
      <c r="B183" s="554" t="str">
        <f>'INVONTERY FEB'!B183</f>
        <v>STEEL TRAY SMALL</v>
      </c>
      <c r="C183" s="554" t="str">
        <f>'INVONTERY FEB'!C184</f>
        <v>PCS</v>
      </c>
      <c r="D183" s="556">
        <f>'INVONTERY FEB'!D183</f>
        <v>250</v>
      </c>
      <c r="E183" s="599"/>
      <c r="F183" s="566"/>
      <c r="G183" s="567"/>
      <c r="H183" s="567"/>
      <c r="I183" s="567"/>
      <c r="J183" s="567"/>
      <c r="K183" s="567"/>
      <c r="L183" s="568"/>
      <c r="M183" s="560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9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0"/>
      <c r="AK183" s="600"/>
      <c r="AL183" s="563">
        <f t="shared" si="2"/>
        <v>0</v>
      </c>
      <c r="AM183" s="105">
        <f t="shared" si="3"/>
        <v>0</v>
      </c>
      <c r="AO183" s="564"/>
    </row>
    <row r="184" ht="15.75" hidden="1" customHeight="1">
      <c r="A184" s="554">
        <f>'INVONTERY FEB'!A184</f>
        <v>178</v>
      </c>
      <c r="B184" s="554" t="str">
        <f>'INVONTERY FEB'!B184</f>
        <v>CAKE STAND</v>
      </c>
      <c r="C184" s="554" t="str">
        <f>'INVONTERY FEB'!C185</f>
        <v>PCS</v>
      </c>
      <c r="D184" s="556">
        <f>'INVONTERY FEB'!D184</f>
        <v>0</v>
      </c>
      <c r="E184" s="599"/>
      <c r="F184" s="566"/>
      <c r="G184" s="567"/>
      <c r="H184" s="567"/>
      <c r="I184" s="567"/>
      <c r="J184" s="567"/>
      <c r="K184" s="567"/>
      <c r="L184" s="568"/>
      <c r="M184" s="560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9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0"/>
      <c r="AK184" s="600"/>
      <c r="AL184" s="563">
        <f t="shared" si="2"/>
        <v>0</v>
      </c>
      <c r="AM184" s="105">
        <f t="shared" si="3"/>
        <v>0</v>
      </c>
      <c r="AO184" s="564"/>
    </row>
    <row r="185" ht="15.75" hidden="1" customHeight="1">
      <c r="A185" s="554">
        <f>'INVONTERY FEB'!A185</f>
        <v>179</v>
      </c>
      <c r="B185" s="554" t="str">
        <f>'INVONTERY FEB'!B185</f>
        <v>WATER COLOR</v>
      </c>
      <c r="C185" s="554" t="str">
        <f>'INVONTERY FEB'!C186</f>
        <v>PCS</v>
      </c>
      <c r="D185" s="556">
        <f>'INVONTERY FEB'!D185</f>
        <v>2500</v>
      </c>
      <c r="E185" s="599"/>
      <c r="F185" s="566"/>
      <c r="G185" s="567"/>
      <c r="H185" s="567"/>
      <c r="I185" s="567"/>
      <c r="J185" s="567"/>
      <c r="K185" s="567"/>
      <c r="L185" s="568"/>
      <c r="M185" s="560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9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0"/>
      <c r="AK185" s="600"/>
      <c r="AL185" s="563">
        <f t="shared" si="2"/>
        <v>0</v>
      </c>
      <c r="AM185" s="105">
        <f t="shared" si="3"/>
        <v>0</v>
      </c>
      <c r="AO185" s="564"/>
    </row>
    <row r="186" ht="15.75" hidden="1" customHeight="1">
      <c r="A186" s="554">
        <f>'INVONTERY FEB'!A186</f>
        <v>180</v>
      </c>
      <c r="B186" s="554" t="str">
        <f>'INVONTERY FEB'!B186</f>
        <v>TIN CUTTER</v>
      </c>
      <c r="C186" s="554" t="str">
        <f>'INVONTERY FEB'!C187</f>
        <v>PCS</v>
      </c>
      <c r="D186" s="556">
        <f>'INVONTERY FEB'!D186</f>
        <v>240</v>
      </c>
      <c r="E186" s="599"/>
      <c r="F186" s="566"/>
      <c r="G186" s="567"/>
      <c r="H186" s="567"/>
      <c r="I186" s="567"/>
      <c r="J186" s="567"/>
      <c r="K186" s="567"/>
      <c r="L186" s="568"/>
      <c r="M186" s="560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9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0"/>
      <c r="AK186" s="600"/>
      <c r="AL186" s="563">
        <f t="shared" si="2"/>
        <v>0</v>
      </c>
      <c r="AM186" s="105">
        <f t="shared" si="3"/>
        <v>0</v>
      </c>
      <c r="AO186" s="564"/>
    </row>
    <row r="187" ht="15.75" hidden="1" customHeight="1">
      <c r="A187" s="554">
        <f>'INVONTERY FEB'!A187</f>
        <v>181</v>
      </c>
      <c r="B187" s="554" t="str">
        <f>'INVONTERY FEB'!B187</f>
        <v>SCISSOR</v>
      </c>
      <c r="C187" s="554" t="str">
        <f>'INVONTERY FEB'!C188</f>
        <v>PCS</v>
      </c>
      <c r="D187" s="556">
        <f>'INVONTERY FEB'!D187</f>
        <v>500</v>
      </c>
      <c r="E187" s="599"/>
      <c r="F187" s="566"/>
      <c r="G187" s="567"/>
      <c r="H187" s="567"/>
      <c r="I187" s="567"/>
      <c r="J187" s="567"/>
      <c r="K187" s="567"/>
      <c r="L187" s="568"/>
      <c r="M187" s="560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9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0"/>
      <c r="AK187" s="600"/>
      <c r="AL187" s="563">
        <f t="shared" si="2"/>
        <v>0</v>
      </c>
      <c r="AM187" s="105">
        <f t="shared" si="3"/>
        <v>0</v>
      </c>
      <c r="AO187" s="564"/>
    </row>
    <row r="188" ht="15.75" hidden="1" customHeight="1">
      <c r="A188" s="554">
        <f>'INVONTERY FEB'!A188</f>
        <v>182</v>
      </c>
      <c r="B188" s="554" t="str">
        <f>'INVONTERY FEB'!B188</f>
        <v>TOOTH PIC</v>
      </c>
      <c r="C188" s="554" t="str">
        <f>'INVONTERY FEB'!C189</f>
        <v>PCS</v>
      </c>
      <c r="D188" s="556">
        <f>'INVONTERY FEB'!D188</f>
        <v>30</v>
      </c>
      <c r="E188" s="599"/>
      <c r="F188" s="566"/>
      <c r="G188" s="567"/>
      <c r="H188" s="567"/>
      <c r="I188" s="567"/>
      <c r="J188" s="567"/>
      <c r="K188" s="567"/>
      <c r="L188" s="568"/>
      <c r="M188" s="560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9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0"/>
      <c r="AK188" s="600"/>
      <c r="AL188" s="563">
        <f t="shared" si="2"/>
        <v>0</v>
      </c>
      <c r="AM188" s="105">
        <f t="shared" si="3"/>
        <v>0</v>
      </c>
      <c r="AO188" s="564"/>
    </row>
    <row r="189" ht="15.75" hidden="1" customHeight="1">
      <c r="A189" s="554">
        <f>'INVONTERY FEB'!A189</f>
        <v>183</v>
      </c>
      <c r="B189" s="554" t="str">
        <f>'INVONTERY FEB'!B189</f>
        <v>STEEL CUP</v>
      </c>
      <c r="C189" s="554" t="str">
        <f>'INVONTERY FEB'!C190</f>
        <v>PCS</v>
      </c>
      <c r="D189" s="556">
        <f>'INVONTERY FEB'!D189</f>
        <v>360</v>
      </c>
      <c r="E189" s="599"/>
      <c r="F189" s="566"/>
      <c r="G189" s="567"/>
      <c r="H189" s="567"/>
      <c r="I189" s="567"/>
      <c r="J189" s="567"/>
      <c r="K189" s="567"/>
      <c r="L189" s="568"/>
      <c r="M189" s="560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9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0"/>
      <c r="AK189" s="600"/>
      <c r="AL189" s="563">
        <f t="shared" si="2"/>
        <v>0</v>
      </c>
      <c r="AM189" s="105">
        <f t="shared" si="3"/>
        <v>0</v>
      </c>
      <c r="AO189" s="564"/>
    </row>
    <row r="190" ht="15.75" hidden="1" customHeight="1">
      <c r="A190" s="554">
        <f>'INVONTERY FEB'!A190</f>
        <v>184</v>
      </c>
      <c r="B190" s="554" t="str">
        <f>'INVONTERY FEB'!B190</f>
        <v>SAPOON SET</v>
      </c>
      <c r="C190" s="554" t="str">
        <f>'INVONTERY FEB'!C191</f>
        <v>PCS</v>
      </c>
      <c r="D190" s="556">
        <f>'INVONTERY FEB'!D190</f>
        <v>180</v>
      </c>
      <c r="E190" s="599"/>
      <c r="F190" s="566"/>
      <c r="G190" s="567"/>
      <c r="H190" s="567"/>
      <c r="I190" s="567"/>
      <c r="J190" s="567"/>
      <c r="K190" s="567"/>
      <c r="L190" s="568"/>
      <c r="M190" s="560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9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0"/>
      <c r="AK190" s="600"/>
      <c r="AL190" s="563">
        <f t="shared" si="2"/>
        <v>0</v>
      </c>
      <c r="AM190" s="105">
        <f t="shared" si="3"/>
        <v>0</v>
      </c>
      <c r="AO190" s="564"/>
    </row>
    <row r="191" ht="15.75" hidden="1" customHeight="1">
      <c r="A191" s="554">
        <f>'INVONTERY FEB'!A191</f>
        <v>185</v>
      </c>
      <c r="B191" s="554" t="str">
        <f>'INVONTERY FEB'!B191</f>
        <v>MIXING CUP</v>
      </c>
      <c r="C191" s="554" t="str">
        <f>'INVONTERY FEB'!C192</f>
        <v>PCS</v>
      </c>
      <c r="D191" s="556">
        <f>'INVONTERY FEB'!D191</f>
        <v>190</v>
      </c>
      <c r="E191" s="599"/>
      <c r="F191" s="566"/>
      <c r="G191" s="567"/>
      <c r="H191" s="567"/>
      <c r="I191" s="567"/>
      <c r="J191" s="567"/>
      <c r="K191" s="567"/>
      <c r="L191" s="568"/>
      <c r="M191" s="560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9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0"/>
      <c r="AK191" s="600"/>
      <c r="AL191" s="563">
        <f t="shared" si="2"/>
        <v>0</v>
      </c>
      <c r="AM191" s="105">
        <f t="shared" si="3"/>
        <v>0</v>
      </c>
      <c r="AO191" s="564"/>
    </row>
    <row r="192" ht="15.75" hidden="1" customHeight="1">
      <c r="A192" s="554">
        <f>'INVONTERY FEB'!A192</f>
        <v>186</v>
      </c>
      <c r="B192" s="554" t="str">
        <f>'INVONTERY FEB'!B192</f>
        <v>TAPE</v>
      </c>
      <c r="C192" s="554" t="str">
        <f>'INVONTERY FEB'!C193</f>
        <v>PCS</v>
      </c>
      <c r="D192" s="556">
        <f>'INVONTERY FEB'!D192</f>
        <v>190</v>
      </c>
      <c r="E192" s="599"/>
      <c r="F192" s="566"/>
      <c r="G192" s="567"/>
      <c r="H192" s="567"/>
      <c r="I192" s="567"/>
      <c r="J192" s="567"/>
      <c r="K192" s="567"/>
      <c r="L192" s="568"/>
      <c r="M192" s="560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9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0"/>
      <c r="AK192" s="600"/>
      <c r="AL192" s="563">
        <f t="shared" si="2"/>
        <v>0</v>
      </c>
      <c r="AM192" s="105">
        <f t="shared" si="3"/>
        <v>0</v>
      </c>
      <c r="AO192" s="564"/>
    </row>
    <row r="193" ht="15.75" hidden="1" customHeight="1">
      <c r="A193" s="554">
        <f>'INVONTERY FEB'!A193</f>
        <v>187</v>
      </c>
      <c r="B193" s="554" t="str">
        <f>'INVONTERY FEB'!B193</f>
        <v>PAPER TRAY 10 POUND</v>
      </c>
      <c r="C193" s="554" t="str">
        <f>'INVONTERY FEB'!C194</f>
        <v>PCS</v>
      </c>
      <c r="D193" s="556">
        <f>'INVONTERY FEB'!D193</f>
        <v>90</v>
      </c>
      <c r="E193" s="599"/>
      <c r="F193" s="566"/>
      <c r="G193" s="567"/>
      <c r="H193" s="567"/>
      <c r="I193" s="567"/>
      <c r="J193" s="567"/>
      <c r="K193" s="567"/>
      <c r="L193" s="568"/>
      <c r="M193" s="560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9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0"/>
      <c r="AK193" s="600"/>
      <c r="AL193" s="563">
        <f t="shared" si="2"/>
        <v>0</v>
      </c>
      <c r="AM193" s="105">
        <f t="shared" si="3"/>
        <v>0</v>
      </c>
      <c r="AO193" s="564"/>
    </row>
    <row r="194" ht="15.75" hidden="1" customHeight="1">
      <c r="A194" s="554">
        <f>'INVONTERY FEB'!A194</f>
        <v>188</v>
      </c>
      <c r="B194" s="554" t="str">
        <f>'INVONTERY FEB'!B194</f>
        <v>SCRAPER</v>
      </c>
      <c r="C194" s="554" t="str">
        <f>'INVONTERY FEB'!C195</f>
        <v>PCS</v>
      </c>
      <c r="D194" s="556">
        <f>'INVONTERY FEB'!D194</f>
        <v>350</v>
      </c>
      <c r="E194" s="599"/>
      <c r="F194" s="566"/>
      <c r="G194" s="567"/>
      <c r="H194" s="567"/>
      <c r="I194" s="567"/>
      <c r="J194" s="567"/>
      <c r="K194" s="567"/>
      <c r="L194" s="568"/>
      <c r="M194" s="560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9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0"/>
      <c r="AK194" s="600"/>
      <c r="AL194" s="563">
        <f t="shared" si="2"/>
        <v>0</v>
      </c>
      <c r="AM194" s="105">
        <f t="shared" si="3"/>
        <v>0</v>
      </c>
      <c r="AO194" s="564"/>
    </row>
    <row r="195" ht="15.75" hidden="1" customHeight="1">
      <c r="A195" s="554">
        <f>'INVONTERY FEB'!A195</f>
        <v>189</v>
      </c>
      <c r="B195" s="554" t="str">
        <f>'INVONTERY FEB'!B195</f>
        <v>BROWNIE TRAYS</v>
      </c>
      <c r="C195" s="554" t="str">
        <f>'INVONTERY FEB'!C196</f>
        <v>PCS</v>
      </c>
      <c r="D195" s="556">
        <f>'INVONTERY FEB'!D195</f>
        <v>500</v>
      </c>
      <c r="E195" s="599"/>
      <c r="F195" s="566"/>
      <c r="G195" s="567"/>
      <c r="H195" s="567"/>
      <c r="I195" s="567"/>
      <c r="J195" s="567"/>
      <c r="K195" s="567"/>
      <c r="L195" s="568"/>
      <c r="M195" s="560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9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0"/>
      <c r="AK195" s="600"/>
      <c r="AL195" s="563">
        <f t="shared" si="2"/>
        <v>0</v>
      </c>
      <c r="AM195" s="105">
        <f t="shared" si="3"/>
        <v>0</v>
      </c>
      <c r="AO195" s="564"/>
    </row>
    <row r="196" ht="15.75" hidden="1" customHeight="1">
      <c r="A196" s="554">
        <f>'INVONTERY FEB'!A196</f>
        <v>190</v>
      </c>
      <c r="B196" s="554" t="str">
        <f>'INVONTERY FEB'!B196</f>
        <v>LOAF TRAYS</v>
      </c>
      <c r="C196" s="554" t="str">
        <f>'INVONTERY FEB'!C197</f>
        <v>PCS</v>
      </c>
      <c r="D196" s="556">
        <f>'INVONTERY FEB'!D196</f>
        <v>750</v>
      </c>
      <c r="E196" s="599"/>
      <c r="F196" s="566"/>
      <c r="G196" s="567"/>
      <c r="H196" s="567"/>
      <c r="I196" s="567"/>
      <c r="J196" s="567"/>
      <c r="K196" s="567"/>
      <c r="L196" s="568"/>
      <c r="M196" s="560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9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0"/>
      <c r="AK196" s="600"/>
      <c r="AL196" s="563">
        <f t="shared" si="2"/>
        <v>0</v>
      </c>
      <c r="AM196" s="105">
        <f t="shared" si="3"/>
        <v>0</v>
      </c>
      <c r="AO196" s="564"/>
    </row>
    <row r="197" ht="15.75" hidden="1" customHeight="1">
      <c r="A197" s="554">
        <f>'INVONTERY FEB'!A197</f>
        <v>191</v>
      </c>
      <c r="B197" s="554" t="str">
        <f>'INVONTERY FEB'!B197</f>
        <v>LAVA CAKE BOWL</v>
      </c>
      <c r="C197" s="554" t="str">
        <f>'INVONTERY FEB'!C198</f>
        <v>PCS</v>
      </c>
      <c r="D197" s="556">
        <f>'INVONTERY FEB'!D197</f>
        <v>250</v>
      </c>
      <c r="E197" s="599"/>
      <c r="F197" s="566"/>
      <c r="G197" s="567"/>
      <c r="H197" s="567"/>
      <c r="I197" s="567"/>
      <c r="J197" s="567"/>
      <c r="K197" s="567"/>
      <c r="L197" s="568"/>
      <c r="M197" s="560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9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0"/>
      <c r="AK197" s="600"/>
      <c r="AL197" s="563">
        <f t="shared" si="2"/>
        <v>0</v>
      </c>
      <c r="AM197" s="105">
        <f t="shared" si="3"/>
        <v>0</v>
      </c>
      <c r="AO197" s="564"/>
    </row>
    <row r="198" ht="15.75" hidden="1" customHeight="1">
      <c r="A198" s="554">
        <f>'INVONTERY FEB'!A198</f>
        <v>192</v>
      </c>
      <c r="B198" s="554" t="str">
        <f>'INVONTERY FEB'!B198</f>
        <v>BALENA</v>
      </c>
      <c r="C198" s="554" t="str">
        <f>'INVONTERY FEB'!C199</f>
        <v>PCS</v>
      </c>
      <c r="D198" s="556">
        <f>'INVONTERY FEB'!D198</f>
        <v>700</v>
      </c>
      <c r="E198" s="599"/>
      <c r="F198" s="566"/>
      <c r="G198" s="567"/>
      <c r="H198" s="567"/>
      <c r="I198" s="567"/>
      <c r="J198" s="567"/>
      <c r="K198" s="567"/>
      <c r="L198" s="568"/>
      <c r="M198" s="560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9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0"/>
      <c r="AK198" s="600"/>
      <c r="AL198" s="563">
        <f t="shared" si="2"/>
        <v>0</v>
      </c>
      <c r="AM198" s="105">
        <f t="shared" si="3"/>
        <v>0</v>
      </c>
      <c r="AO198" s="564"/>
    </row>
    <row r="199" ht="15.75" hidden="1" customHeight="1">
      <c r="A199" s="554">
        <f>'INVONTERY FEB'!A199</f>
        <v>193</v>
      </c>
      <c r="B199" s="554" t="str">
        <f>'INVONTERY FEB'!B199</f>
        <v>SCISSORS</v>
      </c>
      <c r="C199" s="554" t="str">
        <f>'INVONTERY FEB'!C200</f>
        <v>PCS</v>
      </c>
      <c r="D199" s="556">
        <f>'INVONTERY FEB'!D199</f>
        <v>225</v>
      </c>
      <c r="E199" s="599"/>
      <c r="F199" s="566"/>
      <c r="G199" s="567"/>
      <c r="H199" s="567"/>
      <c r="I199" s="567"/>
      <c r="J199" s="567"/>
      <c r="K199" s="567"/>
      <c r="L199" s="568"/>
      <c r="M199" s="560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9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0"/>
      <c r="AK199" s="600"/>
      <c r="AL199" s="563">
        <f t="shared" si="2"/>
        <v>0</v>
      </c>
      <c r="AM199" s="105">
        <f t="shared" si="3"/>
        <v>0</v>
      </c>
      <c r="AO199" s="564"/>
    </row>
    <row r="200" ht="15.75" hidden="1" customHeight="1">
      <c r="A200" s="554">
        <f>'INVONTERY FEB'!A200</f>
        <v>194</v>
      </c>
      <c r="B200" s="554" t="str">
        <f>'INVONTERY FEB'!B200</f>
        <v>CAKE TRAYS</v>
      </c>
      <c r="C200" s="554" t="str">
        <f>'INVONTERY FEB'!C201</f>
        <v>PCS</v>
      </c>
      <c r="D200" s="556">
        <f>'INVONTERY FEB'!D200</f>
        <v>0</v>
      </c>
      <c r="E200" s="599"/>
      <c r="F200" s="566"/>
      <c r="G200" s="567"/>
      <c r="H200" s="567"/>
      <c r="I200" s="567"/>
      <c r="J200" s="567"/>
      <c r="K200" s="567"/>
      <c r="L200" s="568"/>
      <c r="M200" s="560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9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0"/>
      <c r="AK200" s="600"/>
      <c r="AL200" s="563">
        <f t="shared" si="2"/>
        <v>0</v>
      </c>
      <c r="AM200" s="105">
        <f t="shared" si="3"/>
        <v>0</v>
      </c>
      <c r="AO200" s="564"/>
    </row>
    <row r="201" ht="15.75" hidden="1" customHeight="1">
      <c r="A201" s="554">
        <f>'INVONTERY FEB'!A201</f>
        <v>195</v>
      </c>
      <c r="B201" s="554" t="str">
        <f>'INVONTERY FEB'!B201</f>
        <v>SMALL STAINER</v>
      </c>
      <c r="C201" s="554" t="str">
        <f>'INVONTERY FEB'!C202</f>
        <v>PCS</v>
      </c>
      <c r="D201" s="556">
        <f>'INVONTERY FEB'!D201</f>
        <v>250</v>
      </c>
      <c r="E201" s="599"/>
      <c r="F201" s="566"/>
      <c r="G201" s="567"/>
      <c r="H201" s="567"/>
      <c r="I201" s="567"/>
      <c r="J201" s="567"/>
      <c r="K201" s="567"/>
      <c r="L201" s="568"/>
      <c r="M201" s="560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9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0"/>
      <c r="AK201" s="600"/>
      <c r="AL201" s="563">
        <f t="shared" si="2"/>
        <v>0</v>
      </c>
      <c r="AM201" s="105">
        <f t="shared" si="3"/>
        <v>0</v>
      </c>
      <c r="AN201" s="613"/>
      <c r="AO201" s="564"/>
    </row>
    <row r="202" ht="15.75" hidden="1" customHeight="1">
      <c r="A202" s="554">
        <f>'INVONTERY FEB'!A202</f>
        <v>196</v>
      </c>
      <c r="B202" s="554" t="str">
        <f>'INVONTERY FEB'!B202</f>
        <v>LARGE STAINER-10-KG</v>
      </c>
      <c r="C202" s="554" t="str">
        <f>'INVONTERY FEB'!C203</f>
        <v>PCS</v>
      </c>
      <c r="D202" s="556">
        <f>'INVONTERY FEB'!D202</f>
        <v>3250</v>
      </c>
      <c r="E202" s="599"/>
      <c r="F202" s="566"/>
      <c r="G202" s="567"/>
      <c r="H202" s="567"/>
      <c r="I202" s="567"/>
      <c r="J202" s="567"/>
      <c r="K202" s="567"/>
      <c r="L202" s="568"/>
      <c r="M202" s="560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9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0"/>
      <c r="AK202" s="600"/>
      <c r="AL202" s="563">
        <f t="shared" si="2"/>
        <v>0</v>
      </c>
      <c r="AM202" s="105">
        <f t="shared" si="3"/>
        <v>0</v>
      </c>
      <c r="AO202" s="564"/>
    </row>
    <row r="203" ht="15.75" hidden="1" customHeight="1">
      <c r="A203" s="554">
        <f>'INVONTERY FEB'!A203</f>
        <v>197</v>
      </c>
      <c r="B203" s="554" t="str">
        <f>'INVONTERY FEB'!B203</f>
        <v>PLASHER KNIVES</v>
      </c>
      <c r="C203" s="554" t="str">
        <f>'INVONTERY FEB'!C204</f>
        <v>PCS</v>
      </c>
      <c r="D203" s="556">
        <f>'INVONTERY FEB'!D203</f>
        <v>250</v>
      </c>
      <c r="E203" s="599"/>
      <c r="F203" s="566"/>
      <c r="G203" s="567"/>
      <c r="H203" s="567"/>
      <c r="I203" s="567"/>
      <c r="J203" s="567"/>
      <c r="K203" s="567"/>
      <c r="L203" s="568"/>
      <c r="M203" s="560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9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0"/>
      <c r="AK203" s="600"/>
      <c r="AL203" s="563">
        <f t="shared" si="2"/>
        <v>0</v>
      </c>
      <c r="AM203" s="105">
        <f t="shared" si="3"/>
        <v>0</v>
      </c>
      <c r="AO203" s="564"/>
    </row>
    <row r="204" ht="15.75" hidden="1" customHeight="1">
      <c r="A204" s="554">
        <f>'INVONTERY FEB'!A204</f>
        <v>198</v>
      </c>
      <c r="B204" s="554" t="str">
        <f>'INVONTERY FEB'!B204</f>
        <v>FOUNDANT CUTTER</v>
      </c>
      <c r="C204" s="554" t="str">
        <f>'INVONTERY FEB'!C205</f>
        <v/>
      </c>
      <c r="D204" s="556">
        <f>'INVONTERY FEB'!D204</f>
        <v>130</v>
      </c>
      <c r="E204" s="599"/>
      <c r="F204" s="566"/>
      <c r="G204" s="567"/>
      <c r="H204" s="567"/>
      <c r="I204" s="567"/>
      <c r="J204" s="567"/>
      <c r="K204" s="567"/>
      <c r="L204" s="568"/>
      <c r="M204" s="560"/>
      <c r="N204" s="567"/>
      <c r="O204" s="567"/>
      <c r="P204" s="567"/>
      <c r="Q204" s="567"/>
      <c r="R204" s="567"/>
      <c r="S204" s="567"/>
      <c r="T204" s="567"/>
      <c r="U204" s="567"/>
      <c r="V204" s="567"/>
      <c r="W204" s="581"/>
      <c r="X204" s="567"/>
      <c r="Y204" s="569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0"/>
      <c r="AK204" s="600"/>
      <c r="AL204" s="563">
        <f t="shared" si="2"/>
        <v>0</v>
      </c>
      <c r="AM204" s="105">
        <f t="shared" si="3"/>
        <v>0</v>
      </c>
      <c r="AO204" s="564"/>
    </row>
    <row r="205" ht="15.75" hidden="1" customHeight="1">
      <c r="A205" s="554">
        <f>'INVONTERY FEB'!A205</f>
        <v>199</v>
      </c>
      <c r="B205" s="554" t="str">
        <f>'INVONTERY FEB'!B205</f>
        <v/>
      </c>
      <c r="C205" s="554" t="str">
        <f>'INVONTERY FEB'!C206</f>
        <v/>
      </c>
      <c r="D205" s="556" t="str">
        <f>'INVONTERY FEB'!D205</f>
        <v/>
      </c>
      <c r="E205" s="599"/>
      <c r="F205" s="566"/>
      <c r="G205" s="567"/>
      <c r="H205" s="567"/>
      <c r="I205" s="567"/>
      <c r="J205" s="567"/>
      <c r="K205" s="567"/>
      <c r="L205" s="568"/>
      <c r="M205" s="560"/>
      <c r="N205" s="567"/>
      <c r="O205" s="567"/>
      <c r="P205" s="567"/>
      <c r="Q205" s="567"/>
      <c r="R205" s="567"/>
      <c r="S205" s="567"/>
      <c r="T205" s="567"/>
      <c r="U205" s="567"/>
      <c r="V205" s="567"/>
      <c r="W205" s="581"/>
      <c r="X205" s="567"/>
      <c r="Y205" s="569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0"/>
      <c r="AK205" s="600"/>
      <c r="AL205" s="563">
        <f t="shared" si="2"/>
        <v>0</v>
      </c>
      <c r="AM205" s="105">
        <f t="shared" si="3"/>
        <v>0</v>
      </c>
      <c r="AO205" s="564"/>
    </row>
    <row r="206" ht="15.75" hidden="1" customHeight="1">
      <c r="A206" s="554">
        <f>'INVONTERY FEB'!A206</f>
        <v>200</v>
      </c>
      <c r="B206" s="554" t="str">
        <f>'INVONTERY FEB'!B206</f>
        <v/>
      </c>
      <c r="C206" s="554" t="str">
        <f>'INVONTERY FEB'!C207</f>
        <v/>
      </c>
      <c r="D206" s="556" t="str">
        <f>'INVONTERY FEB'!D206</f>
        <v/>
      </c>
      <c r="E206" s="599"/>
      <c r="F206" s="566"/>
      <c r="G206" s="567"/>
      <c r="H206" s="567"/>
      <c r="I206" s="567"/>
      <c r="J206" s="567"/>
      <c r="K206" s="567"/>
      <c r="L206" s="568"/>
      <c r="M206" s="560"/>
      <c r="N206" s="567"/>
      <c r="O206" s="567"/>
      <c r="P206" s="567"/>
      <c r="Q206" s="567"/>
      <c r="R206" s="567"/>
      <c r="S206" s="567"/>
      <c r="T206" s="567"/>
      <c r="U206" s="567"/>
      <c r="V206" s="567"/>
      <c r="W206" s="581"/>
      <c r="X206" s="567"/>
      <c r="Y206" s="569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0"/>
      <c r="AK206" s="600"/>
      <c r="AL206" s="563">
        <f t="shared" si="2"/>
        <v>0</v>
      </c>
      <c r="AM206" s="105">
        <f t="shared" si="3"/>
        <v>0</v>
      </c>
      <c r="AO206" s="564"/>
    </row>
    <row r="207" ht="15.75" hidden="1" customHeight="1">
      <c r="A207" s="554">
        <f>'INVONTERY FEB'!A207</f>
        <v>201</v>
      </c>
      <c r="B207" s="554" t="str">
        <f>'INVONTERY FEB'!B207</f>
        <v>TOTAL CROCKERY AMOUNT</v>
      </c>
      <c r="C207" s="554" t="str">
        <f>'INVONTERY FEB'!C208</f>
        <v/>
      </c>
      <c r="D207" s="556">
        <f>'INVONTERY FEB'!D207</f>
        <v>33391</v>
      </c>
      <c r="E207" s="599"/>
      <c r="F207" s="566"/>
      <c r="G207" s="567"/>
      <c r="H207" s="567"/>
      <c r="I207" s="567"/>
      <c r="J207" s="567"/>
      <c r="K207" s="567"/>
      <c r="L207" s="568"/>
      <c r="M207" s="560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9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0"/>
      <c r="AK207" s="600"/>
      <c r="AL207" s="563">
        <f t="shared" si="2"/>
        <v>0</v>
      </c>
      <c r="AM207" s="105">
        <f t="shared" si="3"/>
        <v>0</v>
      </c>
      <c r="AO207" s="564"/>
    </row>
    <row r="208" ht="15.75" hidden="1" customHeight="1">
      <c r="A208" s="554">
        <f>'INVONTERY FEB'!A208</f>
        <v>202</v>
      </c>
      <c r="B208" s="554" t="str">
        <f>'INVONTERY FEB'!B208</f>
        <v>FOUNDANT CROCKERY MATERIAL</v>
      </c>
      <c r="C208" s="554" t="str">
        <f>'INVONTERY FEB'!C209</f>
        <v>PCS</v>
      </c>
      <c r="D208" s="556">
        <f>'INVONTERY FEB'!D208</f>
        <v>0</v>
      </c>
      <c r="E208" s="599"/>
      <c r="F208" s="566"/>
      <c r="G208" s="567"/>
      <c r="H208" s="567"/>
      <c r="I208" s="567"/>
      <c r="J208" s="567"/>
      <c r="K208" s="567"/>
      <c r="L208" s="568"/>
      <c r="M208" s="560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9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0"/>
      <c r="AK208" s="600"/>
      <c r="AL208" s="563">
        <f t="shared" si="2"/>
        <v>0</v>
      </c>
      <c r="AM208" s="105">
        <f t="shared" si="3"/>
        <v>0</v>
      </c>
      <c r="AO208" s="564"/>
    </row>
    <row r="209" ht="15.75" hidden="1" customHeight="1">
      <c r="A209" s="554">
        <f>'INVONTERY FEB'!A209</f>
        <v>203</v>
      </c>
      <c r="B209" s="554" t="str">
        <f>'INVONTERY FEB'!B209</f>
        <v>PEOPLE MOULD SET PLASTIC</v>
      </c>
      <c r="C209" s="554" t="str">
        <f>'INVONTERY FEB'!C210</f>
        <v>PCS</v>
      </c>
      <c r="D209" s="556">
        <f>'INVONTERY FEB'!D209</f>
        <v>2400</v>
      </c>
      <c r="E209" s="599"/>
      <c r="F209" s="566"/>
      <c r="G209" s="567"/>
      <c r="H209" s="567"/>
      <c r="I209" s="567"/>
      <c r="J209" s="567"/>
      <c r="K209" s="567"/>
      <c r="L209" s="568"/>
      <c r="M209" s="560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9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0"/>
      <c r="AK209" s="600"/>
      <c r="AL209" s="563">
        <f t="shared" si="2"/>
        <v>0</v>
      </c>
      <c r="AM209" s="105">
        <f t="shared" si="3"/>
        <v>0</v>
      </c>
      <c r="AO209" s="564"/>
    </row>
    <row r="210" ht="15.75" hidden="1" customHeight="1">
      <c r="A210" s="554">
        <f>'INVONTERY FEB'!A210</f>
        <v>204</v>
      </c>
      <c r="B210" s="554" t="str">
        <f>'INVONTERY FEB'!B210</f>
        <v>SPM MUSTACH SIX CAV</v>
      </c>
      <c r="C210" s="554" t="str">
        <f>'INVONTERY FEB'!C211</f>
        <v>PCS</v>
      </c>
      <c r="D210" s="556">
        <f>'INVONTERY FEB'!D210</f>
        <v>450</v>
      </c>
      <c r="E210" s="599"/>
      <c r="F210" s="566"/>
      <c r="G210" s="567"/>
      <c r="H210" s="567"/>
      <c r="I210" s="567"/>
      <c r="J210" s="567"/>
      <c r="K210" s="567"/>
      <c r="L210" s="568"/>
      <c r="M210" s="560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9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0"/>
      <c r="AK210" s="600"/>
      <c r="AL210" s="563">
        <f t="shared" si="2"/>
        <v>0</v>
      </c>
      <c r="AM210" s="105">
        <f t="shared" si="3"/>
        <v>0</v>
      </c>
      <c r="AO210" s="564"/>
    </row>
    <row r="211" ht="15.75" hidden="1" customHeight="1">
      <c r="A211" s="554">
        <f>'INVONTERY FEB'!A211</f>
        <v>205</v>
      </c>
      <c r="B211" s="554" t="str">
        <f>'INVONTERY FEB'!B211</f>
        <v>BATMAN+SUPERMAN HERO COOKIE CUT</v>
      </c>
      <c r="C211" s="554" t="str">
        <f>'INVONTERY FEB'!C212</f>
        <v>PCS</v>
      </c>
      <c r="D211" s="556">
        <f>'INVONTERY FEB'!D211</f>
        <v>300</v>
      </c>
      <c r="E211" s="599"/>
      <c r="F211" s="566"/>
      <c r="G211" s="567"/>
      <c r="H211" s="567"/>
      <c r="I211" s="567"/>
      <c r="J211" s="567"/>
      <c r="K211" s="567"/>
      <c r="L211" s="568"/>
      <c r="M211" s="560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9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0"/>
      <c r="AK211" s="600"/>
      <c r="AL211" s="563">
        <f t="shared" si="2"/>
        <v>0</v>
      </c>
      <c r="AM211" s="105">
        <f t="shared" si="3"/>
        <v>0</v>
      </c>
      <c r="AO211" s="564"/>
    </row>
    <row r="212" ht="15.75" hidden="1" customHeight="1">
      <c r="A212" s="554">
        <f>'INVONTERY FEB'!A212</f>
        <v>206</v>
      </c>
      <c r="B212" s="554" t="str">
        <f>'INVONTERY FEB'!B212</f>
        <v>LIPS FOUR CAVITY SLICION MOULD</v>
      </c>
      <c r="C212" s="554" t="str">
        <f>'INVONTERY FEB'!C213</f>
        <v>PCS</v>
      </c>
      <c r="D212" s="556">
        <f>'INVONTERY FEB'!D212</f>
        <v>525</v>
      </c>
      <c r="E212" s="599"/>
      <c r="F212" s="566"/>
      <c r="G212" s="567"/>
      <c r="H212" s="567"/>
      <c r="I212" s="567"/>
      <c r="J212" s="567"/>
      <c r="K212" s="567"/>
      <c r="L212" s="568"/>
      <c r="M212" s="560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9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0"/>
      <c r="AK212" s="600"/>
      <c r="AL212" s="563">
        <f t="shared" si="2"/>
        <v>0</v>
      </c>
      <c r="AM212" s="105">
        <f t="shared" si="3"/>
        <v>0</v>
      </c>
      <c r="AO212" s="564"/>
    </row>
    <row r="213" ht="15.75" hidden="1" customHeight="1">
      <c r="A213" s="554">
        <f>'INVONTERY FEB'!A213</f>
        <v>207</v>
      </c>
      <c r="B213" s="554" t="str">
        <f>'INVONTERY FEB'!B213</f>
        <v>HEXAGON GEOMTRIC CUTER</v>
      </c>
      <c r="C213" s="554" t="str">
        <f>'INVONTERY FEB'!C214</f>
        <v>PCS</v>
      </c>
      <c r="D213" s="556">
        <f>'INVONTERY FEB'!D213</f>
        <v>330</v>
      </c>
      <c r="E213" s="599"/>
      <c r="F213" s="566"/>
      <c r="G213" s="567"/>
      <c r="H213" s="567"/>
      <c r="I213" s="567"/>
      <c r="J213" s="567"/>
      <c r="K213" s="567"/>
      <c r="L213" s="568"/>
      <c r="M213" s="560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9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0"/>
      <c r="AK213" s="600"/>
      <c r="AL213" s="563">
        <f t="shared" si="2"/>
        <v>0</v>
      </c>
      <c r="AM213" s="105">
        <f t="shared" si="3"/>
        <v>0</v>
      </c>
      <c r="AO213" s="564"/>
    </row>
    <row r="214" ht="15.75" hidden="1" customHeight="1">
      <c r="A214" s="554">
        <f>'INVONTERY FEB'!A214</f>
        <v>208</v>
      </c>
      <c r="B214" s="554" t="str">
        <f>'INVONTERY FEB'!B214</f>
        <v>BEST WISHES FOUNDANT EMBOSSER</v>
      </c>
      <c r="C214" s="554" t="str">
        <f>'INVONTERY FEB'!C215</f>
        <v>PCS</v>
      </c>
      <c r="D214" s="556">
        <f>'INVONTERY FEB'!D214</f>
        <v>375</v>
      </c>
      <c r="E214" s="599"/>
      <c r="F214" s="566"/>
      <c r="G214" s="567"/>
      <c r="H214" s="567"/>
      <c r="I214" s="567"/>
      <c r="J214" s="567"/>
      <c r="K214" s="567"/>
      <c r="L214" s="568"/>
      <c r="M214" s="560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9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0"/>
      <c r="AK214" s="600"/>
      <c r="AL214" s="563">
        <f t="shared" si="2"/>
        <v>0</v>
      </c>
      <c r="AM214" s="105">
        <f t="shared" si="3"/>
        <v>0</v>
      </c>
      <c r="AO214" s="564"/>
    </row>
    <row r="215" ht="15.75" hidden="1" customHeight="1">
      <c r="A215" s="554">
        <f>'INVONTERY FEB'!A215</f>
        <v>209</v>
      </c>
      <c r="B215" s="554" t="str">
        <f>'INVONTERY FEB'!B215</f>
        <v>ROLING PIN PLASTIC MEDIUM</v>
      </c>
      <c r="C215" s="554" t="str">
        <f>'INVONTERY FEB'!C216</f>
        <v>PCS</v>
      </c>
      <c r="D215" s="556">
        <f>'INVONTERY FEB'!D215</f>
        <v>1185</v>
      </c>
      <c r="E215" s="599"/>
      <c r="F215" s="566"/>
      <c r="G215" s="567"/>
      <c r="H215" s="567"/>
      <c r="I215" s="567"/>
      <c r="J215" s="567"/>
      <c r="K215" s="567"/>
      <c r="L215" s="568"/>
      <c r="M215" s="560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9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0"/>
      <c r="AK215" s="600"/>
      <c r="AL215" s="563">
        <f t="shared" si="2"/>
        <v>0</v>
      </c>
      <c r="AM215" s="105">
        <f t="shared" si="3"/>
        <v>0</v>
      </c>
      <c r="AO215" s="564"/>
    </row>
    <row r="216" ht="15.75" hidden="1" customHeight="1">
      <c r="A216" s="554">
        <f>'INVONTERY FEB'!A216</f>
        <v>210</v>
      </c>
      <c r="B216" s="554" t="str">
        <f>'INVONTERY FEB'!B216</f>
        <v>UNICORN FONDANT &amp; COOKIE CUTTER</v>
      </c>
      <c r="C216" s="554" t="str">
        <f>'INVONTERY FEB'!C217</f>
        <v>PCS</v>
      </c>
      <c r="D216" s="556">
        <f>'INVONTERY FEB'!D216</f>
        <v>180</v>
      </c>
      <c r="E216" s="599"/>
      <c r="F216" s="566"/>
      <c r="G216" s="567"/>
      <c r="H216" s="567"/>
      <c r="I216" s="567"/>
      <c r="J216" s="567"/>
      <c r="K216" s="567"/>
      <c r="L216" s="568"/>
      <c r="M216" s="560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9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0"/>
      <c r="AK216" s="600"/>
      <c r="AL216" s="563">
        <f t="shared" si="2"/>
        <v>0</v>
      </c>
      <c r="AM216" s="105">
        <f t="shared" si="3"/>
        <v>0</v>
      </c>
      <c r="AO216" s="564"/>
    </row>
    <row r="217" ht="15.75" hidden="1" customHeight="1">
      <c r="A217" s="554">
        <f>'INVONTERY FEB'!A217</f>
        <v>211</v>
      </c>
      <c r="B217" s="554" t="str">
        <f>'INVONTERY FEB'!B217</f>
        <v>DOUBLE SIDED COOKIE CUTTER</v>
      </c>
      <c r="C217" s="554" t="str">
        <f>'INVONTERY FEB'!C218</f>
        <v>PCS</v>
      </c>
      <c r="D217" s="556">
        <f>'INVONTERY FEB'!D217</f>
        <v>270</v>
      </c>
      <c r="E217" s="599"/>
      <c r="F217" s="566"/>
      <c r="G217" s="567"/>
      <c r="H217" s="567"/>
      <c r="I217" s="567"/>
      <c r="J217" s="567"/>
      <c r="K217" s="567"/>
      <c r="L217" s="568"/>
      <c r="M217" s="560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9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0"/>
      <c r="AK217" s="600"/>
      <c r="AL217" s="563">
        <f t="shared" si="2"/>
        <v>0</v>
      </c>
      <c r="AM217" s="105">
        <f t="shared" si="3"/>
        <v>0</v>
      </c>
      <c r="AO217" s="564"/>
    </row>
    <row r="218" ht="15.75" hidden="1" customHeight="1">
      <c r="A218" s="554">
        <f>'INVONTERY FEB'!A218</f>
        <v>212</v>
      </c>
      <c r="B218" s="554" t="str">
        <f>'INVONTERY FEB'!B218</f>
        <v>S.M.G (CROWN,BOW &amp; BUTTERFLY 06 CAV)</v>
      </c>
      <c r="C218" s="554" t="str">
        <f>'INVONTERY FEB'!C219</f>
        <v>PCS</v>
      </c>
      <c r="D218" s="556">
        <f>'INVONTERY FEB'!D218</f>
        <v>675</v>
      </c>
      <c r="E218" s="599"/>
      <c r="F218" s="566"/>
      <c r="G218" s="567"/>
      <c r="H218" s="567"/>
      <c r="I218" s="567"/>
      <c r="J218" s="567"/>
      <c r="K218" s="567"/>
      <c r="L218" s="568"/>
      <c r="M218" s="560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9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0"/>
      <c r="AK218" s="600"/>
      <c r="AL218" s="563">
        <f t="shared" si="2"/>
        <v>0</v>
      </c>
      <c r="AM218" s="105">
        <f t="shared" si="3"/>
        <v>0</v>
      </c>
      <c r="AO218" s="564"/>
    </row>
    <row r="219" ht="15.75" hidden="1" customHeight="1">
      <c r="A219" s="554">
        <f>'INVONTERY FEB'!A219</f>
        <v>213</v>
      </c>
      <c r="B219" s="554" t="str">
        <f>'INVONTERY FEB'!B219</f>
        <v>S.P.M MIX FLOWERS 6 CAV</v>
      </c>
      <c r="C219" s="554" t="str">
        <f>'INVONTERY FEB'!C220</f>
        <v>PCS</v>
      </c>
      <c r="D219" s="556">
        <f>'INVONTERY FEB'!D219</f>
        <v>525</v>
      </c>
      <c r="E219" s="599"/>
      <c r="F219" s="566"/>
      <c r="G219" s="567"/>
      <c r="H219" s="567"/>
      <c r="I219" s="567"/>
      <c r="J219" s="567"/>
      <c r="K219" s="567"/>
      <c r="L219" s="568"/>
      <c r="M219" s="560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9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0"/>
      <c r="AK219" s="600"/>
      <c r="AL219" s="563">
        <f t="shared" si="2"/>
        <v>0</v>
      </c>
      <c r="AM219" s="105">
        <f t="shared" si="3"/>
        <v>0</v>
      </c>
      <c r="AO219" s="564"/>
    </row>
    <row r="220" ht="15.75" hidden="1" customHeight="1">
      <c r="A220" s="554">
        <f>'INVONTERY FEB'!A220</f>
        <v>214</v>
      </c>
      <c r="B220" s="554" t="str">
        <f>'INVONTERY FEB'!B220</f>
        <v>SILICON FLOWER LACE NEW</v>
      </c>
      <c r="C220" s="554" t="str">
        <f>'INVONTERY FEB'!C221</f>
        <v>PCS</v>
      </c>
      <c r="D220" s="556">
        <f>'INVONTERY FEB'!D220</f>
        <v>440</v>
      </c>
      <c r="E220" s="599"/>
      <c r="F220" s="566"/>
      <c r="G220" s="567"/>
      <c r="H220" s="567"/>
      <c r="I220" s="567"/>
      <c r="J220" s="567"/>
      <c r="K220" s="567"/>
      <c r="L220" s="568"/>
      <c r="M220" s="560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9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0"/>
      <c r="AK220" s="600"/>
      <c r="AL220" s="563">
        <f t="shared" si="2"/>
        <v>0</v>
      </c>
      <c r="AM220" s="105">
        <f t="shared" si="3"/>
        <v>0</v>
      </c>
      <c r="AO220" s="564"/>
    </row>
    <row r="221" ht="15.75" hidden="1" customHeight="1">
      <c r="A221" s="554">
        <f>'INVONTERY FEB'!A221</f>
        <v>215</v>
      </c>
      <c r="B221" s="554" t="str">
        <f>'INVONTERY FEB'!B221</f>
        <v>ROUND &amp; SQUARE FRAMES SILICON MOLD 2 CA</v>
      </c>
      <c r="C221" s="554" t="str">
        <f>'INVONTERY FEB'!C222</f>
        <v>PCS</v>
      </c>
      <c r="D221" s="556">
        <f>'INVONTERY FEB'!D221</f>
        <v>450</v>
      </c>
      <c r="E221" s="599"/>
      <c r="F221" s="566"/>
      <c r="G221" s="567"/>
      <c r="H221" s="567"/>
      <c r="I221" s="567"/>
      <c r="J221" s="567"/>
      <c r="K221" s="567"/>
      <c r="L221" s="568"/>
      <c r="M221" s="560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9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0"/>
      <c r="AK221" s="600"/>
      <c r="AL221" s="563">
        <f t="shared" si="2"/>
        <v>0</v>
      </c>
      <c r="AM221" s="105">
        <f t="shared" si="3"/>
        <v>0</v>
      </c>
      <c r="AO221" s="564"/>
    </row>
    <row r="222" ht="15.75" hidden="1" customHeight="1">
      <c r="A222" s="554">
        <f>'INVONTERY FEB'!A222</f>
        <v>216</v>
      </c>
      <c r="B222" s="554" t="str">
        <f>'INVONTERY FEB'!B222</f>
        <v>S.M.W (BALLON 11 PCS)</v>
      </c>
      <c r="C222" s="554" t="str">
        <f>'INVONTERY FEB'!C223</f>
        <v>PCS</v>
      </c>
      <c r="D222" s="556">
        <f>'INVONTERY FEB'!D222</f>
        <v>630</v>
      </c>
      <c r="E222" s="599"/>
      <c r="F222" s="566"/>
      <c r="G222" s="567"/>
      <c r="H222" s="567"/>
      <c r="I222" s="567"/>
      <c r="J222" s="567"/>
      <c r="K222" s="567"/>
      <c r="L222" s="568"/>
      <c r="M222" s="560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9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0"/>
      <c r="AK222" s="600"/>
      <c r="AL222" s="563">
        <f t="shared" si="2"/>
        <v>0</v>
      </c>
      <c r="AM222" s="105">
        <f t="shared" si="3"/>
        <v>0</v>
      </c>
      <c r="AO222" s="564"/>
    </row>
    <row r="223" ht="15.75" hidden="1" customHeight="1">
      <c r="A223" s="554">
        <f>'INVONTERY FEB'!A223</f>
        <v>217</v>
      </c>
      <c r="B223" s="554" t="str">
        <f>'INVONTERY FEB'!B223</f>
        <v>SILICON MOLD HEART FRAME BIG WHITE</v>
      </c>
      <c r="C223" s="554" t="str">
        <f>'INVONTERY FEB'!C224</f>
        <v>PCS</v>
      </c>
      <c r="D223" s="556">
        <f>'INVONTERY FEB'!D223</f>
        <v>375</v>
      </c>
      <c r="E223" s="599"/>
      <c r="F223" s="566"/>
      <c r="G223" s="567"/>
      <c r="H223" s="567"/>
      <c r="I223" s="567"/>
      <c r="J223" s="567"/>
      <c r="K223" s="567"/>
      <c r="L223" s="568"/>
      <c r="M223" s="560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9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0"/>
      <c r="AK223" s="600"/>
      <c r="AL223" s="563">
        <f t="shared" si="2"/>
        <v>0</v>
      </c>
      <c r="AM223" s="105">
        <f t="shared" si="3"/>
        <v>0</v>
      </c>
      <c r="AO223" s="564"/>
    </row>
    <row r="224" ht="15.75" hidden="1" customHeight="1">
      <c r="A224" s="554">
        <f>'INVONTERY FEB'!A224</f>
        <v>218</v>
      </c>
      <c r="B224" s="554" t="str">
        <f>'INVONTERY FEB'!B224</f>
        <v>S.P.M(ROUD HPD FLOWER &amp; HEART) MOLD</v>
      </c>
      <c r="C224" s="554" t="str">
        <f>'INVONTERY FEB'!C225</f>
        <v>PCS</v>
      </c>
      <c r="D224" s="556">
        <f>'INVONTERY FEB'!D224</f>
        <v>450</v>
      </c>
      <c r="E224" s="599"/>
      <c r="F224" s="566"/>
      <c r="G224" s="567"/>
      <c r="H224" s="567"/>
      <c r="I224" s="567"/>
      <c r="J224" s="567"/>
      <c r="K224" s="567"/>
      <c r="L224" s="568"/>
      <c r="M224" s="560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9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0"/>
      <c r="AK224" s="600"/>
      <c r="AL224" s="563">
        <f t="shared" si="2"/>
        <v>0</v>
      </c>
      <c r="AM224" s="105">
        <f t="shared" si="3"/>
        <v>0</v>
      </c>
      <c r="AO224" s="564"/>
    </row>
    <row r="225" ht="15.75" hidden="1" customHeight="1">
      <c r="A225" s="554">
        <f>'INVONTERY FEB'!A225</f>
        <v>219</v>
      </c>
      <c r="B225" s="554" t="str">
        <f>'INVONTERY FEB'!B225</f>
        <v>FIVE PETAL FLOWER PLUNGER</v>
      </c>
      <c r="C225" s="554" t="str">
        <f>'INVONTERY FEB'!C226</f>
        <v>PCS</v>
      </c>
      <c r="D225" s="556">
        <f>'INVONTERY FEB'!D225</f>
        <v>375</v>
      </c>
      <c r="E225" s="599"/>
      <c r="F225" s="566"/>
      <c r="G225" s="567"/>
      <c r="H225" s="567"/>
      <c r="I225" s="567"/>
      <c r="J225" s="567"/>
      <c r="K225" s="567"/>
      <c r="L225" s="568"/>
      <c r="M225" s="560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9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0"/>
      <c r="AK225" s="600"/>
      <c r="AL225" s="563">
        <f t="shared" si="2"/>
        <v>0</v>
      </c>
      <c r="AM225" s="105">
        <f t="shared" si="3"/>
        <v>0</v>
      </c>
      <c r="AO225" s="564"/>
    </row>
    <row r="226" ht="15.75" hidden="1" customHeight="1">
      <c r="A226" s="554">
        <f>'INVONTERY FEB'!A226</f>
        <v>220</v>
      </c>
      <c r="B226" s="554" t="str">
        <f>'INVONTERY FEB'!B226</f>
        <v>PHOTO FRAME SMALL SPM SMW</v>
      </c>
      <c r="C226" s="554" t="str">
        <f>'INVONTERY FEB'!C227</f>
        <v>PCS</v>
      </c>
      <c r="D226" s="556">
        <f>'INVONTERY FEB'!D226</f>
        <v>585</v>
      </c>
      <c r="E226" s="599"/>
      <c r="F226" s="566"/>
      <c r="G226" s="567"/>
      <c r="H226" s="567"/>
      <c r="I226" s="567"/>
      <c r="J226" s="567"/>
      <c r="K226" s="567"/>
      <c r="L226" s="568"/>
      <c r="M226" s="560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9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0"/>
      <c r="AK226" s="600"/>
      <c r="AL226" s="563">
        <f t="shared" si="2"/>
        <v>0</v>
      </c>
      <c r="AM226" s="105">
        <f t="shared" si="3"/>
        <v>0</v>
      </c>
      <c r="AO226" s="564"/>
    </row>
    <row r="227" ht="15.75" hidden="1" customHeight="1">
      <c r="A227" s="554">
        <f>'INVONTERY FEB'!A227</f>
        <v>221</v>
      </c>
      <c r="B227" s="554" t="str">
        <f>'INVONTERY FEB'!B227</f>
        <v>SMW CURTAIN DESIGN SMALL</v>
      </c>
      <c r="C227" s="554" t="str">
        <f>'INVONTERY FEB'!C228</f>
        <v>PCS</v>
      </c>
      <c r="D227" s="556">
        <f>'INVONTERY FEB'!D227</f>
        <v>375</v>
      </c>
      <c r="E227" s="599"/>
      <c r="F227" s="566"/>
      <c r="G227" s="567"/>
      <c r="H227" s="567"/>
      <c r="I227" s="567"/>
      <c r="J227" s="567"/>
      <c r="K227" s="567"/>
      <c r="L227" s="568"/>
      <c r="M227" s="560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9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0"/>
      <c r="AK227" s="600"/>
      <c r="AL227" s="563">
        <f t="shared" si="2"/>
        <v>0</v>
      </c>
      <c r="AM227" s="105">
        <f t="shared" si="3"/>
        <v>0</v>
      </c>
      <c r="AO227" s="564"/>
    </row>
    <row r="228" ht="15.75" hidden="1" customHeight="1">
      <c r="A228" s="554">
        <f>'INVONTERY FEB'!A228</f>
        <v>222</v>
      </c>
      <c r="B228" s="554" t="str">
        <f>'INVONTERY FEB'!B228</f>
        <v>MUSICIAL NOTE SILICON MOLD</v>
      </c>
      <c r="C228" s="554" t="str">
        <f>'INVONTERY FEB'!C229</f>
        <v>PCS</v>
      </c>
      <c r="D228" s="556">
        <f>'INVONTERY FEB'!D228</f>
        <v>675</v>
      </c>
      <c r="E228" s="599"/>
      <c r="F228" s="566"/>
      <c r="G228" s="567"/>
      <c r="H228" s="567"/>
      <c r="I228" s="567"/>
      <c r="J228" s="567"/>
      <c r="K228" s="567"/>
      <c r="L228" s="568"/>
      <c r="M228" s="560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9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0"/>
      <c r="AK228" s="600"/>
      <c r="AL228" s="563">
        <f t="shared" si="2"/>
        <v>0</v>
      </c>
      <c r="AM228" s="105">
        <f t="shared" si="3"/>
        <v>0</v>
      </c>
      <c r="AO228" s="564"/>
    </row>
    <row r="229" ht="15.75" hidden="1" customHeight="1">
      <c r="A229" s="554">
        <f>'INVONTERY FEB'!A229</f>
        <v>223</v>
      </c>
      <c r="B229" s="554" t="str">
        <f>'INVONTERY FEB'!B229</f>
        <v>EXTRA LARGE MUSIC NOTE FOUNDANT</v>
      </c>
      <c r="C229" s="554" t="str">
        <f>'INVONTERY FEB'!C230</f>
        <v>PCS</v>
      </c>
      <c r="D229" s="556">
        <f>'INVONTERY FEB'!D229</f>
        <v>375</v>
      </c>
      <c r="E229" s="599"/>
      <c r="F229" s="566"/>
      <c r="G229" s="567"/>
      <c r="H229" s="567"/>
      <c r="I229" s="567"/>
      <c r="J229" s="567"/>
      <c r="K229" s="567"/>
      <c r="L229" s="568"/>
      <c r="M229" s="560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9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0"/>
      <c r="AK229" s="600"/>
      <c r="AL229" s="563">
        <f t="shared" si="2"/>
        <v>0</v>
      </c>
      <c r="AM229" s="105">
        <f t="shared" si="3"/>
        <v>0</v>
      </c>
      <c r="AO229" s="564"/>
    </row>
    <row r="230" ht="15.75" hidden="1" customHeight="1">
      <c r="A230" s="554">
        <f>'INVONTERY FEB'!A230</f>
        <v>224</v>
      </c>
      <c r="B230" s="554" t="str">
        <f>'INVONTERY FEB'!B230</f>
        <v>SILICON MOLD CURVED FISH TAIL LARGE</v>
      </c>
      <c r="C230" s="554" t="str">
        <f>'INVONTERY FEB'!C231</f>
        <v>PCS</v>
      </c>
      <c r="D230" s="556">
        <f>'INVONTERY FEB'!D230</f>
        <v>600</v>
      </c>
      <c r="E230" s="599"/>
      <c r="F230" s="566"/>
      <c r="G230" s="567"/>
      <c r="H230" s="567"/>
      <c r="I230" s="567"/>
      <c r="J230" s="567"/>
      <c r="K230" s="567"/>
      <c r="L230" s="568"/>
      <c r="M230" s="560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9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0"/>
      <c r="AK230" s="600"/>
      <c r="AL230" s="563">
        <f t="shared" si="2"/>
        <v>0</v>
      </c>
      <c r="AM230" s="105">
        <f t="shared" si="3"/>
        <v>0</v>
      </c>
      <c r="AO230" s="564"/>
    </row>
    <row r="231" ht="15.75" hidden="1" customHeight="1">
      <c r="A231" s="554">
        <f>'INVONTERY FEB'!A231</f>
        <v>225</v>
      </c>
      <c r="B231" s="554" t="str">
        <f>'INVONTERY FEB'!B231</f>
        <v>SILICON MOLD LEAF 12 CAV</v>
      </c>
      <c r="C231" s="554" t="str">
        <f>'INVONTERY FEB'!C232</f>
        <v>PCS</v>
      </c>
      <c r="D231" s="556">
        <f>'INVONTERY FEB'!D231</f>
        <v>450</v>
      </c>
      <c r="E231" s="599"/>
      <c r="F231" s="566"/>
      <c r="G231" s="567"/>
      <c r="H231" s="567"/>
      <c r="I231" s="567"/>
      <c r="J231" s="567"/>
      <c r="K231" s="567"/>
      <c r="L231" s="568"/>
      <c r="M231" s="560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9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0"/>
      <c r="AK231" s="600"/>
      <c r="AL231" s="563">
        <f t="shared" si="2"/>
        <v>0</v>
      </c>
      <c r="AM231" s="105">
        <f t="shared" si="3"/>
        <v>0</v>
      </c>
      <c r="AO231" s="564"/>
    </row>
    <row r="232" ht="15.75" hidden="1" customHeight="1">
      <c r="A232" s="554">
        <f>'INVONTERY FEB'!A232</f>
        <v>226</v>
      </c>
      <c r="B232" s="554" t="str">
        <f>'INVONTERY FEB'!B232</f>
        <v>SILICON MOLD ROUND BALLS TEN CAVITY NEW</v>
      </c>
      <c r="C232" s="554" t="str">
        <f>'INVONTERY FEB'!C233</f>
        <v>PCS</v>
      </c>
      <c r="D232" s="556">
        <f>'INVONTERY FEB'!D232</f>
        <v>465</v>
      </c>
      <c r="E232" s="599"/>
      <c r="F232" s="566"/>
      <c r="G232" s="567"/>
      <c r="H232" s="567"/>
      <c r="I232" s="567"/>
      <c r="J232" s="567"/>
      <c r="K232" s="567"/>
      <c r="L232" s="568"/>
      <c r="M232" s="560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9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0"/>
      <c r="AK232" s="600"/>
      <c r="AL232" s="563">
        <f t="shared" si="2"/>
        <v>0</v>
      </c>
      <c r="AM232" s="105">
        <f t="shared" si="3"/>
        <v>0</v>
      </c>
      <c r="AO232" s="564"/>
    </row>
    <row r="233" ht="15.75" hidden="1" customHeight="1">
      <c r="A233" s="554">
        <f>'INVONTERY FEB'!A233</f>
        <v>227</v>
      </c>
      <c r="B233" s="554" t="str">
        <f>'INVONTERY FEB'!B233</f>
        <v>SILICON MOLD FLOWER BALLS TEN CAVITY NEW</v>
      </c>
      <c r="C233" s="554" t="str">
        <f>'INVONTERY FEB'!C234</f>
        <v>PCS</v>
      </c>
      <c r="D233" s="556">
        <f>'INVONTERY FEB'!D233</f>
        <v>390</v>
      </c>
      <c r="E233" s="599"/>
      <c r="F233" s="566"/>
      <c r="G233" s="567"/>
      <c r="H233" s="567"/>
      <c r="I233" s="567"/>
      <c r="J233" s="567"/>
      <c r="K233" s="567"/>
      <c r="L233" s="568"/>
      <c r="M233" s="560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9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0"/>
      <c r="AK233" s="600"/>
      <c r="AL233" s="563">
        <f t="shared" si="2"/>
        <v>0</v>
      </c>
      <c r="AM233" s="105">
        <f t="shared" si="3"/>
        <v>0</v>
      </c>
      <c r="AO233" s="564"/>
    </row>
    <row r="234" ht="15.75" hidden="1" customHeight="1">
      <c r="A234" s="554">
        <f>'INVONTERY FEB'!A234</f>
        <v>228</v>
      </c>
      <c r="B234" s="554" t="str">
        <f>'INVONTERY FEB'!B234</f>
        <v>SMG CROWN 2 PCS</v>
      </c>
      <c r="C234" s="554" t="str">
        <f>'INVONTERY FEB'!C235</f>
        <v>PCS</v>
      </c>
      <c r="D234" s="556">
        <f>'INVONTERY FEB'!D234</f>
        <v>525</v>
      </c>
      <c r="E234" s="599"/>
      <c r="F234" s="566"/>
      <c r="G234" s="567"/>
      <c r="H234" s="567"/>
      <c r="I234" s="567"/>
      <c r="J234" s="567"/>
      <c r="K234" s="567"/>
      <c r="L234" s="568"/>
      <c r="M234" s="560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9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0"/>
      <c r="AK234" s="600"/>
      <c r="AL234" s="563">
        <f t="shared" si="2"/>
        <v>0</v>
      </c>
      <c r="AM234" s="105">
        <f t="shared" si="3"/>
        <v>0</v>
      </c>
      <c r="AO234" s="564"/>
    </row>
    <row r="235" ht="15.75" hidden="1" customHeight="1">
      <c r="A235" s="554">
        <f>'INVONTERY FEB'!A235</f>
        <v>229</v>
      </c>
      <c r="B235" s="554" t="str">
        <f>'INVONTERY FEB'!B235</f>
        <v>SPM MINI SUNFLOWER 5 CAVITY</v>
      </c>
      <c r="C235" s="554" t="str">
        <f>'INVONTERY FEB'!C236</f>
        <v>PCS</v>
      </c>
      <c r="D235" s="556">
        <f>'INVONTERY FEB'!D235</f>
        <v>450</v>
      </c>
      <c r="E235" s="599"/>
      <c r="F235" s="566"/>
      <c r="G235" s="567"/>
      <c r="H235" s="567"/>
      <c r="I235" s="567"/>
      <c r="J235" s="567"/>
      <c r="K235" s="567"/>
      <c r="L235" s="568"/>
      <c r="M235" s="560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9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0"/>
      <c r="AK235" s="600"/>
      <c r="AL235" s="563">
        <f t="shared" si="2"/>
        <v>0</v>
      </c>
      <c r="AM235" s="105">
        <f t="shared" si="3"/>
        <v>0</v>
      </c>
      <c r="AO235" s="564"/>
    </row>
    <row r="236" ht="15.75" hidden="1" customHeight="1">
      <c r="A236" s="554">
        <f>'INVONTERY FEB'!A236</f>
        <v>230</v>
      </c>
      <c r="B236" s="554" t="str">
        <f>'INVONTERY FEB'!B236</f>
        <v>IE ICING NOZZEL PKT</v>
      </c>
      <c r="C236" s="554" t="str">
        <f>'INVONTERY FEB'!C237</f>
        <v>PCS</v>
      </c>
      <c r="D236" s="556">
        <f>'INVONTERY FEB'!D236</f>
        <v>780</v>
      </c>
      <c r="E236" s="599"/>
      <c r="F236" s="566"/>
      <c r="G236" s="567"/>
      <c r="H236" s="567"/>
      <c r="I236" s="567"/>
      <c r="J236" s="567"/>
      <c r="K236" s="567"/>
      <c r="L236" s="568"/>
      <c r="M236" s="560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9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0"/>
      <c r="AK236" s="600"/>
      <c r="AL236" s="563">
        <f t="shared" si="2"/>
        <v>0</v>
      </c>
      <c r="AM236" s="105">
        <f t="shared" si="3"/>
        <v>0</v>
      </c>
      <c r="AO236" s="564"/>
    </row>
    <row r="237" ht="15.75" hidden="1" customHeight="1">
      <c r="A237" s="554">
        <f>'INVONTERY FEB'!A237</f>
        <v>231</v>
      </c>
      <c r="B237" s="554" t="str">
        <f>'INVONTERY FEB'!B237</f>
        <v>SILICON MOLD NECKLACE WITH FLOWER</v>
      </c>
      <c r="C237" s="554" t="str">
        <f>'INVONTERY FEB'!C238</f>
        <v>PCS</v>
      </c>
      <c r="D237" s="556">
        <f>'INVONTERY FEB'!D237</f>
        <v>525</v>
      </c>
      <c r="E237" s="599"/>
      <c r="F237" s="566"/>
      <c r="G237" s="567"/>
      <c r="H237" s="567"/>
      <c r="I237" s="567"/>
      <c r="J237" s="567"/>
      <c r="K237" s="567"/>
      <c r="L237" s="568"/>
      <c r="M237" s="560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9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0"/>
      <c r="AK237" s="600"/>
      <c r="AL237" s="563">
        <f t="shared" si="2"/>
        <v>0</v>
      </c>
      <c r="AM237" s="105">
        <f t="shared" si="3"/>
        <v>0</v>
      </c>
      <c r="AO237" s="564"/>
    </row>
    <row r="238" ht="15.75" hidden="1" customHeight="1">
      <c r="A238" s="554">
        <f>'INVONTERY FEB'!A238</f>
        <v>232</v>
      </c>
      <c r="B238" s="554" t="str">
        <f>'INVONTERY FEB'!B238</f>
        <v>SUNFLOWER PLUNGER CUTTER SET</v>
      </c>
      <c r="C238" s="554" t="str">
        <f>'INVONTERY FEB'!C239</f>
        <v>PCS</v>
      </c>
      <c r="D238" s="556">
        <f>'INVONTERY FEB'!D238</f>
        <v>255</v>
      </c>
      <c r="E238" s="599"/>
      <c r="F238" s="566"/>
      <c r="G238" s="567"/>
      <c r="H238" s="567"/>
      <c r="I238" s="567"/>
      <c r="J238" s="567"/>
      <c r="K238" s="567"/>
      <c r="L238" s="568"/>
      <c r="M238" s="560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9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0"/>
      <c r="AK238" s="600"/>
      <c r="AL238" s="563">
        <f t="shared" si="2"/>
        <v>0</v>
      </c>
      <c r="AM238" s="105">
        <f t="shared" si="3"/>
        <v>0</v>
      </c>
      <c r="AO238" s="564"/>
    </row>
    <row r="239" ht="15.75" hidden="1" customHeight="1">
      <c r="A239" s="554">
        <f>'INVONTERY FEB'!A239</f>
        <v>233</v>
      </c>
      <c r="B239" s="554" t="str">
        <f>'INVONTERY FEB'!B239</f>
        <v>6 PETAL FLOWER PLUNGER</v>
      </c>
      <c r="C239" s="554" t="str">
        <f>'INVONTERY FEB'!C240</f>
        <v>PCS</v>
      </c>
      <c r="D239" s="556">
        <f>'INVONTERY FEB'!D239</f>
        <v>195</v>
      </c>
      <c r="E239" s="599"/>
      <c r="F239" s="566"/>
      <c r="G239" s="567"/>
      <c r="H239" s="567"/>
      <c r="I239" s="567"/>
      <c r="J239" s="567"/>
      <c r="K239" s="567"/>
      <c r="L239" s="568"/>
      <c r="M239" s="560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9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0"/>
      <c r="AK239" s="600"/>
      <c r="AL239" s="563">
        <f t="shared" si="2"/>
        <v>0</v>
      </c>
      <c r="AM239" s="105">
        <f t="shared" si="3"/>
        <v>0</v>
      </c>
      <c r="AO239" s="564"/>
    </row>
    <row r="240" ht="15.75" hidden="1" customHeight="1">
      <c r="A240" s="554">
        <f>'INVONTERY FEB'!A240</f>
        <v>234</v>
      </c>
      <c r="B240" s="554" t="str">
        <f>'INVONTERY FEB'!B240</f>
        <v>DASHIY MINI SUNFLOWER PLUNGER</v>
      </c>
      <c r="C240" s="554" t="str">
        <f>'INVONTERY FEB'!C241</f>
        <v>PCS</v>
      </c>
      <c r="D240" s="556">
        <f>'INVONTERY FEB'!D240</f>
        <v>225</v>
      </c>
      <c r="E240" s="599"/>
      <c r="F240" s="566"/>
      <c r="G240" s="567"/>
      <c r="H240" s="567"/>
      <c r="I240" s="567"/>
      <c r="J240" s="567"/>
      <c r="K240" s="567"/>
      <c r="L240" s="568"/>
      <c r="M240" s="560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9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0"/>
      <c r="AK240" s="600"/>
      <c r="AL240" s="563">
        <f t="shared" si="2"/>
        <v>0</v>
      </c>
      <c r="AM240" s="105">
        <f t="shared" si="3"/>
        <v>0</v>
      </c>
      <c r="AO240" s="564"/>
    </row>
    <row r="241" ht="15.75" hidden="1" customHeight="1">
      <c r="A241" s="554">
        <f>'INVONTERY FEB'!A241</f>
        <v>235</v>
      </c>
      <c r="B241" s="554" t="str">
        <f>'INVONTERY FEB'!B241</f>
        <v>FOUNDANT MODLING TOOLS 9 PCS SET</v>
      </c>
      <c r="C241" s="554" t="str">
        <f>'INVONTERY FEB'!C242</f>
        <v>PCS</v>
      </c>
      <c r="D241" s="556">
        <f>'INVONTERY FEB'!D241</f>
        <v>375</v>
      </c>
      <c r="E241" s="599"/>
      <c r="F241" s="566"/>
      <c r="G241" s="567"/>
      <c r="H241" s="567"/>
      <c r="I241" s="567"/>
      <c r="J241" s="567"/>
      <c r="K241" s="567"/>
      <c r="L241" s="568"/>
      <c r="M241" s="560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9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0"/>
      <c r="AK241" s="600"/>
      <c r="AL241" s="563">
        <f t="shared" si="2"/>
        <v>0</v>
      </c>
      <c r="AM241" s="105">
        <f t="shared" si="3"/>
        <v>0</v>
      </c>
      <c r="AO241" s="564"/>
    </row>
    <row r="242" ht="15.75" hidden="1" customHeight="1">
      <c r="A242" s="554">
        <f>'INVONTERY FEB'!A242</f>
        <v>236</v>
      </c>
      <c r="B242" s="554" t="str">
        <f>'INVONTERY FEB'!B242</f>
        <v>BOW PLUNGER CUTTER</v>
      </c>
      <c r="C242" s="554" t="str">
        <f>'INVONTERY FEB'!C243</f>
        <v>PCS</v>
      </c>
      <c r="D242" s="556">
        <f>'INVONTERY FEB'!D242</f>
        <v>290</v>
      </c>
      <c r="E242" s="599"/>
      <c r="F242" s="566"/>
      <c r="G242" s="567"/>
      <c r="H242" s="567"/>
      <c r="I242" s="567"/>
      <c r="J242" s="567"/>
      <c r="K242" s="567"/>
      <c r="L242" s="568"/>
      <c r="M242" s="560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9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0"/>
      <c r="AK242" s="600"/>
      <c r="AL242" s="563">
        <f t="shared" si="2"/>
        <v>0</v>
      </c>
      <c r="AM242" s="105">
        <f t="shared" si="3"/>
        <v>0</v>
      </c>
      <c r="AO242" s="564"/>
    </row>
    <row r="243" ht="15.75" hidden="1" customHeight="1">
      <c r="A243" s="554">
        <f>'INVONTERY FEB'!A243</f>
        <v>237</v>
      </c>
      <c r="B243" s="554" t="str">
        <f>'INVONTERY FEB'!B243</f>
        <v>SUNFLOWER EMBOOS PLUNGER CUTTER 3 PCS</v>
      </c>
      <c r="C243" s="554" t="str">
        <f>'INVONTERY FEB'!C244</f>
        <v>PCS</v>
      </c>
      <c r="D243" s="556">
        <f>'INVONTERY FEB'!D243</f>
        <v>292</v>
      </c>
      <c r="E243" s="599"/>
      <c r="F243" s="566"/>
      <c r="G243" s="567"/>
      <c r="H243" s="567"/>
      <c r="I243" s="567"/>
      <c r="J243" s="567"/>
      <c r="K243" s="567"/>
      <c r="L243" s="568"/>
      <c r="M243" s="560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9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0"/>
      <c r="AK243" s="600"/>
      <c r="AL243" s="563">
        <f t="shared" si="2"/>
        <v>0</v>
      </c>
      <c r="AM243" s="105">
        <f t="shared" si="3"/>
        <v>0</v>
      </c>
      <c r="AO243" s="564"/>
    </row>
    <row r="244" ht="15.75" hidden="1" customHeight="1">
      <c r="A244" s="554">
        <f>'INVONTERY FEB'!A244</f>
        <v>238</v>
      </c>
      <c r="B244" s="554" t="str">
        <f>'INVONTERY FEB'!B244</f>
        <v>PAINT BRUSHES 6 PCS SET</v>
      </c>
      <c r="C244" s="554" t="str">
        <f>'INVONTERY FEB'!C245</f>
        <v>PCS</v>
      </c>
      <c r="D244" s="556">
        <f>'INVONTERY FEB'!D244</f>
        <v>290</v>
      </c>
      <c r="E244" s="599"/>
      <c r="F244" s="566"/>
      <c r="G244" s="567"/>
      <c r="H244" s="567"/>
      <c r="I244" s="567"/>
      <c r="J244" s="567"/>
      <c r="K244" s="567"/>
      <c r="L244" s="568"/>
      <c r="M244" s="560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9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0"/>
      <c r="AK244" s="600"/>
      <c r="AL244" s="563">
        <f t="shared" si="2"/>
        <v>0</v>
      </c>
      <c r="AM244" s="105">
        <f t="shared" si="3"/>
        <v>0</v>
      </c>
      <c r="AO244" s="564"/>
    </row>
    <row r="245" ht="15.75" hidden="1" customHeight="1">
      <c r="A245" s="554">
        <f>'INVONTERY FEB'!A245</f>
        <v>239</v>
      </c>
      <c r="B245" s="554" t="str">
        <f>'INVONTERY FEB'!B245</f>
        <v>MINI HUT PLUNGER CUTTER</v>
      </c>
      <c r="C245" s="554" t="str">
        <f>'INVONTERY FEB'!C246</f>
        <v>PCS</v>
      </c>
      <c r="D245" s="556">
        <f>'INVONTERY FEB'!D245</f>
        <v>292</v>
      </c>
      <c r="E245" s="599"/>
      <c r="F245" s="566"/>
      <c r="G245" s="567"/>
      <c r="H245" s="567"/>
      <c r="I245" s="567"/>
      <c r="J245" s="567"/>
      <c r="K245" s="567"/>
      <c r="L245" s="568"/>
      <c r="M245" s="560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9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0"/>
      <c r="AK245" s="600"/>
      <c r="AL245" s="563">
        <f t="shared" si="2"/>
        <v>0</v>
      </c>
      <c r="AM245" s="105">
        <f t="shared" si="3"/>
        <v>0</v>
      </c>
      <c r="AO245" s="564"/>
    </row>
    <row r="246" ht="15.75" hidden="1" customHeight="1">
      <c r="A246" s="554">
        <f>'INVONTERY FEB'!A246</f>
        <v>240</v>
      </c>
      <c r="B246" s="554" t="str">
        <f>'INVONTERY FEB'!B246</f>
        <v>PATTY CUTTER SQUARE 2 SIDED PLASTIC</v>
      </c>
      <c r="C246" s="554" t="str">
        <f>'INVONTERY FEB'!C247</f>
        <v>PKT</v>
      </c>
      <c r="D246" s="556">
        <f>'INVONTERY FEB'!D246</f>
        <v>225</v>
      </c>
      <c r="E246" s="599"/>
      <c r="F246" s="566"/>
      <c r="G246" s="567"/>
      <c r="H246" s="567"/>
      <c r="I246" s="567"/>
      <c r="J246" s="567"/>
      <c r="K246" s="567"/>
      <c r="L246" s="568"/>
      <c r="M246" s="560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9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0"/>
      <c r="AK246" s="600"/>
      <c r="AL246" s="563">
        <f t="shared" si="2"/>
        <v>0</v>
      </c>
      <c r="AM246" s="105">
        <f t="shared" si="3"/>
        <v>0</v>
      </c>
      <c r="AO246" s="564"/>
    </row>
    <row r="247" ht="15.75" hidden="1" customHeight="1">
      <c r="A247" s="554">
        <f>'INVONTERY FEB'!A247</f>
        <v>241</v>
      </c>
      <c r="B247" s="554" t="str">
        <f>'INVONTERY FEB'!B247</f>
        <v>BISCUIT MARIE</v>
      </c>
      <c r="C247" s="554" t="str">
        <f>'INVONTERY FEB'!C248</f>
        <v>PCS</v>
      </c>
      <c r="D247" s="556">
        <f>'INVONTERY FEB'!D247</f>
        <v>480</v>
      </c>
      <c r="E247" s="599"/>
      <c r="F247" s="566"/>
      <c r="G247" s="567"/>
      <c r="H247" s="567"/>
      <c r="I247" s="567"/>
      <c r="J247" s="567"/>
      <c r="K247" s="567"/>
      <c r="L247" s="568"/>
      <c r="M247" s="560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9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0"/>
      <c r="AK247" s="600"/>
      <c r="AL247" s="563">
        <f t="shared" si="2"/>
        <v>0</v>
      </c>
      <c r="AM247" s="105">
        <f t="shared" si="3"/>
        <v>0</v>
      </c>
      <c r="AO247" s="564"/>
    </row>
    <row r="248" ht="15.75" hidden="1" customHeight="1">
      <c r="A248" s="554">
        <f>'INVONTERY FEB'!A248</f>
        <v>242</v>
      </c>
      <c r="B248" s="554" t="str">
        <f>'INVONTERY FEB'!B248</f>
        <v>SAFARI CAKE MOLD</v>
      </c>
      <c r="C248" s="554" t="str">
        <f>'INVONTERY FEB'!C249</f>
        <v>PCS</v>
      </c>
      <c r="D248" s="556">
        <f>'INVONTERY FEB'!D248</f>
        <v>420</v>
      </c>
      <c r="E248" s="599"/>
      <c r="F248" s="566"/>
      <c r="G248" s="567"/>
      <c r="H248" s="567"/>
      <c r="I248" s="567"/>
      <c r="J248" s="567"/>
      <c r="K248" s="567"/>
      <c r="L248" s="568"/>
      <c r="M248" s="560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9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0"/>
      <c r="AK248" s="600"/>
      <c r="AL248" s="563">
        <f t="shared" si="2"/>
        <v>0</v>
      </c>
      <c r="AM248" s="105">
        <f t="shared" si="3"/>
        <v>0</v>
      </c>
      <c r="AO248" s="564"/>
    </row>
    <row r="249" ht="15.75" hidden="1" customHeight="1">
      <c r="A249" s="554">
        <f>'INVONTERY FEB'!A249</f>
        <v>243</v>
      </c>
      <c r="B249" s="554" t="str">
        <f>'INVONTERY FEB'!B249</f>
        <v>DAIMOND PLUNGER</v>
      </c>
      <c r="C249" s="554" t="str">
        <f>'INVONTERY FEB'!C250</f>
        <v>PCS</v>
      </c>
      <c r="D249" s="556">
        <f>'INVONTERY FEB'!D249</f>
        <v>290</v>
      </c>
      <c r="E249" s="599"/>
      <c r="F249" s="566"/>
      <c r="G249" s="567"/>
      <c r="H249" s="567"/>
      <c r="I249" s="567"/>
      <c r="J249" s="567"/>
      <c r="K249" s="567"/>
      <c r="L249" s="568"/>
      <c r="M249" s="560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9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0"/>
      <c r="AK249" s="600"/>
      <c r="AL249" s="563">
        <f t="shared" si="2"/>
        <v>0</v>
      </c>
      <c r="AM249" s="105">
        <f t="shared" si="3"/>
        <v>0</v>
      </c>
      <c r="AO249" s="564"/>
    </row>
    <row r="250" ht="15.75" hidden="1" customHeight="1">
      <c r="A250" s="554">
        <f>'INVONTERY FEB'!A250</f>
        <v>244</v>
      </c>
      <c r="B250" s="554" t="str">
        <f>'INVONTERY FEB'!B250</f>
        <v>PRECISIOUN KNIFE SET</v>
      </c>
      <c r="C250" s="554" t="str">
        <f>'INVONTERY FEB'!C251</f>
        <v>PCS</v>
      </c>
      <c r="D250" s="556">
        <f>'INVONTERY FEB'!D250</f>
        <v>425</v>
      </c>
      <c r="E250" s="599"/>
      <c r="F250" s="566"/>
      <c r="G250" s="567"/>
      <c r="H250" s="567"/>
      <c r="I250" s="567"/>
      <c r="J250" s="567"/>
      <c r="K250" s="567"/>
      <c r="L250" s="568"/>
      <c r="M250" s="560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9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0"/>
      <c r="AK250" s="600"/>
      <c r="AL250" s="563">
        <f t="shared" si="2"/>
        <v>0</v>
      </c>
      <c r="AM250" s="105">
        <f t="shared" si="3"/>
        <v>0</v>
      </c>
      <c r="AO250" s="564"/>
    </row>
    <row r="251" ht="15.75" hidden="1" customHeight="1">
      <c r="A251" s="554">
        <f>'INVONTERY FEB'!A251</f>
        <v>245</v>
      </c>
      <c r="B251" s="554" t="str">
        <f>'INVONTERY FEB'!B251</f>
        <v>BLACK FOOD MAKER</v>
      </c>
      <c r="C251" s="554" t="str">
        <f>'INVONTERY FEB'!C252</f>
        <v>PCS</v>
      </c>
      <c r="D251" s="556">
        <f>'INVONTERY FEB'!D251</f>
        <v>375</v>
      </c>
      <c r="E251" s="599"/>
      <c r="F251" s="566"/>
      <c r="G251" s="567"/>
      <c r="H251" s="567"/>
      <c r="I251" s="567"/>
      <c r="J251" s="567"/>
      <c r="K251" s="567"/>
      <c r="L251" s="568"/>
      <c r="M251" s="560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9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0"/>
      <c r="AK251" s="600"/>
      <c r="AL251" s="563">
        <f t="shared" si="2"/>
        <v>0</v>
      </c>
      <c r="AM251" s="105">
        <f t="shared" si="3"/>
        <v>0</v>
      </c>
      <c r="AO251" s="564"/>
    </row>
    <row r="252" ht="15.75" hidden="1" customHeight="1">
      <c r="A252" s="554">
        <f>'INVONTERY FEB'!A252</f>
        <v>246</v>
      </c>
      <c r="B252" s="554" t="str">
        <f>'INVONTERY FEB'!B252</f>
        <v>5 PETAL 4 CAVITY SLICION MOLD</v>
      </c>
      <c r="C252" s="554" t="str">
        <f>'INVONTERY FEB'!C253</f>
        <v>PCS</v>
      </c>
      <c r="D252" s="556">
        <f>'INVONTERY FEB'!D252</f>
        <v>570</v>
      </c>
      <c r="E252" s="599"/>
      <c r="F252" s="566"/>
      <c r="G252" s="567"/>
      <c r="H252" s="567"/>
      <c r="I252" s="567"/>
      <c r="J252" s="567"/>
      <c r="K252" s="567"/>
      <c r="L252" s="568"/>
      <c r="M252" s="560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9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0"/>
      <c r="AK252" s="600"/>
      <c r="AL252" s="563">
        <f t="shared" si="2"/>
        <v>0</v>
      </c>
      <c r="AM252" s="105">
        <f t="shared" si="3"/>
        <v>0</v>
      </c>
      <c r="AO252" s="564"/>
    </row>
    <row r="253" ht="15.75" hidden="1" customHeight="1">
      <c r="A253" s="554">
        <f>'INVONTERY FEB'!A253</f>
        <v>247</v>
      </c>
      <c r="B253" s="554" t="str">
        <f>'INVONTERY FEB'!B253</f>
        <v>SNOW FLAKE PLUNGER 3 PCS</v>
      </c>
      <c r="C253" s="554" t="str">
        <f>'INVONTERY FEB'!C254</f>
        <v>PCS</v>
      </c>
      <c r="D253" s="556">
        <f>'INVONTERY FEB'!D253</f>
        <v>290</v>
      </c>
      <c r="E253" s="599"/>
      <c r="F253" s="566"/>
      <c r="G253" s="567"/>
      <c r="H253" s="567"/>
      <c r="I253" s="567"/>
      <c r="J253" s="567"/>
      <c r="K253" s="567"/>
      <c r="L253" s="568"/>
      <c r="M253" s="560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9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0"/>
      <c r="AK253" s="600"/>
      <c r="AL253" s="563">
        <f t="shared" si="2"/>
        <v>0</v>
      </c>
      <c r="AM253" s="105">
        <f t="shared" si="3"/>
        <v>0</v>
      </c>
      <c r="AO253" s="564"/>
    </row>
    <row r="254" ht="15.75" hidden="1" customHeight="1">
      <c r="A254" s="554">
        <f>'INVONTERY FEB'!A254</f>
        <v>248</v>
      </c>
      <c r="B254" s="554" t="str">
        <f>'INVONTERY FEB'!B254</f>
        <v>FOUNDANT RIBBON CUTTER</v>
      </c>
      <c r="C254" s="554" t="str">
        <f>'INVONTERY FEB'!C255</f>
        <v>PCS</v>
      </c>
      <c r="D254" s="556">
        <f>'INVONTERY FEB'!D254</f>
        <v>910</v>
      </c>
      <c r="E254" s="599"/>
      <c r="F254" s="566"/>
      <c r="G254" s="567"/>
      <c r="H254" s="567"/>
      <c r="I254" s="567"/>
      <c r="J254" s="567"/>
      <c r="K254" s="567"/>
      <c r="L254" s="568"/>
      <c r="M254" s="560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9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0"/>
      <c r="AK254" s="600"/>
      <c r="AL254" s="563">
        <f t="shared" si="2"/>
        <v>0</v>
      </c>
      <c r="AM254" s="105">
        <f t="shared" si="3"/>
        <v>0</v>
      </c>
      <c r="AO254" s="564"/>
    </row>
    <row r="255" ht="15.75" hidden="1" customHeight="1">
      <c r="A255" s="554">
        <f>'INVONTERY FEB'!A255</f>
        <v>249</v>
      </c>
      <c r="B255" s="554" t="str">
        <f>'INVONTERY FEB'!B255</f>
        <v>HEXAGON PLUNGER CUTTER</v>
      </c>
      <c r="C255" s="554" t="str">
        <f>'INVONTERY FEB'!C256</f>
        <v>PCS</v>
      </c>
      <c r="D255" s="556">
        <f>'INVONTERY FEB'!D255</f>
        <v>290</v>
      </c>
      <c r="E255" s="599"/>
      <c r="F255" s="566"/>
      <c r="G255" s="567"/>
      <c r="H255" s="567"/>
      <c r="I255" s="567"/>
      <c r="J255" s="567"/>
      <c r="K255" s="567"/>
      <c r="L255" s="568"/>
      <c r="M255" s="560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9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0"/>
      <c r="AK255" s="600"/>
      <c r="AL255" s="563">
        <f t="shared" si="2"/>
        <v>0</v>
      </c>
      <c r="AM255" s="105">
        <f t="shared" si="3"/>
        <v>0</v>
      </c>
      <c r="AO255" s="564"/>
    </row>
    <row r="256" ht="15.75" hidden="1" customHeight="1">
      <c r="A256" s="554">
        <f>'INVONTERY FEB'!A256</f>
        <v>250</v>
      </c>
      <c r="B256" s="554" t="str">
        <f>'INVONTERY FEB'!B256</f>
        <v>PRINICESS TIARA CUTTER</v>
      </c>
      <c r="C256" s="554" t="str">
        <f>'INVONTERY FEB'!C257</f>
        <v>PCS</v>
      </c>
      <c r="D256" s="556">
        <f>'INVONTERY FEB'!D256</f>
        <v>550</v>
      </c>
      <c r="E256" s="599"/>
      <c r="F256" s="566"/>
      <c r="G256" s="567"/>
      <c r="H256" s="567"/>
      <c r="I256" s="567"/>
      <c r="J256" s="567"/>
      <c r="K256" s="567"/>
      <c r="L256" s="568"/>
      <c r="M256" s="560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9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0"/>
      <c r="AK256" s="600"/>
      <c r="AL256" s="563">
        <f t="shared" si="2"/>
        <v>0</v>
      </c>
      <c r="AM256" s="105">
        <f t="shared" si="3"/>
        <v>0</v>
      </c>
      <c r="AO256" s="564"/>
    </row>
    <row r="257" ht="15.75" hidden="1" customHeight="1">
      <c r="A257" s="554">
        <f>'INVONTERY FEB'!A257</f>
        <v>251</v>
      </c>
      <c r="B257" s="554" t="str">
        <f>'INVONTERY FEB'!B257</f>
        <v>SPM BABY 4 FEET</v>
      </c>
      <c r="C257" s="554" t="str">
        <f>'INVONTERY FEB'!C258</f>
        <v>PCS</v>
      </c>
      <c r="D257" s="556">
        <f>'INVONTERY FEB'!D257</f>
        <v>550</v>
      </c>
      <c r="E257" s="599"/>
      <c r="F257" s="566"/>
      <c r="G257" s="567"/>
      <c r="H257" s="567"/>
      <c r="I257" s="567"/>
      <c r="J257" s="567"/>
      <c r="K257" s="567"/>
      <c r="L257" s="568"/>
      <c r="M257" s="560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9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0"/>
      <c r="AK257" s="600"/>
      <c r="AL257" s="563">
        <f t="shared" si="2"/>
        <v>0</v>
      </c>
      <c r="AM257" s="105">
        <f t="shared" si="3"/>
        <v>0</v>
      </c>
      <c r="AO257" s="564"/>
    </row>
    <row r="258" ht="15.75" hidden="1" customHeight="1">
      <c r="A258" s="554">
        <f>'INVONTERY FEB'!A258</f>
        <v>252</v>
      </c>
      <c r="B258" s="554" t="str">
        <f>'INVONTERY FEB'!B258</f>
        <v>IVY LEAF PLUNGER</v>
      </c>
      <c r="C258" s="554" t="str">
        <f>'INVONTERY FEB'!C259</f>
        <v>PCS</v>
      </c>
      <c r="D258" s="556">
        <f>'INVONTERY FEB'!D258</f>
        <v>293</v>
      </c>
      <c r="E258" s="599"/>
      <c r="F258" s="566"/>
      <c r="G258" s="567"/>
      <c r="H258" s="567"/>
      <c r="I258" s="567"/>
      <c r="J258" s="567"/>
      <c r="K258" s="567"/>
      <c r="L258" s="568"/>
      <c r="M258" s="560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9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0"/>
      <c r="AK258" s="600"/>
      <c r="AL258" s="563">
        <f t="shared" si="2"/>
        <v>0</v>
      </c>
      <c r="AM258" s="105">
        <f t="shared" si="3"/>
        <v>0</v>
      </c>
      <c r="AO258" s="564"/>
    </row>
    <row r="259" ht="15.75" hidden="1" customHeight="1">
      <c r="A259" s="554">
        <f>'INVONTERY FEB'!A259</f>
        <v>253</v>
      </c>
      <c r="B259" s="554" t="str">
        <f>'INVONTERY FEB'!B259</f>
        <v>ART CLAY POTTERY TOOL SET</v>
      </c>
      <c r="C259" s="554" t="str">
        <f>'INVONTERY FEB'!C260</f>
        <v>PCS</v>
      </c>
      <c r="D259" s="556">
        <f>'INVONTERY FEB'!D259</f>
        <v>1350</v>
      </c>
      <c r="E259" s="599"/>
      <c r="F259" s="566"/>
      <c r="G259" s="567"/>
      <c r="H259" s="567"/>
      <c r="I259" s="567"/>
      <c r="J259" s="567"/>
      <c r="K259" s="567"/>
      <c r="L259" s="568"/>
      <c r="M259" s="560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9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0"/>
      <c r="AK259" s="600"/>
      <c r="AL259" s="563">
        <f t="shared" si="2"/>
        <v>0</v>
      </c>
      <c r="AM259" s="105">
        <f t="shared" si="3"/>
        <v>0</v>
      </c>
      <c r="AO259" s="564"/>
    </row>
    <row r="260" ht="15.75" hidden="1" customHeight="1">
      <c r="A260" s="554">
        <f>'INVONTERY FEB'!A260</f>
        <v>254</v>
      </c>
      <c r="B260" s="554" t="str">
        <f>'INVONTERY FEB'!B260</f>
        <v>SCISSOR SINGAL</v>
      </c>
      <c r="C260" s="554" t="str">
        <f>'INVONTERY FEB'!C261</f>
        <v>PCS</v>
      </c>
      <c r="D260" s="556">
        <f>'INVONTERY FEB'!D260</f>
        <v>120</v>
      </c>
      <c r="E260" s="599"/>
      <c r="F260" s="566"/>
      <c r="G260" s="567"/>
      <c r="H260" s="567"/>
      <c r="I260" s="567"/>
      <c r="J260" s="567"/>
      <c r="K260" s="567"/>
      <c r="L260" s="568"/>
      <c r="M260" s="560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9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0"/>
      <c r="AK260" s="600"/>
      <c r="AL260" s="563">
        <f t="shared" si="2"/>
        <v>0</v>
      </c>
      <c r="AM260" s="105">
        <f t="shared" si="3"/>
        <v>0</v>
      </c>
      <c r="AO260" s="564"/>
    </row>
    <row r="261" ht="15.75" hidden="1" customHeight="1">
      <c r="A261" s="554">
        <f>'INVONTERY FEB'!A261</f>
        <v>255</v>
      </c>
      <c r="B261" s="554" t="str">
        <f>'INVONTERY FEB'!B261</f>
        <v>ANIMAL PLUNGER CUTTER</v>
      </c>
      <c r="C261" s="554" t="str">
        <f>'INVONTERY FEB'!C262</f>
        <v>PCS</v>
      </c>
      <c r="D261" s="556">
        <f>'INVONTERY FEB'!D261</f>
        <v>290</v>
      </c>
      <c r="E261" s="599"/>
      <c r="F261" s="566"/>
      <c r="G261" s="567"/>
      <c r="H261" s="567"/>
      <c r="I261" s="567"/>
      <c r="J261" s="567"/>
      <c r="K261" s="567"/>
      <c r="L261" s="568"/>
      <c r="M261" s="560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9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0"/>
      <c r="AK261" s="600"/>
      <c r="AL261" s="563">
        <f t="shared" si="2"/>
        <v>0</v>
      </c>
      <c r="AM261" s="105">
        <f t="shared" si="3"/>
        <v>0</v>
      </c>
      <c r="AO261" s="564"/>
    </row>
    <row r="262" ht="15.75" hidden="1" customHeight="1">
      <c r="A262" s="554">
        <f>'INVONTERY FEB'!A262</f>
        <v>256</v>
      </c>
      <c r="B262" s="554" t="str">
        <f>'INVONTERY FEB'!B262</f>
        <v>SLEEPING BABY SLICION</v>
      </c>
      <c r="C262" s="554" t="str">
        <f>'INVONTERY FEB'!C263</f>
        <v>PCS</v>
      </c>
      <c r="D262" s="556">
        <f>'INVONTERY FEB'!D262</f>
        <v>435</v>
      </c>
      <c r="E262" s="599"/>
      <c r="F262" s="566"/>
      <c r="G262" s="567"/>
      <c r="H262" s="567"/>
      <c r="I262" s="567"/>
      <c r="J262" s="567"/>
      <c r="K262" s="567"/>
      <c r="L262" s="568"/>
      <c r="M262" s="560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9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0"/>
      <c r="AK262" s="600"/>
      <c r="AL262" s="563">
        <f t="shared" si="2"/>
        <v>0</v>
      </c>
      <c r="AM262" s="105">
        <f t="shared" si="3"/>
        <v>0</v>
      </c>
      <c r="AO262" s="564"/>
    </row>
    <row r="263" ht="15.75" hidden="1" customHeight="1">
      <c r="A263" s="554">
        <f>'INVONTERY FEB'!A263</f>
        <v>257</v>
      </c>
      <c r="B263" s="554" t="str">
        <f>'INVONTERY FEB'!B263</f>
        <v>TIE BOW SLICION MOLD</v>
      </c>
      <c r="C263" s="554" t="str">
        <f>'INVONTERY FEB'!C264</f>
        <v>PCS</v>
      </c>
      <c r="D263" s="556">
        <f>'INVONTERY FEB'!D263</f>
        <v>225</v>
      </c>
      <c r="E263" s="599"/>
      <c r="F263" s="566"/>
      <c r="G263" s="567"/>
      <c r="H263" s="567"/>
      <c r="I263" s="567"/>
      <c r="J263" s="567"/>
      <c r="K263" s="567"/>
      <c r="L263" s="568"/>
      <c r="M263" s="560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9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0"/>
      <c r="AK263" s="600"/>
      <c r="AL263" s="563">
        <f t="shared" si="2"/>
        <v>0</v>
      </c>
      <c r="AM263" s="105">
        <f t="shared" si="3"/>
        <v>0</v>
      </c>
      <c r="AO263" s="564"/>
    </row>
    <row r="264" ht="15.75" hidden="1" customHeight="1">
      <c r="A264" s="554">
        <f>'INVONTERY FEB'!A264</f>
        <v>258</v>
      </c>
      <c r="B264" s="554" t="str">
        <f>'INVONTERY FEB'!B264</f>
        <v>SMW ALPHABAT SMALL</v>
      </c>
      <c r="C264" s="554" t="str">
        <f>'INVONTERY FEB'!C265</f>
        <v>PCS</v>
      </c>
      <c r="D264" s="556">
        <f>'INVONTERY FEB'!D264</f>
        <v>1050</v>
      </c>
      <c r="E264" s="599"/>
      <c r="F264" s="566"/>
      <c r="G264" s="567"/>
      <c r="H264" s="567"/>
      <c r="I264" s="567"/>
      <c r="J264" s="567"/>
      <c r="K264" s="567"/>
      <c r="L264" s="568"/>
      <c r="M264" s="560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9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0"/>
      <c r="AK264" s="600"/>
      <c r="AL264" s="563">
        <f t="shared" si="2"/>
        <v>0</v>
      </c>
      <c r="AM264" s="105">
        <f t="shared" si="3"/>
        <v>0</v>
      </c>
      <c r="AO264" s="564"/>
    </row>
    <row r="265" ht="15.75" hidden="1" customHeight="1">
      <c r="A265" s="554">
        <f>'INVONTERY FEB'!A265</f>
        <v>259</v>
      </c>
      <c r="B265" s="554" t="str">
        <f>'INVONTERY FEB'!B265</f>
        <v>CAKE SCRAPER PLASTIC 3 PCS</v>
      </c>
      <c r="C265" s="554" t="str">
        <f>'INVONTERY FEB'!C266</f>
        <v>PCS</v>
      </c>
      <c r="D265" s="556">
        <f>'INVONTERY FEB'!D265</f>
        <v>210</v>
      </c>
      <c r="E265" s="599"/>
      <c r="F265" s="566"/>
      <c r="G265" s="567"/>
      <c r="H265" s="567"/>
      <c r="I265" s="567"/>
      <c r="J265" s="567"/>
      <c r="K265" s="567"/>
      <c r="L265" s="568"/>
      <c r="M265" s="560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9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0"/>
      <c r="AK265" s="600"/>
      <c r="AL265" s="563">
        <f t="shared" si="2"/>
        <v>0</v>
      </c>
      <c r="AM265" s="105">
        <f t="shared" si="3"/>
        <v>0</v>
      </c>
      <c r="AO265" s="564"/>
    </row>
    <row r="266" ht="15.75" hidden="1" customHeight="1">
      <c r="A266" s="554">
        <f>'INVONTERY FEB'!A266</f>
        <v>260</v>
      </c>
      <c r="B266" s="554" t="str">
        <f>'INVONTERY FEB'!B266</f>
        <v>FLOWER OVAL PLUNGER</v>
      </c>
      <c r="C266" s="554" t="str">
        <f>'INVONTERY FEB'!C267</f>
        <v>PCS</v>
      </c>
      <c r="D266" s="556">
        <f>'INVONTERY FEB'!D266</f>
        <v>290</v>
      </c>
      <c r="E266" s="599"/>
      <c r="F266" s="566"/>
      <c r="G266" s="567"/>
      <c r="H266" s="567"/>
      <c r="I266" s="567"/>
      <c r="J266" s="567"/>
      <c r="K266" s="567"/>
      <c r="L266" s="568"/>
      <c r="M266" s="560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9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0"/>
      <c r="AK266" s="600"/>
      <c r="AL266" s="563">
        <f t="shared" si="2"/>
        <v>0</v>
      </c>
      <c r="AM266" s="105">
        <f t="shared" si="3"/>
        <v>0</v>
      </c>
      <c r="AO266" s="564"/>
    </row>
    <row r="267" ht="15.75" hidden="1" customHeight="1">
      <c r="A267" s="554">
        <f>'INVONTERY FEB'!A267</f>
        <v>261</v>
      </c>
      <c r="B267" s="554" t="str">
        <f>'INVONTERY FEB'!B267</f>
        <v>FOUNDANT SLICION ROLLING MAT LARGE</v>
      </c>
      <c r="C267" s="554" t="str">
        <f>'INVONTERY FEB'!C268</f>
        <v>PCS</v>
      </c>
      <c r="D267" s="556">
        <f>'INVONTERY FEB'!D267</f>
        <v>1575</v>
      </c>
      <c r="E267" s="599"/>
      <c r="F267" s="566"/>
      <c r="G267" s="567"/>
      <c r="H267" s="567"/>
      <c r="I267" s="567"/>
      <c r="J267" s="567"/>
      <c r="K267" s="567"/>
      <c r="L267" s="568"/>
      <c r="M267" s="560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9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0"/>
      <c r="AK267" s="600"/>
      <c r="AL267" s="563">
        <f t="shared" si="2"/>
        <v>0</v>
      </c>
      <c r="AM267" s="105">
        <f t="shared" si="3"/>
        <v>0</v>
      </c>
      <c r="AO267" s="564"/>
    </row>
    <row r="268" ht="15.75" hidden="1" customHeight="1">
      <c r="A268" s="554">
        <f>'INVONTERY FEB'!A268</f>
        <v>262</v>
      </c>
      <c r="B268" s="554" t="str">
        <f>'INVONTERY FEB'!B268</f>
        <v>FEARN LEAF SLICION MOLD</v>
      </c>
      <c r="C268" s="554" t="str">
        <f>'INVONTERY FEB'!C269</f>
        <v>PCS</v>
      </c>
      <c r="D268" s="556">
        <f>'INVONTERY FEB'!D268</f>
        <v>360</v>
      </c>
      <c r="E268" s="599"/>
      <c r="F268" s="566"/>
      <c r="G268" s="567"/>
      <c r="H268" s="567"/>
      <c r="I268" s="567"/>
      <c r="J268" s="567"/>
      <c r="K268" s="567"/>
      <c r="L268" s="568"/>
      <c r="M268" s="560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9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0"/>
      <c r="AK268" s="600"/>
      <c r="AL268" s="563">
        <f t="shared" si="2"/>
        <v>0</v>
      </c>
      <c r="AM268" s="105">
        <f t="shared" si="3"/>
        <v>0</v>
      </c>
      <c r="AO268" s="564"/>
    </row>
    <row r="269" ht="15.75" hidden="1" customHeight="1">
      <c r="A269" s="554">
        <f>'INVONTERY FEB'!A269</f>
        <v>263</v>
      </c>
      <c r="B269" s="554" t="str">
        <f>'INVONTERY FEB'!B269</f>
        <v>MOON STARS 120 PCS</v>
      </c>
      <c r="C269" s="554" t="str">
        <f>'INVONTERY FEB'!C270</f>
        <v>PCS</v>
      </c>
      <c r="D269" s="556">
        <f>'INVONTERY FEB'!D269</f>
        <v>12750</v>
      </c>
      <c r="E269" s="599"/>
      <c r="F269" s="566"/>
      <c r="G269" s="567"/>
      <c r="H269" s="567"/>
      <c r="I269" s="567"/>
      <c r="J269" s="567"/>
      <c r="K269" s="567"/>
      <c r="L269" s="568"/>
      <c r="M269" s="560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9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0"/>
      <c r="AK269" s="600"/>
      <c r="AL269" s="563">
        <f t="shared" si="2"/>
        <v>0</v>
      </c>
      <c r="AM269" s="105">
        <f t="shared" si="3"/>
        <v>0</v>
      </c>
      <c r="AO269" s="564"/>
    </row>
    <row r="270" ht="15.75" hidden="1" customHeight="1">
      <c r="A270" s="554">
        <f>'INVONTERY FEB'!A270</f>
        <v>264</v>
      </c>
      <c r="B270" s="554" t="str">
        <f>'INVONTERY FEB'!B270</f>
        <v>ENGLE BIRD WINGS</v>
      </c>
      <c r="C270" s="554" t="str">
        <f>'INVONTERY FEB'!C271</f>
        <v>PCS</v>
      </c>
      <c r="D270" s="556">
        <f>'INVONTERY FEB'!D270</f>
        <v>450</v>
      </c>
      <c r="E270" s="599"/>
      <c r="F270" s="566"/>
      <c r="G270" s="567"/>
      <c r="H270" s="567"/>
      <c r="I270" s="567"/>
      <c r="J270" s="567"/>
      <c r="K270" s="567"/>
      <c r="L270" s="568"/>
      <c r="M270" s="560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9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0"/>
      <c r="AK270" s="600"/>
      <c r="AL270" s="563">
        <f t="shared" si="2"/>
        <v>0</v>
      </c>
      <c r="AM270" s="105">
        <f t="shared" si="3"/>
        <v>0</v>
      </c>
      <c r="AO270" s="564"/>
    </row>
    <row r="271" ht="15.75" hidden="1" customHeight="1">
      <c r="A271" s="554">
        <f>'INVONTERY FEB'!A271</f>
        <v>265</v>
      </c>
      <c r="B271" s="554" t="str">
        <f>'INVONTERY FEB'!B271</f>
        <v>FLOWER MEAL PLASTIC 4 PCS</v>
      </c>
      <c r="C271" s="554" t="str">
        <f>'INVONTERY FEB'!C272</f>
        <v>PCS</v>
      </c>
      <c r="D271" s="556">
        <f>'INVONTERY FEB'!D271</f>
        <v>300</v>
      </c>
      <c r="E271" s="599"/>
      <c r="F271" s="566"/>
      <c r="G271" s="567"/>
      <c r="H271" s="567"/>
      <c r="I271" s="567"/>
      <c r="J271" s="567"/>
      <c r="K271" s="567"/>
      <c r="L271" s="568"/>
      <c r="M271" s="560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9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0"/>
      <c r="AK271" s="600"/>
      <c r="AL271" s="563">
        <f t="shared" si="2"/>
        <v>0</v>
      </c>
      <c r="AM271" s="105">
        <f t="shared" si="3"/>
        <v>0</v>
      </c>
      <c r="AO271" s="564"/>
    </row>
    <row r="272" ht="15.75" hidden="1" customHeight="1">
      <c r="A272" s="554">
        <f>'INVONTERY FEB'!A272</f>
        <v>266</v>
      </c>
      <c r="B272" s="554" t="str">
        <f>'INVONTERY FEB'!B272</f>
        <v>FOUNDANT CAKE SMOOTHER PLASTIC 2 PCS</v>
      </c>
      <c r="C272" s="554" t="str">
        <f>'INVONTERY FEB'!C273</f>
        <v>PCS</v>
      </c>
      <c r="D272" s="556">
        <f>'INVONTERY FEB'!D272</f>
        <v>510</v>
      </c>
      <c r="E272" s="599"/>
      <c r="F272" s="566"/>
      <c r="G272" s="567"/>
      <c r="H272" s="567"/>
      <c r="I272" s="567"/>
      <c r="J272" s="567"/>
      <c r="K272" s="567"/>
      <c r="L272" s="568"/>
      <c r="M272" s="560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9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0"/>
      <c r="AK272" s="600"/>
      <c r="AL272" s="563">
        <f t="shared" si="2"/>
        <v>0</v>
      </c>
      <c r="AM272" s="105">
        <f t="shared" si="3"/>
        <v>0</v>
      </c>
      <c r="AO272" s="564"/>
    </row>
    <row r="273" ht="15.75" hidden="1" customHeight="1">
      <c r="A273" s="554">
        <f>'INVONTERY FEB'!A273</f>
        <v>267</v>
      </c>
      <c r="B273" s="554" t="str">
        <f>'INVONTERY FEB'!B273</f>
        <v>4 PETAL FLOWER PLUNGER CUTTER</v>
      </c>
      <c r="C273" s="554" t="str">
        <f>'INVONTERY FEB'!C274</f>
        <v>PCS</v>
      </c>
      <c r="D273" s="556">
        <f>'INVONTERY FEB'!D273</f>
        <v>290</v>
      </c>
      <c r="E273" s="599"/>
      <c r="F273" s="566"/>
      <c r="G273" s="567"/>
      <c r="H273" s="567"/>
      <c r="I273" s="567"/>
      <c r="J273" s="567"/>
      <c r="K273" s="567"/>
      <c r="L273" s="568"/>
      <c r="M273" s="560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9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0"/>
      <c r="AK273" s="600"/>
      <c r="AL273" s="563">
        <f t="shared" si="2"/>
        <v>0</v>
      </c>
      <c r="AM273" s="105">
        <f t="shared" si="3"/>
        <v>0</v>
      </c>
      <c r="AO273" s="564"/>
    </row>
    <row r="274" ht="15.75" hidden="1" customHeight="1">
      <c r="A274" s="554">
        <f>'INVONTERY FEB'!A274</f>
        <v>268</v>
      </c>
      <c r="B274" s="554" t="str">
        <f>'INVONTERY FEB'!B274</f>
        <v>BIUTTERFLY PLUNGER 3 PCS SET</v>
      </c>
      <c r="C274" s="554" t="str">
        <f>'INVONTERY FEB'!C275</f>
        <v>PCS</v>
      </c>
      <c r="D274" s="556">
        <f>'INVONTERY FEB'!D274</f>
        <v>290</v>
      </c>
      <c r="E274" s="599"/>
      <c r="F274" s="566"/>
      <c r="G274" s="567"/>
      <c r="H274" s="567"/>
      <c r="I274" s="567"/>
      <c r="J274" s="567"/>
      <c r="K274" s="567"/>
      <c r="L274" s="568"/>
      <c r="M274" s="560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9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0"/>
      <c r="AK274" s="600"/>
      <c r="AL274" s="563">
        <f t="shared" si="2"/>
        <v>0</v>
      </c>
      <c r="AM274" s="105">
        <f t="shared" si="3"/>
        <v>0</v>
      </c>
      <c r="AO274" s="564"/>
    </row>
    <row r="275" ht="15.75" hidden="1" customHeight="1">
      <c r="A275" s="554">
        <f>'INVONTERY FEB'!A275</f>
        <v>269</v>
      </c>
      <c r="B275" s="554" t="str">
        <f>'INVONTERY FEB'!B275</f>
        <v>SQUARE PHOTO FRAME</v>
      </c>
      <c r="C275" s="554" t="str">
        <f>'INVONTERY FEB'!C276</f>
        <v>PCS</v>
      </c>
      <c r="D275" s="556">
        <f>'INVONTERY FEB'!D275</f>
        <v>1275</v>
      </c>
      <c r="E275" s="599"/>
      <c r="F275" s="566"/>
      <c r="G275" s="567"/>
      <c r="H275" s="567"/>
      <c r="I275" s="567"/>
      <c r="J275" s="567"/>
      <c r="K275" s="567"/>
      <c r="L275" s="568"/>
      <c r="M275" s="560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9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0"/>
      <c r="AK275" s="600"/>
      <c r="AL275" s="563">
        <f t="shared" si="2"/>
        <v>0</v>
      </c>
      <c r="AM275" s="105">
        <f t="shared" si="3"/>
        <v>0</v>
      </c>
      <c r="AO275" s="564"/>
    </row>
    <row r="276" ht="15.75" hidden="1" customHeight="1">
      <c r="A276" s="554">
        <f>'INVONTERY FEB'!A276</f>
        <v>270</v>
      </c>
      <c r="B276" s="554" t="str">
        <f>'INVONTERY FEB'!B276</f>
        <v>HEART MINI PLUNGER</v>
      </c>
      <c r="C276" s="554" t="str">
        <f>'INVONTERY FEB'!C277</f>
        <v>PCS</v>
      </c>
      <c r="D276" s="556">
        <f>'INVONTERY FEB'!D276</f>
        <v>292</v>
      </c>
      <c r="E276" s="599"/>
      <c r="F276" s="566"/>
      <c r="G276" s="567"/>
      <c r="H276" s="567"/>
      <c r="I276" s="567"/>
      <c r="J276" s="567"/>
      <c r="K276" s="567"/>
      <c r="L276" s="568"/>
      <c r="M276" s="560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9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0"/>
      <c r="AK276" s="600"/>
      <c r="AL276" s="563">
        <f t="shared" si="2"/>
        <v>0</v>
      </c>
      <c r="AM276" s="105">
        <f t="shared" si="3"/>
        <v>0</v>
      </c>
      <c r="AO276" s="564"/>
    </row>
    <row r="277" ht="15.75" hidden="1" customHeight="1">
      <c r="A277" s="554">
        <f>'INVONTERY FEB'!A277</f>
        <v>271</v>
      </c>
      <c r="B277" s="554" t="str">
        <f>'INVONTERY FEB'!B277</f>
        <v>FLOWER MOLD FRAME</v>
      </c>
      <c r="C277" s="554" t="str">
        <f>'INVONTERY FEB'!C278</f>
        <v>PCS</v>
      </c>
      <c r="D277" s="556">
        <f>'INVONTERY FEB'!D277</f>
        <v>825</v>
      </c>
      <c r="E277" s="599"/>
      <c r="F277" s="566"/>
      <c r="G277" s="567"/>
      <c r="H277" s="567"/>
      <c r="I277" s="567"/>
      <c r="J277" s="567"/>
      <c r="K277" s="567"/>
      <c r="L277" s="568"/>
      <c r="M277" s="560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9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0"/>
      <c r="AK277" s="600"/>
      <c r="AL277" s="563">
        <f t="shared" si="2"/>
        <v>0</v>
      </c>
      <c r="AM277" s="105">
        <f t="shared" si="3"/>
        <v>0</v>
      </c>
      <c r="AO277" s="564"/>
    </row>
    <row r="278" ht="15.75" hidden="1" customHeight="1">
      <c r="A278" s="554">
        <f>'INVONTERY FEB'!A278</f>
        <v>272</v>
      </c>
      <c r="B278" s="554" t="str">
        <f>'INVONTERY FEB'!B278</f>
        <v>ROUND FLOWER COOKIE CUTTER 3 PCS</v>
      </c>
      <c r="C278" s="554" t="str">
        <f>'INVONTERY FEB'!C279</f>
        <v>PCS</v>
      </c>
      <c r="D278" s="556">
        <f>'INVONTERY FEB'!D278</f>
        <v>330</v>
      </c>
      <c r="E278" s="599"/>
      <c r="F278" s="566"/>
      <c r="G278" s="567"/>
      <c r="H278" s="567"/>
      <c r="I278" s="567"/>
      <c r="J278" s="567"/>
      <c r="K278" s="567"/>
      <c r="L278" s="568"/>
      <c r="M278" s="560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9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0"/>
      <c r="AK278" s="600"/>
      <c r="AL278" s="563">
        <f t="shared" si="2"/>
        <v>0</v>
      </c>
      <c r="AM278" s="105">
        <f t="shared" si="3"/>
        <v>0</v>
      </c>
      <c r="AO278" s="564"/>
    </row>
    <row r="279" ht="15.75" hidden="1" customHeight="1">
      <c r="A279" s="554">
        <f>'INVONTERY FEB'!A279</f>
        <v>273</v>
      </c>
      <c r="B279" s="554" t="str">
        <f>'INVONTERY FEB'!B279</f>
        <v>COOKIE CUTTERS 14 PCS</v>
      </c>
      <c r="C279" s="554" t="str">
        <f>'INVONTERY FEB'!C280</f>
        <v>PCS</v>
      </c>
      <c r="D279" s="556">
        <f>'INVONTERY FEB'!D279</f>
        <v>795</v>
      </c>
      <c r="E279" s="599"/>
      <c r="F279" s="566"/>
      <c r="G279" s="567"/>
      <c r="H279" s="567"/>
      <c r="I279" s="567"/>
      <c r="J279" s="567"/>
      <c r="K279" s="567"/>
      <c r="L279" s="568"/>
      <c r="M279" s="560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9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0"/>
      <c r="AK279" s="600"/>
      <c r="AL279" s="563">
        <f t="shared" si="2"/>
        <v>0</v>
      </c>
      <c r="AM279" s="105">
        <f t="shared" si="3"/>
        <v>0</v>
      </c>
      <c r="AO279" s="564"/>
    </row>
    <row r="280" ht="15.75" hidden="1" customHeight="1">
      <c r="A280" s="554">
        <f>'INVONTERY FEB'!A280</f>
        <v>274</v>
      </c>
      <c r="B280" s="554" t="str">
        <f>'INVONTERY FEB'!B280</f>
        <v>ALPHABAT COOKIE SET</v>
      </c>
      <c r="C280" s="554" t="str">
        <f>'INVONTERY FEB'!C281</f>
        <v>PCS</v>
      </c>
      <c r="D280" s="556">
        <f>'INVONTERY FEB'!D280</f>
        <v>680</v>
      </c>
      <c r="E280" s="599"/>
      <c r="F280" s="566"/>
      <c r="G280" s="567"/>
      <c r="H280" s="567"/>
      <c r="I280" s="567"/>
      <c r="J280" s="567"/>
      <c r="K280" s="567"/>
      <c r="L280" s="568"/>
      <c r="M280" s="560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9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0"/>
      <c r="AK280" s="600"/>
      <c r="AL280" s="563">
        <f t="shared" si="2"/>
        <v>0</v>
      </c>
      <c r="AM280" s="105">
        <f t="shared" si="3"/>
        <v>0</v>
      </c>
      <c r="AO280" s="564"/>
    </row>
    <row r="281" ht="15.75" hidden="1" customHeight="1">
      <c r="A281" s="554">
        <f>'INVONTERY FEB'!A281</f>
        <v>275</v>
      </c>
      <c r="B281" s="554" t="str">
        <f>'INVONTERY FEB'!B281</f>
        <v>MULTI TEXTURE FOUNDANT CAKE EMBOSSER</v>
      </c>
      <c r="C281" s="554" t="str">
        <f>'INVONTERY FEB'!C282</f>
        <v>PCS</v>
      </c>
      <c r="D281" s="556">
        <f>'INVONTERY FEB'!D281</f>
        <v>225</v>
      </c>
      <c r="E281" s="599"/>
      <c r="F281" s="566"/>
      <c r="G281" s="567"/>
      <c r="H281" s="567"/>
      <c r="I281" s="567"/>
      <c r="J281" s="567"/>
      <c r="K281" s="567"/>
      <c r="L281" s="568"/>
      <c r="M281" s="560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9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0"/>
      <c r="AK281" s="600"/>
      <c r="AL281" s="563">
        <f t="shared" si="2"/>
        <v>0</v>
      </c>
      <c r="AM281" s="105">
        <f t="shared" si="3"/>
        <v>0</v>
      </c>
      <c r="AO281" s="564"/>
    </row>
    <row r="282" ht="15.75" hidden="1" customHeight="1">
      <c r="A282" s="554">
        <f>'INVONTERY FEB'!A282</f>
        <v>276</v>
      </c>
      <c r="B282" s="554" t="str">
        <f>'INVONTERY FEB'!B282</f>
        <v>FLOWER BORDER</v>
      </c>
      <c r="C282" s="554" t="str">
        <f>'INVONTERY FEB'!C283</f>
        <v>PCS</v>
      </c>
      <c r="D282" s="556">
        <f>'INVONTERY FEB'!D282</f>
        <v>675</v>
      </c>
      <c r="E282" s="599"/>
      <c r="F282" s="566"/>
      <c r="G282" s="567"/>
      <c r="H282" s="567"/>
      <c r="I282" s="567"/>
      <c r="J282" s="567"/>
      <c r="K282" s="567"/>
      <c r="L282" s="568"/>
      <c r="M282" s="560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9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0"/>
      <c r="AK282" s="600"/>
      <c r="AL282" s="563">
        <f t="shared" si="2"/>
        <v>0</v>
      </c>
      <c r="AM282" s="105">
        <f t="shared" si="3"/>
        <v>0</v>
      </c>
      <c r="AO282" s="564"/>
    </row>
    <row r="283" ht="15.75" hidden="1" customHeight="1">
      <c r="A283" s="554">
        <f>'INVONTERY FEB'!A283</f>
        <v>277</v>
      </c>
      <c r="B283" s="554" t="str">
        <f>'INVONTERY FEB'!B283</f>
        <v>SLICION MOLD BUTTERFLY</v>
      </c>
      <c r="C283" s="554" t="str">
        <f>'INVONTERY FEB'!C283</f>
        <v>PCS</v>
      </c>
      <c r="D283" s="556">
        <f>'INVONTERY FEB'!D283</f>
        <v>675</v>
      </c>
      <c r="E283" s="599"/>
      <c r="F283" s="566"/>
      <c r="G283" s="567"/>
      <c r="H283" s="567"/>
      <c r="I283" s="567"/>
      <c r="J283" s="567"/>
      <c r="K283" s="567"/>
      <c r="L283" s="568"/>
      <c r="M283" s="560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9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0"/>
      <c r="AK283" s="600"/>
      <c r="AL283" s="563">
        <f t="shared" si="2"/>
        <v>0</v>
      </c>
      <c r="AM283" s="105">
        <f t="shared" si="3"/>
        <v>0</v>
      </c>
      <c r="AO283" s="564"/>
    </row>
    <row r="284" ht="15.75" hidden="1" customHeight="1">
      <c r="A284" s="554">
        <f>'INVONTERY FEB'!A284</f>
        <v>278</v>
      </c>
      <c r="B284" s="554" t="str">
        <f>'INVONTERY FEB'!B284</f>
        <v>FEEDER CAKE MOLD 2 PCS</v>
      </c>
      <c r="C284" s="554" t="str">
        <f>'INVONTERY FEB'!C284</f>
        <v>PCS</v>
      </c>
      <c r="D284" s="556">
        <f>'INVONTERY FEB'!D284</f>
        <v>225</v>
      </c>
      <c r="E284" s="599"/>
      <c r="F284" s="566"/>
      <c r="G284" s="567"/>
      <c r="H284" s="567"/>
      <c r="I284" s="567"/>
      <c r="J284" s="567"/>
      <c r="K284" s="567"/>
      <c r="L284" s="568"/>
      <c r="M284" s="560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9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0"/>
      <c r="AK284" s="600"/>
      <c r="AL284" s="563">
        <f t="shared" si="2"/>
        <v>0</v>
      </c>
      <c r="AM284" s="105">
        <f t="shared" si="3"/>
        <v>0</v>
      </c>
      <c r="AO284" s="564"/>
    </row>
    <row r="285" ht="15.75" hidden="1" customHeight="1">
      <c r="A285" s="554">
        <f>'INVONTERY FEB'!A285</f>
        <v>279</v>
      </c>
      <c r="B285" s="554" t="str">
        <f>'INVONTERY FEB'!B285</f>
        <v>DISNEY ALPHABAT CUTTER 26 PCS</v>
      </c>
      <c r="C285" s="554" t="str">
        <f>'INVONTERY FEB'!C285</f>
        <v>PCS</v>
      </c>
      <c r="D285" s="556">
        <f>'INVONTERY FEB'!D285</f>
        <v>675</v>
      </c>
      <c r="E285" s="599"/>
      <c r="F285" s="566"/>
      <c r="G285" s="567"/>
      <c r="H285" s="567"/>
      <c r="I285" s="567"/>
      <c r="J285" s="567"/>
      <c r="K285" s="567"/>
      <c r="L285" s="568"/>
      <c r="M285" s="560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9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0"/>
      <c r="AK285" s="600"/>
      <c r="AL285" s="563">
        <f t="shared" si="2"/>
        <v>0</v>
      </c>
      <c r="AM285" s="105">
        <f t="shared" si="3"/>
        <v>0</v>
      </c>
      <c r="AO285" s="564"/>
    </row>
    <row r="286" ht="15.75" hidden="1" customHeight="1">
      <c r="A286" s="554">
        <f>'INVONTERY FEB'!A286</f>
        <v>280</v>
      </c>
      <c r="B286" s="554" t="str">
        <f>'INVONTERY FEB'!B286</f>
        <v>SPETULE KNIFE STRAIGHT 6 INCH</v>
      </c>
      <c r="C286" s="554" t="str">
        <f>'INVONTERY FEB'!C286</f>
        <v>PCS</v>
      </c>
      <c r="D286" s="556">
        <f>'INVONTERY FEB'!D286</f>
        <v>300</v>
      </c>
      <c r="E286" s="599"/>
      <c r="F286" s="566"/>
      <c r="G286" s="567"/>
      <c r="H286" s="567"/>
      <c r="I286" s="567"/>
      <c r="J286" s="567"/>
      <c r="K286" s="567"/>
      <c r="L286" s="568"/>
      <c r="M286" s="560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9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0"/>
      <c r="AK286" s="600"/>
      <c r="AL286" s="563">
        <f t="shared" si="2"/>
        <v>0</v>
      </c>
      <c r="AM286" s="105">
        <f t="shared" si="3"/>
        <v>0</v>
      </c>
      <c r="AO286" s="564"/>
    </row>
    <row r="287" ht="15.75" hidden="1" customHeight="1">
      <c r="A287" s="554">
        <f>'INVONTERY FEB'!A287</f>
        <v>281</v>
      </c>
      <c r="B287" s="554" t="str">
        <f>'INVONTERY FEB'!B287</f>
        <v>SPETULE KNIFE STRAIGHT 8 INCH</v>
      </c>
      <c r="C287" s="554" t="str">
        <f>'INVONTERY FEB'!C287</f>
        <v>PCS</v>
      </c>
      <c r="D287" s="556">
        <f>'INVONTERY FEB'!D287</f>
        <v>345</v>
      </c>
      <c r="E287" s="599"/>
      <c r="F287" s="566"/>
      <c r="G287" s="567"/>
      <c r="H287" s="567"/>
      <c r="I287" s="567"/>
      <c r="J287" s="567"/>
      <c r="K287" s="567"/>
      <c r="L287" s="568"/>
      <c r="M287" s="560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9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0"/>
      <c r="AK287" s="600"/>
      <c r="AL287" s="563">
        <f t="shared" si="2"/>
        <v>0</v>
      </c>
      <c r="AM287" s="105">
        <f t="shared" si="3"/>
        <v>0</v>
      </c>
      <c r="AO287" s="564"/>
    </row>
    <row r="288" ht="15.75" hidden="1" customHeight="1">
      <c r="A288" s="554">
        <f>'INVONTERY FEB'!A288</f>
        <v>282</v>
      </c>
      <c r="B288" s="554" t="str">
        <f>'INVONTERY FEB'!B288</f>
        <v>LADIES HAND BAG SLICION MOLD</v>
      </c>
      <c r="C288" s="554" t="str">
        <f>'INVONTERY FEB'!C288</f>
        <v>PCS</v>
      </c>
      <c r="D288" s="556">
        <f>'INVONTERY FEB'!D288</f>
        <v>975</v>
      </c>
      <c r="E288" s="599"/>
      <c r="F288" s="566"/>
      <c r="G288" s="567"/>
      <c r="H288" s="567"/>
      <c r="I288" s="567"/>
      <c r="J288" s="567"/>
      <c r="K288" s="567"/>
      <c r="L288" s="568"/>
      <c r="M288" s="560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9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0"/>
      <c r="AK288" s="600"/>
      <c r="AL288" s="563">
        <f t="shared" si="2"/>
        <v>0</v>
      </c>
      <c r="AM288" s="105">
        <f t="shared" si="3"/>
        <v>0</v>
      </c>
      <c r="AO288" s="564"/>
    </row>
    <row r="289" ht="15.75" hidden="1" customHeight="1">
      <c r="A289" s="554">
        <f>'INVONTERY FEB'!A289</f>
        <v>283</v>
      </c>
      <c r="B289" s="554" t="str">
        <f>'INVONTERY FEB'!B289</f>
        <v>JEWELED CROWN SLICION MOLD</v>
      </c>
      <c r="C289" s="554" t="str">
        <f>'INVONTERY FEB'!C289</f>
        <v>PCS</v>
      </c>
      <c r="D289" s="556">
        <f>'INVONTERY FEB'!D289</f>
        <v>420</v>
      </c>
      <c r="E289" s="599"/>
      <c r="F289" s="566"/>
      <c r="G289" s="567"/>
      <c r="H289" s="567"/>
      <c r="I289" s="567"/>
      <c r="J289" s="567"/>
      <c r="K289" s="567"/>
      <c r="L289" s="568"/>
      <c r="M289" s="560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9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0"/>
      <c r="AK289" s="600"/>
      <c r="AL289" s="563">
        <f t="shared" si="2"/>
        <v>0</v>
      </c>
      <c r="AM289" s="105">
        <f t="shared" si="3"/>
        <v>0</v>
      </c>
      <c r="AO289" s="564"/>
    </row>
    <row r="290" ht="15.75" hidden="1" customHeight="1">
      <c r="A290" s="554">
        <f>'INVONTERY FEB'!A290</f>
        <v>284</v>
      </c>
      <c r="B290" s="554" t="str">
        <f>'INVONTERY FEB'!B290</f>
        <v>BUTTERFLY CUTTER</v>
      </c>
      <c r="C290" s="554" t="str">
        <f>'INVONTERY FEB'!C290</f>
        <v>PCS</v>
      </c>
      <c r="D290" s="556">
        <f>'INVONTERY FEB'!D290</f>
        <v>300</v>
      </c>
      <c r="E290" s="599"/>
      <c r="F290" s="566"/>
      <c r="G290" s="567"/>
      <c r="H290" s="567"/>
      <c r="I290" s="567"/>
      <c r="J290" s="567"/>
      <c r="K290" s="567"/>
      <c r="L290" s="568"/>
      <c r="M290" s="560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9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0"/>
      <c r="AK290" s="600"/>
      <c r="AL290" s="563">
        <f t="shared" si="2"/>
        <v>0</v>
      </c>
      <c r="AM290" s="105">
        <f t="shared" si="3"/>
        <v>0</v>
      </c>
      <c r="AO290" s="564"/>
    </row>
    <row r="291" ht="15.75" hidden="1" customHeight="1">
      <c r="A291" s="554">
        <f>'INVONTERY FEB'!A291</f>
        <v>285</v>
      </c>
      <c r="B291" s="554" t="str">
        <f>'INVONTERY FEB'!B291</f>
        <v>ALPHABAT NAMBARS EMBOSSER</v>
      </c>
      <c r="C291" s="554" t="str">
        <f>'INVONTERY FEB'!C291</f>
        <v>PCS</v>
      </c>
      <c r="D291" s="556">
        <f>'INVONTERY FEB'!D291</f>
        <v>375</v>
      </c>
      <c r="E291" s="599"/>
      <c r="F291" s="566"/>
      <c r="G291" s="567"/>
      <c r="H291" s="567"/>
      <c r="I291" s="567"/>
      <c r="J291" s="567"/>
      <c r="K291" s="567"/>
      <c r="L291" s="568"/>
      <c r="M291" s="560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9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0"/>
      <c r="AK291" s="600"/>
      <c r="AL291" s="563">
        <f t="shared" si="2"/>
        <v>0</v>
      </c>
      <c r="AM291" s="105">
        <f t="shared" si="3"/>
        <v>0</v>
      </c>
      <c r="AO291" s="564"/>
    </row>
    <row r="292" ht="15.75" hidden="1" customHeight="1">
      <c r="A292" s="554">
        <f>'INVONTERY FEB'!A292</f>
        <v>286</v>
      </c>
      <c r="B292" s="554" t="str">
        <f>'INVONTERY FEB'!B292</f>
        <v>CAKE SCRAPPER 4 PCS SET PLASTIC</v>
      </c>
      <c r="C292" s="554" t="str">
        <f>'INVONTERY FEB'!C292</f>
        <v>PCS</v>
      </c>
      <c r="D292" s="556">
        <f>'INVONTERY FEB'!D292</f>
        <v>270</v>
      </c>
      <c r="E292" s="599"/>
      <c r="F292" s="566"/>
      <c r="G292" s="567"/>
      <c r="H292" s="567"/>
      <c r="I292" s="567"/>
      <c r="J292" s="567"/>
      <c r="K292" s="567"/>
      <c r="L292" s="568"/>
      <c r="M292" s="560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9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0"/>
      <c r="AK292" s="600"/>
      <c r="AL292" s="563">
        <f t="shared" si="2"/>
        <v>0</v>
      </c>
      <c r="AM292" s="105">
        <f t="shared" si="3"/>
        <v>0</v>
      </c>
      <c r="AO292" s="564"/>
    </row>
    <row r="293" ht="15.75" hidden="1" customHeight="1">
      <c r="A293" s="554">
        <f>'INVONTERY FEB'!A293</f>
        <v>287</v>
      </c>
      <c r="B293" s="554" t="str">
        <f>'INVONTERY FEB'!B293</f>
        <v>FLORAL TAPE 2 PCS</v>
      </c>
      <c r="C293" s="554" t="str">
        <f>'INVONTERY FEB'!C293</f>
        <v>PCS</v>
      </c>
      <c r="D293" s="556">
        <f>'INVONTERY FEB'!D293</f>
        <v>435</v>
      </c>
      <c r="E293" s="599"/>
      <c r="F293" s="566"/>
      <c r="G293" s="567"/>
      <c r="H293" s="567"/>
      <c r="I293" s="567"/>
      <c r="J293" s="567"/>
      <c r="K293" s="567"/>
      <c r="L293" s="568"/>
      <c r="M293" s="560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9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0"/>
      <c r="AK293" s="600"/>
      <c r="AL293" s="563">
        <f t="shared" si="2"/>
        <v>0</v>
      </c>
      <c r="AM293" s="105">
        <f t="shared" si="3"/>
        <v>0</v>
      </c>
      <c r="AO293" s="564"/>
    </row>
    <row r="294" ht="15.75" hidden="1" customHeight="1">
      <c r="A294" s="554">
        <f>'INVONTERY FEB'!A294</f>
        <v>288</v>
      </c>
      <c r="B294" s="554" t="str">
        <f>'INVONTERY FEB'!B294</f>
        <v>FISH TAIL FOUNDANT CUTTER</v>
      </c>
      <c r="C294" s="554" t="str">
        <f>'INVONTERY FEB'!C294</f>
        <v>PCS</v>
      </c>
      <c r="D294" s="556">
        <f>'INVONTERY FEB'!D294</f>
        <v>255</v>
      </c>
      <c r="E294" s="599"/>
      <c r="F294" s="566"/>
      <c r="G294" s="567"/>
      <c r="H294" s="567"/>
      <c r="I294" s="567"/>
      <c r="J294" s="567"/>
      <c r="K294" s="567"/>
      <c r="L294" s="568"/>
      <c r="M294" s="560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9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0"/>
      <c r="AK294" s="600"/>
      <c r="AL294" s="563">
        <f t="shared" si="2"/>
        <v>0</v>
      </c>
      <c r="AM294" s="105">
        <f t="shared" si="3"/>
        <v>0</v>
      </c>
      <c r="AO294" s="564"/>
    </row>
    <row r="295" ht="15.75" hidden="1" customHeight="1">
      <c r="A295" s="554">
        <f>'INVONTERY FEB'!A295</f>
        <v>289</v>
      </c>
      <c r="B295" s="554" t="str">
        <f>'INVONTERY FEB'!B295</f>
        <v>COLOURFULL ROLLING PIN</v>
      </c>
      <c r="C295" s="554" t="str">
        <f>'INVONTERY FEB'!C295</f>
        <v>PCS</v>
      </c>
      <c r="D295" s="556">
        <f>'INVONTERY FEB'!D295</f>
        <v>675</v>
      </c>
      <c r="E295" s="614"/>
      <c r="F295" s="566"/>
      <c r="G295" s="567"/>
      <c r="H295" s="567"/>
      <c r="I295" s="603"/>
      <c r="J295" s="603"/>
      <c r="K295" s="603"/>
      <c r="L295" s="604"/>
      <c r="M295" s="592"/>
      <c r="N295" s="603"/>
      <c r="O295" s="567"/>
      <c r="P295" s="603"/>
      <c r="Q295" s="603"/>
      <c r="R295" s="603"/>
      <c r="S295" s="603"/>
      <c r="T295" s="603"/>
      <c r="U295" s="603"/>
      <c r="V295" s="605"/>
      <c r="W295" s="605"/>
      <c r="X295" s="605"/>
      <c r="Y295" s="615"/>
      <c r="Z295" s="603"/>
      <c r="AA295" s="603"/>
      <c r="AB295" s="603"/>
      <c r="AC295" s="603"/>
      <c r="AD295" s="603"/>
      <c r="AE295" s="605"/>
      <c r="AF295" s="603"/>
      <c r="AG295" s="603"/>
      <c r="AH295" s="603"/>
      <c r="AI295" s="603"/>
      <c r="AJ295" s="592"/>
      <c r="AK295" s="616"/>
      <c r="AL295" s="563">
        <f t="shared" si="2"/>
        <v>0</v>
      </c>
      <c r="AM295" s="105">
        <f t="shared" si="3"/>
        <v>0</v>
      </c>
      <c r="AO295" s="617"/>
    </row>
    <row r="296" ht="15.75" hidden="1" customHeight="1">
      <c r="A296" s="554">
        <f>'INVONTERY FEB'!A296</f>
        <v>290</v>
      </c>
      <c r="B296" s="554" t="str">
        <f>'INVONTERY FEB'!B296</f>
        <v>EASY ROSSE CUTTER</v>
      </c>
      <c r="C296" s="554" t="str">
        <f>'INVONTERY FEB'!C296</f>
        <v>PCS</v>
      </c>
      <c r="D296" s="556">
        <f>'INVONTERY FEB'!D296</f>
        <v>375</v>
      </c>
      <c r="E296" s="614"/>
      <c r="F296" s="566"/>
      <c r="G296" s="567"/>
      <c r="H296" s="567"/>
      <c r="I296" s="603"/>
      <c r="J296" s="603"/>
      <c r="K296" s="603"/>
      <c r="L296" s="604"/>
      <c r="M296" s="592"/>
      <c r="N296" s="603"/>
      <c r="O296" s="567"/>
      <c r="P296" s="603"/>
      <c r="Q296" s="603"/>
      <c r="R296" s="603"/>
      <c r="S296" s="603"/>
      <c r="T296" s="603"/>
      <c r="U296" s="603"/>
      <c r="V296" s="605"/>
      <c r="W296" s="605"/>
      <c r="X296" s="605"/>
      <c r="Y296" s="615"/>
      <c r="Z296" s="603"/>
      <c r="AA296" s="603"/>
      <c r="AB296" s="603"/>
      <c r="AC296" s="603"/>
      <c r="AD296" s="603"/>
      <c r="AE296" s="605"/>
      <c r="AF296" s="603"/>
      <c r="AG296" s="603"/>
      <c r="AH296" s="603"/>
      <c r="AI296" s="603"/>
      <c r="AJ296" s="592"/>
      <c r="AK296" s="616"/>
      <c r="AL296" s="563">
        <f t="shared" si="2"/>
        <v>0</v>
      </c>
      <c r="AM296" s="105">
        <f t="shared" si="3"/>
        <v>0</v>
      </c>
      <c r="AO296" s="617"/>
    </row>
    <row r="297" ht="15.75" hidden="1" customHeight="1">
      <c r="A297" s="554">
        <f>'INVONTERY FEB'!A297</f>
        <v>291</v>
      </c>
      <c r="B297" s="554" t="str">
        <f>'INVONTERY FEB'!B297</f>
        <v>FLOWER SQUARE PLUNGER</v>
      </c>
      <c r="C297" s="554" t="str">
        <f>'INVONTERY FEB'!C297</f>
        <v>PCS</v>
      </c>
      <c r="D297" s="556">
        <f>'INVONTERY FEB'!D297</f>
        <v>290</v>
      </c>
      <c r="E297" s="614"/>
      <c r="F297" s="566"/>
      <c r="G297" s="567"/>
      <c r="H297" s="567"/>
      <c r="I297" s="603"/>
      <c r="J297" s="603"/>
      <c r="K297" s="603"/>
      <c r="L297" s="604"/>
      <c r="M297" s="592"/>
      <c r="N297" s="603"/>
      <c r="O297" s="567"/>
      <c r="P297" s="603"/>
      <c r="Q297" s="603"/>
      <c r="R297" s="603"/>
      <c r="S297" s="603"/>
      <c r="T297" s="603"/>
      <c r="U297" s="603"/>
      <c r="V297" s="605"/>
      <c r="W297" s="605"/>
      <c r="X297" s="605"/>
      <c r="Y297" s="615"/>
      <c r="Z297" s="603"/>
      <c r="AA297" s="603"/>
      <c r="AB297" s="603"/>
      <c r="AC297" s="603"/>
      <c r="AD297" s="603"/>
      <c r="AE297" s="605"/>
      <c r="AF297" s="603"/>
      <c r="AG297" s="603"/>
      <c r="AH297" s="603"/>
      <c r="AI297" s="603"/>
      <c r="AJ297" s="592"/>
      <c r="AK297" s="616"/>
      <c r="AL297" s="563">
        <f t="shared" si="2"/>
        <v>0</v>
      </c>
      <c r="AM297" s="105">
        <f t="shared" si="3"/>
        <v>0</v>
      </c>
      <c r="AO297" s="617"/>
    </row>
    <row r="298" ht="15.75" hidden="1" customHeight="1">
      <c r="A298" s="554">
        <f>'INVONTERY FEB'!A298</f>
        <v>292</v>
      </c>
      <c r="B298" s="554" t="str">
        <f>'INVONTERY FEB'!B298</f>
        <v>RIBBION 4 INCH</v>
      </c>
      <c r="C298" s="554" t="str">
        <f>'INVONTERY FEB'!C298</f>
        <v>PCS</v>
      </c>
      <c r="D298" s="556">
        <f>'INVONTERY FEB'!D298</f>
        <v>120</v>
      </c>
      <c r="E298" s="614"/>
      <c r="F298" s="566"/>
      <c r="G298" s="567"/>
      <c r="H298" s="567"/>
      <c r="I298" s="603"/>
      <c r="J298" s="603"/>
      <c r="K298" s="603"/>
      <c r="L298" s="604"/>
      <c r="M298" s="592"/>
      <c r="N298" s="603"/>
      <c r="O298" s="567"/>
      <c r="P298" s="603"/>
      <c r="Q298" s="603"/>
      <c r="R298" s="603"/>
      <c r="S298" s="603"/>
      <c r="T298" s="603"/>
      <c r="U298" s="603"/>
      <c r="V298" s="605"/>
      <c r="W298" s="605"/>
      <c r="X298" s="605"/>
      <c r="Y298" s="615"/>
      <c r="Z298" s="603"/>
      <c r="AA298" s="603"/>
      <c r="AB298" s="603"/>
      <c r="AC298" s="603"/>
      <c r="AD298" s="603"/>
      <c r="AE298" s="605"/>
      <c r="AF298" s="603"/>
      <c r="AG298" s="603"/>
      <c r="AH298" s="603"/>
      <c r="AI298" s="603"/>
      <c r="AJ298" s="592"/>
      <c r="AK298" s="616"/>
      <c r="AL298" s="563">
        <f t="shared" si="2"/>
        <v>0</v>
      </c>
      <c r="AM298" s="105">
        <f t="shared" si="3"/>
        <v>0</v>
      </c>
      <c r="AO298" s="617"/>
    </row>
    <row r="299" ht="15.75" hidden="1" customHeight="1">
      <c r="A299" s="554">
        <f>'INVONTERY FEB'!A299</f>
        <v>293</v>
      </c>
      <c r="B299" s="554" t="str">
        <f>'INVONTERY FEB'!B299</f>
        <v>TRANSFORT 4 DESIGN FOUNDAN SLICION MOLD</v>
      </c>
      <c r="C299" s="554" t="str">
        <f>'INVONTERY FEB'!C299</f>
        <v>PCS</v>
      </c>
      <c r="D299" s="556">
        <f>'INVONTERY FEB'!D299</f>
        <v>480</v>
      </c>
      <c r="E299" s="614"/>
      <c r="F299" s="566"/>
      <c r="G299" s="567"/>
      <c r="H299" s="567"/>
      <c r="I299" s="603"/>
      <c r="J299" s="603"/>
      <c r="K299" s="603"/>
      <c r="L299" s="604"/>
      <c r="M299" s="592"/>
      <c r="N299" s="603"/>
      <c r="O299" s="567"/>
      <c r="P299" s="603"/>
      <c r="Q299" s="603"/>
      <c r="R299" s="603"/>
      <c r="S299" s="603"/>
      <c r="T299" s="603"/>
      <c r="U299" s="603"/>
      <c r="V299" s="605"/>
      <c r="W299" s="605"/>
      <c r="X299" s="605"/>
      <c r="Y299" s="615"/>
      <c r="Z299" s="603"/>
      <c r="AA299" s="603"/>
      <c r="AB299" s="603"/>
      <c r="AC299" s="603"/>
      <c r="AD299" s="603"/>
      <c r="AE299" s="605"/>
      <c r="AF299" s="603"/>
      <c r="AG299" s="603"/>
      <c r="AH299" s="603"/>
      <c r="AI299" s="603"/>
      <c r="AJ299" s="592"/>
      <c r="AK299" s="616"/>
      <c r="AL299" s="563">
        <f t="shared" si="2"/>
        <v>0</v>
      </c>
      <c r="AM299" s="105">
        <f t="shared" si="3"/>
        <v>0</v>
      </c>
      <c r="AO299" s="617"/>
    </row>
    <row r="300" ht="15.75" hidden="1" customHeight="1">
      <c r="A300" s="554">
        <f>'INVONTERY FEB'!A300</f>
        <v>294</v>
      </c>
      <c r="B300" s="554" t="str">
        <f>'INVONTERY FEB'!B300</f>
        <v>SNIPAR GUN</v>
      </c>
      <c r="C300" s="554" t="str">
        <f>'INVONTERY FEB'!C300</f>
        <v>PCS</v>
      </c>
      <c r="D300" s="556">
        <f>'INVONTERY FEB'!D300</f>
        <v>675</v>
      </c>
      <c r="E300" s="614"/>
      <c r="F300" s="566"/>
      <c r="G300" s="567"/>
      <c r="H300" s="567"/>
      <c r="I300" s="603"/>
      <c r="J300" s="603"/>
      <c r="K300" s="603"/>
      <c r="L300" s="604"/>
      <c r="M300" s="592"/>
      <c r="N300" s="603"/>
      <c r="O300" s="567"/>
      <c r="P300" s="603"/>
      <c r="Q300" s="603"/>
      <c r="R300" s="603"/>
      <c r="S300" s="603"/>
      <c r="T300" s="603"/>
      <c r="U300" s="603"/>
      <c r="V300" s="605"/>
      <c r="W300" s="605"/>
      <c r="X300" s="605"/>
      <c r="Y300" s="615"/>
      <c r="Z300" s="603"/>
      <c r="AA300" s="603"/>
      <c r="AB300" s="603"/>
      <c r="AC300" s="603"/>
      <c r="AD300" s="603"/>
      <c r="AE300" s="605"/>
      <c r="AF300" s="603"/>
      <c r="AG300" s="603"/>
      <c r="AH300" s="603"/>
      <c r="AI300" s="603"/>
      <c r="AJ300" s="592"/>
      <c r="AK300" s="616"/>
      <c r="AL300" s="563">
        <f t="shared" si="2"/>
        <v>0</v>
      </c>
      <c r="AM300" s="105">
        <f t="shared" si="3"/>
        <v>0</v>
      </c>
      <c r="AO300" s="617"/>
    </row>
    <row r="301" ht="15.75" hidden="1" customHeight="1">
      <c r="A301" s="554">
        <f>'INVONTERY FEB'!A301</f>
        <v>295</v>
      </c>
      <c r="B301" s="554" t="str">
        <f>'INVONTERY FEB'!B301</f>
        <v>MAKEUP MOLD SLICION</v>
      </c>
      <c r="C301" s="554" t="str">
        <f>'INVONTERY FEB'!C301</f>
        <v>PCS</v>
      </c>
      <c r="D301" s="556">
        <f>'INVONTERY FEB'!D301</f>
        <v>375</v>
      </c>
      <c r="E301" s="614"/>
      <c r="F301" s="566"/>
      <c r="G301" s="567"/>
      <c r="H301" s="567"/>
      <c r="I301" s="603"/>
      <c r="J301" s="603"/>
      <c r="K301" s="603"/>
      <c r="L301" s="604"/>
      <c r="M301" s="592"/>
      <c r="N301" s="603"/>
      <c r="O301" s="567"/>
      <c r="P301" s="603"/>
      <c r="Q301" s="603"/>
      <c r="R301" s="603"/>
      <c r="S301" s="603"/>
      <c r="T301" s="603"/>
      <c r="U301" s="603"/>
      <c r="V301" s="605"/>
      <c r="W301" s="605"/>
      <c r="X301" s="605"/>
      <c r="Y301" s="615"/>
      <c r="Z301" s="603"/>
      <c r="AA301" s="603"/>
      <c r="AB301" s="603"/>
      <c r="AC301" s="603"/>
      <c r="AD301" s="603"/>
      <c r="AE301" s="605"/>
      <c r="AF301" s="603"/>
      <c r="AG301" s="603"/>
      <c r="AH301" s="603"/>
      <c r="AI301" s="603"/>
      <c r="AJ301" s="592"/>
      <c r="AK301" s="616"/>
      <c r="AL301" s="563">
        <f t="shared" si="2"/>
        <v>0</v>
      </c>
      <c r="AM301" s="105">
        <f t="shared" si="3"/>
        <v>0</v>
      </c>
      <c r="AO301" s="617"/>
    </row>
    <row r="302" ht="15.75" hidden="1" customHeight="1">
      <c r="A302" s="554">
        <f>'INVONTERY FEB'!A302</f>
        <v>296</v>
      </c>
      <c r="B302" s="554" t="str">
        <f>'INVONTERY FEB'!B302</f>
        <v>DUBAI MIX SPRINKLE</v>
      </c>
      <c r="C302" s="554" t="str">
        <f>'INVONTERY FEB'!C302</f>
        <v>PCS</v>
      </c>
      <c r="D302" s="556">
        <f>'INVONTERY FEB'!D302</f>
        <v>300</v>
      </c>
      <c r="E302" s="614"/>
      <c r="F302" s="566"/>
      <c r="G302" s="567"/>
      <c r="H302" s="567"/>
      <c r="I302" s="603"/>
      <c r="J302" s="603"/>
      <c r="K302" s="603"/>
      <c r="L302" s="604"/>
      <c r="M302" s="592"/>
      <c r="N302" s="603"/>
      <c r="O302" s="567"/>
      <c r="P302" s="603"/>
      <c r="Q302" s="603"/>
      <c r="R302" s="603"/>
      <c r="S302" s="603"/>
      <c r="T302" s="603"/>
      <c r="U302" s="603"/>
      <c r="V302" s="605"/>
      <c r="W302" s="605"/>
      <c r="X302" s="605"/>
      <c r="Y302" s="615"/>
      <c r="Z302" s="603"/>
      <c r="AA302" s="603"/>
      <c r="AB302" s="603"/>
      <c r="AC302" s="603"/>
      <c r="AD302" s="603"/>
      <c r="AE302" s="605"/>
      <c r="AF302" s="603"/>
      <c r="AG302" s="603"/>
      <c r="AH302" s="603"/>
      <c r="AI302" s="603"/>
      <c r="AJ302" s="592"/>
      <c r="AK302" s="616"/>
      <c r="AL302" s="563">
        <f t="shared" si="2"/>
        <v>0</v>
      </c>
      <c r="AM302" s="105">
        <f t="shared" si="3"/>
        <v>0</v>
      </c>
      <c r="AO302" s="617"/>
    </row>
    <row r="303" ht="15.75" hidden="1" customHeight="1">
      <c r="A303" s="554">
        <f>'INVONTERY FEB'!A303</f>
        <v>297</v>
      </c>
      <c r="B303" s="554" t="str">
        <f>'INVONTERY FEB'!B303</f>
        <v>FEET HAND</v>
      </c>
      <c r="C303" s="554" t="str">
        <f>'INVONTERY FEB'!C303</f>
        <v>PCS</v>
      </c>
      <c r="D303" s="556">
        <f>'INVONTERY FEB'!D303</f>
        <v>300</v>
      </c>
      <c r="E303" s="614"/>
      <c r="F303" s="566"/>
      <c r="G303" s="567"/>
      <c r="H303" s="567"/>
      <c r="I303" s="603"/>
      <c r="J303" s="603"/>
      <c r="K303" s="603"/>
      <c r="L303" s="604"/>
      <c r="M303" s="592"/>
      <c r="N303" s="603"/>
      <c r="O303" s="567"/>
      <c r="P303" s="603"/>
      <c r="Q303" s="603"/>
      <c r="R303" s="603"/>
      <c r="S303" s="603"/>
      <c r="T303" s="603"/>
      <c r="U303" s="603"/>
      <c r="V303" s="605"/>
      <c r="W303" s="605"/>
      <c r="X303" s="605"/>
      <c r="Y303" s="615"/>
      <c r="Z303" s="603"/>
      <c r="AA303" s="603"/>
      <c r="AB303" s="603"/>
      <c r="AC303" s="603"/>
      <c r="AD303" s="603"/>
      <c r="AE303" s="605"/>
      <c r="AF303" s="603"/>
      <c r="AG303" s="603"/>
      <c r="AH303" s="603"/>
      <c r="AI303" s="603"/>
      <c r="AJ303" s="592"/>
      <c r="AK303" s="616"/>
      <c r="AL303" s="563">
        <f t="shared" si="2"/>
        <v>0</v>
      </c>
      <c r="AM303" s="105">
        <f t="shared" si="3"/>
        <v>0</v>
      </c>
      <c r="AO303" s="617"/>
    </row>
    <row r="304" ht="15.75" hidden="1" customHeight="1">
      <c r="A304" s="554">
        <f>'INVONTERY FEB'!A304</f>
        <v>298</v>
      </c>
      <c r="B304" s="554" t="str">
        <f>'INVONTERY FEB'!B304</f>
        <v>CAKE BORDER STENCIL RECTANGULAR</v>
      </c>
      <c r="C304" s="554" t="str">
        <f>'INVONTERY FEB'!C304</f>
        <v>PCS</v>
      </c>
      <c r="D304" s="556">
        <f>'INVONTERY FEB'!D304</f>
        <v>360</v>
      </c>
      <c r="E304" s="614"/>
      <c r="F304" s="566"/>
      <c r="G304" s="567"/>
      <c r="H304" s="567"/>
      <c r="I304" s="603"/>
      <c r="J304" s="603"/>
      <c r="K304" s="603"/>
      <c r="L304" s="604"/>
      <c r="M304" s="592"/>
      <c r="N304" s="603"/>
      <c r="O304" s="567"/>
      <c r="P304" s="603"/>
      <c r="Q304" s="603"/>
      <c r="R304" s="603"/>
      <c r="S304" s="603"/>
      <c r="T304" s="603"/>
      <c r="U304" s="603"/>
      <c r="V304" s="605"/>
      <c r="W304" s="605"/>
      <c r="X304" s="605"/>
      <c r="Y304" s="615"/>
      <c r="Z304" s="603"/>
      <c r="AA304" s="603"/>
      <c r="AB304" s="603"/>
      <c r="AC304" s="603"/>
      <c r="AD304" s="603"/>
      <c r="AE304" s="605"/>
      <c r="AF304" s="603"/>
      <c r="AG304" s="603"/>
      <c r="AH304" s="603"/>
      <c r="AI304" s="603"/>
      <c r="AJ304" s="592"/>
      <c r="AK304" s="616"/>
      <c r="AL304" s="563">
        <f t="shared" si="2"/>
        <v>0</v>
      </c>
      <c r="AM304" s="105">
        <f t="shared" si="3"/>
        <v>0</v>
      </c>
      <c r="AO304" s="617"/>
    </row>
    <row r="305" ht="15.75" hidden="1" customHeight="1">
      <c r="A305" s="554">
        <f>'INVONTERY FEB'!A305</f>
        <v>299</v>
      </c>
      <c r="B305" s="554" t="str">
        <f>'INVONTERY FEB'!B305</f>
        <v>FOUNDANT DIE SLICION MOLD</v>
      </c>
      <c r="C305" s="554" t="str">
        <f>'INVONTERY FEB'!C305</f>
        <v>PCS</v>
      </c>
      <c r="D305" s="556">
        <f>'INVONTERY FEB'!D305</f>
        <v>900</v>
      </c>
      <c r="E305" s="614"/>
      <c r="F305" s="566"/>
      <c r="G305" s="567"/>
      <c r="H305" s="567"/>
      <c r="I305" s="603"/>
      <c r="J305" s="603"/>
      <c r="K305" s="603"/>
      <c r="L305" s="604"/>
      <c r="M305" s="592"/>
      <c r="N305" s="603"/>
      <c r="O305" s="567"/>
      <c r="P305" s="603"/>
      <c r="Q305" s="603"/>
      <c r="R305" s="603"/>
      <c r="S305" s="603"/>
      <c r="T305" s="603"/>
      <c r="U305" s="603"/>
      <c r="V305" s="605"/>
      <c r="W305" s="605"/>
      <c r="X305" s="605"/>
      <c r="Y305" s="615"/>
      <c r="Z305" s="603"/>
      <c r="AA305" s="603"/>
      <c r="AB305" s="603"/>
      <c r="AC305" s="603"/>
      <c r="AD305" s="603"/>
      <c r="AE305" s="605"/>
      <c r="AF305" s="603"/>
      <c r="AG305" s="603"/>
      <c r="AH305" s="603"/>
      <c r="AI305" s="603"/>
      <c r="AJ305" s="592"/>
      <c r="AK305" s="616"/>
      <c r="AL305" s="563">
        <f t="shared" si="2"/>
        <v>0</v>
      </c>
      <c r="AM305" s="105">
        <f t="shared" si="3"/>
        <v>0</v>
      </c>
      <c r="AO305" s="617"/>
    </row>
    <row r="306" ht="15.75" hidden="1" customHeight="1">
      <c r="A306" s="554">
        <f>'INVONTERY FEB'!A306</f>
        <v>300</v>
      </c>
      <c r="B306" s="554" t="str">
        <f>'INVONTERY FEB'!B306</f>
        <v>FOUNDANT MATERIAL</v>
      </c>
      <c r="C306" s="554" t="str">
        <f>'INVONTERY FEB'!C306</f>
        <v>CTN</v>
      </c>
      <c r="D306" s="556">
        <f>'INVONTERY FEB'!D306</f>
        <v>22950</v>
      </c>
      <c r="E306" s="614"/>
      <c r="F306" s="566"/>
      <c r="G306" s="567"/>
      <c r="H306" s="567"/>
      <c r="I306" s="603"/>
      <c r="J306" s="603"/>
      <c r="K306" s="603"/>
      <c r="L306" s="604"/>
      <c r="M306" s="592"/>
      <c r="N306" s="603"/>
      <c r="O306" s="567"/>
      <c r="P306" s="603"/>
      <c r="Q306" s="603"/>
      <c r="R306" s="603"/>
      <c r="S306" s="603"/>
      <c r="T306" s="603"/>
      <c r="U306" s="603"/>
      <c r="V306" s="605"/>
      <c r="W306" s="605"/>
      <c r="X306" s="605"/>
      <c r="Y306" s="615"/>
      <c r="Z306" s="603"/>
      <c r="AA306" s="603"/>
      <c r="AB306" s="603"/>
      <c r="AC306" s="603"/>
      <c r="AD306" s="603"/>
      <c r="AE306" s="605"/>
      <c r="AF306" s="603"/>
      <c r="AG306" s="603"/>
      <c r="AH306" s="603"/>
      <c r="AI306" s="603"/>
      <c r="AJ306" s="592"/>
      <c r="AK306" s="616"/>
      <c r="AL306" s="563">
        <f t="shared" si="2"/>
        <v>0</v>
      </c>
      <c r="AM306" s="105">
        <f t="shared" si="3"/>
        <v>0</v>
      </c>
      <c r="AO306" s="617"/>
    </row>
    <row r="307" ht="15.75" hidden="1" customHeight="1">
      <c r="A307" s="554">
        <f>'INVONTERY FEB'!A307</f>
        <v>301</v>
      </c>
      <c r="B307" s="554" t="str">
        <f>'INVONTERY FEB'!B307</f>
        <v>KNIFE</v>
      </c>
      <c r="C307" s="554" t="str">
        <f>'INVONTERY FEB'!C307</f>
        <v>PCS</v>
      </c>
      <c r="D307" s="556">
        <f>'INVONTERY FEB'!D307</f>
        <v>0</v>
      </c>
      <c r="E307" s="614"/>
      <c r="F307" s="566"/>
      <c r="G307" s="567"/>
      <c r="H307" s="567"/>
      <c r="I307" s="603"/>
      <c r="J307" s="603"/>
      <c r="K307" s="603"/>
      <c r="L307" s="604"/>
      <c r="M307" s="592"/>
      <c r="N307" s="603"/>
      <c r="O307" s="567"/>
      <c r="P307" s="603"/>
      <c r="Q307" s="603"/>
      <c r="R307" s="603"/>
      <c r="S307" s="603"/>
      <c r="T307" s="603"/>
      <c r="U307" s="603"/>
      <c r="V307" s="605"/>
      <c r="W307" s="605"/>
      <c r="X307" s="605"/>
      <c r="Y307" s="615"/>
      <c r="Z307" s="603"/>
      <c r="AA307" s="603"/>
      <c r="AB307" s="603"/>
      <c r="AC307" s="603"/>
      <c r="AD307" s="603"/>
      <c r="AE307" s="605"/>
      <c r="AF307" s="603"/>
      <c r="AG307" s="603"/>
      <c r="AH307" s="603"/>
      <c r="AI307" s="603"/>
      <c r="AJ307" s="592"/>
      <c r="AK307" s="616"/>
      <c r="AL307" s="563">
        <f t="shared" si="2"/>
        <v>0</v>
      </c>
      <c r="AM307" s="105">
        <f t="shared" si="3"/>
        <v>0</v>
      </c>
      <c r="AO307" s="617"/>
    </row>
    <row r="308" ht="15.75" hidden="1" customHeight="1">
      <c r="A308" s="554">
        <f>'INVONTERY FEB'!A308</f>
        <v>302</v>
      </c>
      <c r="B308" s="554" t="str">
        <f>'INVONTERY FEB'!B308</f>
        <v>CAKE STICKER</v>
      </c>
      <c r="C308" s="554" t="str">
        <f>'INVONTERY FEB'!C308</f>
        <v>PCS</v>
      </c>
      <c r="D308" s="556">
        <f>'INVONTERY FEB'!D308</f>
        <v>0</v>
      </c>
      <c r="E308" s="614"/>
      <c r="F308" s="566"/>
      <c r="G308" s="567"/>
      <c r="H308" s="567"/>
      <c r="I308" s="603"/>
      <c r="J308" s="603"/>
      <c r="K308" s="603"/>
      <c r="L308" s="604"/>
      <c r="M308" s="592"/>
      <c r="N308" s="603"/>
      <c r="O308" s="567"/>
      <c r="P308" s="603"/>
      <c r="Q308" s="603"/>
      <c r="R308" s="603"/>
      <c r="S308" s="603"/>
      <c r="T308" s="603"/>
      <c r="U308" s="603"/>
      <c r="V308" s="605"/>
      <c r="W308" s="605"/>
      <c r="X308" s="605"/>
      <c r="Y308" s="615"/>
      <c r="Z308" s="603"/>
      <c r="AA308" s="603"/>
      <c r="AB308" s="603"/>
      <c r="AC308" s="603"/>
      <c r="AD308" s="603"/>
      <c r="AE308" s="605"/>
      <c r="AF308" s="603"/>
      <c r="AG308" s="603"/>
      <c r="AH308" s="603"/>
      <c r="AI308" s="603"/>
      <c r="AJ308" s="592"/>
      <c r="AK308" s="616"/>
      <c r="AL308" s="563">
        <f t="shared" si="2"/>
        <v>0</v>
      </c>
      <c r="AM308" s="105">
        <f t="shared" si="3"/>
        <v>0</v>
      </c>
      <c r="AO308" s="617"/>
    </row>
    <row r="309" ht="15.75" hidden="1" customHeight="1">
      <c r="A309" s="554">
        <f>'INVONTERY FEB'!A309</f>
        <v>303</v>
      </c>
      <c r="B309" s="554" t="str">
        <f>'INVONTERY FEB'!B309</f>
        <v>STAR DIGH</v>
      </c>
      <c r="C309" s="554" t="str">
        <f>'INVONTERY FEB'!C309</f>
        <v>PKT</v>
      </c>
      <c r="D309" s="556">
        <f>'INVONTERY FEB'!D309</f>
        <v>450</v>
      </c>
      <c r="E309" s="614"/>
      <c r="F309" s="566"/>
      <c r="G309" s="567"/>
      <c r="H309" s="567"/>
      <c r="I309" s="603"/>
      <c r="J309" s="603"/>
      <c r="K309" s="603"/>
      <c r="L309" s="604"/>
      <c r="M309" s="592"/>
      <c r="N309" s="603"/>
      <c r="O309" s="567"/>
      <c r="P309" s="603"/>
      <c r="Q309" s="603"/>
      <c r="R309" s="603"/>
      <c r="S309" s="603"/>
      <c r="T309" s="603"/>
      <c r="U309" s="603"/>
      <c r="V309" s="605"/>
      <c r="W309" s="605"/>
      <c r="X309" s="605"/>
      <c r="Y309" s="615"/>
      <c r="Z309" s="603"/>
      <c r="AA309" s="603"/>
      <c r="AB309" s="603"/>
      <c r="AC309" s="603"/>
      <c r="AD309" s="603"/>
      <c r="AE309" s="605"/>
      <c r="AF309" s="603"/>
      <c r="AG309" s="603"/>
      <c r="AH309" s="603"/>
      <c r="AI309" s="603"/>
      <c r="AJ309" s="592"/>
      <c r="AK309" s="616"/>
      <c r="AL309" s="563">
        <f t="shared" si="2"/>
        <v>0</v>
      </c>
      <c r="AM309" s="105">
        <f t="shared" si="3"/>
        <v>0</v>
      </c>
      <c r="AO309" s="617"/>
    </row>
    <row r="310" ht="15.75" hidden="1" customHeight="1">
      <c r="A310" s="554">
        <f>'INVONTERY FEB'!A310</f>
        <v>304</v>
      </c>
      <c r="B310" s="554" t="str">
        <f>'INVONTERY FEB'!B310</f>
        <v>KATALI</v>
      </c>
      <c r="C310" s="554" t="str">
        <f>'INVONTERY FEB'!C310</f>
        <v>PCS</v>
      </c>
      <c r="D310" s="556">
        <f>'INVONTERY FEB'!D310</f>
        <v>1600</v>
      </c>
      <c r="E310" s="614"/>
      <c r="F310" s="566"/>
      <c r="G310" s="567"/>
      <c r="H310" s="567"/>
      <c r="I310" s="603"/>
      <c r="J310" s="603"/>
      <c r="K310" s="603"/>
      <c r="L310" s="604"/>
      <c r="M310" s="592"/>
      <c r="N310" s="603"/>
      <c r="O310" s="567"/>
      <c r="P310" s="603"/>
      <c r="Q310" s="603"/>
      <c r="R310" s="603"/>
      <c r="S310" s="603"/>
      <c r="T310" s="603"/>
      <c r="U310" s="603"/>
      <c r="V310" s="605"/>
      <c r="W310" s="605"/>
      <c r="X310" s="605"/>
      <c r="Y310" s="615"/>
      <c r="Z310" s="603"/>
      <c r="AA310" s="603"/>
      <c r="AB310" s="603"/>
      <c r="AC310" s="603"/>
      <c r="AD310" s="603"/>
      <c r="AE310" s="605"/>
      <c r="AF310" s="603"/>
      <c r="AG310" s="603"/>
      <c r="AH310" s="603"/>
      <c r="AI310" s="603"/>
      <c r="AJ310" s="592"/>
      <c r="AK310" s="616"/>
      <c r="AL310" s="563">
        <f t="shared" si="2"/>
        <v>0</v>
      </c>
      <c r="AM310" s="105">
        <f t="shared" si="3"/>
        <v>0</v>
      </c>
      <c r="AO310" s="617"/>
    </row>
    <row r="311" ht="15.75" hidden="1" customHeight="1">
      <c r="A311" s="554">
        <f>'INVONTERY FEB'!A311</f>
        <v>305</v>
      </c>
      <c r="B311" s="554" t="str">
        <f>'INVONTERY FEB'!B311</f>
        <v>01-POUND PAN</v>
      </c>
      <c r="C311" s="554" t="str">
        <f>'INVONTERY FEB'!C311</f>
        <v>PCS</v>
      </c>
      <c r="D311" s="556">
        <f>'INVONTERY FEB'!D311</f>
        <v>200</v>
      </c>
      <c r="E311" s="614"/>
      <c r="F311" s="566"/>
      <c r="G311" s="567"/>
      <c r="H311" s="567"/>
      <c r="I311" s="603"/>
      <c r="J311" s="603"/>
      <c r="K311" s="603"/>
      <c r="L311" s="604"/>
      <c r="M311" s="592"/>
      <c r="N311" s="603"/>
      <c r="O311" s="567"/>
      <c r="P311" s="603"/>
      <c r="Q311" s="603"/>
      <c r="R311" s="603"/>
      <c r="S311" s="603"/>
      <c r="T311" s="603"/>
      <c r="U311" s="603"/>
      <c r="V311" s="605"/>
      <c r="W311" s="605"/>
      <c r="X311" s="605"/>
      <c r="Y311" s="615"/>
      <c r="Z311" s="603"/>
      <c r="AA311" s="603"/>
      <c r="AB311" s="603"/>
      <c r="AC311" s="603"/>
      <c r="AD311" s="603"/>
      <c r="AE311" s="605"/>
      <c r="AF311" s="603"/>
      <c r="AG311" s="603"/>
      <c r="AH311" s="603"/>
      <c r="AI311" s="603"/>
      <c r="AJ311" s="592"/>
      <c r="AK311" s="616"/>
      <c r="AL311" s="563">
        <f t="shared" si="2"/>
        <v>0</v>
      </c>
      <c r="AM311" s="105">
        <f t="shared" si="3"/>
        <v>0</v>
      </c>
      <c r="AO311" s="617"/>
    </row>
    <row r="312" ht="15.75" hidden="1" customHeight="1">
      <c r="A312" s="554">
        <f>'INVONTERY FEB'!A312</f>
        <v>306</v>
      </c>
      <c r="B312" s="554" t="str">
        <f>'INVONTERY FEB'!B312</f>
        <v>DOLL</v>
      </c>
      <c r="C312" s="554" t="str">
        <f>'INVONTERY FEB'!C312</f>
        <v>PCS</v>
      </c>
      <c r="D312" s="556">
        <f>'INVONTERY FEB'!D312</f>
        <v>140</v>
      </c>
      <c r="E312" s="614"/>
      <c r="F312" s="566"/>
      <c r="G312" s="567"/>
      <c r="H312" s="567"/>
      <c r="I312" s="603"/>
      <c r="J312" s="603"/>
      <c r="K312" s="603"/>
      <c r="L312" s="604"/>
      <c r="M312" s="592"/>
      <c r="N312" s="603"/>
      <c r="O312" s="567"/>
      <c r="P312" s="603"/>
      <c r="Q312" s="603"/>
      <c r="R312" s="603"/>
      <c r="S312" s="603"/>
      <c r="T312" s="603"/>
      <c r="U312" s="603"/>
      <c r="V312" s="605"/>
      <c r="W312" s="605"/>
      <c r="X312" s="605"/>
      <c r="Y312" s="615"/>
      <c r="Z312" s="603"/>
      <c r="AA312" s="603"/>
      <c r="AB312" s="603"/>
      <c r="AC312" s="603"/>
      <c r="AD312" s="603"/>
      <c r="AE312" s="605"/>
      <c r="AF312" s="603"/>
      <c r="AG312" s="603"/>
      <c r="AH312" s="603"/>
      <c r="AI312" s="603"/>
      <c r="AJ312" s="592"/>
      <c r="AK312" s="616"/>
      <c r="AL312" s="563">
        <f t="shared" si="2"/>
        <v>0</v>
      </c>
      <c r="AM312" s="105">
        <f t="shared" si="3"/>
        <v>0</v>
      </c>
      <c r="AO312" s="617"/>
    </row>
    <row r="313" ht="15.75" hidden="1" customHeight="1">
      <c r="A313" s="554">
        <f>'INVONTERY FEB'!A313</f>
        <v>307</v>
      </c>
      <c r="B313" s="554" t="str">
        <f>'INVONTERY FEB'!B313</f>
        <v>TOTAL FOUNDANT CROKERY MATERIAL</v>
      </c>
      <c r="C313" s="554" t="str">
        <f>'INVONTERY FEB'!C313</f>
        <v/>
      </c>
      <c r="D313" s="556" t="str">
        <f>'INVONTERY FEB'!D313</f>
        <v/>
      </c>
      <c r="E313" s="614"/>
      <c r="F313" s="566"/>
      <c r="G313" s="567"/>
      <c r="H313" s="567"/>
      <c r="I313" s="603"/>
      <c r="J313" s="603"/>
      <c r="K313" s="603"/>
      <c r="L313" s="604"/>
      <c r="M313" s="592"/>
      <c r="N313" s="603"/>
      <c r="O313" s="567"/>
      <c r="P313" s="603"/>
      <c r="Q313" s="603"/>
      <c r="R313" s="603"/>
      <c r="S313" s="603"/>
      <c r="T313" s="603"/>
      <c r="U313" s="603"/>
      <c r="V313" s="605"/>
      <c r="W313" s="605"/>
      <c r="X313" s="605"/>
      <c r="Y313" s="615"/>
      <c r="Z313" s="603"/>
      <c r="AA313" s="603"/>
      <c r="AB313" s="603"/>
      <c r="AC313" s="603"/>
      <c r="AD313" s="603"/>
      <c r="AE313" s="605"/>
      <c r="AF313" s="603"/>
      <c r="AG313" s="603"/>
      <c r="AH313" s="603"/>
      <c r="AI313" s="603"/>
      <c r="AJ313" s="592"/>
      <c r="AK313" s="616"/>
      <c r="AL313" s="563">
        <f t="shared" si="2"/>
        <v>0</v>
      </c>
      <c r="AM313" s="105">
        <f t="shared" si="3"/>
        <v>0</v>
      </c>
      <c r="AO313" s="617"/>
    </row>
    <row r="314" ht="15.75" customHeight="1">
      <c r="A314" s="554">
        <f>'INVONTERY FEB'!A314</f>
        <v>308</v>
      </c>
      <c r="B314" s="554" t="str">
        <f>'INVONTERY FEB'!B314</f>
        <v>OFFICE SUPPLIES/STATIONERY</v>
      </c>
      <c r="C314" s="554" t="str">
        <f>'INVONTERY FEB'!C314</f>
        <v/>
      </c>
      <c r="D314" s="556">
        <f>'INVONTERY FEB'!D314</f>
        <v>0</v>
      </c>
      <c r="E314" s="614"/>
      <c r="F314" s="566"/>
      <c r="G314" s="567"/>
      <c r="H314" s="567"/>
      <c r="I314" s="603"/>
      <c r="J314" s="603"/>
      <c r="K314" s="603"/>
      <c r="L314" s="604"/>
      <c r="M314" s="592"/>
      <c r="N314" s="603"/>
      <c r="O314" s="567"/>
      <c r="P314" s="603"/>
      <c r="Q314" s="603"/>
      <c r="R314" s="603"/>
      <c r="S314" s="603"/>
      <c r="T314" s="603"/>
      <c r="U314" s="603"/>
      <c r="V314" s="605"/>
      <c r="W314" s="605"/>
      <c r="X314" s="605"/>
      <c r="Y314" s="615"/>
      <c r="Z314" s="603"/>
      <c r="AA314" s="603"/>
      <c r="AB314" s="603"/>
      <c r="AC314" s="603"/>
      <c r="AD314" s="603"/>
      <c r="AE314" s="605"/>
      <c r="AF314" s="603"/>
      <c r="AG314" s="603"/>
      <c r="AH314" s="603"/>
      <c r="AI314" s="603"/>
      <c r="AJ314" s="592"/>
      <c r="AK314" s="616"/>
      <c r="AL314" s="563">
        <f t="shared" si="2"/>
        <v>0</v>
      </c>
      <c r="AM314" s="105">
        <f t="shared" si="3"/>
        <v>0</v>
      </c>
      <c r="AO314" s="617"/>
    </row>
    <row r="315" ht="15.75" customHeight="1">
      <c r="A315" s="554">
        <f>'INVONTERY FEB'!A315</f>
        <v>309</v>
      </c>
      <c r="B315" s="554" t="str">
        <f>'INVONTERY FEB'!B315</f>
        <v>CALUCULATER</v>
      </c>
      <c r="C315" s="554" t="str">
        <f>'INVONTERY FEB'!C315</f>
        <v>PCS</v>
      </c>
      <c r="D315" s="556">
        <f>'INVONTERY FEB'!D315</f>
        <v>780</v>
      </c>
      <c r="E315" s="614"/>
      <c r="F315" s="566"/>
      <c r="G315" s="567"/>
      <c r="H315" s="567"/>
      <c r="I315" s="603"/>
      <c r="J315" s="603"/>
      <c r="K315" s="603"/>
      <c r="L315" s="604"/>
      <c r="M315" s="592"/>
      <c r="N315" s="603"/>
      <c r="O315" s="567"/>
      <c r="P315" s="603"/>
      <c r="Q315" s="603"/>
      <c r="R315" s="603"/>
      <c r="S315" s="603"/>
      <c r="T315" s="603"/>
      <c r="U315" s="603"/>
      <c r="V315" s="605"/>
      <c r="W315" s="605"/>
      <c r="X315" s="605"/>
      <c r="Y315" s="615"/>
      <c r="Z315" s="603"/>
      <c r="AA315" s="603"/>
      <c r="AB315" s="603"/>
      <c r="AC315" s="603"/>
      <c r="AD315" s="603"/>
      <c r="AE315" s="605"/>
      <c r="AF315" s="603"/>
      <c r="AG315" s="603"/>
      <c r="AH315" s="603"/>
      <c r="AI315" s="603"/>
      <c r="AJ315" s="592"/>
      <c r="AK315" s="616"/>
      <c r="AL315" s="563">
        <f t="shared" si="2"/>
        <v>0</v>
      </c>
      <c r="AM315" s="105">
        <f t="shared" si="3"/>
        <v>0</v>
      </c>
      <c r="AO315" s="617"/>
    </row>
    <row r="316" ht="15.75" customHeight="1">
      <c r="A316" s="554">
        <f>'INVONTERY FEB'!A316</f>
        <v>310</v>
      </c>
      <c r="B316" s="554" t="str">
        <f>'INVONTERY FEB'!B316</f>
        <v>STAPLER</v>
      </c>
      <c r="C316" s="554" t="str">
        <f>'INVONTERY FEB'!C316</f>
        <v>PCS</v>
      </c>
      <c r="D316" s="556">
        <f>'INVONTERY FEB'!D316</f>
        <v>260</v>
      </c>
      <c r="E316" s="614"/>
      <c r="F316" s="566"/>
      <c r="G316" s="567"/>
      <c r="H316" s="567"/>
      <c r="I316" s="603"/>
      <c r="J316" s="603"/>
      <c r="K316" s="603"/>
      <c r="L316" s="604"/>
      <c r="M316" s="592"/>
      <c r="N316" s="603"/>
      <c r="O316" s="567"/>
      <c r="P316" s="603"/>
      <c r="Q316" s="603"/>
      <c r="R316" s="603"/>
      <c r="S316" s="603"/>
      <c r="T316" s="603"/>
      <c r="U316" s="603"/>
      <c r="V316" s="605"/>
      <c r="W316" s="605"/>
      <c r="X316" s="605"/>
      <c r="Y316" s="615"/>
      <c r="Z316" s="603"/>
      <c r="AA316" s="603"/>
      <c r="AB316" s="603"/>
      <c r="AC316" s="603"/>
      <c r="AD316" s="603"/>
      <c r="AE316" s="605"/>
      <c r="AF316" s="603"/>
      <c r="AG316" s="603"/>
      <c r="AH316" s="603"/>
      <c r="AI316" s="603"/>
      <c r="AJ316" s="592"/>
      <c r="AK316" s="616"/>
      <c r="AL316" s="563">
        <f t="shared" si="2"/>
        <v>0</v>
      </c>
      <c r="AM316" s="105">
        <f t="shared" si="3"/>
        <v>0</v>
      </c>
      <c r="AO316" s="617"/>
    </row>
    <row r="317" ht="15.75" customHeight="1">
      <c r="A317" s="554">
        <f>'INVONTERY FEB'!A317</f>
        <v>311</v>
      </c>
      <c r="B317" s="554" t="str">
        <f>'INVONTERY FEB'!B317</f>
        <v>PUNCHER</v>
      </c>
      <c r="C317" s="554" t="str">
        <f>'INVONTERY FEB'!C317</f>
        <v>PCS</v>
      </c>
      <c r="D317" s="556">
        <f>'INVONTERY FEB'!D317</f>
        <v>500</v>
      </c>
      <c r="E317" s="614"/>
      <c r="F317" s="566"/>
      <c r="G317" s="567"/>
      <c r="H317" s="567"/>
      <c r="I317" s="603"/>
      <c r="J317" s="603"/>
      <c r="K317" s="603"/>
      <c r="L317" s="604"/>
      <c r="M317" s="592"/>
      <c r="N317" s="603"/>
      <c r="O317" s="567"/>
      <c r="P317" s="603"/>
      <c r="Q317" s="603"/>
      <c r="R317" s="603"/>
      <c r="S317" s="603"/>
      <c r="T317" s="603"/>
      <c r="U317" s="603"/>
      <c r="V317" s="605"/>
      <c r="W317" s="605"/>
      <c r="X317" s="605"/>
      <c r="Y317" s="615"/>
      <c r="Z317" s="603"/>
      <c r="AA317" s="603"/>
      <c r="AB317" s="603"/>
      <c r="AC317" s="603"/>
      <c r="AD317" s="603"/>
      <c r="AE317" s="605"/>
      <c r="AF317" s="603"/>
      <c r="AG317" s="603"/>
      <c r="AH317" s="603"/>
      <c r="AI317" s="603"/>
      <c r="AJ317" s="592"/>
      <c r="AK317" s="616"/>
      <c r="AL317" s="563">
        <f t="shared" si="2"/>
        <v>0</v>
      </c>
      <c r="AM317" s="105">
        <f t="shared" si="3"/>
        <v>0</v>
      </c>
      <c r="AO317" s="617"/>
    </row>
    <row r="318" ht="15.75" customHeight="1">
      <c r="A318" s="554">
        <f>'INVONTERY FEB'!A318</f>
        <v>312</v>
      </c>
      <c r="B318" s="554" t="str">
        <f>'INVONTERY FEB'!B318</f>
        <v>BOLL POINT</v>
      </c>
      <c r="C318" s="554" t="str">
        <f>'INVONTERY FEB'!C318</f>
        <v>BOX</v>
      </c>
      <c r="D318" s="556">
        <f>'INVONTERY FEB'!D318</f>
        <v>350</v>
      </c>
      <c r="E318" s="614"/>
      <c r="F318" s="566"/>
      <c r="G318" s="567"/>
      <c r="H318" s="567"/>
      <c r="I318" s="603"/>
      <c r="J318" s="603"/>
      <c r="K318" s="603"/>
      <c r="L318" s="604"/>
      <c r="M318" s="592"/>
      <c r="N318" s="603"/>
      <c r="O318" s="567"/>
      <c r="P318" s="603"/>
      <c r="Q318" s="603"/>
      <c r="R318" s="603"/>
      <c r="S318" s="603"/>
      <c r="T318" s="603"/>
      <c r="U318" s="603"/>
      <c r="V318" s="605"/>
      <c r="W318" s="605"/>
      <c r="X318" s="605"/>
      <c r="Y318" s="615"/>
      <c r="Z318" s="603"/>
      <c r="AA318" s="603"/>
      <c r="AB318" s="603"/>
      <c r="AC318" s="603"/>
      <c r="AD318" s="603"/>
      <c r="AE318" s="605"/>
      <c r="AF318" s="603"/>
      <c r="AG318" s="603"/>
      <c r="AH318" s="603"/>
      <c r="AI318" s="603"/>
      <c r="AJ318" s="592"/>
      <c r="AK318" s="616"/>
      <c r="AL318" s="563">
        <f t="shared" si="2"/>
        <v>0</v>
      </c>
      <c r="AM318" s="105">
        <f t="shared" si="3"/>
        <v>0</v>
      </c>
      <c r="AO318" s="617"/>
    </row>
    <row r="319" ht="15.75" customHeight="1">
      <c r="A319" s="554">
        <f>'INVONTERY FEB'!A319</f>
        <v>313</v>
      </c>
      <c r="B319" s="554" t="str">
        <f>'INVONTERY FEB'!B319</f>
        <v>A4 PAPER RIM</v>
      </c>
      <c r="C319" s="554" t="str">
        <f>'INVONTERY FEB'!C319</f>
        <v>RIM</v>
      </c>
      <c r="D319" s="556">
        <f>'INVONTERY FEB'!D319</f>
        <v>1250</v>
      </c>
      <c r="E319" s="614"/>
      <c r="F319" s="566"/>
      <c r="G319" s="567"/>
      <c r="H319" s="567"/>
      <c r="I319" s="603"/>
      <c r="J319" s="603"/>
      <c r="K319" s="603"/>
      <c r="L319" s="604"/>
      <c r="M319" s="592"/>
      <c r="N319" s="603"/>
      <c r="O319" s="567"/>
      <c r="P319" s="603"/>
      <c r="Q319" s="603"/>
      <c r="R319" s="603"/>
      <c r="S319" s="603"/>
      <c r="T319" s="603"/>
      <c r="U319" s="603"/>
      <c r="V319" s="605"/>
      <c r="W319" s="605"/>
      <c r="X319" s="605"/>
      <c r="Y319" s="615"/>
      <c r="Z319" s="603"/>
      <c r="AA319" s="603"/>
      <c r="AB319" s="603"/>
      <c r="AC319" s="603"/>
      <c r="AD319" s="603"/>
      <c r="AE319" s="605"/>
      <c r="AF319" s="603"/>
      <c r="AG319" s="603"/>
      <c r="AH319" s="603"/>
      <c r="AI319" s="603"/>
      <c r="AJ319" s="592"/>
      <c r="AK319" s="616"/>
      <c r="AL319" s="563">
        <f t="shared" si="2"/>
        <v>0</v>
      </c>
      <c r="AM319" s="105">
        <f t="shared" si="3"/>
        <v>0</v>
      </c>
      <c r="AO319" s="617"/>
    </row>
    <row r="320" ht="15.75" customHeight="1">
      <c r="A320" s="554">
        <f>'INVONTERY FEB'!A320</f>
        <v>314</v>
      </c>
      <c r="B320" s="554" t="str">
        <f>'INVONTERY FEB'!B320</f>
        <v>CAKE MRD MACHINE</v>
      </c>
      <c r="C320" s="554" t="str">
        <f>'INVONTERY FEB'!C320</f>
        <v>PCS</v>
      </c>
      <c r="D320" s="556">
        <f>'INVONTERY FEB'!D320</f>
        <v>950</v>
      </c>
      <c r="E320" s="614"/>
      <c r="F320" s="566"/>
      <c r="G320" s="567"/>
      <c r="H320" s="567"/>
      <c r="I320" s="603"/>
      <c r="J320" s="603"/>
      <c r="K320" s="603"/>
      <c r="L320" s="604"/>
      <c r="M320" s="592"/>
      <c r="N320" s="603"/>
      <c r="O320" s="567"/>
      <c r="P320" s="603"/>
      <c r="Q320" s="603"/>
      <c r="R320" s="603"/>
      <c r="S320" s="603"/>
      <c r="T320" s="603"/>
      <c r="U320" s="603"/>
      <c r="V320" s="605"/>
      <c r="W320" s="605"/>
      <c r="X320" s="605"/>
      <c r="Y320" s="615"/>
      <c r="Z320" s="603"/>
      <c r="AA320" s="603"/>
      <c r="AB320" s="603"/>
      <c r="AC320" s="603"/>
      <c r="AD320" s="603"/>
      <c r="AE320" s="605"/>
      <c r="AF320" s="603"/>
      <c r="AG320" s="603"/>
      <c r="AH320" s="603"/>
      <c r="AI320" s="603"/>
      <c r="AJ320" s="592"/>
      <c r="AK320" s="616"/>
      <c r="AL320" s="563">
        <f t="shared" si="2"/>
        <v>0</v>
      </c>
      <c r="AM320" s="105">
        <f t="shared" si="3"/>
        <v>0</v>
      </c>
      <c r="AO320" s="617"/>
    </row>
    <row r="321" ht="15.75" customHeight="1">
      <c r="A321" s="554">
        <f>'INVONTERY FEB'!A321</f>
        <v>315</v>
      </c>
      <c r="B321" s="554" t="str">
        <f>'INVONTERY FEB'!B321</f>
        <v>LPG</v>
      </c>
      <c r="C321" s="554" t="str">
        <f>'INVONTERY FEB'!C321</f>
        <v>CLY</v>
      </c>
      <c r="D321" s="556">
        <f>'INVONTERY FEB'!D321</f>
        <v>13166</v>
      </c>
      <c r="E321" s="614"/>
      <c r="F321" s="570">
        <v>2.0</v>
      </c>
      <c r="G321" s="567"/>
      <c r="H321" s="567"/>
      <c r="I321" s="603"/>
      <c r="J321" s="603"/>
      <c r="K321" s="603"/>
      <c r="L321" s="604"/>
      <c r="M321" s="609">
        <v>2.0</v>
      </c>
      <c r="N321" s="603"/>
      <c r="O321" s="567"/>
      <c r="P321" s="603"/>
      <c r="Q321" s="603"/>
      <c r="R321" s="607">
        <v>2.0</v>
      </c>
      <c r="S321" s="603"/>
      <c r="T321" s="603"/>
      <c r="U321" s="603"/>
      <c r="V321" s="605"/>
      <c r="W321" s="605"/>
      <c r="X321" s="605"/>
      <c r="Y321" s="618"/>
      <c r="Z321" s="603"/>
      <c r="AA321" s="603"/>
      <c r="AB321" s="603"/>
      <c r="AC321" s="603"/>
      <c r="AD321" s="603"/>
      <c r="AE321" s="605"/>
      <c r="AF321" s="603"/>
      <c r="AG321" s="603"/>
      <c r="AH321" s="619"/>
      <c r="AI321" s="603"/>
      <c r="AJ321" s="592"/>
      <c r="AK321" s="616"/>
      <c r="AL321" s="563">
        <f t="shared" si="2"/>
        <v>6</v>
      </c>
      <c r="AM321" s="105">
        <f t="shared" si="3"/>
        <v>3</v>
      </c>
      <c r="AO321" s="617"/>
    </row>
    <row r="322" ht="15.75" customHeight="1">
      <c r="A322" s="554">
        <f>'INVONTERY FEB'!A322</f>
        <v>316</v>
      </c>
      <c r="B322" s="554" t="str">
        <f>'INVONTERY FEB'!B322</f>
        <v>BINDING SHEET</v>
      </c>
      <c r="C322" s="554" t="str">
        <f>'INVONTERY FEB'!C322</f>
        <v>PKT</v>
      </c>
      <c r="D322" s="556">
        <f>'INVONTERY FEB'!D322</f>
        <v>450</v>
      </c>
      <c r="E322" s="614"/>
      <c r="F322" s="566"/>
      <c r="G322" s="567"/>
      <c r="H322" s="567"/>
      <c r="I322" s="603"/>
      <c r="J322" s="603"/>
      <c r="K322" s="603"/>
      <c r="L322" s="604"/>
      <c r="M322" s="592"/>
      <c r="N322" s="603"/>
      <c r="O322" s="567"/>
      <c r="P322" s="603"/>
      <c r="Q322" s="603"/>
      <c r="R322" s="603"/>
      <c r="S322" s="603"/>
      <c r="T322" s="603"/>
      <c r="U322" s="603"/>
      <c r="V322" s="605"/>
      <c r="W322" s="605"/>
      <c r="X322" s="605"/>
      <c r="Y322" s="615"/>
      <c r="Z322" s="603"/>
      <c r="AA322" s="603"/>
      <c r="AB322" s="603"/>
      <c r="AC322" s="603"/>
      <c r="AD322" s="603"/>
      <c r="AE322" s="605"/>
      <c r="AF322" s="603"/>
      <c r="AG322" s="603"/>
      <c r="AH322" s="603"/>
      <c r="AI322" s="603"/>
      <c r="AJ322" s="592"/>
      <c r="AK322" s="616"/>
      <c r="AL322" s="563">
        <f t="shared" si="2"/>
        <v>0</v>
      </c>
      <c r="AM322" s="105">
        <f t="shared" si="3"/>
        <v>0</v>
      </c>
      <c r="AO322" s="617"/>
    </row>
    <row r="323" ht="15.75" customHeight="1">
      <c r="A323" s="554">
        <f>'INVONTERY FEB'!A323</f>
        <v>317</v>
      </c>
      <c r="B323" s="554" t="str">
        <f>'INVONTERY FEB'!B323</f>
        <v>PIN OPNER</v>
      </c>
      <c r="C323" s="554" t="str">
        <f>'INVONTERY FEB'!C323</f>
        <v>PCS</v>
      </c>
      <c r="D323" s="556">
        <f>'INVONTERY FEB'!D323</f>
        <v>200</v>
      </c>
      <c r="E323" s="614"/>
      <c r="F323" s="566"/>
      <c r="G323" s="567"/>
      <c r="H323" s="567"/>
      <c r="I323" s="603"/>
      <c r="J323" s="603"/>
      <c r="K323" s="603"/>
      <c r="L323" s="604"/>
      <c r="M323" s="592"/>
      <c r="N323" s="603"/>
      <c r="O323" s="567"/>
      <c r="P323" s="603"/>
      <c r="Q323" s="603"/>
      <c r="R323" s="603"/>
      <c r="S323" s="603"/>
      <c r="T323" s="603"/>
      <c r="U323" s="603"/>
      <c r="V323" s="605"/>
      <c r="W323" s="605"/>
      <c r="X323" s="605"/>
      <c r="Y323" s="615"/>
      <c r="Z323" s="603"/>
      <c r="AA323" s="603"/>
      <c r="AB323" s="603"/>
      <c r="AC323" s="603"/>
      <c r="AD323" s="603"/>
      <c r="AE323" s="605"/>
      <c r="AF323" s="603"/>
      <c r="AG323" s="603"/>
      <c r="AH323" s="603"/>
      <c r="AI323" s="603"/>
      <c r="AJ323" s="592"/>
      <c r="AK323" s="616"/>
      <c r="AL323" s="563">
        <f t="shared" si="2"/>
        <v>0</v>
      </c>
      <c r="AM323" s="105">
        <f t="shared" si="3"/>
        <v>0</v>
      </c>
      <c r="AO323" s="617"/>
    </row>
    <row r="324" ht="15.75" customHeight="1">
      <c r="A324" s="554">
        <f>'INVONTERY FEB'!A324</f>
        <v>318</v>
      </c>
      <c r="B324" s="554" t="str">
        <f>'INVONTERY FEB'!B324</f>
        <v>FACE MASK</v>
      </c>
      <c r="C324" s="554" t="str">
        <f>'INVONTERY FEB'!C324</f>
        <v>PCS</v>
      </c>
      <c r="D324" s="556">
        <f>'INVONTERY FEB'!D324</f>
        <v>575</v>
      </c>
      <c r="E324" s="620"/>
      <c r="F324" s="566"/>
      <c r="G324" s="567"/>
      <c r="H324" s="567"/>
      <c r="I324" s="621"/>
      <c r="J324" s="621"/>
      <c r="K324" s="621"/>
      <c r="L324" s="622"/>
      <c r="M324" s="592"/>
      <c r="N324" s="621"/>
      <c r="O324" s="567"/>
      <c r="P324" s="621"/>
      <c r="Q324" s="621"/>
      <c r="R324" s="621"/>
      <c r="S324" s="621"/>
      <c r="T324" s="621"/>
      <c r="U324" s="621"/>
      <c r="V324" s="623"/>
      <c r="W324" s="623"/>
      <c r="X324" s="623"/>
      <c r="Y324" s="624"/>
      <c r="Z324" s="621"/>
      <c r="AA324" s="621"/>
      <c r="AB324" s="621"/>
      <c r="AC324" s="621"/>
      <c r="AD324" s="621"/>
      <c r="AE324" s="623"/>
      <c r="AF324" s="621"/>
      <c r="AG324" s="621"/>
      <c r="AH324" s="621"/>
      <c r="AI324" s="621"/>
      <c r="AJ324" s="592"/>
      <c r="AK324" s="616"/>
      <c r="AL324" s="563">
        <f t="shared" si="2"/>
        <v>0</v>
      </c>
      <c r="AM324" s="105">
        <f t="shared" si="3"/>
        <v>0</v>
      </c>
      <c r="AO324" s="617"/>
    </row>
    <row r="325" ht="15.75" customHeight="1">
      <c r="C325" s="530"/>
      <c r="D325" s="140"/>
      <c r="E325" s="531"/>
      <c r="F325" s="210"/>
      <c r="G325" s="210"/>
      <c r="H325" s="210"/>
      <c r="I325" s="210"/>
      <c r="J325" s="210"/>
      <c r="K325" s="210"/>
      <c r="L325" s="210"/>
      <c r="M325" s="210"/>
      <c r="N325" s="235"/>
      <c r="O325" s="235"/>
      <c r="P325" s="235"/>
      <c r="Q325" s="235"/>
      <c r="R325" s="235"/>
      <c r="S325" s="235"/>
      <c r="T325" s="235"/>
      <c r="U325" s="625"/>
      <c r="V325" s="625"/>
      <c r="W325" s="625"/>
      <c r="X325" s="625"/>
      <c r="Y325" s="625"/>
      <c r="Z325" s="602"/>
      <c r="AA325" s="602"/>
      <c r="AB325" s="602"/>
      <c r="AC325" s="602"/>
      <c r="AD325" s="602"/>
      <c r="AE325" s="602"/>
      <c r="AF325" s="602"/>
      <c r="AG325" s="602"/>
      <c r="AH325" s="602"/>
      <c r="AI325" s="602"/>
      <c r="AJ325" s="104"/>
      <c r="AK325" s="594"/>
      <c r="AO325" s="104"/>
    </row>
    <row r="326" ht="15.75" customHeight="1">
      <c r="C326" s="530"/>
      <c r="D326" s="140"/>
      <c r="E326" s="531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5"/>
      <c r="V326" s="105"/>
      <c r="W326" s="105"/>
      <c r="X326" s="532"/>
      <c r="Y326" s="105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04"/>
      <c r="AO326" s="104"/>
    </row>
    <row r="327" ht="15.75" customHeight="1">
      <c r="C327" s="530"/>
      <c r="D327" s="140"/>
      <c r="E327" s="531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5"/>
      <c r="V327" s="105"/>
      <c r="W327" s="105"/>
      <c r="X327" s="532"/>
      <c r="Y327" s="105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04"/>
      <c r="AO327" s="104"/>
    </row>
    <row r="328" ht="15.75" customHeight="1">
      <c r="C328" s="530"/>
      <c r="E328" s="531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5"/>
      <c r="V328" s="105"/>
      <c r="W328" s="105"/>
      <c r="X328" s="532"/>
      <c r="Y328" s="105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04"/>
    </row>
    <row r="329" ht="15.75" customHeight="1">
      <c r="C329" s="530"/>
      <c r="E329" s="531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5"/>
      <c r="V329" s="105"/>
      <c r="W329" s="105"/>
      <c r="X329" s="532"/>
      <c r="Y329" s="105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04"/>
    </row>
    <row r="330" ht="15.75" customHeight="1">
      <c r="C330" s="530"/>
      <c r="E330" s="531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5"/>
      <c r="V330" s="105"/>
      <c r="W330" s="105"/>
      <c r="X330" s="532"/>
      <c r="Y330" s="105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04"/>
    </row>
    <row r="331" ht="15.75" customHeight="1">
      <c r="C331" s="530"/>
      <c r="E331" s="531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5"/>
      <c r="V331" s="105"/>
      <c r="W331" s="105"/>
      <c r="X331" s="532"/>
      <c r="Y331" s="105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04"/>
    </row>
    <row r="332" ht="15.75" customHeight="1">
      <c r="C332" s="530"/>
      <c r="E332" s="531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5"/>
      <c r="V332" s="105"/>
      <c r="W332" s="105"/>
      <c r="X332" s="532"/>
      <c r="Y332" s="105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04"/>
    </row>
    <row r="333" ht="15.75" customHeight="1">
      <c r="C333" s="530"/>
      <c r="E333" s="531"/>
      <c r="F333" s="531"/>
      <c r="G333" s="105"/>
      <c r="H333" s="532"/>
      <c r="I333" s="105"/>
      <c r="J333" s="105"/>
      <c r="K333" s="105"/>
      <c r="L333" s="105"/>
      <c r="M333" s="105"/>
      <c r="N333" s="532"/>
      <c r="O333" s="105"/>
      <c r="P333" s="105"/>
      <c r="Q333" s="105"/>
      <c r="R333" s="105"/>
      <c r="S333" s="105"/>
      <c r="U333" s="105"/>
      <c r="V333" s="105"/>
      <c r="W333" s="105"/>
      <c r="X333" s="532"/>
      <c r="Y333" s="105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</row>
    <row r="334" ht="15.75" customHeight="1">
      <c r="C334" s="530"/>
      <c r="E334" s="531"/>
      <c r="F334" s="531"/>
      <c r="G334" s="105"/>
      <c r="H334" s="532"/>
      <c r="I334" s="105"/>
      <c r="J334" s="105"/>
      <c r="K334" s="105"/>
      <c r="L334" s="105"/>
      <c r="M334" s="105"/>
      <c r="N334" s="532"/>
      <c r="O334" s="105"/>
      <c r="P334" s="105"/>
      <c r="Q334" s="105"/>
      <c r="R334" s="105"/>
      <c r="S334" s="105"/>
      <c r="U334" s="105"/>
      <c r="V334" s="105"/>
      <c r="W334" s="105"/>
      <c r="X334" s="532"/>
      <c r="Y334" s="105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</row>
    <row r="335" ht="15.75" customHeight="1">
      <c r="C335" s="530"/>
      <c r="E335" s="531"/>
      <c r="F335" s="531"/>
      <c r="G335" s="105"/>
      <c r="H335" s="532"/>
      <c r="I335" s="105"/>
      <c r="J335" s="105"/>
      <c r="K335" s="105"/>
      <c r="L335" s="105"/>
      <c r="M335" s="105"/>
      <c r="N335" s="532"/>
      <c r="O335" s="105"/>
      <c r="P335" s="105"/>
      <c r="Q335" s="105"/>
      <c r="R335" s="105"/>
      <c r="S335" s="105"/>
      <c r="U335" s="105"/>
      <c r="V335" s="105"/>
      <c r="W335" s="105"/>
      <c r="X335" s="532"/>
      <c r="Y335" s="105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</row>
    <row r="336" ht="15.75" customHeight="1">
      <c r="C336" s="530"/>
      <c r="E336" s="531"/>
      <c r="F336" s="531"/>
      <c r="G336" s="105"/>
      <c r="H336" s="532"/>
      <c r="I336" s="105"/>
      <c r="J336" s="105"/>
      <c r="K336" s="105"/>
      <c r="L336" s="105"/>
      <c r="M336" s="105"/>
      <c r="N336" s="532"/>
      <c r="O336" s="105"/>
      <c r="P336" s="105"/>
      <c r="Q336" s="105"/>
      <c r="R336" s="105"/>
      <c r="S336" s="105"/>
      <c r="U336" s="105"/>
      <c r="V336" s="105"/>
      <c r="W336" s="105"/>
      <c r="X336" s="532"/>
      <c r="Y336" s="105"/>
      <c r="Z336" s="105"/>
      <c r="AA336" s="105"/>
      <c r="AB336" s="105"/>
      <c r="AC336" s="105"/>
      <c r="AD336" s="105"/>
      <c r="AE336" s="105"/>
      <c r="AF336" s="105"/>
      <c r="AG336" s="105"/>
    </row>
    <row r="337" ht="15.75" customHeight="1">
      <c r="C337" s="530"/>
      <c r="E337" s="531"/>
      <c r="F337" s="531"/>
      <c r="G337" s="105"/>
      <c r="H337" s="532"/>
      <c r="I337" s="105"/>
      <c r="J337" s="105"/>
      <c r="K337" s="105"/>
      <c r="L337" s="105"/>
      <c r="M337" s="105"/>
      <c r="N337" s="532"/>
      <c r="O337" s="105"/>
      <c r="P337" s="105"/>
      <c r="Q337" s="105"/>
      <c r="R337" s="105"/>
      <c r="S337" s="105"/>
      <c r="U337" s="105"/>
      <c r="V337" s="105"/>
      <c r="W337" s="105"/>
      <c r="X337" s="532"/>
      <c r="Y337" s="105"/>
      <c r="Z337" s="105"/>
      <c r="AA337" s="105"/>
      <c r="AB337" s="105"/>
      <c r="AC337" s="105"/>
      <c r="AD337" s="105"/>
      <c r="AE337" s="105"/>
      <c r="AF337" s="105"/>
      <c r="AG337" s="105"/>
    </row>
    <row r="338" ht="15.75" customHeight="1">
      <c r="C338" s="530"/>
      <c r="E338" s="531"/>
      <c r="F338" s="531"/>
      <c r="G338" s="105"/>
      <c r="H338" s="532"/>
      <c r="I338" s="105"/>
      <c r="J338" s="105"/>
      <c r="K338" s="105"/>
      <c r="L338" s="105"/>
      <c r="M338" s="105"/>
      <c r="N338" s="532"/>
      <c r="O338" s="105"/>
      <c r="P338" s="105"/>
      <c r="Q338" s="105"/>
      <c r="R338" s="105"/>
      <c r="S338" s="105"/>
      <c r="U338" s="105"/>
      <c r="V338" s="105"/>
      <c r="W338" s="105"/>
      <c r="X338" s="532"/>
      <c r="Y338" s="105"/>
      <c r="Z338" s="105"/>
      <c r="AA338" s="105"/>
      <c r="AB338" s="105"/>
      <c r="AC338" s="105"/>
      <c r="AD338" s="105"/>
      <c r="AE338" s="105"/>
      <c r="AF338" s="105"/>
      <c r="AG338" s="105"/>
    </row>
    <row r="339" ht="15.75" customHeight="1">
      <c r="C339" s="530"/>
      <c r="E339" s="531"/>
      <c r="F339" s="531"/>
      <c r="H339" s="532"/>
      <c r="N339" s="532"/>
      <c r="U339" s="105"/>
      <c r="V339" s="105"/>
      <c r="W339" s="105"/>
      <c r="X339" s="532"/>
      <c r="Y339" s="105"/>
      <c r="Z339" s="105"/>
      <c r="AA339" s="105"/>
      <c r="AB339" s="105"/>
      <c r="AC339" s="105"/>
      <c r="AD339" s="105"/>
      <c r="AE339" s="105"/>
      <c r="AF339" s="105"/>
      <c r="AG339" s="105"/>
    </row>
    <row r="340" ht="15.75" customHeight="1">
      <c r="C340" s="530"/>
      <c r="E340" s="531"/>
      <c r="F340" s="531"/>
      <c r="H340" s="532"/>
      <c r="N340" s="532"/>
      <c r="U340" s="105"/>
      <c r="V340" s="105"/>
      <c r="W340" s="105"/>
      <c r="X340" s="532"/>
      <c r="Y340" s="105"/>
      <c r="Z340" s="105"/>
      <c r="AA340" s="105"/>
      <c r="AB340" s="105"/>
      <c r="AC340" s="105"/>
      <c r="AD340" s="105"/>
      <c r="AE340" s="105"/>
      <c r="AF340" s="105"/>
      <c r="AG340" s="105"/>
    </row>
    <row r="341" ht="15.75" customHeight="1">
      <c r="C341" s="530"/>
      <c r="E341" s="531"/>
      <c r="F341" s="531"/>
      <c r="H341" s="532"/>
      <c r="N341" s="532"/>
      <c r="U341" s="105"/>
      <c r="V341" s="105"/>
      <c r="W341" s="105"/>
      <c r="X341" s="532"/>
      <c r="Y341" s="105"/>
      <c r="Z341" s="105"/>
      <c r="AA341" s="105"/>
      <c r="AB341" s="105"/>
      <c r="AC341" s="105"/>
      <c r="AD341" s="105"/>
      <c r="AE341" s="105"/>
      <c r="AF341" s="105"/>
      <c r="AG341" s="105"/>
    </row>
    <row r="342" ht="15.75" customHeight="1">
      <c r="C342" s="530"/>
      <c r="E342" s="531"/>
      <c r="F342" s="531"/>
      <c r="H342" s="532"/>
      <c r="N342" s="532"/>
      <c r="U342" s="105"/>
      <c r="V342" s="105"/>
      <c r="W342" s="105"/>
      <c r="X342" s="532"/>
      <c r="Y342" s="105"/>
      <c r="Z342" s="105"/>
      <c r="AA342" s="105"/>
      <c r="AB342" s="105"/>
      <c r="AC342" s="105"/>
      <c r="AD342" s="105"/>
      <c r="AE342" s="105"/>
      <c r="AF342" s="105"/>
      <c r="AG342" s="105"/>
    </row>
    <row r="343" ht="15.75" customHeight="1">
      <c r="C343" s="530"/>
      <c r="E343" s="531"/>
      <c r="F343" s="531"/>
      <c r="H343" s="532"/>
      <c r="N343" s="532"/>
      <c r="X343" s="532"/>
    </row>
    <row r="344" ht="15.75" customHeight="1">
      <c r="C344" s="530"/>
      <c r="E344" s="531"/>
      <c r="F344" s="531"/>
      <c r="H344" s="532"/>
      <c r="N344" s="532"/>
      <c r="X344" s="532"/>
    </row>
    <row r="345" ht="15.75" customHeight="1">
      <c r="C345" s="530"/>
      <c r="E345" s="531"/>
      <c r="F345" s="531"/>
      <c r="H345" s="532"/>
      <c r="N345" s="532"/>
      <c r="X345" s="532"/>
    </row>
    <row r="346" ht="15.75" customHeight="1">
      <c r="C346" s="530"/>
      <c r="E346" s="531"/>
      <c r="F346" s="531"/>
      <c r="H346" s="532"/>
      <c r="N346" s="532"/>
      <c r="X346" s="532"/>
    </row>
    <row r="347" ht="15.75" customHeight="1">
      <c r="C347" s="530"/>
      <c r="E347" s="531"/>
      <c r="F347" s="531"/>
      <c r="H347" s="532"/>
      <c r="N347" s="532"/>
      <c r="X347" s="532"/>
    </row>
    <row r="348" ht="15.75" customHeight="1">
      <c r="C348" s="530"/>
      <c r="E348" s="531"/>
      <c r="F348" s="531"/>
      <c r="H348" s="532"/>
      <c r="N348" s="532"/>
      <c r="X348" s="532"/>
    </row>
    <row r="349" ht="15.75" customHeight="1">
      <c r="C349" s="530"/>
      <c r="E349" s="531"/>
      <c r="F349" s="531"/>
      <c r="H349" s="532"/>
      <c r="N349" s="532"/>
      <c r="X349" s="532"/>
    </row>
    <row r="350" ht="15.75" customHeight="1">
      <c r="C350" s="530"/>
      <c r="E350" s="531"/>
      <c r="F350" s="531"/>
      <c r="H350" s="532"/>
      <c r="N350" s="532"/>
      <c r="X350" s="532"/>
    </row>
    <row r="351" ht="15.75" customHeight="1">
      <c r="C351" s="530"/>
      <c r="E351" s="531"/>
      <c r="F351" s="531"/>
      <c r="H351" s="532"/>
      <c r="N351" s="532"/>
      <c r="X351" s="532"/>
    </row>
    <row r="352" ht="15.75" customHeight="1">
      <c r="C352" s="530"/>
      <c r="E352" s="531"/>
      <c r="F352" s="531"/>
      <c r="H352" s="532"/>
      <c r="N352" s="532"/>
      <c r="X352" s="532"/>
    </row>
    <row r="353" ht="15.75" customHeight="1">
      <c r="C353" s="530"/>
      <c r="E353" s="531"/>
      <c r="F353" s="531"/>
      <c r="H353" s="532"/>
      <c r="N353" s="532"/>
      <c r="X353" s="532"/>
    </row>
    <row r="354" ht="15.75" customHeight="1">
      <c r="C354" s="530"/>
      <c r="E354" s="531"/>
      <c r="F354" s="531"/>
      <c r="H354" s="532"/>
      <c r="N354" s="532"/>
      <c r="X354" s="532"/>
    </row>
    <row r="355" ht="15.75" customHeight="1">
      <c r="C355" s="530"/>
      <c r="E355" s="531"/>
      <c r="F355" s="531"/>
      <c r="H355" s="532"/>
      <c r="N355" s="532"/>
      <c r="X355" s="532"/>
    </row>
    <row r="356" ht="15.75" customHeight="1">
      <c r="C356" s="530"/>
      <c r="E356" s="531"/>
      <c r="F356" s="531"/>
      <c r="H356" s="532"/>
      <c r="N356" s="532"/>
      <c r="X356" s="532"/>
    </row>
    <row r="357" ht="15.75" customHeight="1">
      <c r="C357" s="530"/>
      <c r="E357" s="531"/>
      <c r="F357" s="531"/>
      <c r="H357" s="532"/>
      <c r="N357" s="532"/>
      <c r="X357" s="532"/>
    </row>
    <row r="358" ht="15.75" customHeight="1">
      <c r="C358" s="530"/>
      <c r="E358" s="531"/>
      <c r="F358" s="531"/>
      <c r="H358" s="532"/>
      <c r="N358" s="532"/>
      <c r="X358" s="532"/>
    </row>
    <row r="359" ht="15.75" customHeight="1">
      <c r="C359" s="530"/>
      <c r="E359" s="531"/>
      <c r="F359" s="531"/>
      <c r="H359" s="532"/>
      <c r="N359" s="532"/>
      <c r="X359" s="532"/>
    </row>
    <row r="360" ht="15.75" customHeight="1">
      <c r="C360" s="530"/>
      <c r="E360" s="531"/>
      <c r="F360" s="531"/>
      <c r="H360" s="532"/>
      <c r="N360" s="532"/>
      <c r="X360" s="532"/>
    </row>
    <row r="361" ht="15.75" customHeight="1">
      <c r="C361" s="530"/>
      <c r="E361" s="531"/>
      <c r="F361" s="531"/>
      <c r="H361" s="532"/>
      <c r="N361" s="532"/>
      <c r="X361" s="532"/>
    </row>
    <row r="362" ht="15.75" customHeight="1">
      <c r="C362" s="530"/>
      <c r="E362" s="531"/>
      <c r="F362" s="531"/>
      <c r="H362" s="532"/>
      <c r="N362" s="532"/>
      <c r="X362" s="532"/>
    </row>
    <row r="363" ht="15.75" customHeight="1">
      <c r="C363" s="530"/>
      <c r="E363" s="531"/>
      <c r="F363" s="531"/>
      <c r="H363" s="532"/>
      <c r="N363" s="532"/>
      <c r="X363" s="532"/>
    </row>
    <row r="364" ht="15.75" customHeight="1">
      <c r="C364" s="530"/>
      <c r="E364" s="531"/>
      <c r="F364" s="531"/>
      <c r="H364" s="532"/>
      <c r="N364" s="532"/>
      <c r="X364" s="532"/>
    </row>
    <row r="365" ht="15.75" customHeight="1">
      <c r="C365" s="530"/>
      <c r="E365" s="531"/>
      <c r="F365" s="531"/>
      <c r="H365" s="532"/>
      <c r="N365" s="532"/>
      <c r="X365" s="532"/>
    </row>
    <row r="366" ht="15.75" customHeight="1">
      <c r="C366" s="530"/>
      <c r="E366" s="531"/>
      <c r="F366" s="531"/>
      <c r="H366" s="532"/>
      <c r="N366" s="532"/>
      <c r="X366" s="532"/>
    </row>
    <row r="367" ht="15.75" customHeight="1">
      <c r="C367" s="530"/>
      <c r="E367" s="531"/>
      <c r="F367" s="531"/>
      <c r="H367" s="532"/>
      <c r="N367" s="532"/>
      <c r="X367" s="532"/>
    </row>
    <row r="368" ht="15.75" customHeight="1">
      <c r="C368" s="530"/>
      <c r="E368" s="531"/>
      <c r="F368" s="531"/>
      <c r="H368" s="532"/>
      <c r="N368" s="532"/>
      <c r="X368" s="532"/>
    </row>
    <row r="369" ht="15.75" customHeight="1">
      <c r="C369" s="530"/>
      <c r="E369" s="531"/>
      <c r="F369" s="531"/>
      <c r="H369" s="532"/>
      <c r="N369" s="532"/>
      <c r="X369" s="532"/>
    </row>
    <row r="370" ht="15.75" customHeight="1">
      <c r="C370" s="530"/>
      <c r="E370" s="531"/>
      <c r="F370" s="531"/>
      <c r="H370" s="532"/>
      <c r="N370" s="532"/>
      <c r="X370" s="532"/>
    </row>
    <row r="371" ht="15.75" customHeight="1">
      <c r="C371" s="530"/>
      <c r="E371" s="531"/>
      <c r="F371" s="531"/>
      <c r="H371" s="532"/>
      <c r="N371" s="532"/>
      <c r="X371" s="532"/>
    </row>
    <row r="372" ht="15.75" customHeight="1">
      <c r="C372" s="530"/>
      <c r="E372" s="531"/>
      <c r="F372" s="531"/>
      <c r="H372" s="532"/>
      <c r="N372" s="532"/>
      <c r="X372" s="532"/>
    </row>
    <row r="373" ht="15.75" customHeight="1">
      <c r="C373" s="530"/>
      <c r="E373" s="531"/>
      <c r="F373" s="531"/>
      <c r="H373" s="532"/>
      <c r="N373" s="532"/>
      <c r="X373" s="532"/>
    </row>
    <row r="374" ht="15.75" customHeight="1">
      <c r="C374" s="530"/>
      <c r="E374" s="531"/>
      <c r="F374" s="531"/>
      <c r="H374" s="532"/>
      <c r="N374" s="532"/>
      <c r="X374" s="532"/>
    </row>
    <row r="375" ht="15.75" customHeight="1">
      <c r="C375" s="530"/>
      <c r="E375" s="531"/>
      <c r="F375" s="531"/>
      <c r="H375" s="532"/>
      <c r="N375" s="532"/>
      <c r="X375" s="532"/>
    </row>
    <row r="376" ht="15.75" customHeight="1">
      <c r="C376" s="530"/>
      <c r="E376" s="531"/>
      <c r="F376" s="531"/>
      <c r="H376" s="532"/>
      <c r="N376" s="532"/>
      <c r="X376" s="532"/>
    </row>
    <row r="377" ht="15.75" customHeight="1">
      <c r="C377" s="530"/>
      <c r="E377" s="531"/>
      <c r="F377" s="531"/>
      <c r="H377" s="532"/>
      <c r="N377" s="532"/>
      <c r="X377" s="532"/>
    </row>
    <row r="378" ht="15.75" customHeight="1">
      <c r="C378" s="530"/>
      <c r="E378" s="531"/>
      <c r="F378" s="531"/>
      <c r="H378" s="532"/>
      <c r="N378" s="532"/>
      <c r="X378" s="532"/>
    </row>
    <row r="379" ht="15.75" customHeight="1">
      <c r="C379" s="530"/>
      <c r="E379" s="531"/>
      <c r="F379" s="531"/>
      <c r="H379" s="532"/>
      <c r="N379" s="532"/>
      <c r="X379" s="532"/>
    </row>
    <row r="380" ht="15.75" customHeight="1">
      <c r="C380" s="530"/>
      <c r="E380" s="531"/>
      <c r="F380" s="531"/>
      <c r="H380" s="532"/>
      <c r="N380" s="532"/>
      <c r="X380" s="532"/>
    </row>
    <row r="381" ht="15.75" customHeight="1">
      <c r="C381" s="530"/>
      <c r="E381" s="531"/>
      <c r="F381" s="531"/>
      <c r="H381" s="532"/>
      <c r="N381" s="532"/>
      <c r="X381" s="532"/>
    </row>
    <row r="382" ht="15.75" customHeight="1">
      <c r="C382" s="530"/>
      <c r="E382" s="531"/>
      <c r="F382" s="531"/>
      <c r="H382" s="532"/>
      <c r="N382" s="532"/>
      <c r="X382" s="532"/>
    </row>
    <row r="383" ht="15.75" customHeight="1">
      <c r="C383" s="530"/>
      <c r="E383" s="531"/>
      <c r="F383" s="531"/>
      <c r="H383" s="532"/>
      <c r="N383" s="532"/>
      <c r="X383" s="532"/>
    </row>
    <row r="384" ht="15.75" customHeight="1">
      <c r="C384" s="530"/>
      <c r="E384" s="531"/>
      <c r="F384" s="531"/>
      <c r="H384" s="532"/>
      <c r="N384" s="532"/>
      <c r="X384" s="532"/>
    </row>
    <row r="385" ht="15.75" customHeight="1">
      <c r="C385" s="530"/>
      <c r="E385" s="531"/>
      <c r="F385" s="531"/>
      <c r="H385" s="532"/>
      <c r="N385" s="532"/>
      <c r="X385" s="532"/>
    </row>
    <row r="386" ht="15.75" customHeight="1">
      <c r="C386" s="530"/>
      <c r="E386" s="531"/>
      <c r="F386" s="531"/>
      <c r="H386" s="532"/>
      <c r="N386" s="532"/>
      <c r="X386" s="532"/>
    </row>
    <row r="387" ht="15.75" customHeight="1">
      <c r="C387" s="530"/>
      <c r="E387" s="531"/>
      <c r="F387" s="531"/>
      <c r="H387" s="532"/>
      <c r="N387" s="532"/>
      <c r="X387" s="532"/>
    </row>
    <row r="388" ht="15.75" customHeight="1">
      <c r="C388" s="530"/>
      <c r="E388" s="531"/>
      <c r="F388" s="531"/>
      <c r="H388" s="532"/>
      <c r="N388" s="532"/>
      <c r="X388" s="532"/>
    </row>
    <row r="389" ht="15.75" customHeight="1">
      <c r="C389" s="530"/>
      <c r="E389" s="531"/>
      <c r="F389" s="531"/>
      <c r="H389" s="532"/>
      <c r="N389" s="532"/>
      <c r="X389" s="532"/>
    </row>
    <row r="390" ht="15.75" customHeight="1">
      <c r="C390" s="530"/>
      <c r="E390" s="531"/>
      <c r="F390" s="531"/>
      <c r="H390" s="532"/>
      <c r="N390" s="532"/>
      <c r="X390" s="532"/>
    </row>
    <row r="391" ht="15.75" customHeight="1">
      <c r="C391" s="530"/>
      <c r="E391" s="531"/>
      <c r="F391" s="531"/>
      <c r="H391" s="532"/>
      <c r="N391" s="532"/>
      <c r="X391" s="532"/>
    </row>
    <row r="392" ht="15.75" customHeight="1">
      <c r="C392" s="530"/>
      <c r="E392" s="531"/>
      <c r="F392" s="531"/>
      <c r="H392" s="532"/>
      <c r="N392" s="532"/>
      <c r="X392" s="532"/>
    </row>
    <row r="393" ht="15.75" customHeight="1">
      <c r="C393" s="530"/>
      <c r="E393" s="531"/>
      <c r="F393" s="531"/>
      <c r="H393" s="532"/>
      <c r="N393" s="532"/>
      <c r="X393" s="532"/>
    </row>
    <row r="394" ht="15.75" customHeight="1">
      <c r="C394" s="530"/>
      <c r="E394" s="531"/>
      <c r="F394" s="531"/>
      <c r="H394" s="532"/>
      <c r="N394" s="532"/>
      <c r="X394" s="532"/>
    </row>
    <row r="395" ht="15.75" customHeight="1">
      <c r="C395" s="530"/>
      <c r="E395" s="531"/>
      <c r="F395" s="531"/>
      <c r="H395" s="532"/>
      <c r="N395" s="532"/>
      <c r="X395" s="532"/>
    </row>
    <row r="396" ht="15.75" customHeight="1">
      <c r="C396" s="530"/>
      <c r="E396" s="531"/>
      <c r="F396" s="531"/>
      <c r="H396" s="532"/>
      <c r="N396" s="532"/>
      <c r="X396" s="532"/>
    </row>
    <row r="397" ht="15.75" customHeight="1">
      <c r="C397" s="530"/>
      <c r="E397" s="531"/>
      <c r="F397" s="531"/>
      <c r="H397" s="532"/>
      <c r="N397" s="532"/>
      <c r="X397" s="532"/>
    </row>
    <row r="398" ht="15.75" customHeight="1">
      <c r="C398" s="530"/>
      <c r="E398" s="531"/>
      <c r="F398" s="531"/>
      <c r="H398" s="532"/>
      <c r="N398" s="532"/>
      <c r="X398" s="532"/>
    </row>
    <row r="399" ht="15.75" customHeight="1">
      <c r="C399" s="530"/>
      <c r="E399" s="531"/>
      <c r="F399" s="531"/>
      <c r="H399" s="532"/>
      <c r="N399" s="532"/>
      <c r="X399" s="532"/>
    </row>
    <row r="400" ht="15.75" customHeight="1">
      <c r="C400" s="530"/>
      <c r="E400" s="531"/>
      <c r="F400" s="531"/>
      <c r="H400" s="532"/>
      <c r="N400" s="532"/>
      <c r="X400" s="532"/>
    </row>
    <row r="401" ht="15.75" customHeight="1">
      <c r="C401" s="530"/>
      <c r="E401" s="531"/>
      <c r="F401" s="531"/>
      <c r="H401" s="532"/>
      <c r="N401" s="532"/>
      <c r="X401" s="532"/>
    </row>
    <row r="402" ht="15.75" customHeight="1">
      <c r="C402" s="530"/>
      <c r="E402" s="531"/>
      <c r="F402" s="531"/>
      <c r="H402" s="532"/>
      <c r="N402" s="532"/>
      <c r="X402" s="532"/>
    </row>
    <row r="403" ht="15.75" customHeight="1">
      <c r="C403" s="530"/>
      <c r="E403" s="531"/>
      <c r="F403" s="531"/>
      <c r="H403" s="532"/>
      <c r="N403" s="532"/>
      <c r="X403" s="532"/>
    </row>
    <row r="404" ht="15.75" customHeight="1">
      <c r="C404" s="530"/>
      <c r="E404" s="531"/>
      <c r="F404" s="531"/>
      <c r="H404" s="532"/>
      <c r="N404" s="532"/>
      <c r="X404" s="532"/>
    </row>
    <row r="405" ht="15.75" customHeight="1">
      <c r="C405" s="530"/>
      <c r="E405" s="531"/>
      <c r="F405" s="531"/>
      <c r="H405" s="532"/>
      <c r="N405" s="532"/>
      <c r="X405" s="532"/>
    </row>
    <row r="406" ht="15.75" customHeight="1">
      <c r="C406" s="530"/>
      <c r="E406" s="531"/>
      <c r="F406" s="531"/>
      <c r="H406" s="532"/>
      <c r="N406" s="532"/>
      <c r="X406" s="532"/>
    </row>
    <row r="407" ht="15.75" customHeight="1">
      <c r="C407" s="530"/>
      <c r="E407" s="531"/>
      <c r="F407" s="531"/>
      <c r="H407" s="532"/>
      <c r="N407" s="532"/>
      <c r="X407" s="532"/>
    </row>
    <row r="408" ht="15.75" customHeight="1">
      <c r="C408" s="530"/>
      <c r="E408" s="531"/>
      <c r="F408" s="531"/>
      <c r="H408" s="532"/>
      <c r="N408" s="532"/>
      <c r="X408" s="532"/>
    </row>
    <row r="409" ht="15.75" customHeight="1">
      <c r="C409" s="530"/>
      <c r="E409" s="531"/>
      <c r="F409" s="531"/>
      <c r="H409" s="532"/>
      <c r="N409" s="532"/>
      <c r="X409" s="532"/>
    </row>
    <row r="410" ht="15.75" customHeight="1">
      <c r="C410" s="530"/>
      <c r="E410" s="531"/>
      <c r="F410" s="531"/>
      <c r="H410" s="532"/>
      <c r="N410" s="532"/>
      <c r="X410" s="532"/>
    </row>
    <row r="411" ht="15.75" customHeight="1">
      <c r="C411" s="530"/>
      <c r="E411" s="531"/>
      <c r="F411" s="531"/>
      <c r="H411" s="532"/>
      <c r="N411" s="532"/>
      <c r="X411" s="532"/>
    </row>
    <row r="412" ht="15.75" customHeight="1">
      <c r="C412" s="530"/>
      <c r="E412" s="531"/>
      <c r="F412" s="531"/>
      <c r="H412" s="532"/>
      <c r="N412" s="532"/>
      <c r="X412" s="532"/>
    </row>
    <row r="413" ht="15.75" customHeight="1">
      <c r="C413" s="530"/>
      <c r="E413" s="531"/>
      <c r="F413" s="531"/>
      <c r="H413" s="532"/>
      <c r="N413" s="532"/>
      <c r="X413" s="532"/>
    </row>
    <row r="414" ht="15.75" customHeight="1">
      <c r="C414" s="530"/>
      <c r="E414" s="531"/>
      <c r="F414" s="531"/>
      <c r="H414" s="532"/>
      <c r="N414" s="532"/>
      <c r="X414" s="532"/>
    </row>
    <row r="415" ht="15.75" customHeight="1">
      <c r="C415" s="530"/>
      <c r="E415" s="531"/>
      <c r="F415" s="531"/>
      <c r="H415" s="532"/>
      <c r="N415" s="532"/>
      <c r="X415" s="532"/>
    </row>
    <row r="416" ht="15.75" customHeight="1">
      <c r="C416" s="530"/>
      <c r="E416" s="531"/>
      <c r="F416" s="531"/>
      <c r="H416" s="532"/>
      <c r="N416" s="532"/>
      <c r="X416" s="532"/>
    </row>
    <row r="417" ht="15.75" customHeight="1">
      <c r="C417" s="530"/>
      <c r="E417" s="531"/>
      <c r="F417" s="531"/>
      <c r="H417" s="532"/>
      <c r="N417" s="532"/>
      <c r="X417" s="532"/>
    </row>
    <row r="418" ht="15.75" customHeight="1">
      <c r="C418" s="530"/>
      <c r="E418" s="531"/>
      <c r="F418" s="531"/>
      <c r="H418" s="532"/>
      <c r="N418" s="532"/>
      <c r="X418" s="532"/>
    </row>
    <row r="419" ht="15.75" customHeight="1">
      <c r="C419" s="530"/>
      <c r="E419" s="531"/>
      <c r="F419" s="531"/>
      <c r="H419" s="532"/>
      <c r="N419" s="532"/>
      <c r="X419" s="532"/>
    </row>
    <row r="420" ht="15.75" customHeight="1">
      <c r="C420" s="530"/>
      <c r="E420" s="531"/>
      <c r="F420" s="531"/>
      <c r="H420" s="532"/>
      <c r="N420" s="532"/>
      <c r="X420" s="532"/>
    </row>
    <row r="421" ht="15.75" customHeight="1">
      <c r="C421" s="530"/>
      <c r="E421" s="531"/>
      <c r="F421" s="531"/>
      <c r="H421" s="532"/>
      <c r="N421" s="532"/>
      <c r="X421" s="532"/>
    </row>
    <row r="422" ht="15.75" customHeight="1">
      <c r="C422" s="530"/>
      <c r="E422" s="531"/>
      <c r="F422" s="531"/>
      <c r="H422" s="532"/>
      <c r="N422" s="532"/>
      <c r="X422" s="532"/>
    </row>
    <row r="423" ht="15.75" customHeight="1">
      <c r="C423" s="530"/>
      <c r="E423" s="531"/>
      <c r="F423" s="531"/>
      <c r="H423" s="532"/>
      <c r="N423" s="532"/>
      <c r="X423" s="532"/>
    </row>
    <row r="424" ht="15.75" customHeight="1">
      <c r="C424" s="530"/>
      <c r="E424" s="531"/>
      <c r="F424" s="531"/>
      <c r="H424" s="532"/>
      <c r="N424" s="532"/>
      <c r="X424" s="532"/>
    </row>
    <row r="425" ht="15.75" customHeight="1">
      <c r="C425" s="530"/>
      <c r="E425" s="531"/>
      <c r="F425" s="531"/>
      <c r="H425" s="532"/>
      <c r="N425" s="532"/>
      <c r="X425" s="532"/>
    </row>
    <row r="426" ht="15.75" customHeight="1">
      <c r="C426" s="530"/>
      <c r="E426" s="531"/>
      <c r="F426" s="531"/>
      <c r="H426" s="532"/>
      <c r="N426" s="532"/>
      <c r="X426" s="532"/>
    </row>
    <row r="427" ht="15.75" customHeight="1">
      <c r="C427" s="530"/>
      <c r="E427" s="531"/>
      <c r="F427" s="531"/>
      <c r="H427" s="532"/>
      <c r="N427" s="532"/>
      <c r="X427" s="532"/>
    </row>
    <row r="428" ht="15.75" customHeight="1">
      <c r="C428" s="530"/>
      <c r="E428" s="531"/>
      <c r="F428" s="531"/>
      <c r="H428" s="532"/>
      <c r="N428" s="532"/>
      <c r="X428" s="532"/>
    </row>
    <row r="429" ht="15.75" customHeight="1">
      <c r="C429" s="530"/>
      <c r="E429" s="531"/>
      <c r="F429" s="531"/>
      <c r="H429" s="532"/>
      <c r="N429" s="532"/>
      <c r="X429" s="532"/>
    </row>
    <row r="430" ht="15.75" customHeight="1">
      <c r="C430" s="530"/>
      <c r="E430" s="531"/>
      <c r="F430" s="531"/>
      <c r="H430" s="532"/>
      <c r="N430" s="532"/>
      <c r="X430" s="532"/>
    </row>
    <row r="431" ht="15.75" customHeight="1">
      <c r="C431" s="530"/>
      <c r="E431" s="531"/>
      <c r="F431" s="531"/>
      <c r="H431" s="532"/>
      <c r="N431" s="532"/>
      <c r="X431" s="532"/>
    </row>
    <row r="432" ht="15.75" customHeight="1">
      <c r="C432" s="530"/>
      <c r="E432" s="531"/>
      <c r="F432" s="531"/>
      <c r="H432" s="532"/>
      <c r="N432" s="532"/>
      <c r="X432" s="532"/>
    </row>
    <row r="433" ht="15.75" customHeight="1">
      <c r="C433" s="530"/>
      <c r="E433" s="531"/>
      <c r="F433" s="531"/>
      <c r="H433" s="532"/>
      <c r="N433" s="532"/>
      <c r="X433" s="532"/>
    </row>
    <row r="434" ht="15.75" customHeight="1">
      <c r="C434" s="530"/>
      <c r="E434" s="531"/>
      <c r="F434" s="531"/>
      <c r="H434" s="532"/>
      <c r="N434" s="532"/>
      <c r="X434" s="532"/>
    </row>
    <row r="435" ht="15.75" customHeight="1">
      <c r="C435" s="530"/>
      <c r="E435" s="531"/>
      <c r="F435" s="531"/>
      <c r="H435" s="532"/>
      <c r="N435" s="532"/>
      <c r="X435" s="532"/>
    </row>
    <row r="436" ht="15.75" customHeight="1">
      <c r="C436" s="530"/>
      <c r="E436" s="531"/>
      <c r="F436" s="531"/>
      <c r="H436" s="532"/>
      <c r="N436" s="532"/>
      <c r="X436" s="532"/>
    </row>
    <row r="437" ht="15.75" customHeight="1">
      <c r="C437" s="530"/>
      <c r="E437" s="531"/>
      <c r="F437" s="531"/>
      <c r="H437" s="532"/>
      <c r="N437" s="532"/>
      <c r="X437" s="532"/>
    </row>
    <row r="438" ht="15.75" customHeight="1">
      <c r="C438" s="530"/>
      <c r="E438" s="531"/>
      <c r="F438" s="531"/>
      <c r="H438" s="532"/>
      <c r="N438" s="532"/>
      <c r="X438" s="532"/>
    </row>
    <row r="439" ht="15.75" customHeight="1">
      <c r="C439" s="530"/>
      <c r="E439" s="531"/>
      <c r="F439" s="531"/>
      <c r="H439" s="532"/>
      <c r="N439" s="532"/>
      <c r="X439" s="532"/>
    </row>
    <row r="440" ht="15.75" customHeight="1">
      <c r="C440" s="530"/>
      <c r="E440" s="531"/>
      <c r="F440" s="531"/>
      <c r="H440" s="532"/>
      <c r="N440" s="532"/>
      <c r="X440" s="532"/>
    </row>
    <row r="441" ht="15.75" customHeight="1">
      <c r="C441" s="530"/>
      <c r="E441" s="531"/>
      <c r="F441" s="531"/>
      <c r="H441" s="532"/>
      <c r="N441" s="532"/>
      <c r="X441" s="532"/>
    </row>
    <row r="442" ht="15.75" customHeight="1">
      <c r="C442" s="530"/>
      <c r="E442" s="531"/>
      <c r="F442" s="531"/>
      <c r="H442" s="532"/>
      <c r="N442" s="532"/>
      <c r="X442" s="532"/>
    </row>
    <row r="443" ht="15.75" customHeight="1">
      <c r="C443" s="530"/>
      <c r="E443" s="531"/>
      <c r="F443" s="531"/>
      <c r="H443" s="532"/>
      <c r="N443" s="532"/>
      <c r="X443" s="532"/>
    </row>
    <row r="444" ht="15.75" customHeight="1">
      <c r="C444" s="530"/>
      <c r="E444" s="531"/>
      <c r="F444" s="531"/>
      <c r="H444" s="532"/>
      <c r="N444" s="532"/>
      <c r="X444" s="532"/>
    </row>
    <row r="445" ht="15.75" customHeight="1">
      <c r="C445" s="530"/>
      <c r="E445" s="531"/>
      <c r="F445" s="531"/>
      <c r="H445" s="532"/>
      <c r="N445" s="532"/>
      <c r="X445" s="532"/>
    </row>
    <row r="446" ht="15.75" customHeight="1">
      <c r="C446" s="530"/>
      <c r="E446" s="531"/>
      <c r="F446" s="531"/>
      <c r="H446" s="532"/>
      <c r="N446" s="532"/>
      <c r="X446" s="532"/>
    </row>
    <row r="447" ht="15.75" customHeight="1">
      <c r="C447" s="530"/>
      <c r="E447" s="531"/>
      <c r="F447" s="531"/>
      <c r="H447" s="532"/>
      <c r="N447" s="532"/>
      <c r="X447" s="532"/>
    </row>
    <row r="448" ht="15.75" customHeight="1">
      <c r="C448" s="530"/>
      <c r="E448" s="531"/>
      <c r="F448" s="531"/>
      <c r="H448" s="532"/>
      <c r="N448" s="532"/>
      <c r="X448" s="532"/>
    </row>
    <row r="449" ht="15.75" customHeight="1">
      <c r="C449" s="530"/>
      <c r="E449" s="531"/>
      <c r="F449" s="531"/>
      <c r="H449" s="532"/>
      <c r="N449" s="532"/>
      <c r="X449" s="532"/>
    </row>
    <row r="450" ht="15.75" customHeight="1">
      <c r="C450" s="530"/>
      <c r="E450" s="531"/>
      <c r="F450" s="531"/>
      <c r="H450" s="532"/>
      <c r="N450" s="532"/>
      <c r="X450" s="532"/>
    </row>
    <row r="451" ht="15.75" customHeight="1">
      <c r="C451" s="530"/>
      <c r="E451" s="531"/>
      <c r="F451" s="531"/>
      <c r="H451" s="532"/>
      <c r="N451" s="532"/>
      <c r="X451" s="532"/>
    </row>
    <row r="452" ht="15.75" customHeight="1">
      <c r="C452" s="530"/>
      <c r="E452" s="531"/>
      <c r="F452" s="531"/>
      <c r="H452" s="532"/>
      <c r="N452" s="532"/>
      <c r="X452" s="532"/>
    </row>
    <row r="453" ht="15.75" customHeight="1">
      <c r="C453" s="530"/>
      <c r="E453" s="531"/>
      <c r="F453" s="531"/>
      <c r="H453" s="532"/>
      <c r="N453" s="532"/>
      <c r="X453" s="532"/>
    </row>
    <row r="454" ht="15.75" customHeight="1">
      <c r="C454" s="530"/>
      <c r="E454" s="531"/>
      <c r="F454" s="531"/>
      <c r="H454" s="532"/>
      <c r="N454" s="532"/>
      <c r="X454" s="532"/>
    </row>
    <row r="455" ht="15.75" customHeight="1">
      <c r="C455" s="530"/>
      <c r="E455" s="531"/>
      <c r="F455" s="531"/>
      <c r="H455" s="532"/>
      <c r="N455" s="532"/>
      <c r="X455" s="532"/>
    </row>
    <row r="456" ht="15.75" customHeight="1">
      <c r="C456" s="530"/>
      <c r="E456" s="531"/>
      <c r="F456" s="531"/>
      <c r="H456" s="532"/>
      <c r="N456" s="532"/>
      <c r="X456" s="532"/>
    </row>
    <row r="457" ht="15.75" customHeight="1">
      <c r="C457" s="530"/>
      <c r="E457" s="531"/>
      <c r="F457" s="531"/>
      <c r="H457" s="532"/>
      <c r="N457" s="532"/>
      <c r="X457" s="532"/>
    </row>
    <row r="458" ht="15.75" customHeight="1">
      <c r="C458" s="530"/>
      <c r="E458" s="531"/>
      <c r="F458" s="531"/>
      <c r="H458" s="532"/>
      <c r="N458" s="532"/>
      <c r="X458" s="532"/>
    </row>
    <row r="459" ht="15.75" customHeight="1">
      <c r="C459" s="530"/>
      <c r="E459" s="531"/>
      <c r="F459" s="531"/>
      <c r="H459" s="532"/>
      <c r="N459" s="532"/>
      <c r="X459" s="532"/>
    </row>
    <row r="460" ht="15.75" customHeight="1">
      <c r="C460" s="530"/>
      <c r="E460" s="531"/>
      <c r="F460" s="531"/>
      <c r="H460" s="532"/>
      <c r="N460" s="532"/>
      <c r="X460" s="532"/>
    </row>
    <row r="461" ht="15.75" customHeight="1">
      <c r="C461" s="530"/>
      <c r="E461" s="531"/>
      <c r="F461" s="531"/>
      <c r="H461" s="532"/>
      <c r="N461" s="532"/>
      <c r="X461" s="532"/>
    </row>
    <row r="462" ht="15.75" customHeight="1">
      <c r="C462" s="530"/>
      <c r="E462" s="531"/>
      <c r="F462" s="531"/>
      <c r="H462" s="532"/>
      <c r="N462" s="532"/>
      <c r="X462" s="532"/>
    </row>
    <row r="463" ht="15.75" customHeight="1">
      <c r="C463" s="530"/>
      <c r="E463" s="531"/>
      <c r="F463" s="531"/>
      <c r="H463" s="532"/>
      <c r="N463" s="532"/>
      <c r="X463" s="532"/>
    </row>
    <row r="464" ht="15.75" customHeight="1">
      <c r="C464" s="530"/>
      <c r="E464" s="531"/>
      <c r="F464" s="531"/>
      <c r="H464" s="532"/>
      <c r="N464" s="532"/>
      <c r="X464" s="532"/>
    </row>
    <row r="465" ht="15.75" customHeight="1">
      <c r="C465" s="530"/>
      <c r="E465" s="531"/>
      <c r="F465" s="531"/>
      <c r="H465" s="532"/>
      <c r="N465" s="532"/>
      <c r="X465" s="532"/>
    </row>
    <row r="466" ht="15.75" customHeight="1">
      <c r="C466" s="530"/>
      <c r="E466" s="531"/>
      <c r="F466" s="531"/>
      <c r="H466" s="532"/>
      <c r="N466" s="532"/>
      <c r="X466" s="532"/>
    </row>
    <row r="467" ht="15.75" customHeight="1">
      <c r="C467" s="530"/>
      <c r="E467" s="531"/>
      <c r="F467" s="531"/>
      <c r="H467" s="532"/>
      <c r="N467" s="532"/>
      <c r="X467" s="532"/>
    </row>
    <row r="468" ht="15.75" customHeight="1">
      <c r="C468" s="530"/>
      <c r="E468" s="531"/>
      <c r="F468" s="531"/>
      <c r="H468" s="532"/>
      <c r="N468" s="532"/>
      <c r="X468" s="532"/>
    </row>
    <row r="469" ht="15.75" customHeight="1">
      <c r="C469" s="530"/>
      <c r="E469" s="531"/>
      <c r="F469" s="531"/>
      <c r="H469" s="532"/>
      <c r="N469" s="532"/>
      <c r="X469" s="532"/>
    </row>
    <row r="470" ht="15.75" customHeight="1">
      <c r="C470" s="530"/>
      <c r="E470" s="531"/>
      <c r="F470" s="531"/>
      <c r="H470" s="532"/>
      <c r="N470" s="532"/>
      <c r="X470" s="532"/>
    </row>
    <row r="471" ht="15.75" customHeight="1">
      <c r="C471" s="530"/>
      <c r="E471" s="531"/>
      <c r="F471" s="531"/>
      <c r="H471" s="532"/>
      <c r="N471" s="532"/>
      <c r="X471" s="532"/>
    </row>
    <row r="472" ht="15.75" customHeight="1">
      <c r="C472" s="530"/>
      <c r="E472" s="531"/>
      <c r="F472" s="531"/>
      <c r="H472" s="532"/>
      <c r="N472" s="532"/>
      <c r="X472" s="532"/>
    </row>
    <row r="473" ht="15.75" customHeight="1">
      <c r="C473" s="530"/>
      <c r="E473" s="531"/>
      <c r="F473" s="531"/>
      <c r="H473" s="532"/>
      <c r="N473" s="532"/>
      <c r="X473" s="532"/>
    </row>
    <row r="474" ht="15.75" customHeight="1">
      <c r="C474" s="530"/>
      <c r="E474" s="531"/>
      <c r="F474" s="531"/>
      <c r="H474" s="532"/>
      <c r="N474" s="532"/>
      <c r="X474" s="532"/>
    </row>
    <row r="475" ht="15.75" customHeight="1">
      <c r="C475" s="530"/>
      <c r="E475" s="531"/>
      <c r="F475" s="531"/>
      <c r="H475" s="532"/>
      <c r="N475" s="532"/>
      <c r="X475" s="532"/>
    </row>
    <row r="476" ht="15.75" customHeight="1">
      <c r="C476" s="530"/>
      <c r="E476" s="531"/>
      <c r="F476" s="531"/>
      <c r="H476" s="532"/>
      <c r="N476" s="532"/>
      <c r="X476" s="532"/>
    </row>
    <row r="477" ht="15.75" customHeight="1">
      <c r="C477" s="530"/>
      <c r="E477" s="531"/>
      <c r="F477" s="531"/>
      <c r="H477" s="532"/>
      <c r="N477" s="532"/>
      <c r="X477" s="532"/>
    </row>
    <row r="478" ht="15.75" customHeight="1">
      <c r="C478" s="530"/>
      <c r="E478" s="531"/>
      <c r="F478" s="531"/>
      <c r="H478" s="532"/>
      <c r="N478" s="532"/>
      <c r="X478" s="532"/>
    </row>
    <row r="479" ht="15.75" customHeight="1">
      <c r="C479" s="530"/>
      <c r="E479" s="531"/>
      <c r="F479" s="531"/>
      <c r="H479" s="532"/>
      <c r="N479" s="532"/>
      <c r="X479" s="532"/>
    </row>
    <row r="480" ht="15.75" customHeight="1">
      <c r="C480" s="530"/>
      <c r="E480" s="531"/>
      <c r="F480" s="531"/>
      <c r="H480" s="532"/>
      <c r="N480" s="532"/>
      <c r="X480" s="532"/>
    </row>
    <row r="481" ht="15.75" customHeight="1">
      <c r="C481" s="530"/>
      <c r="E481" s="531"/>
      <c r="F481" s="531"/>
      <c r="H481" s="532"/>
      <c r="N481" s="532"/>
      <c r="X481" s="532"/>
    </row>
    <row r="482" ht="15.75" customHeight="1">
      <c r="C482" s="530"/>
      <c r="E482" s="531"/>
      <c r="F482" s="531"/>
      <c r="H482" s="532"/>
      <c r="N482" s="532"/>
      <c r="X482" s="532"/>
    </row>
    <row r="483" ht="15.75" customHeight="1">
      <c r="C483" s="530"/>
      <c r="E483" s="531"/>
      <c r="F483" s="531"/>
      <c r="H483" s="532"/>
      <c r="N483" s="532"/>
      <c r="X483" s="532"/>
    </row>
    <row r="484" ht="15.75" customHeight="1">
      <c r="C484" s="530"/>
      <c r="E484" s="531"/>
      <c r="F484" s="531"/>
      <c r="H484" s="532"/>
      <c r="N484" s="532"/>
      <c r="X484" s="532"/>
    </row>
    <row r="485" ht="15.75" customHeight="1">
      <c r="C485" s="530"/>
      <c r="E485" s="531"/>
      <c r="F485" s="531"/>
      <c r="H485" s="532"/>
      <c r="N485" s="532"/>
      <c r="X485" s="532"/>
    </row>
    <row r="486" ht="15.75" customHeight="1">
      <c r="C486" s="530"/>
      <c r="E486" s="531"/>
      <c r="F486" s="531"/>
      <c r="H486" s="532"/>
      <c r="N486" s="532"/>
      <c r="X486" s="532"/>
    </row>
    <row r="487" ht="15.75" customHeight="1">
      <c r="C487" s="530"/>
      <c r="E487" s="531"/>
      <c r="F487" s="531"/>
      <c r="H487" s="532"/>
      <c r="N487" s="532"/>
      <c r="X487" s="532"/>
    </row>
    <row r="488" ht="15.75" customHeight="1">
      <c r="C488" s="530"/>
      <c r="E488" s="531"/>
      <c r="F488" s="531"/>
      <c r="H488" s="532"/>
      <c r="N488" s="532"/>
      <c r="X488" s="532"/>
    </row>
    <row r="489" ht="15.75" customHeight="1">
      <c r="C489" s="530"/>
      <c r="E489" s="531"/>
      <c r="F489" s="531"/>
      <c r="H489" s="532"/>
      <c r="N489" s="532"/>
      <c r="X489" s="532"/>
    </row>
    <row r="490" ht="15.75" customHeight="1">
      <c r="C490" s="530"/>
      <c r="E490" s="531"/>
      <c r="F490" s="531"/>
      <c r="H490" s="532"/>
      <c r="N490" s="532"/>
      <c r="X490" s="532"/>
    </row>
    <row r="491" ht="15.75" customHeight="1">
      <c r="C491" s="530"/>
      <c r="E491" s="531"/>
      <c r="F491" s="531"/>
      <c r="H491" s="532"/>
      <c r="N491" s="532"/>
      <c r="X491" s="532"/>
    </row>
    <row r="492" ht="15.75" customHeight="1">
      <c r="C492" s="530"/>
      <c r="E492" s="531"/>
      <c r="F492" s="531"/>
      <c r="H492" s="532"/>
      <c r="N492" s="532"/>
      <c r="X492" s="532"/>
    </row>
    <row r="493" ht="15.75" customHeight="1">
      <c r="C493" s="530"/>
      <c r="E493" s="531"/>
      <c r="F493" s="531"/>
      <c r="H493" s="532"/>
      <c r="N493" s="532"/>
      <c r="X493" s="532"/>
    </row>
    <row r="494" ht="15.75" customHeight="1">
      <c r="C494" s="530"/>
      <c r="E494" s="531"/>
      <c r="F494" s="531"/>
      <c r="H494" s="532"/>
      <c r="N494" s="532"/>
      <c r="X494" s="532"/>
    </row>
    <row r="495" ht="15.75" customHeight="1">
      <c r="C495" s="530"/>
      <c r="E495" s="531"/>
      <c r="F495" s="531"/>
      <c r="H495" s="532"/>
      <c r="N495" s="532"/>
      <c r="X495" s="532"/>
    </row>
    <row r="496" ht="15.75" customHeight="1">
      <c r="C496" s="530"/>
      <c r="E496" s="531"/>
      <c r="F496" s="531"/>
      <c r="H496" s="532"/>
      <c r="N496" s="532"/>
      <c r="X496" s="532"/>
    </row>
    <row r="497" ht="15.75" customHeight="1">
      <c r="C497" s="530"/>
      <c r="E497" s="531"/>
      <c r="F497" s="531"/>
      <c r="H497" s="532"/>
      <c r="N497" s="532"/>
      <c r="X497" s="532"/>
    </row>
    <row r="498" ht="15.75" customHeight="1">
      <c r="C498" s="530"/>
      <c r="E498" s="531"/>
      <c r="F498" s="531"/>
      <c r="H498" s="532"/>
      <c r="N498" s="532"/>
      <c r="X498" s="532"/>
    </row>
    <row r="499" ht="15.75" customHeight="1">
      <c r="C499" s="530"/>
      <c r="E499" s="531"/>
      <c r="F499" s="531"/>
      <c r="H499" s="532"/>
      <c r="N499" s="532"/>
      <c r="X499" s="532"/>
    </row>
    <row r="500" ht="15.75" customHeight="1">
      <c r="C500" s="530"/>
      <c r="E500" s="531"/>
      <c r="F500" s="531"/>
      <c r="H500" s="532"/>
      <c r="N500" s="532"/>
      <c r="X500" s="532"/>
    </row>
    <row r="501" ht="15.75" customHeight="1">
      <c r="C501" s="530"/>
      <c r="E501" s="531"/>
      <c r="F501" s="531"/>
      <c r="H501" s="532"/>
      <c r="N501" s="532"/>
      <c r="X501" s="532"/>
    </row>
    <row r="502" ht="15.75" customHeight="1">
      <c r="C502" s="530"/>
      <c r="E502" s="531"/>
      <c r="F502" s="531"/>
      <c r="H502" s="532"/>
      <c r="N502" s="532"/>
      <c r="X502" s="532"/>
    </row>
    <row r="503" ht="15.75" customHeight="1">
      <c r="C503" s="530"/>
      <c r="E503" s="531"/>
      <c r="F503" s="531"/>
      <c r="H503" s="532"/>
      <c r="N503" s="532"/>
      <c r="X503" s="532"/>
    </row>
    <row r="504" ht="15.75" customHeight="1">
      <c r="C504" s="530"/>
      <c r="E504" s="531"/>
      <c r="F504" s="531"/>
      <c r="H504" s="532"/>
      <c r="N504" s="532"/>
      <c r="X504" s="532"/>
    </row>
    <row r="505" ht="15.75" customHeight="1">
      <c r="C505" s="530"/>
      <c r="E505" s="531"/>
      <c r="F505" s="531"/>
      <c r="H505" s="532"/>
      <c r="N505" s="532"/>
      <c r="X505" s="532"/>
    </row>
    <row r="506" ht="15.75" customHeight="1">
      <c r="C506" s="530"/>
      <c r="E506" s="531"/>
      <c r="F506" s="531"/>
      <c r="H506" s="532"/>
      <c r="N506" s="532"/>
      <c r="X506" s="532"/>
    </row>
    <row r="507" ht="15.75" customHeight="1">
      <c r="C507" s="530"/>
      <c r="E507" s="531"/>
      <c r="F507" s="531"/>
      <c r="H507" s="532"/>
      <c r="N507" s="532"/>
      <c r="X507" s="532"/>
    </row>
    <row r="508" ht="15.75" customHeight="1">
      <c r="C508" s="530"/>
      <c r="E508" s="531"/>
      <c r="F508" s="531"/>
      <c r="H508" s="532"/>
      <c r="N508" s="532"/>
      <c r="X508" s="532"/>
    </row>
    <row r="509" ht="15.75" customHeight="1">
      <c r="C509" s="530"/>
      <c r="E509" s="531"/>
      <c r="F509" s="531"/>
      <c r="H509" s="532"/>
      <c r="N509" s="532"/>
      <c r="X509" s="532"/>
    </row>
    <row r="510" ht="15.75" customHeight="1">
      <c r="C510" s="530"/>
      <c r="E510" s="531"/>
      <c r="F510" s="531"/>
      <c r="H510" s="532"/>
      <c r="N510" s="532"/>
      <c r="X510" s="532"/>
    </row>
    <row r="511" ht="15.75" customHeight="1">
      <c r="C511" s="530"/>
      <c r="E511" s="531"/>
      <c r="F511" s="531"/>
      <c r="H511" s="532"/>
      <c r="N511" s="532"/>
      <c r="X511" s="532"/>
    </row>
    <row r="512" ht="15.75" customHeight="1">
      <c r="C512" s="530"/>
      <c r="E512" s="531"/>
      <c r="F512" s="531"/>
      <c r="H512" s="532"/>
      <c r="N512" s="532"/>
      <c r="X512" s="532"/>
    </row>
    <row r="513" ht="15.75" customHeight="1">
      <c r="C513" s="530"/>
      <c r="E513" s="531"/>
      <c r="F513" s="531"/>
      <c r="H513" s="532"/>
      <c r="N513" s="532"/>
      <c r="X513" s="532"/>
    </row>
    <row r="514" ht="15.75" customHeight="1">
      <c r="C514" s="530"/>
      <c r="E514" s="531"/>
      <c r="F514" s="531"/>
      <c r="H514" s="532"/>
      <c r="N514" s="532"/>
      <c r="X514" s="532"/>
    </row>
    <row r="515" ht="15.75" customHeight="1">
      <c r="C515" s="530"/>
      <c r="E515" s="531"/>
      <c r="F515" s="531"/>
      <c r="H515" s="532"/>
      <c r="N515" s="532"/>
      <c r="X515" s="532"/>
    </row>
    <row r="516" ht="15.75" customHeight="1">
      <c r="C516" s="530"/>
      <c r="E516" s="531"/>
      <c r="F516" s="531"/>
      <c r="H516" s="532"/>
      <c r="N516" s="532"/>
      <c r="X516" s="532"/>
    </row>
    <row r="517" ht="15.75" customHeight="1">
      <c r="C517" s="530"/>
      <c r="E517" s="531"/>
      <c r="F517" s="531"/>
      <c r="H517" s="532"/>
      <c r="N517" s="532"/>
      <c r="X517" s="532"/>
    </row>
    <row r="518" ht="15.75" customHeight="1">
      <c r="C518" s="530"/>
      <c r="E518" s="531"/>
      <c r="F518" s="531"/>
      <c r="H518" s="532"/>
      <c r="N518" s="532"/>
      <c r="X518" s="532"/>
    </row>
    <row r="519" ht="15.75" customHeight="1">
      <c r="C519" s="530"/>
      <c r="E519" s="531"/>
      <c r="F519" s="531"/>
      <c r="H519" s="532"/>
      <c r="N519" s="532"/>
      <c r="X519" s="532"/>
    </row>
    <row r="520" ht="15.75" customHeight="1">
      <c r="C520" s="530"/>
      <c r="E520" s="531"/>
      <c r="F520" s="531"/>
      <c r="H520" s="532"/>
      <c r="N520" s="532"/>
      <c r="X520" s="532"/>
    </row>
    <row r="521" ht="15.75" customHeight="1">
      <c r="C521" s="530"/>
      <c r="E521" s="531"/>
      <c r="F521" s="531"/>
      <c r="H521" s="532"/>
      <c r="N521" s="532"/>
      <c r="X521" s="532"/>
    </row>
    <row r="522" ht="15.75" customHeight="1">
      <c r="C522" s="530"/>
      <c r="E522" s="531"/>
      <c r="F522" s="531"/>
      <c r="H522" s="532"/>
      <c r="N522" s="532"/>
      <c r="X522" s="532"/>
    </row>
    <row r="523" ht="15.75" customHeight="1">
      <c r="C523" s="530"/>
      <c r="E523" s="531"/>
      <c r="F523" s="531"/>
      <c r="H523" s="532"/>
      <c r="N523" s="532"/>
      <c r="X523" s="532"/>
    </row>
    <row r="524" ht="15.75" customHeight="1">
      <c r="C524" s="530"/>
      <c r="E524" s="531"/>
      <c r="F524" s="531"/>
      <c r="H524" s="532"/>
      <c r="N524" s="532"/>
      <c r="X524" s="532"/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324 G12:L324 N120:Z121 AA120:AA122 AB120:AJ121">
    <cfRule type="cellIs" dxfId="6" priority="1" operator="equal">
      <formula>0</formula>
    </cfRule>
  </conditionalFormatting>
  <conditionalFormatting sqref="F5:F324 G12:L324 N120:Z121 AA120:AA122 AB120:AJ121">
    <cfRule type="cellIs" dxfId="6" priority="2" operator="lessThan">
      <formula>-1</formula>
    </cfRule>
  </conditionalFormatting>
  <conditionalFormatting sqref="F5:F324 G12:L324 N120:Z121 AA120:AA122 AB120:AJ121">
    <cfRule type="cellIs" dxfId="7" priority="3" operator="greaterThan">
      <formula>1</formula>
    </cfRule>
  </conditionalFormatting>
  <conditionalFormatting sqref="G5:K8 G10:K11 L5:L11 M5:M324 N5:Q8 N10:Q11 N13:Q324 R5:R324 S5:T8 S10:T11 S13:T324 U5:AJ324">
    <cfRule type="cellIs" dxfId="6" priority="4" operator="lessThan">
      <formula>-1</formula>
    </cfRule>
  </conditionalFormatting>
  <conditionalFormatting sqref="G5:K8 G10:K11 L5:L11 M5:M324 N5:Q8 N10:Q11 N13:Q324 R5:R324 S5:T8 S10:T11 S13:T324 U5:AJ324">
    <cfRule type="cellIs" dxfId="7" priority="5" operator="greaterThan">
      <formula>1</formula>
    </cfRule>
  </conditionalFormatting>
  <conditionalFormatting sqref="G5:K8 G10:K11 L5:L11 M5:M324 N5:Q8 N10:Q11 N13:Q324 R5:R324 S5:T8 S10:T11 S13:T324 U5:AK324">
    <cfRule type="cellIs" dxfId="6" priority="6" operator="equal">
      <formula>0</formula>
    </cfRule>
  </conditionalFormatting>
  <conditionalFormatting sqref="G9:L9 N9:T9 AC9">
    <cfRule type="cellIs" dxfId="6" priority="7" operator="equal">
      <formula>0</formula>
    </cfRule>
  </conditionalFormatting>
  <conditionalFormatting sqref="G9:L9 N9:T9 AC9">
    <cfRule type="cellIs" dxfId="6" priority="8" operator="lessThan">
      <formula>-1</formula>
    </cfRule>
  </conditionalFormatting>
  <conditionalFormatting sqref="G9:L9 N9:T9 AC9">
    <cfRule type="cellIs" dxfId="7" priority="9" operator="greaterThan">
      <formula>1</formula>
    </cfRule>
  </conditionalFormatting>
  <conditionalFormatting sqref="N12:T12 AC12">
    <cfRule type="cellIs" dxfId="6" priority="10" operator="equal">
      <formula>0</formula>
    </cfRule>
  </conditionalFormatting>
  <conditionalFormatting sqref="N12:T12 AC12">
    <cfRule type="cellIs" dxfId="6" priority="11" operator="lessThan">
      <formula>-1</formula>
    </cfRule>
  </conditionalFormatting>
  <conditionalFormatting sqref="N12:T12 AC12">
    <cfRule type="cellIs" dxfId="7" priority="12" operator="greaterThan">
      <formula>1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.43"/>
    <col customWidth="1" min="2" max="3" width="5.29"/>
    <col customWidth="1" min="4" max="4" width="5.43"/>
    <col customWidth="1" min="5" max="7" width="5.29"/>
    <col customWidth="1" min="8" max="10" width="5.14"/>
    <col customWidth="1" min="11" max="11" width="5.29"/>
    <col customWidth="1" min="12" max="13" width="8.0"/>
    <col customWidth="1" min="14" max="15" width="5.29"/>
    <col customWidth="1" min="16" max="16" width="9.86"/>
    <col customWidth="1" min="17" max="17" width="9.0"/>
    <col customWidth="1" min="18" max="18" width="9.71"/>
    <col customWidth="1" min="19" max="19" width="9.43"/>
    <col customWidth="1" min="20" max="21" width="5.29"/>
    <col customWidth="1" min="22" max="22" width="6.0"/>
    <col customWidth="1" min="23" max="28" width="5.29"/>
    <col customWidth="1" min="29" max="29" width="7.14"/>
    <col customWidth="1" min="30" max="30" width="7.29"/>
    <col customWidth="1" min="31" max="31" width="7.86"/>
    <col customWidth="1" min="32" max="32" width="8.14"/>
    <col customWidth="1" min="33" max="33" width="12.29"/>
    <col customWidth="1" min="34" max="34" width="9.29"/>
    <col customWidth="1" min="35" max="36" width="9.14"/>
    <col customWidth="1" min="37" max="37" width="8.0"/>
    <col customWidth="1" min="38" max="46" width="5.29"/>
    <col customWidth="1" min="47" max="47" width="7.86"/>
    <col customWidth="1" min="48" max="48" width="5.29"/>
    <col customWidth="1" min="49" max="49" width="7.86"/>
    <col customWidth="1" min="50" max="50" width="5.29"/>
    <col customWidth="1" min="51" max="52" width="9.57"/>
    <col customWidth="1" min="53" max="54" width="9.14"/>
    <col customWidth="1" min="55" max="55" width="8.0"/>
    <col customWidth="1" min="56" max="63" width="5.29"/>
    <col customWidth="1" min="64" max="64" width="6.0"/>
    <col customWidth="1" min="65" max="65" width="6.14"/>
    <col customWidth="1" min="66" max="67" width="5.29"/>
    <col customWidth="1" min="68" max="68" width="10.57"/>
    <col customWidth="1" min="69" max="69" width="12.14"/>
    <col customWidth="1" min="70" max="72" width="10.57"/>
    <col customWidth="1" min="73" max="73" width="12.14"/>
    <col customWidth="1" min="74" max="74" width="8.0"/>
    <col customWidth="1" min="75" max="75" width="12.86"/>
    <col customWidth="1" min="76" max="76" width="23.0"/>
    <col customWidth="1" min="77" max="77" width="23.57"/>
    <col customWidth="1" min="78" max="78" width="12.43"/>
    <col customWidth="1" min="79" max="79" width="12.86"/>
    <col customWidth="1" min="80" max="80" width="17.71"/>
    <col customWidth="1" min="81" max="83" width="9.14"/>
    <col customWidth="1" min="84" max="84" width="12.86"/>
    <col customWidth="1" min="85" max="91" width="9.14"/>
  </cols>
  <sheetData>
    <row r="1" ht="15.75" customHeight="1">
      <c r="A1" s="626"/>
      <c r="B1" s="627" t="s">
        <v>494</v>
      </c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510"/>
      <c r="S1" s="627" t="s">
        <v>495</v>
      </c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510"/>
      <c r="AJ1" s="628" t="s">
        <v>496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629" t="s">
        <v>62</v>
      </c>
      <c r="BC1" s="313"/>
      <c r="BD1" s="313"/>
      <c r="BE1" s="313"/>
      <c r="BF1" s="313"/>
      <c r="BG1" s="313"/>
      <c r="BH1" s="313"/>
      <c r="BI1" s="313"/>
      <c r="BJ1" s="313"/>
      <c r="BK1" s="313"/>
      <c r="BL1" s="313"/>
      <c r="BM1" s="313"/>
      <c r="BN1" s="313"/>
      <c r="BO1" s="630"/>
      <c r="BP1" s="631"/>
      <c r="BQ1" s="2"/>
      <c r="BR1" s="2"/>
      <c r="BS1" s="2"/>
      <c r="BT1" s="2"/>
      <c r="BU1" s="3"/>
      <c r="BV1" s="632"/>
      <c r="BW1" s="633" t="s">
        <v>497</v>
      </c>
      <c r="BX1" s="634" t="s">
        <v>498</v>
      </c>
      <c r="BY1" s="635" t="s">
        <v>499</v>
      </c>
      <c r="BZ1" s="636"/>
      <c r="CA1" s="637"/>
      <c r="CB1" s="638"/>
      <c r="CC1" s="637"/>
      <c r="CD1" s="637"/>
      <c r="CE1" s="637"/>
      <c r="CF1" s="637"/>
      <c r="CG1" s="637"/>
      <c r="CH1" s="637"/>
      <c r="CI1" s="637"/>
      <c r="CJ1" s="637"/>
      <c r="CK1" s="637"/>
      <c r="CL1" s="637"/>
      <c r="CM1" s="637"/>
    </row>
    <row r="2" ht="16.5" customHeight="1">
      <c r="A2" s="338"/>
      <c r="B2" s="627" t="s">
        <v>500</v>
      </c>
      <c r="C2" s="510"/>
      <c r="D2" s="627" t="s">
        <v>501</v>
      </c>
      <c r="E2" s="313"/>
      <c r="F2" s="510"/>
      <c r="G2" s="639" t="s">
        <v>502</v>
      </c>
      <c r="H2" s="639" t="s">
        <v>503</v>
      </c>
      <c r="I2" s="627" t="s">
        <v>504</v>
      </c>
      <c r="J2" s="510"/>
      <c r="K2" s="639" t="s">
        <v>505</v>
      </c>
      <c r="L2" s="639" t="s">
        <v>506</v>
      </c>
      <c r="M2" s="639" t="s">
        <v>507</v>
      </c>
      <c r="N2" s="639" t="s">
        <v>508</v>
      </c>
      <c r="O2" s="639" t="s">
        <v>509</v>
      </c>
      <c r="P2" s="640" t="s">
        <v>62</v>
      </c>
      <c r="Q2" s="639" t="s">
        <v>510</v>
      </c>
      <c r="R2" s="639" t="s">
        <v>510</v>
      </c>
      <c r="S2" s="627" t="s">
        <v>500</v>
      </c>
      <c r="T2" s="510"/>
      <c r="U2" s="627" t="s">
        <v>501</v>
      </c>
      <c r="V2" s="313"/>
      <c r="W2" s="510"/>
      <c r="X2" s="639" t="s">
        <v>502</v>
      </c>
      <c r="Y2" s="639" t="s">
        <v>503</v>
      </c>
      <c r="Z2" s="627" t="s">
        <v>504</v>
      </c>
      <c r="AA2" s="510"/>
      <c r="AB2" s="639" t="s">
        <v>505</v>
      </c>
      <c r="AC2" s="639" t="s">
        <v>506</v>
      </c>
      <c r="AD2" s="639" t="s">
        <v>507</v>
      </c>
      <c r="AE2" s="639" t="s">
        <v>508</v>
      </c>
      <c r="AF2" s="639" t="s">
        <v>511</v>
      </c>
      <c r="AG2" s="640" t="s">
        <v>62</v>
      </c>
      <c r="AH2" s="639" t="s">
        <v>510</v>
      </c>
      <c r="AI2" s="639" t="s">
        <v>510</v>
      </c>
      <c r="AJ2" s="641" t="s">
        <v>500</v>
      </c>
      <c r="AK2" s="642"/>
      <c r="AL2" s="643"/>
      <c r="AM2" s="644" t="s">
        <v>501</v>
      </c>
      <c r="AN2" s="645"/>
      <c r="AO2" s="642"/>
      <c r="AP2" s="646" t="s">
        <v>502</v>
      </c>
      <c r="AQ2" s="646" t="s">
        <v>503</v>
      </c>
      <c r="AR2" s="644" t="s">
        <v>504</v>
      </c>
      <c r="AS2" s="642"/>
      <c r="AT2" s="646" t="s">
        <v>505</v>
      </c>
      <c r="AU2" s="646" t="s">
        <v>512</v>
      </c>
      <c r="AV2" s="646" t="s">
        <v>507</v>
      </c>
      <c r="AW2" s="646" t="s">
        <v>508</v>
      </c>
      <c r="AX2" s="647" t="s">
        <v>513</v>
      </c>
      <c r="AY2" s="648" t="s">
        <v>62</v>
      </c>
      <c r="AZ2" s="649" t="s">
        <v>510</v>
      </c>
      <c r="BA2" s="650" t="s">
        <v>510</v>
      </c>
      <c r="BB2" s="627" t="s">
        <v>500</v>
      </c>
      <c r="BC2" s="510"/>
      <c r="BD2" s="627" t="s">
        <v>514</v>
      </c>
      <c r="BE2" s="313"/>
      <c r="BF2" s="510"/>
      <c r="BG2" s="639" t="s">
        <v>502</v>
      </c>
      <c r="BH2" s="639" t="s">
        <v>503</v>
      </c>
      <c r="BI2" s="627" t="s">
        <v>504</v>
      </c>
      <c r="BJ2" s="510"/>
      <c r="BK2" s="639" t="s">
        <v>505</v>
      </c>
      <c r="BL2" s="639" t="s">
        <v>515</v>
      </c>
      <c r="BM2" s="639" t="s">
        <v>507</v>
      </c>
      <c r="BN2" s="639" t="s">
        <v>508</v>
      </c>
      <c r="BO2" s="639" t="s">
        <v>511</v>
      </c>
      <c r="BP2" s="651" t="s">
        <v>37</v>
      </c>
      <c r="BQ2" s="652" t="s">
        <v>170</v>
      </c>
      <c r="BR2" s="653" t="s">
        <v>516</v>
      </c>
      <c r="BS2" s="654" t="s">
        <v>62</v>
      </c>
      <c r="BT2" s="653" t="s">
        <v>516</v>
      </c>
      <c r="BU2" s="655" t="s">
        <v>517</v>
      </c>
      <c r="BV2" s="656"/>
      <c r="BW2" s="657"/>
      <c r="BX2" s="658"/>
      <c r="BY2" s="659"/>
      <c r="BZ2" s="636"/>
      <c r="CA2" s="637"/>
      <c r="CB2" s="638"/>
      <c r="CC2" s="637"/>
      <c r="CD2" s="637"/>
      <c r="CE2" s="637"/>
      <c r="CF2" s="637"/>
      <c r="CG2" s="637"/>
      <c r="CH2" s="637"/>
      <c r="CI2" s="637"/>
      <c r="CJ2" s="637"/>
      <c r="CK2" s="637"/>
      <c r="CL2" s="637"/>
      <c r="CM2" s="637"/>
    </row>
    <row r="3">
      <c r="A3" s="660" t="s">
        <v>37</v>
      </c>
      <c r="B3" s="661" t="s">
        <v>43</v>
      </c>
      <c r="C3" s="661" t="s">
        <v>518</v>
      </c>
      <c r="D3" s="639" t="s">
        <v>519</v>
      </c>
      <c r="E3" s="639" t="s">
        <v>520</v>
      </c>
      <c r="F3" s="639" t="s">
        <v>521</v>
      </c>
      <c r="G3" s="639">
        <v>250.0</v>
      </c>
      <c r="H3" s="639" t="s">
        <v>522</v>
      </c>
      <c r="I3" s="639" t="s">
        <v>523</v>
      </c>
      <c r="J3" s="639" t="s">
        <v>524</v>
      </c>
      <c r="K3" s="639"/>
      <c r="L3" s="639"/>
      <c r="M3" s="639"/>
      <c r="N3" s="639"/>
      <c r="O3" s="639"/>
      <c r="P3" s="640" t="s">
        <v>23</v>
      </c>
      <c r="Q3" s="639" t="s">
        <v>525</v>
      </c>
      <c r="R3" s="639" t="s">
        <v>25</v>
      </c>
      <c r="S3" s="661" t="s">
        <v>43</v>
      </c>
      <c r="T3" s="661" t="s">
        <v>518</v>
      </c>
      <c r="U3" s="639" t="s">
        <v>519</v>
      </c>
      <c r="V3" s="639" t="s">
        <v>520</v>
      </c>
      <c r="W3" s="639" t="s">
        <v>521</v>
      </c>
      <c r="X3" s="639">
        <v>250.0</v>
      </c>
      <c r="Y3" s="639" t="s">
        <v>522</v>
      </c>
      <c r="Z3" s="639" t="s">
        <v>523</v>
      </c>
      <c r="AA3" s="639" t="s">
        <v>524</v>
      </c>
      <c r="AB3" s="639"/>
      <c r="AC3" s="639"/>
      <c r="AD3" s="639"/>
      <c r="AE3" s="639"/>
      <c r="AF3" s="639" t="s">
        <v>526</v>
      </c>
      <c r="AG3" s="662" t="s">
        <v>23</v>
      </c>
      <c r="AH3" s="653" t="s">
        <v>525</v>
      </c>
      <c r="AI3" s="653" t="s">
        <v>25</v>
      </c>
      <c r="AJ3" s="663" t="s">
        <v>43</v>
      </c>
      <c r="AK3" s="664" t="s">
        <v>518</v>
      </c>
      <c r="AL3" s="664" t="s">
        <v>527</v>
      </c>
      <c r="AM3" s="665" t="s">
        <v>519</v>
      </c>
      <c r="AN3" s="665" t="s">
        <v>520</v>
      </c>
      <c r="AO3" s="665" t="s">
        <v>521</v>
      </c>
      <c r="AP3" s="665">
        <v>250.0</v>
      </c>
      <c r="AQ3" s="665" t="s">
        <v>522</v>
      </c>
      <c r="AR3" s="665" t="s">
        <v>523</v>
      </c>
      <c r="AS3" s="665" t="s">
        <v>524</v>
      </c>
      <c r="AT3" s="665"/>
      <c r="AU3" s="665"/>
      <c r="AV3" s="665"/>
      <c r="AW3" s="665"/>
      <c r="AX3" s="666"/>
      <c r="AY3" s="667" t="s">
        <v>23</v>
      </c>
      <c r="AZ3" s="668" t="s">
        <v>525</v>
      </c>
      <c r="BA3" s="669" t="s">
        <v>25</v>
      </c>
      <c r="BB3" s="661" t="s">
        <v>43</v>
      </c>
      <c r="BC3" s="661" t="s">
        <v>518</v>
      </c>
      <c r="BD3" s="639" t="s">
        <v>519</v>
      </c>
      <c r="BE3" s="639" t="s">
        <v>520</v>
      </c>
      <c r="BF3" s="639" t="s">
        <v>521</v>
      </c>
      <c r="BG3" s="639">
        <v>225.0</v>
      </c>
      <c r="BH3" s="639" t="s">
        <v>522</v>
      </c>
      <c r="BI3" s="639" t="s">
        <v>523</v>
      </c>
      <c r="BJ3" s="639" t="s">
        <v>524</v>
      </c>
      <c r="BK3" s="639"/>
      <c r="BL3" s="639"/>
      <c r="BM3" s="639"/>
      <c r="BN3" s="639"/>
      <c r="BO3" s="639"/>
      <c r="BP3" s="659"/>
      <c r="BQ3" s="670" t="s">
        <v>25</v>
      </c>
      <c r="BR3" s="639" t="s">
        <v>23</v>
      </c>
      <c r="BS3" s="671"/>
      <c r="BT3" s="639" t="s">
        <v>528</v>
      </c>
      <c r="BU3" s="672" t="s">
        <v>25</v>
      </c>
      <c r="BV3" s="656"/>
      <c r="BW3" s="657"/>
      <c r="BX3" s="658"/>
      <c r="BY3" s="659"/>
      <c r="BZ3" s="636"/>
      <c r="CA3" s="673">
        <f>NOW()</f>
        <v>46167.18236</v>
      </c>
      <c r="CB3" s="2"/>
      <c r="CC3" s="3"/>
      <c r="CD3" s="637"/>
      <c r="CE3" s="637"/>
      <c r="CF3" s="637"/>
      <c r="CG3" s="637"/>
      <c r="CH3" s="637"/>
      <c r="CI3" s="637"/>
      <c r="CJ3" s="637"/>
      <c r="CK3" s="637"/>
      <c r="CL3" s="637"/>
      <c r="CM3" s="637"/>
    </row>
    <row r="4">
      <c r="A4" s="674"/>
      <c r="B4" s="675">
        <v>1100.0</v>
      </c>
      <c r="C4" s="522"/>
      <c r="D4" s="676">
        <v>1499.0</v>
      </c>
      <c r="E4" s="676">
        <v>1699.0</v>
      </c>
      <c r="F4" s="676">
        <v>1899.0</v>
      </c>
      <c r="G4" s="676">
        <v>250.0</v>
      </c>
      <c r="H4" s="676">
        <v>275.0</v>
      </c>
      <c r="I4" s="676">
        <v>220.0</v>
      </c>
      <c r="J4" s="676">
        <v>320.0</v>
      </c>
      <c r="K4" s="676">
        <v>220.0</v>
      </c>
      <c r="L4" s="676">
        <v>450.0</v>
      </c>
      <c r="M4" s="676">
        <v>120.0</v>
      </c>
      <c r="N4" s="676">
        <v>275.0</v>
      </c>
      <c r="O4" s="676">
        <v>1000.0</v>
      </c>
      <c r="P4" s="662"/>
      <c r="Q4" s="653"/>
      <c r="R4" s="677"/>
      <c r="S4" s="675">
        <v>1100.0</v>
      </c>
      <c r="T4" s="522"/>
      <c r="U4" s="676">
        <v>1499.0</v>
      </c>
      <c r="V4" s="676">
        <v>1699.0</v>
      </c>
      <c r="W4" s="676">
        <v>1899.0</v>
      </c>
      <c r="X4" s="676">
        <v>250.0</v>
      </c>
      <c r="Y4" s="676">
        <v>275.0</v>
      </c>
      <c r="Z4" s="676">
        <v>220.0</v>
      </c>
      <c r="AA4" s="676">
        <v>320.0</v>
      </c>
      <c r="AB4" s="676">
        <v>220.0</v>
      </c>
      <c r="AC4" s="676">
        <v>450.0</v>
      </c>
      <c r="AD4" s="676">
        <v>120.0</v>
      </c>
      <c r="AE4" s="676">
        <v>275.0</v>
      </c>
      <c r="AF4" s="676">
        <v>1000.0</v>
      </c>
      <c r="AG4" s="662"/>
      <c r="AH4" s="653"/>
      <c r="AI4" s="677"/>
      <c r="AJ4" s="678">
        <v>1100.0</v>
      </c>
      <c r="AK4" s="522"/>
      <c r="AL4" s="679">
        <v>2399.0</v>
      </c>
      <c r="AM4" s="680">
        <v>1499.0</v>
      </c>
      <c r="AN4" s="680">
        <v>1699.0</v>
      </c>
      <c r="AO4" s="680">
        <v>1899.0</v>
      </c>
      <c r="AP4" s="680">
        <v>250.0</v>
      </c>
      <c r="AQ4" s="680">
        <v>275.0</v>
      </c>
      <c r="AR4" s="680">
        <v>220.0</v>
      </c>
      <c r="AS4" s="680">
        <v>320.0</v>
      </c>
      <c r="AT4" s="680">
        <v>220.0</v>
      </c>
      <c r="AU4" s="680">
        <v>450.0</v>
      </c>
      <c r="AV4" s="680">
        <v>120.0</v>
      </c>
      <c r="AW4" s="680">
        <v>275.0</v>
      </c>
      <c r="AX4" s="681">
        <v>1000.0</v>
      </c>
      <c r="AY4" s="682"/>
      <c r="AZ4" s="683"/>
      <c r="BA4" s="684"/>
      <c r="BB4" s="675"/>
      <c r="BC4" s="522"/>
      <c r="BD4" s="676"/>
      <c r="BE4" s="676"/>
      <c r="BF4" s="676"/>
      <c r="BG4" s="676"/>
      <c r="BH4" s="676"/>
      <c r="BI4" s="676"/>
      <c r="BJ4" s="676"/>
      <c r="BK4" s="676"/>
      <c r="BL4" s="676"/>
      <c r="BM4" s="676"/>
      <c r="BN4" s="676"/>
      <c r="BO4" s="676"/>
      <c r="BP4" s="685"/>
      <c r="BQ4" s="686"/>
      <c r="BR4" s="687"/>
      <c r="BS4" s="687"/>
      <c r="BT4" s="688"/>
      <c r="BU4" s="689"/>
      <c r="BV4" s="656"/>
      <c r="BW4" s="690"/>
      <c r="BX4" s="691"/>
      <c r="BY4" s="685"/>
      <c r="BZ4" s="636"/>
      <c r="CA4" s="692" t="s">
        <v>529</v>
      </c>
      <c r="CB4" s="2"/>
      <c r="CC4" s="3"/>
      <c r="CD4" s="637"/>
      <c r="CE4" s="637"/>
      <c r="CF4" s="637"/>
      <c r="CG4" s="637"/>
      <c r="CH4" s="637"/>
      <c r="CI4" s="637"/>
      <c r="CJ4" s="637"/>
      <c r="CK4" s="637"/>
      <c r="CL4" s="637"/>
      <c r="CM4" s="637"/>
    </row>
    <row r="5">
      <c r="A5" s="693">
        <v>46054.0</v>
      </c>
      <c r="B5" s="694">
        <v>1.0</v>
      </c>
      <c r="C5" s="694">
        <v>3.0</v>
      </c>
      <c r="D5" s="694">
        <v>5.0</v>
      </c>
      <c r="E5" s="694">
        <v>4.0</v>
      </c>
      <c r="F5" s="695">
        <f>14+7</f>
        <v>21</v>
      </c>
      <c r="G5" s="595"/>
      <c r="H5" s="694">
        <v>5.0</v>
      </c>
      <c r="I5" s="695"/>
      <c r="J5" s="595"/>
      <c r="K5" s="694">
        <v>6.0</v>
      </c>
      <c r="L5" s="696">
        <v>10.0</v>
      </c>
      <c r="M5" s="694">
        <v>10.0</v>
      </c>
      <c r="N5" s="695"/>
      <c r="O5" s="697"/>
      <c r="P5" s="698">
        <f t="shared" ref="P5:P35" si="4">C5*$B$4+D5*$D$4+E5*$E$4+F5*$F$4+G5*$G$4+H5*$H$4+I5*$I$4+J5*$J$4+K5*$K$4+L5*$L$4+M5*$M$4+N5*$N$4+O5*$O$4</f>
        <v>65865</v>
      </c>
      <c r="Q5" s="696">
        <v>65865.0</v>
      </c>
      <c r="R5" s="111">
        <f t="shared" ref="R5:R35" si="5">+R4+P5-Q5</f>
        <v>0</v>
      </c>
      <c r="S5" s="694">
        <v>2.0</v>
      </c>
      <c r="T5" s="694">
        <v>30.0</v>
      </c>
      <c r="U5" s="694">
        <v>3.0</v>
      </c>
      <c r="V5" s="694">
        <v>1.0</v>
      </c>
      <c r="W5" s="694">
        <v>6.0</v>
      </c>
      <c r="X5" s="595"/>
      <c r="Y5" s="694">
        <v>1.0</v>
      </c>
      <c r="Z5" s="694">
        <v>6.0</v>
      </c>
      <c r="AA5" s="595"/>
      <c r="AB5" s="694">
        <v>5.0</v>
      </c>
      <c r="AC5" s="696">
        <v>5.0</v>
      </c>
      <c r="AD5" s="694">
        <v>5.0</v>
      </c>
      <c r="AE5" s="695"/>
      <c r="AF5" s="697"/>
      <c r="AG5" s="698">
        <f t="shared" ref="AG5:AG35" si="6">T5*$B$4+U5*$D$4+V5*$E$4+W5*$F$4+X5*$G$4+Y5*$H$4+Z5*$I$4+AA5*$J$4+AB5*$K$4+AC5*$L$4+AD5*$M$4+AE5*$N$4+AF5*$O$4</f>
        <v>56135</v>
      </c>
      <c r="AH5" s="696">
        <v>56135.0</v>
      </c>
      <c r="AI5" s="111">
        <f t="shared" ref="AI5:AI35" si="7">+AI4+AG5-AH5</f>
        <v>0</v>
      </c>
      <c r="AJ5" s="694">
        <v>2.0</v>
      </c>
      <c r="AK5" s="694">
        <v>11.0</v>
      </c>
      <c r="AL5" s="695"/>
      <c r="AM5" s="694">
        <v>3.0</v>
      </c>
      <c r="AN5" s="694">
        <v>1.0</v>
      </c>
      <c r="AO5" s="696">
        <v>7.0</v>
      </c>
      <c r="AP5" s="695"/>
      <c r="AQ5" s="694">
        <v>3.0</v>
      </c>
      <c r="AR5" s="595"/>
      <c r="AS5" s="695"/>
      <c r="AT5" s="696">
        <v>10.0</v>
      </c>
      <c r="AU5" s="694">
        <v>10.0</v>
      </c>
      <c r="AV5" s="694">
        <v>5.0</v>
      </c>
      <c r="AW5" s="697"/>
      <c r="AX5" s="699"/>
      <c r="AY5" s="698">
        <f t="shared" ref="AY5:AY35" si="8">AK5*$AJ$4+AM5*$AM$4+AN5*$AN$4+AO5*$AO$4+AP5*$AP$4+AQ5*$AQ$4+AR5*$AR$4+AS5*$AS$4+AT5*$AT$4+AU5*$AU$4+AV5*$AV$4+AW5*$AW$4+AX5*$AX$4+$AL$4*AL5</f>
        <v>39714</v>
      </c>
      <c r="AZ5" s="696">
        <v>39714.0</v>
      </c>
      <c r="BA5" s="111">
        <f t="shared" ref="BA5:BA35" si="9">+BA4+AY5-AZ5</f>
        <v>0</v>
      </c>
      <c r="BB5" s="700">
        <f t="shared" ref="BB5:BC5" si="1">B5+S5+AJ5</f>
        <v>5</v>
      </c>
      <c r="BC5" s="700">
        <f t="shared" si="1"/>
        <v>44</v>
      </c>
      <c r="BD5" s="700">
        <f t="shared" ref="BD5:BO5" si="2">D5+U5+AM5</f>
        <v>11</v>
      </c>
      <c r="BE5" s="700">
        <f t="shared" si="2"/>
        <v>6</v>
      </c>
      <c r="BF5" s="700">
        <f t="shared" si="2"/>
        <v>34</v>
      </c>
      <c r="BG5" s="700">
        <f t="shared" si="2"/>
        <v>0</v>
      </c>
      <c r="BH5" s="108">
        <f t="shared" si="2"/>
        <v>9</v>
      </c>
      <c r="BI5" s="108">
        <f t="shared" si="2"/>
        <v>6</v>
      </c>
      <c r="BJ5" s="108">
        <f t="shared" si="2"/>
        <v>0</v>
      </c>
      <c r="BK5" s="108">
        <f t="shared" si="2"/>
        <v>21</v>
      </c>
      <c r="BL5" s="108">
        <f t="shared" si="2"/>
        <v>25</v>
      </c>
      <c r="BM5" s="108">
        <f t="shared" si="2"/>
        <v>20</v>
      </c>
      <c r="BN5" s="700">
        <f t="shared" si="2"/>
        <v>0</v>
      </c>
      <c r="BO5" s="700">
        <f t="shared" si="2"/>
        <v>0</v>
      </c>
      <c r="BP5" s="701">
        <f t="shared" ref="BP5:BP35" si="12">A5</f>
        <v>46054</v>
      </c>
      <c r="BQ5" s="702">
        <v>420.0</v>
      </c>
      <c r="BR5" s="703">
        <f t="shared" ref="BR5:BR35" si="13">AY5+AG5+P5</f>
        <v>161714</v>
      </c>
      <c r="BS5" s="704">
        <f t="shared" ref="BS5:BS35" si="14">BR5+BQ5</f>
        <v>162134</v>
      </c>
      <c r="BT5" s="696">
        <v>0.0</v>
      </c>
      <c r="BU5" s="705">
        <f t="shared" ref="BU5:BU35" si="15">BS5-BT5</f>
        <v>162134</v>
      </c>
      <c r="BV5" s="656"/>
      <c r="BW5" s="706">
        <f t="shared" ref="BW5:BX5" si="3">Q5+AH5+AZ5</f>
        <v>161714</v>
      </c>
      <c r="BX5" s="255">
        <f t="shared" si="3"/>
        <v>0</v>
      </c>
      <c r="BY5" s="707">
        <f t="shared" ref="BY5:BY35" si="17">+BU5-BX5</f>
        <v>162134</v>
      </c>
      <c r="BZ5" s="638"/>
      <c r="CA5" s="708">
        <v>5000.0</v>
      </c>
      <c r="CB5" s="709"/>
      <c r="CC5" s="710">
        <f t="shared" ref="CC5:CC11" si="18">+CB5*CA5</f>
        <v>0</v>
      </c>
      <c r="CD5" s="637"/>
      <c r="CE5" s="638"/>
      <c r="CF5" s="637"/>
      <c r="CG5" s="637"/>
      <c r="CH5" s="637"/>
      <c r="CI5" s="637"/>
      <c r="CJ5" s="637"/>
      <c r="CK5" s="637"/>
      <c r="CL5" s="637"/>
      <c r="CM5" s="637"/>
    </row>
    <row r="6">
      <c r="A6" s="693">
        <f t="shared" ref="A6:A35" si="19">1+A5</f>
        <v>46055</v>
      </c>
      <c r="B6" s="473"/>
      <c r="C6" s="473"/>
      <c r="D6" s="711">
        <v>1.0</v>
      </c>
      <c r="E6" s="711">
        <v>1.0</v>
      </c>
      <c r="F6" s="711">
        <v>9.0</v>
      </c>
      <c r="G6" s="712"/>
      <c r="H6" s="473"/>
      <c r="I6" s="473"/>
      <c r="J6" s="712"/>
      <c r="K6" s="711">
        <v>5.0</v>
      </c>
      <c r="L6" s="713">
        <v>10.0</v>
      </c>
      <c r="M6" s="473"/>
      <c r="N6" s="473"/>
      <c r="O6" s="714"/>
      <c r="P6" s="698">
        <f t="shared" si="4"/>
        <v>25889</v>
      </c>
      <c r="Q6" s="712"/>
      <c r="R6" s="715">
        <f t="shared" si="5"/>
        <v>25889</v>
      </c>
      <c r="S6" s="473"/>
      <c r="T6" s="473"/>
      <c r="U6" s="711">
        <v>1.0</v>
      </c>
      <c r="V6" s="711">
        <v>1.0</v>
      </c>
      <c r="W6" s="711">
        <v>3.0</v>
      </c>
      <c r="X6" s="712"/>
      <c r="Y6" s="711">
        <v>1.0</v>
      </c>
      <c r="Z6" s="473"/>
      <c r="AA6" s="712"/>
      <c r="AB6" s="473"/>
      <c r="AC6" s="713">
        <v>5.0</v>
      </c>
      <c r="AD6" s="711">
        <v>15.0</v>
      </c>
      <c r="AE6" s="473"/>
      <c r="AF6" s="714"/>
      <c r="AG6" s="698">
        <f t="shared" si="6"/>
        <v>13220</v>
      </c>
      <c r="AH6" s="713">
        <v>13220.0</v>
      </c>
      <c r="AI6" s="111">
        <f t="shared" si="7"/>
        <v>0</v>
      </c>
      <c r="AJ6" s="711">
        <v>2.0</v>
      </c>
      <c r="AK6" s="711">
        <v>7.0</v>
      </c>
      <c r="AL6" s="473"/>
      <c r="AM6" s="711">
        <v>3.0</v>
      </c>
      <c r="AN6" s="711">
        <v>1.0</v>
      </c>
      <c r="AO6" s="713">
        <v>10.0</v>
      </c>
      <c r="AP6" s="473"/>
      <c r="AQ6" s="711">
        <v>3.0</v>
      </c>
      <c r="AR6" s="712"/>
      <c r="AS6" s="473"/>
      <c r="AT6" s="713">
        <v>5.0</v>
      </c>
      <c r="AU6" s="711">
        <v>10.0</v>
      </c>
      <c r="AV6" s="473"/>
      <c r="AW6" s="716">
        <v>20.0</v>
      </c>
      <c r="AX6" s="717"/>
      <c r="AY6" s="698">
        <f t="shared" si="8"/>
        <v>44811</v>
      </c>
      <c r="AZ6" s="713">
        <v>44811.0</v>
      </c>
      <c r="BA6" s="111">
        <f t="shared" si="9"/>
        <v>0</v>
      </c>
      <c r="BB6" s="700">
        <f t="shared" ref="BB6:BC6" si="10">B6+S6+AJ6</f>
        <v>2</v>
      </c>
      <c r="BC6" s="700">
        <f t="shared" si="10"/>
        <v>7</v>
      </c>
      <c r="BD6" s="700">
        <f t="shared" ref="BD6:BO6" si="11">D6+U6+AM6</f>
        <v>5</v>
      </c>
      <c r="BE6" s="700">
        <f t="shared" si="11"/>
        <v>3</v>
      </c>
      <c r="BF6" s="700">
        <f t="shared" si="11"/>
        <v>22</v>
      </c>
      <c r="BG6" s="700">
        <f t="shared" si="11"/>
        <v>0</v>
      </c>
      <c r="BH6" s="108">
        <f t="shared" si="11"/>
        <v>4</v>
      </c>
      <c r="BI6" s="108">
        <f t="shared" si="11"/>
        <v>0</v>
      </c>
      <c r="BJ6" s="108">
        <f t="shared" si="11"/>
        <v>0</v>
      </c>
      <c r="BK6" s="108">
        <f t="shared" si="11"/>
        <v>10</v>
      </c>
      <c r="BL6" s="108">
        <f t="shared" si="11"/>
        <v>25</v>
      </c>
      <c r="BM6" s="108">
        <f t="shared" si="11"/>
        <v>15</v>
      </c>
      <c r="BN6" s="700">
        <f t="shared" si="11"/>
        <v>20</v>
      </c>
      <c r="BO6" s="700">
        <f t="shared" si="11"/>
        <v>0</v>
      </c>
      <c r="BP6" s="701">
        <f t="shared" si="12"/>
        <v>46055</v>
      </c>
      <c r="BQ6" s="718">
        <f t="shared" ref="BQ6:BQ35" si="22">BU5</f>
        <v>162134</v>
      </c>
      <c r="BR6" s="703">
        <f t="shared" si="13"/>
        <v>83920</v>
      </c>
      <c r="BS6" s="704">
        <f t="shared" si="14"/>
        <v>246054</v>
      </c>
      <c r="BT6" s="713">
        <v>0.0</v>
      </c>
      <c r="BU6" s="705">
        <f t="shared" si="15"/>
        <v>246054</v>
      </c>
      <c r="BV6" s="656"/>
      <c r="BW6" s="719">
        <f t="shared" ref="BW6:BX6" si="16">Q6+AH6+AZ6</f>
        <v>58031</v>
      </c>
      <c r="BX6" s="261">
        <f t="shared" si="16"/>
        <v>25889</v>
      </c>
      <c r="BY6" s="720">
        <f t="shared" si="17"/>
        <v>220165</v>
      </c>
      <c r="BZ6" s="637"/>
      <c r="CA6" s="721">
        <v>1000.0</v>
      </c>
      <c r="CB6" s="722"/>
      <c r="CC6" s="111">
        <f t="shared" si="18"/>
        <v>0</v>
      </c>
      <c r="CD6" s="637"/>
      <c r="CE6" s="638"/>
      <c r="CF6" s="637"/>
      <c r="CG6" s="637"/>
      <c r="CH6" s="637"/>
      <c r="CI6" s="637"/>
      <c r="CJ6" s="637"/>
      <c r="CK6" s="637"/>
      <c r="CL6" s="637"/>
      <c r="CM6" s="637"/>
    </row>
    <row r="7">
      <c r="A7" s="693">
        <f t="shared" si="19"/>
        <v>46056</v>
      </c>
      <c r="B7" s="713">
        <v>1.0</v>
      </c>
      <c r="C7" s="713">
        <v>5.0</v>
      </c>
      <c r="D7" s="711">
        <v>5.0</v>
      </c>
      <c r="E7" s="711">
        <v>3.0</v>
      </c>
      <c r="F7" s="711">
        <v>14.0</v>
      </c>
      <c r="G7" s="712"/>
      <c r="H7" s="473"/>
      <c r="I7" s="711">
        <v>3.0</v>
      </c>
      <c r="J7" s="712"/>
      <c r="K7" s="711">
        <v>5.0</v>
      </c>
      <c r="L7" s="713">
        <v>10.0</v>
      </c>
      <c r="M7" s="711">
        <v>5.0</v>
      </c>
      <c r="N7" s="711">
        <v>20.0</v>
      </c>
      <c r="O7" s="714"/>
      <c r="P7" s="698">
        <f t="shared" si="4"/>
        <v>57038</v>
      </c>
      <c r="Q7" s="473"/>
      <c r="R7" s="715">
        <f t="shared" si="5"/>
        <v>82927</v>
      </c>
      <c r="S7" s="712"/>
      <c r="T7" s="712"/>
      <c r="U7" s="711">
        <v>2.0</v>
      </c>
      <c r="V7" s="473"/>
      <c r="W7" s="711">
        <v>6.0</v>
      </c>
      <c r="X7" s="712"/>
      <c r="Y7" s="711">
        <v>5.0</v>
      </c>
      <c r="Z7" s="711">
        <v>6.0</v>
      </c>
      <c r="AA7" s="712"/>
      <c r="AB7" s="711">
        <v>6.0</v>
      </c>
      <c r="AC7" s="713">
        <v>3.0</v>
      </c>
      <c r="AD7" s="473"/>
      <c r="AE7" s="473"/>
      <c r="AF7" s="714"/>
      <c r="AG7" s="698">
        <f t="shared" si="6"/>
        <v>19757</v>
      </c>
      <c r="AH7" s="711">
        <v>19757.0</v>
      </c>
      <c r="AI7" s="111">
        <f t="shared" si="7"/>
        <v>0</v>
      </c>
      <c r="AJ7" s="713">
        <v>1.0</v>
      </c>
      <c r="AK7" s="713">
        <v>3.0</v>
      </c>
      <c r="AL7" s="473"/>
      <c r="AM7" s="711">
        <v>1.0</v>
      </c>
      <c r="AN7" s="711">
        <v>2.0</v>
      </c>
      <c r="AO7" s="713">
        <v>7.0</v>
      </c>
      <c r="AP7" s="473"/>
      <c r="AQ7" s="473"/>
      <c r="AR7" s="712"/>
      <c r="AS7" s="473"/>
      <c r="AT7" s="712"/>
      <c r="AU7" s="711">
        <v>5.0</v>
      </c>
      <c r="AV7" s="711">
        <v>5.0</v>
      </c>
      <c r="AW7" s="714"/>
      <c r="AX7" s="717"/>
      <c r="AY7" s="698">
        <f t="shared" si="8"/>
        <v>24340</v>
      </c>
      <c r="AZ7" s="711">
        <v>24340.0</v>
      </c>
      <c r="BA7" s="111">
        <f t="shared" si="9"/>
        <v>0</v>
      </c>
      <c r="BB7" s="700">
        <f t="shared" ref="BB7:BC7" si="20">B7+S7+AJ7</f>
        <v>2</v>
      </c>
      <c r="BC7" s="700">
        <f t="shared" si="20"/>
        <v>8</v>
      </c>
      <c r="BD7" s="700">
        <f t="shared" ref="BD7:BO7" si="21">D7+U7+AM7</f>
        <v>8</v>
      </c>
      <c r="BE7" s="700">
        <f t="shared" si="21"/>
        <v>5</v>
      </c>
      <c r="BF7" s="700">
        <f t="shared" si="21"/>
        <v>27</v>
      </c>
      <c r="BG7" s="700">
        <f t="shared" si="21"/>
        <v>0</v>
      </c>
      <c r="BH7" s="108">
        <f t="shared" si="21"/>
        <v>5</v>
      </c>
      <c r="BI7" s="108">
        <f t="shared" si="21"/>
        <v>9</v>
      </c>
      <c r="BJ7" s="108">
        <f t="shared" si="21"/>
        <v>0</v>
      </c>
      <c r="BK7" s="108">
        <f t="shared" si="21"/>
        <v>11</v>
      </c>
      <c r="BL7" s="108">
        <f t="shared" si="21"/>
        <v>18</v>
      </c>
      <c r="BM7" s="108">
        <f t="shared" si="21"/>
        <v>10</v>
      </c>
      <c r="BN7" s="700">
        <f t="shared" si="21"/>
        <v>20</v>
      </c>
      <c r="BO7" s="700">
        <f t="shared" si="21"/>
        <v>0</v>
      </c>
      <c r="BP7" s="701">
        <f t="shared" si="12"/>
        <v>46056</v>
      </c>
      <c r="BQ7" s="718">
        <f t="shared" si="22"/>
        <v>246054</v>
      </c>
      <c r="BR7" s="703">
        <f t="shared" si="13"/>
        <v>101135</v>
      </c>
      <c r="BS7" s="704">
        <f t="shared" si="14"/>
        <v>347189</v>
      </c>
      <c r="BT7" s="711">
        <v>0.0</v>
      </c>
      <c r="BU7" s="705">
        <f t="shared" si="15"/>
        <v>347189</v>
      </c>
      <c r="BV7" s="656"/>
      <c r="BW7" s="719">
        <f t="shared" ref="BW7:BX7" si="23">Q7+AH7+AZ7</f>
        <v>44097</v>
      </c>
      <c r="BX7" s="261">
        <f t="shared" si="23"/>
        <v>82927</v>
      </c>
      <c r="BY7" s="720">
        <f t="shared" si="17"/>
        <v>264262</v>
      </c>
      <c r="BZ7" s="637"/>
      <c r="CA7" s="721">
        <v>500.0</v>
      </c>
      <c r="CB7" s="722"/>
      <c r="CC7" s="111">
        <f t="shared" si="18"/>
        <v>0</v>
      </c>
      <c r="CD7" s="637"/>
      <c r="CE7" s="638"/>
      <c r="CF7" s="637"/>
      <c r="CG7" s="637"/>
      <c r="CH7" s="637"/>
      <c r="CI7" s="637"/>
      <c r="CJ7" s="637"/>
      <c r="CK7" s="637"/>
      <c r="CL7" s="637"/>
      <c r="CM7" s="637"/>
    </row>
    <row r="8">
      <c r="A8" s="693">
        <f t="shared" si="19"/>
        <v>46057</v>
      </c>
      <c r="B8" s="712"/>
      <c r="C8" s="712"/>
      <c r="D8" s="711">
        <v>4.0</v>
      </c>
      <c r="E8" s="711">
        <v>2.0</v>
      </c>
      <c r="F8" s="711">
        <v>14.0</v>
      </c>
      <c r="G8" s="712"/>
      <c r="H8" s="711">
        <v>9.0</v>
      </c>
      <c r="I8" s="473"/>
      <c r="J8" s="712"/>
      <c r="K8" s="711">
        <v>3.0</v>
      </c>
      <c r="L8" s="713">
        <v>10.0</v>
      </c>
      <c r="M8" s="711">
        <v>9.0</v>
      </c>
      <c r="N8" s="712"/>
      <c r="O8" s="714"/>
      <c r="P8" s="698">
        <f t="shared" si="4"/>
        <v>44695</v>
      </c>
      <c r="Q8" s="713">
        <v>127622.0</v>
      </c>
      <c r="R8" s="715">
        <f t="shared" si="5"/>
        <v>0</v>
      </c>
      <c r="S8" s="713">
        <v>1.0</v>
      </c>
      <c r="T8" s="713">
        <v>2.0</v>
      </c>
      <c r="U8" s="711">
        <v>1.0</v>
      </c>
      <c r="V8" s="711">
        <v>2.0</v>
      </c>
      <c r="W8" s="711">
        <v>5.0</v>
      </c>
      <c r="X8" s="712"/>
      <c r="Y8" s="711">
        <v>2.0</v>
      </c>
      <c r="Z8" s="473"/>
      <c r="AA8" s="712"/>
      <c r="AB8" s="473"/>
      <c r="AC8" s="713">
        <v>4.0</v>
      </c>
      <c r="AD8" s="473"/>
      <c r="AE8" s="712"/>
      <c r="AF8" s="714"/>
      <c r="AG8" s="698">
        <f t="shared" si="6"/>
        <v>18942</v>
      </c>
      <c r="AH8" s="712"/>
      <c r="AI8" s="111">
        <f t="shared" si="7"/>
        <v>18942</v>
      </c>
      <c r="AJ8" s="712"/>
      <c r="AK8" s="712"/>
      <c r="AL8" s="473"/>
      <c r="AM8" s="711">
        <v>2.0</v>
      </c>
      <c r="AN8" s="711">
        <v>0.0</v>
      </c>
      <c r="AO8" s="713">
        <v>6.0</v>
      </c>
      <c r="AP8" s="473"/>
      <c r="AQ8" s="711">
        <v>7.0</v>
      </c>
      <c r="AR8" s="713">
        <v>5.0</v>
      </c>
      <c r="AS8" s="711">
        <v>0.0</v>
      </c>
      <c r="AT8" s="713">
        <v>4.0</v>
      </c>
      <c r="AU8" s="711">
        <v>10.0</v>
      </c>
      <c r="AV8" s="713">
        <v>5.0</v>
      </c>
      <c r="AW8" s="716">
        <v>20.0</v>
      </c>
      <c r="AX8" s="717"/>
      <c r="AY8" s="698">
        <f t="shared" si="8"/>
        <v>28897</v>
      </c>
      <c r="AZ8" s="713">
        <v>28897.0</v>
      </c>
      <c r="BA8" s="111">
        <f t="shared" si="9"/>
        <v>0</v>
      </c>
      <c r="BB8" s="700">
        <f t="shared" ref="BB8:BC8" si="24">B8+S8+AJ8</f>
        <v>1</v>
      </c>
      <c r="BC8" s="700">
        <f t="shared" si="24"/>
        <v>2</v>
      </c>
      <c r="BD8" s="700">
        <f t="shared" ref="BD8:BO8" si="25">D8+U8+AM8</f>
        <v>7</v>
      </c>
      <c r="BE8" s="700">
        <f t="shared" si="25"/>
        <v>4</v>
      </c>
      <c r="BF8" s="700">
        <f t="shared" si="25"/>
        <v>25</v>
      </c>
      <c r="BG8" s="700">
        <f t="shared" si="25"/>
        <v>0</v>
      </c>
      <c r="BH8" s="108">
        <f t="shared" si="25"/>
        <v>18</v>
      </c>
      <c r="BI8" s="108">
        <f t="shared" si="25"/>
        <v>5</v>
      </c>
      <c r="BJ8" s="108">
        <f t="shared" si="25"/>
        <v>0</v>
      </c>
      <c r="BK8" s="108">
        <f t="shared" si="25"/>
        <v>7</v>
      </c>
      <c r="BL8" s="108">
        <f t="shared" si="25"/>
        <v>24</v>
      </c>
      <c r="BM8" s="108">
        <f t="shared" si="25"/>
        <v>14</v>
      </c>
      <c r="BN8" s="700">
        <f t="shared" si="25"/>
        <v>20</v>
      </c>
      <c r="BO8" s="700">
        <f t="shared" si="25"/>
        <v>0</v>
      </c>
      <c r="BP8" s="701">
        <f t="shared" si="12"/>
        <v>46057</v>
      </c>
      <c r="BQ8" s="718">
        <f t="shared" si="22"/>
        <v>347189</v>
      </c>
      <c r="BR8" s="703">
        <f t="shared" si="13"/>
        <v>92534</v>
      </c>
      <c r="BS8" s="704">
        <f t="shared" si="14"/>
        <v>439723</v>
      </c>
      <c r="BT8" s="713">
        <v>96875.0</v>
      </c>
      <c r="BU8" s="705">
        <f t="shared" si="15"/>
        <v>342848</v>
      </c>
      <c r="BV8" s="656"/>
      <c r="BW8" s="719">
        <f t="shared" ref="BW8:BX8" si="26">Q8+AH8+AZ8</f>
        <v>156519</v>
      </c>
      <c r="BX8" s="261">
        <f t="shared" si="26"/>
        <v>18942</v>
      </c>
      <c r="BY8" s="720">
        <f t="shared" si="17"/>
        <v>323906</v>
      </c>
      <c r="BZ8" s="637"/>
      <c r="CA8" s="721">
        <v>100.0</v>
      </c>
      <c r="CB8" s="722"/>
      <c r="CC8" s="111">
        <f t="shared" si="18"/>
        <v>0</v>
      </c>
      <c r="CD8" s="637"/>
      <c r="CE8" s="638"/>
      <c r="CF8" s="637"/>
      <c r="CG8" s="637"/>
      <c r="CH8" s="637"/>
      <c r="CI8" s="637"/>
      <c r="CJ8" s="637"/>
      <c r="CK8" s="637"/>
      <c r="CL8" s="637"/>
      <c r="CM8" s="637"/>
    </row>
    <row r="9">
      <c r="A9" s="693">
        <f t="shared" si="19"/>
        <v>46058</v>
      </c>
      <c r="B9" s="712"/>
      <c r="C9" s="712"/>
      <c r="D9" s="711">
        <v>4.0</v>
      </c>
      <c r="E9" s="711">
        <v>3.0</v>
      </c>
      <c r="F9" s="711">
        <v>18.0</v>
      </c>
      <c r="G9" s="712"/>
      <c r="H9" s="711">
        <v>10.0</v>
      </c>
      <c r="I9" s="473"/>
      <c r="J9" s="712"/>
      <c r="K9" s="711">
        <v>5.0</v>
      </c>
      <c r="L9" s="713">
        <v>10.0</v>
      </c>
      <c r="M9" s="711">
        <v>9.0</v>
      </c>
      <c r="N9" s="711">
        <v>19.0</v>
      </c>
      <c r="O9" s="714"/>
      <c r="P9" s="698">
        <f t="shared" si="4"/>
        <v>59930</v>
      </c>
      <c r="Q9" s="712"/>
      <c r="R9" s="715">
        <f t="shared" si="5"/>
        <v>59930</v>
      </c>
      <c r="S9" s="712"/>
      <c r="T9" s="712"/>
      <c r="U9" s="711">
        <v>2.0</v>
      </c>
      <c r="V9" s="473"/>
      <c r="W9" s="711">
        <v>5.0</v>
      </c>
      <c r="X9" s="712"/>
      <c r="Y9" s="711">
        <v>1.0</v>
      </c>
      <c r="Z9" s="473"/>
      <c r="AA9" s="712"/>
      <c r="AB9" s="711">
        <v>6.0</v>
      </c>
      <c r="AC9" s="713">
        <v>5.0</v>
      </c>
      <c r="AD9" s="711">
        <v>10.0</v>
      </c>
      <c r="AE9" s="473"/>
      <c r="AF9" s="714"/>
      <c r="AG9" s="698">
        <f t="shared" si="6"/>
        <v>17538</v>
      </c>
      <c r="AH9" s="713">
        <v>36480.0</v>
      </c>
      <c r="AI9" s="111">
        <f t="shared" si="7"/>
        <v>0</v>
      </c>
      <c r="AJ9" s="713">
        <v>1.0</v>
      </c>
      <c r="AK9" s="713">
        <v>5.0</v>
      </c>
      <c r="AL9" s="473"/>
      <c r="AM9" s="711">
        <v>3.0</v>
      </c>
      <c r="AN9" s="711">
        <v>2.0</v>
      </c>
      <c r="AO9" s="713">
        <v>14.0</v>
      </c>
      <c r="AP9" s="473"/>
      <c r="AQ9" s="711">
        <v>4.0</v>
      </c>
      <c r="AR9" s="712"/>
      <c r="AS9" s="473"/>
      <c r="AT9" s="713">
        <v>11.0</v>
      </c>
      <c r="AU9" s="711">
        <v>7.0</v>
      </c>
      <c r="AV9" s="711">
        <v>10.0</v>
      </c>
      <c r="AW9" s="714"/>
      <c r="AX9" s="717"/>
      <c r="AY9" s="698">
        <f t="shared" si="8"/>
        <v>47851</v>
      </c>
      <c r="AZ9" s="713">
        <v>47851.0</v>
      </c>
      <c r="BA9" s="111">
        <f t="shared" si="9"/>
        <v>0</v>
      </c>
      <c r="BB9" s="700">
        <f t="shared" ref="BB9:BC9" si="27">B9+S9+AJ9</f>
        <v>1</v>
      </c>
      <c r="BC9" s="700">
        <f t="shared" si="27"/>
        <v>5</v>
      </c>
      <c r="BD9" s="700">
        <f t="shared" ref="BD9:BO9" si="28">D9+U9+AM9</f>
        <v>9</v>
      </c>
      <c r="BE9" s="700">
        <f t="shared" si="28"/>
        <v>5</v>
      </c>
      <c r="BF9" s="700">
        <f t="shared" si="28"/>
        <v>37</v>
      </c>
      <c r="BG9" s="700">
        <f t="shared" si="28"/>
        <v>0</v>
      </c>
      <c r="BH9" s="108">
        <f t="shared" si="28"/>
        <v>15</v>
      </c>
      <c r="BI9" s="108">
        <f t="shared" si="28"/>
        <v>0</v>
      </c>
      <c r="BJ9" s="108">
        <f t="shared" si="28"/>
        <v>0</v>
      </c>
      <c r="BK9" s="108">
        <f t="shared" si="28"/>
        <v>22</v>
      </c>
      <c r="BL9" s="108">
        <f t="shared" si="28"/>
        <v>22</v>
      </c>
      <c r="BM9" s="108">
        <f t="shared" si="28"/>
        <v>29</v>
      </c>
      <c r="BN9" s="700">
        <f t="shared" si="28"/>
        <v>19</v>
      </c>
      <c r="BO9" s="700">
        <f t="shared" si="28"/>
        <v>0</v>
      </c>
      <c r="BP9" s="701">
        <f t="shared" si="12"/>
        <v>46058</v>
      </c>
      <c r="BQ9" s="718">
        <f t="shared" si="22"/>
        <v>342848</v>
      </c>
      <c r="BR9" s="703">
        <f t="shared" si="13"/>
        <v>125319</v>
      </c>
      <c r="BS9" s="704">
        <f t="shared" si="14"/>
        <v>468167</v>
      </c>
      <c r="BT9" s="713">
        <v>0.0</v>
      </c>
      <c r="BU9" s="705">
        <f t="shared" si="15"/>
        <v>468167</v>
      </c>
      <c r="BV9" s="656"/>
      <c r="BW9" s="719">
        <f t="shared" ref="BW9:BX9" si="29">Q9+AH9+AZ9</f>
        <v>84331</v>
      </c>
      <c r="BX9" s="261">
        <f t="shared" si="29"/>
        <v>59930</v>
      </c>
      <c r="BY9" s="720">
        <f t="shared" si="17"/>
        <v>408237</v>
      </c>
      <c r="BZ9" s="637"/>
      <c r="CA9" s="721">
        <v>50.0</v>
      </c>
      <c r="CB9" s="722"/>
      <c r="CC9" s="111">
        <f t="shared" si="18"/>
        <v>0</v>
      </c>
      <c r="CD9" s="637"/>
      <c r="CE9" s="638"/>
      <c r="CF9" s="637"/>
      <c r="CG9" s="637"/>
      <c r="CH9" s="637"/>
      <c r="CI9" s="637"/>
      <c r="CJ9" s="637"/>
      <c r="CK9" s="637"/>
      <c r="CL9" s="637"/>
      <c r="CM9" s="637"/>
    </row>
    <row r="10">
      <c r="A10" s="693">
        <f t="shared" si="19"/>
        <v>46059</v>
      </c>
      <c r="B10" s="713">
        <v>2.0</v>
      </c>
      <c r="C10" s="713">
        <v>9.0</v>
      </c>
      <c r="D10" s="711">
        <v>4.0</v>
      </c>
      <c r="E10" s="711">
        <v>4.0</v>
      </c>
      <c r="F10" s="711">
        <v>25.0</v>
      </c>
      <c r="G10" s="712"/>
      <c r="H10" s="713">
        <v>10.0</v>
      </c>
      <c r="I10" s="711">
        <v>3.0</v>
      </c>
      <c r="J10" s="712"/>
      <c r="K10" s="711">
        <v>5.0</v>
      </c>
      <c r="L10" s="713">
        <v>15.0</v>
      </c>
      <c r="M10" s="711">
        <v>10.0</v>
      </c>
      <c r="N10" s="711">
        <v>20.0</v>
      </c>
      <c r="O10" s="714"/>
      <c r="P10" s="698">
        <f t="shared" si="4"/>
        <v>88127</v>
      </c>
      <c r="Q10" s="473"/>
      <c r="R10" s="715">
        <f t="shared" si="5"/>
        <v>148057</v>
      </c>
      <c r="S10" s="712"/>
      <c r="T10" s="712"/>
      <c r="U10" s="711">
        <v>2.0</v>
      </c>
      <c r="V10" s="711">
        <v>1.0</v>
      </c>
      <c r="W10" s="711">
        <v>6.0</v>
      </c>
      <c r="X10" s="712"/>
      <c r="Y10" s="712"/>
      <c r="Z10" s="711">
        <v>4.0</v>
      </c>
      <c r="AA10" s="712"/>
      <c r="AB10" s="473"/>
      <c r="AC10" s="713">
        <v>5.0</v>
      </c>
      <c r="AD10" s="711">
        <v>7.0</v>
      </c>
      <c r="AE10" s="473"/>
      <c r="AF10" s="714"/>
      <c r="AG10" s="698">
        <f t="shared" si="6"/>
        <v>20061</v>
      </c>
      <c r="AH10" s="711">
        <v>20061.0</v>
      </c>
      <c r="AI10" s="111">
        <f t="shared" si="7"/>
        <v>0</v>
      </c>
      <c r="AJ10" s="713">
        <v>2.0</v>
      </c>
      <c r="AK10" s="713">
        <v>9.0</v>
      </c>
      <c r="AL10" s="473"/>
      <c r="AM10" s="711">
        <v>4.0</v>
      </c>
      <c r="AN10" s="711">
        <v>3.0</v>
      </c>
      <c r="AO10" s="713">
        <v>15.0</v>
      </c>
      <c r="AP10" s="712"/>
      <c r="AQ10" s="473"/>
      <c r="AR10" s="712"/>
      <c r="AS10" s="473"/>
      <c r="AT10" s="713">
        <v>7.0</v>
      </c>
      <c r="AU10" s="711">
        <v>10.0</v>
      </c>
      <c r="AV10" s="711">
        <v>10.0</v>
      </c>
      <c r="AW10" s="714"/>
      <c r="AX10" s="717"/>
      <c r="AY10" s="698">
        <f t="shared" si="8"/>
        <v>56718</v>
      </c>
      <c r="AZ10" s="711">
        <v>56718.0</v>
      </c>
      <c r="BA10" s="111">
        <f t="shared" si="9"/>
        <v>0</v>
      </c>
      <c r="BB10" s="700">
        <f t="shared" ref="BB10:BC10" si="30">B10+S10+AJ10</f>
        <v>4</v>
      </c>
      <c r="BC10" s="700">
        <f t="shared" si="30"/>
        <v>18</v>
      </c>
      <c r="BD10" s="700">
        <f t="shared" ref="BD10:BO10" si="31">D10+U10+AM10</f>
        <v>10</v>
      </c>
      <c r="BE10" s="700">
        <f t="shared" si="31"/>
        <v>8</v>
      </c>
      <c r="BF10" s="700">
        <f t="shared" si="31"/>
        <v>46</v>
      </c>
      <c r="BG10" s="700">
        <f t="shared" si="31"/>
        <v>0</v>
      </c>
      <c r="BH10" s="108">
        <f t="shared" si="31"/>
        <v>10</v>
      </c>
      <c r="BI10" s="108">
        <f t="shared" si="31"/>
        <v>7</v>
      </c>
      <c r="BJ10" s="108">
        <f t="shared" si="31"/>
        <v>0</v>
      </c>
      <c r="BK10" s="108">
        <f t="shared" si="31"/>
        <v>12</v>
      </c>
      <c r="BL10" s="108">
        <f t="shared" si="31"/>
        <v>30</v>
      </c>
      <c r="BM10" s="108">
        <f t="shared" si="31"/>
        <v>27</v>
      </c>
      <c r="BN10" s="700">
        <f t="shared" si="31"/>
        <v>20</v>
      </c>
      <c r="BO10" s="700">
        <f t="shared" si="31"/>
        <v>0</v>
      </c>
      <c r="BP10" s="701">
        <f t="shared" si="12"/>
        <v>46059</v>
      </c>
      <c r="BQ10" s="718">
        <f t="shared" si="22"/>
        <v>468167</v>
      </c>
      <c r="BR10" s="703">
        <f t="shared" si="13"/>
        <v>164906</v>
      </c>
      <c r="BS10" s="704">
        <f t="shared" si="14"/>
        <v>633073</v>
      </c>
      <c r="BT10" s="711">
        <v>0.0</v>
      </c>
      <c r="BU10" s="705">
        <f t="shared" si="15"/>
        <v>633073</v>
      </c>
      <c r="BV10" s="656"/>
      <c r="BW10" s="719">
        <f t="shared" ref="BW10:BX10" si="32">Q10+AH10+AZ10</f>
        <v>76779</v>
      </c>
      <c r="BX10" s="261">
        <f t="shared" si="32"/>
        <v>148057</v>
      </c>
      <c r="BY10" s="720">
        <f t="shared" si="17"/>
        <v>485016</v>
      </c>
      <c r="BZ10" s="699"/>
      <c r="CA10" s="721">
        <v>20.0</v>
      </c>
      <c r="CB10" s="722"/>
      <c r="CC10" s="111">
        <f t="shared" si="18"/>
        <v>0</v>
      </c>
      <c r="CD10" s="637"/>
      <c r="CE10" s="638"/>
      <c r="CF10" s="637"/>
      <c r="CG10" s="637"/>
      <c r="CH10" s="637"/>
      <c r="CI10" s="637"/>
      <c r="CJ10" s="637"/>
      <c r="CK10" s="637"/>
      <c r="CL10" s="637"/>
      <c r="CM10" s="637"/>
    </row>
    <row r="11">
      <c r="A11" s="693">
        <f t="shared" si="19"/>
        <v>46060</v>
      </c>
      <c r="B11" s="713">
        <v>1.0</v>
      </c>
      <c r="C11" s="713">
        <v>15.0</v>
      </c>
      <c r="D11" s="711">
        <v>4.0</v>
      </c>
      <c r="E11" s="711">
        <v>2.0</v>
      </c>
      <c r="F11" s="711">
        <v>11.0</v>
      </c>
      <c r="G11" s="712"/>
      <c r="H11" s="473"/>
      <c r="I11" s="473"/>
      <c r="J11" s="712"/>
      <c r="K11" s="711">
        <v>5.0</v>
      </c>
      <c r="L11" s="713">
        <v>15.0</v>
      </c>
      <c r="M11" s="711">
        <v>10.0</v>
      </c>
      <c r="N11" s="473"/>
      <c r="O11" s="714"/>
      <c r="P11" s="698">
        <f t="shared" si="4"/>
        <v>55833</v>
      </c>
      <c r="Q11" s="713">
        <v>203890.0</v>
      </c>
      <c r="R11" s="715">
        <f t="shared" si="5"/>
        <v>0</v>
      </c>
      <c r="S11" s="712"/>
      <c r="T11" s="712"/>
      <c r="U11" s="711">
        <v>1.0</v>
      </c>
      <c r="V11" s="711">
        <v>1.0</v>
      </c>
      <c r="W11" s="711">
        <v>6.0</v>
      </c>
      <c r="X11" s="712"/>
      <c r="Y11" s="711">
        <v>2.0</v>
      </c>
      <c r="Z11" s="711">
        <v>6.0</v>
      </c>
      <c r="AA11" s="712"/>
      <c r="AB11" s="711">
        <v>5.0</v>
      </c>
      <c r="AC11" s="713">
        <v>5.0</v>
      </c>
      <c r="AD11" s="711">
        <v>5.0</v>
      </c>
      <c r="AE11" s="711">
        <v>20.0</v>
      </c>
      <c r="AF11" s="714"/>
      <c r="AG11" s="698">
        <f t="shared" si="6"/>
        <v>25912</v>
      </c>
      <c r="AH11" s="712"/>
      <c r="AI11" s="111">
        <f t="shared" si="7"/>
        <v>25912</v>
      </c>
      <c r="AJ11" s="713">
        <v>1.0</v>
      </c>
      <c r="AK11" s="713">
        <v>7.0</v>
      </c>
      <c r="AL11" s="473"/>
      <c r="AM11" s="711">
        <v>1.0</v>
      </c>
      <c r="AN11" s="711">
        <v>1.0</v>
      </c>
      <c r="AO11" s="713">
        <v>2.0</v>
      </c>
      <c r="AP11" s="473"/>
      <c r="AQ11" s="473"/>
      <c r="AR11" s="713">
        <v>5.0</v>
      </c>
      <c r="AS11" s="473"/>
      <c r="AT11" s="713">
        <v>5.0</v>
      </c>
      <c r="AU11" s="711">
        <v>6.0</v>
      </c>
      <c r="AV11" s="473"/>
      <c r="AW11" s="716">
        <v>20.0</v>
      </c>
      <c r="AX11" s="717"/>
      <c r="AY11" s="698">
        <f t="shared" si="8"/>
        <v>25096</v>
      </c>
      <c r="AZ11" s="712"/>
      <c r="BA11" s="111">
        <f t="shared" si="9"/>
        <v>25096</v>
      </c>
      <c r="BB11" s="700">
        <f t="shared" ref="BB11:BC11" si="33">B11+S11+AJ11</f>
        <v>2</v>
      </c>
      <c r="BC11" s="700">
        <f t="shared" si="33"/>
        <v>22</v>
      </c>
      <c r="BD11" s="700">
        <f t="shared" ref="BD11:BO11" si="34">D11+U11+AM11</f>
        <v>6</v>
      </c>
      <c r="BE11" s="700">
        <f t="shared" si="34"/>
        <v>4</v>
      </c>
      <c r="BF11" s="700">
        <f t="shared" si="34"/>
        <v>19</v>
      </c>
      <c r="BG11" s="700">
        <f t="shared" si="34"/>
        <v>0</v>
      </c>
      <c r="BH11" s="108">
        <f t="shared" si="34"/>
        <v>2</v>
      </c>
      <c r="BI11" s="108">
        <f t="shared" si="34"/>
        <v>11</v>
      </c>
      <c r="BJ11" s="108">
        <f t="shared" si="34"/>
        <v>0</v>
      </c>
      <c r="BK11" s="108">
        <f t="shared" si="34"/>
        <v>15</v>
      </c>
      <c r="BL11" s="108">
        <f t="shared" si="34"/>
        <v>26</v>
      </c>
      <c r="BM11" s="108">
        <f t="shared" si="34"/>
        <v>15</v>
      </c>
      <c r="BN11" s="700">
        <f t="shared" si="34"/>
        <v>40</v>
      </c>
      <c r="BO11" s="700">
        <f t="shared" si="34"/>
        <v>0</v>
      </c>
      <c r="BP11" s="701">
        <f t="shared" si="12"/>
        <v>46060</v>
      </c>
      <c r="BQ11" s="718">
        <f t="shared" si="22"/>
        <v>633073</v>
      </c>
      <c r="BR11" s="703">
        <f t="shared" si="13"/>
        <v>106841</v>
      </c>
      <c r="BS11" s="704">
        <f t="shared" si="14"/>
        <v>739914</v>
      </c>
      <c r="BT11" s="713">
        <v>0.0</v>
      </c>
      <c r="BU11" s="705">
        <f t="shared" si="15"/>
        <v>739914</v>
      </c>
      <c r="BV11" s="656"/>
      <c r="BW11" s="719">
        <f t="shared" ref="BW11:BX11" si="35">Q11+AH11+AZ11</f>
        <v>203890</v>
      </c>
      <c r="BX11" s="261">
        <f t="shared" si="35"/>
        <v>51008</v>
      </c>
      <c r="BY11" s="720">
        <f t="shared" si="17"/>
        <v>688906</v>
      </c>
      <c r="BZ11" s="699"/>
      <c r="CA11" s="723">
        <v>10.0</v>
      </c>
      <c r="CB11" s="724"/>
      <c r="CC11" s="725">
        <f t="shared" si="18"/>
        <v>0</v>
      </c>
      <c r="CD11" s="637"/>
      <c r="CE11" s="638"/>
      <c r="CF11" s="637"/>
      <c r="CG11" s="637"/>
      <c r="CH11" s="637"/>
      <c r="CI11" s="637"/>
      <c r="CJ11" s="637"/>
      <c r="CK11" s="637"/>
      <c r="CL11" s="637"/>
      <c r="CM11" s="637"/>
    </row>
    <row r="12">
      <c r="A12" s="693">
        <f t="shared" si="19"/>
        <v>46061</v>
      </c>
      <c r="B12" s="712"/>
      <c r="C12" s="712"/>
      <c r="D12" s="711">
        <v>1.0</v>
      </c>
      <c r="E12" s="711">
        <v>2.0</v>
      </c>
      <c r="F12" s="473">
        <f>8+6</f>
        <v>14</v>
      </c>
      <c r="G12" s="712"/>
      <c r="H12" s="712"/>
      <c r="I12" s="713">
        <v>5.0</v>
      </c>
      <c r="J12" s="712"/>
      <c r="K12" s="711">
        <v>5.0</v>
      </c>
      <c r="L12" s="713">
        <v>10.0</v>
      </c>
      <c r="M12" s="713">
        <v>30.0</v>
      </c>
      <c r="N12" s="711">
        <v>20.0</v>
      </c>
      <c r="O12" s="714"/>
      <c r="P12" s="698">
        <f t="shared" si="4"/>
        <v>47283</v>
      </c>
      <c r="Q12" s="712"/>
      <c r="R12" s="715">
        <f t="shared" si="5"/>
        <v>47283</v>
      </c>
      <c r="S12" s="713">
        <v>1.0</v>
      </c>
      <c r="T12" s="713">
        <v>3.0</v>
      </c>
      <c r="U12" s="711">
        <v>2.0</v>
      </c>
      <c r="V12" s="711">
        <v>1.0</v>
      </c>
      <c r="W12" s="711">
        <v>9.0</v>
      </c>
      <c r="X12" s="712"/>
      <c r="Y12" s="713">
        <v>3.0</v>
      </c>
      <c r="Z12" s="712"/>
      <c r="AA12" s="712"/>
      <c r="AB12" s="711">
        <v>4.0</v>
      </c>
      <c r="AC12" s="713">
        <v>5.0</v>
      </c>
      <c r="AD12" s="713">
        <v>10.0</v>
      </c>
      <c r="AE12" s="473"/>
      <c r="AF12" s="714"/>
      <c r="AG12" s="698">
        <f t="shared" si="6"/>
        <v>30243</v>
      </c>
      <c r="AH12" s="713">
        <v>56155.0</v>
      </c>
      <c r="AI12" s="111">
        <f t="shared" si="7"/>
        <v>0</v>
      </c>
      <c r="AJ12" s="712"/>
      <c r="AK12" s="712"/>
      <c r="AL12" s="711">
        <v>1.0</v>
      </c>
      <c r="AM12" s="711">
        <v>5.0</v>
      </c>
      <c r="AN12" s="711">
        <v>2.0</v>
      </c>
      <c r="AO12" s="712">
        <f>6+7</f>
        <v>13</v>
      </c>
      <c r="AP12" s="712"/>
      <c r="AQ12" s="713">
        <v>7.0</v>
      </c>
      <c r="AR12" s="713">
        <v>5.0</v>
      </c>
      <c r="AS12" s="473"/>
      <c r="AT12" s="713">
        <v>11.0</v>
      </c>
      <c r="AU12" s="713">
        <v>8.0</v>
      </c>
      <c r="AV12" s="711">
        <v>5.0</v>
      </c>
      <c r="AW12" s="714"/>
      <c r="AX12" s="717"/>
      <c r="AY12" s="698">
        <f t="shared" si="8"/>
        <v>47624</v>
      </c>
      <c r="AZ12" s="713">
        <v>72720.0</v>
      </c>
      <c r="BA12" s="111">
        <f t="shared" si="9"/>
        <v>0</v>
      </c>
      <c r="BB12" s="700">
        <f t="shared" ref="BB12:BC12" si="36">B12+S12+AJ12</f>
        <v>1</v>
      </c>
      <c r="BC12" s="700">
        <f t="shared" si="36"/>
        <v>3</v>
      </c>
      <c r="BD12" s="700">
        <f t="shared" ref="BD12:BO12" si="37">D12+U12+AM12</f>
        <v>8</v>
      </c>
      <c r="BE12" s="700">
        <f t="shared" si="37"/>
        <v>5</v>
      </c>
      <c r="BF12" s="700">
        <f t="shared" si="37"/>
        <v>36</v>
      </c>
      <c r="BG12" s="700">
        <f t="shared" si="37"/>
        <v>0</v>
      </c>
      <c r="BH12" s="108">
        <f t="shared" si="37"/>
        <v>10</v>
      </c>
      <c r="BI12" s="108">
        <f t="shared" si="37"/>
        <v>10</v>
      </c>
      <c r="BJ12" s="108">
        <f t="shared" si="37"/>
        <v>0</v>
      </c>
      <c r="BK12" s="108">
        <f t="shared" si="37"/>
        <v>20</v>
      </c>
      <c r="BL12" s="108">
        <f t="shared" si="37"/>
        <v>23</v>
      </c>
      <c r="BM12" s="108">
        <f t="shared" si="37"/>
        <v>45</v>
      </c>
      <c r="BN12" s="700">
        <f t="shared" si="37"/>
        <v>20</v>
      </c>
      <c r="BO12" s="700">
        <f t="shared" si="37"/>
        <v>0</v>
      </c>
      <c r="BP12" s="701">
        <f t="shared" si="12"/>
        <v>46061</v>
      </c>
      <c r="BQ12" s="718">
        <f t="shared" si="22"/>
        <v>739914</v>
      </c>
      <c r="BR12" s="703">
        <f t="shared" si="13"/>
        <v>125150</v>
      </c>
      <c r="BS12" s="704">
        <f t="shared" si="14"/>
        <v>865064</v>
      </c>
      <c r="BT12" s="713">
        <v>509146.0</v>
      </c>
      <c r="BU12" s="705">
        <f t="shared" si="15"/>
        <v>355918</v>
      </c>
      <c r="BV12" s="656"/>
      <c r="BW12" s="719">
        <f t="shared" ref="BW12:BX12" si="38">Q12+AH12+AZ12</f>
        <v>128875</v>
      </c>
      <c r="BX12" s="261">
        <f t="shared" si="38"/>
        <v>47283</v>
      </c>
      <c r="BY12" s="720">
        <f t="shared" si="17"/>
        <v>308635</v>
      </c>
      <c r="BZ12" s="637"/>
      <c r="CA12" s="726" t="s">
        <v>530</v>
      </c>
      <c r="CB12" s="727"/>
      <c r="CC12" s="728">
        <f>SUM(CC5:CC11)</f>
        <v>0</v>
      </c>
      <c r="CD12" s="637"/>
      <c r="CE12" s="638"/>
      <c r="CF12" s="637"/>
      <c r="CG12" s="637"/>
      <c r="CH12" s="637"/>
      <c r="CI12" s="637"/>
      <c r="CJ12" s="637"/>
      <c r="CK12" s="637"/>
      <c r="CL12" s="637"/>
      <c r="CM12" s="637"/>
    </row>
    <row r="13">
      <c r="A13" s="693">
        <f t="shared" si="19"/>
        <v>46062</v>
      </c>
      <c r="B13" s="712"/>
      <c r="C13" s="712"/>
      <c r="D13" s="711">
        <v>5.0</v>
      </c>
      <c r="E13" s="711">
        <v>2.0</v>
      </c>
      <c r="F13" s="711">
        <v>19.0</v>
      </c>
      <c r="G13" s="712"/>
      <c r="H13" s="711">
        <v>10.0</v>
      </c>
      <c r="I13" s="711">
        <v>3.0</v>
      </c>
      <c r="J13" s="712"/>
      <c r="K13" s="711">
        <v>5.0</v>
      </c>
      <c r="L13" s="713">
        <v>10.0</v>
      </c>
      <c r="M13" s="711">
        <v>20.0</v>
      </c>
      <c r="N13" s="711">
        <v>20.0</v>
      </c>
      <c r="O13" s="714"/>
      <c r="P13" s="698">
        <f t="shared" si="4"/>
        <v>63884</v>
      </c>
      <c r="Q13" s="473"/>
      <c r="R13" s="715">
        <f t="shared" si="5"/>
        <v>111167</v>
      </c>
      <c r="S13" s="712"/>
      <c r="T13" s="712"/>
      <c r="U13" s="711">
        <v>1.0</v>
      </c>
      <c r="V13" s="711">
        <v>1.0</v>
      </c>
      <c r="W13" s="711">
        <v>4.0</v>
      </c>
      <c r="X13" s="712"/>
      <c r="Y13" s="473"/>
      <c r="Z13" s="711">
        <v>5.0</v>
      </c>
      <c r="AA13" s="712"/>
      <c r="AB13" s="711">
        <v>5.0</v>
      </c>
      <c r="AC13" s="713">
        <v>5.0</v>
      </c>
      <c r="AD13" s="711">
        <v>5.0</v>
      </c>
      <c r="AE13" s="473"/>
      <c r="AF13" s="714"/>
      <c r="AG13" s="698">
        <f t="shared" si="6"/>
        <v>15844</v>
      </c>
      <c r="AH13" s="711">
        <v>15844.0</v>
      </c>
      <c r="AI13" s="111">
        <f t="shared" si="7"/>
        <v>0</v>
      </c>
      <c r="AJ13" s="713">
        <v>1.0</v>
      </c>
      <c r="AK13" s="713">
        <v>4.0</v>
      </c>
      <c r="AL13" s="473"/>
      <c r="AM13" s="711">
        <v>2.0</v>
      </c>
      <c r="AN13" s="711">
        <v>2.0</v>
      </c>
      <c r="AO13" s="713">
        <v>7.0</v>
      </c>
      <c r="AP13" s="473"/>
      <c r="AQ13" s="711">
        <v>4.0</v>
      </c>
      <c r="AR13" s="712"/>
      <c r="AS13" s="473"/>
      <c r="AT13" s="712"/>
      <c r="AU13" s="473"/>
      <c r="AV13" s="711">
        <v>5.0</v>
      </c>
      <c r="AW13" s="714"/>
      <c r="AX13" s="717"/>
      <c r="AY13" s="698">
        <f t="shared" si="8"/>
        <v>25789</v>
      </c>
      <c r="AZ13" s="711">
        <v>25789.0</v>
      </c>
      <c r="BA13" s="111">
        <f t="shared" si="9"/>
        <v>0</v>
      </c>
      <c r="BB13" s="700">
        <f t="shared" ref="BB13:BC13" si="39">B13+S13+AJ13</f>
        <v>1</v>
      </c>
      <c r="BC13" s="700">
        <f t="shared" si="39"/>
        <v>4</v>
      </c>
      <c r="BD13" s="700">
        <f t="shared" ref="BD13:BO13" si="40">D13+U13+AM13</f>
        <v>8</v>
      </c>
      <c r="BE13" s="700">
        <f t="shared" si="40"/>
        <v>5</v>
      </c>
      <c r="BF13" s="700">
        <f t="shared" si="40"/>
        <v>30</v>
      </c>
      <c r="BG13" s="700">
        <f t="shared" si="40"/>
        <v>0</v>
      </c>
      <c r="BH13" s="108">
        <f t="shared" si="40"/>
        <v>14</v>
      </c>
      <c r="BI13" s="108">
        <f t="shared" si="40"/>
        <v>8</v>
      </c>
      <c r="BJ13" s="108">
        <f t="shared" si="40"/>
        <v>0</v>
      </c>
      <c r="BK13" s="108">
        <f t="shared" si="40"/>
        <v>10</v>
      </c>
      <c r="BL13" s="108">
        <f t="shared" si="40"/>
        <v>15</v>
      </c>
      <c r="BM13" s="108">
        <f t="shared" si="40"/>
        <v>30</v>
      </c>
      <c r="BN13" s="700">
        <f t="shared" si="40"/>
        <v>20</v>
      </c>
      <c r="BO13" s="700">
        <f t="shared" si="40"/>
        <v>0</v>
      </c>
      <c r="BP13" s="701">
        <f t="shared" si="12"/>
        <v>46062</v>
      </c>
      <c r="BQ13" s="718">
        <f t="shared" si="22"/>
        <v>355918</v>
      </c>
      <c r="BR13" s="703">
        <f t="shared" si="13"/>
        <v>105517</v>
      </c>
      <c r="BS13" s="704">
        <f t="shared" si="14"/>
        <v>461435</v>
      </c>
      <c r="BT13" s="711">
        <v>0.0</v>
      </c>
      <c r="BU13" s="705">
        <f t="shared" si="15"/>
        <v>461435</v>
      </c>
      <c r="BV13" s="656"/>
      <c r="BW13" s="719">
        <f t="shared" ref="BW13:BX13" si="41">Q13+AH13+AZ13</f>
        <v>41633</v>
      </c>
      <c r="BX13" s="261">
        <f t="shared" si="41"/>
        <v>111167</v>
      </c>
      <c r="BY13" s="720">
        <f t="shared" si="17"/>
        <v>350268</v>
      </c>
      <c r="BZ13" s="637"/>
      <c r="CA13" s="729" t="s">
        <v>531</v>
      </c>
      <c r="CB13" s="642"/>
      <c r="CC13" s="710"/>
      <c r="CD13" s="637"/>
      <c r="CE13" s="638"/>
      <c r="CF13" s="637"/>
      <c r="CG13" s="637"/>
      <c r="CH13" s="637"/>
      <c r="CI13" s="637"/>
      <c r="CJ13" s="637"/>
      <c r="CK13" s="637"/>
      <c r="CL13" s="637"/>
      <c r="CM13" s="637"/>
    </row>
    <row r="14">
      <c r="A14" s="693">
        <f t="shared" si="19"/>
        <v>46063</v>
      </c>
      <c r="B14" s="712"/>
      <c r="C14" s="712"/>
      <c r="D14" s="711">
        <v>4.0</v>
      </c>
      <c r="E14" s="711">
        <v>3.0</v>
      </c>
      <c r="F14" s="711">
        <v>15.0</v>
      </c>
      <c r="G14" s="712"/>
      <c r="H14" s="711">
        <v>5.0</v>
      </c>
      <c r="I14" s="473"/>
      <c r="J14" s="712"/>
      <c r="K14" s="711">
        <v>5.0</v>
      </c>
      <c r="L14" s="713">
        <v>10.0</v>
      </c>
      <c r="M14" s="711">
        <v>15.0</v>
      </c>
      <c r="N14" s="473"/>
      <c r="O14" s="714"/>
      <c r="P14" s="698">
        <f t="shared" si="4"/>
        <v>48353</v>
      </c>
      <c r="Q14" s="713">
        <v>159520.0</v>
      </c>
      <c r="R14" s="715">
        <f t="shared" si="5"/>
        <v>0</v>
      </c>
      <c r="S14" s="712"/>
      <c r="T14" s="712"/>
      <c r="U14" s="711">
        <v>2.0</v>
      </c>
      <c r="V14" s="711">
        <v>1.0</v>
      </c>
      <c r="W14" s="711">
        <v>5.0</v>
      </c>
      <c r="X14" s="712"/>
      <c r="Y14" s="711">
        <v>2.0</v>
      </c>
      <c r="Z14" s="711">
        <v>3.0</v>
      </c>
      <c r="AA14" s="712"/>
      <c r="AB14" s="711">
        <v>5.0</v>
      </c>
      <c r="AC14" s="713">
        <v>5.0</v>
      </c>
      <c r="AD14" s="711">
        <v>10.0</v>
      </c>
      <c r="AE14" s="473"/>
      <c r="AF14" s="714"/>
      <c r="AG14" s="698">
        <f t="shared" si="6"/>
        <v>19952</v>
      </c>
      <c r="AH14" s="713">
        <v>19952.0</v>
      </c>
      <c r="AI14" s="111">
        <f t="shared" si="7"/>
        <v>0</v>
      </c>
      <c r="AJ14" s="712"/>
      <c r="AK14" s="712"/>
      <c r="AL14" s="473"/>
      <c r="AM14" s="711">
        <v>4.0</v>
      </c>
      <c r="AN14" s="711">
        <v>1.0</v>
      </c>
      <c r="AO14" s="713">
        <v>8.0</v>
      </c>
      <c r="AP14" s="473"/>
      <c r="AQ14" s="473"/>
      <c r="AR14" s="712"/>
      <c r="AS14" s="473"/>
      <c r="AT14" s="713">
        <v>11.0</v>
      </c>
      <c r="AU14" s="711">
        <v>10.0</v>
      </c>
      <c r="AV14" s="473"/>
      <c r="AW14" s="716">
        <v>20.0</v>
      </c>
      <c r="AX14" s="717"/>
      <c r="AY14" s="698">
        <f t="shared" si="8"/>
        <v>35307</v>
      </c>
      <c r="AZ14" s="713">
        <v>35307.0</v>
      </c>
      <c r="BA14" s="111">
        <f t="shared" si="9"/>
        <v>0</v>
      </c>
      <c r="BB14" s="700">
        <f t="shared" ref="BB14:BC14" si="42">B14+S14+AJ14</f>
        <v>0</v>
      </c>
      <c r="BC14" s="700">
        <f t="shared" si="42"/>
        <v>0</v>
      </c>
      <c r="BD14" s="700">
        <f t="shared" ref="BD14:BO14" si="43">D14+U14+AM14</f>
        <v>10</v>
      </c>
      <c r="BE14" s="700">
        <f t="shared" si="43"/>
        <v>5</v>
      </c>
      <c r="BF14" s="700">
        <f t="shared" si="43"/>
        <v>28</v>
      </c>
      <c r="BG14" s="700">
        <f t="shared" si="43"/>
        <v>0</v>
      </c>
      <c r="BH14" s="108">
        <f t="shared" si="43"/>
        <v>7</v>
      </c>
      <c r="BI14" s="108">
        <f t="shared" si="43"/>
        <v>3</v>
      </c>
      <c r="BJ14" s="108">
        <f t="shared" si="43"/>
        <v>0</v>
      </c>
      <c r="BK14" s="108">
        <f t="shared" si="43"/>
        <v>21</v>
      </c>
      <c r="BL14" s="108">
        <f t="shared" si="43"/>
        <v>25</v>
      </c>
      <c r="BM14" s="108">
        <f t="shared" si="43"/>
        <v>25</v>
      </c>
      <c r="BN14" s="700">
        <f t="shared" si="43"/>
        <v>20</v>
      </c>
      <c r="BO14" s="700">
        <f t="shared" si="43"/>
        <v>0</v>
      </c>
      <c r="BP14" s="701">
        <f t="shared" si="12"/>
        <v>46063</v>
      </c>
      <c r="BQ14" s="718">
        <f t="shared" si="22"/>
        <v>461435</v>
      </c>
      <c r="BR14" s="703">
        <f t="shared" si="13"/>
        <v>103612</v>
      </c>
      <c r="BS14" s="704">
        <f t="shared" si="14"/>
        <v>565047</v>
      </c>
      <c r="BT14" s="713">
        <v>56630.0</v>
      </c>
      <c r="BU14" s="705">
        <f t="shared" si="15"/>
        <v>508417</v>
      </c>
      <c r="BV14" s="656"/>
      <c r="BW14" s="719">
        <f t="shared" ref="BW14:BX14" si="44">Q14+AH14+AZ14</f>
        <v>214779</v>
      </c>
      <c r="BX14" s="261">
        <f t="shared" si="44"/>
        <v>0</v>
      </c>
      <c r="BY14" s="720">
        <f t="shared" si="17"/>
        <v>508417</v>
      </c>
      <c r="BZ14" s="637"/>
      <c r="CA14" s="730" t="s">
        <v>532</v>
      </c>
      <c r="CB14" s="731"/>
      <c r="CC14" s="732">
        <f>SUM(CC12:CC13)</f>
        <v>0</v>
      </c>
      <c r="CD14" s="637"/>
      <c r="CE14" s="638"/>
      <c r="CF14" s="637"/>
      <c r="CG14" s="637"/>
      <c r="CH14" s="637"/>
      <c r="CI14" s="637"/>
      <c r="CJ14" s="637"/>
      <c r="CK14" s="637"/>
      <c r="CL14" s="637"/>
      <c r="CM14" s="637"/>
    </row>
    <row r="15">
      <c r="A15" s="693">
        <f t="shared" si="19"/>
        <v>46064</v>
      </c>
      <c r="B15" s="712"/>
      <c r="C15" s="712"/>
      <c r="D15" s="711">
        <v>4.0</v>
      </c>
      <c r="E15" s="711">
        <v>3.0</v>
      </c>
      <c r="F15" s="711">
        <v>16.0</v>
      </c>
      <c r="G15" s="712"/>
      <c r="H15" s="473"/>
      <c r="I15" s="711">
        <v>4.0</v>
      </c>
      <c r="J15" s="712"/>
      <c r="K15" s="711">
        <v>5.0</v>
      </c>
      <c r="L15" s="713">
        <v>10.0</v>
      </c>
      <c r="M15" s="711">
        <v>15.0</v>
      </c>
      <c r="N15" s="713">
        <v>20.0</v>
      </c>
      <c r="O15" s="714"/>
      <c r="P15" s="698">
        <f t="shared" si="4"/>
        <v>55257</v>
      </c>
      <c r="Q15" s="712"/>
      <c r="R15" s="715">
        <f t="shared" si="5"/>
        <v>55257</v>
      </c>
      <c r="S15" s="713">
        <v>1.0</v>
      </c>
      <c r="T15" s="713">
        <v>3.0</v>
      </c>
      <c r="U15" s="711">
        <v>2.0</v>
      </c>
      <c r="V15" s="711">
        <v>2.0</v>
      </c>
      <c r="W15" s="711">
        <v>8.0</v>
      </c>
      <c r="X15" s="712"/>
      <c r="Y15" s="473"/>
      <c r="Z15" s="711">
        <v>5.0</v>
      </c>
      <c r="AA15" s="712"/>
      <c r="AB15" s="711">
        <v>5.0</v>
      </c>
      <c r="AC15" s="713">
        <v>5.0</v>
      </c>
      <c r="AD15" s="711">
        <v>5.0</v>
      </c>
      <c r="AE15" s="713">
        <v>20.0</v>
      </c>
      <c r="AF15" s="714"/>
      <c r="AG15" s="698">
        <f t="shared" si="6"/>
        <v>35438</v>
      </c>
      <c r="AH15" s="713">
        <v>35438.0</v>
      </c>
      <c r="AI15" s="111">
        <f t="shared" si="7"/>
        <v>0</v>
      </c>
      <c r="AJ15" s="712"/>
      <c r="AK15" s="712"/>
      <c r="AL15" s="473"/>
      <c r="AM15" s="473"/>
      <c r="AN15" s="473"/>
      <c r="AO15" s="713">
        <v>6.0</v>
      </c>
      <c r="AP15" s="473"/>
      <c r="AQ15" s="473"/>
      <c r="AR15" s="712"/>
      <c r="AS15" s="473"/>
      <c r="AT15" s="712"/>
      <c r="AU15" s="711">
        <v>6.0</v>
      </c>
      <c r="AV15" s="712"/>
      <c r="AW15" s="716">
        <v>20.0</v>
      </c>
      <c r="AX15" s="717"/>
      <c r="AY15" s="698">
        <f t="shared" si="8"/>
        <v>19594</v>
      </c>
      <c r="AZ15" s="713">
        <v>19594.0</v>
      </c>
      <c r="BA15" s="111">
        <f t="shared" si="9"/>
        <v>0</v>
      </c>
      <c r="BB15" s="700">
        <f t="shared" ref="BB15:BC15" si="45">B15+S15+AJ15</f>
        <v>1</v>
      </c>
      <c r="BC15" s="700">
        <f t="shared" si="45"/>
        <v>3</v>
      </c>
      <c r="BD15" s="700">
        <f t="shared" ref="BD15:BO15" si="46">D15+U15+AM15</f>
        <v>6</v>
      </c>
      <c r="BE15" s="700">
        <f t="shared" si="46"/>
        <v>5</v>
      </c>
      <c r="BF15" s="700">
        <f t="shared" si="46"/>
        <v>30</v>
      </c>
      <c r="BG15" s="700">
        <f t="shared" si="46"/>
        <v>0</v>
      </c>
      <c r="BH15" s="108">
        <f t="shared" si="46"/>
        <v>0</v>
      </c>
      <c r="BI15" s="108">
        <f t="shared" si="46"/>
        <v>9</v>
      </c>
      <c r="BJ15" s="108">
        <f t="shared" si="46"/>
        <v>0</v>
      </c>
      <c r="BK15" s="108">
        <f t="shared" si="46"/>
        <v>10</v>
      </c>
      <c r="BL15" s="108">
        <f t="shared" si="46"/>
        <v>21</v>
      </c>
      <c r="BM15" s="108">
        <f t="shared" si="46"/>
        <v>20</v>
      </c>
      <c r="BN15" s="700">
        <f t="shared" si="46"/>
        <v>60</v>
      </c>
      <c r="BO15" s="700">
        <f t="shared" si="46"/>
        <v>0</v>
      </c>
      <c r="BP15" s="701">
        <f t="shared" si="12"/>
        <v>46064</v>
      </c>
      <c r="BQ15" s="718">
        <f t="shared" si="22"/>
        <v>508417</v>
      </c>
      <c r="BR15" s="703">
        <f t="shared" si="13"/>
        <v>110289</v>
      </c>
      <c r="BS15" s="704">
        <f t="shared" si="14"/>
        <v>618706</v>
      </c>
      <c r="BT15" s="713">
        <v>383875.0</v>
      </c>
      <c r="BU15" s="705">
        <f t="shared" si="15"/>
        <v>234831</v>
      </c>
      <c r="BV15" s="656"/>
      <c r="BW15" s="719">
        <f t="shared" ref="BW15:BX15" si="47">Q15+AH15+AZ15</f>
        <v>55032</v>
      </c>
      <c r="BX15" s="261">
        <f t="shared" si="47"/>
        <v>55257</v>
      </c>
      <c r="BY15" s="720">
        <f t="shared" si="17"/>
        <v>179574</v>
      </c>
      <c r="BZ15" s="637"/>
      <c r="CA15" s="733"/>
      <c r="CB15" s="734"/>
      <c r="CC15" s="735"/>
      <c r="CD15" s="637"/>
      <c r="CE15" s="638"/>
      <c r="CF15" s="637"/>
      <c r="CG15" s="637"/>
      <c r="CH15" s="637"/>
      <c r="CI15" s="637"/>
      <c r="CJ15" s="637"/>
      <c r="CK15" s="637"/>
      <c r="CL15" s="637"/>
      <c r="CM15" s="637"/>
    </row>
    <row r="16">
      <c r="A16" s="693">
        <f t="shared" si="19"/>
        <v>46065</v>
      </c>
      <c r="B16" s="712"/>
      <c r="C16" s="712"/>
      <c r="D16" s="711">
        <v>4.0</v>
      </c>
      <c r="E16" s="711">
        <v>3.0</v>
      </c>
      <c r="F16" s="473">
        <f>9+7</f>
        <v>16</v>
      </c>
      <c r="G16" s="712"/>
      <c r="H16" s="711">
        <v>10.0</v>
      </c>
      <c r="I16" s="711">
        <v>6.0</v>
      </c>
      <c r="J16" s="712"/>
      <c r="K16" s="711">
        <v>8.0</v>
      </c>
      <c r="L16" s="713">
        <v>10.0</v>
      </c>
      <c r="M16" s="713">
        <v>10.0</v>
      </c>
      <c r="N16" s="713">
        <v>20.0</v>
      </c>
      <c r="O16" s="714"/>
      <c r="P16" s="698">
        <f t="shared" si="4"/>
        <v>58507</v>
      </c>
      <c r="Q16" s="473"/>
      <c r="R16" s="715">
        <f t="shared" si="5"/>
        <v>113764</v>
      </c>
      <c r="S16" s="712"/>
      <c r="T16" s="712"/>
      <c r="U16" s="711">
        <v>2.0</v>
      </c>
      <c r="V16" s="473"/>
      <c r="W16" s="711">
        <v>3.0</v>
      </c>
      <c r="X16" s="712"/>
      <c r="Y16" s="473"/>
      <c r="Z16" s="473"/>
      <c r="AA16" s="712"/>
      <c r="AB16" s="711">
        <v>4.0</v>
      </c>
      <c r="AC16" s="713">
        <v>5.0</v>
      </c>
      <c r="AD16" s="713">
        <v>10.0</v>
      </c>
      <c r="AE16" s="712"/>
      <c r="AF16" s="714"/>
      <c r="AG16" s="698">
        <f t="shared" si="6"/>
        <v>13025</v>
      </c>
      <c r="AH16" s="711">
        <v>13025.0</v>
      </c>
      <c r="AI16" s="111">
        <f t="shared" si="7"/>
        <v>0</v>
      </c>
      <c r="AJ16" s="712"/>
      <c r="AK16" s="712"/>
      <c r="AL16" s="473"/>
      <c r="AM16" s="711">
        <v>3.0</v>
      </c>
      <c r="AN16" s="711">
        <v>2.0</v>
      </c>
      <c r="AO16" s="713">
        <v>12.0</v>
      </c>
      <c r="AP16" s="473"/>
      <c r="AQ16" s="711">
        <v>6.0</v>
      </c>
      <c r="AR16" s="712"/>
      <c r="AS16" s="473"/>
      <c r="AT16" s="713">
        <v>11.0</v>
      </c>
      <c r="AU16" s="713">
        <v>7.0</v>
      </c>
      <c r="AV16" s="713">
        <v>15.0</v>
      </c>
      <c r="AW16" s="714"/>
      <c r="AX16" s="717"/>
      <c r="AY16" s="698">
        <f t="shared" si="8"/>
        <v>39703</v>
      </c>
      <c r="AZ16" s="711">
        <v>39703.0</v>
      </c>
      <c r="BA16" s="111">
        <f t="shared" si="9"/>
        <v>0</v>
      </c>
      <c r="BB16" s="700">
        <f t="shared" ref="BB16:BC16" si="48">B16+S16+AJ16</f>
        <v>0</v>
      </c>
      <c r="BC16" s="700">
        <f t="shared" si="48"/>
        <v>0</v>
      </c>
      <c r="BD16" s="700">
        <f t="shared" ref="BD16:BO16" si="49">D16+U16+AM16</f>
        <v>9</v>
      </c>
      <c r="BE16" s="700">
        <f t="shared" si="49"/>
        <v>5</v>
      </c>
      <c r="BF16" s="700">
        <f t="shared" si="49"/>
        <v>31</v>
      </c>
      <c r="BG16" s="700">
        <f t="shared" si="49"/>
        <v>0</v>
      </c>
      <c r="BH16" s="108">
        <f t="shared" si="49"/>
        <v>16</v>
      </c>
      <c r="BI16" s="108">
        <f t="shared" si="49"/>
        <v>6</v>
      </c>
      <c r="BJ16" s="108">
        <f t="shared" si="49"/>
        <v>0</v>
      </c>
      <c r="BK16" s="108">
        <f t="shared" si="49"/>
        <v>23</v>
      </c>
      <c r="BL16" s="108">
        <f t="shared" si="49"/>
        <v>22</v>
      </c>
      <c r="BM16" s="108">
        <f t="shared" si="49"/>
        <v>35</v>
      </c>
      <c r="BN16" s="700">
        <f t="shared" si="49"/>
        <v>20</v>
      </c>
      <c r="BO16" s="700">
        <f t="shared" si="49"/>
        <v>0</v>
      </c>
      <c r="BP16" s="701">
        <f t="shared" si="12"/>
        <v>46065</v>
      </c>
      <c r="BQ16" s="718">
        <f t="shared" si="22"/>
        <v>234831</v>
      </c>
      <c r="BR16" s="703">
        <f t="shared" si="13"/>
        <v>111235</v>
      </c>
      <c r="BS16" s="704">
        <f t="shared" si="14"/>
        <v>346066</v>
      </c>
      <c r="BT16" s="713">
        <v>0.0</v>
      </c>
      <c r="BU16" s="705">
        <f t="shared" si="15"/>
        <v>346066</v>
      </c>
      <c r="BV16" s="656"/>
      <c r="BW16" s="719">
        <f t="shared" ref="BW16:BX16" si="50">Q16+AH16+AZ16</f>
        <v>52728</v>
      </c>
      <c r="BX16" s="261">
        <f t="shared" si="50"/>
        <v>113764</v>
      </c>
      <c r="BY16" s="720">
        <f t="shared" si="17"/>
        <v>232302</v>
      </c>
      <c r="BZ16" s="637"/>
      <c r="CA16" s="736" t="s">
        <v>533</v>
      </c>
      <c r="CB16" s="510"/>
      <c r="CC16" s="737">
        <f>BY36</f>
        <v>4408</v>
      </c>
      <c r="CD16" s="637"/>
      <c r="CE16" s="638"/>
      <c r="CF16" s="637"/>
      <c r="CG16" s="637"/>
      <c r="CH16" s="637"/>
      <c r="CI16" s="637"/>
      <c r="CJ16" s="637"/>
      <c r="CK16" s="637"/>
      <c r="CL16" s="637"/>
      <c r="CM16" s="637"/>
    </row>
    <row r="17">
      <c r="A17" s="693">
        <f t="shared" si="19"/>
        <v>46066</v>
      </c>
      <c r="B17" s="712"/>
      <c r="C17" s="712"/>
      <c r="D17" s="711">
        <v>6.0</v>
      </c>
      <c r="E17" s="711">
        <v>5.0</v>
      </c>
      <c r="F17" s="711">
        <v>24.0</v>
      </c>
      <c r="G17" s="712"/>
      <c r="H17" s="711">
        <v>10.0</v>
      </c>
      <c r="I17" s="711">
        <v>6.0</v>
      </c>
      <c r="J17" s="712"/>
      <c r="K17" s="711">
        <v>8.0</v>
      </c>
      <c r="L17" s="713">
        <v>15.0</v>
      </c>
      <c r="M17" s="711">
        <v>15.0</v>
      </c>
      <c r="N17" s="711">
        <v>20.0</v>
      </c>
      <c r="O17" s="714"/>
      <c r="P17" s="698">
        <f t="shared" si="4"/>
        <v>82945</v>
      </c>
      <c r="Q17" s="713">
        <v>196709.0</v>
      </c>
      <c r="R17" s="715">
        <f t="shared" si="5"/>
        <v>0</v>
      </c>
      <c r="S17" s="713">
        <v>1.0</v>
      </c>
      <c r="T17" s="713">
        <v>4.0</v>
      </c>
      <c r="U17" s="711">
        <v>2.0</v>
      </c>
      <c r="V17" s="711">
        <v>2.0</v>
      </c>
      <c r="W17" s="711">
        <v>8.0</v>
      </c>
      <c r="X17" s="712"/>
      <c r="Y17" s="473"/>
      <c r="Z17" s="473"/>
      <c r="AA17" s="712"/>
      <c r="AB17" s="711">
        <v>4.0</v>
      </c>
      <c r="AC17" s="713">
        <v>5.0</v>
      </c>
      <c r="AD17" s="473"/>
      <c r="AE17" s="473"/>
      <c r="AF17" s="714"/>
      <c r="AG17" s="698">
        <f t="shared" si="6"/>
        <v>29118</v>
      </c>
      <c r="AH17" s="713">
        <v>29118.0</v>
      </c>
      <c r="AI17" s="111">
        <f t="shared" si="7"/>
        <v>0</v>
      </c>
      <c r="AJ17" s="713">
        <v>2.0</v>
      </c>
      <c r="AK17" s="713">
        <v>14.0</v>
      </c>
      <c r="AL17" s="473"/>
      <c r="AM17" s="711">
        <v>4.0</v>
      </c>
      <c r="AN17" s="711">
        <v>4.0</v>
      </c>
      <c r="AO17" s="713">
        <v>11.0</v>
      </c>
      <c r="AP17" s="473"/>
      <c r="AQ17" s="711">
        <v>3.0</v>
      </c>
      <c r="AR17" s="713">
        <v>10.0</v>
      </c>
      <c r="AS17" s="473"/>
      <c r="AT17" s="713">
        <v>8.0</v>
      </c>
      <c r="AU17" s="711">
        <v>10.0</v>
      </c>
      <c r="AV17" s="711">
        <v>5.0</v>
      </c>
      <c r="AW17" s="716">
        <v>20.0</v>
      </c>
      <c r="AX17" s="717"/>
      <c r="AY17" s="698">
        <f t="shared" si="8"/>
        <v>64466</v>
      </c>
      <c r="AZ17" s="713">
        <v>64466.0</v>
      </c>
      <c r="BA17" s="111">
        <f t="shared" si="9"/>
        <v>0</v>
      </c>
      <c r="BB17" s="700">
        <f t="shared" ref="BB17:BC17" si="51">B17+S17+AJ17</f>
        <v>3</v>
      </c>
      <c r="BC17" s="700">
        <f t="shared" si="51"/>
        <v>18</v>
      </c>
      <c r="BD17" s="700">
        <f t="shared" ref="BD17:BO17" si="52">D17+U17+AM17</f>
        <v>12</v>
      </c>
      <c r="BE17" s="700">
        <f t="shared" si="52"/>
        <v>11</v>
      </c>
      <c r="BF17" s="700">
        <f t="shared" si="52"/>
        <v>43</v>
      </c>
      <c r="BG17" s="700">
        <f t="shared" si="52"/>
        <v>0</v>
      </c>
      <c r="BH17" s="700">
        <f t="shared" si="52"/>
        <v>13</v>
      </c>
      <c r="BI17" s="700">
        <f t="shared" si="52"/>
        <v>16</v>
      </c>
      <c r="BJ17" s="700">
        <f t="shared" si="52"/>
        <v>0</v>
      </c>
      <c r="BK17" s="700">
        <f t="shared" si="52"/>
        <v>20</v>
      </c>
      <c r="BL17" s="700">
        <f t="shared" si="52"/>
        <v>30</v>
      </c>
      <c r="BM17" s="700">
        <f t="shared" si="52"/>
        <v>20</v>
      </c>
      <c r="BN17" s="700">
        <f t="shared" si="52"/>
        <v>40</v>
      </c>
      <c r="BO17" s="700">
        <f t="shared" si="52"/>
        <v>0</v>
      </c>
      <c r="BP17" s="701">
        <f t="shared" si="12"/>
        <v>46066</v>
      </c>
      <c r="BQ17" s="718">
        <f t="shared" si="22"/>
        <v>346066</v>
      </c>
      <c r="BR17" s="703">
        <f t="shared" si="13"/>
        <v>176529</v>
      </c>
      <c r="BS17" s="704">
        <f t="shared" si="14"/>
        <v>522595</v>
      </c>
      <c r="BT17" s="713">
        <v>55399.0</v>
      </c>
      <c r="BU17" s="705">
        <f t="shared" si="15"/>
        <v>467196</v>
      </c>
      <c r="BV17" s="656"/>
      <c r="BW17" s="719">
        <f t="shared" ref="BW17:BX17" si="53">Q17+AH17+AZ17</f>
        <v>290293</v>
      </c>
      <c r="BX17" s="261">
        <f t="shared" si="53"/>
        <v>0</v>
      </c>
      <c r="BY17" s="720">
        <f t="shared" si="17"/>
        <v>467196</v>
      </c>
      <c r="BZ17" s="637"/>
      <c r="CA17" s="738" t="s">
        <v>534</v>
      </c>
      <c r="CB17" s="522"/>
      <c r="CC17" s="739">
        <f>CC14-CC16</f>
        <v>-4408</v>
      </c>
      <c r="CD17" s="637"/>
      <c r="CE17" s="638"/>
      <c r="CF17" s="637"/>
      <c r="CG17" s="637"/>
      <c r="CH17" s="637"/>
      <c r="CI17" s="637"/>
      <c r="CJ17" s="637"/>
      <c r="CK17" s="637"/>
      <c r="CL17" s="637"/>
      <c r="CM17" s="637"/>
    </row>
    <row r="18">
      <c r="A18" s="693">
        <f t="shared" si="19"/>
        <v>46067</v>
      </c>
      <c r="B18" s="713">
        <v>3.0</v>
      </c>
      <c r="C18" s="713">
        <v>13.0</v>
      </c>
      <c r="D18" s="711">
        <v>7.0</v>
      </c>
      <c r="E18" s="711">
        <v>5.0</v>
      </c>
      <c r="F18" s="711">
        <v>24.0</v>
      </c>
      <c r="G18" s="712"/>
      <c r="H18" s="473"/>
      <c r="I18" s="473"/>
      <c r="J18" s="712"/>
      <c r="K18" s="711">
        <v>8.0</v>
      </c>
      <c r="L18" s="713">
        <v>15.0</v>
      </c>
      <c r="M18" s="711">
        <v>15.0</v>
      </c>
      <c r="N18" s="712"/>
      <c r="O18" s="714"/>
      <c r="P18" s="698">
        <f t="shared" si="4"/>
        <v>89174</v>
      </c>
      <c r="Q18" s="712"/>
      <c r="R18" s="715">
        <f t="shared" si="5"/>
        <v>89174</v>
      </c>
      <c r="S18" s="713">
        <v>3.0</v>
      </c>
      <c r="T18" s="713">
        <v>10.0</v>
      </c>
      <c r="U18" s="711">
        <v>3.0</v>
      </c>
      <c r="V18" s="473"/>
      <c r="W18" s="711">
        <v>7.0</v>
      </c>
      <c r="X18" s="712"/>
      <c r="Y18" s="711">
        <v>3.0</v>
      </c>
      <c r="Z18" s="711">
        <v>5.0</v>
      </c>
      <c r="AA18" s="713">
        <v>6.0</v>
      </c>
      <c r="AB18" s="711">
        <v>5.0</v>
      </c>
      <c r="AC18" s="713">
        <v>5.0</v>
      </c>
      <c r="AD18" s="711">
        <v>5.0</v>
      </c>
      <c r="AE18" s="712"/>
      <c r="AF18" s="714"/>
      <c r="AG18" s="698">
        <f t="shared" si="6"/>
        <v>36585</v>
      </c>
      <c r="AH18" s="713">
        <v>36585.0</v>
      </c>
      <c r="AI18" s="111">
        <f t="shared" si="7"/>
        <v>0</v>
      </c>
      <c r="AJ18" s="713">
        <v>4.0</v>
      </c>
      <c r="AK18" s="713">
        <f>5+6</f>
        <v>11</v>
      </c>
      <c r="AL18" s="473"/>
      <c r="AM18" s="711">
        <v>6.0</v>
      </c>
      <c r="AN18" s="711">
        <v>4.0</v>
      </c>
      <c r="AO18" s="713">
        <v>23.0</v>
      </c>
      <c r="AP18" s="473"/>
      <c r="AQ18" s="711">
        <v>7.0</v>
      </c>
      <c r="AR18" s="713">
        <v>9.0</v>
      </c>
      <c r="AS18" s="473"/>
      <c r="AT18" s="713">
        <v>11.0</v>
      </c>
      <c r="AU18" s="711">
        <v>10.0</v>
      </c>
      <c r="AV18" s="713">
        <v>15.0</v>
      </c>
      <c r="AW18" s="716">
        <v>20.0</v>
      </c>
      <c r="AX18" s="717"/>
      <c r="AY18" s="698">
        <f t="shared" si="8"/>
        <v>89692</v>
      </c>
      <c r="AZ18" s="713">
        <v>89692.0</v>
      </c>
      <c r="BA18" s="111">
        <f t="shared" si="9"/>
        <v>0</v>
      </c>
      <c r="BB18" s="700">
        <f t="shared" ref="BB18:BC18" si="54">B18+S18+AJ18</f>
        <v>10</v>
      </c>
      <c r="BC18" s="700">
        <f t="shared" si="54"/>
        <v>34</v>
      </c>
      <c r="BD18" s="700">
        <f t="shared" ref="BD18:BO18" si="55">D18+U18+AM18</f>
        <v>16</v>
      </c>
      <c r="BE18" s="700">
        <f t="shared" si="55"/>
        <v>9</v>
      </c>
      <c r="BF18" s="700">
        <f t="shared" si="55"/>
        <v>54</v>
      </c>
      <c r="BG18" s="700">
        <f t="shared" si="55"/>
        <v>0</v>
      </c>
      <c r="BH18" s="700">
        <f t="shared" si="55"/>
        <v>10</v>
      </c>
      <c r="BI18" s="700">
        <f t="shared" si="55"/>
        <v>14</v>
      </c>
      <c r="BJ18" s="700">
        <f t="shared" si="55"/>
        <v>6</v>
      </c>
      <c r="BK18" s="700">
        <f t="shared" si="55"/>
        <v>24</v>
      </c>
      <c r="BL18" s="700">
        <f t="shared" si="55"/>
        <v>30</v>
      </c>
      <c r="BM18" s="700">
        <f t="shared" si="55"/>
        <v>35</v>
      </c>
      <c r="BN18" s="700">
        <f t="shared" si="55"/>
        <v>20</v>
      </c>
      <c r="BO18" s="700">
        <f t="shared" si="55"/>
        <v>0</v>
      </c>
      <c r="BP18" s="701">
        <f t="shared" si="12"/>
        <v>46067</v>
      </c>
      <c r="BQ18" s="718">
        <f t="shared" si="22"/>
        <v>467196</v>
      </c>
      <c r="BR18" s="703">
        <f t="shared" si="13"/>
        <v>215451</v>
      </c>
      <c r="BS18" s="704">
        <f t="shared" si="14"/>
        <v>682647</v>
      </c>
      <c r="BT18" s="713">
        <v>0.0</v>
      </c>
      <c r="BU18" s="705">
        <f t="shared" si="15"/>
        <v>682647</v>
      </c>
      <c r="BV18" s="656"/>
      <c r="BW18" s="719">
        <f t="shared" ref="BW18:BX18" si="56">Q18+AH18+AZ18</f>
        <v>126277</v>
      </c>
      <c r="BX18" s="261">
        <f t="shared" si="56"/>
        <v>89174</v>
      </c>
      <c r="BY18" s="720">
        <f t="shared" si="17"/>
        <v>593473</v>
      </c>
      <c r="BZ18" s="637"/>
      <c r="CA18" s="637"/>
      <c r="CB18" s="637"/>
      <c r="CC18" s="637"/>
      <c r="CD18" s="637"/>
      <c r="CE18" s="638"/>
      <c r="CF18" s="637"/>
      <c r="CG18" s="637"/>
      <c r="CH18" s="637"/>
      <c r="CI18" s="637"/>
      <c r="CJ18" s="637"/>
      <c r="CK18" s="637"/>
      <c r="CL18" s="637"/>
      <c r="CM18" s="637"/>
    </row>
    <row r="19">
      <c r="A19" s="693">
        <f t="shared" si="19"/>
        <v>46068</v>
      </c>
      <c r="B19" s="711">
        <v>2.0</v>
      </c>
      <c r="C19" s="711">
        <v>10.0</v>
      </c>
      <c r="D19" s="711">
        <v>6.0</v>
      </c>
      <c r="E19" s="711">
        <v>4.0</v>
      </c>
      <c r="F19" s="711">
        <v>19.0</v>
      </c>
      <c r="G19" s="712"/>
      <c r="H19" s="473"/>
      <c r="I19" s="711">
        <v>5.0</v>
      </c>
      <c r="J19" s="712"/>
      <c r="K19" s="711">
        <v>4.0</v>
      </c>
      <c r="L19" s="711">
        <v>10.0</v>
      </c>
      <c r="M19" s="711">
        <v>15.0</v>
      </c>
      <c r="N19" s="713">
        <v>20.0</v>
      </c>
      <c r="O19" s="714"/>
      <c r="P19" s="698">
        <f t="shared" si="4"/>
        <v>76651</v>
      </c>
      <c r="Q19" s="473"/>
      <c r="R19" s="715">
        <f t="shared" si="5"/>
        <v>165825</v>
      </c>
      <c r="S19" s="473"/>
      <c r="T19" s="473"/>
      <c r="U19" s="711">
        <v>3.0</v>
      </c>
      <c r="V19" s="711">
        <v>2.0</v>
      </c>
      <c r="W19" s="711">
        <v>7.0</v>
      </c>
      <c r="X19" s="712"/>
      <c r="Y19" s="473"/>
      <c r="Z19" s="711">
        <v>2.0</v>
      </c>
      <c r="AA19" s="712"/>
      <c r="AB19" s="473"/>
      <c r="AC19" s="711">
        <v>5.0</v>
      </c>
      <c r="AD19" s="711">
        <v>5.0</v>
      </c>
      <c r="AE19" s="712"/>
      <c r="AF19" s="714"/>
      <c r="AG19" s="698">
        <f t="shared" si="6"/>
        <v>24478</v>
      </c>
      <c r="AH19" s="711">
        <v>24478.0</v>
      </c>
      <c r="AI19" s="111">
        <f t="shared" si="7"/>
        <v>0</v>
      </c>
      <c r="AJ19" s="711">
        <v>2.0</v>
      </c>
      <c r="AK19" s="711">
        <v>9.0</v>
      </c>
      <c r="AL19" s="473"/>
      <c r="AM19" s="711">
        <v>2.0</v>
      </c>
      <c r="AN19" s="711">
        <v>1.0</v>
      </c>
      <c r="AO19" s="713">
        <v>3.0</v>
      </c>
      <c r="AP19" s="473"/>
      <c r="AQ19" s="711">
        <v>7.0</v>
      </c>
      <c r="AR19" s="713">
        <v>4.0</v>
      </c>
      <c r="AS19" s="473"/>
      <c r="AT19" s="711">
        <v>6.0</v>
      </c>
      <c r="AU19" s="711">
        <v>10.0</v>
      </c>
      <c r="AV19" s="713">
        <v>15.0</v>
      </c>
      <c r="AW19" s="716">
        <v>20.0</v>
      </c>
      <c r="AX19" s="717"/>
      <c r="AY19" s="698">
        <f t="shared" si="8"/>
        <v>36219</v>
      </c>
      <c r="AZ19" s="711">
        <v>36219.0</v>
      </c>
      <c r="BA19" s="111">
        <f t="shared" si="9"/>
        <v>0</v>
      </c>
      <c r="BB19" s="700">
        <f t="shared" ref="BB19:BC19" si="57">B19+S19+AJ19</f>
        <v>4</v>
      </c>
      <c r="BC19" s="700">
        <f t="shared" si="57"/>
        <v>19</v>
      </c>
      <c r="BD19" s="700">
        <f t="shared" ref="BD19:BO19" si="58">D19+U19+AM19</f>
        <v>11</v>
      </c>
      <c r="BE19" s="700">
        <f t="shared" si="58"/>
        <v>7</v>
      </c>
      <c r="BF19" s="700">
        <f t="shared" si="58"/>
        <v>29</v>
      </c>
      <c r="BG19" s="700">
        <f t="shared" si="58"/>
        <v>0</v>
      </c>
      <c r="BH19" s="700">
        <f t="shared" si="58"/>
        <v>7</v>
      </c>
      <c r="BI19" s="700">
        <f t="shared" si="58"/>
        <v>11</v>
      </c>
      <c r="BJ19" s="700">
        <f t="shared" si="58"/>
        <v>0</v>
      </c>
      <c r="BK19" s="700">
        <f t="shared" si="58"/>
        <v>10</v>
      </c>
      <c r="BL19" s="700">
        <f t="shared" si="58"/>
        <v>25</v>
      </c>
      <c r="BM19" s="700">
        <f t="shared" si="58"/>
        <v>35</v>
      </c>
      <c r="BN19" s="700">
        <f t="shared" si="58"/>
        <v>40</v>
      </c>
      <c r="BO19" s="700">
        <f t="shared" si="58"/>
        <v>0</v>
      </c>
      <c r="BP19" s="701">
        <f t="shared" si="12"/>
        <v>46068</v>
      </c>
      <c r="BQ19" s="718">
        <f t="shared" si="22"/>
        <v>682647</v>
      </c>
      <c r="BR19" s="703">
        <f t="shared" si="13"/>
        <v>137348</v>
      </c>
      <c r="BS19" s="704">
        <f t="shared" si="14"/>
        <v>819995</v>
      </c>
      <c r="BT19" s="711">
        <v>524878.0</v>
      </c>
      <c r="BU19" s="705">
        <f t="shared" si="15"/>
        <v>295117</v>
      </c>
      <c r="BV19" s="656"/>
      <c r="BW19" s="719">
        <f t="shared" ref="BW19:BX19" si="59">Q19+AH19+AZ19</f>
        <v>60697</v>
      </c>
      <c r="BX19" s="261">
        <f t="shared" si="59"/>
        <v>165825</v>
      </c>
      <c r="BY19" s="720">
        <f t="shared" si="17"/>
        <v>129292</v>
      </c>
      <c r="BZ19" s="637"/>
      <c r="CA19" s="637"/>
      <c r="CB19" s="637"/>
      <c r="CC19" s="637"/>
      <c r="CD19" s="637"/>
      <c r="CE19" s="638"/>
      <c r="CF19" s="637"/>
      <c r="CG19" s="637"/>
      <c r="CH19" s="637"/>
      <c r="CI19" s="637"/>
      <c r="CJ19" s="637"/>
      <c r="CK19" s="637"/>
      <c r="CL19" s="637"/>
      <c r="CM19" s="637"/>
    </row>
    <row r="20" ht="15.75" customHeight="1">
      <c r="A20" s="693">
        <f t="shared" si="19"/>
        <v>46069</v>
      </c>
      <c r="B20" s="712"/>
      <c r="C20" s="712"/>
      <c r="D20" s="711">
        <v>3.0</v>
      </c>
      <c r="E20" s="711">
        <v>3.0</v>
      </c>
      <c r="F20" s="473">
        <f>13</f>
        <v>13</v>
      </c>
      <c r="G20" s="712"/>
      <c r="H20" s="473"/>
      <c r="I20" s="711">
        <v>2.0</v>
      </c>
      <c r="J20" s="712"/>
      <c r="K20" s="711">
        <v>4.0</v>
      </c>
      <c r="L20" s="713">
        <v>10.0</v>
      </c>
      <c r="M20" s="711">
        <v>20.0</v>
      </c>
      <c r="N20" s="473"/>
      <c r="O20" s="714"/>
      <c r="P20" s="698">
        <f t="shared" si="4"/>
        <v>42501</v>
      </c>
      <c r="Q20" s="713">
        <v>208326.0</v>
      </c>
      <c r="R20" s="715">
        <f t="shared" si="5"/>
        <v>0</v>
      </c>
      <c r="S20" s="712"/>
      <c r="T20" s="712"/>
      <c r="U20" s="711">
        <v>2.0</v>
      </c>
      <c r="V20" s="711">
        <v>2.0</v>
      </c>
      <c r="W20" s="711">
        <v>4.0</v>
      </c>
      <c r="X20" s="712"/>
      <c r="Y20" s="473"/>
      <c r="Z20" s="711">
        <v>4.0</v>
      </c>
      <c r="AA20" s="712"/>
      <c r="AB20" s="711">
        <v>5.0</v>
      </c>
      <c r="AC20" s="713">
        <v>5.0</v>
      </c>
      <c r="AD20" s="711">
        <v>15.0</v>
      </c>
      <c r="AE20" s="473"/>
      <c r="AF20" s="714"/>
      <c r="AG20" s="698">
        <f t="shared" si="6"/>
        <v>20022</v>
      </c>
      <c r="AH20" s="712"/>
      <c r="AI20" s="111">
        <f t="shared" si="7"/>
        <v>20022</v>
      </c>
      <c r="AJ20" s="712"/>
      <c r="AK20" s="712"/>
      <c r="AL20" s="473"/>
      <c r="AM20" s="711">
        <v>2.0</v>
      </c>
      <c r="AN20" s="473"/>
      <c r="AO20" s="713">
        <v>6.0</v>
      </c>
      <c r="AP20" s="473"/>
      <c r="AQ20" s="711">
        <v>7.0</v>
      </c>
      <c r="AR20" s="713">
        <v>8.0</v>
      </c>
      <c r="AS20" s="473"/>
      <c r="AT20" s="713">
        <v>0.0</v>
      </c>
      <c r="AU20" s="711">
        <v>6.0</v>
      </c>
      <c r="AV20" s="711">
        <v>5.0</v>
      </c>
      <c r="AW20" s="714"/>
      <c r="AX20" s="717"/>
      <c r="AY20" s="698">
        <f t="shared" si="8"/>
        <v>21377</v>
      </c>
      <c r="AZ20" s="713">
        <v>21377.0</v>
      </c>
      <c r="BA20" s="111">
        <f t="shared" si="9"/>
        <v>0</v>
      </c>
      <c r="BB20" s="700">
        <f t="shared" ref="BB20:BC20" si="60">B20+S20+AJ20</f>
        <v>0</v>
      </c>
      <c r="BC20" s="700">
        <f t="shared" si="60"/>
        <v>0</v>
      </c>
      <c r="BD20" s="700">
        <f t="shared" ref="BD20:BO20" si="61">D20+U20+AM20</f>
        <v>7</v>
      </c>
      <c r="BE20" s="700">
        <f t="shared" si="61"/>
        <v>5</v>
      </c>
      <c r="BF20" s="700">
        <f t="shared" si="61"/>
        <v>23</v>
      </c>
      <c r="BG20" s="700">
        <f t="shared" si="61"/>
        <v>0</v>
      </c>
      <c r="BH20" s="700">
        <f t="shared" si="61"/>
        <v>7</v>
      </c>
      <c r="BI20" s="700">
        <f t="shared" si="61"/>
        <v>14</v>
      </c>
      <c r="BJ20" s="700">
        <f t="shared" si="61"/>
        <v>0</v>
      </c>
      <c r="BK20" s="700">
        <f t="shared" si="61"/>
        <v>9</v>
      </c>
      <c r="BL20" s="700">
        <f t="shared" si="61"/>
        <v>21</v>
      </c>
      <c r="BM20" s="700">
        <f t="shared" si="61"/>
        <v>40</v>
      </c>
      <c r="BN20" s="700">
        <f t="shared" si="61"/>
        <v>0</v>
      </c>
      <c r="BO20" s="700">
        <f t="shared" si="61"/>
        <v>0</v>
      </c>
      <c r="BP20" s="701">
        <f t="shared" si="12"/>
        <v>46069</v>
      </c>
      <c r="BQ20" s="718">
        <f t="shared" si="22"/>
        <v>295117</v>
      </c>
      <c r="BR20" s="703">
        <f t="shared" si="13"/>
        <v>83900</v>
      </c>
      <c r="BS20" s="704">
        <f t="shared" si="14"/>
        <v>379017</v>
      </c>
      <c r="BT20" s="713">
        <v>0.0</v>
      </c>
      <c r="BU20" s="705">
        <f t="shared" si="15"/>
        <v>379017</v>
      </c>
      <c r="BV20" s="656"/>
      <c r="BW20" s="719">
        <f t="shared" ref="BW20:BX20" si="62">Q20+AH20+AZ20</f>
        <v>229703</v>
      </c>
      <c r="BX20" s="261">
        <f t="shared" si="62"/>
        <v>20022</v>
      </c>
      <c r="BY20" s="720">
        <f t="shared" si="17"/>
        <v>358995</v>
      </c>
      <c r="BZ20" s="637"/>
      <c r="CA20" s="637"/>
      <c r="CB20" s="637"/>
      <c r="CC20" s="637"/>
      <c r="CD20" s="637"/>
      <c r="CE20" s="638"/>
      <c r="CF20" s="637"/>
      <c r="CG20" s="637"/>
      <c r="CH20" s="637"/>
      <c r="CI20" s="637"/>
      <c r="CJ20" s="637"/>
      <c r="CK20" s="637"/>
      <c r="CL20" s="637"/>
      <c r="CM20" s="637"/>
    </row>
    <row r="21" ht="15.75" customHeight="1">
      <c r="A21" s="693">
        <f t="shared" si="19"/>
        <v>46070</v>
      </c>
      <c r="B21" s="473"/>
      <c r="C21" s="473"/>
      <c r="D21" s="711">
        <v>5.0</v>
      </c>
      <c r="E21" s="711">
        <v>4.0</v>
      </c>
      <c r="F21" s="711">
        <v>22.0</v>
      </c>
      <c r="G21" s="712"/>
      <c r="H21" s="473"/>
      <c r="I21" s="711">
        <v>2.0</v>
      </c>
      <c r="J21" s="712"/>
      <c r="K21" s="711">
        <v>4.0</v>
      </c>
      <c r="L21" s="713">
        <v>13.0</v>
      </c>
      <c r="M21" s="711">
        <v>15.0</v>
      </c>
      <c r="N21" s="711">
        <v>20.0</v>
      </c>
      <c r="O21" s="714"/>
      <c r="P21" s="698">
        <f t="shared" si="4"/>
        <v>70539</v>
      </c>
      <c r="Q21" s="712"/>
      <c r="R21" s="715">
        <f t="shared" si="5"/>
        <v>70539</v>
      </c>
      <c r="S21" s="473"/>
      <c r="T21" s="473"/>
      <c r="U21" s="711">
        <v>3.0</v>
      </c>
      <c r="V21" s="711">
        <v>2.0</v>
      </c>
      <c r="W21" s="711">
        <v>8.0</v>
      </c>
      <c r="X21" s="712"/>
      <c r="Y21" s="473"/>
      <c r="Z21" s="473"/>
      <c r="AA21" s="712"/>
      <c r="AB21" s="711">
        <v>30.0</v>
      </c>
      <c r="AC21" s="713">
        <v>5.0</v>
      </c>
      <c r="AD21" s="711">
        <v>20.0</v>
      </c>
      <c r="AE21" s="711">
        <v>60.0</v>
      </c>
      <c r="AF21" s="714"/>
      <c r="AG21" s="698">
        <f t="shared" si="6"/>
        <v>50837</v>
      </c>
      <c r="AH21" s="713">
        <v>70859.0</v>
      </c>
      <c r="AI21" s="111">
        <f t="shared" si="7"/>
        <v>0</v>
      </c>
      <c r="AJ21" s="711">
        <v>1.0</v>
      </c>
      <c r="AK21" s="711">
        <v>5.0</v>
      </c>
      <c r="AL21" s="473"/>
      <c r="AM21" s="711">
        <v>4.0</v>
      </c>
      <c r="AN21" s="711">
        <v>4.0</v>
      </c>
      <c r="AO21" s="713">
        <v>14.0</v>
      </c>
      <c r="AP21" s="473"/>
      <c r="AQ21" s="711">
        <v>6.0</v>
      </c>
      <c r="AR21" s="713">
        <v>5.0</v>
      </c>
      <c r="AS21" s="473"/>
      <c r="AT21" s="713">
        <v>5.0</v>
      </c>
      <c r="AU21" s="711">
        <v>6.0</v>
      </c>
      <c r="AV21" s="711">
        <v>10.0</v>
      </c>
      <c r="AW21" s="716">
        <v>20.0</v>
      </c>
      <c r="AX21" s="717"/>
      <c r="AY21" s="698">
        <f t="shared" si="8"/>
        <v>58128</v>
      </c>
      <c r="AZ21" s="713">
        <v>58128.0</v>
      </c>
      <c r="BA21" s="111">
        <f t="shared" si="9"/>
        <v>0</v>
      </c>
      <c r="BB21" s="700">
        <f t="shared" ref="BB21:BC21" si="63">B21+S21+AJ21</f>
        <v>1</v>
      </c>
      <c r="BC21" s="700">
        <f t="shared" si="63"/>
        <v>5</v>
      </c>
      <c r="BD21" s="700">
        <f t="shared" ref="BD21:BO21" si="64">D21+U21+AM21</f>
        <v>12</v>
      </c>
      <c r="BE21" s="700">
        <f t="shared" si="64"/>
        <v>10</v>
      </c>
      <c r="BF21" s="700">
        <f t="shared" si="64"/>
        <v>44</v>
      </c>
      <c r="BG21" s="700">
        <f t="shared" si="64"/>
        <v>0</v>
      </c>
      <c r="BH21" s="700">
        <f t="shared" si="64"/>
        <v>6</v>
      </c>
      <c r="BI21" s="700">
        <f t="shared" si="64"/>
        <v>7</v>
      </c>
      <c r="BJ21" s="700">
        <f t="shared" si="64"/>
        <v>0</v>
      </c>
      <c r="BK21" s="700">
        <f t="shared" si="64"/>
        <v>39</v>
      </c>
      <c r="BL21" s="700">
        <f t="shared" si="64"/>
        <v>24</v>
      </c>
      <c r="BM21" s="700">
        <f t="shared" si="64"/>
        <v>45</v>
      </c>
      <c r="BN21" s="700">
        <f t="shared" si="64"/>
        <v>100</v>
      </c>
      <c r="BO21" s="700">
        <f t="shared" si="64"/>
        <v>0</v>
      </c>
      <c r="BP21" s="701">
        <f t="shared" si="12"/>
        <v>46070</v>
      </c>
      <c r="BQ21" s="718">
        <f t="shared" si="22"/>
        <v>379017</v>
      </c>
      <c r="BR21" s="703">
        <f t="shared" si="13"/>
        <v>179504</v>
      </c>
      <c r="BS21" s="704">
        <f t="shared" si="14"/>
        <v>558521</v>
      </c>
      <c r="BT21" s="713">
        <v>303840.0</v>
      </c>
      <c r="BU21" s="705">
        <f t="shared" si="15"/>
        <v>254681</v>
      </c>
      <c r="BV21" s="656"/>
      <c r="BW21" s="719">
        <f t="shared" ref="BW21:BX21" si="65">Q21+AH21+AZ21</f>
        <v>128987</v>
      </c>
      <c r="BX21" s="261">
        <f t="shared" si="65"/>
        <v>70539</v>
      </c>
      <c r="BY21" s="720">
        <f t="shared" si="17"/>
        <v>184142</v>
      </c>
      <c r="BZ21" s="637"/>
      <c r="CA21" s="637"/>
      <c r="CB21" s="637"/>
      <c r="CC21" s="637"/>
      <c r="CD21" s="637"/>
      <c r="CE21" s="638"/>
      <c r="CF21" s="637"/>
      <c r="CG21" s="637"/>
      <c r="CH21" s="637"/>
      <c r="CI21" s="637"/>
      <c r="CJ21" s="637"/>
      <c r="CK21" s="637"/>
      <c r="CL21" s="637"/>
      <c r="CM21" s="637"/>
    </row>
    <row r="22" ht="15.75" customHeight="1">
      <c r="A22" s="693">
        <f t="shared" si="19"/>
        <v>46071</v>
      </c>
      <c r="B22" s="712"/>
      <c r="C22" s="712"/>
      <c r="D22" s="711">
        <v>2.0</v>
      </c>
      <c r="E22" s="711">
        <v>2.0</v>
      </c>
      <c r="F22" s="711">
        <v>11.0</v>
      </c>
      <c r="G22" s="712"/>
      <c r="H22" s="711">
        <v>10.0</v>
      </c>
      <c r="I22" s="711">
        <v>2.0</v>
      </c>
      <c r="J22" s="712"/>
      <c r="K22" s="711">
        <v>4.0</v>
      </c>
      <c r="L22" s="713">
        <v>5.0</v>
      </c>
      <c r="M22" s="473"/>
      <c r="N22" s="711">
        <v>20.0</v>
      </c>
      <c r="O22" s="714"/>
      <c r="P22" s="698">
        <f t="shared" si="4"/>
        <v>39105</v>
      </c>
      <c r="Q22" s="473"/>
      <c r="R22" s="715">
        <f t="shared" si="5"/>
        <v>109644</v>
      </c>
      <c r="S22" s="712"/>
      <c r="T22" s="712"/>
      <c r="U22" s="711">
        <v>2.0</v>
      </c>
      <c r="V22" s="711">
        <v>1.0</v>
      </c>
      <c r="W22" s="711">
        <v>6.0</v>
      </c>
      <c r="X22" s="712"/>
      <c r="Y22" s="711">
        <v>3.0</v>
      </c>
      <c r="Z22" s="473"/>
      <c r="AA22" s="712"/>
      <c r="AB22" s="711">
        <v>3.0</v>
      </c>
      <c r="AC22" s="713">
        <v>5.0</v>
      </c>
      <c r="AD22" s="711">
        <v>10.0</v>
      </c>
      <c r="AE22" s="473"/>
      <c r="AF22" s="714"/>
      <c r="AG22" s="698">
        <f t="shared" si="6"/>
        <v>21026</v>
      </c>
      <c r="AH22" s="711">
        <v>21026.0</v>
      </c>
      <c r="AI22" s="111">
        <f t="shared" si="7"/>
        <v>0</v>
      </c>
      <c r="AJ22" s="713">
        <v>1.0</v>
      </c>
      <c r="AK22" s="713">
        <v>4.0</v>
      </c>
      <c r="AL22" s="473"/>
      <c r="AM22" s="711">
        <v>3.0</v>
      </c>
      <c r="AN22" s="473"/>
      <c r="AO22" s="713">
        <v>7.0</v>
      </c>
      <c r="AP22" s="473"/>
      <c r="AQ22" s="711">
        <v>4.0</v>
      </c>
      <c r="AR22" s="713">
        <v>5.0</v>
      </c>
      <c r="AS22" s="473"/>
      <c r="AT22" s="713">
        <v>5.0</v>
      </c>
      <c r="AU22" s="711">
        <v>5.0</v>
      </c>
      <c r="AV22" s="711">
        <v>8.0</v>
      </c>
      <c r="AW22" s="714"/>
      <c r="AX22" s="717"/>
      <c r="AY22" s="698">
        <f t="shared" si="8"/>
        <v>28700</v>
      </c>
      <c r="AZ22" s="711">
        <v>28700.0</v>
      </c>
      <c r="BA22" s="111">
        <f t="shared" si="9"/>
        <v>0</v>
      </c>
      <c r="BB22" s="700">
        <f t="shared" ref="BB22:BC22" si="66">B22+S22+AJ22</f>
        <v>1</v>
      </c>
      <c r="BC22" s="700">
        <f t="shared" si="66"/>
        <v>4</v>
      </c>
      <c r="BD22" s="700">
        <f t="shared" ref="BD22:BO22" si="67">D22+U22+AM22</f>
        <v>7</v>
      </c>
      <c r="BE22" s="700">
        <f t="shared" si="67"/>
        <v>3</v>
      </c>
      <c r="BF22" s="700">
        <f t="shared" si="67"/>
        <v>24</v>
      </c>
      <c r="BG22" s="700">
        <f t="shared" si="67"/>
        <v>0</v>
      </c>
      <c r="BH22" s="700">
        <f t="shared" si="67"/>
        <v>17</v>
      </c>
      <c r="BI22" s="700">
        <f t="shared" si="67"/>
        <v>7</v>
      </c>
      <c r="BJ22" s="700">
        <f t="shared" si="67"/>
        <v>0</v>
      </c>
      <c r="BK22" s="700">
        <f t="shared" si="67"/>
        <v>12</v>
      </c>
      <c r="BL22" s="700">
        <f t="shared" si="67"/>
        <v>15</v>
      </c>
      <c r="BM22" s="700">
        <f t="shared" si="67"/>
        <v>18</v>
      </c>
      <c r="BN22" s="700">
        <f t="shared" si="67"/>
        <v>20</v>
      </c>
      <c r="BO22" s="700">
        <f t="shared" si="67"/>
        <v>0</v>
      </c>
      <c r="BP22" s="701">
        <f t="shared" si="12"/>
        <v>46071</v>
      </c>
      <c r="BQ22" s="718">
        <f t="shared" si="22"/>
        <v>254681</v>
      </c>
      <c r="BR22" s="703">
        <f t="shared" si="13"/>
        <v>88831</v>
      </c>
      <c r="BS22" s="704">
        <f t="shared" si="14"/>
        <v>343512</v>
      </c>
      <c r="BT22" s="711">
        <v>0.0</v>
      </c>
      <c r="BU22" s="705">
        <f t="shared" si="15"/>
        <v>343512</v>
      </c>
      <c r="BV22" s="656"/>
      <c r="BW22" s="719">
        <f t="shared" ref="BW22:BX22" si="68">Q22+AH22+AZ22</f>
        <v>49726</v>
      </c>
      <c r="BX22" s="261">
        <f t="shared" si="68"/>
        <v>109644</v>
      </c>
      <c r="BY22" s="720">
        <f t="shared" si="17"/>
        <v>233868</v>
      </c>
      <c r="BZ22" s="637"/>
      <c r="CA22" s="637"/>
      <c r="CB22" s="637"/>
      <c r="CC22" s="637"/>
      <c r="CD22" s="637"/>
      <c r="CE22" s="638"/>
      <c r="CF22" s="637"/>
      <c r="CG22" s="637"/>
      <c r="CH22" s="637"/>
      <c r="CI22" s="637"/>
      <c r="CJ22" s="637"/>
      <c r="CK22" s="637"/>
      <c r="CL22" s="637"/>
      <c r="CM22" s="637"/>
    </row>
    <row r="23" ht="15.75" customHeight="1">
      <c r="A23" s="693">
        <f t="shared" si="19"/>
        <v>46072</v>
      </c>
      <c r="B23" s="712"/>
      <c r="C23" s="712"/>
      <c r="D23" s="711">
        <v>1.0</v>
      </c>
      <c r="E23" s="711">
        <v>1.0</v>
      </c>
      <c r="F23" s="711">
        <v>8.0</v>
      </c>
      <c r="G23" s="712"/>
      <c r="H23" s="711">
        <v>5.0</v>
      </c>
      <c r="I23" s="711">
        <v>2.0</v>
      </c>
      <c r="J23" s="712"/>
      <c r="K23" s="711">
        <v>4.0</v>
      </c>
      <c r="L23" s="712"/>
      <c r="M23" s="473"/>
      <c r="N23" s="711">
        <v>20.0</v>
      </c>
      <c r="O23" s="714"/>
      <c r="P23" s="698">
        <f t="shared" si="4"/>
        <v>26585</v>
      </c>
      <c r="Q23" s="713">
        <v>136230.0</v>
      </c>
      <c r="R23" s="715">
        <f t="shared" si="5"/>
        <v>-1</v>
      </c>
      <c r="S23" s="713">
        <v>1.0</v>
      </c>
      <c r="T23" s="713">
        <v>25.0</v>
      </c>
      <c r="U23" s="711">
        <v>1.0</v>
      </c>
      <c r="V23" s="711">
        <v>1.0</v>
      </c>
      <c r="W23" s="711">
        <v>3.0</v>
      </c>
      <c r="X23" s="712"/>
      <c r="Y23" s="711">
        <v>0.0</v>
      </c>
      <c r="Z23" s="473"/>
      <c r="AA23" s="712"/>
      <c r="AB23" s="711">
        <v>4.0</v>
      </c>
      <c r="AC23" s="713">
        <v>2.0</v>
      </c>
      <c r="AD23" s="711">
        <v>5.0</v>
      </c>
      <c r="AE23" s="473"/>
      <c r="AF23" s="714"/>
      <c r="AG23" s="698">
        <f t="shared" si="6"/>
        <v>38775</v>
      </c>
      <c r="AH23" s="713">
        <v>38775.0</v>
      </c>
      <c r="AI23" s="111">
        <f t="shared" si="7"/>
        <v>0</v>
      </c>
      <c r="AJ23" s="712"/>
      <c r="AK23" s="712"/>
      <c r="AL23" s="473"/>
      <c r="AM23" s="711">
        <v>2.0</v>
      </c>
      <c r="AN23" s="473"/>
      <c r="AO23" s="713">
        <v>4.0</v>
      </c>
      <c r="AP23" s="473"/>
      <c r="AQ23" s="711">
        <v>3.0</v>
      </c>
      <c r="AR23" s="712"/>
      <c r="AS23" s="473"/>
      <c r="AT23" s="712"/>
      <c r="AU23" s="711">
        <v>3.0</v>
      </c>
      <c r="AV23" s="711">
        <v>5.0</v>
      </c>
      <c r="AW23" s="716">
        <v>20.0</v>
      </c>
      <c r="AX23" s="717"/>
      <c r="AY23" s="698">
        <f t="shared" si="8"/>
        <v>18869</v>
      </c>
      <c r="AZ23" s="713">
        <v>18869.0</v>
      </c>
      <c r="BA23" s="111">
        <f t="shared" si="9"/>
        <v>0</v>
      </c>
      <c r="BB23" s="700">
        <f t="shared" ref="BB23:BC23" si="69">B23+S23+AJ23</f>
        <v>1</v>
      </c>
      <c r="BC23" s="700">
        <f t="shared" si="69"/>
        <v>25</v>
      </c>
      <c r="BD23" s="700">
        <f t="shared" ref="BD23:BO23" si="70">D23+U23+AM23</f>
        <v>4</v>
      </c>
      <c r="BE23" s="700">
        <f t="shared" si="70"/>
        <v>2</v>
      </c>
      <c r="BF23" s="700">
        <f t="shared" si="70"/>
        <v>15</v>
      </c>
      <c r="BG23" s="700">
        <f t="shared" si="70"/>
        <v>0</v>
      </c>
      <c r="BH23" s="700">
        <f t="shared" si="70"/>
        <v>8</v>
      </c>
      <c r="BI23" s="700">
        <f t="shared" si="70"/>
        <v>2</v>
      </c>
      <c r="BJ23" s="700">
        <f t="shared" si="70"/>
        <v>0</v>
      </c>
      <c r="BK23" s="700">
        <f t="shared" si="70"/>
        <v>8</v>
      </c>
      <c r="BL23" s="700">
        <f t="shared" si="70"/>
        <v>5</v>
      </c>
      <c r="BM23" s="700">
        <f t="shared" si="70"/>
        <v>10</v>
      </c>
      <c r="BN23" s="700">
        <f t="shared" si="70"/>
        <v>40</v>
      </c>
      <c r="BO23" s="700">
        <f t="shared" si="70"/>
        <v>0</v>
      </c>
      <c r="BP23" s="701">
        <f t="shared" si="12"/>
        <v>46072</v>
      </c>
      <c r="BQ23" s="718">
        <f t="shared" si="22"/>
        <v>343512</v>
      </c>
      <c r="BR23" s="703">
        <f t="shared" si="13"/>
        <v>84229</v>
      </c>
      <c r="BS23" s="704">
        <f t="shared" si="14"/>
        <v>427741</v>
      </c>
      <c r="BT23" s="713">
        <v>0.0</v>
      </c>
      <c r="BU23" s="705">
        <f t="shared" si="15"/>
        <v>427741</v>
      </c>
      <c r="BV23" s="656"/>
      <c r="BW23" s="719">
        <f t="shared" ref="BW23:BX23" si="71">Q23+AH23+AZ23</f>
        <v>193874</v>
      </c>
      <c r="BX23" s="261">
        <f t="shared" si="71"/>
        <v>-1</v>
      </c>
      <c r="BY23" s="720">
        <f t="shared" si="17"/>
        <v>427742</v>
      </c>
      <c r="BZ23" s="637"/>
      <c r="CA23" s="637"/>
      <c r="CB23" s="637"/>
      <c r="CC23" s="637"/>
      <c r="CD23" s="637"/>
      <c r="CE23" s="638"/>
      <c r="CF23" s="637"/>
      <c r="CG23" s="637"/>
      <c r="CH23" s="637"/>
      <c r="CI23" s="637"/>
      <c r="CJ23" s="637"/>
      <c r="CK23" s="637"/>
      <c r="CL23" s="637"/>
      <c r="CM23" s="637"/>
    </row>
    <row r="24" ht="15.75" customHeight="1">
      <c r="A24" s="693">
        <f t="shared" si="19"/>
        <v>46073</v>
      </c>
      <c r="B24" s="712"/>
      <c r="C24" s="712"/>
      <c r="D24" s="473"/>
      <c r="E24" s="711">
        <v>1.0</v>
      </c>
      <c r="F24" s="711">
        <v>5.0</v>
      </c>
      <c r="G24" s="712"/>
      <c r="H24" s="711">
        <v>5.0</v>
      </c>
      <c r="I24" s="473"/>
      <c r="J24" s="712"/>
      <c r="K24" s="711">
        <v>2.0</v>
      </c>
      <c r="L24" s="712"/>
      <c r="M24" s="473"/>
      <c r="N24" s="473"/>
      <c r="O24" s="714"/>
      <c r="P24" s="698">
        <f t="shared" si="4"/>
        <v>13009</v>
      </c>
      <c r="Q24" s="712"/>
      <c r="R24" s="715">
        <f t="shared" si="5"/>
        <v>13008</v>
      </c>
      <c r="S24" s="712"/>
      <c r="T24" s="712"/>
      <c r="U24" s="711">
        <v>1.0</v>
      </c>
      <c r="V24" s="473"/>
      <c r="W24" s="711">
        <v>1.0</v>
      </c>
      <c r="X24" s="712"/>
      <c r="Y24" s="473"/>
      <c r="Z24" s="473"/>
      <c r="AA24" s="712"/>
      <c r="AB24" s="711">
        <v>2.0</v>
      </c>
      <c r="AC24" s="713">
        <v>2.0</v>
      </c>
      <c r="AD24" s="473"/>
      <c r="AE24" s="473"/>
      <c r="AF24" s="714"/>
      <c r="AG24" s="698">
        <f t="shared" si="6"/>
        <v>4738</v>
      </c>
      <c r="AH24" s="713">
        <v>4738.0</v>
      </c>
      <c r="AI24" s="111">
        <f t="shared" si="7"/>
        <v>0</v>
      </c>
      <c r="AJ24" s="713">
        <v>1.0</v>
      </c>
      <c r="AK24" s="713">
        <v>4.0</v>
      </c>
      <c r="AL24" s="473"/>
      <c r="AM24" s="711">
        <v>1.0</v>
      </c>
      <c r="AN24" s="711">
        <v>1.0</v>
      </c>
      <c r="AO24" s="713">
        <v>3.0</v>
      </c>
      <c r="AP24" s="473"/>
      <c r="AQ24" s="473"/>
      <c r="AR24" s="713">
        <v>1.0</v>
      </c>
      <c r="AS24" s="473"/>
      <c r="AT24" s="713">
        <v>5.0</v>
      </c>
      <c r="AU24" s="473"/>
      <c r="AV24" s="711">
        <v>5.0</v>
      </c>
      <c r="AW24" s="714"/>
      <c r="AX24" s="714"/>
      <c r="AY24" s="698">
        <f t="shared" si="8"/>
        <v>15215</v>
      </c>
      <c r="AZ24" s="713">
        <v>15215.0</v>
      </c>
      <c r="BA24" s="111">
        <f t="shared" si="9"/>
        <v>0</v>
      </c>
      <c r="BB24" s="700">
        <f t="shared" ref="BB24:BC24" si="72">B24+S24+AJ24</f>
        <v>1</v>
      </c>
      <c r="BC24" s="700">
        <f t="shared" si="72"/>
        <v>4</v>
      </c>
      <c r="BD24" s="700">
        <f t="shared" ref="BD24:BO24" si="73">D24+U24+AM24</f>
        <v>2</v>
      </c>
      <c r="BE24" s="700">
        <f t="shared" si="73"/>
        <v>2</v>
      </c>
      <c r="BF24" s="700">
        <f t="shared" si="73"/>
        <v>9</v>
      </c>
      <c r="BG24" s="700">
        <f t="shared" si="73"/>
        <v>0</v>
      </c>
      <c r="BH24" s="700">
        <f t="shared" si="73"/>
        <v>5</v>
      </c>
      <c r="BI24" s="700">
        <f t="shared" si="73"/>
        <v>1</v>
      </c>
      <c r="BJ24" s="700">
        <f t="shared" si="73"/>
        <v>0</v>
      </c>
      <c r="BK24" s="700">
        <f t="shared" si="73"/>
        <v>9</v>
      </c>
      <c r="BL24" s="700">
        <f t="shared" si="73"/>
        <v>2</v>
      </c>
      <c r="BM24" s="700">
        <f t="shared" si="73"/>
        <v>5</v>
      </c>
      <c r="BN24" s="700">
        <f t="shared" si="73"/>
        <v>0</v>
      </c>
      <c r="BO24" s="700">
        <f t="shared" si="73"/>
        <v>0</v>
      </c>
      <c r="BP24" s="701">
        <f t="shared" si="12"/>
        <v>46073</v>
      </c>
      <c r="BQ24" s="718">
        <f t="shared" si="22"/>
        <v>427741</v>
      </c>
      <c r="BR24" s="703">
        <f t="shared" si="13"/>
        <v>32962</v>
      </c>
      <c r="BS24" s="704">
        <f t="shared" si="14"/>
        <v>460703</v>
      </c>
      <c r="BT24" s="713">
        <v>155475.0</v>
      </c>
      <c r="BU24" s="705">
        <f t="shared" si="15"/>
        <v>305228</v>
      </c>
      <c r="BV24" s="656"/>
      <c r="BW24" s="719">
        <f t="shared" ref="BW24:BX24" si="74">Q24+AH24+AZ24</f>
        <v>19953</v>
      </c>
      <c r="BX24" s="261">
        <f t="shared" si="74"/>
        <v>13008</v>
      </c>
      <c r="BY24" s="720">
        <f t="shared" si="17"/>
        <v>292220</v>
      </c>
      <c r="BZ24" s="637"/>
      <c r="CA24" s="637"/>
      <c r="CB24" s="637"/>
      <c r="CC24" s="637"/>
      <c r="CD24" s="637"/>
      <c r="CE24" s="638"/>
      <c r="CF24" s="637"/>
      <c r="CG24" s="637"/>
      <c r="CH24" s="637"/>
      <c r="CI24" s="637"/>
      <c r="CJ24" s="637"/>
      <c r="CK24" s="637"/>
      <c r="CL24" s="637"/>
      <c r="CM24" s="637"/>
    </row>
    <row r="25" ht="15.75" customHeight="1">
      <c r="A25" s="693">
        <f t="shared" si="19"/>
        <v>46074</v>
      </c>
      <c r="B25" s="473"/>
      <c r="C25" s="473"/>
      <c r="D25" s="711">
        <v>2.0</v>
      </c>
      <c r="E25" s="711">
        <v>3.0</v>
      </c>
      <c r="F25" s="711">
        <v>8.0</v>
      </c>
      <c r="G25" s="712"/>
      <c r="H25" s="473"/>
      <c r="I25" s="711">
        <v>2.0</v>
      </c>
      <c r="J25" s="712"/>
      <c r="K25" s="711">
        <v>2.0</v>
      </c>
      <c r="L25" s="713">
        <v>2.0</v>
      </c>
      <c r="M25" s="473"/>
      <c r="N25" s="473"/>
      <c r="O25" s="714"/>
      <c r="P25" s="698">
        <f t="shared" si="4"/>
        <v>25067</v>
      </c>
      <c r="Q25" s="473"/>
      <c r="R25" s="715">
        <f t="shared" si="5"/>
        <v>38075</v>
      </c>
      <c r="S25" s="473"/>
      <c r="T25" s="473"/>
      <c r="U25" s="711">
        <v>1.0</v>
      </c>
      <c r="V25" s="711">
        <v>1.0</v>
      </c>
      <c r="W25" s="711">
        <v>2.0</v>
      </c>
      <c r="X25" s="712"/>
      <c r="Y25" s="473"/>
      <c r="Z25" s="711">
        <v>4.0</v>
      </c>
      <c r="AA25" s="712"/>
      <c r="AB25" s="711">
        <v>4.0</v>
      </c>
      <c r="AC25" s="713">
        <v>2.0</v>
      </c>
      <c r="AD25" s="473"/>
      <c r="AE25" s="473"/>
      <c r="AF25" s="714"/>
      <c r="AG25" s="698">
        <f t="shared" si="6"/>
        <v>9656</v>
      </c>
      <c r="AH25" s="473"/>
      <c r="AI25" s="111">
        <f t="shared" si="7"/>
        <v>9656</v>
      </c>
      <c r="AJ25" s="473"/>
      <c r="AK25" s="473"/>
      <c r="AL25" s="473"/>
      <c r="AM25" s="711">
        <v>2.0</v>
      </c>
      <c r="AN25" s="711">
        <v>1.0</v>
      </c>
      <c r="AO25" s="713">
        <v>4.0</v>
      </c>
      <c r="AP25" s="473"/>
      <c r="AQ25" s="711">
        <v>3.0</v>
      </c>
      <c r="AR25" s="713">
        <v>6.0</v>
      </c>
      <c r="AS25" s="473"/>
      <c r="AT25" s="713">
        <v>5.0</v>
      </c>
      <c r="AU25" s="711">
        <v>5.0</v>
      </c>
      <c r="AV25" s="711">
        <v>9.0</v>
      </c>
      <c r="AW25" s="714"/>
      <c r="AX25" s="717"/>
      <c r="AY25" s="698">
        <f t="shared" si="8"/>
        <v>18868</v>
      </c>
      <c r="AZ25" s="711"/>
      <c r="BA25" s="111">
        <f t="shared" si="9"/>
        <v>18868</v>
      </c>
      <c r="BB25" s="700">
        <f t="shared" ref="BB25:BC25" si="75">B25+S25+AJ25</f>
        <v>0</v>
      </c>
      <c r="BC25" s="700">
        <f t="shared" si="75"/>
        <v>0</v>
      </c>
      <c r="BD25" s="700">
        <f t="shared" ref="BD25:BO25" si="76">D25+U25+AM25</f>
        <v>5</v>
      </c>
      <c r="BE25" s="700">
        <f t="shared" si="76"/>
        <v>5</v>
      </c>
      <c r="BF25" s="700">
        <f t="shared" si="76"/>
        <v>14</v>
      </c>
      <c r="BG25" s="700">
        <f t="shared" si="76"/>
        <v>0</v>
      </c>
      <c r="BH25" s="700">
        <f t="shared" si="76"/>
        <v>3</v>
      </c>
      <c r="BI25" s="700">
        <f t="shared" si="76"/>
        <v>12</v>
      </c>
      <c r="BJ25" s="700">
        <f t="shared" si="76"/>
        <v>0</v>
      </c>
      <c r="BK25" s="700">
        <f t="shared" si="76"/>
        <v>11</v>
      </c>
      <c r="BL25" s="700">
        <f t="shared" si="76"/>
        <v>9</v>
      </c>
      <c r="BM25" s="700">
        <f t="shared" si="76"/>
        <v>9</v>
      </c>
      <c r="BN25" s="700">
        <f t="shared" si="76"/>
        <v>0</v>
      </c>
      <c r="BO25" s="700">
        <f t="shared" si="76"/>
        <v>0</v>
      </c>
      <c r="BP25" s="701">
        <f t="shared" si="12"/>
        <v>46074</v>
      </c>
      <c r="BQ25" s="718">
        <f t="shared" si="22"/>
        <v>305228</v>
      </c>
      <c r="BR25" s="703">
        <f t="shared" si="13"/>
        <v>53591</v>
      </c>
      <c r="BS25" s="704">
        <f t="shared" si="14"/>
        <v>358819</v>
      </c>
      <c r="BT25" s="712"/>
      <c r="BU25" s="705">
        <f t="shared" si="15"/>
        <v>358819</v>
      </c>
      <c r="BV25" s="656"/>
      <c r="BW25" s="719">
        <f t="shared" ref="BW25:BX25" si="77">Q25+AH25+AZ25</f>
        <v>0</v>
      </c>
      <c r="BX25" s="261">
        <f t="shared" si="77"/>
        <v>66599</v>
      </c>
      <c r="BY25" s="720">
        <f t="shared" si="17"/>
        <v>292220</v>
      </c>
      <c r="BZ25" s="637"/>
      <c r="CA25" s="637"/>
      <c r="CB25" s="637"/>
      <c r="CC25" s="637"/>
      <c r="CD25" s="637"/>
      <c r="CE25" s="638"/>
      <c r="CF25" s="637"/>
      <c r="CG25" s="637"/>
      <c r="CH25" s="637"/>
      <c r="CI25" s="637"/>
      <c r="CJ25" s="637"/>
      <c r="CK25" s="637"/>
      <c r="CL25" s="637"/>
      <c r="CM25" s="637"/>
    </row>
    <row r="26" ht="15.75" customHeight="1">
      <c r="A26" s="693">
        <f t="shared" si="19"/>
        <v>46075</v>
      </c>
      <c r="B26" s="473"/>
      <c r="C26" s="473"/>
      <c r="D26" s="711">
        <v>1.0</v>
      </c>
      <c r="E26" s="711">
        <v>3.0</v>
      </c>
      <c r="F26" s="711">
        <v>7.0</v>
      </c>
      <c r="G26" s="712"/>
      <c r="H26" s="473"/>
      <c r="I26" s="473"/>
      <c r="J26" s="712"/>
      <c r="K26" s="711">
        <v>2.0</v>
      </c>
      <c r="L26" s="713">
        <v>2.0</v>
      </c>
      <c r="M26" s="711">
        <v>6.0</v>
      </c>
      <c r="N26" s="473"/>
      <c r="O26" s="714"/>
      <c r="P26" s="698">
        <f t="shared" si="4"/>
        <v>21949</v>
      </c>
      <c r="Q26" s="712"/>
      <c r="R26" s="715">
        <f t="shared" si="5"/>
        <v>60024</v>
      </c>
      <c r="S26" s="473"/>
      <c r="T26" s="473"/>
      <c r="U26" s="711">
        <v>2.0</v>
      </c>
      <c r="V26" s="711">
        <v>1.0</v>
      </c>
      <c r="W26" s="711">
        <v>2.0</v>
      </c>
      <c r="X26" s="712"/>
      <c r="Y26" s="711">
        <v>2.0</v>
      </c>
      <c r="Z26" s="473"/>
      <c r="AA26" s="712"/>
      <c r="AB26" s="473"/>
      <c r="AC26" s="713">
        <v>2.0</v>
      </c>
      <c r="AD26" s="473"/>
      <c r="AE26" s="473"/>
      <c r="AF26" s="714"/>
      <c r="AG26" s="698">
        <f t="shared" si="6"/>
        <v>9945</v>
      </c>
      <c r="AH26" s="712"/>
      <c r="AI26" s="111">
        <f t="shared" si="7"/>
        <v>19601</v>
      </c>
      <c r="AJ26" s="473"/>
      <c r="AK26" s="473"/>
      <c r="AL26" s="473"/>
      <c r="AM26" s="711">
        <v>1.0</v>
      </c>
      <c r="AN26" s="711">
        <v>1.0</v>
      </c>
      <c r="AO26" s="713">
        <v>5.0</v>
      </c>
      <c r="AP26" s="473"/>
      <c r="AQ26" s="711">
        <v>3.0</v>
      </c>
      <c r="AR26" s="712"/>
      <c r="AS26" s="473"/>
      <c r="AT26" s="713">
        <v>6.0</v>
      </c>
      <c r="AU26" s="711">
        <v>3.0</v>
      </c>
      <c r="AV26" s="473"/>
      <c r="AW26" s="714"/>
      <c r="AX26" s="717"/>
      <c r="AY26" s="698">
        <f t="shared" si="8"/>
        <v>16188</v>
      </c>
      <c r="AZ26" s="713"/>
      <c r="BA26" s="111">
        <f t="shared" si="9"/>
        <v>35056</v>
      </c>
      <c r="BB26" s="700">
        <f t="shared" ref="BB26:BC26" si="78">B26+S26+AJ26</f>
        <v>0</v>
      </c>
      <c r="BC26" s="700">
        <f t="shared" si="78"/>
        <v>0</v>
      </c>
      <c r="BD26" s="700">
        <f t="shared" ref="BD26:BO26" si="79">D26+U26+AM26</f>
        <v>4</v>
      </c>
      <c r="BE26" s="700">
        <f t="shared" si="79"/>
        <v>5</v>
      </c>
      <c r="BF26" s="700">
        <f t="shared" si="79"/>
        <v>14</v>
      </c>
      <c r="BG26" s="700">
        <f t="shared" si="79"/>
        <v>0</v>
      </c>
      <c r="BH26" s="700">
        <f t="shared" si="79"/>
        <v>5</v>
      </c>
      <c r="BI26" s="700">
        <f t="shared" si="79"/>
        <v>0</v>
      </c>
      <c r="BJ26" s="700">
        <f t="shared" si="79"/>
        <v>0</v>
      </c>
      <c r="BK26" s="700">
        <f t="shared" si="79"/>
        <v>8</v>
      </c>
      <c r="BL26" s="700">
        <f t="shared" si="79"/>
        <v>7</v>
      </c>
      <c r="BM26" s="700">
        <f t="shared" si="79"/>
        <v>6</v>
      </c>
      <c r="BN26" s="700">
        <f t="shared" si="79"/>
        <v>0</v>
      </c>
      <c r="BO26" s="700">
        <f t="shared" si="79"/>
        <v>0</v>
      </c>
      <c r="BP26" s="701">
        <f t="shared" si="12"/>
        <v>46075</v>
      </c>
      <c r="BQ26" s="718">
        <f t="shared" si="22"/>
        <v>358819</v>
      </c>
      <c r="BR26" s="703">
        <f t="shared" si="13"/>
        <v>48082</v>
      </c>
      <c r="BS26" s="704">
        <f t="shared" si="14"/>
        <v>406901</v>
      </c>
      <c r="BT26" s="712"/>
      <c r="BU26" s="705">
        <f t="shared" si="15"/>
        <v>406901</v>
      </c>
      <c r="BV26" s="656"/>
      <c r="BW26" s="719">
        <f t="shared" ref="BW26:BX26" si="80">Q26+AH26+AZ26</f>
        <v>0</v>
      </c>
      <c r="BX26" s="261">
        <f t="shared" si="80"/>
        <v>114681</v>
      </c>
      <c r="BY26" s="720">
        <f t="shared" si="17"/>
        <v>292220</v>
      </c>
      <c r="BZ26" s="637"/>
      <c r="CA26" s="637"/>
      <c r="CB26" s="637"/>
      <c r="CC26" s="637"/>
      <c r="CD26" s="637"/>
      <c r="CE26" s="638"/>
      <c r="CF26" s="637"/>
      <c r="CG26" s="637"/>
      <c r="CH26" s="637"/>
      <c r="CI26" s="637"/>
      <c r="CJ26" s="637"/>
      <c r="CK26" s="637"/>
      <c r="CL26" s="637"/>
      <c r="CM26" s="637"/>
    </row>
    <row r="27" ht="15.75" customHeight="1">
      <c r="A27" s="693">
        <f t="shared" si="19"/>
        <v>46076</v>
      </c>
      <c r="B27" s="712"/>
      <c r="C27" s="712"/>
      <c r="D27" s="711">
        <v>1.0</v>
      </c>
      <c r="E27" s="711">
        <v>2.0</v>
      </c>
      <c r="F27" s="711">
        <v>6.0</v>
      </c>
      <c r="G27" s="712"/>
      <c r="H27" s="473"/>
      <c r="I27" s="473"/>
      <c r="J27" s="712"/>
      <c r="K27" s="711">
        <v>2.0</v>
      </c>
      <c r="L27" s="713">
        <v>2.0</v>
      </c>
      <c r="M27" s="711">
        <v>6.0</v>
      </c>
      <c r="N27" s="473"/>
      <c r="O27" s="714"/>
      <c r="P27" s="698">
        <f t="shared" si="4"/>
        <v>18351</v>
      </c>
      <c r="Q27" s="713"/>
      <c r="R27" s="715">
        <f t="shared" si="5"/>
        <v>78375</v>
      </c>
      <c r="S27" s="712"/>
      <c r="T27" s="712"/>
      <c r="U27" s="473"/>
      <c r="V27" s="473"/>
      <c r="W27" s="711">
        <v>2.0</v>
      </c>
      <c r="X27" s="712"/>
      <c r="Y27" s="711"/>
      <c r="Z27" s="711">
        <v>3.0</v>
      </c>
      <c r="AA27" s="712"/>
      <c r="AB27" s="473"/>
      <c r="AC27" s="713">
        <v>2.0</v>
      </c>
      <c r="AD27" s="711">
        <v>10.0</v>
      </c>
      <c r="AE27" s="473"/>
      <c r="AF27" s="714"/>
      <c r="AG27" s="698">
        <f t="shared" si="6"/>
        <v>6558</v>
      </c>
      <c r="AH27" s="712"/>
      <c r="AI27" s="111">
        <f t="shared" si="7"/>
        <v>26159</v>
      </c>
      <c r="AJ27" s="712"/>
      <c r="AK27" s="712"/>
      <c r="AL27" s="473"/>
      <c r="AM27" s="711">
        <v>3.0</v>
      </c>
      <c r="AN27" s="711">
        <v>2.0</v>
      </c>
      <c r="AO27" s="713">
        <v>6.0</v>
      </c>
      <c r="AP27" s="473"/>
      <c r="AQ27" s="473"/>
      <c r="AR27" s="712"/>
      <c r="AS27" s="473"/>
      <c r="AT27" s="713">
        <v>2.0</v>
      </c>
      <c r="AU27" s="473"/>
      <c r="AV27" s="711">
        <v>6.0</v>
      </c>
      <c r="AW27" s="714"/>
      <c r="AX27" s="717"/>
      <c r="AY27" s="698">
        <f t="shared" si="8"/>
        <v>20449</v>
      </c>
      <c r="AZ27" s="713"/>
      <c r="BA27" s="111">
        <f t="shared" si="9"/>
        <v>55505</v>
      </c>
      <c r="BB27" s="700">
        <f t="shared" ref="BB27:BC27" si="81">B27+S27+AJ27</f>
        <v>0</v>
      </c>
      <c r="BC27" s="700">
        <f t="shared" si="81"/>
        <v>0</v>
      </c>
      <c r="BD27" s="700">
        <f t="shared" ref="BD27:BO27" si="82">D27+U27+AM27</f>
        <v>4</v>
      </c>
      <c r="BE27" s="700">
        <f t="shared" si="82"/>
        <v>4</v>
      </c>
      <c r="BF27" s="700">
        <f t="shared" si="82"/>
        <v>14</v>
      </c>
      <c r="BG27" s="700">
        <f t="shared" si="82"/>
        <v>0</v>
      </c>
      <c r="BH27" s="700">
        <f t="shared" si="82"/>
        <v>0</v>
      </c>
      <c r="BI27" s="700">
        <f t="shared" si="82"/>
        <v>3</v>
      </c>
      <c r="BJ27" s="700">
        <f t="shared" si="82"/>
        <v>0</v>
      </c>
      <c r="BK27" s="700">
        <f t="shared" si="82"/>
        <v>4</v>
      </c>
      <c r="BL27" s="700">
        <f t="shared" si="82"/>
        <v>4</v>
      </c>
      <c r="BM27" s="700">
        <f t="shared" si="82"/>
        <v>22</v>
      </c>
      <c r="BN27" s="700">
        <f t="shared" si="82"/>
        <v>0</v>
      </c>
      <c r="BO27" s="700">
        <f t="shared" si="82"/>
        <v>0</v>
      </c>
      <c r="BP27" s="701">
        <f t="shared" si="12"/>
        <v>46076</v>
      </c>
      <c r="BQ27" s="718">
        <f t="shared" si="22"/>
        <v>406901</v>
      </c>
      <c r="BR27" s="703">
        <f t="shared" si="13"/>
        <v>45358</v>
      </c>
      <c r="BS27" s="704">
        <f t="shared" si="14"/>
        <v>452259</v>
      </c>
      <c r="BT27" s="712"/>
      <c r="BU27" s="705">
        <f t="shared" si="15"/>
        <v>452259</v>
      </c>
      <c r="BV27" s="656"/>
      <c r="BW27" s="719">
        <f t="shared" ref="BW27:BX27" si="83">Q27+AH27+AZ27</f>
        <v>0</v>
      </c>
      <c r="BX27" s="261">
        <f t="shared" si="83"/>
        <v>160039</v>
      </c>
      <c r="BY27" s="720">
        <f t="shared" si="17"/>
        <v>292220</v>
      </c>
      <c r="BZ27" s="637"/>
      <c r="CA27" s="637"/>
      <c r="CB27" s="637"/>
      <c r="CC27" s="637"/>
      <c r="CD27" s="637"/>
      <c r="CE27" s="638"/>
      <c r="CF27" s="637"/>
      <c r="CG27" s="637"/>
      <c r="CH27" s="637"/>
      <c r="CI27" s="637"/>
      <c r="CJ27" s="637"/>
      <c r="CK27" s="637"/>
      <c r="CL27" s="637"/>
      <c r="CM27" s="637"/>
    </row>
    <row r="28" ht="15.75" customHeight="1">
      <c r="A28" s="693">
        <f t="shared" si="19"/>
        <v>46077</v>
      </c>
      <c r="B28" s="712"/>
      <c r="C28" s="712"/>
      <c r="D28" s="711">
        <v>1.0</v>
      </c>
      <c r="E28" s="711">
        <v>1.0</v>
      </c>
      <c r="F28" s="711">
        <v>7.0</v>
      </c>
      <c r="G28" s="712"/>
      <c r="H28" s="712"/>
      <c r="I28" s="473"/>
      <c r="J28" s="712"/>
      <c r="K28" s="473"/>
      <c r="L28" s="713">
        <v>2.0</v>
      </c>
      <c r="M28" s="711">
        <v>6.0</v>
      </c>
      <c r="N28" s="712"/>
      <c r="O28" s="714"/>
      <c r="P28" s="698">
        <f t="shared" si="4"/>
        <v>18111</v>
      </c>
      <c r="Q28" s="473"/>
      <c r="R28" s="715">
        <f t="shared" si="5"/>
        <v>96486</v>
      </c>
      <c r="S28" s="712"/>
      <c r="T28" s="712"/>
      <c r="U28" s="473"/>
      <c r="V28" s="473"/>
      <c r="W28" s="711">
        <v>2.0</v>
      </c>
      <c r="X28" s="712"/>
      <c r="Y28" s="712"/>
      <c r="Z28" s="711">
        <v>1.0</v>
      </c>
      <c r="AA28" s="712"/>
      <c r="AB28" s="711">
        <v>1.0</v>
      </c>
      <c r="AC28" s="713">
        <v>1.0</v>
      </c>
      <c r="AD28" s="473"/>
      <c r="AE28" s="712"/>
      <c r="AF28" s="714"/>
      <c r="AG28" s="698">
        <f t="shared" si="6"/>
        <v>4688</v>
      </c>
      <c r="AH28" s="473"/>
      <c r="AI28" s="111">
        <f t="shared" si="7"/>
        <v>30847</v>
      </c>
      <c r="AJ28" s="712"/>
      <c r="AK28" s="712"/>
      <c r="AL28" s="473"/>
      <c r="AM28" s="711">
        <v>2.0</v>
      </c>
      <c r="AN28" s="711">
        <v>1.0</v>
      </c>
      <c r="AO28" s="713">
        <v>2.0</v>
      </c>
      <c r="AP28" s="712"/>
      <c r="AQ28" s="473"/>
      <c r="AR28" s="712"/>
      <c r="AS28" s="473"/>
      <c r="AT28" s="712"/>
      <c r="AU28" s="473"/>
      <c r="AV28" s="712"/>
      <c r="AW28" s="714"/>
      <c r="AX28" s="717"/>
      <c r="AY28" s="698">
        <f t="shared" si="8"/>
        <v>8495</v>
      </c>
      <c r="AZ28" s="711"/>
      <c r="BA28" s="111">
        <f t="shared" si="9"/>
        <v>64000</v>
      </c>
      <c r="BB28" s="700">
        <f t="shared" ref="BB28:BC28" si="84">B28+S28+AJ28</f>
        <v>0</v>
      </c>
      <c r="BC28" s="700">
        <f t="shared" si="84"/>
        <v>0</v>
      </c>
      <c r="BD28" s="700">
        <f t="shared" ref="BD28:BO28" si="85">D28+U28+AM28</f>
        <v>3</v>
      </c>
      <c r="BE28" s="700">
        <f t="shared" si="85"/>
        <v>2</v>
      </c>
      <c r="BF28" s="700">
        <f t="shared" si="85"/>
        <v>11</v>
      </c>
      <c r="BG28" s="700">
        <f t="shared" si="85"/>
        <v>0</v>
      </c>
      <c r="BH28" s="700">
        <f t="shared" si="85"/>
        <v>0</v>
      </c>
      <c r="BI28" s="700">
        <f t="shared" si="85"/>
        <v>1</v>
      </c>
      <c r="BJ28" s="700">
        <f t="shared" si="85"/>
        <v>0</v>
      </c>
      <c r="BK28" s="700">
        <f t="shared" si="85"/>
        <v>1</v>
      </c>
      <c r="BL28" s="700">
        <f t="shared" si="85"/>
        <v>3</v>
      </c>
      <c r="BM28" s="700">
        <f t="shared" si="85"/>
        <v>6</v>
      </c>
      <c r="BN28" s="700">
        <f t="shared" si="85"/>
        <v>0</v>
      </c>
      <c r="BO28" s="700">
        <f t="shared" si="85"/>
        <v>0</v>
      </c>
      <c r="BP28" s="701">
        <f t="shared" si="12"/>
        <v>46077</v>
      </c>
      <c r="BQ28" s="718">
        <f t="shared" si="22"/>
        <v>452259</v>
      </c>
      <c r="BR28" s="703">
        <f t="shared" si="13"/>
        <v>31294</v>
      </c>
      <c r="BS28" s="704">
        <f t="shared" si="14"/>
        <v>483553</v>
      </c>
      <c r="BT28" s="473"/>
      <c r="BU28" s="705">
        <f t="shared" si="15"/>
        <v>483553</v>
      </c>
      <c r="BV28" s="656"/>
      <c r="BW28" s="719">
        <f t="shared" ref="BW28:BX28" si="86">Q28+AH28+AZ28</f>
        <v>0</v>
      </c>
      <c r="BX28" s="261">
        <f t="shared" si="86"/>
        <v>191333</v>
      </c>
      <c r="BY28" s="720">
        <f t="shared" si="17"/>
        <v>292220</v>
      </c>
      <c r="BZ28" s="637"/>
      <c r="CA28" s="637"/>
      <c r="CB28" s="637"/>
      <c r="CC28" s="637"/>
      <c r="CD28" s="637"/>
      <c r="CE28" s="638"/>
      <c r="CF28" s="637"/>
      <c r="CG28" s="637"/>
      <c r="CH28" s="637"/>
      <c r="CI28" s="637"/>
      <c r="CJ28" s="637"/>
      <c r="CK28" s="637"/>
      <c r="CL28" s="637"/>
      <c r="CM28" s="637"/>
    </row>
    <row r="29" ht="15.75" customHeight="1">
      <c r="A29" s="693">
        <f t="shared" si="19"/>
        <v>46078</v>
      </c>
      <c r="B29" s="473"/>
      <c r="C29" s="473"/>
      <c r="D29" s="711">
        <v>2.0</v>
      </c>
      <c r="E29" s="711">
        <v>1.0</v>
      </c>
      <c r="F29" s="711">
        <v>2.0</v>
      </c>
      <c r="G29" s="712"/>
      <c r="H29" s="473"/>
      <c r="I29" s="473"/>
      <c r="J29" s="712"/>
      <c r="K29" s="711">
        <v>2.0</v>
      </c>
      <c r="L29" s="712"/>
      <c r="M29" s="473"/>
      <c r="N29" s="473"/>
      <c r="O29" s="714"/>
      <c r="P29" s="698">
        <f t="shared" si="4"/>
        <v>8935</v>
      </c>
      <c r="Q29" s="712"/>
      <c r="R29" s="715">
        <f t="shared" si="5"/>
        <v>105421</v>
      </c>
      <c r="S29" s="473"/>
      <c r="T29" s="473"/>
      <c r="U29" s="711">
        <v>1.0</v>
      </c>
      <c r="V29" s="711">
        <v>1.0</v>
      </c>
      <c r="W29" s="711">
        <v>1.0</v>
      </c>
      <c r="X29" s="712"/>
      <c r="Y29" s="473"/>
      <c r="Z29" s="473"/>
      <c r="AA29" s="712"/>
      <c r="AB29" s="473"/>
      <c r="AC29" s="713">
        <v>2.0</v>
      </c>
      <c r="AD29" s="711">
        <v>5.0</v>
      </c>
      <c r="AE29" s="473"/>
      <c r="AF29" s="714"/>
      <c r="AG29" s="698">
        <f t="shared" si="6"/>
        <v>6597</v>
      </c>
      <c r="AH29" s="712"/>
      <c r="AI29" s="111">
        <f t="shared" si="7"/>
        <v>37444</v>
      </c>
      <c r="AJ29" s="473"/>
      <c r="AK29" s="473"/>
      <c r="AL29" s="473"/>
      <c r="AM29" s="711">
        <v>3.0</v>
      </c>
      <c r="AN29" s="473"/>
      <c r="AO29" s="713">
        <v>2.0</v>
      </c>
      <c r="AP29" s="473"/>
      <c r="AQ29" s="473"/>
      <c r="AR29" s="712"/>
      <c r="AS29" s="473"/>
      <c r="AT29" s="713">
        <v>4.0</v>
      </c>
      <c r="AU29" s="473"/>
      <c r="AV29" s="711">
        <v>5.0</v>
      </c>
      <c r="AW29" s="716">
        <v>20.0</v>
      </c>
      <c r="AX29" s="717"/>
      <c r="AY29" s="698">
        <f t="shared" si="8"/>
        <v>15275</v>
      </c>
      <c r="AZ29" s="713"/>
      <c r="BA29" s="111">
        <f t="shared" si="9"/>
        <v>79275</v>
      </c>
      <c r="BB29" s="700">
        <f t="shared" ref="BB29:BC29" si="87">B29+S29+AJ29</f>
        <v>0</v>
      </c>
      <c r="BC29" s="700">
        <f t="shared" si="87"/>
        <v>0</v>
      </c>
      <c r="BD29" s="700">
        <f t="shared" ref="BD29:BO29" si="88">D29+U29+AM29</f>
        <v>6</v>
      </c>
      <c r="BE29" s="700">
        <f t="shared" si="88"/>
        <v>2</v>
      </c>
      <c r="BF29" s="700">
        <f t="shared" si="88"/>
        <v>5</v>
      </c>
      <c r="BG29" s="700">
        <f t="shared" si="88"/>
        <v>0</v>
      </c>
      <c r="BH29" s="700">
        <f t="shared" si="88"/>
        <v>0</v>
      </c>
      <c r="BI29" s="700">
        <f t="shared" si="88"/>
        <v>0</v>
      </c>
      <c r="BJ29" s="700">
        <f t="shared" si="88"/>
        <v>0</v>
      </c>
      <c r="BK29" s="700">
        <f t="shared" si="88"/>
        <v>6</v>
      </c>
      <c r="BL29" s="700">
        <f t="shared" si="88"/>
        <v>2</v>
      </c>
      <c r="BM29" s="700">
        <f t="shared" si="88"/>
        <v>10</v>
      </c>
      <c r="BN29" s="700">
        <f t="shared" si="88"/>
        <v>20</v>
      </c>
      <c r="BO29" s="700">
        <f t="shared" si="88"/>
        <v>0</v>
      </c>
      <c r="BP29" s="701">
        <f t="shared" si="12"/>
        <v>46078</v>
      </c>
      <c r="BQ29" s="718">
        <f t="shared" si="22"/>
        <v>483553</v>
      </c>
      <c r="BR29" s="703">
        <f t="shared" si="13"/>
        <v>30807</v>
      </c>
      <c r="BS29" s="704">
        <f t="shared" si="14"/>
        <v>514360</v>
      </c>
      <c r="BT29" s="713">
        <v>140860.0</v>
      </c>
      <c r="BU29" s="705">
        <f t="shared" si="15"/>
        <v>373500</v>
      </c>
      <c r="BV29" s="656"/>
      <c r="BW29" s="719">
        <f t="shared" ref="BW29:BX29" si="89">Q29+AH29+AZ29</f>
        <v>0</v>
      </c>
      <c r="BX29" s="261">
        <f t="shared" si="89"/>
        <v>222140</v>
      </c>
      <c r="BY29" s="720">
        <f t="shared" si="17"/>
        <v>151360</v>
      </c>
      <c r="BZ29" s="637"/>
      <c r="CA29" s="637"/>
      <c r="CB29" s="637"/>
      <c r="CC29" s="637"/>
      <c r="CD29" s="637"/>
      <c r="CE29" s="638"/>
      <c r="CF29" s="637"/>
      <c r="CG29" s="637"/>
      <c r="CH29" s="637"/>
      <c r="CI29" s="637"/>
      <c r="CJ29" s="637"/>
      <c r="CK29" s="637"/>
      <c r="CL29" s="637"/>
      <c r="CM29" s="637"/>
    </row>
    <row r="30" ht="15.75" customHeight="1">
      <c r="A30" s="693">
        <f t="shared" si="19"/>
        <v>46079</v>
      </c>
      <c r="B30" s="473"/>
      <c r="C30" s="473"/>
      <c r="D30" s="711">
        <v>1.0</v>
      </c>
      <c r="E30" s="711">
        <v>1.0</v>
      </c>
      <c r="F30" s="711">
        <v>6.0</v>
      </c>
      <c r="G30" s="712"/>
      <c r="H30" s="711">
        <v>3.0</v>
      </c>
      <c r="I30" s="711"/>
      <c r="J30" s="712"/>
      <c r="K30" s="711">
        <v>2.0</v>
      </c>
      <c r="L30" s="713">
        <v>2.0</v>
      </c>
      <c r="M30" s="473"/>
      <c r="N30" s="711">
        <v>10.0</v>
      </c>
      <c r="O30" s="714"/>
      <c r="P30" s="698">
        <f t="shared" si="4"/>
        <v>19507</v>
      </c>
      <c r="Q30" s="712"/>
      <c r="R30" s="715">
        <f t="shared" si="5"/>
        <v>124928</v>
      </c>
      <c r="S30" s="473"/>
      <c r="T30" s="473"/>
      <c r="U30" s="711">
        <v>1.0</v>
      </c>
      <c r="V30" s="473"/>
      <c r="W30" s="711">
        <v>3.0</v>
      </c>
      <c r="X30" s="712"/>
      <c r="Y30" s="711">
        <v>2.0</v>
      </c>
      <c r="Z30" s="711">
        <v>3.0</v>
      </c>
      <c r="AA30" s="712"/>
      <c r="AB30" s="711">
        <v>3.0</v>
      </c>
      <c r="AC30" s="713">
        <v>1.0</v>
      </c>
      <c r="AD30" s="711">
        <v>5.0</v>
      </c>
      <c r="AE30" s="473"/>
      <c r="AF30" s="714"/>
      <c r="AG30" s="698">
        <f t="shared" si="6"/>
        <v>10116</v>
      </c>
      <c r="AH30" s="713">
        <v>46800.0</v>
      </c>
      <c r="AI30" s="111">
        <f t="shared" si="7"/>
        <v>760</v>
      </c>
      <c r="AJ30" s="473"/>
      <c r="AK30" s="473"/>
      <c r="AL30" s="473"/>
      <c r="AM30" s="711">
        <v>1.0</v>
      </c>
      <c r="AN30" s="473"/>
      <c r="AO30" s="713">
        <v>4.0</v>
      </c>
      <c r="AP30" s="473"/>
      <c r="AQ30" s="711">
        <v>2.0</v>
      </c>
      <c r="AR30" s="713">
        <v>5.0</v>
      </c>
      <c r="AS30" s="473"/>
      <c r="AT30" s="713">
        <v>4.0</v>
      </c>
      <c r="AU30" s="473"/>
      <c r="AV30" s="473"/>
      <c r="AW30" s="714"/>
      <c r="AX30" s="717"/>
      <c r="AY30" s="698">
        <f t="shared" si="8"/>
        <v>11625</v>
      </c>
      <c r="AZ30" s="713">
        <v>95847.0</v>
      </c>
      <c r="BA30" s="111">
        <f t="shared" si="9"/>
        <v>-4947</v>
      </c>
      <c r="BB30" s="700">
        <f t="shared" ref="BB30:BC30" si="90">B30+S30+AJ30</f>
        <v>0</v>
      </c>
      <c r="BC30" s="700">
        <f t="shared" si="90"/>
        <v>0</v>
      </c>
      <c r="BD30" s="700">
        <f t="shared" ref="BD30:BO30" si="91">D30+U30+AM30</f>
        <v>3</v>
      </c>
      <c r="BE30" s="700">
        <f t="shared" si="91"/>
        <v>1</v>
      </c>
      <c r="BF30" s="700">
        <f t="shared" si="91"/>
        <v>13</v>
      </c>
      <c r="BG30" s="700">
        <f t="shared" si="91"/>
        <v>0</v>
      </c>
      <c r="BH30" s="700">
        <f t="shared" si="91"/>
        <v>7</v>
      </c>
      <c r="BI30" s="700">
        <f t="shared" si="91"/>
        <v>8</v>
      </c>
      <c r="BJ30" s="700">
        <f t="shared" si="91"/>
        <v>0</v>
      </c>
      <c r="BK30" s="700">
        <f t="shared" si="91"/>
        <v>9</v>
      </c>
      <c r="BL30" s="700">
        <f t="shared" si="91"/>
        <v>3</v>
      </c>
      <c r="BM30" s="700">
        <f t="shared" si="91"/>
        <v>5</v>
      </c>
      <c r="BN30" s="700">
        <f t="shared" si="91"/>
        <v>10</v>
      </c>
      <c r="BO30" s="700">
        <f t="shared" si="91"/>
        <v>0</v>
      </c>
      <c r="BP30" s="701">
        <f t="shared" si="12"/>
        <v>46079</v>
      </c>
      <c r="BQ30" s="718">
        <f t="shared" si="22"/>
        <v>373500</v>
      </c>
      <c r="BR30" s="703">
        <f t="shared" si="13"/>
        <v>41248</v>
      </c>
      <c r="BS30" s="704">
        <f t="shared" si="14"/>
        <v>414748</v>
      </c>
      <c r="BT30" s="711">
        <v>403947.0</v>
      </c>
      <c r="BU30" s="705">
        <f t="shared" si="15"/>
        <v>10801</v>
      </c>
      <c r="BV30" s="656"/>
      <c r="BW30" s="719">
        <f t="shared" ref="BW30:BX30" si="92">Q30+AH30+AZ30</f>
        <v>142647</v>
      </c>
      <c r="BX30" s="261">
        <f t="shared" si="92"/>
        <v>120741</v>
      </c>
      <c r="BY30" s="720">
        <f t="shared" si="17"/>
        <v>-109940</v>
      </c>
      <c r="BZ30" s="637"/>
      <c r="CA30" s="637"/>
      <c r="CB30" s="637"/>
      <c r="CC30" s="637"/>
      <c r="CD30" s="637"/>
      <c r="CE30" s="638"/>
      <c r="CF30" s="637"/>
      <c r="CG30" s="637"/>
      <c r="CH30" s="637"/>
      <c r="CI30" s="637"/>
      <c r="CJ30" s="637"/>
      <c r="CK30" s="637"/>
      <c r="CL30" s="637"/>
      <c r="CM30" s="637"/>
    </row>
    <row r="31" ht="15.75" customHeight="1">
      <c r="A31" s="693">
        <f t="shared" si="19"/>
        <v>46080</v>
      </c>
      <c r="B31" s="712"/>
      <c r="C31" s="712"/>
      <c r="D31" s="711">
        <v>3.0</v>
      </c>
      <c r="E31" s="711">
        <v>2.0</v>
      </c>
      <c r="F31" s="711">
        <v>4.0</v>
      </c>
      <c r="G31" s="712"/>
      <c r="H31" s="713">
        <v>3.0</v>
      </c>
      <c r="I31" s="711">
        <v>2.0</v>
      </c>
      <c r="J31" s="712"/>
      <c r="K31" s="711">
        <v>2.0</v>
      </c>
      <c r="L31" s="713">
        <v>2.0</v>
      </c>
      <c r="M31" s="711">
        <v>10.0</v>
      </c>
      <c r="N31" s="711">
        <v>10.0</v>
      </c>
      <c r="O31" s="714"/>
      <c r="P31" s="698">
        <f t="shared" si="4"/>
        <v>22046</v>
      </c>
      <c r="Q31" s="473"/>
      <c r="R31" s="715">
        <f t="shared" si="5"/>
        <v>146974</v>
      </c>
      <c r="S31" s="712"/>
      <c r="T31" s="712"/>
      <c r="U31" s="711">
        <v>1.0</v>
      </c>
      <c r="V31" s="711">
        <v>1.0</v>
      </c>
      <c r="W31" s="711">
        <v>2.0</v>
      </c>
      <c r="X31" s="712"/>
      <c r="Y31" s="713">
        <v>2.0</v>
      </c>
      <c r="Z31" s="473"/>
      <c r="AA31" s="712"/>
      <c r="AB31" s="473"/>
      <c r="AC31" s="713">
        <v>3.0</v>
      </c>
      <c r="AD31" s="473"/>
      <c r="AE31" s="473"/>
      <c r="AF31" s="714"/>
      <c r="AG31" s="698">
        <f t="shared" si="6"/>
        <v>8896</v>
      </c>
      <c r="AH31" s="473"/>
      <c r="AI31" s="111">
        <f t="shared" si="7"/>
        <v>9656</v>
      </c>
      <c r="AJ31" s="712"/>
      <c r="AK31" s="712"/>
      <c r="AL31" s="473"/>
      <c r="AM31" s="711">
        <v>3.0</v>
      </c>
      <c r="AN31" s="711">
        <v>1.0</v>
      </c>
      <c r="AO31" s="713">
        <v>8.0</v>
      </c>
      <c r="AP31" s="712"/>
      <c r="AQ31" s="473"/>
      <c r="AR31" s="713">
        <v>4.0</v>
      </c>
      <c r="AS31" s="473"/>
      <c r="AT31" s="713">
        <v>5.0</v>
      </c>
      <c r="AU31" s="711">
        <v>5.0</v>
      </c>
      <c r="AV31" s="473"/>
      <c r="AW31" s="714"/>
      <c r="AX31" s="717"/>
      <c r="AY31" s="698">
        <f t="shared" si="8"/>
        <v>25618</v>
      </c>
      <c r="AZ31" s="711"/>
      <c r="BA31" s="111">
        <f t="shared" si="9"/>
        <v>20671</v>
      </c>
      <c r="BB31" s="700">
        <f t="shared" ref="BB31:BC31" si="93">B31+S31+AJ31</f>
        <v>0</v>
      </c>
      <c r="BC31" s="700">
        <f t="shared" si="93"/>
        <v>0</v>
      </c>
      <c r="BD31" s="700">
        <f t="shared" ref="BD31:BO31" si="94">D31+U31+AM31</f>
        <v>7</v>
      </c>
      <c r="BE31" s="700">
        <f t="shared" si="94"/>
        <v>4</v>
      </c>
      <c r="BF31" s="700">
        <f t="shared" si="94"/>
        <v>14</v>
      </c>
      <c r="BG31" s="700">
        <f t="shared" si="94"/>
        <v>0</v>
      </c>
      <c r="BH31" s="700">
        <f t="shared" si="94"/>
        <v>5</v>
      </c>
      <c r="BI31" s="700">
        <f t="shared" si="94"/>
        <v>6</v>
      </c>
      <c r="BJ31" s="700">
        <f t="shared" si="94"/>
        <v>0</v>
      </c>
      <c r="BK31" s="700">
        <f t="shared" si="94"/>
        <v>7</v>
      </c>
      <c r="BL31" s="700">
        <f t="shared" si="94"/>
        <v>10</v>
      </c>
      <c r="BM31" s="700">
        <f t="shared" si="94"/>
        <v>10</v>
      </c>
      <c r="BN31" s="700">
        <f t="shared" si="94"/>
        <v>10</v>
      </c>
      <c r="BO31" s="700">
        <f t="shared" si="94"/>
        <v>0</v>
      </c>
      <c r="BP31" s="701">
        <f t="shared" si="12"/>
        <v>46080</v>
      </c>
      <c r="BQ31" s="718">
        <f t="shared" si="22"/>
        <v>10801</v>
      </c>
      <c r="BR31" s="703">
        <f t="shared" si="13"/>
        <v>56560</v>
      </c>
      <c r="BS31" s="704">
        <f t="shared" si="14"/>
        <v>67361</v>
      </c>
      <c r="BT31" s="711">
        <v>95249.0</v>
      </c>
      <c r="BU31" s="705">
        <f t="shared" si="15"/>
        <v>-27888</v>
      </c>
      <c r="BV31" s="656"/>
      <c r="BW31" s="719">
        <f t="shared" ref="BW31:BX31" si="95">Q31+AH31+AZ31</f>
        <v>0</v>
      </c>
      <c r="BX31" s="261">
        <f t="shared" si="95"/>
        <v>177301</v>
      </c>
      <c r="BY31" s="720">
        <f t="shared" si="17"/>
        <v>-205189</v>
      </c>
      <c r="BZ31" s="637"/>
      <c r="CA31" s="637"/>
      <c r="CB31" s="637"/>
      <c r="CC31" s="637"/>
      <c r="CD31" s="637"/>
      <c r="CE31" s="638"/>
      <c r="CF31" s="637"/>
      <c r="CG31" s="637"/>
      <c r="CH31" s="637"/>
      <c r="CI31" s="637"/>
      <c r="CJ31" s="637"/>
      <c r="CK31" s="637"/>
      <c r="CL31" s="637"/>
      <c r="CM31" s="637"/>
    </row>
    <row r="32" ht="15.75" customHeight="1">
      <c r="A32" s="693">
        <f t="shared" si="19"/>
        <v>46081</v>
      </c>
      <c r="B32" s="711">
        <v>1.0</v>
      </c>
      <c r="C32" s="711">
        <v>3.0</v>
      </c>
      <c r="D32" s="711">
        <v>3.0</v>
      </c>
      <c r="E32" s="711">
        <v>2.0</v>
      </c>
      <c r="F32" s="711">
        <v>9.0</v>
      </c>
      <c r="G32" s="712"/>
      <c r="H32" s="711">
        <v>3.0</v>
      </c>
      <c r="I32" s="711">
        <v>3.0</v>
      </c>
      <c r="J32" s="712"/>
      <c r="K32" s="711">
        <v>3.0</v>
      </c>
      <c r="L32" s="713">
        <v>2.0</v>
      </c>
      <c r="M32" s="711">
        <v>5.0</v>
      </c>
      <c r="N32" s="473"/>
      <c r="O32" s="714"/>
      <c r="P32" s="698">
        <f t="shared" si="4"/>
        <v>31931</v>
      </c>
      <c r="Q32" s="713">
        <v>178905.0</v>
      </c>
      <c r="R32" s="715">
        <f t="shared" si="5"/>
        <v>0</v>
      </c>
      <c r="S32" s="711">
        <v>2.0</v>
      </c>
      <c r="T32" s="711">
        <v>31.0</v>
      </c>
      <c r="U32" s="711">
        <v>2.0</v>
      </c>
      <c r="V32" s="473"/>
      <c r="W32" s="711">
        <v>3.0</v>
      </c>
      <c r="X32" s="712"/>
      <c r="Y32" s="473"/>
      <c r="Z32" s="711">
        <v>2.0</v>
      </c>
      <c r="AA32" s="712"/>
      <c r="AB32" s="711">
        <v>3.0</v>
      </c>
      <c r="AC32" s="713">
        <v>2.0</v>
      </c>
      <c r="AD32" s="473"/>
      <c r="AE32" s="473"/>
      <c r="AF32" s="714"/>
      <c r="AG32" s="698">
        <f t="shared" si="6"/>
        <v>44795</v>
      </c>
      <c r="AH32" s="713">
        <v>54451.0</v>
      </c>
      <c r="AI32" s="111">
        <f t="shared" si="7"/>
        <v>0</v>
      </c>
      <c r="AJ32" s="711">
        <v>1.0</v>
      </c>
      <c r="AK32" s="711">
        <v>6.0</v>
      </c>
      <c r="AL32" s="711">
        <v>1.0</v>
      </c>
      <c r="AM32" s="711">
        <v>3.0</v>
      </c>
      <c r="AN32" s="711">
        <v>1.0</v>
      </c>
      <c r="AO32" s="713">
        <v>5.0</v>
      </c>
      <c r="AP32" s="473"/>
      <c r="AQ32" s="473"/>
      <c r="AR32" s="713">
        <v>2.0</v>
      </c>
      <c r="AS32" s="473"/>
      <c r="AT32" s="713">
        <v>2.0</v>
      </c>
      <c r="AU32" s="473"/>
      <c r="AV32" s="473"/>
      <c r="AW32" s="714"/>
      <c r="AX32" s="717"/>
      <c r="AY32" s="698">
        <f t="shared" si="8"/>
        <v>25570</v>
      </c>
      <c r="AZ32" s="713">
        <v>46241.0</v>
      </c>
      <c r="BA32" s="111">
        <f t="shared" si="9"/>
        <v>0</v>
      </c>
      <c r="BB32" s="700">
        <f t="shared" ref="BB32:BC32" si="96">B32+S32+AJ32</f>
        <v>4</v>
      </c>
      <c r="BC32" s="700">
        <f t="shared" si="96"/>
        <v>40</v>
      </c>
      <c r="BD32" s="700">
        <f t="shared" ref="BD32:BO32" si="97">D32+U32+AM32</f>
        <v>8</v>
      </c>
      <c r="BE32" s="700">
        <f t="shared" si="97"/>
        <v>3</v>
      </c>
      <c r="BF32" s="700">
        <f t="shared" si="97"/>
        <v>17</v>
      </c>
      <c r="BG32" s="700">
        <f t="shared" si="97"/>
        <v>0</v>
      </c>
      <c r="BH32" s="700">
        <f t="shared" si="97"/>
        <v>3</v>
      </c>
      <c r="BI32" s="700">
        <f t="shared" si="97"/>
        <v>7</v>
      </c>
      <c r="BJ32" s="700">
        <f t="shared" si="97"/>
        <v>0</v>
      </c>
      <c r="BK32" s="700">
        <f t="shared" si="97"/>
        <v>8</v>
      </c>
      <c r="BL32" s="700">
        <f t="shared" si="97"/>
        <v>4</v>
      </c>
      <c r="BM32" s="700">
        <f t="shared" si="97"/>
        <v>5</v>
      </c>
      <c r="BN32" s="700">
        <f t="shared" si="97"/>
        <v>0</v>
      </c>
      <c r="BO32" s="700">
        <f t="shared" si="97"/>
        <v>0</v>
      </c>
      <c r="BP32" s="701">
        <f t="shared" si="12"/>
        <v>46081</v>
      </c>
      <c r="BQ32" s="718">
        <f t="shared" si="22"/>
        <v>-27888</v>
      </c>
      <c r="BR32" s="703">
        <f t="shared" si="13"/>
        <v>102296</v>
      </c>
      <c r="BS32" s="704">
        <f t="shared" si="14"/>
        <v>74408</v>
      </c>
      <c r="BT32" s="713">
        <v>70000.0</v>
      </c>
      <c r="BU32" s="705">
        <f t="shared" si="15"/>
        <v>4408</v>
      </c>
      <c r="BV32" s="656"/>
      <c r="BW32" s="719">
        <f t="shared" ref="BW32:BX32" si="98">Q32+AH32+AZ32</f>
        <v>279597</v>
      </c>
      <c r="BX32" s="261">
        <f t="shared" si="98"/>
        <v>0</v>
      </c>
      <c r="BY32" s="720">
        <f t="shared" si="17"/>
        <v>4408</v>
      </c>
      <c r="BZ32" s="637"/>
      <c r="CA32" s="740"/>
      <c r="CB32" s="637"/>
      <c r="CC32" s="637"/>
      <c r="CD32" s="637"/>
      <c r="CE32" s="638"/>
      <c r="CF32" s="637"/>
      <c r="CG32" s="637"/>
      <c r="CH32" s="637"/>
      <c r="CI32" s="637"/>
      <c r="CJ32" s="637"/>
      <c r="CK32" s="637"/>
      <c r="CL32" s="637"/>
      <c r="CM32" s="637"/>
    </row>
    <row r="33" ht="15.75" hidden="1" customHeight="1">
      <c r="A33" s="693">
        <f t="shared" si="19"/>
        <v>46082</v>
      </c>
      <c r="B33" s="712"/>
      <c r="C33" s="712"/>
      <c r="D33" s="473"/>
      <c r="E33" s="473"/>
      <c r="F33" s="473"/>
      <c r="G33" s="712"/>
      <c r="H33" s="473"/>
      <c r="I33" s="473"/>
      <c r="J33" s="712"/>
      <c r="K33" s="473"/>
      <c r="L33" s="712"/>
      <c r="M33" s="473"/>
      <c r="N33" s="473"/>
      <c r="O33" s="714"/>
      <c r="P33" s="698">
        <f t="shared" si="4"/>
        <v>0</v>
      </c>
      <c r="Q33" s="712"/>
      <c r="R33" s="715">
        <f t="shared" si="5"/>
        <v>0</v>
      </c>
      <c r="S33" s="712"/>
      <c r="T33" s="712"/>
      <c r="U33" s="473"/>
      <c r="V33" s="473"/>
      <c r="W33" s="473"/>
      <c r="X33" s="712"/>
      <c r="Y33" s="473"/>
      <c r="Z33" s="473"/>
      <c r="AA33" s="712"/>
      <c r="AB33" s="473"/>
      <c r="AC33" s="712"/>
      <c r="AD33" s="473"/>
      <c r="AE33" s="473"/>
      <c r="AF33" s="714"/>
      <c r="AG33" s="698">
        <f t="shared" si="6"/>
        <v>0</v>
      </c>
      <c r="AH33" s="712"/>
      <c r="AI33" s="111">
        <f t="shared" si="7"/>
        <v>0</v>
      </c>
      <c r="AJ33" s="712"/>
      <c r="AK33" s="712"/>
      <c r="AL33" s="473"/>
      <c r="AM33" s="473"/>
      <c r="AN33" s="473"/>
      <c r="AO33" s="712"/>
      <c r="AP33" s="473"/>
      <c r="AQ33" s="473"/>
      <c r="AR33" s="712"/>
      <c r="AS33" s="473"/>
      <c r="AT33" s="712"/>
      <c r="AU33" s="473"/>
      <c r="AV33" s="473"/>
      <c r="AW33" s="714"/>
      <c r="AX33" s="717"/>
      <c r="AY33" s="698">
        <f t="shared" si="8"/>
        <v>0</v>
      </c>
      <c r="AZ33" s="712"/>
      <c r="BA33" s="111">
        <f t="shared" si="9"/>
        <v>0</v>
      </c>
      <c r="BB33" s="700">
        <f t="shared" ref="BB33:BC33" si="99">B33+S33+AJ33</f>
        <v>0</v>
      </c>
      <c r="BC33" s="700">
        <f t="shared" si="99"/>
        <v>0</v>
      </c>
      <c r="BD33" s="700">
        <f t="shared" ref="BD33:BO33" si="100">D33+U33+AM33</f>
        <v>0</v>
      </c>
      <c r="BE33" s="700">
        <f t="shared" si="100"/>
        <v>0</v>
      </c>
      <c r="BF33" s="700">
        <f t="shared" si="100"/>
        <v>0</v>
      </c>
      <c r="BG33" s="700">
        <f t="shared" si="100"/>
        <v>0</v>
      </c>
      <c r="BH33" s="700">
        <f t="shared" si="100"/>
        <v>0</v>
      </c>
      <c r="BI33" s="700">
        <f t="shared" si="100"/>
        <v>0</v>
      </c>
      <c r="BJ33" s="700">
        <f t="shared" si="100"/>
        <v>0</v>
      </c>
      <c r="BK33" s="700">
        <f t="shared" si="100"/>
        <v>0</v>
      </c>
      <c r="BL33" s="700">
        <f t="shared" si="100"/>
        <v>0</v>
      </c>
      <c r="BM33" s="700">
        <f t="shared" si="100"/>
        <v>0</v>
      </c>
      <c r="BN33" s="700">
        <f t="shared" si="100"/>
        <v>0</v>
      </c>
      <c r="BO33" s="700">
        <f t="shared" si="100"/>
        <v>0</v>
      </c>
      <c r="BP33" s="701">
        <f t="shared" si="12"/>
        <v>46082</v>
      </c>
      <c r="BQ33" s="718">
        <f t="shared" si="22"/>
        <v>4408</v>
      </c>
      <c r="BR33" s="703">
        <f t="shared" si="13"/>
        <v>0</v>
      </c>
      <c r="BS33" s="704">
        <f t="shared" si="14"/>
        <v>4408</v>
      </c>
      <c r="BT33" s="712"/>
      <c r="BU33" s="705">
        <f t="shared" si="15"/>
        <v>4408</v>
      </c>
      <c r="BV33" s="656"/>
      <c r="BW33" s="719">
        <f t="shared" ref="BW33:BX33" si="101">Q33+AH33+AZ33</f>
        <v>0</v>
      </c>
      <c r="BX33" s="261">
        <f t="shared" si="101"/>
        <v>0</v>
      </c>
      <c r="BY33" s="720">
        <f t="shared" si="17"/>
        <v>4408</v>
      </c>
      <c r="BZ33" s="637"/>
      <c r="CA33" s="637"/>
      <c r="CB33" s="637"/>
      <c r="CC33" s="637"/>
      <c r="CD33" s="637"/>
      <c r="CE33" s="638"/>
      <c r="CF33" s="637"/>
      <c r="CG33" s="637"/>
      <c r="CH33" s="637"/>
      <c r="CI33" s="637"/>
      <c r="CJ33" s="637"/>
      <c r="CK33" s="637"/>
      <c r="CL33" s="637"/>
      <c r="CM33" s="637"/>
    </row>
    <row r="34" ht="15.75" hidden="1" customHeight="1">
      <c r="A34" s="693">
        <f t="shared" si="19"/>
        <v>46083</v>
      </c>
      <c r="B34" s="712"/>
      <c r="C34" s="712"/>
      <c r="D34" s="473"/>
      <c r="E34" s="473"/>
      <c r="F34" s="473"/>
      <c r="G34" s="712"/>
      <c r="H34" s="473"/>
      <c r="I34" s="473"/>
      <c r="J34" s="712"/>
      <c r="K34" s="473"/>
      <c r="L34" s="712"/>
      <c r="M34" s="473"/>
      <c r="N34" s="473"/>
      <c r="O34" s="714"/>
      <c r="P34" s="698">
        <f t="shared" si="4"/>
        <v>0</v>
      </c>
      <c r="Q34" s="712"/>
      <c r="R34" s="715">
        <f t="shared" si="5"/>
        <v>0</v>
      </c>
      <c r="S34" s="712"/>
      <c r="T34" s="712"/>
      <c r="U34" s="473"/>
      <c r="V34" s="473"/>
      <c r="W34" s="473"/>
      <c r="X34" s="712"/>
      <c r="Y34" s="473"/>
      <c r="Z34" s="473"/>
      <c r="AA34" s="712"/>
      <c r="AB34" s="473"/>
      <c r="AC34" s="712"/>
      <c r="AD34" s="473"/>
      <c r="AE34" s="473"/>
      <c r="AF34" s="714"/>
      <c r="AG34" s="698">
        <f t="shared" si="6"/>
        <v>0</v>
      </c>
      <c r="AH34" s="712"/>
      <c r="AI34" s="111">
        <f t="shared" si="7"/>
        <v>0</v>
      </c>
      <c r="AJ34" s="712"/>
      <c r="AK34" s="712"/>
      <c r="AL34" s="473"/>
      <c r="AM34" s="473"/>
      <c r="AN34" s="473"/>
      <c r="AO34" s="712"/>
      <c r="AP34" s="473"/>
      <c r="AQ34" s="473"/>
      <c r="AR34" s="712"/>
      <c r="AS34" s="473"/>
      <c r="AT34" s="712"/>
      <c r="AU34" s="473"/>
      <c r="AV34" s="473"/>
      <c r="AW34" s="714"/>
      <c r="AX34" s="717"/>
      <c r="AY34" s="698">
        <f t="shared" si="8"/>
        <v>0</v>
      </c>
      <c r="AZ34" s="712"/>
      <c r="BA34" s="111">
        <f t="shared" si="9"/>
        <v>0</v>
      </c>
      <c r="BB34" s="700">
        <f t="shared" ref="BB34:BC34" si="102">B34+S34+AJ34</f>
        <v>0</v>
      </c>
      <c r="BC34" s="700">
        <f t="shared" si="102"/>
        <v>0</v>
      </c>
      <c r="BD34" s="700">
        <f t="shared" ref="BD34:BO34" si="103">D34+U34+AM34</f>
        <v>0</v>
      </c>
      <c r="BE34" s="700">
        <f t="shared" si="103"/>
        <v>0</v>
      </c>
      <c r="BF34" s="700">
        <f t="shared" si="103"/>
        <v>0</v>
      </c>
      <c r="BG34" s="700">
        <f t="shared" si="103"/>
        <v>0</v>
      </c>
      <c r="BH34" s="700">
        <f t="shared" si="103"/>
        <v>0</v>
      </c>
      <c r="BI34" s="700">
        <f t="shared" si="103"/>
        <v>0</v>
      </c>
      <c r="BJ34" s="700">
        <f t="shared" si="103"/>
        <v>0</v>
      </c>
      <c r="BK34" s="700">
        <f t="shared" si="103"/>
        <v>0</v>
      </c>
      <c r="BL34" s="700">
        <f t="shared" si="103"/>
        <v>0</v>
      </c>
      <c r="BM34" s="700">
        <f t="shared" si="103"/>
        <v>0</v>
      </c>
      <c r="BN34" s="700">
        <f t="shared" si="103"/>
        <v>0</v>
      </c>
      <c r="BO34" s="700">
        <f t="shared" si="103"/>
        <v>0</v>
      </c>
      <c r="BP34" s="701">
        <f t="shared" si="12"/>
        <v>46083</v>
      </c>
      <c r="BQ34" s="718">
        <f t="shared" si="22"/>
        <v>4408</v>
      </c>
      <c r="BR34" s="703">
        <f t="shared" si="13"/>
        <v>0</v>
      </c>
      <c r="BS34" s="704">
        <f t="shared" si="14"/>
        <v>4408</v>
      </c>
      <c r="BT34" s="712"/>
      <c r="BU34" s="705">
        <f t="shared" si="15"/>
        <v>4408</v>
      </c>
      <c r="BV34" s="656"/>
      <c r="BW34" s="719">
        <f t="shared" ref="BW34:BX34" si="104">Q34+AH34+AZ34</f>
        <v>0</v>
      </c>
      <c r="BX34" s="261">
        <f t="shared" si="104"/>
        <v>0</v>
      </c>
      <c r="BY34" s="720">
        <f t="shared" si="17"/>
        <v>4408</v>
      </c>
      <c r="BZ34" s="637"/>
      <c r="CA34" s="637"/>
      <c r="CB34" s="637"/>
      <c r="CC34" s="637"/>
      <c r="CD34" s="637"/>
      <c r="CE34" s="638"/>
      <c r="CF34" s="637"/>
      <c r="CG34" s="637"/>
      <c r="CH34" s="637"/>
      <c r="CI34" s="637"/>
      <c r="CJ34" s="637"/>
      <c r="CK34" s="637"/>
      <c r="CL34" s="637"/>
      <c r="CM34" s="637"/>
    </row>
    <row r="35" ht="15.75" hidden="1" customHeight="1">
      <c r="A35" s="693">
        <f t="shared" si="19"/>
        <v>46084</v>
      </c>
      <c r="B35" s="741"/>
      <c r="C35" s="741"/>
      <c r="D35" s="741"/>
      <c r="E35" s="741"/>
      <c r="F35" s="741"/>
      <c r="G35" s="741"/>
      <c r="H35" s="741"/>
      <c r="I35" s="741"/>
      <c r="J35" s="741"/>
      <c r="K35" s="741"/>
      <c r="L35" s="741"/>
      <c r="M35" s="741"/>
      <c r="N35" s="741"/>
      <c r="O35" s="742"/>
      <c r="P35" s="698">
        <f t="shared" si="4"/>
        <v>0</v>
      </c>
      <c r="Q35" s="741"/>
      <c r="R35" s="715">
        <f t="shared" si="5"/>
        <v>0</v>
      </c>
      <c r="S35" s="741"/>
      <c r="T35" s="741"/>
      <c r="U35" s="741"/>
      <c r="V35" s="741"/>
      <c r="W35" s="741"/>
      <c r="X35" s="741"/>
      <c r="Y35" s="741"/>
      <c r="Z35" s="741"/>
      <c r="AA35" s="741"/>
      <c r="AB35" s="741"/>
      <c r="AC35" s="741"/>
      <c r="AD35" s="741"/>
      <c r="AE35" s="741"/>
      <c r="AF35" s="742"/>
      <c r="AG35" s="698">
        <f t="shared" si="6"/>
        <v>0</v>
      </c>
      <c r="AH35" s="741"/>
      <c r="AI35" s="111">
        <f t="shared" si="7"/>
        <v>0</v>
      </c>
      <c r="AJ35" s="741"/>
      <c r="AK35" s="741"/>
      <c r="AL35" s="741"/>
      <c r="AM35" s="741"/>
      <c r="AN35" s="741"/>
      <c r="AO35" s="741"/>
      <c r="AP35" s="741"/>
      <c r="AQ35" s="741"/>
      <c r="AR35" s="741"/>
      <c r="AS35" s="741"/>
      <c r="AT35" s="741"/>
      <c r="AU35" s="741"/>
      <c r="AV35" s="741"/>
      <c r="AW35" s="742"/>
      <c r="AX35" s="743"/>
      <c r="AY35" s="698">
        <f t="shared" si="8"/>
        <v>0</v>
      </c>
      <c r="AZ35" s="741"/>
      <c r="BA35" s="111">
        <f t="shared" si="9"/>
        <v>0</v>
      </c>
      <c r="BB35" s="744">
        <f t="shared" ref="BB35:BC35" si="105">B35+S35+AJ35</f>
        <v>0</v>
      </c>
      <c r="BC35" s="744">
        <f t="shared" si="105"/>
        <v>0</v>
      </c>
      <c r="BD35" s="744">
        <f t="shared" ref="BD35:BO35" si="106">D35+U35+AM35</f>
        <v>0</v>
      </c>
      <c r="BE35" s="744">
        <f t="shared" si="106"/>
        <v>0</v>
      </c>
      <c r="BF35" s="744">
        <f t="shared" si="106"/>
        <v>0</v>
      </c>
      <c r="BG35" s="744">
        <f t="shared" si="106"/>
        <v>0</v>
      </c>
      <c r="BH35" s="744">
        <f t="shared" si="106"/>
        <v>0</v>
      </c>
      <c r="BI35" s="700">
        <f t="shared" si="106"/>
        <v>0</v>
      </c>
      <c r="BJ35" s="700">
        <f t="shared" si="106"/>
        <v>0</v>
      </c>
      <c r="BK35" s="700">
        <f t="shared" si="106"/>
        <v>0</v>
      </c>
      <c r="BL35" s="700">
        <f t="shared" si="106"/>
        <v>0</v>
      </c>
      <c r="BM35" s="700">
        <f t="shared" si="106"/>
        <v>0</v>
      </c>
      <c r="BN35" s="700">
        <f t="shared" si="106"/>
        <v>0</v>
      </c>
      <c r="BO35" s="700">
        <f t="shared" si="106"/>
        <v>0</v>
      </c>
      <c r="BP35" s="701">
        <f t="shared" si="12"/>
        <v>46084</v>
      </c>
      <c r="BQ35" s="745">
        <f t="shared" si="22"/>
        <v>4408</v>
      </c>
      <c r="BR35" s="746">
        <f t="shared" si="13"/>
        <v>0</v>
      </c>
      <c r="BS35" s="747">
        <f t="shared" si="14"/>
        <v>4408</v>
      </c>
      <c r="BT35" s="741"/>
      <c r="BU35" s="748">
        <f t="shared" si="15"/>
        <v>4408</v>
      </c>
      <c r="BV35" s="656"/>
      <c r="BW35" s="719">
        <f t="shared" ref="BW35:BX35" si="107">Q35+AH35+AZ35</f>
        <v>0</v>
      </c>
      <c r="BX35" s="261">
        <f t="shared" si="107"/>
        <v>0</v>
      </c>
      <c r="BY35" s="720">
        <f t="shared" si="17"/>
        <v>4408</v>
      </c>
      <c r="BZ35" s="637"/>
      <c r="CA35" s="637"/>
      <c r="CB35" s="637"/>
      <c r="CC35" s="637"/>
      <c r="CD35" s="637"/>
      <c r="CE35" s="638"/>
      <c r="CF35" s="637"/>
      <c r="CG35" s="637"/>
      <c r="CH35" s="637"/>
      <c r="CI35" s="637"/>
      <c r="CJ35" s="637"/>
      <c r="CK35" s="637"/>
      <c r="CL35" s="637"/>
      <c r="CM35" s="637"/>
    </row>
    <row r="36" ht="15.75" customHeight="1">
      <c r="A36" s="749"/>
      <c r="B36" s="750">
        <f t="shared" ref="B36:Q36" si="108">SUM(B5:B35)</f>
        <v>11</v>
      </c>
      <c r="C36" s="750">
        <f t="shared" si="108"/>
        <v>58</v>
      </c>
      <c r="D36" s="750">
        <f t="shared" si="108"/>
        <v>89</v>
      </c>
      <c r="E36" s="750">
        <f t="shared" si="108"/>
        <v>72</v>
      </c>
      <c r="F36" s="750">
        <f t="shared" si="108"/>
        <v>367</v>
      </c>
      <c r="G36" s="750">
        <f t="shared" si="108"/>
        <v>0</v>
      </c>
      <c r="H36" s="750">
        <f t="shared" si="108"/>
        <v>98</v>
      </c>
      <c r="I36" s="750">
        <f t="shared" si="108"/>
        <v>50</v>
      </c>
      <c r="J36" s="750">
        <f t="shared" si="108"/>
        <v>0</v>
      </c>
      <c r="K36" s="750">
        <f t="shared" si="108"/>
        <v>115</v>
      </c>
      <c r="L36" s="750">
        <f t="shared" si="108"/>
        <v>212</v>
      </c>
      <c r="M36" s="750">
        <f t="shared" si="108"/>
        <v>256</v>
      </c>
      <c r="N36" s="750">
        <f t="shared" si="108"/>
        <v>259</v>
      </c>
      <c r="O36" s="750">
        <f t="shared" si="108"/>
        <v>0</v>
      </c>
      <c r="P36" s="750">
        <f t="shared" si="108"/>
        <v>1277067</v>
      </c>
      <c r="Q36" s="750">
        <f t="shared" si="108"/>
        <v>1277067</v>
      </c>
      <c r="R36" s="751">
        <f>R4+P36-Q36</f>
        <v>0</v>
      </c>
      <c r="S36" s="750">
        <f t="shared" ref="S36:AH36" si="109">SUM(S5:S35)</f>
        <v>12</v>
      </c>
      <c r="T36" s="750">
        <f t="shared" si="109"/>
        <v>108</v>
      </c>
      <c r="U36" s="750">
        <f t="shared" si="109"/>
        <v>46</v>
      </c>
      <c r="V36" s="750">
        <f t="shared" si="109"/>
        <v>25</v>
      </c>
      <c r="W36" s="750">
        <f t="shared" si="109"/>
        <v>127</v>
      </c>
      <c r="X36" s="750">
        <f t="shared" si="109"/>
        <v>0</v>
      </c>
      <c r="Y36" s="750">
        <f t="shared" si="109"/>
        <v>29</v>
      </c>
      <c r="Z36" s="750">
        <f t="shared" si="109"/>
        <v>59</v>
      </c>
      <c r="AA36" s="750">
        <f t="shared" si="109"/>
        <v>6</v>
      </c>
      <c r="AB36" s="750">
        <f t="shared" si="109"/>
        <v>109</v>
      </c>
      <c r="AC36" s="750">
        <f t="shared" si="109"/>
        <v>106</v>
      </c>
      <c r="AD36" s="750">
        <f t="shared" si="109"/>
        <v>162</v>
      </c>
      <c r="AE36" s="750">
        <f t="shared" si="109"/>
        <v>100</v>
      </c>
      <c r="AF36" s="750">
        <f t="shared" si="109"/>
        <v>0</v>
      </c>
      <c r="AG36" s="750">
        <f t="shared" si="109"/>
        <v>612897</v>
      </c>
      <c r="AH36" s="750">
        <f t="shared" si="109"/>
        <v>612897</v>
      </c>
      <c r="AI36" s="752">
        <f>AI4+AG36-AH36</f>
        <v>0</v>
      </c>
      <c r="AJ36" s="750">
        <f t="shared" ref="AJ36:AZ36" si="110">SUM(AJ5:AJ35)</f>
        <v>22</v>
      </c>
      <c r="AK36" s="750">
        <f t="shared" si="110"/>
        <v>99</v>
      </c>
      <c r="AL36" s="750">
        <f t="shared" si="110"/>
        <v>2</v>
      </c>
      <c r="AM36" s="750">
        <f t="shared" si="110"/>
        <v>73</v>
      </c>
      <c r="AN36" s="750">
        <f t="shared" si="110"/>
        <v>38</v>
      </c>
      <c r="AO36" s="750">
        <f t="shared" si="110"/>
        <v>214</v>
      </c>
      <c r="AP36" s="750">
        <f t="shared" si="110"/>
        <v>0</v>
      </c>
      <c r="AQ36" s="750">
        <f t="shared" si="110"/>
        <v>79</v>
      </c>
      <c r="AR36" s="750">
        <f t="shared" si="110"/>
        <v>74</v>
      </c>
      <c r="AS36" s="750">
        <f t="shared" si="110"/>
        <v>0</v>
      </c>
      <c r="AT36" s="750">
        <f t="shared" si="110"/>
        <v>143</v>
      </c>
      <c r="AU36" s="750">
        <f t="shared" si="110"/>
        <v>152</v>
      </c>
      <c r="AV36" s="750">
        <f t="shared" si="110"/>
        <v>148</v>
      </c>
      <c r="AW36" s="750">
        <f t="shared" si="110"/>
        <v>220</v>
      </c>
      <c r="AX36" s="750">
        <f t="shared" si="110"/>
        <v>0</v>
      </c>
      <c r="AY36" s="753">
        <f t="shared" si="110"/>
        <v>910198</v>
      </c>
      <c r="AZ36" s="750">
        <f t="shared" si="110"/>
        <v>910198</v>
      </c>
      <c r="BA36" s="751">
        <f>BA4+AY36-AZ36</f>
        <v>0</v>
      </c>
      <c r="BB36" s="754">
        <f t="shared" ref="BB36:BC36" si="111">B36+S36+AJ36</f>
        <v>45</v>
      </c>
      <c r="BC36" s="754">
        <f t="shared" si="111"/>
        <v>265</v>
      </c>
      <c r="BD36" s="754">
        <f t="shared" ref="BD36:BI36" si="112">D36+U36+AM36</f>
        <v>208</v>
      </c>
      <c r="BE36" s="754">
        <f t="shared" si="112"/>
        <v>135</v>
      </c>
      <c r="BF36" s="754">
        <f t="shared" si="112"/>
        <v>708</v>
      </c>
      <c r="BG36" s="754">
        <f t="shared" si="112"/>
        <v>0</v>
      </c>
      <c r="BH36" s="754">
        <f t="shared" si="112"/>
        <v>206</v>
      </c>
      <c r="BI36" s="754">
        <f t="shared" si="112"/>
        <v>183</v>
      </c>
      <c r="BJ36" s="755">
        <f t="shared" ref="BJ36:BO36" si="113">SUM(BJ5:BJ35)</f>
        <v>6</v>
      </c>
      <c r="BK36" s="755">
        <f t="shared" si="113"/>
        <v>367</v>
      </c>
      <c r="BL36" s="755">
        <f t="shared" si="113"/>
        <v>470</v>
      </c>
      <c r="BM36" s="755">
        <f t="shared" si="113"/>
        <v>566</v>
      </c>
      <c r="BN36" s="755">
        <f t="shared" si="113"/>
        <v>579</v>
      </c>
      <c r="BO36" s="755">
        <f t="shared" si="113"/>
        <v>0</v>
      </c>
      <c r="BP36" s="701"/>
      <c r="BQ36" s="756">
        <f>BQ5</f>
        <v>420</v>
      </c>
      <c r="BR36" s="757">
        <f>SUM(BR5:BR35)</f>
        <v>2800162</v>
      </c>
      <c r="BS36" s="758">
        <f>+BQ36+BR36</f>
        <v>2800582</v>
      </c>
      <c r="BT36" s="758">
        <f>SUM(BT5:BT35)</f>
        <v>2796174</v>
      </c>
      <c r="BU36" s="759">
        <f>+BQ36+BR36-BT36</f>
        <v>4408</v>
      </c>
      <c r="BV36" s="760"/>
      <c r="BW36" s="761">
        <f>SUM(BW5:BW35)</f>
        <v>2800162</v>
      </c>
      <c r="BX36" s="762">
        <f t="shared" ref="BX36:BY36" si="114">BX35</f>
        <v>0</v>
      </c>
      <c r="BY36" s="763">
        <f t="shared" si="114"/>
        <v>4408</v>
      </c>
      <c r="BZ36" s="637"/>
      <c r="CA36" s="637"/>
      <c r="CB36" s="637"/>
      <c r="CC36" s="637"/>
      <c r="CD36" s="637"/>
      <c r="CE36" s="638"/>
      <c r="CF36" s="637"/>
      <c r="CG36" s="637"/>
      <c r="CH36" s="637"/>
      <c r="CI36" s="637"/>
      <c r="CJ36" s="637"/>
      <c r="CK36" s="637"/>
      <c r="CL36" s="637"/>
      <c r="CM36" s="637"/>
    </row>
    <row r="37" ht="15.75" customHeight="1">
      <c r="A37" s="764"/>
      <c r="B37" s="765" t="e">
        <v>#DIV/0!</v>
      </c>
      <c r="D37" s="766">
        <f t="shared" ref="D37:R37" si="115">AVERAGE(D5:D35)</f>
        <v>3.296296296</v>
      </c>
      <c r="E37" s="766">
        <f t="shared" si="115"/>
        <v>2.571428571</v>
      </c>
      <c r="F37" s="766">
        <f t="shared" si="115"/>
        <v>13.10714286</v>
      </c>
      <c r="G37" s="766" t="str">
        <f t="shared" si="115"/>
        <v>#DIV/0!</v>
      </c>
      <c r="H37" s="766">
        <f t="shared" si="115"/>
        <v>7</v>
      </c>
      <c r="I37" s="766">
        <f t="shared" si="115"/>
        <v>3.333333333</v>
      </c>
      <c r="J37" s="766" t="str">
        <f t="shared" si="115"/>
        <v>#DIV/0!</v>
      </c>
      <c r="K37" s="766">
        <f t="shared" si="115"/>
        <v>4.259259259</v>
      </c>
      <c r="L37" s="766">
        <f t="shared" si="115"/>
        <v>8.48</v>
      </c>
      <c r="M37" s="766">
        <f t="shared" si="115"/>
        <v>12.19047619</v>
      </c>
      <c r="N37" s="766">
        <f t="shared" si="115"/>
        <v>18.5</v>
      </c>
      <c r="O37" s="766" t="str">
        <f t="shared" si="115"/>
        <v>#DIV/0!</v>
      </c>
      <c r="P37" s="766">
        <f t="shared" si="115"/>
        <v>41195.70968</v>
      </c>
      <c r="Q37" s="766">
        <f t="shared" si="115"/>
        <v>159633.375</v>
      </c>
      <c r="R37" s="766">
        <f t="shared" si="115"/>
        <v>56217.6129</v>
      </c>
      <c r="S37" s="767" t="e">
        <v>#DIV/0!</v>
      </c>
      <c r="T37" s="768"/>
      <c r="U37" s="766">
        <f t="shared" ref="U37:AG37" si="116">AVERAGE(U5:U35)</f>
        <v>1.769230769</v>
      </c>
      <c r="V37" s="766">
        <f t="shared" si="116"/>
        <v>1.315789474</v>
      </c>
      <c r="W37" s="766">
        <f t="shared" si="116"/>
        <v>4.535714286</v>
      </c>
      <c r="X37" s="766" t="str">
        <f t="shared" si="116"/>
        <v>#DIV/0!</v>
      </c>
      <c r="Y37" s="766">
        <f t="shared" si="116"/>
        <v>2.071428571</v>
      </c>
      <c r="Z37" s="766">
        <f t="shared" si="116"/>
        <v>3.933333333</v>
      </c>
      <c r="AA37" s="766">
        <f t="shared" si="116"/>
        <v>6</v>
      </c>
      <c r="AB37" s="766">
        <f t="shared" si="116"/>
        <v>5.45</v>
      </c>
      <c r="AC37" s="766">
        <f t="shared" si="116"/>
        <v>3.785714286</v>
      </c>
      <c r="AD37" s="766">
        <f t="shared" si="116"/>
        <v>8.526315789</v>
      </c>
      <c r="AE37" s="766">
        <f t="shared" si="116"/>
        <v>33.33333333</v>
      </c>
      <c r="AF37" s="766" t="str">
        <f t="shared" si="116"/>
        <v>#DIV/0!</v>
      </c>
      <c r="AG37" s="766">
        <f t="shared" si="116"/>
        <v>19770.87097</v>
      </c>
      <c r="AH37" s="769"/>
      <c r="AI37" s="769"/>
      <c r="AJ37" s="770" t="e">
        <v>#DIV/0!</v>
      </c>
      <c r="AL37" s="594"/>
      <c r="AM37" s="766">
        <f t="shared" ref="AM37:AY37" si="117">AVERAGE(AM5:AM35)</f>
        <v>2.703703704</v>
      </c>
      <c r="AN37" s="766">
        <f t="shared" si="117"/>
        <v>1.727272727</v>
      </c>
      <c r="AO37" s="766">
        <f t="shared" si="117"/>
        <v>7.642857143</v>
      </c>
      <c r="AP37" s="766" t="str">
        <f t="shared" si="117"/>
        <v>#DIV/0!</v>
      </c>
      <c r="AQ37" s="766">
        <f t="shared" si="117"/>
        <v>4.647058824</v>
      </c>
      <c r="AR37" s="766">
        <f t="shared" si="117"/>
        <v>5.285714286</v>
      </c>
      <c r="AS37" s="766">
        <f t="shared" si="117"/>
        <v>0</v>
      </c>
      <c r="AT37" s="766">
        <f t="shared" si="117"/>
        <v>6.217391304</v>
      </c>
      <c r="AU37" s="766">
        <f t="shared" si="117"/>
        <v>7.238095238</v>
      </c>
      <c r="AV37" s="766">
        <f t="shared" si="117"/>
        <v>7.789473684</v>
      </c>
      <c r="AW37" s="766">
        <f t="shared" si="117"/>
        <v>20</v>
      </c>
      <c r="AX37" s="766" t="str">
        <f t="shared" si="117"/>
        <v>#DIV/0!</v>
      </c>
      <c r="AY37" s="766">
        <f t="shared" si="117"/>
        <v>29361.22581</v>
      </c>
      <c r="AZ37" s="766"/>
      <c r="BA37" s="766"/>
      <c r="BB37" s="771">
        <f>BB36/12</f>
        <v>3.75</v>
      </c>
      <c r="BD37" s="766">
        <f t="shared" ref="BD37:BO37" si="118">AVERAGE(BD5:BD35)</f>
        <v>6.709677419</v>
      </c>
      <c r="BE37" s="766">
        <f t="shared" si="118"/>
        <v>4.35483871</v>
      </c>
      <c r="BF37" s="766">
        <f t="shared" si="118"/>
        <v>22.83870968</v>
      </c>
      <c r="BG37" s="766">
        <f t="shared" si="118"/>
        <v>0</v>
      </c>
      <c r="BH37" s="766">
        <f t="shared" si="118"/>
        <v>6.64516129</v>
      </c>
      <c r="BI37" s="766">
        <f t="shared" si="118"/>
        <v>5.903225806</v>
      </c>
      <c r="BJ37" s="766">
        <f t="shared" si="118"/>
        <v>0.1935483871</v>
      </c>
      <c r="BK37" s="766">
        <f t="shared" si="118"/>
        <v>11.83870968</v>
      </c>
      <c r="BL37" s="766">
        <f t="shared" si="118"/>
        <v>15.16129032</v>
      </c>
      <c r="BM37" s="766">
        <f t="shared" si="118"/>
        <v>18.25806452</v>
      </c>
      <c r="BN37" s="766">
        <f t="shared" si="118"/>
        <v>18.67741935</v>
      </c>
      <c r="BO37" s="766">
        <f t="shared" si="118"/>
        <v>0</v>
      </c>
      <c r="BP37" s="769"/>
      <c r="BQ37" s="771"/>
      <c r="BR37" s="771">
        <f>BR36/27</f>
        <v>103709.7037</v>
      </c>
      <c r="BS37" s="138"/>
      <c r="BT37" s="407" t="s">
        <v>535</v>
      </c>
      <c r="BU37" s="637">
        <f>R36+AI36+BA36</f>
        <v>0</v>
      </c>
      <c r="BV37" s="769"/>
      <c r="BW37" s="769"/>
      <c r="BX37" s="407"/>
      <c r="BY37" s="407"/>
      <c r="BZ37" s="637"/>
      <c r="CA37" s="637"/>
      <c r="CB37" s="637"/>
      <c r="CC37" s="637"/>
      <c r="CD37" s="637"/>
      <c r="CE37" s="637"/>
      <c r="CF37" s="637"/>
      <c r="CG37" s="637"/>
      <c r="CH37" s="637"/>
      <c r="CI37" s="637"/>
      <c r="CJ37" s="637"/>
      <c r="CK37" s="637"/>
      <c r="CL37" s="637"/>
      <c r="CM37" s="637"/>
    </row>
    <row r="38" ht="15.75" customHeight="1">
      <c r="A38" s="637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33">
        <f>P36/12</f>
        <v>106422.25</v>
      </c>
      <c r="Q38" s="407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33">
        <f>AG36/12</f>
        <v>51074.75</v>
      </c>
      <c r="AH38" s="109"/>
      <c r="AI38" s="772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33">
        <f>AY36/12</f>
        <v>75849.83333</v>
      </c>
      <c r="AZ38" s="773"/>
      <c r="BA38" s="773"/>
      <c r="BB38" s="109"/>
      <c r="BC38" s="109"/>
      <c r="BD38" s="133" t="s">
        <v>536</v>
      </c>
      <c r="BE38" s="133"/>
      <c r="BF38" s="133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33" t="s">
        <v>537</v>
      </c>
      <c r="BS38" s="109"/>
      <c r="BT38" s="109" t="s">
        <v>510</v>
      </c>
      <c r="BU38" s="638">
        <f>+BU36-BU37</f>
        <v>4408</v>
      </c>
      <c r="BV38" s="109"/>
      <c r="BW38" s="109"/>
      <c r="BX38" s="109"/>
      <c r="BY38" s="109"/>
      <c r="BZ38" s="637"/>
      <c r="CA38" s="637"/>
      <c r="CB38" s="637"/>
      <c r="CC38" s="637"/>
      <c r="CD38" s="637"/>
      <c r="CE38" s="637"/>
      <c r="CF38" s="637"/>
      <c r="CG38" s="637"/>
      <c r="CH38" s="637"/>
      <c r="CI38" s="637"/>
      <c r="CJ38" s="637"/>
      <c r="CK38" s="637"/>
      <c r="CL38" s="637"/>
      <c r="CM38" s="637"/>
    </row>
    <row r="39" ht="15.75" customHeight="1">
      <c r="A39" s="637"/>
      <c r="B39" s="637"/>
      <c r="C39" s="637"/>
      <c r="D39" s="637"/>
      <c r="E39" s="637"/>
      <c r="F39" s="637"/>
      <c r="G39" s="637"/>
      <c r="H39" s="637"/>
      <c r="I39" s="637"/>
      <c r="J39" s="637"/>
      <c r="K39" s="637"/>
      <c r="L39" s="637"/>
      <c r="M39" s="637"/>
      <c r="N39" s="637"/>
      <c r="O39" s="637"/>
      <c r="P39" s="637"/>
      <c r="Q39" s="637"/>
      <c r="R39" s="637"/>
      <c r="S39" s="774"/>
      <c r="T39" s="637"/>
      <c r="U39" s="637"/>
      <c r="V39" s="637"/>
      <c r="W39" s="637"/>
      <c r="X39" s="637"/>
      <c r="Y39" s="637"/>
      <c r="Z39" s="637"/>
      <c r="AA39" s="637"/>
      <c r="AB39" s="637"/>
      <c r="AC39" s="637"/>
      <c r="AD39" s="637"/>
      <c r="AE39" s="637"/>
      <c r="AF39" s="637"/>
      <c r="AG39" s="637"/>
      <c r="AH39" s="637"/>
      <c r="AI39" s="774"/>
      <c r="AJ39" s="637"/>
      <c r="AK39" s="637"/>
      <c r="AL39" s="637"/>
      <c r="AM39" s="637"/>
      <c r="AN39" s="637"/>
      <c r="AO39" s="637"/>
      <c r="AP39" s="637"/>
      <c r="AQ39" s="637"/>
      <c r="AR39" s="637"/>
      <c r="AS39" s="637"/>
      <c r="AT39" s="637"/>
      <c r="AU39" s="637"/>
      <c r="AV39" s="637"/>
      <c r="AW39" s="637"/>
      <c r="AX39" s="637"/>
      <c r="AY39" s="637"/>
      <c r="AZ39" s="774"/>
      <c r="BA39" s="774"/>
      <c r="BB39" s="637"/>
      <c r="BC39" s="637"/>
      <c r="BD39" s="637"/>
      <c r="BE39" s="637"/>
      <c r="BF39" s="637"/>
      <c r="BG39" s="637"/>
      <c r="BH39" s="637"/>
      <c r="BI39" s="637"/>
      <c r="BJ39" s="637"/>
      <c r="BK39" s="637"/>
      <c r="BL39" s="637"/>
      <c r="BM39" s="637"/>
      <c r="BN39" s="637"/>
      <c r="BO39" s="637"/>
      <c r="BP39" s="637"/>
      <c r="BQ39" s="637"/>
      <c r="BR39" s="637"/>
      <c r="BS39" s="637"/>
      <c r="BT39" s="637"/>
      <c r="BU39" s="637"/>
      <c r="BV39" s="637"/>
      <c r="BW39" s="637"/>
      <c r="BX39" s="637"/>
      <c r="BY39" s="637"/>
      <c r="BZ39" s="637"/>
      <c r="CA39" s="637"/>
      <c r="CB39" s="637"/>
      <c r="CC39" s="637"/>
      <c r="CD39" s="637"/>
      <c r="CE39" s="637"/>
      <c r="CF39" s="637"/>
      <c r="CG39" s="637"/>
      <c r="CH39" s="637"/>
      <c r="CI39" s="637"/>
      <c r="CJ39" s="637"/>
      <c r="CK39" s="637"/>
      <c r="CL39" s="637"/>
      <c r="CM39" s="637"/>
    </row>
    <row r="40" ht="15.75" customHeight="1">
      <c r="A40" s="637"/>
      <c r="B40" s="637"/>
      <c r="C40" s="637"/>
      <c r="D40" s="637"/>
      <c r="E40" s="637"/>
      <c r="F40" s="637"/>
      <c r="G40" s="637"/>
      <c r="H40" s="637"/>
      <c r="I40" s="637"/>
      <c r="J40" s="637"/>
      <c r="K40" s="637"/>
      <c r="L40" s="637"/>
      <c r="M40" s="637"/>
      <c r="N40" s="637"/>
      <c r="O40" s="637"/>
      <c r="P40" s="637"/>
      <c r="Q40" s="637"/>
      <c r="R40" s="638"/>
      <c r="S40" s="774"/>
      <c r="T40" s="637"/>
      <c r="U40" s="637"/>
      <c r="V40" s="637"/>
      <c r="W40" s="637"/>
      <c r="X40" s="637"/>
      <c r="Y40" s="637"/>
      <c r="Z40" s="637"/>
      <c r="AA40" s="637"/>
      <c r="AB40" s="637"/>
      <c r="AC40" s="637"/>
      <c r="AD40" s="637"/>
      <c r="AE40" s="637"/>
      <c r="AF40" s="637"/>
      <c r="AG40" s="637"/>
      <c r="AH40" s="637"/>
      <c r="AI40" s="774"/>
      <c r="AJ40" s="638"/>
      <c r="AK40" s="637"/>
      <c r="AL40" s="637"/>
      <c r="AM40" s="637"/>
      <c r="AN40" s="637"/>
      <c r="AO40" s="637"/>
      <c r="AP40" s="637"/>
      <c r="AQ40" s="637"/>
      <c r="AR40" s="637"/>
      <c r="AS40" s="637"/>
      <c r="AT40" s="637"/>
      <c r="AU40" s="637"/>
      <c r="AV40" s="637"/>
      <c r="AW40" s="637"/>
      <c r="AX40" s="637"/>
      <c r="AY40" s="637"/>
      <c r="AZ40" s="774"/>
      <c r="BA40" s="774"/>
      <c r="BB40" s="637"/>
      <c r="BC40" s="637"/>
      <c r="BD40" s="637"/>
      <c r="BE40" s="637"/>
      <c r="BF40" s="637"/>
      <c r="BG40" s="637"/>
      <c r="BH40" s="637"/>
      <c r="BI40" s="637"/>
      <c r="BJ40" s="637"/>
      <c r="BK40" s="637"/>
      <c r="BL40" s="637"/>
      <c r="BM40" s="637"/>
      <c r="BN40" s="637"/>
      <c r="BO40" s="637"/>
      <c r="BP40" s="637"/>
      <c r="BQ40" s="637"/>
      <c r="BR40" s="774"/>
      <c r="BS40" s="637"/>
      <c r="BT40" s="774">
        <v>140860.0</v>
      </c>
      <c r="BU40" s="637"/>
      <c r="BV40" s="637"/>
      <c r="BW40" s="637"/>
      <c r="BX40" s="637">
        <f>279597</f>
        <v>279597</v>
      </c>
      <c r="BY40" s="637"/>
      <c r="BZ40" s="637"/>
      <c r="CA40" s="637"/>
      <c r="CB40" s="637"/>
      <c r="CC40" s="637"/>
      <c r="CD40" s="637"/>
      <c r="CE40" s="637"/>
      <c r="CF40" s="637"/>
      <c r="CG40" s="637"/>
      <c r="CH40" s="637"/>
      <c r="CI40" s="637"/>
      <c r="CJ40" s="637"/>
      <c r="CK40" s="637"/>
      <c r="CL40" s="637"/>
      <c r="CM40" s="637"/>
    </row>
    <row r="41" ht="15.75" customHeight="1">
      <c r="A41" s="637"/>
      <c r="B41" s="637"/>
      <c r="C41" s="637"/>
      <c r="D41" s="637"/>
      <c r="E41" s="637"/>
      <c r="F41" s="637"/>
      <c r="G41" s="637"/>
      <c r="H41" s="637"/>
      <c r="I41" s="637"/>
      <c r="J41" s="637"/>
      <c r="K41" s="637"/>
      <c r="L41" s="637"/>
      <c r="M41" s="637"/>
      <c r="N41" s="637"/>
      <c r="O41" s="637"/>
      <c r="P41" s="637"/>
      <c r="Q41" s="637"/>
      <c r="R41" s="637"/>
      <c r="S41" s="774"/>
      <c r="T41" s="637"/>
      <c r="U41" s="637"/>
      <c r="V41" s="637"/>
      <c r="W41" s="637"/>
      <c r="X41" s="637"/>
      <c r="Y41" s="637"/>
      <c r="Z41" s="637"/>
      <c r="AA41" s="637"/>
      <c r="AB41" s="637"/>
      <c r="AC41" s="637"/>
      <c r="AD41" s="637"/>
      <c r="AE41" s="637"/>
      <c r="AF41" s="637"/>
      <c r="AG41" s="637"/>
      <c r="AH41" s="774"/>
      <c r="AI41" s="637"/>
      <c r="AJ41" s="637"/>
      <c r="AK41" s="637"/>
      <c r="AL41" s="637"/>
      <c r="AM41" s="637"/>
      <c r="AN41" s="637"/>
      <c r="AO41" s="637"/>
      <c r="AP41" s="637"/>
      <c r="AQ41" s="637"/>
      <c r="AR41" s="637"/>
      <c r="AS41" s="637"/>
      <c r="AT41" s="637"/>
      <c r="AU41" s="637"/>
      <c r="AV41" s="637"/>
      <c r="AW41" s="637"/>
      <c r="AX41" s="637"/>
      <c r="AY41" s="637"/>
      <c r="AZ41" s="637"/>
      <c r="BA41" s="774"/>
      <c r="BB41" s="637"/>
      <c r="BC41" s="637"/>
      <c r="BD41" s="637"/>
      <c r="BE41" s="637"/>
      <c r="BF41" s="637"/>
      <c r="BG41" s="637"/>
      <c r="BH41" s="637"/>
      <c r="BI41" s="637"/>
      <c r="BJ41" s="637"/>
      <c r="BK41" s="637"/>
      <c r="BL41" s="637"/>
      <c r="BM41" s="637"/>
      <c r="BN41" s="637"/>
      <c r="BO41" s="637"/>
      <c r="BP41" s="637"/>
      <c r="BQ41" s="637"/>
      <c r="BR41" s="637"/>
      <c r="BS41" s="637"/>
      <c r="BT41" s="774">
        <v>402947.0</v>
      </c>
      <c r="BU41" s="637"/>
      <c r="BV41" s="637"/>
      <c r="BW41" s="637"/>
      <c r="BX41" s="637">
        <f>236640</f>
        <v>236640</v>
      </c>
      <c r="BY41" s="637"/>
      <c r="BZ41" s="637"/>
      <c r="CA41" s="637"/>
      <c r="CB41" s="637"/>
      <c r="CC41" s="637"/>
      <c r="CD41" s="637"/>
      <c r="CE41" s="637"/>
      <c r="CF41" s="637"/>
      <c r="CG41" s="637"/>
      <c r="CH41" s="637"/>
      <c r="CI41" s="637"/>
      <c r="CJ41" s="637"/>
      <c r="CK41" s="637"/>
      <c r="CL41" s="637"/>
      <c r="CM41" s="637"/>
    </row>
    <row r="42" ht="15.75" customHeight="1">
      <c r="A42" s="637"/>
      <c r="B42" s="637"/>
      <c r="C42" s="637"/>
      <c r="D42" s="637"/>
      <c r="E42" s="637"/>
      <c r="F42" s="637"/>
      <c r="G42" s="637"/>
      <c r="H42" s="637"/>
      <c r="I42" s="637"/>
      <c r="J42" s="637"/>
      <c r="K42" s="637"/>
      <c r="L42" s="637"/>
      <c r="M42" s="637"/>
      <c r="N42" s="637"/>
      <c r="O42" s="637"/>
      <c r="P42" s="637"/>
      <c r="Q42" s="275" t="s">
        <v>538</v>
      </c>
      <c r="R42" s="275"/>
      <c r="S42" s="637"/>
      <c r="T42" s="637"/>
      <c r="U42" s="637"/>
      <c r="V42" s="637"/>
      <c r="W42" s="637"/>
      <c r="X42" s="637"/>
      <c r="Y42" s="637"/>
      <c r="Z42" s="637"/>
      <c r="AA42" s="637"/>
      <c r="AB42" s="637"/>
      <c r="AC42" s="637"/>
      <c r="AD42" s="637"/>
      <c r="AE42" s="637"/>
      <c r="AF42" s="637"/>
      <c r="AG42" s="637"/>
      <c r="AH42" s="774"/>
      <c r="AI42" s="637"/>
      <c r="AJ42" s="637"/>
      <c r="AK42" s="637"/>
      <c r="AL42" s="637"/>
      <c r="AM42" s="637"/>
      <c r="AN42" s="637"/>
      <c r="AO42" s="637"/>
      <c r="AP42" s="637"/>
      <c r="AQ42" s="637"/>
      <c r="AR42" s="637"/>
      <c r="AS42" s="637"/>
      <c r="AT42" s="637"/>
      <c r="AU42" s="637"/>
      <c r="AV42" s="637"/>
      <c r="AW42" s="637"/>
      <c r="AX42" s="637"/>
      <c r="AY42" s="637"/>
      <c r="AZ42" s="637"/>
      <c r="BA42" s="774"/>
      <c r="BB42" s="637"/>
      <c r="BC42" s="637"/>
      <c r="BD42" s="637"/>
      <c r="BE42" s="637"/>
      <c r="BF42" s="637"/>
      <c r="BG42" s="637"/>
      <c r="BH42" s="637"/>
      <c r="BI42" s="637"/>
      <c r="BJ42" s="637"/>
      <c r="BK42" s="637"/>
      <c r="BL42" s="637"/>
      <c r="BM42" s="637"/>
      <c r="BN42" s="637"/>
      <c r="BO42" s="637"/>
      <c r="BP42" s="637"/>
      <c r="BQ42" s="637"/>
      <c r="BR42" s="637"/>
      <c r="BS42" s="637"/>
      <c r="BT42" s="638">
        <f>BT41+BT40-BU36</f>
        <v>539399</v>
      </c>
      <c r="BU42" s="774"/>
      <c r="BV42" s="637"/>
      <c r="BW42" s="637"/>
      <c r="BX42" s="637">
        <f>BX41+BX40</f>
        <v>516237</v>
      </c>
      <c r="BY42" s="637"/>
      <c r="BZ42" s="637"/>
      <c r="CA42" s="637"/>
      <c r="CB42" s="637"/>
      <c r="CC42" s="637"/>
      <c r="CD42" s="637"/>
      <c r="CE42" s="637"/>
      <c r="CF42" s="637"/>
      <c r="CG42" s="637"/>
      <c r="CH42" s="637"/>
      <c r="CI42" s="637"/>
      <c r="CJ42" s="637"/>
      <c r="CK42" s="637"/>
      <c r="CL42" s="637"/>
      <c r="CM42" s="637"/>
    </row>
    <row r="43" ht="15.75" customHeight="1">
      <c r="A43" s="637"/>
      <c r="B43" s="637"/>
      <c r="C43" s="637"/>
      <c r="D43" s="637"/>
      <c r="E43" s="637"/>
      <c r="F43" s="637"/>
      <c r="G43" s="637"/>
      <c r="H43" s="637"/>
      <c r="I43" s="637"/>
      <c r="J43" s="637"/>
      <c r="K43" s="637"/>
      <c r="L43" s="637"/>
      <c r="M43" s="637"/>
      <c r="N43" s="637"/>
      <c r="O43" s="637"/>
      <c r="P43" s="637"/>
      <c r="Q43" s="775" t="s">
        <v>539</v>
      </c>
      <c r="R43" s="275"/>
      <c r="S43" s="637"/>
      <c r="T43" s="637"/>
      <c r="U43" s="637"/>
      <c r="V43" s="637"/>
      <c r="W43" s="637"/>
      <c r="X43" s="637"/>
      <c r="Y43" s="637"/>
      <c r="Z43" s="637"/>
      <c r="AA43" s="637"/>
      <c r="AB43" s="637"/>
      <c r="AC43" s="637"/>
      <c r="AD43" s="637"/>
      <c r="AE43" s="637"/>
      <c r="AF43" s="637"/>
      <c r="AG43" s="637"/>
      <c r="AH43" s="637"/>
      <c r="AI43" s="637"/>
      <c r="AJ43" s="637"/>
      <c r="AK43" s="637"/>
      <c r="AL43" s="637"/>
      <c r="AM43" s="637"/>
      <c r="AN43" s="637"/>
      <c r="AO43" s="637"/>
      <c r="AP43" s="637"/>
      <c r="AQ43" s="637"/>
      <c r="AR43" s="637"/>
      <c r="AS43" s="637"/>
      <c r="AT43" s="637"/>
      <c r="AU43" s="637"/>
      <c r="AV43" s="637"/>
      <c r="AW43" s="637"/>
      <c r="AX43" s="637"/>
      <c r="AY43" s="637"/>
      <c r="AZ43" s="637"/>
      <c r="BA43" s="637"/>
      <c r="BB43" s="637"/>
      <c r="BC43" s="637"/>
      <c r="BD43" s="637"/>
      <c r="BE43" s="637"/>
      <c r="BF43" s="637"/>
      <c r="BG43" s="637"/>
      <c r="BH43" s="637"/>
      <c r="BI43" s="637"/>
      <c r="BJ43" s="637"/>
      <c r="BK43" s="637"/>
      <c r="BL43" s="637"/>
      <c r="BM43" s="637"/>
      <c r="BN43" s="637"/>
      <c r="BO43" s="637"/>
      <c r="BP43" s="637"/>
      <c r="BR43" s="637"/>
      <c r="BS43" s="637"/>
      <c r="BT43" s="637"/>
      <c r="BU43" s="637"/>
      <c r="BV43" s="637"/>
      <c r="BW43" s="637"/>
      <c r="BX43" s="637"/>
      <c r="BY43" s="637"/>
      <c r="BZ43" s="637"/>
      <c r="CA43" s="637"/>
      <c r="CB43" s="637"/>
      <c r="CC43" s="637"/>
      <c r="CD43" s="637"/>
      <c r="CE43" s="637"/>
      <c r="CF43" s="637"/>
      <c r="CG43" s="637"/>
      <c r="CH43" s="637"/>
      <c r="CI43" s="637"/>
      <c r="CJ43" s="637"/>
      <c r="CK43" s="637"/>
      <c r="CL43" s="637"/>
      <c r="CM43" s="637"/>
    </row>
    <row r="44" ht="15.75" customHeight="1">
      <c r="A44" s="637"/>
      <c r="B44" s="637"/>
      <c r="C44" s="637"/>
      <c r="D44" s="637"/>
      <c r="E44" s="637"/>
      <c r="F44" s="637"/>
      <c r="G44" s="637"/>
      <c r="H44" s="637"/>
      <c r="I44" s="637"/>
      <c r="J44" s="637"/>
      <c r="K44" s="637"/>
      <c r="L44" s="637"/>
      <c r="M44" s="637"/>
      <c r="N44" s="637"/>
      <c r="O44" s="637"/>
      <c r="P44" s="637"/>
      <c r="Q44" s="275" t="s">
        <v>62</v>
      </c>
      <c r="R44" s="275">
        <f>SUM(R42:R43)</f>
        <v>0</v>
      </c>
      <c r="S44" s="637"/>
      <c r="T44" s="637"/>
      <c r="U44" s="637"/>
      <c r="V44" s="637"/>
      <c r="W44" s="637"/>
      <c r="X44" s="637"/>
      <c r="Y44" s="637"/>
      <c r="Z44" s="637"/>
      <c r="AA44" s="637"/>
      <c r="AB44" s="637"/>
      <c r="AC44" s="637"/>
      <c r="AD44" s="637"/>
      <c r="AE44" s="637"/>
      <c r="AF44" s="637"/>
      <c r="AG44" s="637"/>
      <c r="AH44" s="637"/>
      <c r="AI44" s="637"/>
      <c r="AJ44" s="637"/>
      <c r="AK44" s="637"/>
      <c r="AL44" s="637"/>
      <c r="AM44" s="637"/>
      <c r="AN44" s="637"/>
      <c r="AO44" s="637"/>
      <c r="AP44" s="637"/>
      <c r="AQ44" s="637"/>
      <c r="AR44" s="637"/>
      <c r="AS44" s="637"/>
      <c r="AT44" s="637"/>
      <c r="AU44" s="637"/>
      <c r="AV44" s="637"/>
      <c r="AW44" s="637"/>
      <c r="AX44" s="637"/>
      <c r="AY44" s="637"/>
      <c r="AZ44" s="637"/>
      <c r="BA44" s="637"/>
      <c r="BB44" s="637"/>
      <c r="BC44" s="637"/>
      <c r="BD44" s="637"/>
      <c r="BE44" s="637"/>
      <c r="BF44" s="637"/>
      <c r="BG44" s="637"/>
      <c r="BH44" s="637"/>
      <c r="BI44" s="637"/>
      <c r="BJ44" s="637"/>
      <c r="BK44" s="637"/>
      <c r="BL44" s="637"/>
      <c r="BM44" s="637"/>
      <c r="BN44" s="637"/>
      <c r="BO44" s="637"/>
      <c r="BP44" s="637"/>
      <c r="BQ44" s="774"/>
      <c r="BR44" s="637"/>
      <c r="BS44" s="637"/>
      <c r="BT44" s="637"/>
      <c r="BU44" s="774"/>
      <c r="BV44" s="637"/>
      <c r="BW44" s="637"/>
      <c r="BX44" s="637"/>
      <c r="BY44" s="637"/>
      <c r="BZ44" s="637"/>
      <c r="CA44" s="637"/>
      <c r="CB44" s="637"/>
      <c r="CC44" s="637"/>
      <c r="CD44" s="637"/>
      <c r="CE44" s="637"/>
      <c r="CF44" s="637"/>
      <c r="CG44" s="637"/>
      <c r="CH44" s="637"/>
      <c r="CI44" s="637"/>
      <c r="CJ44" s="637"/>
      <c r="CK44" s="637"/>
      <c r="CL44" s="637"/>
      <c r="CM44" s="637"/>
    </row>
    <row r="45" ht="15.75" customHeight="1">
      <c r="A45" s="637"/>
      <c r="B45" s="637"/>
      <c r="C45" s="637"/>
      <c r="D45" s="637"/>
      <c r="E45" s="637"/>
      <c r="F45" s="637"/>
      <c r="G45" s="637"/>
      <c r="H45" s="637"/>
      <c r="I45" s="637"/>
      <c r="J45" s="637"/>
      <c r="K45" s="637"/>
      <c r="L45" s="637"/>
      <c r="M45" s="637"/>
      <c r="N45" s="637"/>
      <c r="O45" s="637"/>
      <c r="P45" s="637"/>
      <c r="Q45" s="275"/>
      <c r="R45" s="275"/>
      <c r="S45" s="637"/>
      <c r="T45" s="637"/>
      <c r="U45" s="637"/>
      <c r="V45" s="637"/>
      <c r="W45" s="637"/>
      <c r="X45" s="637"/>
      <c r="Y45" s="637"/>
      <c r="Z45" s="637"/>
      <c r="AA45" s="637"/>
      <c r="AB45" s="637"/>
      <c r="AC45" s="637"/>
      <c r="AD45" s="637"/>
      <c r="AE45" s="637"/>
      <c r="AF45" s="637"/>
      <c r="AG45" s="637"/>
      <c r="AH45" s="637"/>
      <c r="AI45" s="637"/>
      <c r="AJ45" s="637"/>
      <c r="AK45" s="637"/>
      <c r="AL45" s="637"/>
      <c r="AM45" s="637"/>
      <c r="AN45" s="637"/>
      <c r="AO45" s="637"/>
      <c r="AP45" s="637"/>
      <c r="AQ45" s="637"/>
      <c r="AR45" s="637"/>
      <c r="AS45" s="637"/>
      <c r="AT45" s="637"/>
      <c r="AU45" s="637"/>
      <c r="AV45" s="637"/>
      <c r="AW45" s="637"/>
      <c r="AX45" s="637"/>
      <c r="AY45" s="637"/>
      <c r="AZ45" s="637"/>
      <c r="BA45" s="637"/>
      <c r="BB45" s="637"/>
      <c r="BC45" s="637"/>
      <c r="BD45" s="637"/>
      <c r="BE45" s="637"/>
      <c r="BF45" s="637"/>
      <c r="BG45" s="637"/>
      <c r="BH45" s="637"/>
      <c r="BI45" s="637"/>
      <c r="BJ45" s="637"/>
      <c r="BK45" s="637"/>
      <c r="BL45" s="637"/>
      <c r="BM45" s="637"/>
      <c r="BN45" s="637"/>
      <c r="BO45" s="637"/>
      <c r="BP45" s="637"/>
      <c r="BQ45" s="637"/>
      <c r="BR45" s="637"/>
      <c r="BS45" s="637"/>
      <c r="BT45" s="637"/>
      <c r="BU45" s="774"/>
      <c r="BV45" s="637"/>
      <c r="BW45" s="637"/>
      <c r="BX45" s="637"/>
      <c r="BY45" s="637"/>
      <c r="BZ45" s="637"/>
      <c r="CA45" s="637"/>
      <c r="CB45" s="637"/>
      <c r="CC45" s="637"/>
      <c r="CD45" s="637"/>
      <c r="CE45" s="637"/>
      <c r="CF45" s="637"/>
      <c r="CG45" s="637"/>
      <c r="CH45" s="637"/>
      <c r="CI45" s="637"/>
      <c r="CJ45" s="637"/>
      <c r="CK45" s="637"/>
      <c r="CL45" s="637"/>
      <c r="CM45" s="637"/>
    </row>
    <row r="46" ht="15.75" customHeight="1">
      <c r="A46" s="637"/>
      <c r="B46" s="637"/>
      <c r="C46" s="637"/>
      <c r="D46" s="637"/>
      <c r="E46" s="637"/>
      <c r="F46" s="637"/>
      <c r="G46" s="637"/>
      <c r="H46" s="637"/>
      <c r="I46" s="637"/>
      <c r="J46" s="637"/>
      <c r="K46" s="637"/>
      <c r="L46" s="637"/>
      <c r="M46" s="637"/>
      <c r="N46" s="637"/>
      <c r="O46" s="637"/>
      <c r="P46" s="637"/>
      <c r="Q46" s="776"/>
      <c r="R46" s="776"/>
      <c r="S46" s="637"/>
      <c r="T46" s="637"/>
      <c r="U46" s="637"/>
      <c r="V46" s="637"/>
      <c r="W46" s="637"/>
      <c r="X46" s="637"/>
      <c r="Y46" s="637"/>
      <c r="Z46" s="637"/>
      <c r="AA46" s="637"/>
      <c r="AB46" s="637"/>
      <c r="AC46" s="637"/>
      <c r="AD46" s="637"/>
      <c r="AE46" s="637"/>
      <c r="AF46" s="637"/>
      <c r="AG46" s="637"/>
      <c r="AH46" s="637"/>
      <c r="AI46" s="637"/>
      <c r="AJ46" s="637"/>
      <c r="AK46" s="637"/>
      <c r="AL46" s="637"/>
      <c r="AM46" s="637"/>
      <c r="AN46" s="637"/>
      <c r="AO46" s="637"/>
      <c r="AP46" s="637"/>
      <c r="AQ46" s="637"/>
      <c r="AR46" s="637"/>
      <c r="AS46" s="637"/>
      <c r="AT46" s="637"/>
      <c r="AU46" s="637"/>
      <c r="AV46" s="637"/>
      <c r="AW46" s="637"/>
      <c r="AX46" s="637"/>
      <c r="AY46" s="637"/>
      <c r="AZ46" s="637"/>
      <c r="BA46" s="637"/>
      <c r="BB46" s="637"/>
      <c r="BC46" s="637"/>
      <c r="BD46" s="637"/>
      <c r="BE46" s="637"/>
      <c r="BF46" s="637"/>
      <c r="BG46" s="637"/>
      <c r="BH46" s="637"/>
      <c r="BI46" s="637"/>
      <c r="BJ46" s="637"/>
      <c r="BK46" s="637"/>
      <c r="BL46" s="637"/>
      <c r="BM46" s="637"/>
      <c r="BN46" s="637"/>
      <c r="BO46" s="637"/>
      <c r="BP46" s="637"/>
      <c r="BQ46" s="637"/>
      <c r="BR46" s="637"/>
      <c r="BS46" s="637"/>
      <c r="BT46" s="637"/>
      <c r="BU46" s="774"/>
      <c r="BV46" s="637"/>
      <c r="BW46" s="637"/>
      <c r="BX46" s="637"/>
      <c r="BY46" s="637"/>
      <c r="BZ46" s="637"/>
      <c r="CA46" s="637"/>
      <c r="CB46" s="637"/>
      <c r="CC46" s="637"/>
      <c r="CD46" s="637"/>
      <c r="CE46" s="637"/>
      <c r="CF46" s="637"/>
      <c r="CG46" s="637"/>
      <c r="CH46" s="637"/>
      <c r="CI46" s="637"/>
      <c r="CJ46" s="637"/>
      <c r="CK46" s="637"/>
      <c r="CL46" s="637"/>
      <c r="CM46" s="637"/>
    </row>
    <row r="47" ht="15.75" customHeight="1">
      <c r="A47" s="637"/>
      <c r="B47" s="637"/>
      <c r="C47" s="637"/>
      <c r="D47" s="637"/>
      <c r="E47" s="637"/>
      <c r="F47" s="637"/>
      <c r="G47" s="637"/>
      <c r="H47" s="637"/>
      <c r="I47" s="637"/>
      <c r="J47" s="637"/>
      <c r="K47" s="637"/>
      <c r="L47" s="637"/>
      <c r="M47" s="637"/>
      <c r="N47" s="637"/>
      <c r="O47" s="637"/>
      <c r="P47" s="637"/>
      <c r="Q47" s="637"/>
      <c r="R47" s="637"/>
      <c r="S47" s="637"/>
      <c r="T47" s="637"/>
      <c r="U47" s="637"/>
      <c r="V47" s="637"/>
      <c r="W47" s="637"/>
      <c r="X47" s="637"/>
      <c r="Y47" s="637"/>
      <c r="Z47" s="637"/>
      <c r="AA47" s="637"/>
      <c r="AB47" s="637"/>
      <c r="AC47" s="637"/>
      <c r="AD47" s="637"/>
      <c r="AE47" s="637"/>
      <c r="AF47" s="637"/>
      <c r="AG47" s="637"/>
      <c r="AH47" s="637"/>
      <c r="AI47" s="637"/>
      <c r="AJ47" s="637"/>
      <c r="AK47" s="637"/>
      <c r="AL47" s="637"/>
      <c r="AM47" s="637"/>
      <c r="AN47" s="637"/>
      <c r="AO47" s="637"/>
      <c r="AP47" s="637"/>
      <c r="AQ47" s="637"/>
      <c r="AR47" s="637"/>
      <c r="AS47" s="637"/>
      <c r="AT47" s="637"/>
      <c r="AU47" s="637"/>
      <c r="AV47" s="637"/>
      <c r="AW47" s="637"/>
      <c r="AX47" s="637"/>
      <c r="AY47" s="637"/>
      <c r="AZ47" s="637"/>
      <c r="BA47" s="637"/>
      <c r="BB47" s="637"/>
      <c r="BC47" s="637"/>
      <c r="BD47" s="637"/>
      <c r="BE47" s="637"/>
      <c r="BF47" s="637"/>
      <c r="BG47" s="637"/>
      <c r="BH47" s="637"/>
      <c r="BI47" s="637"/>
      <c r="BJ47" s="637"/>
      <c r="BK47" s="637"/>
      <c r="BL47" s="637"/>
      <c r="BM47" s="637"/>
      <c r="BN47" s="637"/>
      <c r="BO47" s="637"/>
      <c r="BP47" s="637"/>
      <c r="BQ47" s="637"/>
      <c r="BR47" s="637"/>
      <c r="BS47" s="637"/>
      <c r="BT47" s="637"/>
      <c r="BU47" s="637"/>
      <c r="BV47" s="637"/>
      <c r="BW47" s="637"/>
      <c r="BX47" s="637"/>
      <c r="BY47" s="637"/>
      <c r="BZ47" s="637"/>
      <c r="CA47" s="637"/>
      <c r="CB47" s="637"/>
      <c r="CC47" s="637"/>
      <c r="CD47" s="637"/>
      <c r="CE47" s="637"/>
      <c r="CF47" s="637"/>
      <c r="CG47" s="637"/>
      <c r="CH47" s="637"/>
      <c r="CI47" s="637"/>
      <c r="CJ47" s="637"/>
      <c r="CK47" s="637"/>
      <c r="CL47" s="637"/>
      <c r="CM47" s="637"/>
    </row>
    <row r="48" ht="15.75" customHeight="1">
      <c r="A48" s="637"/>
      <c r="B48" s="637"/>
      <c r="C48" s="637"/>
      <c r="D48" s="637"/>
      <c r="E48" s="637"/>
      <c r="F48" s="637"/>
      <c r="G48" s="637"/>
      <c r="H48" s="637"/>
      <c r="I48" s="637"/>
      <c r="J48" s="637"/>
      <c r="K48" s="637"/>
      <c r="L48" s="637"/>
      <c r="M48" s="637"/>
      <c r="N48" s="637"/>
      <c r="O48" s="637"/>
      <c r="P48" s="637"/>
      <c r="Q48" s="637"/>
      <c r="R48" s="637"/>
      <c r="S48" s="637"/>
      <c r="T48" s="637"/>
      <c r="U48" s="637"/>
      <c r="V48" s="637"/>
      <c r="W48" s="637"/>
      <c r="X48" s="637"/>
      <c r="Y48" s="637"/>
      <c r="Z48" s="637"/>
      <c r="AA48" s="637"/>
      <c r="AB48" s="637"/>
      <c r="AC48" s="637"/>
      <c r="AD48" s="637"/>
      <c r="AE48" s="637"/>
      <c r="AF48" s="637"/>
      <c r="AG48" s="637"/>
      <c r="AH48" s="637"/>
      <c r="AI48" s="637"/>
      <c r="AJ48" s="637"/>
      <c r="AK48" s="637"/>
      <c r="AL48" s="637"/>
      <c r="AM48" s="637"/>
      <c r="AN48" s="637"/>
      <c r="AO48" s="637"/>
      <c r="AP48" s="637"/>
      <c r="AQ48" s="637"/>
      <c r="AR48" s="637"/>
      <c r="AS48" s="637"/>
      <c r="AT48" s="637"/>
      <c r="AU48" s="637"/>
      <c r="AV48" s="637"/>
      <c r="AW48" s="637"/>
      <c r="AX48" s="637"/>
      <c r="AY48" s="637"/>
      <c r="AZ48" s="637"/>
      <c r="BA48" s="637"/>
      <c r="BB48" s="637"/>
      <c r="BC48" s="637"/>
      <c r="BD48" s="637"/>
      <c r="BE48" s="637"/>
      <c r="BF48" s="637"/>
      <c r="BG48" s="637"/>
      <c r="BH48" s="637"/>
      <c r="BI48" s="637"/>
      <c r="BJ48" s="637"/>
      <c r="BK48" s="637"/>
      <c r="BL48" s="637"/>
      <c r="BM48" s="637"/>
      <c r="BN48" s="637"/>
      <c r="BO48" s="637"/>
      <c r="BP48" s="637"/>
      <c r="BQ48" s="637"/>
      <c r="BR48" s="637"/>
      <c r="BS48" s="637"/>
      <c r="BT48" s="637"/>
      <c r="BU48" s="774"/>
      <c r="BV48" s="637"/>
      <c r="BW48" s="637"/>
      <c r="BX48" s="637"/>
      <c r="BY48" s="637"/>
      <c r="BZ48" s="637"/>
      <c r="CA48" s="637"/>
      <c r="CB48" s="637"/>
      <c r="CC48" s="637"/>
      <c r="CD48" s="637"/>
      <c r="CE48" s="637"/>
      <c r="CF48" s="637"/>
      <c r="CG48" s="637"/>
      <c r="CH48" s="637"/>
      <c r="CI48" s="637"/>
      <c r="CJ48" s="637"/>
      <c r="CK48" s="637"/>
      <c r="CL48" s="637"/>
      <c r="CM48" s="637"/>
    </row>
    <row r="49" ht="15.75" customHeight="1">
      <c r="A49" s="637"/>
      <c r="B49" s="637"/>
      <c r="C49" s="637"/>
      <c r="D49" s="637"/>
      <c r="E49" s="637"/>
      <c r="F49" s="637"/>
      <c r="G49" s="637"/>
      <c r="H49" s="637"/>
      <c r="I49" s="637"/>
      <c r="J49" s="637"/>
      <c r="K49" s="637"/>
      <c r="L49" s="637"/>
      <c r="M49" s="637"/>
      <c r="N49" s="637"/>
      <c r="O49" s="637"/>
      <c r="P49" s="637"/>
      <c r="Q49" s="637"/>
      <c r="R49" s="637"/>
      <c r="S49" s="637"/>
      <c r="T49" s="637"/>
      <c r="U49" s="637"/>
      <c r="V49" s="637"/>
      <c r="W49" s="637"/>
      <c r="X49" s="637"/>
      <c r="Y49" s="637"/>
      <c r="Z49" s="637"/>
      <c r="AA49" s="637"/>
      <c r="AB49" s="637"/>
      <c r="AC49" s="637"/>
      <c r="AD49" s="637"/>
      <c r="AE49" s="637"/>
      <c r="AF49" s="637"/>
      <c r="AG49" s="637"/>
      <c r="AH49" s="637"/>
      <c r="AI49" s="637"/>
      <c r="AJ49" s="637"/>
      <c r="AK49" s="637"/>
      <c r="AL49" s="637"/>
      <c r="AM49" s="637"/>
      <c r="AN49" s="637"/>
      <c r="AO49" s="637"/>
      <c r="AP49" s="637"/>
      <c r="AQ49" s="637"/>
      <c r="AR49" s="637"/>
      <c r="AS49" s="637"/>
      <c r="AT49" s="637"/>
      <c r="AU49" s="637"/>
      <c r="AV49" s="637"/>
      <c r="AW49" s="637"/>
      <c r="AX49" s="637"/>
      <c r="AY49" s="637"/>
      <c r="AZ49" s="637"/>
      <c r="BA49" s="637"/>
      <c r="BB49" s="637"/>
      <c r="BC49" s="637"/>
      <c r="BD49" s="637"/>
      <c r="BE49" s="637"/>
      <c r="BF49" s="637"/>
      <c r="BG49" s="637"/>
      <c r="BH49" s="637"/>
      <c r="BI49" s="637"/>
      <c r="BJ49" s="637"/>
      <c r="BK49" s="637"/>
      <c r="BL49" s="637"/>
      <c r="BM49" s="637"/>
      <c r="BN49" s="637"/>
      <c r="BO49" s="637"/>
      <c r="BP49" s="637"/>
      <c r="BQ49" s="637"/>
      <c r="BR49" s="637"/>
      <c r="BS49" s="637"/>
      <c r="BT49" s="637"/>
      <c r="BU49" s="637"/>
      <c r="BV49" s="637"/>
      <c r="BW49" s="637"/>
      <c r="BX49" s="637"/>
      <c r="BY49" s="637"/>
      <c r="BZ49" s="637"/>
      <c r="CA49" s="637"/>
      <c r="CB49" s="637"/>
      <c r="CC49" s="637"/>
      <c r="CD49" s="637"/>
      <c r="CE49" s="637"/>
      <c r="CF49" s="637"/>
      <c r="CG49" s="637"/>
      <c r="CH49" s="637"/>
      <c r="CI49" s="637"/>
      <c r="CJ49" s="637"/>
      <c r="CK49" s="637"/>
      <c r="CL49" s="637"/>
      <c r="CM49" s="637"/>
    </row>
    <row r="50" ht="15.75" customHeight="1">
      <c r="A50" s="637"/>
      <c r="B50" s="637"/>
      <c r="C50" s="637"/>
      <c r="D50" s="637"/>
      <c r="E50" s="637"/>
      <c r="F50" s="637"/>
      <c r="G50" s="637"/>
      <c r="H50" s="637"/>
      <c r="I50" s="637"/>
      <c r="J50" s="637"/>
      <c r="K50" s="637"/>
      <c r="L50" s="637"/>
      <c r="M50" s="637"/>
      <c r="N50" s="637"/>
      <c r="O50" s="637"/>
      <c r="P50" s="637"/>
      <c r="Q50" s="637"/>
      <c r="R50" s="637"/>
      <c r="S50" s="637"/>
      <c r="T50" s="637"/>
      <c r="U50" s="637"/>
      <c r="V50" s="637"/>
      <c r="W50" s="637"/>
      <c r="X50" s="637"/>
      <c r="Y50" s="637"/>
      <c r="Z50" s="637"/>
      <c r="AA50" s="637"/>
      <c r="AB50" s="637"/>
      <c r="AC50" s="637"/>
      <c r="AD50" s="637"/>
      <c r="AE50" s="637"/>
      <c r="AF50" s="637"/>
      <c r="AG50" s="637"/>
      <c r="AH50" s="637"/>
      <c r="AI50" s="637"/>
      <c r="AJ50" s="637"/>
      <c r="AK50" s="637"/>
      <c r="AL50" s="637"/>
      <c r="AM50" s="637"/>
      <c r="AN50" s="637"/>
      <c r="AO50" s="637"/>
      <c r="AP50" s="637"/>
      <c r="AQ50" s="637"/>
      <c r="AR50" s="637"/>
      <c r="AS50" s="637"/>
      <c r="AT50" s="637"/>
      <c r="AU50" s="637"/>
      <c r="AV50" s="637"/>
      <c r="AW50" s="637"/>
      <c r="AX50" s="637"/>
      <c r="AY50" s="637"/>
      <c r="AZ50" s="637"/>
      <c r="BA50" s="637"/>
      <c r="BB50" s="637"/>
      <c r="BC50" s="637"/>
      <c r="BD50" s="637"/>
      <c r="BE50" s="637"/>
      <c r="BF50" s="637"/>
      <c r="BG50" s="637"/>
      <c r="BH50" s="637"/>
      <c r="BI50" s="637"/>
      <c r="BJ50" s="637"/>
      <c r="BK50" s="637"/>
      <c r="BL50" s="637"/>
      <c r="BM50" s="637"/>
      <c r="BN50" s="637"/>
      <c r="BO50" s="637"/>
      <c r="BP50" s="637"/>
      <c r="BQ50" s="637"/>
      <c r="BR50" s="637"/>
      <c r="BS50" s="637"/>
      <c r="BT50" s="637"/>
      <c r="BU50" s="637"/>
      <c r="BV50" s="637"/>
      <c r="BW50" s="637"/>
      <c r="BX50" s="637"/>
      <c r="BY50" s="637"/>
      <c r="BZ50" s="637"/>
      <c r="CA50" s="637"/>
      <c r="CB50" s="637"/>
      <c r="CC50" s="637"/>
      <c r="CD50" s="637"/>
      <c r="CE50" s="637"/>
      <c r="CF50" s="637"/>
      <c r="CG50" s="637"/>
      <c r="CH50" s="637"/>
      <c r="CI50" s="637"/>
      <c r="CJ50" s="637"/>
      <c r="CK50" s="637"/>
      <c r="CL50" s="637"/>
      <c r="CM50" s="637"/>
    </row>
    <row r="51" ht="15.75" customHeight="1">
      <c r="A51" s="637"/>
      <c r="B51" s="637"/>
      <c r="C51" s="637"/>
      <c r="D51" s="637"/>
      <c r="E51" s="637"/>
      <c r="F51" s="637"/>
      <c r="G51" s="637"/>
      <c r="H51" s="637"/>
      <c r="I51" s="637"/>
      <c r="J51" s="637"/>
      <c r="K51" s="637"/>
      <c r="L51" s="637"/>
      <c r="M51" s="637"/>
      <c r="N51" s="637"/>
      <c r="O51" s="637"/>
      <c r="P51" s="637"/>
      <c r="Q51" s="637"/>
      <c r="R51" s="637"/>
      <c r="S51" s="637"/>
      <c r="T51" s="637"/>
      <c r="U51" s="637"/>
      <c r="V51" s="637"/>
      <c r="W51" s="637"/>
      <c r="X51" s="637"/>
      <c r="Y51" s="637"/>
      <c r="Z51" s="637"/>
      <c r="AA51" s="637"/>
      <c r="AB51" s="637"/>
      <c r="AC51" s="637"/>
      <c r="AD51" s="637"/>
      <c r="AE51" s="637"/>
      <c r="AF51" s="637"/>
      <c r="AG51" s="637"/>
      <c r="AH51" s="637"/>
      <c r="AI51" s="637"/>
      <c r="AJ51" s="637"/>
      <c r="AK51" s="637"/>
      <c r="AL51" s="637"/>
      <c r="AM51" s="637"/>
      <c r="AN51" s="637"/>
      <c r="AO51" s="637"/>
      <c r="AP51" s="637"/>
      <c r="AQ51" s="637"/>
      <c r="AR51" s="637"/>
      <c r="AS51" s="637"/>
      <c r="AT51" s="637"/>
      <c r="AU51" s="637"/>
      <c r="AV51" s="637"/>
      <c r="AW51" s="637"/>
      <c r="AX51" s="637"/>
      <c r="AY51" s="637"/>
      <c r="AZ51" s="637"/>
      <c r="BA51" s="637"/>
      <c r="BB51" s="637"/>
      <c r="BC51" s="637"/>
      <c r="BD51" s="637"/>
      <c r="BE51" s="637"/>
      <c r="BF51" s="637"/>
      <c r="BG51" s="637"/>
      <c r="BH51" s="637"/>
      <c r="BI51" s="637"/>
      <c r="BJ51" s="637"/>
      <c r="BK51" s="637"/>
      <c r="BL51" s="637"/>
      <c r="BM51" s="637"/>
      <c r="BN51" s="637"/>
      <c r="BO51" s="637"/>
      <c r="BP51" s="637"/>
      <c r="BQ51" s="637"/>
      <c r="BR51" s="637"/>
      <c r="BS51" s="637"/>
      <c r="BT51" s="637"/>
      <c r="BU51" s="637"/>
      <c r="BV51" s="637"/>
      <c r="BW51" s="637"/>
      <c r="BX51" s="637"/>
      <c r="BY51" s="637"/>
      <c r="BZ51" s="637"/>
      <c r="CA51" s="637"/>
      <c r="CB51" s="637"/>
      <c r="CC51" s="637"/>
      <c r="CD51" s="637"/>
      <c r="CE51" s="637"/>
      <c r="CF51" s="637"/>
      <c r="CG51" s="637"/>
      <c r="CH51" s="637"/>
      <c r="CI51" s="637"/>
      <c r="CJ51" s="637"/>
      <c r="CK51" s="637"/>
      <c r="CL51" s="637"/>
      <c r="CM51" s="637"/>
    </row>
    <row r="52" ht="15.75" customHeight="1">
      <c r="A52" s="637"/>
      <c r="B52" s="637"/>
      <c r="C52" s="637"/>
      <c r="D52" s="637"/>
      <c r="E52" s="637"/>
      <c r="F52" s="637"/>
      <c r="G52" s="637"/>
      <c r="H52" s="637"/>
      <c r="I52" s="637"/>
      <c r="J52" s="637"/>
      <c r="K52" s="637"/>
      <c r="L52" s="637"/>
      <c r="M52" s="637"/>
      <c r="N52" s="637"/>
      <c r="O52" s="637"/>
      <c r="P52" s="637"/>
      <c r="Q52" s="637"/>
      <c r="R52" s="637"/>
      <c r="S52" s="637"/>
      <c r="T52" s="637"/>
      <c r="U52" s="637"/>
      <c r="V52" s="637"/>
      <c r="W52" s="637"/>
      <c r="X52" s="637"/>
      <c r="Y52" s="637"/>
      <c r="Z52" s="637"/>
      <c r="AA52" s="637"/>
      <c r="AB52" s="637"/>
      <c r="AC52" s="637"/>
      <c r="AD52" s="637"/>
      <c r="AE52" s="637"/>
      <c r="AF52" s="637"/>
      <c r="AG52" s="637"/>
      <c r="AH52" s="637"/>
      <c r="AI52" s="637"/>
      <c r="AJ52" s="637"/>
      <c r="AK52" s="637"/>
      <c r="AL52" s="637"/>
      <c r="AM52" s="637"/>
      <c r="AN52" s="637"/>
      <c r="AO52" s="637"/>
      <c r="AP52" s="637"/>
      <c r="AQ52" s="637"/>
      <c r="AR52" s="637"/>
      <c r="AS52" s="637"/>
      <c r="AT52" s="637"/>
      <c r="AU52" s="637"/>
      <c r="AV52" s="637"/>
      <c r="AW52" s="637"/>
      <c r="AX52" s="637"/>
      <c r="AY52" s="637"/>
      <c r="AZ52" s="637"/>
      <c r="BA52" s="637"/>
      <c r="BB52" s="637"/>
      <c r="BC52" s="637"/>
      <c r="BD52" s="637"/>
      <c r="BE52" s="637"/>
      <c r="BF52" s="637"/>
      <c r="BG52" s="637"/>
      <c r="BH52" s="637"/>
      <c r="BI52" s="637"/>
      <c r="BJ52" s="637"/>
      <c r="BK52" s="637"/>
      <c r="BL52" s="637"/>
      <c r="BM52" s="637"/>
      <c r="BN52" s="637"/>
      <c r="BO52" s="637"/>
      <c r="BP52" s="637"/>
      <c r="BQ52" s="637"/>
      <c r="BR52" s="637"/>
      <c r="BS52" s="637"/>
      <c r="BT52" s="637"/>
      <c r="BU52" s="637"/>
      <c r="BV52" s="637"/>
      <c r="BW52" s="637"/>
      <c r="BX52" s="637"/>
      <c r="BY52" s="637"/>
      <c r="BZ52" s="637"/>
      <c r="CA52" s="637"/>
      <c r="CB52" s="637"/>
      <c r="CC52" s="637"/>
      <c r="CD52" s="637"/>
      <c r="CE52" s="637"/>
      <c r="CF52" s="637"/>
      <c r="CG52" s="637"/>
      <c r="CH52" s="637"/>
      <c r="CI52" s="637"/>
      <c r="CJ52" s="637"/>
      <c r="CK52" s="637"/>
      <c r="CL52" s="637"/>
      <c r="CM52" s="637"/>
    </row>
    <row r="53" ht="15.75" customHeight="1">
      <c r="A53" s="637"/>
      <c r="B53" s="637"/>
      <c r="C53" s="637"/>
      <c r="D53" s="637"/>
      <c r="E53" s="637"/>
      <c r="F53" s="637"/>
      <c r="G53" s="637"/>
      <c r="H53" s="637"/>
      <c r="I53" s="637"/>
      <c r="J53" s="637"/>
      <c r="K53" s="637"/>
      <c r="L53" s="637"/>
      <c r="M53" s="637"/>
      <c r="N53" s="637"/>
      <c r="O53" s="637"/>
      <c r="P53" s="637"/>
      <c r="Q53" s="637"/>
      <c r="R53" s="637"/>
      <c r="S53" s="637"/>
      <c r="T53" s="637"/>
      <c r="U53" s="637"/>
      <c r="V53" s="637"/>
      <c r="W53" s="637"/>
      <c r="X53" s="637"/>
      <c r="Y53" s="637"/>
      <c r="Z53" s="637"/>
      <c r="AA53" s="637"/>
      <c r="AB53" s="637"/>
      <c r="AC53" s="637"/>
      <c r="AD53" s="637"/>
      <c r="AE53" s="637"/>
      <c r="AF53" s="637"/>
      <c r="AG53" s="637"/>
      <c r="AH53" s="637"/>
      <c r="AI53" s="637"/>
      <c r="AJ53" s="637"/>
      <c r="AK53" s="637"/>
      <c r="AL53" s="637"/>
      <c r="AM53" s="637"/>
      <c r="AN53" s="637"/>
      <c r="AO53" s="637"/>
      <c r="AP53" s="637"/>
      <c r="AQ53" s="637"/>
      <c r="AR53" s="637"/>
      <c r="AS53" s="637"/>
      <c r="AT53" s="637"/>
      <c r="AU53" s="637"/>
      <c r="AV53" s="637"/>
      <c r="AW53" s="637"/>
      <c r="AX53" s="637"/>
      <c r="AY53" s="637"/>
      <c r="AZ53" s="637"/>
      <c r="BA53" s="637"/>
      <c r="BB53" s="637"/>
      <c r="BC53" s="637"/>
      <c r="BD53" s="637"/>
      <c r="BE53" s="637"/>
      <c r="BF53" s="637"/>
      <c r="BG53" s="637"/>
      <c r="BH53" s="637"/>
      <c r="BI53" s="637"/>
      <c r="BJ53" s="637"/>
      <c r="BK53" s="637"/>
      <c r="BL53" s="637"/>
      <c r="BM53" s="637"/>
      <c r="BN53" s="637"/>
      <c r="BO53" s="637"/>
      <c r="BP53" s="637"/>
      <c r="BQ53" s="637"/>
      <c r="BR53" s="637"/>
      <c r="BS53" s="637"/>
      <c r="BT53" s="637"/>
      <c r="BU53" s="637"/>
      <c r="BV53" s="637"/>
      <c r="BW53" s="637"/>
      <c r="BX53" s="637"/>
      <c r="BY53" s="637"/>
      <c r="BZ53" s="637"/>
      <c r="CA53" s="637"/>
      <c r="CB53" s="637"/>
      <c r="CC53" s="637"/>
      <c r="CD53" s="637"/>
      <c r="CE53" s="637"/>
      <c r="CF53" s="637"/>
      <c r="CG53" s="637"/>
      <c r="CH53" s="637"/>
      <c r="CI53" s="637"/>
      <c r="CJ53" s="637"/>
      <c r="CK53" s="637"/>
      <c r="CL53" s="637"/>
      <c r="CM53" s="637"/>
    </row>
    <row r="54" ht="15.75" customHeight="1">
      <c r="A54" s="637"/>
      <c r="B54" s="637"/>
      <c r="C54" s="637"/>
      <c r="D54" s="637"/>
      <c r="E54" s="637"/>
      <c r="F54" s="637"/>
      <c r="G54" s="637"/>
      <c r="H54" s="637"/>
      <c r="I54" s="637"/>
      <c r="J54" s="637"/>
      <c r="K54" s="637"/>
      <c r="L54" s="637"/>
      <c r="M54" s="637"/>
      <c r="N54" s="637"/>
      <c r="O54" s="637"/>
      <c r="P54" s="637"/>
      <c r="Q54" s="637"/>
      <c r="R54" s="637"/>
      <c r="S54" s="637"/>
      <c r="T54" s="637"/>
      <c r="U54" s="637"/>
      <c r="V54" s="637"/>
      <c r="W54" s="637"/>
      <c r="X54" s="637"/>
      <c r="Y54" s="637"/>
      <c r="Z54" s="637"/>
      <c r="AA54" s="637"/>
      <c r="AB54" s="637"/>
      <c r="AC54" s="637"/>
      <c r="AD54" s="637"/>
      <c r="AE54" s="637"/>
      <c r="AF54" s="637"/>
      <c r="AG54" s="637"/>
      <c r="AH54" s="637"/>
      <c r="AI54" s="637"/>
      <c r="AJ54" s="637"/>
      <c r="AK54" s="637"/>
      <c r="AL54" s="637"/>
      <c r="AM54" s="637"/>
      <c r="AN54" s="637"/>
      <c r="AO54" s="637"/>
      <c r="AP54" s="637"/>
      <c r="AQ54" s="637"/>
      <c r="AR54" s="637"/>
      <c r="AS54" s="637"/>
      <c r="AT54" s="637"/>
      <c r="AU54" s="637"/>
      <c r="AV54" s="637"/>
      <c r="AW54" s="637"/>
      <c r="AX54" s="637"/>
      <c r="AY54" s="637"/>
      <c r="AZ54" s="637"/>
      <c r="BA54" s="637"/>
      <c r="BB54" s="637"/>
      <c r="BC54" s="637"/>
      <c r="BD54" s="637"/>
      <c r="BE54" s="637"/>
      <c r="BF54" s="637"/>
      <c r="BG54" s="637"/>
      <c r="BH54" s="637"/>
      <c r="BI54" s="637"/>
      <c r="BJ54" s="637"/>
      <c r="BK54" s="637"/>
      <c r="BL54" s="637"/>
      <c r="BM54" s="637"/>
      <c r="BN54" s="637"/>
      <c r="BO54" s="637"/>
      <c r="BP54" s="637"/>
      <c r="BQ54" s="637"/>
      <c r="BR54" s="637"/>
      <c r="BS54" s="637"/>
      <c r="BT54" s="637"/>
      <c r="BU54" s="637"/>
      <c r="BV54" s="637"/>
      <c r="BW54" s="637"/>
      <c r="BX54" s="637"/>
      <c r="BY54" s="637"/>
      <c r="BZ54" s="637"/>
      <c r="CA54" s="637"/>
      <c r="CB54" s="637"/>
      <c r="CC54" s="637"/>
      <c r="CD54" s="637"/>
      <c r="CE54" s="637"/>
      <c r="CF54" s="637"/>
      <c r="CG54" s="637"/>
      <c r="CH54" s="637"/>
      <c r="CI54" s="637"/>
      <c r="CJ54" s="637"/>
      <c r="CK54" s="637"/>
      <c r="CL54" s="637"/>
      <c r="CM54" s="637"/>
    </row>
    <row r="55" ht="15.75" customHeight="1">
      <c r="A55" s="637"/>
      <c r="B55" s="637"/>
      <c r="C55" s="637"/>
      <c r="D55" s="637"/>
      <c r="E55" s="637"/>
      <c r="F55" s="637"/>
      <c r="G55" s="637"/>
      <c r="H55" s="637"/>
      <c r="I55" s="637"/>
      <c r="J55" s="637"/>
      <c r="K55" s="637"/>
      <c r="L55" s="637"/>
      <c r="M55" s="637"/>
      <c r="N55" s="637"/>
      <c r="O55" s="637"/>
      <c r="P55" s="637"/>
      <c r="Q55" s="637"/>
      <c r="R55" s="637"/>
      <c r="S55" s="637"/>
      <c r="T55" s="637"/>
      <c r="U55" s="637"/>
      <c r="V55" s="637"/>
      <c r="W55" s="637"/>
      <c r="X55" s="637"/>
      <c r="Y55" s="637"/>
      <c r="Z55" s="637"/>
      <c r="AA55" s="637"/>
      <c r="AB55" s="637"/>
      <c r="AC55" s="637"/>
      <c r="AD55" s="637"/>
      <c r="AE55" s="637"/>
      <c r="AF55" s="637"/>
      <c r="AG55" s="637"/>
      <c r="AH55" s="637"/>
      <c r="AI55" s="637"/>
      <c r="AJ55" s="637"/>
      <c r="AK55" s="637"/>
      <c r="AL55" s="637"/>
      <c r="AM55" s="637"/>
      <c r="AN55" s="637"/>
      <c r="AO55" s="637"/>
      <c r="AP55" s="637"/>
      <c r="AQ55" s="637"/>
      <c r="AR55" s="637"/>
      <c r="AS55" s="637"/>
      <c r="AT55" s="637"/>
      <c r="AU55" s="637"/>
      <c r="AV55" s="637"/>
      <c r="AW55" s="637"/>
      <c r="AX55" s="637"/>
      <c r="AY55" s="637"/>
      <c r="AZ55" s="637"/>
      <c r="BA55" s="637"/>
      <c r="BB55" s="637"/>
      <c r="BC55" s="637"/>
      <c r="BD55" s="637"/>
      <c r="BE55" s="637"/>
      <c r="BF55" s="637"/>
      <c r="BG55" s="637"/>
      <c r="BH55" s="637"/>
      <c r="BI55" s="637"/>
      <c r="BJ55" s="637"/>
      <c r="BK55" s="637"/>
      <c r="BL55" s="637"/>
      <c r="BM55" s="637"/>
      <c r="BN55" s="637"/>
      <c r="BO55" s="637"/>
      <c r="BP55" s="637"/>
      <c r="BQ55" s="637"/>
      <c r="BR55" s="637"/>
      <c r="BS55" s="637"/>
      <c r="BT55" s="637"/>
      <c r="BU55" s="637"/>
      <c r="BV55" s="637"/>
      <c r="BW55" s="637"/>
      <c r="BX55" s="637"/>
      <c r="BY55" s="637"/>
      <c r="BZ55" s="637"/>
      <c r="CA55" s="637"/>
      <c r="CB55" s="637"/>
      <c r="CC55" s="637"/>
      <c r="CD55" s="637"/>
      <c r="CE55" s="637"/>
      <c r="CF55" s="637"/>
      <c r="CG55" s="637"/>
      <c r="CH55" s="637"/>
      <c r="CI55" s="637"/>
      <c r="CJ55" s="637"/>
      <c r="CK55" s="637"/>
      <c r="CL55" s="637"/>
      <c r="CM55" s="637"/>
    </row>
    <row r="56" ht="15.75" customHeight="1">
      <c r="A56" s="637"/>
      <c r="B56" s="637"/>
      <c r="C56" s="637"/>
      <c r="D56" s="637"/>
      <c r="E56" s="637"/>
      <c r="F56" s="637"/>
      <c r="G56" s="637"/>
      <c r="H56" s="637"/>
      <c r="I56" s="637"/>
      <c r="J56" s="637"/>
      <c r="K56" s="637"/>
      <c r="L56" s="637"/>
      <c r="M56" s="637"/>
      <c r="N56" s="637"/>
      <c r="O56" s="637"/>
      <c r="P56" s="637"/>
      <c r="Q56" s="637"/>
      <c r="R56" s="637"/>
      <c r="S56" s="637"/>
      <c r="T56" s="637"/>
      <c r="U56" s="637"/>
      <c r="V56" s="637"/>
      <c r="W56" s="637"/>
      <c r="X56" s="637"/>
      <c r="Y56" s="637"/>
      <c r="Z56" s="637"/>
      <c r="AA56" s="637"/>
      <c r="AB56" s="637"/>
      <c r="AC56" s="637"/>
      <c r="AD56" s="637"/>
      <c r="AE56" s="637"/>
      <c r="AF56" s="637"/>
      <c r="AG56" s="637"/>
      <c r="AH56" s="637"/>
      <c r="AI56" s="637"/>
      <c r="AJ56" s="637"/>
      <c r="AK56" s="637"/>
      <c r="AL56" s="637"/>
      <c r="AM56" s="637"/>
      <c r="AN56" s="637"/>
      <c r="AO56" s="637"/>
      <c r="AP56" s="637"/>
      <c r="AQ56" s="637"/>
      <c r="AR56" s="637"/>
      <c r="AS56" s="637"/>
      <c r="AT56" s="637"/>
      <c r="AU56" s="637"/>
      <c r="AV56" s="637"/>
      <c r="AW56" s="637"/>
      <c r="AX56" s="637"/>
      <c r="AY56" s="637"/>
      <c r="AZ56" s="637"/>
      <c r="BA56" s="637"/>
      <c r="BB56" s="637"/>
      <c r="BC56" s="637"/>
      <c r="BD56" s="637"/>
      <c r="BE56" s="637"/>
      <c r="BF56" s="637"/>
      <c r="BG56" s="637"/>
      <c r="BH56" s="637"/>
      <c r="BI56" s="637"/>
      <c r="BJ56" s="637"/>
      <c r="BK56" s="637"/>
      <c r="BL56" s="637"/>
      <c r="BM56" s="637"/>
      <c r="BN56" s="637"/>
      <c r="BO56" s="637"/>
      <c r="BP56" s="637"/>
      <c r="BQ56" s="637"/>
      <c r="BR56" s="637"/>
      <c r="BS56" s="637"/>
      <c r="BT56" s="637"/>
      <c r="BU56" s="637"/>
      <c r="BV56" s="637"/>
      <c r="BW56" s="637"/>
      <c r="BX56" s="637"/>
      <c r="BY56" s="637"/>
      <c r="BZ56" s="637"/>
      <c r="CA56" s="637"/>
      <c r="CB56" s="637"/>
      <c r="CC56" s="637"/>
      <c r="CD56" s="637"/>
      <c r="CE56" s="637"/>
      <c r="CF56" s="637"/>
      <c r="CG56" s="637"/>
      <c r="CH56" s="637"/>
      <c r="CI56" s="637"/>
      <c r="CJ56" s="637"/>
      <c r="CK56" s="637"/>
      <c r="CL56" s="637"/>
      <c r="CM56" s="637"/>
    </row>
    <row r="57" ht="15.75" customHeight="1">
      <c r="A57" s="637"/>
      <c r="B57" s="637"/>
      <c r="C57" s="637"/>
      <c r="D57" s="637"/>
      <c r="E57" s="637"/>
      <c r="F57" s="637"/>
      <c r="G57" s="637"/>
      <c r="H57" s="637"/>
      <c r="I57" s="637"/>
      <c r="J57" s="637"/>
      <c r="K57" s="637"/>
      <c r="L57" s="637"/>
      <c r="M57" s="637"/>
      <c r="N57" s="637"/>
      <c r="O57" s="637"/>
      <c r="P57" s="637"/>
      <c r="Q57" s="637"/>
      <c r="R57" s="637"/>
      <c r="S57" s="637"/>
      <c r="T57" s="637"/>
      <c r="U57" s="637"/>
      <c r="V57" s="637"/>
      <c r="W57" s="637"/>
      <c r="X57" s="637"/>
      <c r="Y57" s="637"/>
      <c r="Z57" s="637"/>
      <c r="AA57" s="637"/>
      <c r="AB57" s="637"/>
      <c r="AC57" s="637"/>
      <c r="AD57" s="637"/>
      <c r="AE57" s="637"/>
      <c r="AF57" s="637"/>
      <c r="AG57" s="637"/>
      <c r="AH57" s="637"/>
      <c r="AI57" s="637"/>
      <c r="AJ57" s="637"/>
      <c r="AK57" s="637"/>
      <c r="AL57" s="637"/>
      <c r="AM57" s="637"/>
      <c r="AN57" s="637"/>
      <c r="AO57" s="637"/>
      <c r="AP57" s="637"/>
      <c r="AQ57" s="637"/>
      <c r="AR57" s="637"/>
      <c r="AS57" s="637"/>
      <c r="AT57" s="637"/>
      <c r="AU57" s="637"/>
      <c r="AV57" s="637"/>
      <c r="AW57" s="637"/>
      <c r="AX57" s="637"/>
      <c r="AY57" s="637"/>
      <c r="AZ57" s="637"/>
      <c r="BA57" s="637"/>
      <c r="BB57" s="637"/>
      <c r="BC57" s="637"/>
      <c r="BD57" s="637"/>
      <c r="BE57" s="637"/>
      <c r="BF57" s="637"/>
      <c r="BG57" s="637"/>
      <c r="BH57" s="637"/>
      <c r="BI57" s="637"/>
      <c r="BJ57" s="637"/>
      <c r="BK57" s="637"/>
      <c r="BL57" s="637"/>
      <c r="BM57" s="637"/>
      <c r="BN57" s="637"/>
      <c r="BO57" s="637"/>
      <c r="BP57" s="637"/>
      <c r="BQ57" s="637"/>
      <c r="BR57" s="637"/>
      <c r="BS57" s="637"/>
      <c r="BT57" s="637"/>
      <c r="BU57" s="637"/>
      <c r="BV57" s="637"/>
      <c r="BW57" s="637"/>
      <c r="BX57" s="637"/>
      <c r="BY57" s="637"/>
      <c r="BZ57" s="637"/>
      <c r="CA57" s="637"/>
      <c r="CB57" s="637"/>
      <c r="CC57" s="637"/>
      <c r="CD57" s="637"/>
      <c r="CE57" s="637"/>
      <c r="CF57" s="637"/>
      <c r="CG57" s="637"/>
      <c r="CH57" s="637"/>
      <c r="CI57" s="637"/>
      <c r="CJ57" s="637"/>
      <c r="CK57" s="637"/>
      <c r="CL57" s="637"/>
      <c r="CM57" s="637"/>
    </row>
    <row r="58" ht="15.75" customHeight="1">
      <c r="A58" s="637"/>
      <c r="B58" s="637"/>
      <c r="C58" s="637"/>
      <c r="D58" s="637"/>
      <c r="E58" s="637"/>
      <c r="F58" s="637"/>
      <c r="G58" s="637"/>
      <c r="H58" s="637"/>
      <c r="I58" s="637"/>
      <c r="J58" s="637"/>
      <c r="K58" s="637"/>
      <c r="L58" s="637"/>
      <c r="M58" s="637"/>
      <c r="N58" s="637"/>
      <c r="O58" s="637"/>
      <c r="P58" s="637"/>
      <c r="Q58" s="637"/>
      <c r="R58" s="637"/>
      <c r="S58" s="637"/>
      <c r="T58" s="637"/>
      <c r="U58" s="637"/>
      <c r="V58" s="637"/>
      <c r="W58" s="637"/>
      <c r="X58" s="637"/>
      <c r="Y58" s="637"/>
      <c r="Z58" s="637"/>
      <c r="AA58" s="637"/>
      <c r="AB58" s="637"/>
      <c r="AC58" s="637"/>
      <c r="AD58" s="637"/>
      <c r="AE58" s="637"/>
      <c r="AF58" s="637"/>
      <c r="AG58" s="637"/>
      <c r="AH58" s="637"/>
      <c r="AI58" s="637"/>
      <c r="AJ58" s="637"/>
      <c r="AK58" s="637"/>
      <c r="AL58" s="637"/>
      <c r="AM58" s="637"/>
      <c r="AN58" s="637"/>
      <c r="AO58" s="637"/>
      <c r="AP58" s="637"/>
      <c r="AQ58" s="637"/>
      <c r="AR58" s="637"/>
      <c r="AS58" s="637"/>
      <c r="AT58" s="637"/>
      <c r="AU58" s="637"/>
      <c r="AV58" s="637"/>
      <c r="AW58" s="637"/>
      <c r="AX58" s="637"/>
      <c r="AY58" s="637"/>
      <c r="AZ58" s="637"/>
      <c r="BA58" s="637"/>
      <c r="BB58" s="637"/>
      <c r="BC58" s="637"/>
      <c r="BD58" s="637"/>
      <c r="BE58" s="637"/>
      <c r="BF58" s="637"/>
      <c r="BG58" s="637"/>
      <c r="BH58" s="637"/>
      <c r="BI58" s="637"/>
      <c r="BJ58" s="637"/>
      <c r="BK58" s="637"/>
      <c r="BL58" s="637"/>
      <c r="BM58" s="637"/>
      <c r="BN58" s="637"/>
      <c r="BO58" s="637"/>
      <c r="BP58" s="637"/>
      <c r="BQ58" s="637"/>
      <c r="BR58" s="637"/>
      <c r="BS58" s="637"/>
      <c r="BT58" s="637"/>
      <c r="BU58" s="637"/>
      <c r="BV58" s="637"/>
      <c r="BW58" s="637"/>
      <c r="BX58" s="637"/>
      <c r="BY58" s="637"/>
      <c r="BZ58" s="637"/>
      <c r="CA58" s="637"/>
      <c r="CB58" s="637"/>
      <c r="CC58" s="637"/>
      <c r="CD58" s="637"/>
      <c r="CE58" s="637"/>
      <c r="CF58" s="637"/>
      <c r="CG58" s="637"/>
      <c r="CH58" s="637"/>
      <c r="CI58" s="637"/>
      <c r="CJ58" s="637"/>
      <c r="CK58" s="637"/>
      <c r="CL58" s="637"/>
      <c r="CM58" s="637"/>
    </row>
    <row r="59" ht="15.75" customHeight="1">
      <c r="A59" s="637"/>
      <c r="B59" s="637"/>
      <c r="C59" s="637"/>
      <c r="D59" s="637"/>
      <c r="E59" s="637"/>
      <c r="F59" s="637"/>
      <c r="G59" s="637"/>
      <c r="H59" s="637"/>
      <c r="I59" s="637"/>
      <c r="J59" s="637"/>
      <c r="K59" s="637"/>
      <c r="L59" s="637"/>
      <c r="M59" s="637"/>
      <c r="N59" s="637"/>
      <c r="O59" s="637"/>
      <c r="P59" s="637"/>
      <c r="Q59" s="637"/>
      <c r="R59" s="637"/>
      <c r="S59" s="637"/>
      <c r="T59" s="637"/>
      <c r="U59" s="637"/>
      <c r="V59" s="637"/>
      <c r="W59" s="637"/>
      <c r="X59" s="637"/>
      <c r="Y59" s="637"/>
      <c r="Z59" s="637"/>
      <c r="AA59" s="637"/>
      <c r="AB59" s="637"/>
      <c r="AC59" s="637"/>
      <c r="AD59" s="637"/>
      <c r="AE59" s="637"/>
      <c r="AF59" s="637"/>
      <c r="AG59" s="637"/>
      <c r="AH59" s="637"/>
      <c r="AI59" s="637"/>
      <c r="AJ59" s="637"/>
      <c r="AK59" s="637"/>
      <c r="AL59" s="637"/>
      <c r="AM59" s="637"/>
      <c r="AN59" s="637"/>
      <c r="AO59" s="637"/>
      <c r="AP59" s="637"/>
      <c r="AQ59" s="637"/>
      <c r="AR59" s="637"/>
      <c r="AS59" s="637"/>
      <c r="AT59" s="637"/>
      <c r="AU59" s="637"/>
      <c r="AV59" s="637"/>
      <c r="AW59" s="637"/>
      <c r="AX59" s="637"/>
      <c r="AY59" s="637"/>
      <c r="AZ59" s="637"/>
      <c r="BA59" s="637"/>
      <c r="BB59" s="637"/>
      <c r="BC59" s="637"/>
      <c r="BD59" s="637"/>
      <c r="BE59" s="637"/>
      <c r="BF59" s="637"/>
      <c r="BG59" s="637"/>
      <c r="BH59" s="637"/>
      <c r="BI59" s="637"/>
      <c r="BJ59" s="637"/>
      <c r="BK59" s="637"/>
      <c r="BL59" s="637"/>
      <c r="BM59" s="637"/>
      <c r="BN59" s="637"/>
      <c r="BO59" s="637"/>
      <c r="BP59" s="637"/>
      <c r="BQ59" s="637"/>
      <c r="BR59" s="637"/>
      <c r="BS59" s="637"/>
      <c r="BT59" s="637"/>
      <c r="BU59" s="637"/>
      <c r="BV59" s="637"/>
      <c r="BW59" s="637"/>
      <c r="BX59" s="637"/>
      <c r="BY59" s="637"/>
      <c r="BZ59" s="637"/>
      <c r="CA59" s="637"/>
      <c r="CB59" s="637"/>
      <c r="CC59" s="637"/>
      <c r="CD59" s="637"/>
      <c r="CE59" s="637"/>
      <c r="CF59" s="637"/>
      <c r="CG59" s="637"/>
      <c r="CH59" s="637"/>
      <c r="CI59" s="637"/>
      <c r="CJ59" s="637"/>
      <c r="CK59" s="637"/>
      <c r="CL59" s="637"/>
      <c r="CM59" s="637"/>
    </row>
    <row r="60" ht="15.75" customHeight="1">
      <c r="A60" s="637"/>
      <c r="B60" s="637"/>
      <c r="C60" s="637"/>
      <c r="D60" s="637"/>
      <c r="E60" s="637"/>
      <c r="F60" s="637"/>
      <c r="G60" s="637"/>
      <c r="H60" s="637"/>
      <c r="I60" s="637"/>
      <c r="J60" s="637"/>
      <c r="K60" s="637"/>
      <c r="L60" s="637"/>
      <c r="M60" s="637"/>
      <c r="N60" s="637"/>
      <c r="O60" s="637"/>
      <c r="P60" s="637"/>
      <c r="Q60" s="637"/>
      <c r="R60" s="637"/>
      <c r="S60" s="637"/>
      <c r="T60" s="637"/>
      <c r="U60" s="637"/>
      <c r="V60" s="637"/>
      <c r="W60" s="637"/>
      <c r="X60" s="637"/>
      <c r="Y60" s="637"/>
      <c r="Z60" s="637"/>
      <c r="AA60" s="637"/>
      <c r="AB60" s="637"/>
      <c r="AC60" s="637"/>
      <c r="AD60" s="637"/>
      <c r="AE60" s="637"/>
      <c r="AF60" s="637"/>
      <c r="AG60" s="637"/>
      <c r="AH60" s="637"/>
      <c r="AI60" s="637"/>
      <c r="AJ60" s="637"/>
      <c r="AK60" s="637"/>
      <c r="AL60" s="637"/>
      <c r="AM60" s="637"/>
      <c r="AN60" s="637"/>
      <c r="AO60" s="637"/>
      <c r="AP60" s="637"/>
      <c r="AQ60" s="637"/>
      <c r="AR60" s="637"/>
      <c r="AS60" s="637"/>
      <c r="AT60" s="637"/>
      <c r="AU60" s="637"/>
      <c r="AV60" s="637"/>
      <c r="AW60" s="637"/>
      <c r="AX60" s="637"/>
      <c r="AY60" s="637"/>
      <c r="AZ60" s="637"/>
      <c r="BA60" s="637"/>
      <c r="BB60" s="637"/>
      <c r="BC60" s="637"/>
      <c r="BD60" s="637"/>
      <c r="BE60" s="637"/>
      <c r="BF60" s="637"/>
      <c r="BG60" s="637"/>
      <c r="BH60" s="637"/>
      <c r="BI60" s="637"/>
      <c r="BJ60" s="637"/>
      <c r="BK60" s="637"/>
      <c r="BL60" s="637"/>
      <c r="BM60" s="637"/>
      <c r="BN60" s="637"/>
      <c r="BO60" s="637"/>
      <c r="BP60" s="637"/>
      <c r="BQ60" s="637"/>
      <c r="BR60" s="637"/>
      <c r="BS60" s="637"/>
      <c r="BT60" s="637"/>
      <c r="BU60" s="637"/>
      <c r="BV60" s="637"/>
      <c r="BW60" s="637"/>
      <c r="BX60" s="637"/>
      <c r="BY60" s="637"/>
      <c r="BZ60" s="637"/>
      <c r="CA60" s="637"/>
      <c r="CB60" s="637"/>
      <c r="CC60" s="637"/>
      <c r="CD60" s="637"/>
      <c r="CE60" s="637"/>
      <c r="CF60" s="637"/>
      <c r="CG60" s="637"/>
      <c r="CH60" s="637"/>
      <c r="CI60" s="637"/>
      <c r="CJ60" s="637"/>
      <c r="CK60" s="637"/>
      <c r="CL60" s="637"/>
      <c r="CM60" s="637"/>
    </row>
    <row r="61" ht="15.75" customHeight="1">
      <c r="A61" s="637"/>
      <c r="B61" s="637"/>
      <c r="C61" s="637"/>
      <c r="D61" s="637"/>
      <c r="E61" s="637"/>
      <c r="F61" s="637"/>
      <c r="G61" s="637"/>
      <c r="H61" s="637"/>
      <c r="I61" s="637"/>
      <c r="J61" s="637"/>
      <c r="K61" s="637"/>
      <c r="L61" s="637"/>
      <c r="M61" s="637"/>
      <c r="N61" s="637"/>
      <c r="O61" s="637"/>
      <c r="P61" s="637"/>
      <c r="Q61" s="637"/>
      <c r="R61" s="637"/>
      <c r="S61" s="637"/>
      <c r="T61" s="637"/>
      <c r="U61" s="637"/>
      <c r="V61" s="637"/>
      <c r="W61" s="637"/>
      <c r="X61" s="637"/>
      <c r="Y61" s="637"/>
      <c r="Z61" s="637"/>
      <c r="AA61" s="637"/>
      <c r="AB61" s="637"/>
      <c r="AC61" s="637"/>
      <c r="AD61" s="637"/>
      <c r="AE61" s="637"/>
      <c r="AF61" s="637"/>
      <c r="AG61" s="637"/>
      <c r="AH61" s="637"/>
      <c r="AI61" s="637"/>
      <c r="AJ61" s="637"/>
      <c r="AK61" s="637"/>
      <c r="AL61" s="637"/>
      <c r="AM61" s="637"/>
      <c r="AN61" s="637"/>
      <c r="AO61" s="637"/>
      <c r="AP61" s="637"/>
      <c r="AQ61" s="637"/>
      <c r="AR61" s="637"/>
      <c r="AS61" s="637"/>
      <c r="AT61" s="637"/>
      <c r="AU61" s="637"/>
      <c r="AV61" s="637"/>
      <c r="AW61" s="637"/>
      <c r="AX61" s="637"/>
      <c r="AY61" s="637"/>
      <c r="AZ61" s="637"/>
      <c r="BA61" s="637"/>
      <c r="BB61" s="637"/>
      <c r="BC61" s="637"/>
      <c r="BD61" s="637"/>
      <c r="BE61" s="637"/>
      <c r="BF61" s="637"/>
      <c r="BG61" s="637"/>
      <c r="BH61" s="637"/>
      <c r="BI61" s="637"/>
      <c r="BJ61" s="637"/>
      <c r="BK61" s="637"/>
      <c r="BL61" s="637"/>
      <c r="BM61" s="637"/>
      <c r="BN61" s="637"/>
      <c r="BO61" s="637"/>
      <c r="BP61" s="637"/>
      <c r="BQ61" s="637"/>
      <c r="BR61" s="637"/>
      <c r="BS61" s="637"/>
      <c r="BT61" s="637"/>
      <c r="BU61" s="637"/>
      <c r="BV61" s="637"/>
      <c r="BW61" s="637"/>
      <c r="BX61" s="637"/>
      <c r="BY61" s="637"/>
      <c r="BZ61" s="637"/>
      <c r="CA61" s="637"/>
      <c r="CB61" s="637"/>
      <c r="CC61" s="637"/>
      <c r="CD61" s="637"/>
      <c r="CE61" s="637"/>
      <c r="CF61" s="637"/>
      <c r="CG61" s="637"/>
      <c r="CH61" s="637"/>
      <c r="CI61" s="637"/>
      <c r="CJ61" s="637"/>
      <c r="CK61" s="637"/>
      <c r="CL61" s="637"/>
      <c r="CM61" s="637"/>
    </row>
    <row r="62" ht="15.75" customHeight="1">
      <c r="A62" s="637"/>
      <c r="B62" s="637"/>
      <c r="C62" s="637"/>
      <c r="D62" s="637"/>
      <c r="E62" s="637"/>
      <c r="F62" s="637"/>
      <c r="G62" s="637"/>
      <c r="H62" s="637"/>
      <c r="I62" s="637"/>
      <c r="J62" s="637"/>
      <c r="K62" s="637"/>
      <c r="L62" s="637"/>
      <c r="M62" s="637"/>
      <c r="N62" s="637"/>
      <c r="O62" s="637"/>
      <c r="P62" s="637"/>
      <c r="Q62" s="637"/>
      <c r="R62" s="637"/>
      <c r="S62" s="637"/>
      <c r="T62" s="637"/>
      <c r="U62" s="637"/>
      <c r="V62" s="637"/>
      <c r="W62" s="637"/>
      <c r="X62" s="637"/>
      <c r="Y62" s="637"/>
      <c r="Z62" s="637"/>
      <c r="AA62" s="637"/>
      <c r="AB62" s="637"/>
      <c r="AC62" s="637"/>
      <c r="AD62" s="637"/>
      <c r="AE62" s="637"/>
      <c r="AF62" s="637"/>
      <c r="AG62" s="637"/>
      <c r="AH62" s="637"/>
      <c r="AI62" s="637"/>
      <c r="AJ62" s="637"/>
      <c r="AK62" s="637"/>
      <c r="AL62" s="637"/>
      <c r="AM62" s="637"/>
      <c r="AN62" s="637"/>
      <c r="AO62" s="637"/>
      <c r="AP62" s="637"/>
      <c r="AQ62" s="637"/>
      <c r="AR62" s="637"/>
      <c r="AS62" s="637"/>
      <c r="AT62" s="637"/>
      <c r="AU62" s="637"/>
      <c r="AV62" s="637"/>
      <c r="AW62" s="637"/>
      <c r="AX62" s="637"/>
      <c r="AY62" s="637"/>
      <c r="AZ62" s="637"/>
      <c r="BA62" s="637"/>
      <c r="BB62" s="637"/>
      <c r="BC62" s="637"/>
      <c r="BD62" s="637"/>
      <c r="BE62" s="637"/>
      <c r="BF62" s="637"/>
      <c r="BG62" s="637"/>
      <c r="BH62" s="637"/>
      <c r="BI62" s="637"/>
      <c r="BJ62" s="637"/>
      <c r="BK62" s="637"/>
      <c r="BL62" s="637"/>
      <c r="BM62" s="637"/>
      <c r="BN62" s="637"/>
      <c r="BO62" s="637"/>
      <c r="BP62" s="637"/>
      <c r="BQ62" s="637"/>
      <c r="BR62" s="637"/>
      <c r="BS62" s="637"/>
      <c r="BT62" s="637"/>
      <c r="BU62" s="637"/>
      <c r="BV62" s="637"/>
      <c r="BW62" s="637"/>
      <c r="BX62" s="637"/>
      <c r="BY62" s="637"/>
      <c r="BZ62" s="637"/>
      <c r="CA62" s="637"/>
      <c r="CB62" s="637"/>
      <c r="CC62" s="637"/>
      <c r="CD62" s="637"/>
      <c r="CE62" s="637"/>
      <c r="CF62" s="637"/>
      <c r="CG62" s="637"/>
      <c r="CH62" s="637"/>
      <c r="CI62" s="637"/>
      <c r="CJ62" s="637"/>
      <c r="CK62" s="637"/>
      <c r="CL62" s="637"/>
      <c r="CM62" s="637"/>
    </row>
    <row r="63" ht="15.75" customHeight="1">
      <c r="A63" s="637"/>
      <c r="B63" s="637"/>
      <c r="C63" s="637"/>
      <c r="D63" s="637"/>
      <c r="E63" s="637"/>
      <c r="F63" s="637"/>
      <c r="G63" s="637"/>
      <c r="H63" s="637"/>
      <c r="I63" s="637"/>
      <c r="J63" s="637"/>
      <c r="K63" s="637"/>
      <c r="L63" s="637"/>
      <c r="M63" s="637"/>
      <c r="N63" s="637"/>
      <c r="O63" s="637"/>
      <c r="P63" s="637"/>
      <c r="Q63" s="637"/>
      <c r="R63" s="637"/>
      <c r="S63" s="637"/>
      <c r="T63" s="637"/>
      <c r="U63" s="637"/>
      <c r="V63" s="637"/>
      <c r="W63" s="637"/>
      <c r="X63" s="637"/>
      <c r="Y63" s="637"/>
      <c r="Z63" s="637"/>
      <c r="AA63" s="637"/>
      <c r="AB63" s="637"/>
      <c r="AC63" s="637"/>
      <c r="AD63" s="637"/>
      <c r="AE63" s="637"/>
      <c r="AF63" s="637"/>
      <c r="AG63" s="637"/>
      <c r="AH63" s="637"/>
      <c r="AI63" s="637"/>
      <c r="AJ63" s="637"/>
      <c r="AK63" s="637"/>
      <c r="AL63" s="637"/>
      <c r="AM63" s="637"/>
      <c r="AN63" s="637"/>
      <c r="AO63" s="637"/>
      <c r="AP63" s="637"/>
      <c r="AQ63" s="637"/>
      <c r="AR63" s="637"/>
      <c r="AS63" s="637"/>
      <c r="AT63" s="637"/>
      <c r="AU63" s="637"/>
      <c r="AV63" s="637"/>
      <c r="AW63" s="637"/>
      <c r="AX63" s="637"/>
      <c r="AY63" s="637"/>
      <c r="AZ63" s="637"/>
      <c r="BA63" s="637"/>
      <c r="BB63" s="637"/>
      <c r="BC63" s="637"/>
      <c r="BD63" s="637"/>
      <c r="BE63" s="637"/>
      <c r="BF63" s="637"/>
      <c r="BG63" s="637"/>
      <c r="BH63" s="637"/>
      <c r="BI63" s="637"/>
      <c r="BJ63" s="637"/>
      <c r="BK63" s="637"/>
      <c r="BL63" s="637"/>
      <c r="BM63" s="637"/>
      <c r="BN63" s="637"/>
      <c r="BO63" s="637"/>
      <c r="BP63" s="637"/>
      <c r="BQ63" s="637"/>
      <c r="BR63" s="637"/>
      <c r="BS63" s="637"/>
      <c r="BT63" s="637"/>
      <c r="BU63" s="637"/>
      <c r="BV63" s="637"/>
      <c r="BW63" s="637"/>
      <c r="BX63" s="637"/>
      <c r="BY63" s="637"/>
      <c r="BZ63" s="637"/>
      <c r="CA63" s="637"/>
      <c r="CB63" s="637"/>
      <c r="CC63" s="637"/>
      <c r="CD63" s="637"/>
      <c r="CE63" s="637"/>
      <c r="CF63" s="637"/>
      <c r="CG63" s="637"/>
      <c r="CH63" s="637"/>
      <c r="CI63" s="637"/>
      <c r="CJ63" s="637"/>
      <c r="CK63" s="637"/>
      <c r="CL63" s="637"/>
      <c r="CM63" s="637"/>
    </row>
    <row r="64" ht="15.75" customHeight="1">
      <c r="A64" s="637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7"/>
      <c r="Q64" s="637"/>
      <c r="R64" s="637"/>
      <c r="S64" s="637"/>
      <c r="T64" s="637"/>
      <c r="U64" s="637"/>
      <c r="V64" s="637"/>
      <c r="W64" s="637"/>
      <c r="X64" s="637"/>
      <c r="Y64" s="637"/>
      <c r="Z64" s="637"/>
      <c r="AA64" s="637"/>
      <c r="AB64" s="637"/>
      <c r="AC64" s="637"/>
      <c r="AD64" s="637"/>
      <c r="AE64" s="637"/>
      <c r="AF64" s="637"/>
      <c r="AG64" s="637"/>
      <c r="AH64" s="637"/>
      <c r="AI64" s="637"/>
      <c r="AJ64" s="637"/>
      <c r="AK64" s="637"/>
      <c r="AL64" s="637"/>
      <c r="AM64" s="637"/>
      <c r="AN64" s="637"/>
      <c r="AO64" s="637"/>
      <c r="AP64" s="637"/>
      <c r="AQ64" s="637"/>
      <c r="AR64" s="637"/>
      <c r="AS64" s="637"/>
      <c r="AT64" s="637"/>
      <c r="AU64" s="637"/>
      <c r="AV64" s="637"/>
      <c r="AW64" s="637"/>
      <c r="AX64" s="637"/>
      <c r="AY64" s="637"/>
      <c r="AZ64" s="637"/>
      <c r="BA64" s="637"/>
      <c r="BB64" s="637"/>
      <c r="BC64" s="637"/>
      <c r="BD64" s="637"/>
      <c r="BE64" s="637"/>
      <c r="BF64" s="637"/>
      <c r="BG64" s="637"/>
      <c r="BH64" s="637"/>
      <c r="BI64" s="637"/>
      <c r="BJ64" s="637"/>
      <c r="BK64" s="637"/>
      <c r="BL64" s="637"/>
      <c r="BM64" s="637"/>
      <c r="BN64" s="637"/>
      <c r="BO64" s="637"/>
      <c r="BP64" s="637"/>
      <c r="BQ64" s="637"/>
      <c r="BR64" s="637"/>
      <c r="BS64" s="637"/>
      <c r="BT64" s="637"/>
      <c r="BU64" s="637"/>
      <c r="BV64" s="637"/>
      <c r="BW64" s="637"/>
      <c r="BX64" s="637"/>
      <c r="BY64" s="637"/>
      <c r="BZ64" s="637"/>
      <c r="CA64" s="637"/>
      <c r="CB64" s="637"/>
      <c r="CC64" s="637"/>
      <c r="CD64" s="637"/>
      <c r="CE64" s="637"/>
      <c r="CF64" s="637"/>
      <c r="CG64" s="637"/>
      <c r="CH64" s="637"/>
      <c r="CI64" s="637"/>
      <c r="CJ64" s="637"/>
      <c r="CK64" s="637"/>
      <c r="CL64" s="637"/>
      <c r="CM64" s="637"/>
    </row>
    <row r="65" ht="15.75" customHeight="1">
      <c r="A65" s="637"/>
      <c r="B65" s="637"/>
      <c r="C65" s="637"/>
      <c r="D65" s="637"/>
      <c r="E65" s="637"/>
      <c r="F65" s="637"/>
      <c r="G65" s="637"/>
      <c r="H65" s="637"/>
      <c r="I65" s="637"/>
      <c r="J65" s="637"/>
      <c r="K65" s="637"/>
      <c r="L65" s="637"/>
      <c r="M65" s="637"/>
      <c r="N65" s="637"/>
      <c r="O65" s="637"/>
      <c r="P65" s="637"/>
      <c r="Q65" s="637"/>
      <c r="R65" s="637"/>
      <c r="S65" s="637"/>
      <c r="T65" s="637"/>
      <c r="U65" s="637"/>
      <c r="V65" s="637"/>
      <c r="W65" s="637"/>
      <c r="X65" s="637"/>
      <c r="Y65" s="637"/>
      <c r="Z65" s="637"/>
      <c r="AA65" s="637"/>
      <c r="AB65" s="637"/>
      <c r="AC65" s="637"/>
      <c r="AD65" s="637"/>
      <c r="AE65" s="637"/>
      <c r="AF65" s="637"/>
      <c r="AG65" s="637"/>
      <c r="AH65" s="637"/>
      <c r="AI65" s="637"/>
      <c r="AJ65" s="637"/>
      <c r="AK65" s="637"/>
      <c r="AL65" s="637"/>
      <c r="AM65" s="637"/>
      <c r="AN65" s="637"/>
      <c r="AO65" s="637"/>
      <c r="AP65" s="637"/>
      <c r="AQ65" s="637"/>
      <c r="AR65" s="637"/>
      <c r="AS65" s="637"/>
      <c r="AT65" s="637"/>
      <c r="AU65" s="637"/>
      <c r="AV65" s="637"/>
      <c r="AW65" s="637"/>
      <c r="AX65" s="637"/>
      <c r="AY65" s="637"/>
      <c r="AZ65" s="637"/>
      <c r="BA65" s="637"/>
      <c r="BB65" s="637"/>
      <c r="BC65" s="637"/>
      <c r="BD65" s="637"/>
      <c r="BE65" s="637"/>
      <c r="BF65" s="637"/>
      <c r="BG65" s="637"/>
      <c r="BH65" s="637"/>
      <c r="BI65" s="637"/>
      <c r="BJ65" s="637"/>
      <c r="BK65" s="637"/>
      <c r="BL65" s="637"/>
      <c r="BM65" s="637"/>
      <c r="BN65" s="637"/>
      <c r="BO65" s="637"/>
      <c r="BP65" s="637"/>
      <c r="BQ65" s="637"/>
      <c r="BR65" s="637"/>
      <c r="BS65" s="637"/>
      <c r="BT65" s="637"/>
      <c r="BU65" s="637"/>
      <c r="BV65" s="637"/>
      <c r="BW65" s="637"/>
      <c r="BX65" s="637"/>
      <c r="BY65" s="637"/>
      <c r="BZ65" s="637"/>
      <c r="CA65" s="637"/>
      <c r="CB65" s="637"/>
      <c r="CC65" s="637"/>
      <c r="CD65" s="637"/>
      <c r="CE65" s="637"/>
      <c r="CF65" s="637"/>
      <c r="CG65" s="637"/>
      <c r="CH65" s="637"/>
      <c r="CI65" s="637"/>
      <c r="CJ65" s="637"/>
      <c r="CK65" s="637"/>
      <c r="CL65" s="637"/>
      <c r="CM65" s="637"/>
    </row>
    <row r="66" ht="15.75" customHeight="1">
      <c r="A66" s="637"/>
      <c r="B66" s="637"/>
      <c r="C66" s="637"/>
      <c r="D66" s="637"/>
      <c r="E66" s="637"/>
      <c r="F66" s="637"/>
      <c r="G66" s="637"/>
      <c r="H66" s="637"/>
      <c r="I66" s="637"/>
      <c r="J66" s="637"/>
      <c r="K66" s="637"/>
      <c r="L66" s="637"/>
      <c r="M66" s="637"/>
      <c r="N66" s="637"/>
      <c r="O66" s="637"/>
      <c r="P66" s="637"/>
      <c r="Q66" s="637"/>
      <c r="R66" s="637"/>
      <c r="S66" s="637"/>
      <c r="T66" s="637"/>
      <c r="U66" s="637"/>
      <c r="V66" s="637"/>
      <c r="W66" s="637"/>
      <c r="X66" s="637"/>
      <c r="Y66" s="637"/>
      <c r="Z66" s="637"/>
      <c r="AA66" s="637"/>
      <c r="AB66" s="637"/>
      <c r="AC66" s="637"/>
      <c r="AD66" s="637"/>
      <c r="AE66" s="637"/>
      <c r="AF66" s="637"/>
      <c r="AG66" s="637"/>
      <c r="AH66" s="637"/>
      <c r="AI66" s="637"/>
      <c r="AJ66" s="637"/>
      <c r="AK66" s="637"/>
      <c r="AL66" s="637"/>
      <c r="AM66" s="637"/>
      <c r="AN66" s="637"/>
      <c r="AO66" s="637"/>
      <c r="AP66" s="637"/>
      <c r="AQ66" s="637"/>
      <c r="AR66" s="637"/>
      <c r="AS66" s="637"/>
      <c r="AT66" s="637"/>
      <c r="AU66" s="637"/>
      <c r="AV66" s="637"/>
      <c r="AW66" s="637"/>
      <c r="AX66" s="637"/>
      <c r="AY66" s="637"/>
      <c r="AZ66" s="637"/>
      <c r="BA66" s="637"/>
      <c r="BB66" s="637"/>
      <c r="BC66" s="637"/>
      <c r="BD66" s="637"/>
      <c r="BE66" s="637"/>
      <c r="BF66" s="637"/>
      <c r="BG66" s="637"/>
      <c r="BH66" s="637"/>
      <c r="BI66" s="637"/>
      <c r="BJ66" s="637"/>
      <c r="BK66" s="637"/>
      <c r="BL66" s="637"/>
      <c r="BM66" s="637"/>
      <c r="BN66" s="637"/>
      <c r="BO66" s="637"/>
      <c r="BP66" s="637"/>
      <c r="BQ66" s="637"/>
      <c r="BR66" s="637"/>
      <c r="BS66" s="637"/>
      <c r="BT66" s="637"/>
      <c r="BU66" s="637"/>
      <c r="BV66" s="637"/>
      <c r="BW66" s="637"/>
      <c r="BX66" s="637"/>
      <c r="BY66" s="637"/>
      <c r="BZ66" s="637"/>
      <c r="CA66" s="637"/>
      <c r="CB66" s="637"/>
      <c r="CC66" s="637"/>
      <c r="CD66" s="637"/>
      <c r="CE66" s="637"/>
      <c r="CF66" s="637"/>
      <c r="CG66" s="637"/>
      <c r="CH66" s="637"/>
      <c r="CI66" s="637"/>
      <c r="CJ66" s="637"/>
      <c r="CK66" s="637"/>
      <c r="CL66" s="637"/>
      <c r="CM66" s="637"/>
    </row>
    <row r="67" ht="15.75" customHeight="1">
      <c r="A67" s="637"/>
      <c r="B67" s="637"/>
      <c r="C67" s="637"/>
      <c r="D67" s="637"/>
      <c r="E67" s="637"/>
      <c r="F67" s="637"/>
      <c r="G67" s="637"/>
      <c r="H67" s="637"/>
      <c r="I67" s="637"/>
      <c r="J67" s="637"/>
      <c r="K67" s="637"/>
      <c r="L67" s="637"/>
      <c r="M67" s="637"/>
      <c r="N67" s="637"/>
      <c r="O67" s="637"/>
      <c r="P67" s="637"/>
      <c r="Q67" s="637"/>
      <c r="R67" s="637"/>
      <c r="S67" s="637"/>
      <c r="T67" s="637"/>
      <c r="U67" s="637"/>
      <c r="V67" s="637"/>
      <c r="W67" s="637"/>
      <c r="X67" s="637"/>
      <c r="Y67" s="637"/>
      <c r="Z67" s="637"/>
      <c r="AA67" s="637"/>
      <c r="AB67" s="637"/>
      <c r="AC67" s="637"/>
      <c r="AD67" s="637"/>
      <c r="AE67" s="637"/>
      <c r="AF67" s="637"/>
      <c r="AG67" s="637"/>
      <c r="AH67" s="637"/>
      <c r="AI67" s="637"/>
      <c r="AJ67" s="637"/>
      <c r="AK67" s="637"/>
      <c r="AL67" s="637"/>
      <c r="AM67" s="637"/>
      <c r="AN67" s="637"/>
      <c r="AO67" s="637"/>
      <c r="AP67" s="637"/>
      <c r="AQ67" s="637"/>
      <c r="AR67" s="637"/>
      <c r="AS67" s="637"/>
      <c r="AT67" s="637"/>
      <c r="AU67" s="637"/>
      <c r="AV67" s="637"/>
      <c r="AW67" s="637"/>
      <c r="AX67" s="637"/>
      <c r="AY67" s="637"/>
      <c r="AZ67" s="637"/>
      <c r="BA67" s="637"/>
      <c r="BB67" s="637"/>
      <c r="BC67" s="637"/>
      <c r="BD67" s="637"/>
      <c r="BE67" s="637"/>
      <c r="BF67" s="637"/>
      <c r="BG67" s="637"/>
      <c r="BH67" s="637"/>
      <c r="BI67" s="637"/>
      <c r="BJ67" s="637"/>
      <c r="BK67" s="637"/>
      <c r="BL67" s="637"/>
      <c r="BM67" s="637"/>
      <c r="BN67" s="637"/>
      <c r="BO67" s="637"/>
      <c r="BP67" s="637"/>
      <c r="BQ67" s="637"/>
      <c r="BR67" s="637"/>
      <c r="BS67" s="637"/>
      <c r="BT67" s="637"/>
      <c r="BU67" s="637"/>
      <c r="BV67" s="637"/>
      <c r="BW67" s="637"/>
      <c r="BX67" s="637"/>
      <c r="BY67" s="637"/>
      <c r="BZ67" s="637"/>
      <c r="CA67" s="637"/>
      <c r="CB67" s="637"/>
      <c r="CC67" s="637"/>
      <c r="CD67" s="637"/>
      <c r="CE67" s="637"/>
      <c r="CF67" s="637"/>
      <c r="CG67" s="637"/>
      <c r="CH67" s="637"/>
      <c r="CI67" s="637"/>
      <c r="CJ67" s="637"/>
      <c r="CK67" s="637"/>
      <c r="CL67" s="637"/>
      <c r="CM67" s="637"/>
    </row>
    <row r="68" ht="15.75" customHeight="1">
      <c r="A68" s="637"/>
      <c r="B68" s="637"/>
      <c r="C68" s="637"/>
      <c r="D68" s="637"/>
      <c r="E68" s="637"/>
      <c r="F68" s="637"/>
      <c r="G68" s="637"/>
      <c r="H68" s="637"/>
      <c r="I68" s="637"/>
      <c r="J68" s="637"/>
      <c r="K68" s="637"/>
      <c r="L68" s="637"/>
      <c r="M68" s="637"/>
      <c r="N68" s="637"/>
      <c r="O68" s="637"/>
      <c r="P68" s="637"/>
      <c r="Q68" s="637"/>
      <c r="R68" s="637"/>
      <c r="S68" s="637"/>
      <c r="T68" s="637"/>
      <c r="U68" s="637"/>
      <c r="V68" s="637"/>
      <c r="W68" s="637"/>
      <c r="X68" s="637"/>
      <c r="Y68" s="637"/>
      <c r="Z68" s="637"/>
      <c r="AA68" s="637"/>
      <c r="AB68" s="637"/>
      <c r="AC68" s="637"/>
      <c r="AD68" s="637"/>
      <c r="AE68" s="637"/>
      <c r="AF68" s="637"/>
      <c r="AG68" s="637"/>
      <c r="AH68" s="637"/>
      <c r="AI68" s="637"/>
      <c r="AJ68" s="637"/>
      <c r="AK68" s="637"/>
      <c r="AL68" s="637"/>
      <c r="AM68" s="637"/>
      <c r="AN68" s="637"/>
      <c r="AO68" s="637"/>
      <c r="AP68" s="637"/>
      <c r="AQ68" s="637"/>
      <c r="AR68" s="637"/>
      <c r="AS68" s="637"/>
      <c r="AT68" s="637"/>
      <c r="AU68" s="637"/>
      <c r="AV68" s="637"/>
      <c r="AW68" s="637"/>
      <c r="AX68" s="637"/>
      <c r="AY68" s="637"/>
      <c r="AZ68" s="637"/>
      <c r="BA68" s="637"/>
      <c r="BB68" s="637"/>
      <c r="BC68" s="637"/>
      <c r="BD68" s="637"/>
      <c r="BE68" s="637"/>
      <c r="BF68" s="637"/>
      <c r="BG68" s="637"/>
      <c r="BH68" s="637"/>
      <c r="BI68" s="637"/>
      <c r="BJ68" s="637"/>
      <c r="BK68" s="637"/>
      <c r="BL68" s="637"/>
      <c r="BM68" s="637"/>
      <c r="BN68" s="637"/>
      <c r="BO68" s="637"/>
      <c r="BP68" s="637"/>
      <c r="BQ68" s="637"/>
      <c r="BR68" s="637"/>
      <c r="BS68" s="637"/>
      <c r="BT68" s="637"/>
      <c r="BU68" s="637"/>
      <c r="BV68" s="637"/>
      <c r="BW68" s="637"/>
      <c r="BX68" s="637"/>
      <c r="BY68" s="637"/>
      <c r="BZ68" s="637"/>
      <c r="CA68" s="637"/>
      <c r="CB68" s="637"/>
      <c r="CC68" s="637"/>
      <c r="CD68" s="637"/>
      <c r="CE68" s="637"/>
      <c r="CF68" s="637"/>
      <c r="CG68" s="637"/>
      <c r="CH68" s="637"/>
      <c r="CI68" s="637"/>
      <c r="CJ68" s="637"/>
      <c r="CK68" s="637"/>
      <c r="CL68" s="637"/>
      <c r="CM68" s="637"/>
    </row>
    <row r="69" ht="15.75" customHeight="1">
      <c r="A69" s="637"/>
      <c r="B69" s="637"/>
      <c r="C69" s="637"/>
      <c r="D69" s="637"/>
      <c r="E69" s="637"/>
      <c r="F69" s="637"/>
      <c r="G69" s="637"/>
      <c r="H69" s="637"/>
      <c r="I69" s="637"/>
      <c r="J69" s="637"/>
      <c r="K69" s="637"/>
      <c r="L69" s="637"/>
      <c r="M69" s="637"/>
      <c r="N69" s="637"/>
      <c r="O69" s="637"/>
      <c r="P69" s="637"/>
      <c r="Q69" s="637"/>
      <c r="R69" s="637"/>
      <c r="S69" s="637"/>
      <c r="T69" s="637"/>
      <c r="U69" s="637"/>
      <c r="V69" s="637"/>
      <c r="W69" s="637"/>
      <c r="X69" s="637"/>
      <c r="Y69" s="637"/>
      <c r="Z69" s="637"/>
      <c r="AA69" s="637"/>
      <c r="AB69" s="637"/>
      <c r="AC69" s="637"/>
      <c r="AD69" s="637"/>
      <c r="AE69" s="637"/>
      <c r="AF69" s="637"/>
      <c r="AG69" s="637"/>
      <c r="AH69" s="637"/>
      <c r="AI69" s="637"/>
      <c r="AJ69" s="637"/>
      <c r="AK69" s="637"/>
      <c r="AL69" s="637"/>
      <c r="AM69" s="637"/>
      <c r="AN69" s="637"/>
      <c r="AO69" s="637"/>
      <c r="AP69" s="637"/>
      <c r="AQ69" s="637"/>
      <c r="AR69" s="637"/>
      <c r="AS69" s="637"/>
      <c r="AT69" s="637"/>
      <c r="AU69" s="637"/>
      <c r="AV69" s="637"/>
      <c r="AW69" s="637"/>
      <c r="AX69" s="637"/>
      <c r="AY69" s="637"/>
      <c r="AZ69" s="637"/>
      <c r="BA69" s="637"/>
      <c r="BB69" s="637"/>
      <c r="BC69" s="637"/>
      <c r="BD69" s="637"/>
      <c r="BE69" s="637"/>
      <c r="BF69" s="637"/>
      <c r="BG69" s="637"/>
      <c r="BH69" s="637"/>
      <c r="BI69" s="637"/>
      <c r="BJ69" s="637"/>
      <c r="BK69" s="637"/>
      <c r="BL69" s="637"/>
      <c r="BM69" s="637"/>
      <c r="BN69" s="637"/>
      <c r="BO69" s="637"/>
      <c r="BP69" s="637"/>
      <c r="BQ69" s="637"/>
      <c r="BR69" s="637"/>
      <c r="BS69" s="637"/>
      <c r="BT69" s="637"/>
      <c r="BU69" s="637"/>
      <c r="BV69" s="637"/>
      <c r="BW69" s="637"/>
      <c r="BX69" s="637"/>
      <c r="BY69" s="637"/>
      <c r="BZ69" s="637"/>
      <c r="CA69" s="637"/>
      <c r="CB69" s="637"/>
      <c r="CC69" s="637"/>
      <c r="CD69" s="637"/>
      <c r="CE69" s="637"/>
      <c r="CF69" s="637"/>
      <c r="CG69" s="637"/>
      <c r="CH69" s="637"/>
      <c r="CI69" s="637"/>
      <c r="CJ69" s="637"/>
      <c r="CK69" s="637"/>
      <c r="CL69" s="637"/>
      <c r="CM69" s="637"/>
    </row>
    <row r="70" ht="15.75" customHeight="1">
      <c r="A70" s="637"/>
      <c r="B70" s="637"/>
      <c r="C70" s="637"/>
      <c r="D70" s="637"/>
      <c r="E70" s="637"/>
      <c r="F70" s="637"/>
      <c r="G70" s="637"/>
      <c r="H70" s="637"/>
      <c r="I70" s="637"/>
      <c r="J70" s="637"/>
      <c r="K70" s="637"/>
      <c r="L70" s="637"/>
      <c r="M70" s="637"/>
      <c r="N70" s="637"/>
      <c r="O70" s="637"/>
      <c r="P70" s="637"/>
      <c r="Q70" s="637"/>
      <c r="R70" s="637"/>
      <c r="S70" s="637"/>
      <c r="T70" s="637"/>
      <c r="U70" s="637"/>
      <c r="V70" s="637"/>
      <c r="W70" s="637"/>
      <c r="X70" s="637"/>
      <c r="Y70" s="637"/>
      <c r="Z70" s="637"/>
      <c r="AA70" s="637"/>
      <c r="AB70" s="637"/>
      <c r="AC70" s="637"/>
      <c r="AD70" s="637"/>
      <c r="AE70" s="637"/>
      <c r="AF70" s="637"/>
      <c r="AG70" s="637"/>
      <c r="AH70" s="637"/>
      <c r="AI70" s="637"/>
      <c r="AJ70" s="637"/>
      <c r="AK70" s="637"/>
      <c r="AL70" s="637"/>
      <c r="AM70" s="637"/>
      <c r="AN70" s="637"/>
      <c r="AO70" s="637"/>
      <c r="AP70" s="637"/>
      <c r="AQ70" s="637"/>
      <c r="AR70" s="637"/>
      <c r="AS70" s="637"/>
      <c r="AT70" s="637"/>
      <c r="AU70" s="637"/>
      <c r="AV70" s="637"/>
      <c r="AW70" s="637"/>
      <c r="AX70" s="637"/>
      <c r="AY70" s="637"/>
      <c r="AZ70" s="637"/>
      <c r="BA70" s="637"/>
      <c r="BB70" s="637"/>
      <c r="BC70" s="637"/>
      <c r="BD70" s="637"/>
      <c r="BE70" s="637"/>
      <c r="BF70" s="637"/>
      <c r="BG70" s="637"/>
      <c r="BH70" s="637"/>
      <c r="BI70" s="637"/>
      <c r="BJ70" s="637"/>
      <c r="BK70" s="637"/>
      <c r="BL70" s="637"/>
      <c r="BM70" s="637"/>
      <c r="BN70" s="637"/>
      <c r="BO70" s="637"/>
      <c r="BP70" s="637"/>
      <c r="BQ70" s="637"/>
      <c r="BR70" s="637"/>
      <c r="BS70" s="637"/>
      <c r="BT70" s="637"/>
      <c r="BU70" s="637"/>
      <c r="BV70" s="637"/>
      <c r="BW70" s="637"/>
      <c r="BX70" s="637"/>
      <c r="BY70" s="637"/>
      <c r="BZ70" s="637"/>
      <c r="CA70" s="637"/>
      <c r="CB70" s="637"/>
      <c r="CC70" s="637"/>
      <c r="CD70" s="637"/>
      <c r="CE70" s="637"/>
      <c r="CF70" s="637"/>
      <c r="CG70" s="637"/>
      <c r="CH70" s="637"/>
      <c r="CI70" s="637"/>
      <c r="CJ70" s="637"/>
      <c r="CK70" s="637"/>
      <c r="CL70" s="637"/>
      <c r="CM70" s="637"/>
    </row>
    <row r="71" ht="15.75" customHeight="1">
      <c r="A71" s="637"/>
      <c r="B71" s="637"/>
      <c r="C71" s="637"/>
      <c r="D71" s="637"/>
      <c r="E71" s="637"/>
      <c r="F71" s="637"/>
      <c r="G71" s="637"/>
      <c r="H71" s="637"/>
      <c r="I71" s="637"/>
      <c r="J71" s="637"/>
      <c r="K71" s="637"/>
      <c r="L71" s="637"/>
      <c r="M71" s="637"/>
      <c r="N71" s="637"/>
      <c r="O71" s="637"/>
      <c r="P71" s="637"/>
      <c r="Q71" s="637"/>
      <c r="R71" s="637"/>
      <c r="S71" s="637"/>
      <c r="T71" s="637"/>
      <c r="U71" s="637"/>
      <c r="V71" s="637"/>
      <c r="W71" s="637"/>
      <c r="X71" s="637"/>
      <c r="Y71" s="637"/>
      <c r="Z71" s="637"/>
      <c r="AA71" s="637"/>
      <c r="AB71" s="637"/>
      <c r="AC71" s="637"/>
      <c r="AD71" s="637"/>
      <c r="AE71" s="637"/>
      <c r="AF71" s="637"/>
      <c r="AG71" s="637"/>
      <c r="AH71" s="637"/>
      <c r="AI71" s="637"/>
      <c r="AJ71" s="637"/>
      <c r="AK71" s="637"/>
      <c r="AL71" s="637"/>
      <c r="AM71" s="637"/>
      <c r="AN71" s="637"/>
      <c r="AO71" s="637"/>
      <c r="AP71" s="637"/>
      <c r="AQ71" s="637"/>
      <c r="AR71" s="637"/>
      <c r="AS71" s="637"/>
      <c r="AT71" s="637"/>
      <c r="AU71" s="637"/>
      <c r="AV71" s="637"/>
      <c r="AW71" s="637"/>
      <c r="AX71" s="637"/>
      <c r="AY71" s="637"/>
      <c r="AZ71" s="637"/>
      <c r="BA71" s="637"/>
      <c r="BB71" s="637"/>
      <c r="BC71" s="637"/>
      <c r="BD71" s="637"/>
      <c r="BE71" s="637"/>
      <c r="BF71" s="637"/>
      <c r="BG71" s="637"/>
      <c r="BH71" s="637"/>
      <c r="BI71" s="637"/>
      <c r="BJ71" s="637"/>
      <c r="BK71" s="637"/>
      <c r="BL71" s="637"/>
      <c r="BM71" s="637"/>
      <c r="BN71" s="637"/>
      <c r="BO71" s="637"/>
      <c r="BP71" s="637"/>
      <c r="BQ71" s="637"/>
      <c r="BR71" s="637"/>
      <c r="BS71" s="637"/>
      <c r="BT71" s="637"/>
      <c r="BU71" s="637"/>
      <c r="BV71" s="637"/>
      <c r="BW71" s="637"/>
      <c r="BX71" s="637"/>
      <c r="BY71" s="637"/>
      <c r="BZ71" s="637"/>
      <c r="CA71" s="637"/>
      <c r="CB71" s="637"/>
      <c r="CC71" s="637"/>
      <c r="CD71" s="637"/>
      <c r="CE71" s="637"/>
      <c r="CF71" s="637"/>
      <c r="CG71" s="637"/>
      <c r="CH71" s="637"/>
      <c r="CI71" s="637"/>
      <c r="CJ71" s="637"/>
      <c r="CK71" s="637"/>
      <c r="CL71" s="637"/>
      <c r="CM71" s="637"/>
    </row>
    <row r="72" ht="15.75" customHeight="1">
      <c r="A72" s="637"/>
      <c r="B72" s="637"/>
      <c r="C72" s="637"/>
      <c r="D72" s="637"/>
      <c r="E72" s="637"/>
      <c r="F72" s="637"/>
      <c r="G72" s="637"/>
      <c r="H72" s="637"/>
      <c r="I72" s="637"/>
      <c r="J72" s="637"/>
      <c r="K72" s="637"/>
      <c r="L72" s="637"/>
      <c r="M72" s="637"/>
      <c r="N72" s="637"/>
      <c r="O72" s="637"/>
      <c r="P72" s="637"/>
      <c r="Q72" s="637"/>
      <c r="R72" s="637"/>
      <c r="S72" s="637"/>
      <c r="T72" s="637"/>
      <c r="U72" s="637"/>
      <c r="V72" s="637"/>
      <c r="W72" s="637"/>
      <c r="X72" s="637"/>
      <c r="Y72" s="637"/>
      <c r="Z72" s="637"/>
      <c r="AA72" s="637"/>
      <c r="AB72" s="637"/>
      <c r="AC72" s="637"/>
      <c r="AD72" s="637"/>
      <c r="AE72" s="637"/>
      <c r="AF72" s="637"/>
      <c r="AG72" s="637"/>
      <c r="AH72" s="637"/>
      <c r="AI72" s="637"/>
      <c r="AJ72" s="637"/>
      <c r="AK72" s="637"/>
      <c r="AL72" s="637"/>
      <c r="AM72" s="637"/>
      <c r="AN72" s="637"/>
      <c r="AO72" s="637"/>
      <c r="AP72" s="637"/>
      <c r="AQ72" s="637"/>
      <c r="AR72" s="637"/>
      <c r="AS72" s="637"/>
      <c r="AT72" s="637"/>
      <c r="AU72" s="637"/>
      <c r="AV72" s="637"/>
      <c r="AW72" s="637"/>
      <c r="AX72" s="637"/>
      <c r="AY72" s="637"/>
      <c r="AZ72" s="637"/>
      <c r="BA72" s="637"/>
      <c r="BB72" s="637"/>
      <c r="BC72" s="637"/>
      <c r="BD72" s="637"/>
      <c r="BE72" s="637"/>
      <c r="BF72" s="637"/>
      <c r="BG72" s="637"/>
      <c r="BH72" s="637"/>
      <c r="BI72" s="637"/>
      <c r="BJ72" s="637"/>
      <c r="BK72" s="637"/>
      <c r="BL72" s="637"/>
      <c r="BM72" s="637"/>
      <c r="BN72" s="637"/>
      <c r="BO72" s="637"/>
      <c r="BP72" s="637"/>
      <c r="BQ72" s="637"/>
      <c r="BR72" s="637"/>
      <c r="BS72" s="637"/>
      <c r="BT72" s="637"/>
      <c r="BU72" s="637"/>
      <c r="BV72" s="637"/>
      <c r="BW72" s="637"/>
      <c r="BX72" s="637"/>
      <c r="BY72" s="637"/>
      <c r="BZ72" s="637"/>
      <c r="CA72" s="637"/>
      <c r="CB72" s="637"/>
      <c r="CC72" s="637"/>
      <c r="CD72" s="637"/>
      <c r="CE72" s="637"/>
      <c r="CF72" s="637"/>
      <c r="CG72" s="637"/>
      <c r="CH72" s="637"/>
      <c r="CI72" s="637"/>
      <c r="CJ72" s="637"/>
      <c r="CK72" s="637"/>
      <c r="CL72" s="637"/>
      <c r="CM72" s="637"/>
    </row>
    <row r="73" ht="15.75" customHeight="1">
      <c r="A73" s="637"/>
      <c r="B73" s="637"/>
      <c r="C73" s="637"/>
      <c r="D73" s="637"/>
      <c r="E73" s="637"/>
      <c r="F73" s="637"/>
      <c r="G73" s="637"/>
      <c r="H73" s="637"/>
      <c r="I73" s="637"/>
      <c r="J73" s="637"/>
      <c r="K73" s="637"/>
      <c r="L73" s="637"/>
      <c r="M73" s="637"/>
      <c r="N73" s="637"/>
      <c r="O73" s="637"/>
      <c r="P73" s="637"/>
      <c r="Q73" s="637"/>
      <c r="R73" s="637"/>
      <c r="S73" s="637"/>
      <c r="T73" s="637"/>
      <c r="U73" s="637"/>
      <c r="V73" s="637"/>
      <c r="W73" s="637"/>
      <c r="X73" s="637"/>
      <c r="Y73" s="637"/>
      <c r="Z73" s="637"/>
      <c r="AA73" s="637"/>
      <c r="AB73" s="637"/>
      <c r="AC73" s="637"/>
      <c r="AD73" s="637"/>
      <c r="AE73" s="637"/>
      <c r="AF73" s="637"/>
      <c r="AG73" s="637"/>
      <c r="AH73" s="637"/>
      <c r="AI73" s="637"/>
      <c r="AJ73" s="637"/>
      <c r="AK73" s="637"/>
      <c r="AL73" s="637"/>
      <c r="AM73" s="637"/>
      <c r="AN73" s="637"/>
      <c r="AO73" s="637"/>
      <c r="AP73" s="637"/>
      <c r="AQ73" s="637"/>
      <c r="AR73" s="637"/>
      <c r="AS73" s="637"/>
      <c r="AT73" s="637"/>
      <c r="AU73" s="637"/>
      <c r="AV73" s="637"/>
      <c r="AW73" s="637"/>
      <c r="AX73" s="637"/>
      <c r="AY73" s="637"/>
      <c r="AZ73" s="637"/>
      <c r="BA73" s="637"/>
      <c r="BB73" s="637"/>
      <c r="BC73" s="637"/>
      <c r="BD73" s="637"/>
      <c r="BE73" s="637"/>
      <c r="BF73" s="637"/>
      <c r="BG73" s="637"/>
      <c r="BH73" s="637"/>
      <c r="BI73" s="637"/>
      <c r="BJ73" s="637"/>
      <c r="BK73" s="637"/>
      <c r="BL73" s="637"/>
      <c r="BM73" s="637"/>
      <c r="BN73" s="637"/>
      <c r="BO73" s="637"/>
      <c r="BP73" s="637"/>
      <c r="BQ73" s="637"/>
      <c r="BR73" s="637"/>
      <c r="BS73" s="637"/>
      <c r="BT73" s="637"/>
      <c r="BU73" s="637"/>
      <c r="BV73" s="637"/>
      <c r="BW73" s="637"/>
      <c r="BX73" s="637"/>
      <c r="BY73" s="637"/>
      <c r="BZ73" s="637"/>
      <c r="CA73" s="637"/>
      <c r="CB73" s="637"/>
      <c r="CC73" s="637"/>
      <c r="CD73" s="637"/>
      <c r="CE73" s="637"/>
      <c r="CF73" s="637"/>
      <c r="CG73" s="637"/>
      <c r="CH73" s="637"/>
      <c r="CI73" s="637"/>
      <c r="CJ73" s="637"/>
      <c r="CK73" s="637"/>
      <c r="CL73" s="637"/>
      <c r="CM73" s="637"/>
    </row>
    <row r="74" ht="15.75" customHeight="1">
      <c r="A74" s="637"/>
      <c r="B74" s="637"/>
      <c r="C74" s="637"/>
      <c r="D74" s="637"/>
      <c r="E74" s="637"/>
      <c r="F74" s="637"/>
      <c r="G74" s="637"/>
      <c r="H74" s="637"/>
      <c r="I74" s="637"/>
      <c r="J74" s="637"/>
      <c r="K74" s="637"/>
      <c r="L74" s="637"/>
      <c r="M74" s="637"/>
      <c r="N74" s="637"/>
      <c r="O74" s="637"/>
      <c r="P74" s="637"/>
      <c r="Q74" s="637"/>
      <c r="R74" s="637"/>
      <c r="S74" s="637"/>
      <c r="T74" s="637"/>
      <c r="U74" s="637"/>
      <c r="V74" s="637"/>
      <c r="W74" s="637"/>
      <c r="X74" s="637"/>
      <c r="Y74" s="637"/>
      <c r="Z74" s="637"/>
      <c r="AA74" s="637"/>
      <c r="AB74" s="637"/>
      <c r="AC74" s="637"/>
      <c r="AD74" s="637"/>
      <c r="AE74" s="637"/>
      <c r="AF74" s="637"/>
      <c r="AG74" s="637"/>
      <c r="AH74" s="637"/>
      <c r="AI74" s="637"/>
      <c r="AJ74" s="637"/>
      <c r="AK74" s="637"/>
      <c r="AL74" s="637"/>
      <c r="AM74" s="637"/>
      <c r="AN74" s="637"/>
      <c r="AO74" s="637"/>
      <c r="AP74" s="637"/>
      <c r="AQ74" s="637"/>
      <c r="AR74" s="637"/>
      <c r="AS74" s="637"/>
      <c r="AT74" s="637"/>
      <c r="AU74" s="637"/>
      <c r="AV74" s="637"/>
      <c r="AW74" s="637"/>
      <c r="AX74" s="637"/>
      <c r="AY74" s="637"/>
      <c r="AZ74" s="637"/>
      <c r="BA74" s="637"/>
      <c r="BB74" s="637"/>
      <c r="BC74" s="637"/>
      <c r="BD74" s="637"/>
      <c r="BE74" s="637"/>
      <c r="BF74" s="637"/>
      <c r="BG74" s="637"/>
      <c r="BH74" s="637"/>
      <c r="BI74" s="637"/>
      <c r="BJ74" s="637"/>
      <c r="BK74" s="637"/>
      <c r="BL74" s="637"/>
      <c r="BM74" s="637"/>
      <c r="BN74" s="637"/>
      <c r="BO74" s="637"/>
      <c r="BP74" s="637"/>
      <c r="BQ74" s="637"/>
      <c r="BR74" s="637"/>
      <c r="BS74" s="637"/>
      <c r="BT74" s="637"/>
      <c r="BU74" s="637"/>
      <c r="BV74" s="637"/>
      <c r="BW74" s="637"/>
      <c r="BX74" s="637"/>
      <c r="BY74" s="637"/>
      <c r="BZ74" s="637"/>
      <c r="CA74" s="637"/>
      <c r="CB74" s="637"/>
      <c r="CC74" s="637"/>
      <c r="CD74" s="637"/>
      <c r="CE74" s="637"/>
      <c r="CF74" s="637"/>
      <c r="CG74" s="637"/>
      <c r="CH74" s="637"/>
      <c r="CI74" s="637"/>
      <c r="CJ74" s="637"/>
      <c r="CK74" s="637"/>
      <c r="CL74" s="637"/>
      <c r="CM74" s="637"/>
    </row>
    <row r="75" ht="15.75" customHeight="1">
      <c r="A75" s="637"/>
      <c r="B75" s="637"/>
      <c r="C75" s="637"/>
      <c r="D75" s="637"/>
      <c r="E75" s="637"/>
      <c r="F75" s="637"/>
      <c r="G75" s="637"/>
      <c r="H75" s="637"/>
      <c r="I75" s="637"/>
      <c r="J75" s="637"/>
      <c r="K75" s="637"/>
      <c r="L75" s="637"/>
      <c r="M75" s="637"/>
      <c r="N75" s="637"/>
      <c r="O75" s="637"/>
      <c r="P75" s="637"/>
      <c r="Q75" s="637"/>
      <c r="R75" s="637"/>
      <c r="S75" s="637"/>
      <c r="T75" s="637"/>
      <c r="U75" s="637"/>
      <c r="V75" s="637"/>
      <c r="W75" s="637"/>
      <c r="X75" s="637"/>
      <c r="Y75" s="637"/>
      <c r="Z75" s="637"/>
      <c r="AA75" s="637"/>
      <c r="AB75" s="637"/>
      <c r="AC75" s="637"/>
      <c r="AD75" s="637"/>
      <c r="AE75" s="637"/>
      <c r="AF75" s="637"/>
      <c r="AG75" s="637"/>
      <c r="AH75" s="637"/>
      <c r="AI75" s="637"/>
      <c r="AJ75" s="637"/>
      <c r="AK75" s="637"/>
      <c r="AL75" s="637"/>
      <c r="AM75" s="637"/>
      <c r="AN75" s="637"/>
      <c r="AO75" s="637"/>
      <c r="AP75" s="637"/>
      <c r="AQ75" s="637"/>
      <c r="AR75" s="637"/>
      <c r="AS75" s="637"/>
      <c r="AT75" s="637"/>
      <c r="AU75" s="637"/>
      <c r="AV75" s="637"/>
      <c r="AW75" s="637"/>
      <c r="AX75" s="637"/>
      <c r="AY75" s="637"/>
      <c r="AZ75" s="637"/>
      <c r="BA75" s="637"/>
      <c r="BB75" s="637"/>
      <c r="BC75" s="637"/>
      <c r="BD75" s="637"/>
      <c r="BE75" s="637"/>
      <c r="BF75" s="637"/>
      <c r="BG75" s="637"/>
      <c r="BH75" s="637"/>
      <c r="BI75" s="637"/>
      <c r="BJ75" s="637"/>
      <c r="BK75" s="637"/>
      <c r="BL75" s="637"/>
      <c r="BM75" s="637"/>
      <c r="BN75" s="637"/>
      <c r="BO75" s="637"/>
      <c r="BP75" s="637"/>
      <c r="BQ75" s="637"/>
      <c r="BR75" s="637"/>
      <c r="BS75" s="637"/>
      <c r="BT75" s="637"/>
      <c r="BU75" s="637"/>
      <c r="BV75" s="637"/>
      <c r="BW75" s="637"/>
      <c r="BX75" s="637"/>
      <c r="BY75" s="637"/>
      <c r="BZ75" s="637"/>
      <c r="CA75" s="637"/>
      <c r="CB75" s="637"/>
      <c r="CC75" s="637"/>
      <c r="CD75" s="637"/>
      <c r="CE75" s="637"/>
      <c r="CF75" s="637"/>
      <c r="CG75" s="637"/>
      <c r="CH75" s="637"/>
      <c r="CI75" s="637"/>
      <c r="CJ75" s="637"/>
      <c r="CK75" s="637"/>
      <c r="CL75" s="637"/>
      <c r="CM75" s="637"/>
    </row>
    <row r="76" ht="15.75" customHeight="1">
      <c r="A76" s="637"/>
      <c r="B76" s="637"/>
      <c r="C76" s="637"/>
      <c r="D76" s="637"/>
      <c r="E76" s="637"/>
      <c r="F76" s="637"/>
      <c r="G76" s="637"/>
      <c r="H76" s="637"/>
      <c r="I76" s="637"/>
      <c r="J76" s="637"/>
      <c r="K76" s="637"/>
      <c r="L76" s="637"/>
      <c r="M76" s="637"/>
      <c r="N76" s="637"/>
      <c r="O76" s="637"/>
      <c r="P76" s="637"/>
      <c r="Q76" s="637"/>
      <c r="R76" s="637"/>
      <c r="S76" s="637"/>
      <c r="T76" s="637"/>
      <c r="U76" s="637"/>
      <c r="V76" s="637"/>
      <c r="W76" s="637"/>
      <c r="X76" s="637"/>
      <c r="Y76" s="637"/>
      <c r="Z76" s="637"/>
      <c r="AA76" s="637"/>
      <c r="AB76" s="637"/>
      <c r="AC76" s="637"/>
      <c r="AD76" s="637"/>
      <c r="AE76" s="637"/>
      <c r="AF76" s="637"/>
      <c r="AG76" s="637"/>
      <c r="AH76" s="637"/>
      <c r="AI76" s="637"/>
      <c r="AJ76" s="637"/>
      <c r="AK76" s="637"/>
      <c r="AL76" s="637"/>
      <c r="AM76" s="637"/>
      <c r="AN76" s="637"/>
      <c r="AO76" s="637"/>
      <c r="AP76" s="637"/>
      <c r="AQ76" s="637"/>
      <c r="AR76" s="637"/>
      <c r="AS76" s="637"/>
      <c r="AT76" s="637"/>
      <c r="AU76" s="637"/>
      <c r="AV76" s="637"/>
      <c r="AW76" s="637"/>
      <c r="AX76" s="637"/>
      <c r="AY76" s="637"/>
      <c r="AZ76" s="637"/>
      <c r="BA76" s="637"/>
      <c r="BB76" s="637"/>
      <c r="BC76" s="637"/>
      <c r="BD76" s="637"/>
      <c r="BE76" s="637"/>
      <c r="BF76" s="637"/>
      <c r="BG76" s="637"/>
      <c r="BH76" s="637"/>
      <c r="BI76" s="637"/>
      <c r="BJ76" s="637"/>
      <c r="BK76" s="637"/>
      <c r="BL76" s="637"/>
      <c r="BM76" s="637"/>
      <c r="BN76" s="637"/>
      <c r="BO76" s="637"/>
      <c r="BP76" s="637"/>
      <c r="BQ76" s="637"/>
      <c r="BR76" s="637"/>
      <c r="BS76" s="637"/>
      <c r="BT76" s="637"/>
      <c r="BU76" s="637"/>
      <c r="BV76" s="637"/>
      <c r="BW76" s="637"/>
      <c r="BX76" s="637"/>
      <c r="BY76" s="637"/>
      <c r="BZ76" s="637"/>
      <c r="CA76" s="637"/>
      <c r="CB76" s="637"/>
      <c r="CC76" s="637"/>
      <c r="CD76" s="637"/>
      <c r="CE76" s="637"/>
      <c r="CF76" s="637"/>
      <c r="CG76" s="637"/>
      <c r="CH76" s="637"/>
      <c r="CI76" s="637"/>
      <c r="CJ76" s="637"/>
      <c r="CK76" s="637"/>
      <c r="CL76" s="637"/>
      <c r="CM76" s="637"/>
    </row>
    <row r="77" ht="15.75" customHeight="1">
      <c r="A77" s="637"/>
      <c r="B77" s="637"/>
      <c r="C77" s="637"/>
      <c r="D77" s="637"/>
      <c r="E77" s="637"/>
      <c r="F77" s="637"/>
      <c r="G77" s="637"/>
      <c r="H77" s="637"/>
      <c r="I77" s="637"/>
      <c r="J77" s="637"/>
      <c r="K77" s="637"/>
      <c r="L77" s="637"/>
      <c r="M77" s="637"/>
      <c r="N77" s="637"/>
      <c r="O77" s="637"/>
      <c r="P77" s="637"/>
      <c r="Q77" s="637"/>
      <c r="R77" s="637"/>
      <c r="S77" s="637"/>
      <c r="T77" s="637"/>
      <c r="U77" s="637"/>
      <c r="V77" s="637"/>
      <c r="W77" s="637"/>
      <c r="X77" s="637"/>
      <c r="Y77" s="637"/>
      <c r="Z77" s="637"/>
      <c r="AA77" s="637"/>
      <c r="AB77" s="637"/>
      <c r="AC77" s="637"/>
      <c r="AD77" s="637"/>
      <c r="AE77" s="637"/>
      <c r="AF77" s="637"/>
      <c r="AG77" s="637"/>
      <c r="AH77" s="637"/>
      <c r="AI77" s="637"/>
      <c r="AJ77" s="637"/>
      <c r="AK77" s="637"/>
      <c r="AL77" s="637"/>
      <c r="AM77" s="637"/>
      <c r="AN77" s="637"/>
      <c r="AO77" s="637"/>
      <c r="AP77" s="637"/>
      <c r="AQ77" s="637"/>
      <c r="AR77" s="637"/>
      <c r="AS77" s="637"/>
      <c r="AT77" s="637"/>
      <c r="AU77" s="637"/>
      <c r="AV77" s="637"/>
      <c r="AW77" s="637"/>
      <c r="AX77" s="637"/>
      <c r="AY77" s="637"/>
      <c r="AZ77" s="637"/>
      <c r="BA77" s="637"/>
      <c r="BB77" s="637"/>
      <c r="BC77" s="637"/>
      <c r="BD77" s="637"/>
      <c r="BE77" s="637"/>
      <c r="BF77" s="637"/>
      <c r="BG77" s="637"/>
      <c r="BH77" s="637"/>
      <c r="BI77" s="637"/>
      <c r="BJ77" s="637"/>
      <c r="BK77" s="637"/>
      <c r="BL77" s="637"/>
      <c r="BM77" s="637"/>
      <c r="BN77" s="637"/>
      <c r="BO77" s="637"/>
      <c r="BP77" s="637"/>
      <c r="BQ77" s="637"/>
      <c r="BR77" s="637"/>
      <c r="BS77" s="637"/>
      <c r="BT77" s="637"/>
      <c r="BU77" s="637"/>
      <c r="BV77" s="637"/>
      <c r="BW77" s="637"/>
      <c r="BX77" s="637"/>
      <c r="BY77" s="637"/>
      <c r="BZ77" s="637"/>
      <c r="CA77" s="637"/>
      <c r="CB77" s="637"/>
      <c r="CC77" s="637"/>
      <c r="CD77" s="637"/>
      <c r="CE77" s="637"/>
      <c r="CF77" s="637"/>
      <c r="CG77" s="637"/>
      <c r="CH77" s="637"/>
      <c r="CI77" s="637"/>
      <c r="CJ77" s="637"/>
      <c r="CK77" s="637"/>
      <c r="CL77" s="637"/>
      <c r="CM77" s="637"/>
    </row>
    <row r="78" ht="15.75" customHeight="1">
      <c r="A78" s="637"/>
      <c r="B78" s="637"/>
      <c r="C78" s="637"/>
      <c r="D78" s="637"/>
      <c r="E78" s="637"/>
      <c r="F78" s="637"/>
      <c r="G78" s="637"/>
      <c r="H78" s="637"/>
      <c r="I78" s="637"/>
      <c r="J78" s="637"/>
      <c r="K78" s="637"/>
      <c r="L78" s="637"/>
      <c r="M78" s="637"/>
      <c r="N78" s="637"/>
      <c r="O78" s="637"/>
      <c r="P78" s="637"/>
      <c r="Q78" s="637"/>
      <c r="R78" s="637"/>
      <c r="S78" s="637"/>
      <c r="T78" s="637"/>
      <c r="U78" s="637"/>
      <c r="V78" s="637"/>
      <c r="W78" s="637"/>
      <c r="X78" s="637"/>
      <c r="Y78" s="637"/>
      <c r="Z78" s="637"/>
      <c r="AA78" s="637"/>
      <c r="AB78" s="637"/>
      <c r="AC78" s="637"/>
      <c r="AD78" s="637"/>
      <c r="AE78" s="637"/>
      <c r="AF78" s="637"/>
      <c r="AG78" s="637"/>
      <c r="AH78" s="637"/>
      <c r="AI78" s="637"/>
      <c r="AJ78" s="637"/>
      <c r="AK78" s="637"/>
      <c r="AL78" s="637"/>
      <c r="AM78" s="637"/>
      <c r="AN78" s="637"/>
      <c r="AO78" s="637"/>
      <c r="AP78" s="637"/>
      <c r="AQ78" s="637"/>
      <c r="AR78" s="637"/>
      <c r="AS78" s="637"/>
      <c r="AT78" s="637"/>
      <c r="AU78" s="637"/>
      <c r="AV78" s="637"/>
      <c r="AW78" s="637"/>
      <c r="AX78" s="637"/>
      <c r="AY78" s="637"/>
      <c r="AZ78" s="637"/>
      <c r="BA78" s="637"/>
      <c r="BB78" s="637"/>
      <c r="BC78" s="637"/>
      <c r="BD78" s="637"/>
      <c r="BE78" s="637"/>
      <c r="BF78" s="637"/>
      <c r="BG78" s="637"/>
      <c r="BH78" s="637"/>
      <c r="BI78" s="637"/>
      <c r="BJ78" s="637"/>
      <c r="BK78" s="637"/>
      <c r="BL78" s="637"/>
      <c r="BM78" s="637"/>
      <c r="BN78" s="637"/>
      <c r="BO78" s="637"/>
      <c r="BP78" s="637"/>
      <c r="BQ78" s="637"/>
      <c r="BR78" s="637"/>
      <c r="BS78" s="637"/>
      <c r="BT78" s="637"/>
      <c r="BU78" s="637"/>
      <c r="BV78" s="637"/>
      <c r="BW78" s="637"/>
      <c r="BX78" s="637"/>
      <c r="BY78" s="637"/>
      <c r="BZ78" s="637"/>
      <c r="CA78" s="637"/>
      <c r="CB78" s="637"/>
      <c r="CC78" s="637"/>
      <c r="CD78" s="637"/>
      <c r="CE78" s="637"/>
      <c r="CF78" s="637"/>
      <c r="CG78" s="637"/>
      <c r="CH78" s="637"/>
      <c r="CI78" s="637"/>
      <c r="CJ78" s="637"/>
      <c r="CK78" s="637"/>
      <c r="CL78" s="637"/>
      <c r="CM78" s="637"/>
    </row>
    <row r="79" ht="15.75" customHeight="1">
      <c r="A79" s="637"/>
      <c r="B79" s="637"/>
      <c r="C79" s="637"/>
      <c r="D79" s="637"/>
      <c r="E79" s="637"/>
      <c r="F79" s="637"/>
      <c r="G79" s="637"/>
      <c r="H79" s="637"/>
      <c r="I79" s="637"/>
      <c r="J79" s="637"/>
      <c r="K79" s="637"/>
      <c r="L79" s="637"/>
      <c r="M79" s="637"/>
      <c r="N79" s="637"/>
      <c r="O79" s="637"/>
      <c r="P79" s="637"/>
      <c r="Q79" s="637"/>
      <c r="R79" s="637"/>
      <c r="S79" s="637"/>
      <c r="T79" s="637"/>
      <c r="U79" s="637"/>
      <c r="V79" s="637"/>
      <c r="W79" s="637"/>
      <c r="X79" s="637"/>
      <c r="Y79" s="637"/>
      <c r="Z79" s="637"/>
      <c r="AA79" s="637"/>
      <c r="AB79" s="637"/>
      <c r="AC79" s="637"/>
      <c r="AD79" s="637"/>
      <c r="AE79" s="637"/>
      <c r="AF79" s="637"/>
      <c r="AG79" s="637"/>
      <c r="AH79" s="637"/>
      <c r="AI79" s="637"/>
      <c r="AJ79" s="637"/>
      <c r="AK79" s="637"/>
      <c r="AL79" s="637"/>
      <c r="AM79" s="637"/>
      <c r="AN79" s="637"/>
      <c r="AO79" s="637"/>
      <c r="AP79" s="637"/>
      <c r="AQ79" s="637"/>
      <c r="AR79" s="637"/>
      <c r="AS79" s="637"/>
      <c r="AT79" s="637"/>
      <c r="AU79" s="637"/>
      <c r="AV79" s="637"/>
      <c r="AW79" s="637"/>
      <c r="AX79" s="637"/>
      <c r="AY79" s="637"/>
      <c r="AZ79" s="637"/>
      <c r="BA79" s="637"/>
      <c r="BB79" s="637"/>
      <c r="BC79" s="637"/>
      <c r="BD79" s="637"/>
      <c r="BE79" s="637"/>
      <c r="BF79" s="637"/>
      <c r="BG79" s="637"/>
      <c r="BH79" s="637"/>
      <c r="BI79" s="637"/>
      <c r="BJ79" s="637"/>
      <c r="BK79" s="637"/>
      <c r="BL79" s="637"/>
      <c r="BM79" s="637"/>
      <c r="BN79" s="637"/>
      <c r="BO79" s="637"/>
      <c r="BP79" s="637"/>
      <c r="BQ79" s="637"/>
      <c r="BR79" s="637"/>
      <c r="BS79" s="637"/>
      <c r="BT79" s="637"/>
      <c r="BU79" s="637"/>
      <c r="BV79" s="637"/>
      <c r="BW79" s="637"/>
      <c r="BX79" s="637"/>
      <c r="BY79" s="637"/>
      <c r="BZ79" s="637"/>
      <c r="CA79" s="637"/>
      <c r="CB79" s="637"/>
      <c r="CC79" s="637"/>
      <c r="CD79" s="637"/>
      <c r="CE79" s="637"/>
      <c r="CF79" s="637"/>
      <c r="CG79" s="637"/>
      <c r="CH79" s="637"/>
      <c r="CI79" s="637"/>
      <c r="CJ79" s="637"/>
      <c r="CK79" s="637"/>
      <c r="CL79" s="637"/>
      <c r="CM79" s="637"/>
    </row>
    <row r="80" ht="15.75" customHeight="1">
      <c r="A80" s="637"/>
      <c r="B80" s="637"/>
      <c r="C80" s="637"/>
      <c r="D80" s="637"/>
      <c r="E80" s="637"/>
      <c r="F80" s="637"/>
      <c r="G80" s="637"/>
      <c r="H80" s="637"/>
      <c r="I80" s="637"/>
      <c r="J80" s="637"/>
      <c r="K80" s="637"/>
      <c r="L80" s="637"/>
      <c r="M80" s="637"/>
      <c r="N80" s="637"/>
      <c r="O80" s="637"/>
      <c r="P80" s="637"/>
      <c r="Q80" s="637"/>
      <c r="R80" s="637"/>
      <c r="S80" s="637"/>
      <c r="T80" s="637"/>
      <c r="U80" s="637"/>
      <c r="V80" s="637"/>
      <c r="W80" s="637"/>
      <c r="X80" s="637"/>
      <c r="Y80" s="637"/>
      <c r="Z80" s="637"/>
      <c r="AA80" s="637"/>
      <c r="AB80" s="637"/>
      <c r="AC80" s="637"/>
      <c r="AD80" s="637"/>
      <c r="AE80" s="637"/>
      <c r="AF80" s="637"/>
      <c r="AG80" s="637"/>
      <c r="AH80" s="637"/>
      <c r="AI80" s="637"/>
      <c r="AJ80" s="637"/>
      <c r="AK80" s="637"/>
      <c r="AL80" s="637"/>
      <c r="AM80" s="637"/>
      <c r="AN80" s="637"/>
      <c r="AO80" s="637"/>
      <c r="AP80" s="637"/>
      <c r="AQ80" s="637"/>
      <c r="AR80" s="637"/>
      <c r="AS80" s="637"/>
      <c r="AT80" s="637"/>
      <c r="AU80" s="637"/>
      <c r="AV80" s="637"/>
      <c r="AW80" s="637"/>
      <c r="AX80" s="637"/>
      <c r="AY80" s="637"/>
      <c r="AZ80" s="637"/>
      <c r="BA80" s="637"/>
      <c r="BB80" s="637"/>
      <c r="BC80" s="637"/>
      <c r="BD80" s="637"/>
      <c r="BE80" s="637"/>
      <c r="BF80" s="637"/>
      <c r="BG80" s="637"/>
      <c r="BH80" s="637"/>
      <c r="BI80" s="637"/>
      <c r="BJ80" s="637"/>
      <c r="BK80" s="637"/>
      <c r="BL80" s="637"/>
      <c r="BM80" s="637"/>
      <c r="BN80" s="637"/>
      <c r="BO80" s="637"/>
      <c r="BP80" s="637"/>
      <c r="BQ80" s="637"/>
      <c r="BR80" s="637"/>
      <c r="BS80" s="637"/>
      <c r="BT80" s="637"/>
      <c r="BU80" s="637"/>
      <c r="BV80" s="637"/>
      <c r="BW80" s="637"/>
      <c r="BX80" s="637"/>
      <c r="BY80" s="637"/>
      <c r="BZ80" s="637"/>
      <c r="CA80" s="637"/>
      <c r="CB80" s="637"/>
      <c r="CC80" s="637"/>
      <c r="CD80" s="637"/>
      <c r="CE80" s="637"/>
      <c r="CF80" s="637"/>
      <c r="CG80" s="637"/>
      <c r="CH80" s="637"/>
      <c r="CI80" s="637"/>
      <c r="CJ80" s="637"/>
      <c r="CK80" s="637"/>
      <c r="CL80" s="637"/>
      <c r="CM80" s="637"/>
    </row>
    <row r="81" ht="15.75" customHeight="1">
      <c r="A81" s="637"/>
      <c r="B81" s="637"/>
      <c r="C81" s="637"/>
      <c r="D81" s="637"/>
      <c r="E81" s="637"/>
      <c r="F81" s="637"/>
      <c r="G81" s="637"/>
      <c r="H81" s="637"/>
      <c r="I81" s="637"/>
      <c r="J81" s="637"/>
      <c r="K81" s="637"/>
      <c r="L81" s="637"/>
      <c r="M81" s="637"/>
      <c r="N81" s="637"/>
      <c r="O81" s="637"/>
      <c r="P81" s="637"/>
      <c r="Q81" s="637"/>
      <c r="R81" s="637"/>
      <c r="S81" s="637"/>
      <c r="T81" s="637"/>
      <c r="U81" s="637"/>
      <c r="V81" s="637"/>
      <c r="W81" s="637"/>
      <c r="X81" s="637"/>
      <c r="Y81" s="637"/>
      <c r="Z81" s="637"/>
      <c r="AA81" s="637"/>
      <c r="AB81" s="637"/>
      <c r="AC81" s="637"/>
      <c r="AD81" s="637"/>
      <c r="AE81" s="637"/>
      <c r="AF81" s="637"/>
      <c r="AG81" s="637"/>
      <c r="AH81" s="637"/>
      <c r="AI81" s="637"/>
      <c r="AJ81" s="637"/>
      <c r="AK81" s="637"/>
      <c r="AL81" s="637"/>
      <c r="AM81" s="637"/>
      <c r="AN81" s="637"/>
      <c r="AO81" s="637"/>
      <c r="AP81" s="637"/>
      <c r="AQ81" s="637"/>
      <c r="AR81" s="637"/>
      <c r="AS81" s="637"/>
      <c r="AT81" s="637"/>
      <c r="AU81" s="637"/>
      <c r="AV81" s="637"/>
      <c r="AW81" s="637"/>
      <c r="AX81" s="637"/>
      <c r="AY81" s="637"/>
      <c r="AZ81" s="637"/>
      <c r="BA81" s="637"/>
      <c r="BB81" s="637"/>
      <c r="BC81" s="637"/>
      <c r="BD81" s="637"/>
      <c r="BE81" s="637"/>
      <c r="BF81" s="637"/>
      <c r="BG81" s="637"/>
      <c r="BH81" s="637"/>
      <c r="BI81" s="637"/>
      <c r="BJ81" s="637"/>
      <c r="BK81" s="637"/>
      <c r="BL81" s="637"/>
      <c r="BM81" s="637"/>
      <c r="BN81" s="637"/>
      <c r="BO81" s="637"/>
      <c r="BP81" s="637"/>
      <c r="BQ81" s="637"/>
      <c r="BR81" s="637"/>
      <c r="BS81" s="637"/>
      <c r="BT81" s="637"/>
      <c r="BU81" s="637"/>
      <c r="BV81" s="637"/>
      <c r="BW81" s="637"/>
      <c r="BX81" s="637"/>
      <c r="BY81" s="637"/>
      <c r="BZ81" s="637"/>
      <c r="CA81" s="637"/>
      <c r="CB81" s="637"/>
      <c r="CC81" s="637"/>
      <c r="CD81" s="637"/>
      <c r="CE81" s="637"/>
      <c r="CF81" s="637"/>
      <c r="CG81" s="637"/>
      <c r="CH81" s="637"/>
      <c r="CI81" s="637"/>
      <c r="CJ81" s="637"/>
      <c r="CK81" s="637"/>
      <c r="CL81" s="637"/>
      <c r="CM81" s="637"/>
    </row>
    <row r="82" ht="15.75" customHeight="1">
      <c r="A82" s="637"/>
      <c r="B82" s="637"/>
      <c r="C82" s="637"/>
      <c r="D82" s="637"/>
      <c r="E82" s="637"/>
      <c r="F82" s="637"/>
      <c r="G82" s="637"/>
      <c r="H82" s="637"/>
      <c r="I82" s="637"/>
      <c r="J82" s="637"/>
      <c r="K82" s="637"/>
      <c r="L82" s="637"/>
      <c r="M82" s="637"/>
      <c r="N82" s="637"/>
      <c r="O82" s="637"/>
      <c r="P82" s="637"/>
      <c r="Q82" s="637"/>
      <c r="R82" s="637"/>
      <c r="S82" s="637"/>
      <c r="T82" s="637"/>
      <c r="U82" s="637"/>
      <c r="V82" s="637"/>
      <c r="W82" s="637"/>
      <c r="X82" s="637"/>
      <c r="Y82" s="637"/>
      <c r="Z82" s="637"/>
      <c r="AA82" s="637"/>
      <c r="AB82" s="637"/>
      <c r="AC82" s="637"/>
      <c r="AD82" s="637"/>
      <c r="AE82" s="637"/>
      <c r="AF82" s="637"/>
      <c r="AG82" s="637"/>
      <c r="AH82" s="637"/>
      <c r="AI82" s="637"/>
      <c r="AJ82" s="637"/>
      <c r="AK82" s="637"/>
      <c r="AL82" s="637"/>
      <c r="AM82" s="637"/>
      <c r="AN82" s="637"/>
      <c r="AO82" s="637"/>
      <c r="AP82" s="637"/>
      <c r="AQ82" s="637"/>
      <c r="AR82" s="637"/>
      <c r="AS82" s="637"/>
      <c r="AT82" s="637"/>
      <c r="AU82" s="637"/>
      <c r="AV82" s="637"/>
      <c r="AW82" s="637"/>
      <c r="AX82" s="637"/>
      <c r="AY82" s="637"/>
      <c r="AZ82" s="637"/>
      <c r="BA82" s="637"/>
      <c r="BB82" s="637"/>
      <c r="BC82" s="637"/>
      <c r="BD82" s="637"/>
      <c r="BE82" s="637"/>
      <c r="BF82" s="637"/>
      <c r="BG82" s="637"/>
      <c r="BH82" s="637"/>
      <c r="BI82" s="637"/>
      <c r="BJ82" s="637"/>
      <c r="BK82" s="637"/>
      <c r="BL82" s="637"/>
      <c r="BM82" s="637"/>
      <c r="BN82" s="637"/>
      <c r="BO82" s="637"/>
      <c r="BP82" s="637"/>
      <c r="BQ82" s="637"/>
      <c r="BR82" s="637"/>
      <c r="BS82" s="637"/>
      <c r="BT82" s="637"/>
      <c r="BU82" s="637"/>
      <c r="BV82" s="637"/>
      <c r="BW82" s="637"/>
      <c r="BX82" s="637"/>
      <c r="BY82" s="637"/>
      <c r="BZ82" s="637"/>
      <c r="CA82" s="637"/>
      <c r="CB82" s="637"/>
      <c r="CC82" s="637"/>
      <c r="CD82" s="637"/>
      <c r="CE82" s="637"/>
      <c r="CF82" s="637"/>
      <c r="CG82" s="637"/>
      <c r="CH82" s="637"/>
      <c r="CI82" s="637"/>
      <c r="CJ82" s="637"/>
      <c r="CK82" s="637"/>
      <c r="CL82" s="637"/>
      <c r="CM82" s="637"/>
    </row>
    <row r="83" ht="15.75" customHeight="1">
      <c r="A83" s="637"/>
      <c r="B83" s="637"/>
      <c r="C83" s="637"/>
      <c r="D83" s="637"/>
      <c r="E83" s="637"/>
      <c r="F83" s="637"/>
      <c r="G83" s="637"/>
      <c r="H83" s="637"/>
      <c r="I83" s="637"/>
      <c r="J83" s="637"/>
      <c r="K83" s="637"/>
      <c r="L83" s="637"/>
      <c r="M83" s="637"/>
      <c r="N83" s="637"/>
      <c r="O83" s="637"/>
      <c r="P83" s="637"/>
      <c r="Q83" s="637"/>
      <c r="R83" s="637"/>
      <c r="S83" s="637"/>
      <c r="T83" s="637"/>
      <c r="U83" s="637"/>
      <c r="V83" s="637"/>
      <c r="W83" s="637"/>
      <c r="X83" s="637"/>
      <c r="Y83" s="637"/>
      <c r="Z83" s="637"/>
      <c r="AA83" s="637"/>
      <c r="AB83" s="637"/>
      <c r="AC83" s="637"/>
      <c r="AD83" s="637"/>
      <c r="AE83" s="637"/>
      <c r="AF83" s="637"/>
      <c r="AG83" s="637"/>
      <c r="AH83" s="637"/>
      <c r="AI83" s="637"/>
      <c r="AJ83" s="637"/>
      <c r="AK83" s="637"/>
      <c r="AL83" s="637"/>
      <c r="AM83" s="637"/>
      <c r="AN83" s="637"/>
      <c r="AO83" s="637"/>
      <c r="AP83" s="637"/>
      <c r="AQ83" s="637"/>
      <c r="AR83" s="637"/>
      <c r="AS83" s="637"/>
      <c r="AT83" s="637"/>
      <c r="AU83" s="637"/>
      <c r="AV83" s="637"/>
      <c r="AW83" s="637"/>
      <c r="AX83" s="637"/>
      <c r="AY83" s="637"/>
      <c r="AZ83" s="637"/>
      <c r="BA83" s="637"/>
      <c r="BB83" s="637"/>
      <c r="BC83" s="637"/>
      <c r="BD83" s="637"/>
      <c r="BE83" s="637"/>
      <c r="BF83" s="637"/>
      <c r="BG83" s="637"/>
      <c r="BH83" s="637"/>
      <c r="BI83" s="637"/>
      <c r="BJ83" s="637"/>
      <c r="BK83" s="637"/>
      <c r="BL83" s="637"/>
      <c r="BM83" s="637"/>
      <c r="BN83" s="637"/>
      <c r="BO83" s="637"/>
      <c r="BP83" s="637"/>
      <c r="BQ83" s="637"/>
      <c r="BR83" s="637"/>
      <c r="BS83" s="637"/>
      <c r="BT83" s="637"/>
      <c r="BU83" s="637"/>
      <c r="BV83" s="637"/>
      <c r="BW83" s="637"/>
      <c r="BX83" s="637"/>
      <c r="BY83" s="637"/>
      <c r="BZ83" s="637"/>
      <c r="CA83" s="637"/>
      <c r="CB83" s="637"/>
      <c r="CC83" s="637"/>
      <c r="CD83" s="637"/>
      <c r="CE83" s="637"/>
      <c r="CF83" s="637"/>
      <c r="CG83" s="637"/>
      <c r="CH83" s="637"/>
      <c r="CI83" s="637"/>
      <c r="CJ83" s="637"/>
      <c r="CK83" s="637"/>
      <c r="CL83" s="637"/>
      <c r="CM83" s="637"/>
    </row>
    <row r="84" ht="15.75" customHeight="1">
      <c r="A84" s="637"/>
      <c r="B84" s="637"/>
      <c r="C84" s="637"/>
      <c r="D84" s="637"/>
      <c r="E84" s="637"/>
      <c r="F84" s="637"/>
      <c r="G84" s="637"/>
      <c r="H84" s="637"/>
      <c r="I84" s="637"/>
      <c r="J84" s="637"/>
      <c r="K84" s="637"/>
      <c r="L84" s="637"/>
      <c r="M84" s="637"/>
      <c r="N84" s="637"/>
      <c r="O84" s="637"/>
      <c r="P84" s="637"/>
      <c r="Q84" s="637"/>
      <c r="R84" s="637"/>
      <c r="S84" s="637"/>
      <c r="T84" s="637"/>
      <c r="U84" s="637"/>
      <c r="V84" s="637"/>
      <c r="W84" s="637"/>
      <c r="X84" s="637"/>
      <c r="Y84" s="637"/>
      <c r="Z84" s="637"/>
      <c r="AA84" s="637"/>
      <c r="AB84" s="637"/>
      <c r="AC84" s="637"/>
      <c r="AD84" s="637"/>
      <c r="AE84" s="637"/>
      <c r="AF84" s="637"/>
      <c r="AG84" s="637"/>
      <c r="AH84" s="637"/>
      <c r="AI84" s="637"/>
      <c r="AJ84" s="637"/>
      <c r="AK84" s="637"/>
      <c r="AL84" s="637"/>
      <c r="AM84" s="637"/>
      <c r="AN84" s="637"/>
      <c r="AO84" s="637"/>
      <c r="AP84" s="637"/>
      <c r="AQ84" s="637"/>
      <c r="AR84" s="637"/>
      <c r="AS84" s="637"/>
      <c r="AT84" s="637"/>
      <c r="AU84" s="637"/>
      <c r="AV84" s="637"/>
      <c r="AW84" s="637"/>
      <c r="AX84" s="637"/>
      <c r="AY84" s="637"/>
      <c r="AZ84" s="637"/>
      <c r="BA84" s="637"/>
      <c r="BB84" s="637"/>
      <c r="BC84" s="637"/>
      <c r="BD84" s="637"/>
      <c r="BE84" s="637"/>
      <c r="BF84" s="637"/>
      <c r="BG84" s="637"/>
      <c r="BH84" s="637"/>
      <c r="BI84" s="637"/>
      <c r="BJ84" s="637"/>
      <c r="BK84" s="637"/>
      <c r="BL84" s="637"/>
      <c r="BM84" s="637"/>
      <c r="BN84" s="637"/>
      <c r="BO84" s="637"/>
      <c r="BP84" s="637"/>
      <c r="BQ84" s="637"/>
      <c r="BR84" s="637"/>
      <c r="BS84" s="637"/>
      <c r="BT84" s="637"/>
      <c r="BU84" s="637"/>
      <c r="BV84" s="637"/>
      <c r="BW84" s="637"/>
      <c r="BX84" s="637"/>
      <c r="BY84" s="637"/>
      <c r="BZ84" s="637"/>
      <c r="CA84" s="637"/>
      <c r="CB84" s="637"/>
      <c r="CC84" s="637"/>
      <c r="CD84" s="637"/>
      <c r="CE84" s="637"/>
      <c r="CF84" s="637"/>
      <c r="CG84" s="637"/>
      <c r="CH84" s="637"/>
      <c r="CI84" s="637"/>
      <c r="CJ84" s="637"/>
      <c r="CK84" s="637"/>
      <c r="CL84" s="637"/>
      <c r="CM84" s="637"/>
    </row>
    <row r="85" ht="15.75" customHeight="1">
      <c r="A85" s="637"/>
      <c r="B85" s="637"/>
      <c r="C85" s="637"/>
      <c r="D85" s="637"/>
      <c r="E85" s="637"/>
      <c r="F85" s="637"/>
      <c r="G85" s="637"/>
      <c r="H85" s="637"/>
      <c r="I85" s="637"/>
      <c r="J85" s="637"/>
      <c r="K85" s="637"/>
      <c r="L85" s="637"/>
      <c r="M85" s="637"/>
      <c r="N85" s="637"/>
      <c r="O85" s="637"/>
      <c r="P85" s="637"/>
      <c r="Q85" s="637"/>
      <c r="R85" s="637"/>
      <c r="S85" s="637"/>
      <c r="T85" s="637"/>
      <c r="U85" s="637"/>
      <c r="V85" s="637"/>
      <c r="W85" s="637"/>
      <c r="X85" s="637"/>
      <c r="Y85" s="637"/>
      <c r="Z85" s="637"/>
      <c r="AA85" s="637"/>
      <c r="AB85" s="637"/>
      <c r="AC85" s="637"/>
      <c r="AD85" s="637"/>
      <c r="AE85" s="637"/>
      <c r="AF85" s="637"/>
      <c r="AG85" s="637"/>
      <c r="AH85" s="637"/>
      <c r="AI85" s="637"/>
      <c r="AJ85" s="637"/>
      <c r="AK85" s="637"/>
      <c r="AL85" s="637"/>
      <c r="AM85" s="637"/>
      <c r="AN85" s="637"/>
      <c r="AO85" s="637"/>
      <c r="AP85" s="637"/>
      <c r="AQ85" s="637"/>
      <c r="AR85" s="637"/>
      <c r="AS85" s="637"/>
      <c r="AT85" s="637"/>
      <c r="AU85" s="637"/>
      <c r="AV85" s="637"/>
      <c r="AW85" s="637"/>
      <c r="AX85" s="637"/>
      <c r="AY85" s="637"/>
      <c r="AZ85" s="637"/>
      <c r="BA85" s="637"/>
      <c r="BB85" s="637"/>
      <c r="BC85" s="637"/>
      <c r="BD85" s="637"/>
      <c r="BE85" s="637"/>
      <c r="BF85" s="637"/>
      <c r="BG85" s="637"/>
      <c r="BH85" s="637"/>
      <c r="BI85" s="637"/>
      <c r="BJ85" s="637"/>
      <c r="BK85" s="637"/>
      <c r="BL85" s="637"/>
      <c r="BM85" s="637"/>
      <c r="BN85" s="637"/>
      <c r="BO85" s="637"/>
      <c r="BP85" s="637"/>
      <c r="BQ85" s="637"/>
      <c r="BR85" s="637"/>
      <c r="BS85" s="637"/>
      <c r="BT85" s="637"/>
      <c r="BU85" s="637"/>
      <c r="BV85" s="637"/>
      <c r="BW85" s="637"/>
      <c r="BX85" s="637"/>
      <c r="BY85" s="637"/>
      <c r="BZ85" s="637"/>
      <c r="CA85" s="637"/>
      <c r="CB85" s="637"/>
      <c r="CC85" s="637"/>
      <c r="CD85" s="637"/>
      <c r="CE85" s="637"/>
      <c r="CF85" s="637"/>
      <c r="CG85" s="637"/>
      <c r="CH85" s="637"/>
      <c r="CI85" s="637"/>
      <c r="CJ85" s="637"/>
      <c r="CK85" s="637"/>
      <c r="CL85" s="637"/>
      <c r="CM85" s="637"/>
    </row>
    <row r="86" ht="15.75" customHeight="1">
      <c r="A86" s="637"/>
      <c r="B86" s="637"/>
      <c r="C86" s="637"/>
      <c r="D86" s="637"/>
      <c r="E86" s="637"/>
      <c r="F86" s="637"/>
      <c r="G86" s="637"/>
      <c r="H86" s="637"/>
      <c r="I86" s="637"/>
      <c r="J86" s="637"/>
      <c r="K86" s="637"/>
      <c r="L86" s="637"/>
      <c r="M86" s="637"/>
      <c r="N86" s="637"/>
      <c r="O86" s="637"/>
      <c r="P86" s="637"/>
      <c r="Q86" s="637"/>
      <c r="R86" s="637"/>
      <c r="S86" s="637"/>
      <c r="T86" s="637"/>
      <c r="U86" s="637"/>
      <c r="V86" s="637"/>
      <c r="W86" s="637"/>
      <c r="X86" s="637"/>
      <c r="Y86" s="637"/>
      <c r="Z86" s="637"/>
      <c r="AA86" s="637"/>
      <c r="AB86" s="637"/>
      <c r="AC86" s="637"/>
      <c r="AD86" s="637"/>
      <c r="AE86" s="637"/>
      <c r="AF86" s="637"/>
      <c r="AG86" s="637"/>
      <c r="AH86" s="637"/>
      <c r="AI86" s="637"/>
      <c r="AJ86" s="637"/>
      <c r="AK86" s="637"/>
      <c r="AL86" s="637"/>
      <c r="AM86" s="637"/>
      <c r="AN86" s="637"/>
      <c r="AO86" s="637"/>
      <c r="AP86" s="637"/>
      <c r="AQ86" s="637"/>
      <c r="AR86" s="637"/>
      <c r="AS86" s="637"/>
      <c r="AT86" s="637"/>
      <c r="AU86" s="637"/>
      <c r="AV86" s="637"/>
      <c r="AW86" s="637"/>
      <c r="AX86" s="637"/>
      <c r="AY86" s="637"/>
      <c r="AZ86" s="637"/>
      <c r="BA86" s="637"/>
      <c r="BB86" s="637"/>
      <c r="BC86" s="637"/>
      <c r="BD86" s="637"/>
      <c r="BE86" s="637"/>
      <c r="BF86" s="637"/>
      <c r="BG86" s="637"/>
      <c r="BH86" s="637"/>
      <c r="BI86" s="637"/>
      <c r="BJ86" s="637"/>
      <c r="BK86" s="637"/>
      <c r="BL86" s="637"/>
      <c r="BM86" s="637"/>
      <c r="BN86" s="637"/>
      <c r="BO86" s="637"/>
      <c r="BP86" s="637"/>
      <c r="BQ86" s="637"/>
      <c r="BR86" s="637"/>
      <c r="BS86" s="637"/>
      <c r="BT86" s="637"/>
      <c r="BU86" s="637"/>
      <c r="BV86" s="637"/>
      <c r="BW86" s="637"/>
      <c r="BX86" s="637"/>
      <c r="BY86" s="637"/>
      <c r="BZ86" s="637"/>
      <c r="CA86" s="637"/>
      <c r="CB86" s="637"/>
      <c r="CC86" s="637"/>
      <c r="CD86" s="637"/>
      <c r="CE86" s="637"/>
      <c r="CF86" s="637"/>
      <c r="CG86" s="637"/>
      <c r="CH86" s="637"/>
      <c r="CI86" s="637"/>
      <c r="CJ86" s="637"/>
      <c r="CK86" s="637"/>
      <c r="CL86" s="637"/>
      <c r="CM86" s="637"/>
    </row>
    <row r="87" ht="15.75" customHeight="1">
      <c r="A87" s="637"/>
      <c r="B87" s="637"/>
      <c r="C87" s="637"/>
      <c r="D87" s="637"/>
      <c r="E87" s="637"/>
      <c r="F87" s="637"/>
      <c r="G87" s="637"/>
      <c r="H87" s="637"/>
      <c r="I87" s="637"/>
      <c r="J87" s="637"/>
      <c r="K87" s="637"/>
      <c r="L87" s="637"/>
      <c r="M87" s="637"/>
      <c r="N87" s="637"/>
      <c r="O87" s="637"/>
      <c r="P87" s="637"/>
      <c r="Q87" s="637"/>
      <c r="R87" s="637"/>
      <c r="S87" s="637"/>
      <c r="T87" s="637"/>
      <c r="U87" s="637"/>
      <c r="V87" s="637"/>
      <c r="W87" s="637"/>
      <c r="X87" s="637"/>
      <c r="Y87" s="637"/>
      <c r="Z87" s="637"/>
      <c r="AA87" s="637"/>
      <c r="AB87" s="637"/>
      <c r="AC87" s="637"/>
      <c r="AD87" s="637"/>
      <c r="AE87" s="637"/>
      <c r="AF87" s="637"/>
      <c r="AG87" s="637"/>
      <c r="AH87" s="637"/>
      <c r="AI87" s="637"/>
      <c r="AJ87" s="637"/>
      <c r="AK87" s="637"/>
      <c r="AL87" s="637"/>
      <c r="AM87" s="637"/>
      <c r="AN87" s="637"/>
      <c r="AO87" s="637"/>
      <c r="AP87" s="637"/>
      <c r="AQ87" s="637"/>
      <c r="AR87" s="637"/>
      <c r="AS87" s="637"/>
      <c r="AT87" s="637"/>
      <c r="AU87" s="637"/>
      <c r="AV87" s="637"/>
      <c r="AW87" s="637"/>
      <c r="AX87" s="637"/>
      <c r="AY87" s="637"/>
      <c r="AZ87" s="637"/>
      <c r="BA87" s="637"/>
      <c r="BB87" s="637"/>
      <c r="BC87" s="637"/>
      <c r="BD87" s="637"/>
      <c r="BE87" s="637"/>
      <c r="BF87" s="637"/>
      <c r="BG87" s="637"/>
      <c r="BH87" s="637"/>
      <c r="BI87" s="637"/>
      <c r="BJ87" s="637"/>
      <c r="BK87" s="637"/>
      <c r="BL87" s="637"/>
      <c r="BM87" s="637"/>
      <c r="BN87" s="637"/>
      <c r="BO87" s="637"/>
      <c r="BP87" s="637"/>
      <c r="BQ87" s="637"/>
      <c r="BR87" s="637"/>
      <c r="BS87" s="637"/>
      <c r="BT87" s="637"/>
      <c r="BU87" s="637"/>
      <c r="BV87" s="637"/>
      <c r="BW87" s="637"/>
      <c r="BX87" s="637"/>
      <c r="BY87" s="637"/>
      <c r="BZ87" s="637"/>
      <c r="CA87" s="637"/>
      <c r="CB87" s="637"/>
      <c r="CC87" s="637"/>
      <c r="CD87" s="637"/>
      <c r="CE87" s="637"/>
      <c r="CF87" s="637"/>
      <c r="CG87" s="637"/>
      <c r="CH87" s="637"/>
      <c r="CI87" s="637"/>
      <c r="CJ87" s="637"/>
      <c r="CK87" s="637"/>
      <c r="CL87" s="637"/>
      <c r="CM87" s="637"/>
    </row>
    <row r="88" ht="15.75" customHeight="1">
      <c r="A88" s="637"/>
      <c r="B88" s="637"/>
      <c r="C88" s="637"/>
      <c r="D88" s="637"/>
      <c r="E88" s="637"/>
      <c r="F88" s="637"/>
      <c r="G88" s="637"/>
      <c r="H88" s="637"/>
      <c r="I88" s="637"/>
      <c r="J88" s="637"/>
      <c r="K88" s="637"/>
      <c r="L88" s="637"/>
      <c r="M88" s="637"/>
      <c r="N88" s="637"/>
      <c r="O88" s="637"/>
      <c r="P88" s="637"/>
      <c r="Q88" s="637"/>
      <c r="R88" s="637"/>
      <c r="S88" s="637"/>
      <c r="T88" s="637"/>
      <c r="U88" s="637"/>
      <c r="V88" s="637"/>
      <c r="W88" s="637"/>
      <c r="X88" s="637"/>
      <c r="Y88" s="637"/>
      <c r="Z88" s="637"/>
      <c r="AA88" s="637"/>
      <c r="AB88" s="637"/>
      <c r="AC88" s="637"/>
      <c r="AD88" s="637"/>
      <c r="AE88" s="637"/>
      <c r="AF88" s="637"/>
      <c r="AG88" s="637"/>
      <c r="AH88" s="637"/>
      <c r="AI88" s="637"/>
      <c r="AJ88" s="637"/>
      <c r="AK88" s="637"/>
      <c r="AL88" s="637"/>
      <c r="AM88" s="637"/>
      <c r="AN88" s="637"/>
      <c r="AO88" s="637"/>
      <c r="AP88" s="637"/>
      <c r="AQ88" s="637"/>
      <c r="AR88" s="637"/>
      <c r="AS88" s="637"/>
      <c r="AT88" s="637"/>
      <c r="AU88" s="637"/>
      <c r="AV88" s="637"/>
      <c r="AW88" s="637"/>
      <c r="AX88" s="637"/>
      <c r="AY88" s="637"/>
      <c r="AZ88" s="637"/>
      <c r="BA88" s="637"/>
      <c r="BB88" s="637"/>
      <c r="BC88" s="637"/>
      <c r="BD88" s="637"/>
      <c r="BE88" s="637"/>
      <c r="BF88" s="637"/>
      <c r="BG88" s="637"/>
      <c r="BH88" s="637"/>
      <c r="BI88" s="637"/>
      <c r="BJ88" s="637"/>
      <c r="BK88" s="637"/>
      <c r="BL88" s="637"/>
      <c r="BM88" s="637"/>
      <c r="BN88" s="637"/>
      <c r="BO88" s="637"/>
      <c r="BP88" s="637"/>
      <c r="BQ88" s="637"/>
      <c r="BR88" s="637"/>
      <c r="BS88" s="637"/>
      <c r="BT88" s="637"/>
      <c r="BU88" s="637"/>
      <c r="BV88" s="637"/>
      <c r="BW88" s="637"/>
      <c r="BX88" s="637"/>
      <c r="BY88" s="637"/>
      <c r="BZ88" s="637"/>
      <c r="CA88" s="637"/>
      <c r="CB88" s="637"/>
      <c r="CC88" s="637"/>
      <c r="CD88" s="637"/>
      <c r="CE88" s="637"/>
      <c r="CF88" s="637"/>
      <c r="CG88" s="637"/>
      <c r="CH88" s="637"/>
      <c r="CI88" s="637"/>
      <c r="CJ88" s="637"/>
      <c r="CK88" s="637"/>
      <c r="CL88" s="637"/>
      <c r="CM88" s="637"/>
    </row>
    <row r="89" ht="15.75" customHeight="1">
      <c r="A89" s="637"/>
      <c r="B89" s="637"/>
      <c r="C89" s="637"/>
      <c r="D89" s="637"/>
      <c r="E89" s="637"/>
      <c r="F89" s="637"/>
      <c r="G89" s="637"/>
      <c r="H89" s="637"/>
      <c r="I89" s="637"/>
      <c r="J89" s="637"/>
      <c r="K89" s="637"/>
      <c r="L89" s="637"/>
      <c r="M89" s="637"/>
      <c r="N89" s="637"/>
      <c r="O89" s="637"/>
      <c r="P89" s="637"/>
      <c r="Q89" s="637"/>
      <c r="R89" s="637"/>
      <c r="S89" s="637"/>
      <c r="T89" s="637"/>
      <c r="U89" s="637"/>
      <c r="V89" s="637"/>
      <c r="W89" s="637"/>
      <c r="X89" s="637"/>
      <c r="Y89" s="637"/>
      <c r="Z89" s="637"/>
      <c r="AA89" s="637"/>
      <c r="AB89" s="637"/>
      <c r="AC89" s="637"/>
      <c r="AD89" s="637"/>
      <c r="AE89" s="637"/>
      <c r="AF89" s="637"/>
      <c r="AG89" s="637"/>
      <c r="AH89" s="637"/>
      <c r="AI89" s="637"/>
      <c r="AJ89" s="637"/>
      <c r="AK89" s="637"/>
      <c r="AL89" s="637"/>
      <c r="AM89" s="637"/>
      <c r="AN89" s="637"/>
      <c r="AO89" s="637"/>
      <c r="AP89" s="637"/>
      <c r="AQ89" s="637"/>
      <c r="AR89" s="637"/>
      <c r="AS89" s="637"/>
      <c r="AT89" s="637"/>
      <c r="AU89" s="637"/>
      <c r="AV89" s="637"/>
      <c r="AW89" s="637"/>
      <c r="AX89" s="637"/>
      <c r="AY89" s="637"/>
      <c r="AZ89" s="637"/>
      <c r="BA89" s="637"/>
      <c r="BB89" s="637"/>
      <c r="BC89" s="637"/>
      <c r="BD89" s="637"/>
      <c r="BE89" s="637"/>
      <c r="BF89" s="637"/>
      <c r="BG89" s="637"/>
      <c r="BH89" s="637"/>
      <c r="BI89" s="637"/>
      <c r="BJ89" s="637"/>
      <c r="BK89" s="637"/>
      <c r="BL89" s="637"/>
      <c r="BM89" s="637"/>
      <c r="BN89" s="637"/>
      <c r="BO89" s="637"/>
      <c r="BP89" s="637"/>
      <c r="BQ89" s="637"/>
      <c r="BR89" s="637"/>
      <c r="BS89" s="637"/>
      <c r="BT89" s="637"/>
      <c r="BU89" s="637"/>
      <c r="BV89" s="637"/>
      <c r="BW89" s="637"/>
      <c r="BX89" s="637"/>
      <c r="BY89" s="637"/>
      <c r="BZ89" s="637"/>
      <c r="CA89" s="637"/>
      <c r="CB89" s="637"/>
      <c r="CC89" s="637"/>
      <c r="CD89" s="637"/>
      <c r="CE89" s="637"/>
      <c r="CF89" s="637"/>
      <c r="CG89" s="637"/>
      <c r="CH89" s="637"/>
      <c r="CI89" s="637"/>
      <c r="CJ89" s="637"/>
      <c r="CK89" s="637"/>
      <c r="CL89" s="637"/>
      <c r="CM89" s="637"/>
    </row>
    <row r="90" ht="15.75" customHeight="1">
      <c r="A90" s="637"/>
      <c r="B90" s="637"/>
      <c r="C90" s="637"/>
      <c r="D90" s="637"/>
      <c r="E90" s="637"/>
      <c r="F90" s="637"/>
      <c r="G90" s="637"/>
      <c r="H90" s="637"/>
      <c r="I90" s="637"/>
      <c r="J90" s="637"/>
      <c r="K90" s="637"/>
      <c r="L90" s="637"/>
      <c r="M90" s="637"/>
      <c r="N90" s="637"/>
      <c r="O90" s="637"/>
      <c r="P90" s="637"/>
      <c r="Q90" s="637"/>
      <c r="R90" s="637"/>
      <c r="S90" s="637"/>
      <c r="T90" s="637"/>
      <c r="U90" s="637"/>
      <c r="V90" s="637"/>
      <c r="W90" s="637"/>
      <c r="X90" s="637"/>
      <c r="Y90" s="637"/>
      <c r="Z90" s="637"/>
      <c r="AA90" s="637"/>
      <c r="AB90" s="637"/>
      <c r="AC90" s="637"/>
      <c r="AD90" s="637"/>
      <c r="AE90" s="637"/>
      <c r="AF90" s="637"/>
      <c r="AG90" s="637"/>
      <c r="AH90" s="637"/>
      <c r="AI90" s="637"/>
      <c r="AJ90" s="637"/>
      <c r="AK90" s="637"/>
      <c r="AL90" s="637"/>
      <c r="AM90" s="637"/>
      <c r="AN90" s="637"/>
      <c r="AO90" s="637"/>
      <c r="AP90" s="637"/>
      <c r="AQ90" s="637"/>
      <c r="AR90" s="637"/>
      <c r="AS90" s="637"/>
      <c r="AT90" s="637"/>
      <c r="AU90" s="637"/>
      <c r="AV90" s="637"/>
      <c r="AW90" s="637"/>
      <c r="AX90" s="637"/>
      <c r="AY90" s="637"/>
      <c r="AZ90" s="637"/>
      <c r="BA90" s="637"/>
      <c r="BB90" s="637"/>
      <c r="BC90" s="637"/>
      <c r="BD90" s="637"/>
      <c r="BE90" s="637"/>
      <c r="BF90" s="637"/>
      <c r="BG90" s="637"/>
      <c r="BH90" s="637"/>
      <c r="BI90" s="637"/>
      <c r="BJ90" s="637"/>
      <c r="BK90" s="637"/>
      <c r="BL90" s="637"/>
      <c r="BM90" s="637"/>
      <c r="BN90" s="637"/>
      <c r="BO90" s="637"/>
      <c r="BP90" s="637"/>
      <c r="BQ90" s="637"/>
      <c r="BR90" s="637"/>
      <c r="BS90" s="637"/>
      <c r="BT90" s="637"/>
      <c r="BU90" s="637"/>
      <c r="BV90" s="637"/>
      <c r="BW90" s="637"/>
      <c r="BX90" s="637"/>
      <c r="BY90" s="637"/>
      <c r="BZ90" s="637"/>
      <c r="CA90" s="637"/>
      <c r="CB90" s="637"/>
      <c r="CC90" s="637"/>
      <c r="CD90" s="637"/>
      <c r="CE90" s="637"/>
      <c r="CF90" s="637"/>
      <c r="CG90" s="637"/>
      <c r="CH90" s="637"/>
      <c r="CI90" s="637"/>
      <c r="CJ90" s="637"/>
      <c r="CK90" s="637"/>
      <c r="CL90" s="637"/>
      <c r="CM90" s="637"/>
    </row>
    <row r="91" ht="15.75" customHeight="1">
      <c r="A91" s="637"/>
      <c r="B91" s="637"/>
      <c r="C91" s="637"/>
      <c r="D91" s="637"/>
      <c r="E91" s="637"/>
      <c r="F91" s="637"/>
      <c r="G91" s="637"/>
      <c r="H91" s="637"/>
      <c r="I91" s="637"/>
      <c r="J91" s="637"/>
      <c r="K91" s="637"/>
      <c r="L91" s="637"/>
      <c r="M91" s="637"/>
      <c r="N91" s="637"/>
      <c r="O91" s="637"/>
      <c r="P91" s="637"/>
      <c r="Q91" s="637"/>
      <c r="R91" s="637"/>
      <c r="S91" s="637"/>
      <c r="T91" s="637"/>
      <c r="U91" s="637"/>
      <c r="V91" s="637"/>
      <c r="W91" s="637"/>
      <c r="X91" s="637"/>
      <c r="Y91" s="637"/>
      <c r="Z91" s="637"/>
      <c r="AA91" s="637"/>
      <c r="AB91" s="637"/>
      <c r="AC91" s="637"/>
      <c r="AD91" s="637"/>
      <c r="AE91" s="637"/>
      <c r="AF91" s="637"/>
      <c r="AG91" s="637"/>
      <c r="AH91" s="637"/>
      <c r="AI91" s="637"/>
      <c r="AJ91" s="637"/>
      <c r="AK91" s="637"/>
      <c r="AL91" s="637"/>
      <c r="AM91" s="637"/>
      <c r="AN91" s="637"/>
      <c r="AO91" s="637"/>
      <c r="AP91" s="637"/>
      <c r="AQ91" s="637"/>
      <c r="AR91" s="637"/>
      <c r="AS91" s="637"/>
      <c r="AT91" s="637"/>
      <c r="AU91" s="637"/>
      <c r="AV91" s="637"/>
      <c r="AW91" s="637"/>
      <c r="AX91" s="637"/>
      <c r="AY91" s="637"/>
      <c r="AZ91" s="637"/>
      <c r="BA91" s="637"/>
      <c r="BB91" s="637"/>
      <c r="BC91" s="637"/>
      <c r="BD91" s="637"/>
      <c r="BE91" s="637"/>
      <c r="BF91" s="637"/>
      <c r="BG91" s="637"/>
      <c r="BH91" s="637"/>
      <c r="BI91" s="637"/>
      <c r="BJ91" s="637"/>
      <c r="BK91" s="637"/>
      <c r="BL91" s="637"/>
      <c r="BM91" s="637"/>
      <c r="BN91" s="637"/>
      <c r="BO91" s="637"/>
      <c r="BP91" s="637"/>
      <c r="BQ91" s="637"/>
      <c r="BR91" s="637"/>
      <c r="BS91" s="637"/>
      <c r="BT91" s="637"/>
      <c r="BU91" s="637"/>
      <c r="BV91" s="637"/>
      <c r="BW91" s="637"/>
      <c r="BX91" s="637"/>
      <c r="BY91" s="637"/>
      <c r="BZ91" s="637"/>
      <c r="CA91" s="637"/>
      <c r="CB91" s="637"/>
      <c r="CC91" s="637"/>
      <c r="CD91" s="637"/>
      <c r="CE91" s="637"/>
      <c r="CF91" s="637"/>
      <c r="CG91" s="637"/>
      <c r="CH91" s="637"/>
      <c r="CI91" s="637"/>
      <c r="CJ91" s="637"/>
      <c r="CK91" s="637"/>
      <c r="CL91" s="637"/>
      <c r="CM91" s="637"/>
    </row>
    <row r="92" ht="15.75" customHeight="1">
      <c r="A92" s="637"/>
      <c r="B92" s="637"/>
      <c r="C92" s="637"/>
      <c r="D92" s="637"/>
      <c r="E92" s="637"/>
      <c r="F92" s="637"/>
      <c r="G92" s="637"/>
      <c r="H92" s="637"/>
      <c r="I92" s="637"/>
      <c r="J92" s="637"/>
      <c r="K92" s="637"/>
      <c r="L92" s="637"/>
      <c r="M92" s="637"/>
      <c r="N92" s="637"/>
      <c r="O92" s="637"/>
      <c r="P92" s="637"/>
      <c r="Q92" s="637"/>
      <c r="R92" s="637"/>
      <c r="S92" s="637"/>
      <c r="T92" s="637"/>
      <c r="U92" s="637"/>
      <c r="V92" s="637"/>
      <c r="W92" s="637"/>
      <c r="X92" s="637"/>
      <c r="Y92" s="637"/>
      <c r="Z92" s="637"/>
      <c r="AA92" s="637"/>
      <c r="AB92" s="637"/>
      <c r="AC92" s="637"/>
      <c r="AD92" s="637"/>
      <c r="AE92" s="637"/>
      <c r="AF92" s="637"/>
      <c r="AG92" s="637"/>
      <c r="AH92" s="637"/>
      <c r="AI92" s="637"/>
      <c r="AJ92" s="637"/>
      <c r="AK92" s="637"/>
      <c r="AL92" s="637"/>
      <c r="AM92" s="637"/>
      <c r="AN92" s="637"/>
      <c r="AO92" s="637"/>
      <c r="AP92" s="637"/>
      <c r="AQ92" s="637"/>
      <c r="AR92" s="637"/>
      <c r="AS92" s="637"/>
      <c r="AT92" s="637"/>
      <c r="AU92" s="637"/>
      <c r="AV92" s="637"/>
      <c r="AW92" s="637"/>
      <c r="AX92" s="637"/>
      <c r="AY92" s="637"/>
      <c r="AZ92" s="637"/>
      <c r="BA92" s="637"/>
      <c r="BB92" s="637"/>
      <c r="BC92" s="637"/>
      <c r="BD92" s="637"/>
      <c r="BE92" s="637"/>
      <c r="BF92" s="637"/>
      <c r="BG92" s="637"/>
      <c r="BH92" s="637"/>
      <c r="BI92" s="637"/>
      <c r="BJ92" s="637"/>
      <c r="BK92" s="637"/>
      <c r="BL92" s="637"/>
      <c r="BM92" s="637"/>
      <c r="BN92" s="637"/>
      <c r="BO92" s="637"/>
      <c r="BP92" s="637"/>
      <c r="BQ92" s="637"/>
      <c r="BR92" s="637"/>
      <c r="BS92" s="637"/>
      <c r="BT92" s="637"/>
      <c r="BU92" s="637"/>
      <c r="BV92" s="637"/>
      <c r="BW92" s="637"/>
      <c r="BX92" s="637"/>
      <c r="BY92" s="637"/>
      <c r="BZ92" s="637"/>
      <c r="CA92" s="637"/>
      <c r="CB92" s="637"/>
      <c r="CC92" s="637"/>
      <c r="CD92" s="637"/>
      <c r="CE92" s="637"/>
      <c r="CF92" s="637"/>
      <c r="CG92" s="637"/>
      <c r="CH92" s="637"/>
      <c r="CI92" s="637"/>
      <c r="CJ92" s="637"/>
      <c r="CK92" s="637"/>
      <c r="CL92" s="637"/>
      <c r="CM92" s="637"/>
    </row>
    <row r="93" ht="15.75" customHeight="1">
      <c r="A93" s="637"/>
      <c r="B93" s="637"/>
      <c r="C93" s="637"/>
      <c r="D93" s="637"/>
      <c r="E93" s="637"/>
      <c r="F93" s="637"/>
      <c r="G93" s="637"/>
      <c r="H93" s="637"/>
      <c r="I93" s="637"/>
      <c r="J93" s="637"/>
      <c r="K93" s="637"/>
      <c r="L93" s="637"/>
      <c r="M93" s="637"/>
      <c r="N93" s="637"/>
      <c r="O93" s="637"/>
      <c r="P93" s="637"/>
      <c r="Q93" s="637"/>
      <c r="R93" s="637"/>
      <c r="S93" s="637"/>
      <c r="T93" s="637"/>
      <c r="U93" s="637"/>
      <c r="V93" s="637"/>
      <c r="W93" s="637"/>
      <c r="X93" s="637"/>
      <c r="Y93" s="637"/>
      <c r="Z93" s="637"/>
      <c r="AA93" s="637"/>
      <c r="AB93" s="637"/>
      <c r="AC93" s="637"/>
      <c r="AD93" s="637"/>
      <c r="AE93" s="637"/>
      <c r="AF93" s="637"/>
      <c r="AG93" s="637"/>
      <c r="AH93" s="637"/>
      <c r="AI93" s="637"/>
      <c r="AJ93" s="637"/>
      <c r="AK93" s="637"/>
      <c r="AL93" s="637"/>
      <c r="AM93" s="637"/>
      <c r="AN93" s="637"/>
      <c r="AO93" s="637"/>
      <c r="AP93" s="637"/>
      <c r="AQ93" s="637"/>
      <c r="AR93" s="637"/>
      <c r="AS93" s="637"/>
      <c r="AT93" s="637"/>
      <c r="AU93" s="637"/>
      <c r="AV93" s="637"/>
      <c r="AW93" s="637"/>
      <c r="AX93" s="637"/>
      <c r="AY93" s="637"/>
      <c r="AZ93" s="637"/>
      <c r="BA93" s="637"/>
      <c r="BB93" s="637"/>
      <c r="BC93" s="637"/>
      <c r="BD93" s="637"/>
      <c r="BE93" s="637"/>
      <c r="BF93" s="637"/>
      <c r="BG93" s="637"/>
      <c r="BH93" s="637"/>
      <c r="BI93" s="637"/>
      <c r="BJ93" s="637"/>
      <c r="BK93" s="637"/>
      <c r="BL93" s="637"/>
      <c r="BM93" s="637"/>
      <c r="BN93" s="637"/>
      <c r="BO93" s="637"/>
      <c r="BP93" s="637"/>
      <c r="BQ93" s="637"/>
      <c r="BR93" s="637"/>
      <c r="BS93" s="637"/>
      <c r="BT93" s="637"/>
      <c r="BU93" s="637"/>
      <c r="BV93" s="637"/>
      <c r="BW93" s="637"/>
      <c r="BX93" s="637"/>
      <c r="BY93" s="637"/>
      <c r="BZ93" s="637"/>
      <c r="CA93" s="637"/>
      <c r="CB93" s="637"/>
      <c r="CC93" s="637"/>
      <c r="CD93" s="637"/>
      <c r="CE93" s="637"/>
      <c r="CF93" s="637"/>
      <c r="CG93" s="637"/>
      <c r="CH93" s="637"/>
      <c r="CI93" s="637"/>
      <c r="CJ93" s="637"/>
      <c r="CK93" s="637"/>
      <c r="CL93" s="637"/>
      <c r="CM93" s="637"/>
    </row>
    <row r="94" ht="15.75" customHeight="1">
      <c r="A94" s="637"/>
      <c r="B94" s="637"/>
      <c r="C94" s="637"/>
      <c r="D94" s="637"/>
      <c r="E94" s="637"/>
      <c r="F94" s="637"/>
      <c r="G94" s="637"/>
      <c r="H94" s="637"/>
      <c r="I94" s="637"/>
      <c r="J94" s="637"/>
      <c r="K94" s="637"/>
      <c r="L94" s="637"/>
      <c r="M94" s="637"/>
      <c r="N94" s="637"/>
      <c r="O94" s="637"/>
      <c r="P94" s="637"/>
      <c r="Q94" s="637"/>
      <c r="R94" s="637"/>
      <c r="S94" s="637"/>
      <c r="T94" s="637"/>
      <c r="U94" s="637"/>
      <c r="V94" s="637"/>
      <c r="W94" s="637"/>
      <c r="X94" s="637"/>
      <c r="Y94" s="637"/>
      <c r="Z94" s="637"/>
      <c r="AA94" s="637"/>
      <c r="AB94" s="637"/>
      <c r="AC94" s="637"/>
      <c r="AD94" s="637"/>
      <c r="AE94" s="637"/>
      <c r="AF94" s="637"/>
      <c r="AG94" s="637"/>
      <c r="AH94" s="637"/>
      <c r="AI94" s="637"/>
      <c r="AJ94" s="637"/>
      <c r="AK94" s="637"/>
      <c r="AL94" s="637"/>
      <c r="AM94" s="637"/>
      <c r="AN94" s="637"/>
      <c r="AO94" s="637"/>
      <c r="AP94" s="637"/>
      <c r="AQ94" s="637"/>
      <c r="AR94" s="637"/>
      <c r="AS94" s="637"/>
      <c r="AT94" s="637"/>
      <c r="AU94" s="637"/>
      <c r="AV94" s="637"/>
      <c r="AW94" s="637"/>
      <c r="AX94" s="637"/>
      <c r="AY94" s="637"/>
      <c r="AZ94" s="637"/>
      <c r="BA94" s="637"/>
      <c r="BB94" s="637"/>
      <c r="BC94" s="637"/>
      <c r="BD94" s="637"/>
      <c r="BE94" s="637"/>
      <c r="BF94" s="637"/>
      <c r="BG94" s="637"/>
      <c r="BH94" s="637"/>
      <c r="BI94" s="637"/>
      <c r="BJ94" s="637"/>
      <c r="BK94" s="637"/>
      <c r="BL94" s="637"/>
      <c r="BM94" s="637"/>
      <c r="BN94" s="637"/>
      <c r="BO94" s="637"/>
      <c r="BP94" s="637"/>
      <c r="BQ94" s="637"/>
      <c r="BR94" s="637"/>
      <c r="BS94" s="637"/>
      <c r="BT94" s="637"/>
      <c r="BU94" s="637"/>
      <c r="BV94" s="637"/>
      <c r="BW94" s="637"/>
      <c r="BX94" s="637"/>
      <c r="BY94" s="637"/>
      <c r="BZ94" s="637"/>
      <c r="CA94" s="637"/>
      <c r="CB94" s="637"/>
      <c r="CC94" s="637"/>
      <c r="CD94" s="637"/>
      <c r="CE94" s="637"/>
      <c r="CF94" s="637"/>
      <c r="CG94" s="637"/>
      <c r="CH94" s="637"/>
      <c r="CI94" s="637"/>
      <c r="CJ94" s="637"/>
      <c r="CK94" s="637"/>
      <c r="CL94" s="637"/>
      <c r="CM94" s="637"/>
    </row>
    <row r="95" ht="15.75" customHeight="1">
      <c r="A95" s="637"/>
      <c r="B95" s="637"/>
      <c r="C95" s="637"/>
      <c r="D95" s="637"/>
      <c r="E95" s="637"/>
      <c r="F95" s="637"/>
      <c r="G95" s="637"/>
      <c r="H95" s="637"/>
      <c r="I95" s="637"/>
      <c r="J95" s="637"/>
      <c r="K95" s="637"/>
      <c r="L95" s="637"/>
      <c r="M95" s="637"/>
      <c r="N95" s="637"/>
      <c r="O95" s="637"/>
      <c r="P95" s="637"/>
      <c r="Q95" s="637"/>
      <c r="R95" s="637"/>
      <c r="S95" s="637"/>
      <c r="T95" s="637"/>
      <c r="U95" s="637"/>
      <c r="V95" s="637"/>
      <c r="W95" s="637"/>
      <c r="X95" s="637"/>
      <c r="Y95" s="637"/>
      <c r="Z95" s="637"/>
      <c r="AA95" s="637"/>
      <c r="AB95" s="637"/>
      <c r="AC95" s="637"/>
      <c r="AD95" s="637"/>
      <c r="AE95" s="637"/>
      <c r="AF95" s="637"/>
      <c r="AG95" s="637"/>
      <c r="AH95" s="637"/>
      <c r="AI95" s="637"/>
      <c r="AJ95" s="637"/>
      <c r="AK95" s="637"/>
      <c r="AL95" s="637"/>
      <c r="AM95" s="637"/>
      <c r="AN95" s="637"/>
      <c r="AO95" s="637"/>
      <c r="AP95" s="637"/>
      <c r="AQ95" s="637"/>
      <c r="AR95" s="637"/>
      <c r="AS95" s="637"/>
      <c r="AT95" s="637"/>
      <c r="AU95" s="637"/>
      <c r="AV95" s="637"/>
      <c r="AW95" s="637"/>
      <c r="AX95" s="637"/>
      <c r="AY95" s="637"/>
      <c r="AZ95" s="637"/>
      <c r="BA95" s="637"/>
      <c r="BB95" s="637"/>
      <c r="BC95" s="637"/>
      <c r="BD95" s="637"/>
      <c r="BE95" s="637"/>
      <c r="BF95" s="637"/>
      <c r="BG95" s="637"/>
      <c r="BH95" s="637"/>
      <c r="BI95" s="637"/>
      <c r="BJ95" s="637"/>
      <c r="BK95" s="637"/>
      <c r="BL95" s="637"/>
      <c r="BM95" s="637"/>
      <c r="BN95" s="637"/>
      <c r="BO95" s="637"/>
      <c r="BP95" s="637"/>
      <c r="BQ95" s="637"/>
      <c r="BR95" s="637"/>
      <c r="BS95" s="637"/>
      <c r="BT95" s="637"/>
      <c r="BU95" s="637"/>
      <c r="BV95" s="637"/>
      <c r="BW95" s="637"/>
      <c r="BX95" s="637"/>
      <c r="BY95" s="637"/>
      <c r="BZ95" s="637"/>
      <c r="CA95" s="637"/>
      <c r="CB95" s="637"/>
      <c r="CC95" s="637"/>
      <c r="CD95" s="637"/>
      <c r="CE95" s="637"/>
      <c r="CF95" s="637"/>
      <c r="CG95" s="637"/>
      <c r="CH95" s="637"/>
      <c r="CI95" s="637"/>
      <c r="CJ95" s="637"/>
      <c r="CK95" s="637"/>
      <c r="CL95" s="637"/>
      <c r="CM95" s="637"/>
    </row>
    <row r="96" ht="15.75" customHeight="1">
      <c r="A96" s="637"/>
      <c r="B96" s="637"/>
      <c r="C96" s="637"/>
      <c r="D96" s="637"/>
      <c r="E96" s="637"/>
      <c r="F96" s="637"/>
      <c r="G96" s="637"/>
      <c r="H96" s="637"/>
      <c r="I96" s="637"/>
      <c r="J96" s="637"/>
      <c r="K96" s="637"/>
      <c r="L96" s="637"/>
      <c r="M96" s="637"/>
      <c r="N96" s="637"/>
      <c r="O96" s="637"/>
      <c r="P96" s="637"/>
      <c r="Q96" s="637"/>
      <c r="R96" s="637"/>
      <c r="S96" s="637"/>
      <c r="T96" s="637"/>
      <c r="U96" s="637"/>
      <c r="V96" s="637"/>
      <c r="W96" s="637"/>
      <c r="X96" s="637"/>
      <c r="Y96" s="637"/>
      <c r="Z96" s="637"/>
      <c r="AA96" s="637"/>
      <c r="AB96" s="637"/>
      <c r="AC96" s="637"/>
      <c r="AD96" s="637"/>
      <c r="AE96" s="637"/>
      <c r="AF96" s="637"/>
      <c r="AG96" s="637"/>
      <c r="AH96" s="637"/>
      <c r="AI96" s="637"/>
      <c r="AJ96" s="637"/>
      <c r="AK96" s="637"/>
      <c r="AL96" s="637"/>
      <c r="AM96" s="637"/>
      <c r="AN96" s="637"/>
      <c r="AO96" s="637"/>
      <c r="AP96" s="637"/>
      <c r="AQ96" s="637"/>
      <c r="AR96" s="637"/>
      <c r="AS96" s="637"/>
      <c r="AT96" s="637"/>
      <c r="AU96" s="637"/>
      <c r="AV96" s="637"/>
      <c r="AW96" s="637"/>
      <c r="AX96" s="637"/>
      <c r="AY96" s="637"/>
      <c r="AZ96" s="637"/>
      <c r="BA96" s="637"/>
      <c r="BB96" s="637"/>
      <c r="BC96" s="637"/>
      <c r="BD96" s="637"/>
      <c r="BE96" s="637"/>
      <c r="BF96" s="637"/>
      <c r="BG96" s="637"/>
      <c r="BH96" s="637"/>
      <c r="BI96" s="637"/>
      <c r="BJ96" s="637"/>
      <c r="BK96" s="637"/>
      <c r="BL96" s="637"/>
      <c r="BM96" s="637"/>
      <c r="BN96" s="637"/>
      <c r="BO96" s="637"/>
      <c r="BP96" s="637"/>
      <c r="BQ96" s="637"/>
      <c r="BR96" s="637"/>
      <c r="BS96" s="637"/>
      <c r="BT96" s="637"/>
      <c r="BU96" s="637"/>
      <c r="BV96" s="637"/>
      <c r="BW96" s="637"/>
      <c r="BX96" s="637"/>
      <c r="BY96" s="637"/>
      <c r="BZ96" s="637"/>
      <c r="CA96" s="637"/>
      <c r="CB96" s="637"/>
      <c r="CC96" s="637"/>
      <c r="CD96" s="637"/>
      <c r="CE96" s="637"/>
      <c r="CF96" s="637"/>
      <c r="CG96" s="637"/>
      <c r="CH96" s="637"/>
      <c r="CI96" s="637"/>
      <c r="CJ96" s="637"/>
      <c r="CK96" s="637"/>
      <c r="CL96" s="637"/>
      <c r="CM96" s="637"/>
    </row>
    <row r="97" ht="15.75" customHeight="1">
      <c r="A97" s="637"/>
      <c r="B97" s="637"/>
      <c r="C97" s="637"/>
      <c r="D97" s="637"/>
      <c r="E97" s="637"/>
      <c r="F97" s="637"/>
      <c r="G97" s="637"/>
      <c r="H97" s="637"/>
      <c r="I97" s="637"/>
      <c r="J97" s="637"/>
      <c r="K97" s="637"/>
      <c r="L97" s="637"/>
      <c r="M97" s="637"/>
      <c r="N97" s="637"/>
      <c r="O97" s="637"/>
      <c r="P97" s="637"/>
      <c r="Q97" s="637"/>
      <c r="R97" s="637"/>
      <c r="S97" s="637"/>
      <c r="T97" s="637"/>
      <c r="U97" s="637"/>
      <c r="V97" s="637"/>
      <c r="W97" s="637"/>
      <c r="X97" s="637"/>
      <c r="Y97" s="637"/>
      <c r="Z97" s="637"/>
      <c r="AA97" s="637"/>
      <c r="AB97" s="637"/>
      <c r="AC97" s="637"/>
      <c r="AD97" s="637"/>
      <c r="AE97" s="637"/>
      <c r="AF97" s="637"/>
      <c r="AG97" s="637"/>
      <c r="AH97" s="637"/>
      <c r="AI97" s="637"/>
      <c r="AJ97" s="637"/>
      <c r="AK97" s="637"/>
      <c r="AL97" s="637"/>
      <c r="AM97" s="637"/>
      <c r="AN97" s="637"/>
      <c r="AO97" s="637"/>
      <c r="AP97" s="637"/>
      <c r="AQ97" s="637"/>
      <c r="AR97" s="637"/>
      <c r="AS97" s="637"/>
      <c r="AT97" s="637"/>
      <c r="AU97" s="637"/>
      <c r="AV97" s="637"/>
      <c r="AW97" s="637"/>
      <c r="AX97" s="637"/>
      <c r="AY97" s="637"/>
      <c r="AZ97" s="637"/>
      <c r="BA97" s="637"/>
      <c r="BB97" s="637"/>
      <c r="BC97" s="637"/>
      <c r="BD97" s="637"/>
      <c r="BE97" s="637"/>
      <c r="BF97" s="637"/>
      <c r="BG97" s="637"/>
      <c r="BH97" s="637"/>
      <c r="BI97" s="637"/>
      <c r="BJ97" s="637"/>
      <c r="BK97" s="637"/>
      <c r="BL97" s="637"/>
      <c r="BM97" s="637"/>
      <c r="BN97" s="637"/>
      <c r="BO97" s="637"/>
      <c r="BP97" s="637"/>
      <c r="BQ97" s="637"/>
      <c r="BR97" s="637"/>
      <c r="BS97" s="637"/>
      <c r="BT97" s="637"/>
      <c r="BU97" s="637"/>
      <c r="BV97" s="637"/>
      <c r="BW97" s="637"/>
      <c r="BX97" s="637"/>
      <c r="BY97" s="637"/>
      <c r="BZ97" s="637"/>
      <c r="CA97" s="637"/>
      <c r="CB97" s="637"/>
      <c r="CC97" s="637"/>
      <c r="CD97" s="637"/>
      <c r="CE97" s="637"/>
      <c r="CF97" s="637"/>
      <c r="CG97" s="637"/>
      <c r="CH97" s="637"/>
      <c r="CI97" s="637"/>
      <c r="CJ97" s="637"/>
      <c r="CK97" s="637"/>
      <c r="CL97" s="637"/>
      <c r="CM97" s="637"/>
    </row>
    <row r="98" ht="15.75" customHeight="1">
      <c r="A98" s="637"/>
      <c r="B98" s="637"/>
      <c r="C98" s="637"/>
      <c r="D98" s="637"/>
      <c r="E98" s="637"/>
      <c r="F98" s="637"/>
      <c r="G98" s="637"/>
      <c r="H98" s="637"/>
      <c r="I98" s="637"/>
      <c r="J98" s="637"/>
      <c r="K98" s="637"/>
      <c r="L98" s="637"/>
      <c r="M98" s="637"/>
      <c r="N98" s="637"/>
      <c r="O98" s="637"/>
      <c r="P98" s="637"/>
      <c r="Q98" s="637"/>
      <c r="R98" s="637"/>
      <c r="S98" s="637"/>
      <c r="T98" s="637"/>
      <c r="U98" s="637"/>
      <c r="V98" s="637"/>
      <c r="W98" s="637"/>
      <c r="X98" s="637"/>
      <c r="Y98" s="637"/>
      <c r="Z98" s="637"/>
      <c r="AA98" s="637"/>
      <c r="AB98" s="637"/>
      <c r="AC98" s="637"/>
      <c r="AD98" s="637"/>
      <c r="AE98" s="637"/>
      <c r="AF98" s="637"/>
      <c r="AG98" s="637"/>
      <c r="AH98" s="637"/>
      <c r="AI98" s="637"/>
      <c r="AJ98" s="637"/>
      <c r="AK98" s="637"/>
      <c r="AL98" s="637"/>
      <c r="AM98" s="637"/>
      <c r="AN98" s="637"/>
      <c r="AO98" s="637"/>
      <c r="AP98" s="637"/>
      <c r="AQ98" s="637"/>
      <c r="AR98" s="637"/>
      <c r="AS98" s="637"/>
      <c r="AT98" s="637"/>
      <c r="AU98" s="637"/>
      <c r="AV98" s="637"/>
      <c r="AW98" s="637"/>
      <c r="AX98" s="637"/>
      <c r="AY98" s="637"/>
      <c r="AZ98" s="637"/>
      <c r="BA98" s="637"/>
      <c r="BB98" s="637"/>
      <c r="BC98" s="637"/>
      <c r="BD98" s="637"/>
      <c r="BE98" s="637"/>
      <c r="BF98" s="637"/>
      <c r="BG98" s="637"/>
      <c r="BH98" s="637"/>
      <c r="BI98" s="637"/>
      <c r="BJ98" s="637"/>
      <c r="BK98" s="637"/>
      <c r="BL98" s="637"/>
      <c r="BM98" s="637"/>
      <c r="BN98" s="637"/>
      <c r="BO98" s="637"/>
      <c r="BP98" s="637"/>
      <c r="BQ98" s="637"/>
      <c r="BR98" s="637"/>
      <c r="BS98" s="637"/>
      <c r="BT98" s="637"/>
      <c r="BU98" s="637"/>
      <c r="BV98" s="637"/>
      <c r="BW98" s="637"/>
      <c r="BX98" s="637"/>
      <c r="BY98" s="637"/>
      <c r="BZ98" s="637"/>
      <c r="CA98" s="637"/>
      <c r="CB98" s="637"/>
      <c r="CC98" s="637"/>
      <c r="CD98" s="637"/>
      <c r="CE98" s="637"/>
      <c r="CF98" s="637"/>
      <c r="CG98" s="637"/>
      <c r="CH98" s="637"/>
      <c r="CI98" s="637"/>
      <c r="CJ98" s="637"/>
      <c r="CK98" s="637"/>
      <c r="CL98" s="637"/>
      <c r="CM98" s="637"/>
    </row>
    <row r="99" ht="15.75" customHeight="1">
      <c r="A99" s="637"/>
      <c r="B99" s="637"/>
      <c r="C99" s="637"/>
      <c r="D99" s="637"/>
      <c r="E99" s="637"/>
      <c r="F99" s="637"/>
      <c r="G99" s="637"/>
      <c r="H99" s="637"/>
      <c r="I99" s="637"/>
      <c r="J99" s="637"/>
      <c r="K99" s="637"/>
      <c r="L99" s="637"/>
      <c r="M99" s="637"/>
      <c r="N99" s="637"/>
      <c r="O99" s="637"/>
      <c r="P99" s="637"/>
      <c r="Q99" s="637"/>
      <c r="R99" s="637"/>
      <c r="S99" s="637"/>
      <c r="T99" s="637"/>
      <c r="U99" s="637"/>
      <c r="V99" s="637"/>
      <c r="W99" s="637"/>
      <c r="X99" s="637"/>
      <c r="Y99" s="637"/>
      <c r="Z99" s="637"/>
      <c r="AA99" s="637"/>
      <c r="AB99" s="637"/>
      <c r="AC99" s="637"/>
      <c r="AD99" s="637"/>
      <c r="AE99" s="637"/>
      <c r="AF99" s="637"/>
      <c r="AG99" s="637"/>
      <c r="AH99" s="637"/>
      <c r="AI99" s="637"/>
      <c r="AJ99" s="637"/>
      <c r="AK99" s="637"/>
      <c r="AL99" s="637"/>
      <c r="AM99" s="637"/>
      <c r="AN99" s="637"/>
      <c r="AO99" s="637"/>
      <c r="AP99" s="637"/>
      <c r="AQ99" s="637"/>
      <c r="AR99" s="637"/>
      <c r="AS99" s="637"/>
      <c r="AT99" s="637"/>
      <c r="AU99" s="637"/>
      <c r="AV99" s="637"/>
      <c r="AW99" s="637"/>
      <c r="AX99" s="637"/>
      <c r="AY99" s="637"/>
      <c r="AZ99" s="637"/>
      <c r="BA99" s="637"/>
      <c r="BB99" s="637"/>
      <c r="BC99" s="637"/>
      <c r="BD99" s="637"/>
      <c r="BE99" s="637"/>
      <c r="BF99" s="637"/>
      <c r="BG99" s="637"/>
      <c r="BH99" s="637"/>
      <c r="BI99" s="637"/>
      <c r="BJ99" s="637"/>
      <c r="BK99" s="637"/>
      <c r="BL99" s="637"/>
      <c r="BM99" s="637"/>
      <c r="BN99" s="637"/>
      <c r="BO99" s="637"/>
      <c r="BP99" s="637"/>
      <c r="BQ99" s="637"/>
      <c r="BR99" s="637"/>
      <c r="BS99" s="637"/>
      <c r="BT99" s="637"/>
      <c r="BU99" s="637"/>
      <c r="BV99" s="637"/>
      <c r="BW99" s="637"/>
      <c r="BX99" s="637"/>
      <c r="BY99" s="637"/>
      <c r="BZ99" s="637"/>
      <c r="CA99" s="637"/>
      <c r="CB99" s="637"/>
      <c r="CC99" s="637"/>
      <c r="CD99" s="637"/>
      <c r="CE99" s="637"/>
      <c r="CF99" s="637"/>
      <c r="CG99" s="637"/>
      <c r="CH99" s="637"/>
      <c r="CI99" s="637"/>
      <c r="CJ99" s="637"/>
      <c r="CK99" s="637"/>
      <c r="CL99" s="637"/>
      <c r="CM99" s="637"/>
    </row>
    <row r="100" ht="15.75" customHeight="1">
      <c r="A100" s="637"/>
      <c r="B100" s="637"/>
      <c r="C100" s="637"/>
      <c r="D100" s="637"/>
      <c r="E100" s="637"/>
      <c r="F100" s="637"/>
      <c r="G100" s="637"/>
      <c r="H100" s="637"/>
      <c r="I100" s="637"/>
      <c r="J100" s="637"/>
      <c r="K100" s="637"/>
      <c r="L100" s="637"/>
      <c r="M100" s="637"/>
      <c r="N100" s="637"/>
      <c r="O100" s="637"/>
      <c r="P100" s="637"/>
      <c r="Q100" s="637"/>
      <c r="R100" s="637"/>
      <c r="S100" s="637"/>
      <c r="T100" s="637"/>
      <c r="U100" s="637"/>
      <c r="V100" s="637"/>
      <c r="W100" s="637"/>
      <c r="X100" s="637"/>
      <c r="Y100" s="637"/>
      <c r="Z100" s="637"/>
      <c r="AA100" s="637"/>
      <c r="AB100" s="637"/>
      <c r="AC100" s="637"/>
      <c r="AD100" s="637"/>
      <c r="AE100" s="637"/>
      <c r="AF100" s="637"/>
      <c r="AG100" s="637"/>
      <c r="AH100" s="637"/>
      <c r="AI100" s="637"/>
      <c r="AJ100" s="637"/>
      <c r="AK100" s="637"/>
      <c r="AL100" s="637"/>
      <c r="AM100" s="637"/>
      <c r="AN100" s="637"/>
      <c r="AO100" s="637"/>
      <c r="AP100" s="637"/>
      <c r="AQ100" s="637"/>
      <c r="AR100" s="637"/>
      <c r="AS100" s="637"/>
      <c r="AT100" s="637"/>
      <c r="AU100" s="637"/>
      <c r="AV100" s="637"/>
      <c r="AW100" s="637"/>
      <c r="AX100" s="637"/>
      <c r="AY100" s="637"/>
      <c r="AZ100" s="637"/>
      <c r="BA100" s="637"/>
      <c r="BB100" s="637"/>
      <c r="BC100" s="637"/>
      <c r="BD100" s="637"/>
      <c r="BE100" s="637"/>
      <c r="BF100" s="637"/>
      <c r="BG100" s="637"/>
      <c r="BH100" s="637"/>
      <c r="BI100" s="637"/>
      <c r="BJ100" s="637"/>
      <c r="BK100" s="637"/>
      <c r="BL100" s="637"/>
      <c r="BM100" s="637"/>
      <c r="BN100" s="637"/>
      <c r="BO100" s="637"/>
      <c r="BP100" s="637"/>
      <c r="BQ100" s="637"/>
      <c r="BR100" s="637"/>
      <c r="BS100" s="637"/>
      <c r="BT100" s="637"/>
      <c r="BU100" s="637"/>
      <c r="BV100" s="637"/>
      <c r="BW100" s="637"/>
      <c r="BX100" s="637"/>
      <c r="BY100" s="637"/>
      <c r="BZ100" s="637"/>
      <c r="CA100" s="637"/>
      <c r="CB100" s="637"/>
      <c r="CC100" s="637"/>
      <c r="CD100" s="637"/>
      <c r="CE100" s="637"/>
      <c r="CF100" s="637"/>
      <c r="CG100" s="637"/>
      <c r="CH100" s="637"/>
      <c r="CI100" s="637"/>
      <c r="CJ100" s="637"/>
      <c r="CK100" s="637"/>
      <c r="CL100" s="637"/>
      <c r="CM100" s="637"/>
    </row>
    <row r="101" ht="15.75" customHeight="1">
      <c r="A101" s="637"/>
      <c r="B101" s="637"/>
      <c r="C101" s="637"/>
      <c r="D101" s="637"/>
      <c r="E101" s="637"/>
      <c r="F101" s="637"/>
      <c r="G101" s="637"/>
      <c r="H101" s="637"/>
      <c r="I101" s="637"/>
      <c r="J101" s="637"/>
      <c r="K101" s="637"/>
      <c r="L101" s="637"/>
      <c r="M101" s="637"/>
      <c r="N101" s="637"/>
      <c r="O101" s="637"/>
      <c r="P101" s="637"/>
      <c r="Q101" s="637"/>
      <c r="R101" s="637"/>
      <c r="S101" s="637"/>
      <c r="T101" s="637"/>
      <c r="U101" s="637"/>
      <c r="V101" s="637"/>
      <c r="W101" s="637"/>
      <c r="X101" s="637"/>
      <c r="Y101" s="637"/>
      <c r="Z101" s="637"/>
      <c r="AA101" s="637"/>
      <c r="AB101" s="637"/>
      <c r="AC101" s="637"/>
      <c r="AD101" s="637"/>
      <c r="AE101" s="637"/>
      <c r="AF101" s="637"/>
      <c r="AG101" s="637"/>
      <c r="AH101" s="637"/>
      <c r="AI101" s="637"/>
      <c r="AJ101" s="637"/>
      <c r="AK101" s="637"/>
      <c r="AL101" s="637"/>
      <c r="AM101" s="637"/>
      <c r="AN101" s="637"/>
      <c r="AO101" s="637"/>
      <c r="AP101" s="637"/>
      <c r="AQ101" s="637"/>
      <c r="AR101" s="637"/>
      <c r="AS101" s="637"/>
      <c r="AT101" s="637"/>
      <c r="AU101" s="637"/>
      <c r="AV101" s="637"/>
      <c r="AW101" s="637"/>
      <c r="AX101" s="637"/>
      <c r="AY101" s="637"/>
      <c r="AZ101" s="637"/>
      <c r="BA101" s="637"/>
      <c r="BB101" s="637"/>
      <c r="BC101" s="637"/>
      <c r="BD101" s="637"/>
      <c r="BE101" s="637"/>
      <c r="BF101" s="637"/>
      <c r="BG101" s="637"/>
      <c r="BH101" s="637"/>
      <c r="BI101" s="637"/>
      <c r="BJ101" s="637"/>
      <c r="BK101" s="637"/>
      <c r="BL101" s="637"/>
      <c r="BM101" s="637"/>
      <c r="BN101" s="637"/>
      <c r="BO101" s="637"/>
      <c r="BP101" s="637"/>
      <c r="BQ101" s="637"/>
      <c r="BR101" s="637"/>
      <c r="BS101" s="637"/>
      <c r="BT101" s="637"/>
      <c r="BU101" s="637"/>
      <c r="BV101" s="637"/>
      <c r="BW101" s="637"/>
      <c r="BX101" s="637"/>
      <c r="BY101" s="637"/>
      <c r="BZ101" s="637"/>
      <c r="CA101" s="637"/>
      <c r="CB101" s="637"/>
      <c r="CC101" s="637"/>
      <c r="CD101" s="637"/>
      <c r="CE101" s="637"/>
      <c r="CF101" s="637"/>
      <c r="CG101" s="637"/>
      <c r="CH101" s="637"/>
      <c r="CI101" s="637"/>
      <c r="CJ101" s="637"/>
      <c r="CK101" s="637"/>
      <c r="CL101" s="637"/>
      <c r="CM101" s="637"/>
    </row>
    <row r="102" ht="15.75" customHeight="1">
      <c r="A102" s="637"/>
      <c r="B102" s="637"/>
      <c r="C102" s="637"/>
      <c r="D102" s="637"/>
      <c r="E102" s="637"/>
      <c r="F102" s="637"/>
      <c r="G102" s="637"/>
      <c r="H102" s="637"/>
      <c r="I102" s="637"/>
      <c r="J102" s="637"/>
      <c r="K102" s="637"/>
      <c r="L102" s="637"/>
      <c r="M102" s="637"/>
      <c r="N102" s="637"/>
      <c r="O102" s="637"/>
      <c r="P102" s="637"/>
      <c r="Q102" s="637"/>
      <c r="R102" s="637"/>
      <c r="S102" s="637"/>
      <c r="T102" s="637"/>
      <c r="U102" s="637"/>
      <c r="V102" s="637"/>
      <c r="W102" s="637"/>
      <c r="X102" s="637"/>
      <c r="Y102" s="637"/>
      <c r="Z102" s="637"/>
      <c r="AA102" s="637"/>
      <c r="AB102" s="637"/>
      <c r="AC102" s="637"/>
      <c r="AD102" s="637"/>
      <c r="AE102" s="637"/>
      <c r="AF102" s="637"/>
      <c r="AG102" s="637"/>
      <c r="AH102" s="637"/>
      <c r="AI102" s="637"/>
      <c r="AJ102" s="637"/>
      <c r="AK102" s="637"/>
      <c r="AL102" s="637"/>
      <c r="AM102" s="637"/>
      <c r="AN102" s="637"/>
      <c r="AO102" s="637"/>
      <c r="AP102" s="637"/>
      <c r="AQ102" s="637"/>
      <c r="AR102" s="637"/>
      <c r="AS102" s="637"/>
      <c r="AT102" s="637"/>
      <c r="AU102" s="637"/>
      <c r="AV102" s="637"/>
      <c r="AW102" s="637"/>
      <c r="AX102" s="637"/>
      <c r="AY102" s="637"/>
      <c r="AZ102" s="637"/>
      <c r="BA102" s="637"/>
      <c r="BB102" s="637"/>
      <c r="BC102" s="637"/>
      <c r="BD102" s="637"/>
      <c r="BE102" s="637"/>
      <c r="BF102" s="637"/>
      <c r="BG102" s="637"/>
      <c r="BH102" s="637"/>
      <c r="BI102" s="637"/>
      <c r="BJ102" s="637"/>
      <c r="BK102" s="637"/>
      <c r="BL102" s="637"/>
      <c r="BM102" s="637"/>
      <c r="BN102" s="637"/>
      <c r="BO102" s="637"/>
      <c r="BP102" s="637"/>
      <c r="BQ102" s="637"/>
      <c r="BR102" s="637"/>
      <c r="BS102" s="637"/>
      <c r="BT102" s="637"/>
      <c r="BU102" s="637"/>
      <c r="BV102" s="637"/>
      <c r="BW102" s="637"/>
      <c r="BX102" s="637"/>
      <c r="BY102" s="637"/>
      <c r="BZ102" s="637"/>
      <c r="CA102" s="637"/>
      <c r="CB102" s="637"/>
      <c r="CC102" s="637"/>
      <c r="CD102" s="637"/>
      <c r="CE102" s="637"/>
      <c r="CF102" s="637"/>
      <c r="CG102" s="637"/>
      <c r="CH102" s="637"/>
      <c r="CI102" s="637"/>
      <c r="CJ102" s="637"/>
      <c r="CK102" s="637"/>
      <c r="CL102" s="637"/>
      <c r="CM102" s="637"/>
    </row>
    <row r="103" ht="15.75" customHeight="1">
      <c r="A103" s="637"/>
      <c r="B103" s="637"/>
      <c r="C103" s="637"/>
      <c r="D103" s="637"/>
      <c r="E103" s="637"/>
      <c r="F103" s="637"/>
      <c r="G103" s="637"/>
      <c r="H103" s="637"/>
      <c r="I103" s="637"/>
      <c r="J103" s="637"/>
      <c r="K103" s="637"/>
      <c r="L103" s="637"/>
      <c r="M103" s="637"/>
      <c r="N103" s="637"/>
      <c r="O103" s="637"/>
      <c r="P103" s="637"/>
      <c r="Q103" s="637"/>
      <c r="R103" s="637"/>
      <c r="S103" s="637"/>
      <c r="T103" s="637"/>
      <c r="U103" s="637"/>
      <c r="V103" s="637"/>
      <c r="W103" s="637"/>
      <c r="X103" s="637"/>
      <c r="Y103" s="637"/>
      <c r="Z103" s="637"/>
      <c r="AA103" s="637"/>
      <c r="AB103" s="637"/>
      <c r="AC103" s="637"/>
      <c r="AD103" s="637"/>
      <c r="AE103" s="637"/>
      <c r="AF103" s="637"/>
      <c r="AG103" s="637"/>
      <c r="AH103" s="637"/>
      <c r="AI103" s="637"/>
      <c r="AJ103" s="637"/>
      <c r="AK103" s="637"/>
      <c r="AL103" s="637"/>
      <c r="AM103" s="637"/>
      <c r="AN103" s="637"/>
      <c r="AO103" s="637"/>
      <c r="AP103" s="637"/>
      <c r="AQ103" s="637"/>
      <c r="AR103" s="637"/>
      <c r="AS103" s="637"/>
      <c r="AT103" s="637"/>
      <c r="AU103" s="637"/>
      <c r="AV103" s="637"/>
      <c r="AW103" s="637"/>
      <c r="AX103" s="637"/>
      <c r="AY103" s="637"/>
      <c r="AZ103" s="637"/>
      <c r="BA103" s="637"/>
      <c r="BB103" s="637"/>
      <c r="BC103" s="637"/>
      <c r="BD103" s="637"/>
      <c r="BE103" s="637"/>
      <c r="BF103" s="637"/>
      <c r="BG103" s="637"/>
      <c r="BH103" s="637"/>
      <c r="BI103" s="637"/>
      <c r="BJ103" s="637"/>
      <c r="BK103" s="637"/>
      <c r="BL103" s="637"/>
      <c r="BM103" s="637"/>
      <c r="BN103" s="637"/>
      <c r="BO103" s="637"/>
      <c r="BP103" s="637"/>
      <c r="BQ103" s="637"/>
      <c r="BR103" s="637"/>
      <c r="BS103" s="637"/>
      <c r="BT103" s="637"/>
      <c r="BU103" s="637"/>
      <c r="BV103" s="637"/>
      <c r="BW103" s="637"/>
      <c r="BX103" s="637"/>
      <c r="BY103" s="637"/>
      <c r="BZ103" s="637"/>
      <c r="CA103" s="637"/>
      <c r="CB103" s="637"/>
      <c r="CC103" s="637"/>
      <c r="CD103" s="637"/>
      <c r="CE103" s="637"/>
      <c r="CF103" s="637"/>
      <c r="CG103" s="637"/>
      <c r="CH103" s="637"/>
      <c r="CI103" s="637"/>
      <c r="CJ103" s="637"/>
      <c r="CK103" s="637"/>
      <c r="CL103" s="637"/>
      <c r="CM103" s="637"/>
    </row>
    <row r="104" ht="15.75" customHeight="1">
      <c r="A104" s="637"/>
      <c r="B104" s="637"/>
      <c r="C104" s="637"/>
      <c r="D104" s="637"/>
      <c r="E104" s="637"/>
      <c r="F104" s="637"/>
      <c r="G104" s="637"/>
      <c r="H104" s="637"/>
      <c r="I104" s="637"/>
      <c r="J104" s="637"/>
      <c r="K104" s="637"/>
      <c r="L104" s="637"/>
      <c r="M104" s="637"/>
      <c r="N104" s="637"/>
      <c r="O104" s="637"/>
      <c r="P104" s="637"/>
      <c r="Q104" s="637"/>
      <c r="R104" s="637"/>
      <c r="S104" s="637"/>
      <c r="T104" s="637"/>
      <c r="U104" s="637"/>
      <c r="V104" s="637"/>
      <c r="W104" s="637"/>
      <c r="X104" s="637"/>
      <c r="Y104" s="637"/>
      <c r="Z104" s="637"/>
      <c r="AA104" s="637"/>
      <c r="AB104" s="637"/>
      <c r="AC104" s="637"/>
      <c r="AD104" s="637"/>
      <c r="AE104" s="637"/>
      <c r="AF104" s="637"/>
      <c r="AG104" s="637"/>
      <c r="AH104" s="637"/>
      <c r="AI104" s="637"/>
      <c r="AJ104" s="637"/>
      <c r="AK104" s="637"/>
      <c r="AL104" s="637"/>
      <c r="AM104" s="637"/>
      <c r="AN104" s="637"/>
      <c r="AO104" s="637"/>
      <c r="AP104" s="637"/>
      <c r="AQ104" s="637"/>
      <c r="AR104" s="637"/>
      <c r="AS104" s="637"/>
      <c r="AT104" s="637"/>
      <c r="AU104" s="637"/>
      <c r="AV104" s="637"/>
      <c r="AW104" s="637"/>
      <c r="AX104" s="637"/>
      <c r="AY104" s="637"/>
      <c r="AZ104" s="637"/>
      <c r="BA104" s="637"/>
      <c r="BB104" s="637"/>
      <c r="BC104" s="637"/>
      <c r="BD104" s="637"/>
      <c r="BE104" s="637"/>
      <c r="BF104" s="637"/>
      <c r="BG104" s="637"/>
      <c r="BH104" s="637"/>
      <c r="BI104" s="637"/>
      <c r="BJ104" s="637"/>
      <c r="BK104" s="637"/>
      <c r="BL104" s="637"/>
      <c r="BM104" s="637"/>
      <c r="BN104" s="637"/>
      <c r="BO104" s="637"/>
      <c r="BP104" s="637"/>
      <c r="BQ104" s="637"/>
      <c r="BR104" s="637"/>
      <c r="BS104" s="637"/>
      <c r="BT104" s="637"/>
      <c r="BU104" s="637"/>
      <c r="BV104" s="637"/>
      <c r="BW104" s="637"/>
      <c r="BX104" s="637"/>
      <c r="BY104" s="637"/>
      <c r="BZ104" s="637"/>
      <c r="CA104" s="637"/>
      <c r="CB104" s="637"/>
      <c r="CC104" s="637"/>
      <c r="CD104" s="637"/>
      <c r="CE104" s="637"/>
      <c r="CF104" s="637"/>
      <c r="CG104" s="637"/>
      <c r="CH104" s="637"/>
      <c r="CI104" s="637"/>
      <c r="CJ104" s="637"/>
      <c r="CK104" s="637"/>
      <c r="CL104" s="637"/>
      <c r="CM104" s="637"/>
    </row>
    <row r="105" ht="15.75" customHeight="1">
      <c r="A105" s="637"/>
      <c r="B105" s="637"/>
      <c r="C105" s="637"/>
      <c r="D105" s="637"/>
      <c r="E105" s="637"/>
      <c r="F105" s="637"/>
      <c r="G105" s="637"/>
      <c r="H105" s="637"/>
      <c r="I105" s="637"/>
      <c r="J105" s="637"/>
      <c r="K105" s="637"/>
      <c r="L105" s="637"/>
      <c r="M105" s="637"/>
      <c r="N105" s="637"/>
      <c r="O105" s="637"/>
      <c r="P105" s="637"/>
      <c r="Q105" s="637"/>
      <c r="R105" s="637"/>
      <c r="S105" s="637"/>
      <c r="T105" s="637"/>
      <c r="U105" s="637"/>
      <c r="V105" s="637"/>
      <c r="W105" s="637"/>
      <c r="X105" s="637"/>
      <c r="Y105" s="637"/>
      <c r="Z105" s="637"/>
      <c r="AA105" s="637"/>
      <c r="AB105" s="637"/>
      <c r="AC105" s="637"/>
      <c r="AD105" s="637"/>
      <c r="AE105" s="637"/>
      <c r="AF105" s="637"/>
      <c r="AG105" s="637"/>
      <c r="AH105" s="637"/>
      <c r="AI105" s="637"/>
      <c r="AJ105" s="637"/>
      <c r="AK105" s="637"/>
      <c r="AL105" s="637"/>
      <c r="AM105" s="637"/>
      <c r="AN105" s="637"/>
      <c r="AO105" s="637"/>
      <c r="AP105" s="637"/>
      <c r="AQ105" s="637"/>
      <c r="AR105" s="637"/>
      <c r="AS105" s="637"/>
      <c r="AT105" s="637"/>
      <c r="AU105" s="637"/>
      <c r="AV105" s="637"/>
      <c r="AW105" s="637"/>
      <c r="AX105" s="637"/>
      <c r="AY105" s="637"/>
      <c r="AZ105" s="637"/>
      <c r="BA105" s="637"/>
      <c r="BB105" s="637"/>
      <c r="BC105" s="637"/>
      <c r="BD105" s="637"/>
      <c r="BE105" s="637"/>
      <c r="BF105" s="637"/>
      <c r="BG105" s="637"/>
      <c r="BH105" s="637"/>
      <c r="BI105" s="637"/>
      <c r="BJ105" s="637"/>
      <c r="BK105" s="637"/>
      <c r="BL105" s="637"/>
      <c r="BM105" s="637"/>
      <c r="BN105" s="637"/>
      <c r="BO105" s="637"/>
      <c r="BP105" s="637"/>
      <c r="BQ105" s="637"/>
      <c r="BR105" s="637"/>
      <c r="BS105" s="637"/>
      <c r="BT105" s="637"/>
      <c r="BU105" s="637"/>
      <c r="BV105" s="637"/>
      <c r="BW105" s="637"/>
      <c r="BX105" s="637"/>
      <c r="BY105" s="637"/>
      <c r="BZ105" s="637"/>
      <c r="CA105" s="637"/>
      <c r="CB105" s="637"/>
      <c r="CC105" s="637"/>
      <c r="CD105" s="637"/>
      <c r="CE105" s="637"/>
      <c r="CF105" s="637"/>
      <c r="CG105" s="637"/>
      <c r="CH105" s="637"/>
      <c r="CI105" s="637"/>
      <c r="CJ105" s="637"/>
      <c r="CK105" s="637"/>
      <c r="CL105" s="637"/>
      <c r="CM105" s="637"/>
    </row>
    <row r="106" ht="15.75" customHeight="1">
      <c r="A106" s="637"/>
      <c r="B106" s="637"/>
      <c r="C106" s="637"/>
      <c r="D106" s="637"/>
      <c r="E106" s="637"/>
      <c r="F106" s="637"/>
      <c r="G106" s="637"/>
      <c r="H106" s="637"/>
      <c r="I106" s="637"/>
      <c r="J106" s="637"/>
      <c r="K106" s="637"/>
      <c r="L106" s="637"/>
      <c r="M106" s="637"/>
      <c r="N106" s="637"/>
      <c r="O106" s="637"/>
      <c r="P106" s="637"/>
      <c r="Q106" s="637"/>
      <c r="R106" s="637"/>
      <c r="S106" s="637"/>
      <c r="T106" s="637"/>
      <c r="U106" s="637"/>
      <c r="V106" s="637"/>
      <c r="W106" s="637"/>
      <c r="X106" s="637"/>
      <c r="Y106" s="637"/>
      <c r="Z106" s="637"/>
      <c r="AA106" s="637"/>
      <c r="AB106" s="637"/>
      <c r="AC106" s="637"/>
      <c r="AD106" s="637"/>
      <c r="AE106" s="637"/>
      <c r="AF106" s="637"/>
      <c r="AG106" s="637"/>
      <c r="AH106" s="637"/>
      <c r="AI106" s="637"/>
      <c r="AJ106" s="637"/>
      <c r="AK106" s="637"/>
      <c r="AL106" s="637"/>
      <c r="AM106" s="637"/>
      <c r="AN106" s="637"/>
      <c r="AO106" s="637"/>
      <c r="AP106" s="637"/>
      <c r="AQ106" s="637"/>
      <c r="AR106" s="637"/>
      <c r="AS106" s="637"/>
      <c r="AT106" s="637"/>
      <c r="AU106" s="637"/>
      <c r="AV106" s="637"/>
      <c r="AW106" s="637"/>
      <c r="AX106" s="637"/>
      <c r="AY106" s="637"/>
      <c r="AZ106" s="637"/>
      <c r="BA106" s="637"/>
      <c r="BB106" s="637"/>
      <c r="BC106" s="637"/>
      <c r="BD106" s="637"/>
      <c r="BE106" s="637"/>
      <c r="BF106" s="637"/>
      <c r="BG106" s="637"/>
      <c r="BH106" s="637"/>
      <c r="BI106" s="637"/>
      <c r="BJ106" s="637"/>
      <c r="BK106" s="637"/>
      <c r="BL106" s="637"/>
      <c r="BM106" s="637"/>
      <c r="BN106" s="637"/>
      <c r="BO106" s="637"/>
      <c r="BP106" s="637"/>
      <c r="BQ106" s="637"/>
      <c r="BR106" s="637"/>
      <c r="BS106" s="637"/>
      <c r="BT106" s="637"/>
      <c r="BU106" s="637"/>
      <c r="BV106" s="637"/>
      <c r="BW106" s="637"/>
      <c r="BX106" s="637"/>
      <c r="BY106" s="637"/>
      <c r="BZ106" s="637"/>
      <c r="CA106" s="637"/>
      <c r="CB106" s="637"/>
      <c r="CC106" s="637"/>
      <c r="CD106" s="637"/>
      <c r="CE106" s="637"/>
      <c r="CF106" s="637"/>
      <c r="CG106" s="637"/>
      <c r="CH106" s="637"/>
      <c r="CI106" s="637"/>
      <c r="CJ106" s="637"/>
      <c r="CK106" s="637"/>
      <c r="CL106" s="637"/>
      <c r="CM106" s="637"/>
    </row>
    <row r="107" ht="15.75" customHeight="1">
      <c r="A107" s="637"/>
      <c r="B107" s="637"/>
      <c r="C107" s="637"/>
      <c r="D107" s="637"/>
      <c r="E107" s="637"/>
      <c r="F107" s="637"/>
      <c r="G107" s="637"/>
      <c r="H107" s="637"/>
      <c r="I107" s="637"/>
      <c r="J107" s="637"/>
      <c r="K107" s="637"/>
      <c r="L107" s="637"/>
      <c r="M107" s="637"/>
      <c r="N107" s="637"/>
      <c r="O107" s="637"/>
      <c r="P107" s="637"/>
      <c r="Q107" s="637"/>
      <c r="R107" s="637"/>
      <c r="S107" s="637"/>
      <c r="T107" s="637"/>
      <c r="U107" s="637"/>
      <c r="V107" s="637"/>
      <c r="W107" s="637"/>
      <c r="X107" s="637"/>
      <c r="Y107" s="637"/>
      <c r="Z107" s="637"/>
      <c r="AA107" s="637"/>
      <c r="AB107" s="637"/>
      <c r="AC107" s="637"/>
      <c r="AD107" s="637"/>
      <c r="AE107" s="637"/>
      <c r="AF107" s="637"/>
      <c r="AG107" s="637"/>
      <c r="AH107" s="637"/>
      <c r="AI107" s="637"/>
      <c r="AJ107" s="637"/>
      <c r="AK107" s="637"/>
      <c r="AL107" s="637"/>
      <c r="AM107" s="637"/>
      <c r="AN107" s="637"/>
      <c r="AO107" s="637"/>
      <c r="AP107" s="637"/>
      <c r="AQ107" s="637"/>
      <c r="AR107" s="637"/>
      <c r="AS107" s="637"/>
      <c r="AT107" s="637"/>
      <c r="AU107" s="637"/>
      <c r="AV107" s="637"/>
      <c r="AW107" s="637"/>
      <c r="AX107" s="637"/>
      <c r="AY107" s="637"/>
      <c r="AZ107" s="637"/>
      <c r="BA107" s="637"/>
      <c r="BB107" s="637"/>
      <c r="BC107" s="637"/>
      <c r="BD107" s="637"/>
      <c r="BE107" s="637"/>
      <c r="BF107" s="637"/>
      <c r="BG107" s="637"/>
      <c r="BH107" s="637"/>
      <c r="BI107" s="637"/>
      <c r="BJ107" s="637"/>
      <c r="BK107" s="637"/>
      <c r="BL107" s="637"/>
      <c r="BM107" s="637"/>
      <c r="BN107" s="637"/>
      <c r="BO107" s="637"/>
      <c r="BP107" s="637"/>
      <c r="BQ107" s="637"/>
      <c r="BR107" s="637"/>
      <c r="BS107" s="637"/>
      <c r="BT107" s="637"/>
      <c r="BU107" s="637"/>
      <c r="BV107" s="637"/>
      <c r="BW107" s="637"/>
      <c r="BX107" s="637"/>
      <c r="BY107" s="637"/>
      <c r="BZ107" s="637"/>
      <c r="CA107" s="637"/>
      <c r="CB107" s="637"/>
      <c r="CC107" s="637"/>
      <c r="CD107" s="637"/>
      <c r="CE107" s="637"/>
      <c r="CF107" s="637"/>
      <c r="CG107" s="637"/>
      <c r="CH107" s="637"/>
      <c r="CI107" s="637"/>
      <c r="CJ107" s="637"/>
      <c r="CK107" s="637"/>
      <c r="CL107" s="637"/>
      <c r="CM107" s="637"/>
    </row>
    <row r="108" ht="15.75" customHeight="1">
      <c r="A108" s="637"/>
      <c r="B108" s="637"/>
      <c r="C108" s="637"/>
      <c r="D108" s="637"/>
      <c r="E108" s="637"/>
      <c r="F108" s="637"/>
      <c r="G108" s="637"/>
      <c r="H108" s="637"/>
      <c r="I108" s="637"/>
      <c r="J108" s="637"/>
      <c r="K108" s="637"/>
      <c r="L108" s="637"/>
      <c r="M108" s="637"/>
      <c r="N108" s="637"/>
      <c r="O108" s="637"/>
      <c r="P108" s="637"/>
      <c r="Q108" s="637"/>
      <c r="R108" s="637"/>
      <c r="S108" s="637"/>
      <c r="T108" s="637"/>
      <c r="U108" s="637"/>
      <c r="V108" s="637"/>
      <c r="W108" s="637"/>
      <c r="X108" s="637"/>
      <c r="Y108" s="637"/>
      <c r="Z108" s="637"/>
      <c r="AA108" s="637"/>
      <c r="AB108" s="637"/>
      <c r="AC108" s="637"/>
      <c r="AD108" s="637"/>
      <c r="AE108" s="637"/>
      <c r="AF108" s="637"/>
      <c r="AG108" s="637"/>
      <c r="AH108" s="637"/>
      <c r="AI108" s="637"/>
      <c r="AJ108" s="637"/>
      <c r="AK108" s="637"/>
      <c r="AL108" s="637"/>
      <c r="AM108" s="637"/>
      <c r="AN108" s="637"/>
      <c r="AO108" s="637"/>
      <c r="AP108" s="637"/>
      <c r="AQ108" s="637"/>
      <c r="AR108" s="637"/>
      <c r="AS108" s="637"/>
      <c r="AT108" s="637"/>
      <c r="AU108" s="637"/>
      <c r="AV108" s="637"/>
      <c r="AW108" s="637"/>
      <c r="AX108" s="637"/>
      <c r="AY108" s="637"/>
      <c r="AZ108" s="637"/>
      <c r="BA108" s="637"/>
      <c r="BB108" s="637"/>
      <c r="BC108" s="637"/>
      <c r="BD108" s="637"/>
      <c r="BE108" s="637"/>
      <c r="BF108" s="637"/>
      <c r="BG108" s="637"/>
      <c r="BH108" s="637"/>
      <c r="BI108" s="637"/>
      <c r="BJ108" s="637"/>
      <c r="BK108" s="637"/>
      <c r="BL108" s="637"/>
      <c r="BM108" s="637"/>
      <c r="BN108" s="637"/>
      <c r="BO108" s="637"/>
      <c r="BP108" s="637"/>
      <c r="BQ108" s="637"/>
      <c r="BR108" s="637"/>
      <c r="BS108" s="637"/>
      <c r="BT108" s="637"/>
      <c r="BU108" s="637"/>
      <c r="BV108" s="637"/>
      <c r="BW108" s="637"/>
      <c r="BX108" s="637"/>
      <c r="BY108" s="637"/>
      <c r="BZ108" s="637"/>
      <c r="CA108" s="637"/>
      <c r="CB108" s="637"/>
      <c r="CC108" s="637"/>
      <c r="CD108" s="637"/>
      <c r="CE108" s="637"/>
      <c r="CF108" s="637"/>
      <c r="CG108" s="637"/>
      <c r="CH108" s="637"/>
      <c r="CI108" s="637"/>
      <c r="CJ108" s="637"/>
      <c r="CK108" s="637"/>
      <c r="CL108" s="637"/>
      <c r="CM108" s="637"/>
    </row>
    <row r="109" ht="15.75" customHeight="1">
      <c r="A109" s="637"/>
      <c r="B109" s="637"/>
      <c r="C109" s="637"/>
      <c r="D109" s="637"/>
      <c r="E109" s="637"/>
      <c r="F109" s="637"/>
      <c r="G109" s="637"/>
      <c r="H109" s="637"/>
      <c r="I109" s="637"/>
      <c r="J109" s="637"/>
      <c r="K109" s="637"/>
      <c r="L109" s="637"/>
      <c r="M109" s="637"/>
      <c r="N109" s="637"/>
      <c r="O109" s="637"/>
      <c r="P109" s="637"/>
      <c r="Q109" s="637"/>
      <c r="R109" s="637"/>
      <c r="S109" s="637"/>
      <c r="T109" s="637"/>
      <c r="U109" s="637"/>
      <c r="V109" s="637"/>
      <c r="W109" s="637"/>
      <c r="X109" s="637"/>
      <c r="Y109" s="637"/>
      <c r="Z109" s="637"/>
      <c r="AA109" s="637"/>
      <c r="AB109" s="637"/>
      <c r="AC109" s="637"/>
      <c r="AD109" s="637"/>
      <c r="AE109" s="637"/>
      <c r="AF109" s="637"/>
      <c r="AG109" s="637"/>
      <c r="AH109" s="637"/>
      <c r="AI109" s="637"/>
      <c r="AJ109" s="637"/>
      <c r="AK109" s="637"/>
      <c r="AL109" s="637"/>
      <c r="AM109" s="637"/>
      <c r="AN109" s="637"/>
      <c r="AO109" s="637"/>
      <c r="AP109" s="637"/>
      <c r="AQ109" s="637"/>
      <c r="AR109" s="637"/>
      <c r="AS109" s="637"/>
      <c r="AT109" s="637"/>
      <c r="AU109" s="637"/>
      <c r="AV109" s="637"/>
      <c r="AW109" s="637"/>
      <c r="AX109" s="637"/>
      <c r="AY109" s="637"/>
      <c r="AZ109" s="637"/>
      <c r="BA109" s="637"/>
      <c r="BB109" s="637"/>
      <c r="BC109" s="637"/>
      <c r="BD109" s="637"/>
      <c r="BE109" s="637"/>
      <c r="BF109" s="637"/>
      <c r="BG109" s="637"/>
      <c r="BH109" s="637"/>
      <c r="BI109" s="637"/>
      <c r="BJ109" s="637"/>
      <c r="BK109" s="637"/>
      <c r="BL109" s="637"/>
      <c r="BM109" s="637"/>
      <c r="BN109" s="637"/>
      <c r="BO109" s="637"/>
      <c r="BP109" s="637"/>
      <c r="BQ109" s="637"/>
      <c r="BR109" s="637"/>
      <c r="BS109" s="637"/>
      <c r="BT109" s="637"/>
      <c r="BU109" s="637"/>
      <c r="BV109" s="637"/>
      <c r="BW109" s="637"/>
      <c r="BX109" s="637"/>
      <c r="BY109" s="637"/>
      <c r="BZ109" s="637"/>
      <c r="CA109" s="637"/>
      <c r="CB109" s="637"/>
      <c r="CC109" s="637"/>
      <c r="CD109" s="637"/>
      <c r="CE109" s="637"/>
      <c r="CF109" s="637"/>
      <c r="CG109" s="637"/>
      <c r="CH109" s="637"/>
      <c r="CI109" s="637"/>
      <c r="CJ109" s="637"/>
      <c r="CK109" s="637"/>
      <c r="CL109" s="637"/>
      <c r="CM109" s="637"/>
    </row>
    <row r="110" ht="15.75" customHeight="1">
      <c r="A110" s="637"/>
      <c r="B110" s="637"/>
      <c r="C110" s="637"/>
      <c r="D110" s="637"/>
      <c r="E110" s="637"/>
      <c r="F110" s="637"/>
      <c r="G110" s="637"/>
      <c r="H110" s="637"/>
      <c r="I110" s="637"/>
      <c r="J110" s="637"/>
      <c r="K110" s="637"/>
      <c r="L110" s="637"/>
      <c r="M110" s="637"/>
      <c r="N110" s="637"/>
      <c r="O110" s="637"/>
      <c r="P110" s="637"/>
      <c r="Q110" s="637"/>
      <c r="R110" s="637"/>
      <c r="S110" s="637"/>
      <c r="T110" s="637"/>
      <c r="U110" s="637"/>
      <c r="V110" s="637"/>
      <c r="W110" s="637"/>
      <c r="X110" s="637"/>
      <c r="Y110" s="637"/>
      <c r="Z110" s="637"/>
      <c r="AA110" s="637"/>
      <c r="AB110" s="637"/>
      <c r="AC110" s="637"/>
      <c r="AD110" s="637"/>
      <c r="AE110" s="637"/>
      <c r="AF110" s="637"/>
      <c r="AG110" s="637"/>
      <c r="AH110" s="637"/>
      <c r="AI110" s="637"/>
      <c r="AJ110" s="637"/>
      <c r="AK110" s="637"/>
      <c r="AL110" s="637"/>
      <c r="AM110" s="637"/>
      <c r="AN110" s="637"/>
      <c r="AO110" s="637"/>
      <c r="AP110" s="637"/>
      <c r="AQ110" s="637"/>
      <c r="AR110" s="637"/>
      <c r="AS110" s="637"/>
      <c r="AT110" s="637"/>
      <c r="AU110" s="637"/>
      <c r="AV110" s="637"/>
      <c r="AW110" s="637"/>
      <c r="AX110" s="637"/>
      <c r="AY110" s="637"/>
      <c r="AZ110" s="637"/>
      <c r="BA110" s="637"/>
      <c r="BB110" s="637"/>
      <c r="BC110" s="637"/>
      <c r="BD110" s="637"/>
      <c r="BE110" s="637"/>
      <c r="BF110" s="637"/>
      <c r="BG110" s="637"/>
      <c r="BH110" s="637"/>
      <c r="BI110" s="637"/>
      <c r="BJ110" s="637"/>
      <c r="BK110" s="637"/>
      <c r="BL110" s="637"/>
      <c r="BM110" s="637"/>
      <c r="BN110" s="637"/>
      <c r="BO110" s="637"/>
      <c r="BP110" s="637"/>
      <c r="BQ110" s="637"/>
      <c r="BR110" s="637"/>
      <c r="BS110" s="637"/>
      <c r="BT110" s="637"/>
      <c r="BU110" s="637"/>
      <c r="BV110" s="637"/>
      <c r="BW110" s="637"/>
      <c r="BX110" s="637"/>
      <c r="BY110" s="637"/>
      <c r="BZ110" s="637"/>
      <c r="CA110" s="637"/>
      <c r="CB110" s="637"/>
      <c r="CC110" s="637"/>
      <c r="CD110" s="637"/>
      <c r="CE110" s="637"/>
      <c r="CF110" s="637"/>
      <c r="CG110" s="637"/>
      <c r="CH110" s="637"/>
      <c r="CI110" s="637"/>
      <c r="CJ110" s="637"/>
      <c r="CK110" s="637"/>
      <c r="CL110" s="637"/>
      <c r="CM110" s="637"/>
    </row>
    <row r="111" ht="15.75" customHeight="1">
      <c r="A111" s="637"/>
      <c r="B111" s="637"/>
      <c r="C111" s="637"/>
      <c r="D111" s="637"/>
      <c r="E111" s="637"/>
      <c r="F111" s="637"/>
      <c r="G111" s="637"/>
      <c r="H111" s="637"/>
      <c r="I111" s="637"/>
      <c r="J111" s="637"/>
      <c r="K111" s="637"/>
      <c r="L111" s="637"/>
      <c r="M111" s="637"/>
      <c r="N111" s="637"/>
      <c r="O111" s="637"/>
      <c r="P111" s="637"/>
      <c r="Q111" s="637"/>
      <c r="R111" s="637"/>
      <c r="S111" s="637"/>
      <c r="T111" s="637"/>
      <c r="U111" s="637"/>
      <c r="V111" s="637"/>
      <c r="W111" s="637"/>
      <c r="X111" s="637"/>
      <c r="Y111" s="637"/>
      <c r="Z111" s="637"/>
      <c r="AA111" s="637"/>
      <c r="AB111" s="637"/>
      <c r="AC111" s="637"/>
      <c r="AD111" s="637"/>
      <c r="AE111" s="637"/>
      <c r="AF111" s="637"/>
      <c r="AG111" s="637"/>
      <c r="AH111" s="637"/>
      <c r="AI111" s="637"/>
      <c r="AJ111" s="637"/>
      <c r="AK111" s="637"/>
      <c r="AL111" s="637"/>
      <c r="AM111" s="637"/>
      <c r="AN111" s="637"/>
      <c r="AO111" s="637"/>
      <c r="AP111" s="637"/>
      <c r="AQ111" s="637"/>
      <c r="AR111" s="637"/>
      <c r="AS111" s="637"/>
      <c r="AT111" s="637"/>
      <c r="AU111" s="637"/>
      <c r="AV111" s="637"/>
      <c r="AW111" s="637"/>
      <c r="AX111" s="637"/>
      <c r="AY111" s="637"/>
      <c r="AZ111" s="637"/>
      <c r="BA111" s="637"/>
      <c r="BB111" s="637"/>
      <c r="BC111" s="637"/>
      <c r="BD111" s="637"/>
      <c r="BE111" s="637"/>
      <c r="BF111" s="637"/>
      <c r="BG111" s="637"/>
      <c r="BH111" s="637"/>
      <c r="BI111" s="637"/>
      <c r="BJ111" s="637"/>
      <c r="BK111" s="637"/>
      <c r="BL111" s="637"/>
      <c r="BM111" s="637"/>
      <c r="BN111" s="637"/>
      <c r="BO111" s="637"/>
      <c r="BP111" s="637"/>
      <c r="BQ111" s="637"/>
      <c r="BR111" s="637"/>
      <c r="BS111" s="637"/>
      <c r="BT111" s="637"/>
      <c r="BU111" s="637"/>
      <c r="BV111" s="637"/>
      <c r="BW111" s="637"/>
      <c r="BX111" s="637"/>
      <c r="BY111" s="637"/>
      <c r="BZ111" s="637"/>
      <c r="CA111" s="637"/>
      <c r="CB111" s="637"/>
      <c r="CC111" s="637"/>
      <c r="CD111" s="637"/>
      <c r="CE111" s="637"/>
      <c r="CF111" s="637"/>
      <c r="CG111" s="637"/>
      <c r="CH111" s="637"/>
      <c r="CI111" s="637"/>
      <c r="CJ111" s="637"/>
      <c r="CK111" s="637"/>
      <c r="CL111" s="637"/>
      <c r="CM111" s="637"/>
    </row>
    <row r="112" ht="15.75" customHeight="1">
      <c r="A112" s="637"/>
      <c r="B112" s="637"/>
      <c r="C112" s="637"/>
      <c r="D112" s="637"/>
      <c r="E112" s="637"/>
      <c r="F112" s="637"/>
      <c r="G112" s="637"/>
      <c r="H112" s="637"/>
      <c r="I112" s="637"/>
      <c r="J112" s="637"/>
      <c r="K112" s="637"/>
      <c r="L112" s="637"/>
      <c r="M112" s="637"/>
      <c r="N112" s="637"/>
      <c r="O112" s="637"/>
      <c r="P112" s="637"/>
      <c r="Q112" s="637"/>
      <c r="R112" s="637"/>
      <c r="S112" s="637"/>
      <c r="T112" s="637"/>
      <c r="U112" s="637"/>
      <c r="V112" s="637"/>
      <c r="W112" s="637"/>
      <c r="X112" s="637"/>
      <c r="Y112" s="637"/>
      <c r="Z112" s="637"/>
      <c r="AA112" s="637"/>
      <c r="AB112" s="637"/>
      <c r="AC112" s="637"/>
      <c r="AD112" s="637"/>
      <c r="AE112" s="637"/>
      <c r="AF112" s="637"/>
      <c r="AG112" s="637"/>
      <c r="AH112" s="637"/>
      <c r="AI112" s="637"/>
      <c r="AJ112" s="637"/>
      <c r="AK112" s="637"/>
      <c r="AL112" s="637"/>
      <c r="AM112" s="637"/>
      <c r="AN112" s="637"/>
      <c r="AO112" s="637"/>
      <c r="AP112" s="637"/>
      <c r="AQ112" s="637"/>
      <c r="AR112" s="637"/>
      <c r="AS112" s="637"/>
      <c r="AT112" s="637"/>
      <c r="AU112" s="637"/>
      <c r="AV112" s="637"/>
      <c r="AW112" s="637"/>
      <c r="AX112" s="637"/>
      <c r="AY112" s="637"/>
      <c r="AZ112" s="637"/>
      <c r="BA112" s="637"/>
      <c r="BB112" s="637"/>
      <c r="BC112" s="637"/>
      <c r="BD112" s="637"/>
      <c r="BE112" s="637"/>
      <c r="BF112" s="637"/>
      <c r="BG112" s="637"/>
      <c r="BH112" s="637"/>
      <c r="BI112" s="637"/>
      <c r="BJ112" s="637"/>
      <c r="BK112" s="637"/>
      <c r="BL112" s="637"/>
      <c r="BM112" s="637"/>
      <c r="BN112" s="637"/>
      <c r="BO112" s="637"/>
      <c r="BP112" s="637"/>
      <c r="BQ112" s="637"/>
      <c r="BR112" s="637"/>
      <c r="BS112" s="637"/>
      <c r="BT112" s="637"/>
      <c r="BU112" s="637"/>
      <c r="BV112" s="637"/>
      <c r="BW112" s="637"/>
      <c r="BX112" s="637"/>
      <c r="BY112" s="637"/>
      <c r="BZ112" s="637"/>
      <c r="CA112" s="637"/>
      <c r="CB112" s="637"/>
      <c r="CC112" s="637"/>
      <c r="CD112" s="637"/>
      <c r="CE112" s="637"/>
      <c r="CF112" s="637"/>
      <c r="CG112" s="637"/>
      <c r="CH112" s="637"/>
      <c r="CI112" s="637"/>
      <c r="CJ112" s="637"/>
      <c r="CK112" s="637"/>
      <c r="CL112" s="637"/>
      <c r="CM112" s="637"/>
    </row>
    <row r="113" ht="15.75" customHeight="1">
      <c r="A113" s="637"/>
      <c r="B113" s="637"/>
      <c r="C113" s="637"/>
      <c r="D113" s="637"/>
      <c r="E113" s="637"/>
      <c r="F113" s="637"/>
      <c r="G113" s="637"/>
      <c r="H113" s="637"/>
      <c r="I113" s="637"/>
      <c r="J113" s="637"/>
      <c r="K113" s="637"/>
      <c r="L113" s="637"/>
      <c r="M113" s="637"/>
      <c r="N113" s="637"/>
      <c r="O113" s="637"/>
      <c r="P113" s="637"/>
      <c r="Q113" s="637"/>
      <c r="R113" s="637"/>
      <c r="S113" s="637"/>
      <c r="T113" s="637"/>
      <c r="U113" s="637"/>
      <c r="V113" s="637"/>
      <c r="W113" s="637"/>
      <c r="X113" s="637"/>
      <c r="Y113" s="637"/>
      <c r="Z113" s="637"/>
      <c r="AA113" s="637"/>
      <c r="AB113" s="637"/>
      <c r="AC113" s="637"/>
      <c r="AD113" s="637"/>
      <c r="AE113" s="637"/>
      <c r="AF113" s="637"/>
      <c r="AG113" s="637"/>
      <c r="AH113" s="637"/>
      <c r="AI113" s="637"/>
      <c r="AJ113" s="637"/>
      <c r="AK113" s="637"/>
      <c r="AL113" s="637"/>
      <c r="AM113" s="637"/>
      <c r="AN113" s="637"/>
      <c r="AO113" s="637"/>
      <c r="AP113" s="637"/>
      <c r="AQ113" s="637"/>
      <c r="AR113" s="637"/>
      <c r="AS113" s="637"/>
      <c r="AT113" s="637"/>
      <c r="AU113" s="637"/>
      <c r="AV113" s="637"/>
      <c r="AW113" s="637"/>
      <c r="AX113" s="637"/>
      <c r="AY113" s="637"/>
      <c r="AZ113" s="637"/>
      <c r="BA113" s="637"/>
      <c r="BB113" s="637"/>
      <c r="BC113" s="637"/>
      <c r="BD113" s="637"/>
      <c r="BE113" s="637"/>
      <c r="BF113" s="637"/>
      <c r="BG113" s="637"/>
      <c r="BH113" s="637"/>
      <c r="BI113" s="637"/>
      <c r="BJ113" s="637"/>
      <c r="BK113" s="637"/>
      <c r="BL113" s="637"/>
      <c r="BM113" s="637"/>
      <c r="BN113" s="637"/>
      <c r="BO113" s="637"/>
      <c r="BP113" s="637"/>
      <c r="BQ113" s="637"/>
      <c r="BR113" s="637"/>
      <c r="BS113" s="637"/>
      <c r="BT113" s="637"/>
      <c r="BU113" s="637"/>
      <c r="BV113" s="637"/>
      <c r="BW113" s="637"/>
      <c r="BX113" s="637"/>
      <c r="BY113" s="637"/>
      <c r="BZ113" s="637"/>
      <c r="CA113" s="637"/>
      <c r="CB113" s="637"/>
      <c r="CC113" s="637"/>
      <c r="CD113" s="637"/>
      <c r="CE113" s="637"/>
      <c r="CF113" s="637"/>
      <c r="CG113" s="637"/>
      <c r="CH113" s="637"/>
      <c r="CI113" s="637"/>
      <c r="CJ113" s="637"/>
      <c r="CK113" s="637"/>
      <c r="CL113" s="637"/>
      <c r="CM113" s="637"/>
    </row>
    <row r="114" ht="15.75" customHeight="1">
      <c r="A114" s="637"/>
      <c r="B114" s="637"/>
      <c r="C114" s="637"/>
      <c r="D114" s="637"/>
      <c r="E114" s="637"/>
      <c r="F114" s="637"/>
      <c r="G114" s="637"/>
      <c r="H114" s="637"/>
      <c r="I114" s="637"/>
      <c r="J114" s="637"/>
      <c r="K114" s="637"/>
      <c r="L114" s="637"/>
      <c r="M114" s="637"/>
      <c r="N114" s="637"/>
      <c r="O114" s="637"/>
      <c r="P114" s="637"/>
      <c r="Q114" s="637"/>
      <c r="R114" s="637"/>
      <c r="S114" s="637"/>
      <c r="T114" s="637"/>
      <c r="U114" s="637"/>
      <c r="V114" s="637"/>
      <c r="W114" s="637"/>
      <c r="X114" s="637"/>
      <c r="Y114" s="637"/>
      <c r="Z114" s="637"/>
      <c r="AA114" s="637"/>
      <c r="AB114" s="637"/>
      <c r="AC114" s="637"/>
      <c r="AD114" s="637"/>
      <c r="AE114" s="637"/>
      <c r="AF114" s="637"/>
      <c r="AG114" s="637"/>
      <c r="AH114" s="637"/>
      <c r="AI114" s="637"/>
      <c r="AJ114" s="637"/>
      <c r="AK114" s="637"/>
      <c r="AL114" s="637"/>
      <c r="AM114" s="637"/>
      <c r="AN114" s="637"/>
      <c r="AO114" s="637"/>
      <c r="AP114" s="637"/>
      <c r="AQ114" s="637"/>
      <c r="AR114" s="637"/>
      <c r="AS114" s="637"/>
      <c r="AT114" s="637"/>
      <c r="AU114" s="637"/>
      <c r="AV114" s="637"/>
      <c r="AW114" s="637"/>
      <c r="AX114" s="637"/>
      <c r="AY114" s="637"/>
      <c r="AZ114" s="637"/>
      <c r="BA114" s="637"/>
      <c r="BB114" s="637"/>
      <c r="BC114" s="637"/>
      <c r="BD114" s="637"/>
      <c r="BE114" s="637"/>
      <c r="BF114" s="637"/>
      <c r="BG114" s="637"/>
      <c r="BH114" s="637"/>
      <c r="BI114" s="637"/>
      <c r="BJ114" s="637"/>
      <c r="BK114" s="637"/>
      <c r="BL114" s="637"/>
      <c r="BM114" s="637"/>
      <c r="BN114" s="637"/>
      <c r="BO114" s="637"/>
      <c r="BP114" s="637"/>
      <c r="BQ114" s="637"/>
      <c r="BR114" s="637"/>
      <c r="BS114" s="637"/>
      <c r="BT114" s="637"/>
      <c r="BU114" s="637"/>
      <c r="BV114" s="637"/>
      <c r="BW114" s="637"/>
      <c r="BX114" s="637"/>
      <c r="BY114" s="637"/>
      <c r="BZ114" s="637"/>
      <c r="CA114" s="637"/>
      <c r="CB114" s="637"/>
      <c r="CC114" s="637"/>
      <c r="CD114" s="637"/>
      <c r="CE114" s="637"/>
      <c r="CF114" s="637"/>
      <c r="CG114" s="637"/>
      <c r="CH114" s="637"/>
      <c r="CI114" s="637"/>
      <c r="CJ114" s="637"/>
      <c r="CK114" s="637"/>
      <c r="CL114" s="637"/>
      <c r="CM114" s="637"/>
    </row>
    <row r="115" ht="15.75" customHeight="1">
      <c r="A115" s="637"/>
      <c r="B115" s="637"/>
      <c r="C115" s="637"/>
      <c r="D115" s="637"/>
      <c r="E115" s="637"/>
      <c r="F115" s="637"/>
      <c r="G115" s="637"/>
      <c r="H115" s="637"/>
      <c r="I115" s="637"/>
      <c r="J115" s="637"/>
      <c r="K115" s="637"/>
      <c r="L115" s="637"/>
      <c r="M115" s="637"/>
      <c r="N115" s="637"/>
      <c r="O115" s="637"/>
      <c r="P115" s="637"/>
      <c r="Q115" s="637"/>
      <c r="R115" s="637"/>
      <c r="S115" s="637"/>
      <c r="T115" s="637"/>
      <c r="U115" s="637"/>
      <c r="V115" s="637"/>
      <c r="W115" s="637"/>
      <c r="X115" s="637"/>
      <c r="Y115" s="637"/>
      <c r="Z115" s="637"/>
      <c r="AA115" s="637"/>
      <c r="AB115" s="637"/>
      <c r="AC115" s="637"/>
      <c r="AD115" s="637"/>
      <c r="AE115" s="637"/>
      <c r="AF115" s="637"/>
      <c r="AG115" s="637"/>
      <c r="AH115" s="637"/>
      <c r="AI115" s="637"/>
      <c r="AJ115" s="637"/>
      <c r="AK115" s="637"/>
      <c r="AL115" s="637"/>
      <c r="AM115" s="637"/>
      <c r="AN115" s="637"/>
      <c r="AO115" s="637"/>
      <c r="AP115" s="637"/>
      <c r="AQ115" s="637"/>
      <c r="AR115" s="637"/>
      <c r="AS115" s="637"/>
      <c r="AT115" s="637"/>
      <c r="AU115" s="637"/>
      <c r="AV115" s="637"/>
      <c r="AW115" s="637"/>
      <c r="AX115" s="637"/>
      <c r="AY115" s="637"/>
      <c r="AZ115" s="637"/>
      <c r="BA115" s="637"/>
      <c r="BB115" s="637"/>
      <c r="BC115" s="637"/>
      <c r="BD115" s="637"/>
      <c r="BE115" s="637"/>
      <c r="BF115" s="637"/>
      <c r="BG115" s="637"/>
      <c r="BH115" s="637"/>
      <c r="BI115" s="637"/>
      <c r="BJ115" s="637"/>
      <c r="BK115" s="637"/>
      <c r="BL115" s="637"/>
      <c r="BM115" s="637"/>
      <c r="BN115" s="637"/>
      <c r="BO115" s="637"/>
      <c r="BP115" s="637"/>
      <c r="BQ115" s="637"/>
      <c r="BR115" s="637"/>
      <c r="BS115" s="637"/>
      <c r="BT115" s="637"/>
      <c r="BU115" s="637"/>
      <c r="BV115" s="637"/>
      <c r="BW115" s="637"/>
      <c r="BX115" s="637"/>
      <c r="BY115" s="637"/>
      <c r="BZ115" s="637"/>
      <c r="CA115" s="637"/>
      <c r="CB115" s="637"/>
      <c r="CC115" s="637"/>
      <c r="CD115" s="637"/>
      <c r="CE115" s="637"/>
      <c r="CF115" s="637"/>
      <c r="CG115" s="637"/>
      <c r="CH115" s="637"/>
      <c r="CI115" s="637"/>
      <c r="CJ115" s="637"/>
      <c r="CK115" s="637"/>
      <c r="CL115" s="637"/>
      <c r="CM115" s="637"/>
    </row>
    <row r="116" ht="15.75" customHeight="1">
      <c r="A116" s="637"/>
      <c r="B116" s="637"/>
      <c r="C116" s="637"/>
      <c r="D116" s="637"/>
      <c r="E116" s="637"/>
      <c r="F116" s="637"/>
      <c r="G116" s="637"/>
      <c r="H116" s="637"/>
      <c r="I116" s="637"/>
      <c r="J116" s="637"/>
      <c r="K116" s="637"/>
      <c r="L116" s="637"/>
      <c r="M116" s="637"/>
      <c r="N116" s="637"/>
      <c r="O116" s="637"/>
      <c r="P116" s="637"/>
      <c r="Q116" s="637"/>
      <c r="R116" s="637"/>
      <c r="S116" s="637"/>
      <c r="T116" s="637"/>
      <c r="U116" s="637"/>
      <c r="V116" s="637"/>
      <c r="W116" s="637"/>
      <c r="X116" s="637"/>
      <c r="Y116" s="637"/>
      <c r="Z116" s="637"/>
      <c r="AA116" s="637"/>
      <c r="AB116" s="637"/>
      <c r="AC116" s="637"/>
      <c r="AD116" s="637"/>
      <c r="AE116" s="637"/>
      <c r="AF116" s="637"/>
      <c r="AG116" s="637"/>
      <c r="AH116" s="637"/>
      <c r="AI116" s="637"/>
      <c r="AJ116" s="637"/>
      <c r="AK116" s="637"/>
      <c r="AL116" s="637"/>
      <c r="AM116" s="637"/>
      <c r="AN116" s="637"/>
      <c r="AO116" s="637"/>
      <c r="AP116" s="637"/>
      <c r="AQ116" s="637"/>
      <c r="AR116" s="637"/>
      <c r="AS116" s="637"/>
      <c r="AT116" s="637"/>
      <c r="AU116" s="637"/>
      <c r="AV116" s="637"/>
      <c r="AW116" s="637"/>
      <c r="AX116" s="637"/>
      <c r="AY116" s="637"/>
      <c r="AZ116" s="637"/>
      <c r="BA116" s="637"/>
      <c r="BB116" s="637"/>
      <c r="BC116" s="637"/>
      <c r="BD116" s="637"/>
      <c r="BE116" s="637"/>
      <c r="BF116" s="637"/>
      <c r="BG116" s="637"/>
      <c r="BH116" s="637"/>
      <c r="BI116" s="637"/>
      <c r="BJ116" s="637"/>
      <c r="BK116" s="637"/>
      <c r="BL116" s="637"/>
      <c r="BM116" s="637"/>
      <c r="BN116" s="637"/>
      <c r="BO116" s="637"/>
      <c r="BP116" s="637"/>
      <c r="BQ116" s="637"/>
      <c r="BR116" s="637"/>
      <c r="BS116" s="637"/>
      <c r="BT116" s="637"/>
      <c r="BU116" s="637"/>
      <c r="BV116" s="637"/>
      <c r="BW116" s="637"/>
      <c r="BX116" s="637"/>
      <c r="BY116" s="637"/>
      <c r="BZ116" s="637"/>
      <c r="CA116" s="637"/>
      <c r="CB116" s="637"/>
      <c r="CC116" s="637"/>
      <c r="CD116" s="637"/>
      <c r="CE116" s="637"/>
      <c r="CF116" s="637"/>
      <c r="CG116" s="637"/>
      <c r="CH116" s="637"/>
      <c r="CI116" s="637"/>
      <c r="CJ116" s="637"/>
      <c r="CK116" s="637"/>
      <c r="CL116" s="637"/>
      <c r="CM116" s="637"/>
    </row>
    <row r="117" ht="15.75" customHeight="1">
      <c r="A117" s="637"/>
      <c r="B117" s="637"/>
      <c r="C117" s="637"/>
      <c r="D117" s="637"/>
      <c r="E117" s="637"/>
      <c r="F117" s="637"/>
      <c r="G117" s="637"/>
      <c r="H117" s="637"/>
      <c r="I117" s="637"/>
      <c r="J117" s="637"/>
      <c r="K117" s="637"/>
      <c r="L117" s="637"/>
      <c r="M117" s="637"/>
      <c r="N117" s="637"/>
      <c r="O117" s="637"/>
      <c r="P117" s="637"/>
      <c r="Q117" s="637"/>
      <c r="R117" s="637"/>
      <c r="S117" s="637"/>
      <c r="T117" s="637"/>
      <c r="U117" s="637"/>
      <c r="V117" s="637"/>
      <c r="W117" s="637"/>
      <c r="X117" s="637"/>
      <c r="Y117" s="637"/>
      <c r="Z117" s="637"/>
      <c r="AA117" s="637"/>
      <c r="AB117" s="637"/>
      <c r="AC117" s="637"/>
      <c r="AD117" s="637"/>
      <c r="AE117" s="637"/>
      <c r="AF117" s="637"/>
      <c r="AG117" s="637"/>
      <c r="AH117" s="637"/>
      <c r="AI117" s="637"/>
      <c r="AJ117" s="637"/>
      <c r="AK117" s="637"/>
      <c r="AL117" s="637"/>
      <c r="AM117" s="637"/>
      <c r="AN117" s="637"/>
      <c r="AO117" s="637"/>
      <c r="AP117" s="637"/>
      <c r="AQ117" s="637"/>
      <c r="AR117" s="637"/>
      <c r="AS117" s="637"/>
      <c r="AT117" s="637"/>
      <c r="AU117" s="637"/>
      <c r="AV117" s="637"/>
      <c r="AW117" s="637"/>
      <c r="AX117" s="637"/>
      <c r="AY117" s="637"/>
      <c r="AZ117" s="637"/>
      <c r="BA117" s="637"/>
      <c r="BB117" s="637"/>
      <c r="BC117" s="637"/>
      <c r="BD117" s="637"/>
      <c r="BE117" s="637"/>
      <c r="BF117" s="637"/>
      <c r="BG117" s="637"/>
      <c r="BH117" s="637"/>
      <c r="BI117" s="637"/>
      <c r="BJ117" s="637"/>
      <c r="BK117" s="637"/>
      <c r="BL117" s="637"/>
      <c r="BM117" s="637"/>
      <c r="BN117" s="637"/>
      <c r="BO117" s="637"/>
      <c r="BP117" s="637"/>
      <c r="BQ117" s="637"/>
      <c r="BR117" s="637"/>
      <c r="BS117" s="637"/>
      <c r="BT117" s="637"/>
      <c r="BU117" s="637"/>
      <c r="BV117" s="637"/>
      <c r="BW117" s="637"/>
      <c r="BX117" s="637"/>
      <c r="BY117" s="637"/>
      <c r="BZ117" s="637"/>
      <c r="CA117" s="637"/>
      <c r="CB117" s="637"/>
      <c r="CC117" s="637"/>
      <c r="CD117" s="637"/>
      <c r="CE117" s="637"/>
      <c r="CF117" s="637"/>
      <c r="CG117" s="637"/>
      <c r="CH117" s="637"/>
      <c r="CI117" s="637"/>
      <c r="CJ117" s="637"/>
      <c r="CK117" s="637"/>
      <c r="CL117" s="637"/>
      <c r="CM117" s="637"/>
    </row>
    <row r="118" ht="15.75" customHeight="1">
      <c r="A118" s="637"/>
      <c r="B118" s="637"/>
      <c r="C118" s="637"/>
      <c r="D118" s="637"/>
      <c r="E118" s="637"/>
      <c r="F118" s="637"/>
      <c r="G118" s="637"/>
      <c r="H118" s="637"/>
      <c r="I118" s="637"/>
      <c r="J118" s="637"/>
      <c r="K118" s="637"/>
      <c r="L118" s="637"/>
      <c r="M118" s="637"/>
      <c r="N118" s="637"/>
      <c r="O118" s="637"/>
      <c r="P118" s="637"/>
      <c r="Q118" s="637"/>
      <c r="R118" s="637"/>
      <c r="S118" s="637"/>
      <c r="T118" s="637"/>
      <c r="U118" s="637"/>
      <c r="V118" s="637"/>
      <c r="W118" s="637"/>
      <c r="X118" s="637"/>
      <c r="Y118" s="637"/>
      <c r="Z118" s="637"/>
      <c r="AA118" s="637"/>
      <c r="AB118" s="637"/>
      <c r="AC118" s="637"/>
      <c r="AD118" s="637"/>
      <c r="AE118" s="637"/>
      <c r="AF118" s="637"/>
      <c r="AG118" s="637"/>
      <c r="AH118" s="637"/>
      <c r="AI118" s="637"/>
      <c r="AJ118" s="637"/>
      <c r="AK118" s="637"/>
      <c r="AL118" s="637"/>
      <c r="AM118" s="637"/>
      <c r="AN118" s="637"/>
      <c r="AO118" s="637"/>
      <c r="AP118" s="637"/>
      <c r="AQ118" s="637"/>
      <c r="AR118" s="637"/>
      <c r="AS118" s="637"/>
      <c r="AT118" s="637"/>
      <c r="AU118" s="637"/>
      <c r="AV118" s="637"/>
      <c r="AW118" s="637"/>
      <c r="AX118" s="637"/>
      <c r="AY118" s="637"/>
      <c r="AZ118" s="637"/>
      <c r="BA118" s="637"/>
      <c r="BB118" s="637"/>
      <c r="BC118" s="637"/>
      <c r="BD118" s="637"/>
      <c r="BE118" s="637"/>
      <c r="BF118" s="637"/>
      <c r="BG118" s="637"/>
      <c r="BH118" s="637"/>
      <c r="BI118" s="637"/>
      <c r="BJ118" s="637"/>
      <c r="BK118" s="637"/>
      <c r="BL118" s="637"/>
      <c r="BM118" s="637"/>
      <c r="BN118" s="637"/>
      <c r="BO118" s="637"/>
      <c r="BP118" s="637"/>
      <c r="BQ118" s="637"/>
      <c r="BR118" s="637"/>
      <c r="BS118" s="637"/>
      <c r="BT118" s="637"/>
      <c r="BU118" s="637"/>
      <c r="BV118" s="637"/>
      <c r="BW118" s="637"/>
      <c r="BX118" s="637"/>
      <c r="BY118" s="637"/>
      <c r="BZ118" s="637"/>
      <c r="CA118" s="637"/>
      <c r="CB118" s="637"/>
      <c r="CC118" s="637"/>
      <c r="CD118" s="637"/>
      <c r="CE118" s="637"/>
      <c r="CF118" s="637"/>
      <c r="CG118" s="637"/>
      <c r="CH118" s="637"/>
      <c r="CI118" s="637"/>
      <c r="CJ118" s="637"/>
      <c r="CK118" s="637"/>
      <c r="CL118" s="637"/>
      <c r="CM118" s="637"/>
    </row>
    <row r="119" ht="15.75" customHeight="1">
      <c r="A119" s="637"/>
      <c r="B119" s="637"/>
      <c r="C119" s="637"/>
      <c r="D119" s="637"/>
      <c r="E119" s="637"/>
      <c r="F119" s="637"/>
      <c r="G119" s="637"/>
      <c r="H119" s="637"/>
      <c r="I119" s="637"/>
      <c r="J119" s="637"/>
      <c r="K119" s="637"/>
      <c r="L119" s="637"/>
      <c r="M119" s="637"/>
      <c r="N119" s="637"/>
      <c r="O119" s="637"/>
      <c r="P119" s="637"/>
      <c r="Q119" s="637"/>
      <c r="R119" s="637"/>
      <c r="S119" s="637"/>
      <c r="T119" s="637"/>
      <c r="U119" s="637"/>
      <c r="V119" s="637"/>
      <c r="W119" s="637"/>
      <c r="X119" s="637"/>
      <c r="Y119" s="637"/>
      <c r="Z119" s="637"/>
      <c r="AA119" s="637"/>
      <c r="AB119" s="637"/>
      <c r="AC119" s="637"/>
      <c r="AD119" s="637"/>
      <c r="AE119" s="637"/>
      <c r="AF119" s="637"/>
      <c r="AG119" s="637"/>
      <c r="AH119" s="637"/>
      <c r="AI119" s="637"/>
      <c r="AJ119" s="637"/>
      <c r="AK119" s="637"/>
      <c r="AL119" s="637"/>
      <c r="AM119" s="637"/>
      <c r="AN119" s="637"/>
      <c r="AO119" s="637"/>
      <c r="AP119" s="637"/>
      <c r="AQ119" s="637"/>
      <c r="AR119" s="637"/>
      <c r="AS119" s="637"/>
      <c r="AT119" s="637"/>
      <c r="AU119" s="637"/>
      <c r="AV119" s="637"/>
      <c r="AW119" s="637"/>
      <c r="AX119" s="637"/>
      <c r="AY119" s="637"/>
      <c r="AZ119" s="637"/>
      <c r="BA119" s="637"/>
      <c r="BB119" s="637"/>
      <c r="BC119" s="637"/>
      <c r="BD119" s="637"/>
      <c r="BE119" s="637"/>
      <c r="BF119" s="637"/>
      <c r="BG119" s="637"/>
      <c r="BH119" s="637"/>
      <c r="BI119" s="637"/>
      <c r="BJ119" s="637"/>
      <c r="BK119" s="637"/>
      <c r="BL119" s="637"/>
      <c r="BM119" s="637"/>
      <c r="BN119" s="637"/>
      <c r="BO119" s="637"/>
      <c r="BP119" s="637"/>
      <c r="BQ119" s="637"/>
      <c r="BR119" s="637"/>
      <c r="BS119" s="637"/>
      <c r="BT119" s="637"/>
      <c r="BU119" s="637"/>
      <c r="BV119" s="637"/>
      <c r="BW119" s="637"/>
      <c r="BX119" s="637"/>
      <c r="BY119" s="637"/>
      <c r="BZ119" s="637"/>
      <c r="CA119" s="637"/>
      <c r="CB119" s="637"/>
      <c r="CC119" s="637"/>
      <c r="CD119" s="637"/>
      <c r="CE119" s="637"/>
      <c r="CF119" s="637"/>
      <c r="CG119" s="637"/>
      <c r="CH119" s="637"/>
      <c r="CI119" s="637"/>
      <c r="CJ119" s="637"/>
      <c r="CK119" s="637"/>
      <c r="CL119" s="637"/>
      <c r="CM119" s="637"/>
    </row>
    <row r="120" ht="15.75" customHeight="1">
      <c r="A120" s="637"/>
      <c r="B120" s="637"/>
      <c r="C120" s="637"/>
      <c r="D120" s="637"/>
      <c r="E120" s="637"/>
      <c r="F120" s="637"/>
      <c r="G120" s="637"/>
      <c r="H120" s="637"/>
      <c r="I120" s="637"/>
      <c r="J120" s="637"/>
      <c r="K120" s="637"/>
      <c r="L120" s="637"/>
      <c r="M120" s="637"/>
      <c r="N120" s="637"/>
      <c r="O120" s="637"/>
      <c r="P120" s="637"/>
      <c r="Q120" s="637"/>
      <c r="R120" s="637"/>
      <c r="S120" s="637"/>
      <c r="T120" s="637"/>
      <c r="U120" s="637"/>
      <c r="V120" s="637"/>
      <c r="W120" s="637"/>
      <c r="X120" s="637"/>
      <c r="Y120" s="637"/>
      <c r="Z120" s="637"/>
      <c r="AA120" s="637"/>
      <c r="AB120" s="637"/>
      <c r="AC120" s="637"/>
      <c r="AD120" s="637"/>
      <c r="AE120" s="637"/>
      <c r="AF120" s="637"/>
      <c r="AG120" s="637"/>
      <c r="AH120" s="637"/>
      <c r="AI120" s="637"/>
      <c r="AJ120" s="637"/>
      <c r="AK120" s="637"/>
      <c r="AL120" s="637"/>
      <c r="AM120" s="637"/>
      <c r="AN120" s="637"/>
      <c r="AO120" s="637"/>
      <c r="AP120" s="637"/>
      <c r="AQ120" s="637"/>
      <c r="AR120" s="637"/>
      <c r="AS120" s="637"/>
      <c r="AT120" s="637"/>
      <c r="AU120" s="637"/>
      <c r="AV120" s="637"/>
      <c r="AW120" s="637"/>
      <c r="AX120" s="637"/>
      <c r="AY120" s="637"/>
      <c r="AZ120" s="637"/>
      <c r="BA120" s="637"/>
      <c r="BB120" s="637"/>
      <c r="BC120" s="637"/>
      <c r="BD120" s="637"/>
      <c r="BE120" s="637"/>
      <c r="BF120" s="637"/>
      <c r="BG120" s="637"/>
      <c r="BH120" s="637"/>
      <c r="BI120" s="637"/>
      <c r="BJ120" s="637"/>
      <c r="BK120" s="637"/>
      <c r="BL120" s="637"/>
      <c r="BM120" s="637"/>
      <c r="BN120" s="637"/>
      <c r="BO120" s="637"/>
      <c r="BP120" s="637"/>
      <c r="BQ120" s="637"/>
      <c r="BR120" s="637"/>
      <c r="BS120" s="637"/>
      <c r="BT120" s="637"/>
      <c r="BU120" s="637"/>
      <c r="BV120" s="637"/>
      <c r="BW120" s="637"/>
      <c r="BX120" s="637"/>
      <c r="BY120" s="637"/>
      <c r="BZ120" s="637"/>
      <c r="CA120" s="637"/>
      <c r="CB120" s="637"/>
      <c r="CC120" s="637"/>
      <c r="CD120" s="637"/>
      <c r="CE120" s="637"/>
      <c r="CF120" s="637"/>
      <c r="CG120" s="637"/>
      <c r="CH120" s="637"/>
      <c r="CI120" s="637"/>
      <c r="CJ120" s="637"/>
      <c r="CK120" s="637"/>
      <c r="CL120" s="637"/>
      <c r="CM120" s="637"/>
    </row>
    <row r="121" ht="15.75" customHeight="1">
      <c r="A121" s="637"/>
      <c r="B121" s="637"/>
      <c r="C121" s="637"/>
      <c r="D121" s="637"/>
      <c r="E121" s="637"/>
      <c r="F121" s="637"/>
      <c r="G121" s="637"/>
      <c r="H121" s="637"/>
      <c r="I121" s="637"/>
      <c r="J121" s="637"/>
      <c r="K121" s="637"/>
      <c r="L121" s="637"/>
      <c r="M121" s="637"/>
      <c r="N121" s="637"/>
      <c r="O121" s="637"/>
      <c r="P121" s="637"/>
      <c r="Q121" s="637"/>
      <c r="R121" s="637"/>
      <c r="S121" s="637"/>
      <c r="T121" s="637"/>
      <c r="U121" s="637"/>
      <c r="V121" s="637"/>
      <c r="W121" s="637"/>
      <c r="X121" s="637"/>
      <c r="Y121" s="637"/>
      <c r="Z121" s="637"/>
      <c r="AA121" s="637"/>
      <c r="AB121" s="637"/>
      <c r="AC121" s="637"/>
      <c r="AD121" s="637"/>
      <c r="AE121" s="637"/>
      <c r="AF121" s="637"/>
      <c r="AG121" s="637"/>
      <c r="AH121" s="637"/>
      <c r="AI121" s="637"/>
      <c r="AJ121" s="637"/>
      <c r="AK121" s="637"/>
      <c r="AL121" s="637"/>
      <c r="AM121" s="637"/>
      <c r="AN121" s="637"/>
      <c r="AO121" s="637"/>
      <c r="AP121" s="637"/>
      <c r="AQ121" s="637"/>
      <c r="AR121" s="637"/>
      <c r="AS121" s="637"/>
      <c r="AT121" s="637"/>
      <c r="AU121" s="637"/>
      <c r="AV121" s="637"/>
      <c r="AW121" s="637"/>
      <c r="AX121" s="637"/>
      <c r="AY121" s="637"/>
      <c r="AZ121" s="637"/>
      <c r="BA121" s="637"/>
      <c r="BB121" s="637"/>
      <c r="BC121" s="637"/>
      <c r="BD121" s="637"/>
      <c r="BE121" s="637"/>
      <c r="BF121" s="637"/>
      <c r="BG121" s="637"/>
      <c r="BH121" s="637"/>
      <c r="BI121" s="637"/>
      <c r="BJ121" s="637"/>
      <c r="BK121" s="637"/>
      <c r="BL121" s="637"/>
      <c r="BM121" s="637"/>
      <c r="BN121" s="637"/>
      <c r="BO121" s="637"/>
      <c r="BP121" s="637"/>
      <c r="BQ121" s="637"/>
      <c r="BR121" s="637"/>
      <c r="BS121" s="637"/>
      <c r="BT121" s="637"/>
      <c r="BU121" s="637"/>
      <c r="BV121" s="637"/>
      <c r="BW121" s="637"/>
      <c r="BX121" s="637"/>
      <c r="BY121" s="637"/>
      <c r="BZ121" s="637"/>
      <c r="CA121" s="637"/>
      <c r="CB121" s="637"/>
      <c r="CC121" s="637"/>
      <c r="CD121" s="637"/>
      <c r="CE121" s="637"/>
      <c r="CF121" s="637"/>
      <c r="CG121" s="637"/>
      <c r="CH121" s="637"/>
      <c r="CI121" s="637"/>
      <c r="CJ121" s="637"/>
      <c r="CK121" s="637"/>
      <c r="CL121" s="637"/>
      <c r="CM121" s="637"/>
    </row>
    <row r="122" ht="15.75" customHeight="1">
      <c r="A122" s="637"/>
      <c r="B122" s="637"/>
      <c r="C122" s="637"/>
      <c r="D122" s="637"/>
      <c r="E122" s="637"/>
      <c r="F122" s="637"/>
      <c r="G122" s="637"/>
      <c r="H122" s="637"/>
      <c r="I122" s="637"/>
      <c r="J122" s="637"/>
      <c r="K122" s="637"/>
      <c r="L122" s="637"/>
      <c r="M122" s="637"/>
      <c r="N122" s="637"/>
      <c r="O122" s="637"/>
      <c r="P122" s="637"/>
      <c r="Q122" s="637"/>
      <c r="R122" s="637"/>
      <c r="S122" s="637"/>
      <c r="T122" s="637"/>
      <c r="U122" s="637"/>
      <c r="V122" s="637"/>
      <c r="W122" s="637"/>
      <c r="X122" s="637"/>
      <c r="Y122" s="637"/>
      <c r="Z122" s="637"/>
      <c r="AA122" s="637"/>
      <c r="AB122" s="637"/>
      <c r="AC122" s="637"/>
      <c r="AD122" s="637"/>
      <c r="AE122" s="637"/>
      <c r="AF122" s="637"/>
      <c r="AG122" s="637"/>
      <c r="AH122" s="637"/>
      <c r="AI122" s="637"/>
      <c r="AJ122" s="637"/>
      <c r="AK122" s="637"/>
      <c r="AL122" s="637"/>
      <c r="AM122" s="637"/>
      <c r="AN122" s="637"/>
      <c r="AO122" s="637"/>
      <c r="AP122" s="637"/>
      <c r="AQ122" s="637"/>
      <c r="AR122" s="637"/>
      <c r="AS122" s="637"/>
      <c r="AT122" s="637"/>
      <c r="AU122" s="637"/>
      <c r="AV122" s="637"/>
      <c r="AW122" s="637"/>
      <c r="AX122" s="637"/>
      <c r="AY122" s="637"/>
      <c r="AZ122" s="637"/>
      <c r="BA122" s="637"/>
      <c r="BB122" s="637"/>
      <c r="BC122" s="637"/>
      <c r="BD122" s="637"/>
      <c r="BE122" s="637"/>
      <c r="BF122" s="637"/>
      <c r="BG122" s="637"/>
      <c r="BH122" s="637"/>
      <c r="BI122" s="637"/>
      <c r="BJ122" s="637"/>
      <c r="BK122" s="637"/>
      <c r="BL122" s="637"/>
      <c r="BM122" s="637"/>
      <c r="BN122" s="637"/>
      <c r="BO122" s="637"/>
      <c r="BP122" s="637"/>
      <c r="BQ122" s="637"/>
      <c r="BR122" s="637"/>
      <c r="BS122" s="637"/>
      <c r="BT122" s="637"/>
      <c r="BU122" s="637"/>
      <c r="BV122" s="637"/>
      <c r="BW122" s="637"/>
      <c r="BX122" s="637"/>
      <c r="BY122" s="637"/>
      <c r="BZ122" s="637"/>
      <c r="CA122" s="637"/>
      <c r="CB122" s="637"/>
      <c r="CC122" s="637"/>
      <c r="CD122" s="637"/>
      <c r="CE122" s="637"/>
      <c r="CF122" s="637"/>
      <c r="CG122" s="637"/>
      <c r="CH122" s="637"/>
      <c r="CI122" s="637"/>
      <c r="CJ122" s="637"/>
      <c r="CK122" s="637"/>
      <c r="CL122" s="637"/>
      <c r="CM122" s="637"/>
    </row>
    <row r="123" ht="15.75" customHeight="1">
      <c r="A123" s="637"/>
      <c r="B123" s="637"/>
      <c r="C123" s="637"/>
      <c r="D123" s="637"/>
      <c r="E123" s="637"/>
      <c r="F123" s="637"/>
      <c r="G123" s="637"/>
      <c r="H123" s="637"/>
      <c r="I123" s="637"/>
      <c r="J123" s="637"/>
      <c r="K123" s="637"/>
      <c r="L123" s="637"/>
      <c r="M123" s="637"/>
      <c r="N123" s="637"/>
      <c r="O123" s="637"/>
      <c r="P123" s="637"/>
      <c r="Q123" s="637"/>
      <c r="R123" s="637"/>
      <c r="S123" s="637"/>
      <c r="T123" s="637"/>
      <c r="U123" s="637"/>
      <c r="V123" s="637"/>
      <c r="W123" s="637"/>
      <c r="X123" s="637"/>
      <c r="Y123" s="637"/>
      <c r="Z123" s="637"/>
      <c r="AA123" s="637"/>
      <c r="AB123" s="637"/>
      <c r="AC123" s="637"/>
      <c r="AD123" s="637"/>
      <c r="AE123" s="637"/>
      <c r="AF123" s="637"/>
      <c r="AG123" s="637"/>
      <c r="AH123" s="637"/>
      <c r="AI123" s="637"/>
      <c r="AJ123" s="637"/>
      <c r="AK123" s="637"/>
      <c r="AL123" s="637"/>
      <c r="AM123" s="637"/>
      <c r="AN123" s="637"/>
      <c r="AO123" s="637"/>
      <c r="AP123" s="637"/>
      <c r="AQ123" s="637"/>
      <c r="AR123" s="637"/>
      <c r="AS123" s="637"/>
      <c r="AT123" s="637"/>
      <c r="AU123" s="637"/>
      <c r="AV123" s="637"/>
      <c r="AW123" s="637"/>
      <c r="AX123" s="637"/>
      <c r="AY123" s="637"/>
      <c r="AZ123" s="637"/>
      <c r="BA123" s="637"/>
      <c r="BB123" s="637"/>
      <c r="BC123" s="637"/>
      <c r="BD123" s="637"/>
      <c r="BE123" s="637"/>
      <c r="BF123" s="637"/>
      <c r="BG123" s="637"/>
      <c r="BH123" s="637"/>
      <c r="BI123" s="637"/>
      <c r="BJ123" s="637"/>
      <c r="BK123" s="637"/>
      <c r="BL123" s="637"/>
      <c r="BM123" s="637"/>
      <c r="BN123" s="637"/>
      <c r="BO123" s="637"/>
      <c r="BP123" s="637"/>
      <c r="BQ123" s="637"/>
      <c r="BR123" s="637"/>
      <c r="BS123" s="637"/>
      <c r="BT123" s="637"/>
      <c r="BU123" s="637"/>
      <c r="BV123" s="637"/>
      <c r="BW123" s="637"/>
      <c r="BX123" s="637"/>
      <c r="BY123" s="637"/>
      <c r="BZ123" s="637"/>
      <c r="CA123" s="637"/>
      <c r="CB123" s="637"/>
      <c r="CC123" s="637"/>
      <c r="CD123" s="637"/>
      <c r="CE123" s="637"/>
      <c r="CF123" s="637"/>
      <c r="CG123" s="637"/>
      <c r="CH123" s="637"/>
      <c r="CI123" s="637"/>
      <c r="CJ123" s="637"/>
      <c r="CK123" s="637"/>
      <c r="CL123" s="637"/>
      <c r="CM123" s="637"/>
    </row>
    <row r="124" ht="15.75" customHeight="1">
      <c r="A124" s="637"/>
      <c r="B124" s="637"/>
      <c r="C124" s="637"/>
      <c r="D124" s="637"/>
      <c r="E124" s="637"/>
      <c r="F124" s="637"/>
      <c r="G124" s="637"/>
      <c r="H124" s="637"/>
      <c r="I124" s="637"/>
      <c r="J124" s="637"/>
      <c r="K124" s="637"/>
      <c r="L124" s="637"/>
      <c r="M124" s="637"/>
      <c r="N124" s="637"/>
      <c r="O124" s="637"/>
      <c r="P124" s="637"/>
      <c r="Q124" s="637"/>
      <c r="R124" s="637"/>
      <c r="S124" s="637"/>
      <c r="T124" s="637"/>
      <c r="U124" s="637"/>
      <c r="V124" s="637"/>
      <c r="W124" s="637"/>
      <c r="X124" s="637"/>
      <c r="Y124" s="637"/>
      <c r="Z124" s="637"/>
      <c r="AA124" s="637"/>
      <c r="AB124" s="637"/>
      <c r="AC124" s="637"/>
      <c r="AD124" s="637"/>
      <c r="AE124" s="637"/>
      <c r="AF124" s="637"/>
      <c r="AG124" s="637"/>
      <c r="AH124" s="637"/>
      <c r="AI124" s="637"/>
      <c r="AJ124" s="637"/>
      <c r="AK124" s="637"/>
      <c r="AL124" s="637"/>
      <c r="AM124" s="637"/>
      <c r="AN124" s="637"/>
      <c r="AO124" s="637"/>
      <c r="AP124" s="637"/>
      <c r="AQ124" s="637"/>
      <c r="AR124" s="637"/>
      <c r="AS124" s="637"/>
      <c r="AT124" s="637"/>
      <c r="AU124" s="637"/>
      <c r="AV124" s="637"/>
      <c r="AW124" s="637"/>
      <c r="AX124" s="637"/>
      <c r="AY124" s="637"/>
      <c r="AZ124" s="637"/>
      <c r="BA124" s="637"/>
      <c r="BB124" s="637"/>
      <c r="BC124" s="637"/>
      <c r="BD124" s="637"/>
      <c r="BE124" s="637"/>
      <c r="BF124" s="637"/>
      <c r="BG124" s="637"/>
      <c r="BH124" s="637"/>
      <c r="BI124" s="637"/>
      <c r="BJ124" s="637"/>
      <c r="BK124" s="637"/>
      <c r="BL124" s="637"/>
      <c r="BM124" s="637"/>
      <c r="BN124" s="637"/>
      <c r="BO124" s="637"/>
      <c r="BP124" s="637"/>
      <c r="BQ124" s="637"/>
      <c r="BR124" s="637"/>
      <c r="BS124" s="637"/>
      <c r="BT124" s="637"/>
      <c r="BU124" s="637"/>
      <c r="BV124" s="637"/>
      <c r="BW124" s="637"/>
      <c r="BX124" s="637"/>
      <c r="BY124" s="637"/>
      <c r="BZ124" s="637"/>
      <c r="CA124" s="637"/>
      <c r="CB124" s="637"/>
      <c r="CC124" s="637"/>
      <c r="CD124" s="637"/>
      <c r="CE124" s="637"/>
      <c r="CF124" s="637"/>
      <c r="CG124" s="637"/>
      <c r="CH124" s="637"/>
      <c r="CI124" s="637"/>
      <c r="CJ124" s="637"/>
      <c r="CK124" s="637"/>
      <c r="CL124" s="637"/>
      <c r="CM124" s="637"/>
    </row>
    <row r="125" ht="15.75" customHeight="1">
      <c r="A125" s="637"/>
      <c r="B125" s="637"/>
      <c r="C125" s="637"/>
      <c r="D125" s="637"/>
      <c r="E125" s="637"/>
      <c r="F125" s="637"/>
      <c r="G125" s="637"/>
      <c r="H125" s="637"/>
      <c r="I125" s="637"/>
      <c r="J125" s="637"/>
      <c r="K125" s="637"/>
      <c r="L125" s="637"/>
      <c r="M125" s="637"/>
      <c r="N125" s="637"/>
      <c r="O125" s="637"/>
      <c r="P125" s="637"/>
      <c r="Q125" s="637"/>
      <c r="R125" s="637"/>
      <c r="S125" s="637"/>
      <c r="T125" s="637"/>
      <c r="U125" s="637"/>
      <c r="V125" s="637"/>
      <c r="W125" s="637"/>
      <c r="X125" s="637"/>
      <c r="Y125" s="637"/>
      <c r="Z125" s="637"/>
      <c r="AA125" s="637"/>
      <c r="AB125" s="637"/>
      <c r="AC125" s="637"/>
      <c r="AD125" s="637"/>
      <c r="AE125" s="637"/>
      <c r="AF125" s="637"/>
      <c r="AG125" s="637"/>
      <c r="AH125" s="637"/>
      <c r="AI125" s="637"/>
      <c r="AJ125" s="637"/>
      <c r="AK125" s="637"/>
      <c r="AL125" s="637"/>
      <c r="AM125" s="637"/>
      <c r="AN125" s="637"/>
      <c r="AO125" s="637"/>
      <c r="AP125" s="637"/>
      <c r="AQ125" s="637"/>
      <c r="AR125" s="637"/>
      <c r="AS125" s="637"/>
      <c r="AT125" s="637"/>
      <c r="AU125" s="637"/>
      <c r="AV125" s="637"/>
      <c r="AW125" s="637"/>
      <c r="AX125" s="637"/>
      <c r="AY125" s="637"/>
      <c r="AZ125" s="637"/>
      <c r="BA125" s="637"/>
      <c r="BB125" s="637"/>
      <c r="BC125" s="637"/>
      <c r="BD125" s="637"/>
      <c r="BE125" s="637"/>
      <c r="BF125" s="637"/>
      <c r="BG125" s="637"/>
      <c r="BH125" s="637"/>
      <c r="BI125" s="637"/>
      <c r="BJ125" s="637"/>
      <c r="BK125" s="637"/>
      <c r="BL125" s="637"/>
      <c r="BM125" s="637"/>
      <c r="BN125" s="637"/>
      <c r="BO125" s="637"/>
      <c r="BP125" s="637"/>
      <c r="BQ125" s="637"/>
      <c r="BR125" s="637"/>
      <c r="BS125" s="637"/>
      <c r="BT125" s="637"/>
      <c r="BU125" s="637"/>
      <c r="BV125" s="637"/>
      <c r="BW125" s="637"/>
      <c r="BX125" s="637"/>
      <c r="BY125" s="637"/>
      <c r="BZ125" s="637"/>
      <c r="CA125" s="637"/>
      <c r="CB125" s="637"/>
      <c r="CC125" s="637"/>
      <c r="CD125" s="637"/>
      <c r="CE125" s="637"/>
      <c r="CF125" s="637"/>
      <c r="CG125" s="637"/>
      <c r="CH125" s="637"/>
      <c r="CI125" s="637"/>
      <c r="CJ125" s="637"/>
      <c r="CK125" s="637"/>
      <c r="CL125" s="637"/>
      <c r="CM125" s="637"/>
    </row>
    <row r="126" ht="15.75" customHeight="1">
      <c r="A126" s="637"/>
      <c r="B126" s="637"/>
      <c r="C126" s="637"/>
      <c r="D126" s="637"/>
      <c r="E126" s="637"/>
      <c r="F126" s="637"/>
      <c r="G126" s="637"/>
      <c r="H126" s="637"/>
      <c r="I126" s="637"/>
      <c r="J126" s="637"/>
      <c r="K126" s="637"/>
      <c r="L126" s="637"/>
      <c r="M126" s="637"/>
      <c r="N126" s="637"/>
      <c r="O126" s="637"/>
      <c r="P126" s="637"/>
      <c r="Q126" s="637"/>
      <c r="R126" s="637"/>
      <c r="S126" s="637"/>
      <c r="T126" s="637"/>
      <c r="U126" s="637"/>
      <c r="V126" s="637"/>
      <c r="W126" s="637"/>
      <c r="X126" s="637"/>
      <c r="Y126" s="637"/>
      <c r="Z126" s="637"/>
      <c r="AA126" s="637"/>
      <c r="AB126" s="637"/>
      <c r="AC126" s="637"/>
      <c r="AD126" s="637"/>
      <c r="AE126" s="637"/>
      <c r="AF126" s="637"/>
      <c r="AG126" s="637"/>
      <c r="AH126" s="637"/>
      <c r="AI126" s="637"/>
      <c r="AJ126" s="637"/>
      <c r="AK126" s="637"/>
      <c r="AL126" s="637"/>
      <c r="AM126" s="637"/>
      <c r="AN126" s="637"/>
      <c r="AO126" s="637"/>
      <c r="AP126" s="637"/>
      <c r="AQ126" s="637"/>
      <c r="AR126" s="637"/>
      <c r="AS126" s="637"/>
      <c r="AT126" s="637"/>
      <c r="AU126" s="637"/>
      <c r="AV126" s="637"/>
      <c r="AW126" s="637"/>
      <c r="AX126" s="637"/>
      <c r="AY126" s="637"/>
      <c r="AZ126" s="637"/>
      <c r="BA126" s="637"/>
      <c r="BB126" s="637"/>
      <c r="BC126" s="637"/>
      <c r="BD126" s="637"/>
      <c r="BE126" s="637"/>
      <c r="BF126" s="637"/>
      <c r="BG126" s="637"/>
      <c r="BH126" s="637"/>
      <c r="BI126" s="637"/>
      <c r="BJ126" s="637"/>
      <c r="BK126" s="637"/>
      <c r="BL126" s="637"/>
      <c r="BM126" s="637"/>
      <c r="BN126" s="637"/>
      <c r="BO126" s="637"/>
      <c r="BP126" s="637"/>
      <c r="BQ126" s="637"/>
      <c r="BR126" s="637"/>
      <c r="BS126" s="637"/>
      <c r="BT126" s="637"/>
      <c r="BU126" s="637"/>
      <c r="BV126" s="637"/>
      <c r="BW126" s="637"/>
      <c r="BX126" s="637"/>
      <c r="BY126" s="637"/>
      <c r="BZ126" s="637"/>
      <c r="CA126" s="637"/>
      <c r="CB126" s="637"/>
      <c r="CC126" s="637"/>
      <c r="CD126" s="637"/>
      <c r="CE126" s="637"/>
      <c r="CF126" s="637"/>
      <c r="CG126" s="637"/>
      <c r="CH126" s="637"/>
      <c r="CI126" s="637"/>
      <c r="CJ126" s="637"/>
      <c r="CK126" s="637"/>
      <c r="CL126" s="637"/>
      <c r="CM126" s="637"/>
    </row>
    <row r="127" ht="15.75" customHeight="1">
      <c r="A127" s="637"/>
      <c r="B127" s="637"/>
      <c r="C127" s="637"/>
      <c r="D127" s="637"/>
      <c r="E127" s="637"/>
      <c r="F127" s="637"/>
      <c r="G127" s="637"/>
      <c r="H127" s="637"/>
      <c r="I127" s="637"/>
      <c r="J127" s="637"/>
      <c r="K127" s="637"/>
      <c r="L127" s="637"/>
      <c r="M127" s="637"/>
      <c r="N127" s="637"/>
      <c r="O127" s="637"/>
      <c r="P127" s="637"/>
      <c r="Q127" s="637"/>
      <c r="R127" s="637"/>
      <c r="S127" s="637"/>
      <c r="T127" s="637"/>
      <c r="U127" s="637"/>
      <c r="V127" s="637"/>
      <c r="W127" s="637"/>
      <c r="X127" s="637"/>
      <c r="Y127" s="637"/>
      <c r="Z127" s="637"/>
      <c r="AA127" s="637"/>
      <c r="AB127" s="637"/>
      <c r="AC127" s="637"/>
      <c r="AD127" s="637"/>
      <c r="AE127" s="637"/>
      <c r="AF127" s="637"/>
      <c r="AG127" s="637"/>
      <c r="AH127" s="637"/>
      <c r="AI127" s="637"/>
      <c r="AJ127" s="637"/>
      <c r="AK127" s="637"/>
      <c r="AL127" s="637"/>
      <c r="AM127" s="637"/>
      <c r="AN127" s="637"/>
      <c r="AO127" s="637"/>
      <c r="AP127" s="637"/>
      <c r="AQ127" s="637"/>
      <c r="AR127" s="637"/>
      <c r="AS127" s="637"/>
      <c r="AT127" s="637"/>
      <c r="AU127" s="637"/>
      <c r="AV127" s="637"/>
      <c r="AW127" s="637"/>
      <c r="AX127" s="637"/>
      <c r="AY127" s="637"/>
      <c r="AZ127" s="637"/>
      <c r="BA127" s="637"/>
      <c r="BB127" s="637"/>
      <c r="BC127" s="637"/>
      <c r="BD127" s="637"/>
      <c r="BE127" s="637"/>
      <c r="BF127" s="637"/>
      <c r="BG127" s="637"/>
      <c r="BH127" s="637"/>
      <c r="BI127" s="637"/>
      <c r="BJ127" s="637"/>
      <c r="BK127" s="637"/>
      <c r="BL127" s="637"/>
      <c r="BM127" s="637"/>
      <c r="BN127" s="637"/>
      <c r="BO127" s="637"/>
      <c r="BP127" s="637"/>
      <c r="BQ127" s="637"/>
      <c r="BR127" s="637"/>
      <c r="BS127" s="637"/>
      <c r="BT127" s="637"/>
      <c r="BU127" s="637"/>
      <c r="BV127" s="637"/>
      <c r="BW127" s="637"/>
      <c r="BX127" s="637"/>
      <c r="BY127" s="637"/>
      <c r="BZ127" s="637"/>
      <c r="CA127" s="637"/>
      <c r="CB127" s="637"/>
      <c r="CC127" s="637"/>
      <c r="CD127" s="637"/>
      <c r="CE127" s="637"/>
      <c r="CF127" s="637"/>
      <c r="CG127" s="637"/>
      <c r="CH127" s="637"/>
      <c r="CI127" s="637"/>
      <c r="CJ127" s="637"/>
      <c r="CK127" s="637"/>
      <c r="CL127" s="637"/>
      <c r="CM127" s="637"/>
    </row>
    <row r="128" ht="15.75" customHeight="1">
      <c r="A128" s="637"/>
      <c r="B128" s="637"/>
      <c r="C128" s="637"/>
      <c r="D128" s="637"/>
      <c r="E128" s="637"/>
      <c r="F128" s="637"/>
      <c r="G128" s="637"/>
      <c r="H128" s="637"/>
      <c r="I128" s="637"/>
      <c r="J128" s="637"/>
      <c r="K128" s="637"/>
      <c r="L128" s="637"/>
      <c r="M128" s="637"/>
      <c r="N128" s="637"/>
      <c r="O128" s="637"/>
      <c r="P128" s="637"/>
      <c r="Q128" s="637"/>
      <c r="R128" s="637"/>
      <c r="S128" s="637"/>
      <c r="T128" s="637"/>
      <c r="U128" s="637"/>
      <c r="V128" s="637"/>
      <c r="W128" s="637"/>
      <c r="X128" s="637"/>
      <c r="Y128" s="637"/>
      <c r="Z128" s="637"/>
      <c r="AA128" s="637"/>
      <c r="AB128" s="637"/>
      <c r="AC128" s="637"/>
      <c r="AD128" s="637"/>
      <c r="AE128" s="637"/>
      <c r="AF128" s="637"/>
      <c r="AG128" s="637"/>
      <c r="AH128" s="637"/>
      <c r="AI128" s="637"/>
      <c r="AJ128" s="637"/>
      <c r="AK128" s="637"/>
      <c r="AL128" s="637"/>
      <c r="AM128" s="637"/>
      <c r="AN128" s="637"/>
      <c r="AO128" s="637"/>
      <c r="AP128" s="637"/>
      <c r="AQ128" s="637"/>
      <c r="AR128" s="637"/>
      <c r="AS128" s="637"/>
      <c r="AT128" s="637"/>
      <c r="AU128" s="637"/>
      <c r="AV128" s="637"/>
      <c r="AW128" s="637"/>
      <c r="AX128" s="637"/>
      <c r="AY128" s="637"/>
      <c r="AZ128" s="637"/>
      <c r="BA128" s="637"/>
      <c r="BB128" s="637"/>
      <c r="BC128" s="637"/>
      <c r="BD128" s="637"/>
      <c r="BE128" s="637"/>
      <c r="BF128" s="637"/>
      <c r="BG128" s="637"/>
      <c r="BH128" s="637"/>
      <c r="BI128" s="637"/>
      <c r="BJ128" s="637"/>
      <c r="BK128" s="637"/>
      <c r="BL128" s="637"/>
      <c r="BM128" s="637"/>
      <c r="BN128" s="637"/>
      <c r="BO128" s="637"/>
      <c r="BP128" s="637"/>
      <c r="BQ128" s="637"/>
      <c r="BR128" s="637"/>
      <c r="BS128" s="637"/>
      <c r="BT128" s="637"/>
      <c r="BU128" s="637"/>
      <c r="BV128" s="637"/>
      <c r="BW128" s="637"/>
      <c r="BX128" s="637"/>
      <c r="BY128" s="637"/>
      <c r="BZ128" s="637"/>
      <c r="CA128" s="637"/>
      <c r="CB128" s="637"/>
      <c r="CC128" s="637"/>
      <c r="CD128" s="637"/>
      <c r="CE128" s="637"/>
      <c r="CF128" s="637"/>
      <c r="CG128" s="637"/>
      <c r="CH128" s="637"/>
      <c r="CI128" s="637"/>
      <c r="CJ128" s="637"/>
      <c r="CK128" s="637"/>
      <c r="CL128" s="637"/>
      <c r="CM128" s="637"/>
    </row>
    <row r="129" ht="15.75" customHeight="1">
      <c r="A129" s="637"/>
      <c r="B129" s="637"/>
      <c r="C129" s="637"/>
      <c r="D129" s="637"/>
      <c r="E129" s="637"/>
      <c r="F129" s="637"/>
      <c r="G129" s="637"/>
      <c r="H129" s="637"/>
      <c r="I129" s="637"/>
      <c r="J129" s="637"/>
      <c r="K129" s="637"/>
      <c r="L129" s="637"/>
      <c r="M129" s="637"/>
      <c r="N129" s="637"/>
      <c r="O129" s="637"/>
      <c r="P129" s="637"/>
      <c r="Q129" s="637"/>
      <c r="R129" s="637"/>
      <c r="S129" s="637"/>
      <c r="T129" s="637"/>
      <c r="U129" s="637"/>
      <c r="V129" s="637"/>
      <c r="W129" s="637"/>
      <c r="X129" s="637"/>
      <c r="Y129" s="637"/>
      <c r="Z129" s="637"/>
      <c r="AA129" s="637"/>
      <c r="AB129" s="637"/>
      <c r="AC129" s="637"/>
      <c r="AD129" s="637"/>
      <c r="AE129" s="637"/>
      <c r="AF129" s="637"/>
      <c r="AG129" s="637"/>
      <c r="AH129" s="637"/>
      <c r="AI129" s="637"/>
      <c r="AJ129" s="637"/>
      <c r="AK129" s="637"/>
      <c r="AL129" s="637"/>
      <c r="AM129" s="637"/>
      <c r="AN129" s="637"/>
      <c r="AO129" s="637"/>
      <c r="AP129" s="637"/>
      <c r="AQ129" s="637"/>
      <c r="AR129" s="637"/>
      <c r="AS129" s="637"/>
      <c r="AT129" s="637"/>
      <c r="AU129" s="637"/>
      <c r="AV129" s="637"/>
      <c r="AW129" s="637"/>
      <c r="AX129" s="637"/>
      <c r="AY129" s="637"/>
      <c r="AZ129" s="637"/>
      <c r="BA129" s="637"/>
      <c r="BB129" s="637"/>
      <c r="BC129" s="637"/>
      <c r="BD129" s="637"/>
      <c r="BE129" s="637"/>
      <c r="BF129" s="637"/>
      <c r="BG129" s="637"/>
      <c r="BH129" s="637"/>
      <c r="BI129" s="637"/>
      <c r="BJ129" s="637"/>
      <c r="BK129" s="637"/>
      <c r="BL129" s="637"/>
      <c r="BM129" s="637"/>
      <c r="BN129" s="637"/>
      <c r="BO129" s="637"/>
      <c r="BP129" s="637"/>
      <c r="BQ129" s="637"/>
      <c r="BR129" s="637"/>
      <c r="BS129" s="637"/>
      <c r="BT129" s="637"/>
      <c r="BU129" s="637"/>
      <c r="BV129" s="637"/>
      <c r="BW129" s="637"/>
      <c r="BX129" s="637"/>
      <c r="BY129" s="637"/>
      <c r="BZ129" s="637"/>
      <c r="CA129" s="637"/>
      <c r="CB129" s="637"/>
      <c r="CC129" s="637"/>
      <c r="CD129" s="637"/>
      <c r="CE129" s="637"/>
      <c r="CF129" s="637"/>
      <c r="CG129" s="637"/>
      <c r="CH129" s="637"/>
      <c r="CI129" s="637"/>
      <c r="CJ129" s="637"/>
      <c r="CK129" s="637"/>
      <c r="CL129" s="637"/>
      <c r="CM129" s="637"/>
    </row>
    <row r="130" ht="15.75" customHeight="1">
      <c r="A130" s="637"/>
      <c r="B130" s="637"/>
      <c r="C130" s="637"/>
      <c r="D130" s="637"/>
      <c r="E130" s="637"/>
      <c r="F130" s="637"/>
      <c r="G130" s="637"/>
      <c r="H130" s="637"/>
      <c r="I130" s="637"/>
      <c r="J130" s="637"/>
      <c r="K130" s="637"/>
      <c r="L130" s="637"/>
      <c r="M130" s="637"/>
      <c r="N130" s="637"/>
      <c r="O130" s="637"/>
      <c r="P130" s="637"/>
      <c r="Q130" s="637"/>
      <c r="R130" s="637"/>
      <c r="S130" s="637"/>
      <c r="T130" s="637"/>
      <c r="U130" s="637"/>
      <c r="V130" s="637"/>
      <c r="W130" s="637"/>
      <c r="X130" s="637"/>
      <c r="Y130" s="637"/>
      <c r="Z130" s="637"/>
      <c r="AA130" s="637"/>
      <c r="AB130" s="637"/>
      <c r="AC130" s="637"/>
      <c r="AD130" s="637"/>
      <c r="AE130" s="637"/>
      <c r="AF130" s="637"/>
      <c r="AG130" s="637"/>
      <c r="AH130" s="637"/>
      <c r="AI130" s="637"/>
      <c r="AJ130" s="637"/>
      <c r="AK130" s="637"/>
      <c r="AL130" s="637"/>
      <c r="AM130" s="637"/>
      <c r="AN130" s="637"/>
      <c r="AO130" s="637"/>
      <c r="AP130" s="637"/>
      <c r="AQ130" s="637"/>
      <c r="AR130" s="637"/>
      <c r="AS130" s="637"/>
      <c r="AT130" s="637"/>
      <c r="AU130" s="637"/>
      <c r="AV130" s="637"/>
      <c r="AW130" s="637"/>
      <c r="AX130" s="637"/>
      <c r="AY130" s="637"/>
      <c r="AZ130" s="637"/>
      <c r="BA130" s="637"/>
      <c r="BB130" s="637"/>
      <c r="BC130" s="637"/>
      <c r="BD130" s="637"/>
      <c r="BE130" s="637"/>
      <c r="BF130" s="637"/>
      <c r="BG130" s="637"/>
      <c r="BH130" s="637"/>
      <c r="BI130" s="637"/>
      <c r="BJ130" s="637"/>
      <c r="BK130" s="637"/>
      <c r="BL130" s="637"/>
      <c r="BM130" s="637"/>
      <c r="BN130" s="637"/>
      <c r="BO130" s="637"/>
      <c r="BP130" s="637"/>
      <c r="BQ130" s="637"/>
      <c r="BR130" s="637"/>
      <c r="BS130" s="637"/>
      <c r="BT130" s="637"/>
      <c r="BU130" s="637"/>
      <c r="BV130" s="637"/>
      <c r="BW130" s="637"/>
      <c r="BX130" s="637"/>
      <c r="BY130" s="637"/>
      <c r="BZ130" s="637"/>
      <c r="CA130" s="637"/>
      <c r="CB130" s="637"/>
      <c r="CC130" s="637"/>
      <c r="CD130" s="637"/>
      <c r="CE130" s="637"/>
      <c r="CF130" s="637"/>
      <c r="CG130" s="637"/>
      <c r="CH130" s="637"/>
      <c r="CI130" s="637"/>
      <c r="CJ130" s="637"/>
      <c r="CK130" s="637"/>
      <c r="CL130" s="637"/>
      <c r="CM130" s="637"/>
    </row>
    <row r="131" ht="15.75" customHeight="1">
      <c r="A131" s="637"/>
      <c r="B131" s="637"/>
      <c r="C131" s="637"/>
      <c r="D131" s="637"/>
      <c r="E131" s="637"/>
      <c r="F131" s="637"/>
      <c r="G131" s="637"/>
      <c r="H131" s="637"/>
      <c r="I131" s="637"/>
      <c r="J131" s="637"/>
      <c r="K131" s="637"/>
      <c r="L131" s="637"/>
      <c r="M131" s="637"/>
      <c r="N131" s="637"/>
      <c r="O131" s="637"/>
      <c r="P131" s="637"/>
      <c r="Q131" s="637"/>
      <c r="R131" s="637"/>
      <c r="S131" s="637"/>
      <c r="T131" s="637"/>
      <c r="U131" s="637"/>
      <c r="V131" s="637"/>
      <c r="W131" s="637"/>
      <c r="X131" s="637"/>
      <c r="Y131" s="637"/>
      <c r="Z131" s="637"/>
      <c r="AA131" s="637"/>
      <c r="AB131" s="637"/>
      <c r="AC131" s="637"/>
      <c r="AD131" s="637"/>
      <c r="AE131" s="637"/>
      <c r="AF131" s="637"/>
      <c r="AG131" s="637"/>
      <c r="AH131" s="637"/>
      <c r="AI131" s="637"/>
      <c r="AJ131" s="637"/>
      <c r="AK131" s="637"/>
      <c r="AL131" s="637"/>
      <c r="AM131" s="637"/>
      <c r="AN131" s="637"/>
      <c r="AO131" s="637"/>
      <c r="AP131" s="637"/>
      <c r="AQ131" s="637"/>
      <c r="AR131" s="637"/>
      <c r="AS131" s="637"/>
      <c r="AT131" s="637"/>
      <c r="AU131" s="637"/>
      <c r="AV131" s="637"/>
      <c r="AW131" s="637"/>
      <c r="AX131" s="637"/>
      <c r="AY131" s="637"/>
      <c r="AZ131" s="637"/>
      <c r="BA131" s="637"/>
      <c r="BB131" s="637"/>
      <c r="BC131" s="637"/>
      <c r="BD131" s="637"/>
      <c r="BE131" s="637"/>
      <c r="BF131" s="637"/>
      <c r="BG131" s="637"/>
      <c r="BH131" s="637"/>
      <c r="BI131" s="637"/>
      <c r="BJ131" s="637"/>
      <c r="BK131" s="637"/>
      <c r="BL131" s="637"/>
      <c r="BM131" s="637"/>
      <c r="BN131" s="637"/>
      <c r="BO131" s="637"/>
      <c r="BP131" s="637"/>
      <c r="BQ131" s="637"/>
      <c r="BR131" s="637"/>
      <c r="BS131" s="637"/>
      <c r="BT131" s="637"/>
      <c r="BU131" s="637"/>
      <c r="BV131" s="637"/>
      <c r="BW131" s="637"/>
      <c r="BX131" s="637"/>
      <c r="BY131" s="637"/>
      <c r="BZ131" s="637"/>
      <c r="CA131" s="637"/>
      <c r="CB131" s="637"/>
      <c r="CC131" s="637"/>
      <c r="CD131" s="637"/>
      <c r="CE131" s="637"/>
      <c r="CF131" s="637"/>
      <c r="CG131" s="637"/>
      <c r="CH131" s="637"/>
      <c r="CI131" s="637"/>
      <c r="CJ131" s="637"/>
      <c r="CK131" s="637"/>
      <c r="CL131" s="637"/>
      <c r="CM131" s="637"/>
    </row>
    <row r="132" ht="15.75" customHeight="1">
      <c r="A132" s="637"/>
      <c r="B132" s="637"/>
      <c r="C132" s="637"/>
      <c r="D132" s="637"/>
      <c r="E132" s="637"/>
      <c r="F132" s="637"/>
      <c r="G132" s="637"/>
      <c r="H132" s="637"/>
      <c r="I132" s="637"/>
      <c r="J132" s="637"/>
      <c r="K132" s="637"/>
      <c r="L132" s="637"/>
      <c r="M132" s="637"/>
      <c r="N132" s="637"/>
      <c r="O132" s="637"/>
      <c r="P132" s="637"/>
      <c r="Q132" s="637"/>
      <c r="R132" s="637"/>
      <c r="S132" s="637"/>
      <c r="T132" s="637"/>
      <c r="U132" s="637"/>
      <c r="V132" s="637"/>
      <c r="W132" s="637"/>
      <c r="X132" s="637"/>
      <c r="Y132" s="637"/>
      <c r="Z132" s="637"/>
      <c r="AA132" s="637"/>
      <c r="AB132" s="637"/>
      <c r="AC132" s="637"/>
      <c r="AD132" s="637"/>
      <c r="AE132" s="637"/>
      <c r="AF132" s="637"/>
      <c r="AG132" s="637"/>
      <c r="AH132" s="637"/>
      <c r="AI132" s="637"/>
      <c r="AJ132" s="637"/>
      <c r="AK132" s="637"/>
      <c r="AL132" s="637"/>
      <c r="AM132" s="637"/>
      <c r="AN132" s="637"/>
      <c r="AO132" s="637"/>
      <c r="AP132" s="637"/>
      <c r="AQ132" s="637"/>
      <c r="AR132" s="637"/>
      <c r="AS132" s="637"/>
      <c r="AT132" s="637"/>
      <c r="AU132" s="637"/>
      <c r="AV132" s="637"/>
      <c r="AW132" s="637"/>
      <c r="AX132" s="637"/>
      <c r="AY132" s="637"/>
      <c r="AZ132" s="637"/>
      <c r="BA132" s="637"/>
      <c r="BB132" s="637"/>
      <c r="BC132" s="637"/>
      <c r="BD132" s="637"/>
      <c r="BE132" s="637"/>
      <c r="BF132" s="637"/>
      <c r="BG132" s="637"/>
      <c r="BH132" s="637"/>
      <c r="BI132" s="637"/>
      <c r="BJ132" s="637"/>
      <c r="BK132" s="637"/>
      <c r="BL132" s="637"/>
      <c r="BM132" s="637"/>
      <c r="BN132" s="637"/>
      <c r="BO132" s="637"/>
      <c r="BP132" s="637"/>
      <c r="BQ132" s="637"/>
      <c r="BR132" s="637"/>
      <c r="BS132" s="637"/>
      <c r="BT132" s="637"/>
      <c r="BU132" s="637"/>
      <c r="BV132" s="637"/>
      <c r="BW132" s="637"/>
      <c r="BX132" s="637"/>
      <c r="BY132" s="637"/>
      <c r="BZ132" s="637"/>
      <c r="CA132" s="637"/>
      <c r="CB132" s="637"/>
      <c r="CC132" s="637"/>
      <c r="CD132" s="637"/>
      <c r="CE132" s="637"/>
      <c r="CF132" s="637"/>
      <c r="CG132" s="637"/>
      <c r="CH132" s="637"/>
      <c r="CI132" s="637"/>
      <c r="CJ132" s="637"/>
      <c r="CK132" s="637"/>
      <c r="CL132" s="637"/>
      <c r="CM132" s="637"/>
    </row>
    <row r="133" ht="15.75" customHeight="1">
      <c r="A133" s="637"/>
      <c r="B133" s="637"/>
      <c r="C133" s="637"/>
      <c r="D133" s="637"/>
      <c r="E133" s="637"/>
      <c r="F133" s="637"/>
      <c r="G133" s="637"/>
      <c r="H133" s="637"/>
      <c r="I133" s="637"/>
      <c r="J133" s="637"/>
      <c r="K133" s="637"/>
      <c r="L133" s="637"/>
      <c r="M133" s="637"/>
      <c r="N133" s="637"/>
      <c r="O133" s="637"/>
      <c r="P133" s="637"/>
      <c r="Q133" s="637"/>
      <c r="R133" s="637"/>
      <c r="S133" s="637"/>
      <c r="T133" s="637"/>
      <c r="U133" s="637"/>
      <c r="V133" s="637"/>
      <c r="W133" s="637"/>
      <c r="X133" s="637"/>
      <c r="Y133" s="637"/>
      <c r="Z133" s="637"/>
      <c r="AA133" s="637"/>
      <c r="AB133" s="637"/>
      <c r="AC133" s="637"/>
      <c r="AD133" s="637"/>
      <c r="AE133" s="637"/>
      <c r="AF133" s="637"/>
      <c r="AG133" s="637"/>
      <c r="AH133" s="637"/>
      <c r="AI133" s="637"/>
      <c r="AJ133" s="637"/>
      <c r="AK133" s="637"/>
      <c r="AL133" s="637"/>
      <c r="AM133" s="637"/>
      <c r="AN133" s="637"/>
      <c r="AO133" s="637"/>
      <c r="AP133" s="637"/>
      <c r="AQ133" s="637"/>
      <c r="AR133" s="637"/>
      <c r="AS133" s="637"/>
      <c r="AT133" s="637"/>
      <c r="AU133" s="637"/>
      <c r="AV133" s="637"/>
      <c r="AW133" s="637"/>
      <c r="AX133" s="637"/>
      <c r="AY133" s="637"/>
      <c r="AZ133" s="637"/>
      <c r="BA133" s="637"/>
      <c r="BB133" s="637"/>
      <c r="BC133" s="637"/>
      <c r="BD133" s="637"/>
      <c r="BE133" s="637"/>
      <c r="BF133" s="637"/>
      <c r="BG133" s="637"/>
      <c r="BH133" s="637"/>
      <c r="BI133" s="637"/>
      <c r="BJ133" s="637"/>
      <c r="BK133" s="637"/>
      <c r="BL133" s="637"/>
      <c r="BM133" s="637"/>
      <c r="BN133" s="637"/>
      <c r="BO133" s="637"/>
      <c r="BP133" s="637"/>
      <c r="BQ133" s="637"/>
      <c r="BR133" s="637"/>
      <c r="BS133" s="637"/>
      <c r="BT133" s="637"/>
      <c r="BU133" s="637"/>
      <c r="BV133" s="637"/>
      <c r="BW133" s="637"/>
      <c r="BX133" s="637"/>
      <c r="BY133" s="637"/>
      <c r="BZ133" s="637"/>
      <c r="CA133" s="637"/>
      <c r="CB133" s="637"/>
      <c r="CC133" s="637"/>
      <c r="CD133" s="637"/>
      <c r="CE133" s="637"/>
      <c r="CF133" s="637"/>
      <c r="CG133" s="637"/>
      <c r="CH133" s="637"/>
      <c r="CI133" s="637"/>
      <c r="CJ133" s="637"/>
      <c r="CK133" s="637"/>
      <c r="CL133" s="637"/>
      <c r="CM133" s="637"/>
    </row>
    <row r="134" ht="15.75" customHeight="1">
      <c r="A134" s="637"/>
      <c r="B134" s="637"/>
      <c r="C134" s="637"/>
      <c r="D134" s="637"/>
      <c r="E134" s="637"/>
      <c r="F134" s="637"/>
      <c r="G134" s="637"/>
      <c r="H134" s="637"/>
      <c r="I134" s="637"/>
      <c r="J134" s="637"/>
      <c r="K134" s="637"/>
      <c r="L134" s="637"/>
      <c r="M134" s="637"/>
      <c r="N134" s="637"/>
      <c r="O134" s="637"/>
      <c r="P134" s="637"/>
      <c r="Q134" s="637"/>
      <c r="R134" s="637"/>
      <c r="S134" s="637"/>
      <c r="T134" s="637"/>
      <c r="U134" s="637"/>
      <c r="V134" s="637"/>
      <c r="W134" s="637"/>
      <c r="X134" s="637"/>
      <c r="Y134" s="637"/>
      <c r="Z134" s="637"/>
      <c r="AA134" s="637"/>
      <c r="AB134" s="637"/>
      <c r="AC134" s="637"/>
      <c r="AD134" s="637"/>
      <c r="AE134" s="637"/>
      <c r="AF134" s="637"/>
      <c r="AG134" s="637"/>
      <c r="AH134" s="637"/>
      <c r="AI134" s="637"/>
      <c r="AJ134" s="637"/>
      <c r="AK134" s="637"/>
      <c r="AL134" s="637"/>
      <c r="AM134" s="637"/>
      <c r="AN134" s="637"/>
      <c r="AO134" s="637"/>
      <c r="AP134" s="637"/>
      <c r="AQ134" s="637"/>
      <c r="AR134" s="637"/>
      <c r="AS134" s="637"/>
      <c r="AT134" s="637"/>
      <c r="AU134" s="637"/>
      <c r="AV134" s="637"/>
      <c r="AW134" s="637"/>
      <c r="AX134" s="637"/>
      <c r="AY134" s="637"/>
      <c r="AZ134" s="637"/>
      <c r="BA134" s="637"/>
      <c r="BB134" s="637"/>
      <c r="BC134" s="637"/>
      <c r="BD134" s="637"/>
      <c r="BE134" s="637"/>
      <c r="BF134" s="637"/>
      <c r="BG134" s="637"/>
      <c r="BH134" s="637"/>
      <c r="BI134" s="637"/>
      <c r="BJ134" s="637"/>
      <c r="BK134" s="637"/>
      <c r="BL134" s="637"/>
      <c r="BM134" s="637"/>
      <c r="BN134" s="637"/>
      <c r="BO134" s="637"/>
      <c r="BP134" s="637"/>
      <c r="BQ134" s="637"/>
      <c r="BR134" s="637"/>
      <c r="BS134" s="637"/>
      <c r="BT134" s="637"/>
      <c r="BU134" s="637"/>
      <c r="BV134" s="637"/>
      <c r="BW134" s="637"/>
      <c r="BX134" s="637"/>
      <c r="BY134" s="637"/>
      <c r="BZ134" s="637"/>
      <c r="CA134" s="637"/>
      <c r="CB134" s="637"/>
      <c r="CC134" s="637"/>
      <c r="CD134" s="637"/>
      <c r="CE134" s="637"/>
      <c r="CF134" s="637"/>
      <c r="CG134" s="637"/>
      <c r="CH134" s="637"/>
      <c r="CI134" s="637"/>
      <c r="CJ134" s="637"/>
      <c r="CK134" s="637"/>
      <c r="CL134" s="637"/>
      <c r="CM134" s="637"/>
    </row>
    <row r="135" ht="15.75" customHeight="1">
      <c r="A135" s="637"/>
      <c r="B135" s="637"/>
      <c r="C135" s="637"/>
      <c r="D135" s="637"/>
      <c r="E135" s="637"/>
      <c r="F135" s="637"/>
      <c r="G135" s="637"/>
      <c r="H135" s="637"/>
      <c r="I135" s="637"/>
      <c r="J135" s="637"/>
      <c r="K135" s="637"/>
      <c r="L135" s="637"/>
      <c r="M135" s="637"/>
      <c r="N135" s="637"/>
      <c r="O135" s="637"/>
      <c r="P135" s="637"/>
      <c r="Q135" s="637"/>
      <c r="R135" s="637"/>
      <c r="S135" s="637"/>
      <c r="T135" s="637"/>
      <c r="U135" s="637"/>
      <c r="V135" s="637"/>
      <c r="W135" s="637"/>
      <c r="X135" s="637"/>
      <c r="Y135" s="637"/>
      <c r="Z135" s="637"/>
      <c r="AA135" s="637"/>
      <c r="AB135" s="637"/>
      <c r="AC135" s="637"/>
      <c r="AD135" s="637"/>
      <c r="AE135" s="637"/>
      <c r="AF135" s="637"/>
      <c r="AG135" s="637"/>
      <c r="AH135" s="637"/>
      <c r="AI135" s="637"/>
      <c r="AJ135" s="637"/>
      <c r="AK135" s="637"/>
      <c r="AL135" s="637"/>
      <c r="AM135" s="637"/>
      <c r="AN135" s="637"/>
      <c r="AO135" s="637"/>
      <c r="AP135" s="637"/>
      <c r="AQ135" s="637"/>
      <c r="AR135" s="637"/>
      <c r="AS135" s="637"/>
      <c r="AT135" s="637"/>
      <c r="AU135" s="637"/>
      <c r="AV135" s="637"/>
      <c r="AW135" s="637"/>
      <c r="AX135" s="637"/>
      <c r="AY135" s="637"/>
      <c r="AZ135" s="637"/>
      <c r="BA135" s="637"/>
      <c r="BB135" s="637"/>
      <c r="BC135" s="637"/>
      <c r="BD135" s="637"/>
      <c r="BE135" s="637"/>
      <c r="BF135" s="637"/>
      <c r="BG135" s="637"/>
      <c r="BH135" s="637"/>
      <c r="BI135" s="637"/>
      <c r="BJ135" s="637"/>
      <c r="BK135" s="637"/>
      <c r="BL135" s="637"/>
      <c r="BM135" s="637"/>
      <c r="BN135" s="637"/>
      <c r="BO135" s="637"/>
      <c r="BP135" s="637"/>
      <c r="BQ135" s="637"/>
      <c r="BR135" s="637"/>
      <c r="BS135" s="637"/>
      <c r="BT135" s="637"/>
      <c r="BU135" s="637"/>
      <c r="BV135" s="637"/>
      <c r="BW135" s="637"/>
      <c r="BX135" s="637"/>
      <c r="BY135" s="637"/>
      <c r="BZ135" s="637"/>
      <c r="CA135" s="637"/>
      <c r="CB135" s="637"/>
      <c r="CC135" s="637"/>
      <c r="CD135" s="637"/>
      <c r="CE135" s="637"/>
      <c r="CF135" s="637"/>
      <c r="CG135" s="637"/>
      <c r="CH135" s="637"/>
      <c r="CI135" s="637"/>
      <c r="CJ135" s="637"/>
      <c r="CK135" s="637"/>
      <c r="CL135" s="637"/>
      <c r="CM135" s="637"/>
    </row>
    <row r="136" ht="15.75" customHeight="1">
      <c r="A136" s="637"/>
      <c r="B136" s="637"/>
      <c r="C136" s="637"/>
      <c r="D136" s="637"/>
      <c r="E136" s="637"/>
      <c r="F136" s="637"/>
      <c r="G136" s="637"/>
      <c r="H136" s="637"/>
      <c r="I136" s="637"/>
      <c r="J136" s="637"/>
      <c r="K136" s="637"/>
      <c r="L136" s="637"/>
      <c r="M136" s="637"/>
      <c r="N136" s="637"/>
      <c r="O136" s="637"/>
      <c r="P136" s="637"/>
      <c r="Q136" s="637"/>
      <c r="R136" s="637"/>
      <c r="S136" s="637"/>
      <c r="T136" s="637"/>
      <c r="U136" s="637"/>
      <c r="V136" s="637"/>
      <c r="W136" s="637"/>
      <c r="X136" s="637"/>
      <c r="Y136" s="637"/>
      <c r="Z136" s="637"/>
      <c r="AA136" s="637"/>
      <c r="AB136" s="637"/>
      <c r="AC136" s="637"/>
      <c r="AD136" s="637"/>
      <c r="AE136" s="637"/>
      <c r="AF136" s="637"/>
      <c r="AG136" s="637"/>
      <c r="AH136" s="637"/>
      <c r="AI136" s="637"/>
      <c r="AJ136" s="637"/>
      <c r="AK136" s="637"/>
      <c r="AL136" s="637"/>
      <c r="AM136" s="637"/>
      <c r="AN136" s="637"/>
      <c r="AO136" s="637"/>
      <c r="AP136" s="637"/>
      <c r="AQ136" s="637"/>
      <c r="AR136" s="637"/>
      <c r="AS136" s="637"/>
      <c r="AT136" s="637"/>
      <c r="AU136" s="637"/>
      <c r="AV136" s="637"/>
      <c r="AW136" s="637"/>
      <c r="AX136" s="637"/>
      <c r="AY136" s="637"/>
      <c r="AZ136" s="637"/>
      <c r="BA136" s="637"/>
      <c r="BB136" s="637"/>
      <c r="BC136" s="637"/>
      <c r="BD136" s="637"/>
      <c r="BE136" s="637"/>
      <c r="BF136" s="637"/>
      <c r="BG136" s="637"/>
      <c r="BH136" s="637"/>
      <c r="BI136" s="637"/>
      <c r="BJ136" s="637"/>
      <c r="BK136" s="637"/>
      <c r="BL136" s="637"/>
      <c r="BM136" s="637"/>
      <c r="BN136" s="637"/>
      <c r="BO136" s="637"/>
      <c r="BP136" s="637"/>
      <c r="BQ136" s="637"/>
      <c r="BR136" s="637"/>
      <c r="BS136" s="637"/>
      <c r="BT136" s="637"/>
      <c r="BU136" s="637"/>
      <c r="BV136" s="637"/>
      <c r="BW136" s="637"/>
      <c r="BX136" s="637"/>
      <c r="BY136" s="637"/>
      <c r="BZ136" s="637"/>
      <c r="CA136" s="637"/>
      <c r="CB136" s="637"/>
      <c r="CC136" s="637"/>
      <c r="CD136" s="637"/>
      <c r="CE136" s="637"/>
      <c r="CF136" s="637"/>
      <c r="CG136" s="637"/>
      <c r="CH136" s="637"/>
      <c r="CI136" s="637"/>
      <c r="CJ136" s="637"/>
      <c r="CK136" s="637"/>
      <c r="CL136" s="637"/>
      <c r="CM136" s="637"/>
    </row>
    <row r="137" ht="15.75" customHeight="1">
      <c r="A137" s="637"/>
      <c r="B137" s="637"/>
      <c r="C137" s="637"/>
      <c r="D137" s="637"/>
      <c r="E137" s="637"/>
      <c r="F137" s="637"/>
      <c r="G137" s="637"/>
      <c r="H137" s="637"/>
      <c r="I137" s="637"/>
      <c r="J137" s="637"/>
      <c r="K137" s="637"/>
      <c r="L137" s="637"/>
      <c r="M137" s="637"/>
      <c r="N137" s="637"/>
      <c r="O137" s="637"/>
      <c r="P137" s="637"/>
      <c r="Q137" s="637"/>
      <c r="R137" s="637"/>
      <c r="S137" s="637"/>
      <c r="T137" s="637"/>
      <c r="U137" s="637"/>
      <c r="V137" s="637"/>
      <c r="W137" s="637"/>
      <c r="X137" s="637"/>
      <c r="Y137" s="637"/>
      <c r="Z137" s="637"/>
      <c r="AA137" s="637"/>
      <c r="AB137" s="637"/>
      <c r="AC137" s="637"/>
      <c r="AD137" s="637"/>
      <c r="AE137" s="637"/>
      <c r="AF137" s="637"/>
      <c r="AG137" s="637"/>
      <c r="AH137" s="637"/>
      <c r="AI137" s="637"/>
      <c r="AJ137" s="637"/>
      <c r="AK137" s="637"/>
      <c r="AL137" s="637"/>
      <c r="AM137" s="637"/>
      <c r="AN137" s="637"/>
      <c r="AO137" s="637"/>
      <c r="AP137" s="637"/>
      <c r="AQ137" s="637"/>
      <c r="AR137" s="637"/>
      <c r="AS137" s="637"/>
      <c r="AT137" s="637"/>
      <c r="AU137" s="637"/>
      <c r="AV137" s="637"/>
      <c r="AW137" s="637"/>
      <c r="AX137" s="637"/>
      <c r="AY137" s="637"/>
      <c r="AZ137" s="637"/>
      <c r="BA137" s="637"/>
      <c r="BB137" s="637"/>
      <c r="BC137" s="637"/>
      <c r="BD137" s="637"/>
      <c r="BE137" s="637"/>
      <c r="BF137" s="637"/>
      <c r="BG137" s="637"/>
      <c r="BH137" s="637"/>
      <c r="BI137" s="637"/>
      <c r="BJ137" s="637"/>
      <c r="BK137" s="637"/>
      <c r="BL137" s="637"/>
      <c r="BM137" s="637"/>
      <c r="BN137" s="637"/>
      <c r="BO137" s="637"/>
      <c r="BP137" s="637"/>
      <c r="BQ137" s="637"/>
      <c r="BR137" s="637"/>
      <c r="BS137" s="637"/>
      <c r="BT137" s="637"/>
      <c r="BU137" s="637"/>
      <c r="BV137" s="637"/>
      <c r="BW137" s="637"/>
      <c r="BX137" s="637"/>
      <c r="BY137" s="637"/>
      <c r="BZ137" s="637"/>
      <c r="CA137" s="637"/>
      <c r="CB137" s="637"/>
      <c r="CC137" s="637"/>
      <c r="CD137" s="637"/>
      <c r="CE137" s="637"/>
      <c r="CF137" s="637"/>
      <c r="CG137" s="637"/>
      <c r="CH137" s="637"/>
      <c r="CI137" s="637"/>
      <c r="CJ137" s="637"/>
      <c r="CK137" s="637"/>
      <c r="CL137" s="637"/>
      <c r="CM137" s="637"/>
    </row>
    <row r="138" ht="15.75" customHeight="1">
      <c r="A138" s="637"/>
      <c r="B138" s="637"/>
      <c r="C138" s="637"/>
      <c r="D138" s="637"/>
      <c r="E138" s="637"/>
      <c r="F138" s="637"/>
      <c r="G138" s="637"/>
      <c r="H138" s="637"/>
      <c r="I138" s="637"/>
      <c r="J138" s="637"/>
      <c r="K138" s="637"/>
      <c r="L138" s="637"/>
      <c r="M138" s="637"/>
      <c r="N138" s="637"/>
      <c r="O138" s="637"/>
      <c r="P138" s="637"/>
      <c r="Q138" s="637"/>
      <c r="R138" s="637"/>
      <c r="S138" s="637"/>
      <c r="T138" s="637"/>
      <c r="U138" s="637"/>
      <c r="V138" s="637"/>
      <c r="W138" s="637"/>
      <c r="X138" s="637"/>
      <c r="Y138" s="637"/>
      <c r="Z138" s="637"/>
      <c r="AA138" s="637"/>
      <c r="AB138" s="637"/>
      <c r="AC138" s="637"/>
      <c r="AD138" s="637"/>
      <c r="AE138" s="637"/>
      <c r="AF138" s="637"/>
      <c r="AG138" s="637"/>
      <c r="AH138" s="637"/>
      <c r="AI138" s="637"/>
      <c r="AJ138" s="637"/>
      <c r="AK138" s="637"/>
      <c r="AL138" s="637"/>
      <c r="AM138" s="637"/>
      <c r="AN138" s="637"/>
      <c r="AO138" s="637"/>
      <c r="AP138" s="637"/>
      <c r="AQ138" s="637"/>
      <c r="AR138" s="637"/>
      <c r="AS138" s="637"/>
      <c r="AT138" s="637"/>
      <c r="AU138" s="637"/>
      <c r="AV138" s="637"/>
      <c r="AW138" s="637"/>
      <c r="AX138" s="637"/>
      <c r="AY138" s="637"/>
      <c r="AZ138" s="637"/>
      <c r="BA138" s="637"/>
      <c r="BB138" s="637"/>
      <c r="BC138" s="637"/>
      <c r="BD138" s="637"/>
      <c r="BE138" s="637"/>
      <c r="BF138" s="637"/>
      <c r="BG138" s="637"/>
      <c r="BH138" s="637"/>
      <c r="BI138" s="637"/>
      <c r="BJ138" s="637"/>
      <c r="BK138" s="637"/>
      <c r="BL138" s="637"/>
      <c r="BM138" s="637"/>
      <c r="BN138" s="637"/>
      <c r="BO138" s="637"/>
      <c r="BP138" s="637"/>
      <c r="BQ138" s="637"/>
      <c r="BR138" s="637"/>
      <c r="BS138" s="637"/>
      <c r="BT138" s="637"/>
      <c r="BU138" s="637"/>
      <c r="BV138" s="637"/>
      <c r="BW138" s="637"/>
      <c r="BX138" s="637"/>
      <c r="BY138" s="637"/>
      <c r="BZ138" s="637"/>
      <c r="CA138" s="637"/>
      <c r="CB138" s="637"/>
      <c r="CC138" s="637"/>
      <c r="CD138" s="637"/>
      <c r="CE138" s="637"/>
      <c r="CF138" s="637"/>
      <c r="CG138" s="637"/>
      <c r="CH138" s="637"/>
      <c r="CI138" s="637"/>
      <c r="CJ138" s="637"/>
      <c r="CK138" s="637"/>
      <c r="CL138" s="637"/>
      <c r="CM138" s="637"/>
    </row>
    <row r="139" ht="15.75" customHeight="1">
      <c r="A139" s="637"/>
      <c r="B139" s="637"/>
      <c r="C139" s="637"/>
      <c r="D139" s="637"/>
      <c r="E139" s="637"/>
      <c r="F139" s="637"/>
      <c r="G139" s="637"/>
      <c r="H139" s="637"/>
      <c r="I139" s="637"/>
      <c r="J139" s="637"/>
      <c r="K139" s="637"/>
      <c r="L139" s="637"/>
      <c r="M139" s="637"/>
      <c r="N139" s="637"/>
      <c r="O139" s="637"/>
      <c r="P139" s="637"/>
      <c r="Q139" s="637"/>
      <c r="R139" s="637"/>
      <c r="S139" s="637"/>
      <c r="T139" s="637"/>
      <c r="U139" s="637"/>
      <c r="V139" s="637"/>
      <c r="W139" s="637"/>
      <c r="X139" s="637"/>
      <c r="Y139" s="637"/>
      <c r="Z139" s="637"/>
      <c r="AA139" s="637"/>
      <c r="AB139" s="637"/>
      <c r="AC139" s="637"/>
      <c r="AD139" s="637"/>
      <c r="AE139" s="637"/>
      <c r="AF139" s="637"/>
      <c r="AG139" s="637"/>
      <c r="AH139" s="637"/>
      <c r="AI139" s="637"/>
      <c r="AJ139" s="637"/>
      <c r="AK139" s="637"/>
      <c r="AL139" s="637"/>
      <c r="AM139" s="637"/>
      <c r="AN139" s="637"/>
      <c r="AO139" s="637"/>
      <c r="AP139" s="637"/>
      <c r="AQ139" s="637"/>
      <c r="AR139" s="637"/>
      <c r="AS139" s="637"/>
      <c r="AT139" s="637"/>
      <c r="AU139" s="637"/>
      <c r="AV139" s="637"/>
      <c r="AW139" s="637"/>
      <c r="AX139" s="637"/>
      <c r="AY139" s="637"/>
      <c r="AZ139" s="637"/>
      <c r="BA139" s="637"/>
      <c r="BB139" s="637"/>
      <c r="BC139" s="637"/>
      <c r="BD139" s="637"/>
      <c r="BE139" s="637"/>
      <c r="BF139" s="637"/>
      <c r="BG139" s="637"/>
      <c r="BH139" s="637"/>
      <c r="BI139" s="637"/>
      <c r="BJ139" s="637"/>
      <c r="BK139" s="637"/>
      <c r="BL139" s="637"/>
      <c r="BM139" s="637"/>
      <c r="BN139" s="637"/>
      <c r="BO139" s="637"/>
      <c r="BP139" s="637"/>
      <c r="BQ139" s="637"/>
      <c r="BR139" s="637"/>
      <c r="BS139" s="637"/>
      <c r="BT139" s="637"/>
      <c r="BU139" s="637"/>
      <c r="BV139" s="637"/>
      <c r="BW139" s="637"/>
      <c r="BX139" s="637"/>
      <c r="BY139" s="637"/>
      <c r="BZ139" s="637"/>
      <c r="CA139" s="637"/>
      <c r="CB139" s="637"/>
      <c r="CC139" s="637"/>
      <c r="CD139" s="637"/>
      <c r="CE139" s="637"/>
      <c r="CF139" s="637"/>
      <c r="CG139" s="637"/>
      <c r="CH139" s="637"/>
      <c r="CI139" s="637"/>
      <c r="CJ139" s="637"/>
      <c r="CK139" s="637"/>
      <c r="CL139" s="637"/>
      <c r="CM139" s="637"/>
    </row>
    <row r="140" ht="15.75" customHeight="1">
      <c r="A140" s="637"/>
      <c r="B140" s="637"/>
      <c r="C140" s="637"/>
      <c r="D140" s="637"/>
      <c r="E140" s="637"/>
      <c r="F140" s="637"/>
      <c r="G140" s="637"/>
      <c r="H140" s="637"/>
      <c r="I140" s="637"/>
      <c r="J140" s="637"/>
      <c r="K140" s="637"/>
      <c r="L140" s="637"/>
      <c r="M140" s="637"/>
      <c r="N140" s="637"/>
      <c r="O140" s="637"/>
      <c r="P140" s="637"/>
      <c r="Q140" s="637"/>
      <c r="R140" s="637"/>
      <c r="S140" s="637"/>
      <c r="T140" s="637"/>
      <c r="U140" s="637"/>
      <c r="V140" s="637"/>
      <c r="W140" s="637"/>
      <c r="X140" s="637"/>
      <c r="Y140" s="637"/>
      <c r="Z140" s="637"/>
      <c r="AA140" s="637"/>
      <c r="AB140" s="637"/>
      <c r="AC140" s="637"/>
      <c r="AD140" s="637"/>
      <c r="AE140" s="637"/>
      <c r="AF140" s="637"/>
      <c r="AG140" s="637"/>
      <c r="AH140" s="637"/>
      <c r="AI140" s="637"/>
      <c r="AJ140" s="637"/>
      <c r="AK140" s="637"/>
      <c r="AL140" s="637"/>
      <c r="AM140" s="637"/>
      <c r="AN140" s="637"/>
      <c r="AO140" s="637"/>
      <c r="AP140" s="637"/>
      <c r="AQ140" s="637"/>
      <c r="AR140" s="637"/>
      <c r="AS140" s="637"/>
      <c r="AT140" s="637"/>
      <c r="AU140" s="637"/>
      <c r="AV140" s="637"/>
      <c r="AW140" s="637"/>
      <c r="AX140" s="637"/>
      <c r="AY140" s="637"/>
      <c r="AZ140" s="637"/>
      <c r="BA140" s="637"/>
      <c r="BB140" s="637"/>
      <c r="BC140" s="637"/>
      <c r="BD140" s="637"/>
      <c r="BE140" s="637"/>
      <c r="BF140" s="637"/>
      <c r="BG140" s="637"/>
      <c r="BH140" s="637"/>
      <c r="BI140" s="637"/>
      <c r="BJ140" s="637"/>
      <c r="BK140" s="637"/>
      <c r="BL140" s="637"/>
      <c r="BM140" s="637"/>
      <c r="BN140" s="637"/>
      <c r="BO140" s="637"/>
      <c r="BP140" s="637"/>
      <c r="BQ140" s="637"/>
      <c r="BR140" s="637"/>
      <c r="BS140" s="637"/>
      <c r="BT140" s="637"/>
      <c r="BU140" s="637"/>
      <c r="BV140" s="637"/>
      <c r="BW140" s="637"/>
      <c r="BX140" s="637"/>
      <c r="BY140" s="637"/>
      <c r="BZ140" s="637"/>
      <c r="CA140" s="637"/>
      <c r="CB140" s="637"/>
      <c r="CC140" s="637"/>
      <c r="CD140" s="637"/>
      <c r="CE140" s="637"/>
      <c r="CF140" s="637"/>
      <c r="CG140" s="637"/>
      <c r="CH140" s="637"/>
      <c r="CI140" s="637"/>
      <c r="CJ140" s="637"/>
      <c r="CK140" s="637"/>
      <c r="CL140" s="637"/>
      <c r="CM140" s="637"/>
    </row>
    <row r="141" ht="15.75" customHeight="1">
      <c r="A141" s="637"/>
      <c r="B141" s="637"/>
      <c r="C141" s="637"/>
      <c r="D141" s="637"/>
      <c r="E141" s="637"/>
      <c r="F141" s="637"/>
      <c r="G141" s="637"/>
      <c r="H141" s="637"/>
      <c r="I141" s="637"/>
      <c r="J141" s="637"/>
      <c r="K141" s="637"/>
      <c r="L141" s="637"/>
      <c r="M141" s="637"/>
      <c r="N141" s="637"/>
      <c r="O141" s="637"/>
      <c r="P141" s="637"/>
      <c r="Q141" s="637"/>
      <c r="R141" s="637"/>
      <c r="S141" s="637"/>
      <c r="T141" s="637"/>
      <c r="U141" s="637"/>
      <c r="V141" s="637"/>
      <c r="W141" s="637"/>
      <c r="X141" s="637"/>
      <c r="Y141" s="637"/>
      <c r="Z141" s="637"/>
      <c r="AA141" s="637"/>
      <c r="AB141" s="637"/>
      <c r="AC141" s="637"/>
      <c r="AD141" s="637"/>
      <c r="AE141" s="637"/>
      <c r="AF141" s="637"/>
      <c r="AG141" s="637"/>
      <c r="AH141" s="637"/>
      <c r="AI141" s="637"/>
      <c r="AJ141" s="637"/>
      <c r="AK141" s="637"/>
      <c r="AL141" s="637"/>
      <c r="AM141" s="637"/>
      <c r="AN141" s="637"/>
      <c r="AO141" s="637"/>
      <c r="AP141" s="637"/>
      <c r="AQ141" s="637"/>
      <c r="AR141" s="637"/>
      <c r="AS141" s="637"/>
      <c r="AT141" s="637"/>
      <c r="AU141" s="637"/>
      <c r="AV141" s="637"/>
      <c r="AW141" s="637"/>
      <c r="AX141" s="637"/>
      <c r="AY141" s="637"/>
      <c r="AZ141" s="637"/>
      <c r="BA141" s="637"/>
      <c r="BB141" s="637"/>
      <c r="BC141" s="637"/>
      <c r="BD141" s="637"/>
      <c r="BE141" s="637"/>
      <c r="BF141" s="637"/>
      <c r="BG141" s="637"/>
      <c r="BH141" s="637"/>
      <c r="BI141" s="637"/>
      <c r="BJ141" s="637"/>
      <c r="BK141" s="637"/>
      <c r="BL141" s="637"/>
      <c r="BM141" s="637"/>
      <c r="BN141" s="637"/>
      <c r="BO141" s="637"/>
      <c r="BP141" s="637"/>
      <c r="BQ141" s="637"/>
      <c r="BR141" s="637"/>
      <c r="BS141" s="637"/>
      <c r="BT141" s="637"/>
      <c r="BU141" s="637"/>
      <c r="BV141" s="637"/>
      <c r="BW141" s="637"/>
      <c r="BX141" s="637"/>
      <c r="BY141" s="637"/>
      <c r="BZ141" s="637"/>
      <c r="CA141" s="637"/>
      <c r="CB141" s="637"/>
      <c r="CC141" s="637"/>
      <c r="CD141" s="637"/>
      <c r="CE141" s="637"/>
      <c r="CF141" s="637"/>
      <c r="CG141" s="637"/>
      <c r="CH141" s="637"/>
      <c r="CI141" s="637"/>
      <c r="CJ141" s="637"/>
      <c r="CK141" s="637"/>
      <c r="CL141" s="637"/>
      <c r="CM141" s="637"/>
    </row>
    <row r="142" ht="15.75" customHeight="1">
      <c r="A142" s="637"/>
      <c r="B142" s="637"/>
      <c r="C142" s="637"/>
      <c r="D142" s="637"/>
      <c r="E142" s="637"/>
      <c r="F142" s="637"/>
      <c r="G142" s="637"/>
      <c r="H142" s="637"/>
      <c r="I142" s="637"/>
      <c r="J142" s="637"/>
      <c r="K142" s="637"/>
      <c r="L142" s="637"/>
      <c r="M142" s="637"/>
      <c r="N142" s="637"/>
      <c r="O142" s="637"/>
      <c r="P142" s="637"/>
      <c r="Q142" s="637"/>
      <c r="R142" s="637"/>
      <c r="S142" s="637"/>
      <c r="T142" s="637"/>
      <c r="U142" s="637"/>
      <c r="V142" s="637"/>
      <c r="W142" s="637"/>
      <c r="X142" s="637"/>
      <c r="Y142" s="637"/>
      <c r="Z142" s="637"/>
      <c r="AA142" s="637"/>
      <c r="AB142" s="637"/>
      <c r="AC142" s="637"/>
      <c r="AD142" s="637"/>
      <c r="AE142" s="637"/>
      <c r="AF142" s="637"/>
      <c r="AG142" s="637"/>
      <c r="AH142" s="637"/>
      <c r="AI142" s="637"/>
      <c r="AJ142" s="637"/>
      <c r="AK142" s="637"/>
      <c r="AL142" s="637"/>
      <c r="AM142" s="637"/>
      <c r="AN142" s="637"/>
      <c r="AO142" s="637"/>
      <c r="AP142" s="637"/>
      <c r="AQ142" s="637"/>
      <c r="AR142" s="637"/>
      <c r="AS142" s="637"/>
      <c r="AT142" s="637"/>
      <c r="AU142" s="637"/>
      <c r="AV142" s="637"/>
      <c r="AW142" s="637"/>
      <c r="AX142" s="637"/>
      <c r="AY142" s="637"/>
      <c r="AZ142" s="637"/>
      <c r="BA142" s="637"/>
      <c r="BB142" s="637"/>
      <c r="BC142" s="637"/>
      <c r="BD142" s="637"/>
      <c r="BE142" s="637"/>
      <c r="BF142" s="637"/>
      <c r="BG142" s="637"/>
      <c r="BH142" s="637"/>
      <c r="BI142" s="637"/>
      <c r="BJ142" s="637"/>
      <c r="BK142" s="637"/>
      <c r="BL142" s="637"/>
      <c r="BM142" s="637"/>
      <c r="BN142" s="637"/>
      <c r="BO142" s="637"/>
      <c r="BP142" s="637"/>
      <c r="BQ142" s="637"/>
      <c r="BR142" s="637"/>
      <c r="BS142" s="637"/>
      <c r="BT142" s="637"/>
      <c r="BU142" s="637"/>
      <c r="BV142" s="637"/>
      <c r="BW142" s="637"/>
      <c r="BX142" s="637"/>
      <c r="BY142" s="637"/>
      <c r="BZ142" s="637"/>
      <c r="CA142" s="637"/>
      <c r="CB142" s="637"/>
      <c r="CC142" s="637"/>
      <c r="CD142" s="637"/>
      <c r="CE142" s="637"/>
      <c r="CF142" s="637"/>
      <c r="CG142" s="637"/>
      <c r="CH142" s="637"/>
      <c r="CI142" s="637"/>
      <c r="CJ142" s="637"/>
      <c r="CK142" s="637"/>
      <c r="CL142" s="637"/>
      <c r="CM142" s="637"/>
    </row>
    <row r="143" ht="15.75" customHeight="1">
      <c r="A143" s="637"/>
      <c r="B143" s="637"/>
      <c r="C143" s="637"/>
      <c r="D143" s="637"/>
      <c r="E143" s="637"/>
      <c r="F143" s="637"/>
      <c r="G143" s="637"/>
      <c r="H143" s="637"/>
      <c r="I143" s="637"/>
      <c r="J143" s="637"/>
      <c r="K143" s="637"/>
      <c r="L143" s="637"/>
      <c r="M143" s="637"/>
      <c r="N143" s="637"/>
      <c r="O143" s="637"/>
      <c r="P143" s="637"/>
      <c r="Q143" s="637"/>
      <c r="R143" s="637"/>
      <c r="S143" s="637"/>
      <c r="T143" s="637"/>
      <c r="U143" s="637"/>
      <c r="V143" s="637"/>
      <c r="W143" s="637"/>
      <c r="X143" s="637"/>
      <c r="Y143" s="637"/>
      <c r="Z143" s="637"/>
      <c r="AA143" s="637"/>
      <c r="AB143" s="637"/>
      <c r="AC143" s="637"/>
      <c r="AD143" s="637"/>
      <c r="AE143" s="637"/>
      <c r="AF143" s="637"/>
      <c r="AG143" s="637"/>
      <c r="AH143" s="637"/>
      <c r="AI143" s="637"/>
      <c r="AJ143" s="637"/>
      <c r="AK143" s="637"/>
      <c r="AL143" s="637"/>
      <c r="AM143" s="637"/>
      <c r="AN143" s="637"/>
      <c r="AO143" s="637"/>
      <c r="AP143" s="637"/>
      <c r="AQ143" s="637"/>
      <c r="AR143" s="637"/>
      <c r="AS143" s="637"/>
      <c r="AT143" s="637"/>
      <c r="AU143" s="637"/>
      <c r="AV143" s="637"/>
      <c r="AW143" s="637"/>
      <c r="AX143" s="637"/>
      <c r="AY143" s="637"/>
      <c r="AZ143" s="637"/>
      <c r="BA143" s="637"/>
      <c r="BB143" s="637"/>
      <c r="BC143" s="637"/>
      <c r="BD143" s="637"/>
      <c r="BE143" s="637"/>
      <c r="BF143" s="637"/>
      <c r="BG143" s="637"/>
      <c r="BH143" s="637"/>
      <c r="BI143" s="637"/>
      <c r="BJ143" s="637"/>
      <c r="BK143" s="637"/>
      <c r="BL143" s="637"/>
      <c r="BM143" s="637"/>
      <c r="BN143" s="637"/>
      <c r="BO143" s="637"/>
      <c r="BP143" s="637"/>
      <c r="BQ143" s="637"/>
      <c r="BR143" s="637"/>
      <c r="BS143" s="637"/>
      <c r="BT143" s="637"/>
      <c r="BU143" s="637"/>
      <c r="BV143" s="637"/>
      <c r="BW143" s="637"/>
      <c r="BX143" s="637"/>
      <c r="BY143" s="637"/>
      <c r="BZ143" s="637"/>
      <c r="CA143" s="637"/>
      <c r="CB143" s="637"/>
      <c r="CC143" s="637"/>
      <c r="CD143" s="637"/>
      <c r="CE143" s="637"/>
      <c r="CF143" s="637"/>
      <c r="CG143" s="637"/>
      <c r="CH143" s="637"/>
      <c r="CI143" s="637"/>
      <c r="CJ143" s="637"/>
      <c r="CK143" s="637"/>
      <c r="CL143" s="637"/>
      <c r="CM143" s="637"/>
    </row>
    <row r="144" ht="15.75" customHeight="1">
      <c r="A144" s="637"/>
      <c r="B144" s="637"/>
      <c r="C144" s="637"/>
      <c r="D144" s="637"/>
      <c r="E144" s="637"/>
      <c r="F144" s="637"/>
      <c r="G144" s="637"/>
      <c r="H144" s="637"/>
      <c r="I144" s="637"/>
      <c r="J144" s="637"/>
      <c r="K144" s="637"/>
      <c r="L144" s="637"/>
      <c r="M144" s="637"/>
      <c r="N144" s="637"/>
      <c r="O144" s="637"/>
      <c r="P144" s="637"/>
      <c r="Q144" s="637"/>
      <c r="R144" s="637"/>
      <c r="S144" s="637"/>
      <c r="T144" s="637"/>
      <c r="U144" s="637"/>
      <c r="V144" s="637"/>
      <c r="W144" s="637"/>
      <c r="X144" s="637"/>
      <c r="Y144" s="637"/>
      <c r="Z144" s="637"/>
      <c r="AA144" s="637"/>
      <c r="AB144" s="637"/>
      <c r="AC144" s="637"/>
      <c r="AD144" s="637"/>
      <c r="AE144" s="637"/>
      <c r="AF144" s="637"/>
      <c r="AG144" s="637"/>
      <c r="AH144" s="637"/>
      <c r="AI144" s="637"/>
      <c r="AJ144" s="637"/>
      <c r="AK144" s="637"/>
      <c r="AL144" s="637"/>
      <c r="AM144" s="637"/>
      <c r="AN144" s="637"/>
      <c r="AO144" s="637"/>
      <c r="AP144" s="637"/>
      <c r="AQ144" s="637"/>
      <c r="AR144" s="637"/>
      <c r="AS144" s="637"/>
      <c r="AT144" s="637"/>
      <c r="AU144" s="637"/>
      <c r="AV144" s="637"/>
      <c r="AW144" s="637"/>
      <c r="AX144" s="637"/>
      <c r="AY144" s="637"/>
      <c r="AZ144" s="637"/>
      <c r="BA144" s="637"/>
      <c r="BB144" s="637"/>
      <c r="BC144" s="637"/>
      <c r="BD144" s="637"/>
      <c r="BE144" s="637"/>
      <c r="BF144" s="637"/>
      <c r="BG144" s="637"/>
      <c r="BH144" s="637"/>
      <c r="BI144" s="637"/>
      <c r="BJ144" s="637"/>
      <c r="BK144" s="637"/>
      <c r="BL144" s="637"/>
      <c r="BM144" s="637"/>
      <c r="BN144" s="637"/>
      <c r="BO144" s="637"/>
      <c r="BP144" s="637"/>
      <c r="BQ144" s="637"/>
      <c r="BR144" s="637"/>
      <c r="BS144" s="637"/>
      <c r="BT144" s="637"/>
      <c r="BU144" s="637"/>
      <c r="BV144" s="637"/>
      <c r="BW144" s="637"/>
      <c r="BX144" s="637"/>
      <c r="BY144" s="637"/>
      <c r="BZ144" s="637"/>
      <c r="CA144" s="637"/>
      <c r="CB144" s="637"/>
      <c r="CC144" s="637"/>
      <c r="CD144" s="637"/>
      <c r="CE144" s="637"/>
      <c r="CF144" s="637"/>
      <c r="CG144" s="637"/>
      <c r="CH144" s="637"/>
      <c r="CI144" s="637"/>
      <c r="CJ144" s="637"/>
      <c r="CK144" s="637"/>
      <c r="CL144" s="637"/>
      <c r="CM144" s="637"/>
    </row>
    <row r="145" ht="15.75" customHeight="1">
      <c r="A145" s="637"/>
      <c r="B145" s="637"/>
      <c r="C145" s="637"/>
      <c r="D145" s="637"/>
      <c r="E145" s="637"/>
      <c r="F145" s="637"/>
      <c r="G145" s="637"/>
      <c r="H145" s="637"/>
      <c r="I145" s="637"/>
      <c r="J145" s="637"/>
      <c r="K145" s="637"/>
      <c r="L145" s="637"/>
      <c r="M145" s="637"/>
      <c r="N145" s="637"/>
      <c r="O145" s="637"/>
      <c r="P145" s="637"/>
      <c r="Q145" s="637"/>
      <c r="R145" s="637"/>
      <c r="S145" s="637"/>
      <c r="T145" s="637"/>
      <c r="U145" s="637"/>
      <c r="V145" s="637"/>
      <c r="W145" s="637"/>
      <c r="X145" s="637"/>
      <c r="Y145" s="637"/>
      <c r="Z145" s="637"/>
      <c r="AA145" s="637"/>
      <c r="AB145" s="637"/>
      <c r="AC145" s="637"/>
      <c r="AD145" s="637"/>
      <c r="AE145" s="637"/>
      <c r="AF145" s="637"/>
      <c r="AG145" s="637"/>
      <c r="AH145" s="637"/>
      <c r="AI145" s="637"/>
      <c r="AJ145" s="637"/>
      <c r="AK145" s="637"/>
      <c r="AL145" s="637"/>
      <c r="AM145" s="637"/>
      <c r="AN145" s="637"/>
      <c r="AO145" s="637"/>
      <c r="AP145" s="637"/>
      <c r="AQ145" s="637"/>
      <c r="AR145" s="637"/>
      <c r="AS145" s="637"/>
      <c r="AT145" s="637"/>
      <c r="AU145" s="637"/>
      <c r="AV145" s="637"/>
      <c r="AW145" s="637"/>
      <c r="AX145" s="637"/>
      <c r="AY145" s="637"/>
      <c r="AZ145" s="637"/>
      <c r="BA145" s="637"/>
      <c r="BB145" s="637"/>
      <c r="BC145" s="637"/>
      <c r="BD145" s="637"/>
      <c r="BE145" s="637"/>
      <c r="BF145" s="637"/>
      <c r="BG145" s="637"/>
      <c r="BH145" s="637"/>
      <c r="BI145" s="637"/>
      <c r="BJ145" s="637"/>
      <c r="BK145" s="637"/>
      <c r="BL145" s="637"/>
      <c r="BM145" s="637"/>
      <c r="BN145" s="637"/>
      <c r="BO145" s="637"/>
      <c r="BP145" s="637"/>
      <c r="BQ145" s="637"/>
      <c r="BR145" s="637"/>
      <c r="BS145" s="637"/>
      <c r="BT145" s="637"/>
      <c r="BU145" s="637"/>
      <c r="BV145" s="637"/>
      <c r="BW145" s="637"/>
      <c r="BX145" s="637"/>
      <c r="BY145" s="637"/>
      <c r="BZ145" s="637"/>
      <c r="CA145" s="637"/>
      <c r="CB145" s="637"/>
      <c r="CC145" s="637"/>
      <c r="CD145" s="637"/>
      <c r="CE145" s="637"/>
      <c r="CF145" s="637"/>
      <c r="CG145" s="637"/>
      <c r="CH145" s="637"/>
      <c r="CI145" s="637"/>
      <c r="CJ145" s="637"/>
      <c r="CK145" s="637"/>
      <c r="CL145" s="637"/>
      <c r="CM145" s="637"/>
    </row>
    <row r="146" ht="15.75" customHeight="1">
      <c r="A146" s="637"/>
      <c r="B146" s="637"/>
      <c r="C146" s="637"/>
      <c r="D146" s="637"/>
      <c r="E146" s="637"/>
      <c r="F146" s="637"/>
      <c r="G146" s="637"/>
      <c r="H146" s="637"/>
      <c r="I146" s="637"/>
      <c r="J146" s="637"/>
      <c r="K146" s="637"/>
      <c r="L146" s="637"/>
      <c r="M146" s="637"/>
      <c r="N146" s="637"/>
      <c r="O146" s="637"/>
      <c r="P146" s="637"/>
      <c r="Q146" s="637"/>
      <c r="R146" s="637"/>
      <c r="S146" s="637"/>
      <c r="T146" s="637"/>
      <c r="U146" s="637"/>
      <c r="V146" s="637"/>
      <c r="W146" s="637"/>
      <c r="X146" s="637"/>
      <c r="Y146" s="637"/>
      <c r="Z146" s="637"/>
      <c r="AA146" s="637"/>
      <c r="AB146" s="637"/>
      <c r="AC146" s="637"/>
      <c r="AD146" s="637"/>
      <c r="AE146" s="637"/>
      <c r="AF146" s="637"/>
      <c r="AG146" s="637"/>
      <c r="AH146" s="637"/>
      <c r="AI146" s="637"/>
      <c r="AJ146" s="637"/>
      <c r="AK146" s="637"/>
      <c r="AL146" s="637"/>
      <c r="AM146" s="637"/>
      <c r="AN146" s="637"/>
      <c r="AO146" s="637"/>
      <c r="AP146" s="637"/>
      <c r="AQ146" s="637"/>
      <c r="AR146" s="637"/>
      <c r="AS146" s="637"/>
      <c r="AT146" s="637"/>
      <c r="AU146" s="637"/>
      <c r="AV146" s="637"/>
      <c r="AW146" s="637"/>
      <c r="AX146" s="637"/>
      <c r="AY146" s="637"/>
      <c r="AZ146" s="637"/>
      <c r="BA146" s="637"/>
      <c r="BB146" s="637"/>
      <c r="BC146" s="637"/>
      <c r="BD146" s="637"/>
      <c r="BE146" s="637"/>
      <c r="BF146" s="637"/>
      <c r="BG146" s="637"/>
      <c r="BH146" s="637"/>
      <c r="BI146" s="637"/>
      <c r="BJ146" s="637"/>
      <c r="BK146" s="637"/>
      <c r="BL146" s="637"/>
      <c r="BM146" s="637"/>
      <c r="BN146" s="637"/>
      <c r="BO146" s="637"/>
      <c r="BP146" s="637"/>
      <c r="BQ146" s="637"/>
      <c r="BR146" s="637"/>
      <c r="BS146" s="637"/>
      <c r="BT146" s="637"/>
      <c r="BU146" s="637"/>
      <c r="BV146" s="637"/>
      <c r="BW146" s="637"/>
      <c r="BX146" s="637"/>
      <c r="BY146" s="637"/>
      <c r="BZ146" s="637"/>
      <c r="CA146" s="637"/>
      <c r="CB146" s="637"/>
      <c r="CC146" s="637"/>
      <c r="CD146" s="637"/>
      <c r="CE146" s="637"/>
      <c r="CF146" s="637"/>
      <c r="CG146" s="637"/>
      <c r="CH146" s="637"/>
      <c r="CI146" s="637"/>
      <c r="CJ146" s="637"/>
      <c r="CK146" s="637"/>
      <c r="CL146" s="637"/>
      <c r="CM146" s="637"/>
    </row>
    <row r="147" ht="15.75" customHeight="1">
      <c r="A147" s="637"/>
      <c r="B147" s="637"/>
      <c r="C147" s="637"/>
      <c r="D147" s="637"/>
      <c r="E147" s="637"/>
      <c r="F147" s="637"/>
      <c r="G147" s="637"/>
      <c r="H147" s="637"/>
      <c r="I147" s="637"/>
      <c r="J147" s="637"/>
      <c r="K147" s="637"/>
      <c r="L147" s="637"/>
      <c r="M147" s="637"/>
      <c r="N147" s="637"/>
      <c r="O147" s="637"/>
      <c r="P147" s="637"/>
      <c r="Q147" s="637"/>
      <c r="R147" s="637"/>
      <c r="S147" s="637"/>
      <c r="T147" s="637"/>
      <c r="U147" s="637"/>
      <c r="V147" s="637"/>
      <c r="W147" s="637"/>
      <c r="X147" s="637"/>
      <c r="Y147" s="637"/>
      <c r="Z147" s="637"/>
      <c r="AA147" s="637"/>
      <c r="AB147" s="637"/>
      <c r="AC147" s="637"/>
      <c r="AD147" s="637"/>
      <c r="AE147" s="637"/>
      <c r="AF147" s="637"/>
      <c r="AG147" s="637"/>
      <c r="AH147" s="637"/>
      <c r="AI147" s="637"/>
      <c r="AJ147" s="637"/>
      <c r="AK147" s="637"/>
      <c r="AL147" s="637"/>
      <c r="AM147" s="637"/>
      <c r="AN147" s="637"/>
      <c r="AO147" s="637"/>
      <c r="AP147" s="637"/>
      <c r="AQ147" s="637"/>
      <c r="AR147" s="637"/>
      <c r="AS147" s="637"/>
      <c r="AT147" s="637"/>
      <c r="AU147" s="637"/>
      <c r="AV147" s="637"/>
      <c r="AW147" s="637"/>
      <c r="AX147" s="637"/>
      <c r="AY147" s="637"/>
      <c r="AZ147" s="637"/>
      <c r="BA147" s="637"/>
      <c r="BB147" s="637"/>
      <c r="BC147" s="637"/>
      <c r="BD147" s="637"/>
      <c r="BE147" s="637"/>
      <c r="BF147" s="637"/>
      <c r="BG147" s="637"/>
      <c r="BH147" s="637"/>
      <c r="BI147" s="637"/>
      <c r="BJ147" s="637"/>
      <c r="BK147" s="637"/>
      <c r="BL147" s="637"/>
      <c r="BM147" s="637"/>
      <c r="BN147" s="637"/>
      <c r="BO147" s="637"/>
      <c r="BP147" s="637"/>
      <c r="BQ147" s="637"/>
      <c r="BR147" s="637"/>
      <c r="BS147" s="637"/>
      <c r="BT147" s="637"/>
      <c r="BU147" s="637"/>
      <c r="BV147" s="637"/>
      <c r="BW147" s="637"/>
      <c r="BX147" s="637"/>
      <c r="BY147" s="637"/>
      <c r="BZ147" s="637"/>
      <c r="CA147" s="637"/>
      <c r="CB147" s="637"/>
      <c r="CC147" s="637"/>
      <c r="CD147" s="637"/>
      <c r="CE147" s="637"/>
      <c r="CF147" s="637"/>
      <c r="CG147" s="637"/>
      <c r="CH147" s="637"/>
      <c r="CI147" s="637"/>
      <c r="CJ147" s="637"/>
      <c r="CK147" s="637"/>
      <c r="CL147" s="637"/>
      <c r="CM147" s="637"/>
    </row>
    <row r="148" ht="15.75" customHeight="1">
      <c r="A148" s="637"/>
      <c r="B148" s="637"/>
      <c r="C148" s="637"/>
      <c r="D148" s="637"/>
      <c r="E148" s="637"/>
      <c r="F148" s="637"/>
      <c r="G148" s="637"/>
      <c r="H148" s="637"/>
      <c r="I148" s="637"/>
      <c r="J148" s="637"/>
      <c r="K148" s="637"/>
      <c r="L148" s="637"/>
      <c r="M148" s="637"/>
      <c r="N148" s="637"/>
      <c r="O148" s="637"/>
      <c r="P148" s="637"/>
      <c r="Q148" s="637"/>
      <c r="R148" s="637"/>
      <c r="S148" s="637"/>
      <c r="T148" s="637"/>
      <c r="U148" s="637"/>
      <c r="V148" s="637"/>
      <c r="W148" s="637"/>
      <c r="X148" s="637"/>
      <c r="Y148" s="637"/>
      <c r="Z148" s="637"/>
      <c r="AA148" s="637"/>
      <c r="AB148" s="637"/>
      <c r="AC148" s="637"/>
      <c r="AD148" s="637"/>
      <c r="AE148" s="637"/>
      <c r="AF148" s="637"/>
      <c r="AG148" s="637"/>
      <c r="AH148" s="637"/>
      <c r="AI148" s="637"/>
      <c r="AJ148" s="637"/>
      <c r="AK148" s="637"/>
      <c r="AL148" s="637"/>
      <c r="AM148" s="637"/>
      <c r="AN148" s="637"/>
      <c r="AO148" s="637"/>
      <c r="AP148" s="637"/>
      <c r="AQ148" s="637"/>
      <c r="AR148" s="637"/>
      <c r="AS148" s="637"/>
      <c r="AT148" s="637"/>
      <c r="AU148" s="637"/>
      <c r="AV148" s="637"/>
      <c r="AW148" s="637"/>
      <c r="AX148" s="637"/>
      <c r="AY148" s="637"/>
      <c r="AZ148" s="637"/>
      <c r="BA148" s="637"/>
      <c r="BB148" s="637"/>
      <c r="BC148" s="637"/>
      <c r="BD148" s="637"/>
      <c r="BE148" s="637"/>
      <c r="BF148" s="637"/>
      <c r="BG148" s="637"/>
      <c r="BH148" s="637"/>
      <c r="BI148" s="637"/>
      <c r="BJ148" s="637"/>
      <c r="BK148" s="637"/>
      <c r="BL148" s="637"/>
      <c r="BM148" s="637"/>
      <c r="BN148" s="637"/>
      <c r="BO148" s="637"/>
      <c r="BP148" s="637"/>
      <c r="BQ148" s="637"/>
      <c r="BR148" s="637"/>
      <c r="BS148" s="637"/>
      <c r="BT148" s="637"/>
      <c r="BU148" s="637"/>
      <c r="BV148" s="637"/>
      <c r="BW148" s="637"/>
      <c r="BX148" s="637"/>
      <c r="BY148" s="637"/>
      <c r="BZ148" s="637"/>
      <c r="CA148" s="637"/>
      <c r="CB148" s="637"/>
      <c r="CC148" s="637"/>
      <c r="CD148" s="637"/>
      <c r="CE148" s="637"/>
      <c r="CF148" s="637"/>
      <c r="CG148" s="637"/>
      <c r="CH148" s="637"/>
      <c r="CI148" s="637"/>
      <c r="CJ148" s="637"/>
      <c r="CK148" s="637"/>
      <c r="CL148" s="637"/>
      <c r="CM148" s="637"/>
    </row>
    <row r="149" ht="15.75" customHeight="1">
      <c r="A149" s="637"/>
      <c r="B149" s="637"/>
      <c r="C149" s="637"/>
      <c r="D149" s="637"/>
      <c r="E149" s="637"/>
      <c r="F149" s="637"/>
      <c r="G149" s="637"/>
      <c r="H149" s="637"/>
      <c r="I149" s="637"/>
      <c r="J149" s="637"/>
      <c r="K149" s="637"/>
      <c r="L149" s="637"/>
      <c r="M149" s="637"/>
      <c r="N149" s="637"/>
      <c r="O149" s="637"/>
      <c r="P149" s="637"/>
      <c r="Q149" s="637"/>
      <c r="R149" s="637"/>
      <c r="S149" s="637"/>
      <c r="T149" s="637"/>
      <c r="U149" s="637"/>
      <c r="V149" s="637"/>
      <c r="W149" s="637"/>
      <c r="X149" s="637"/>
      <c r="Y149" s="637"/>
      <c r="Z149" s="637"/>
      <c r="AA149" s="637"/>
      <c r="AB149" s="637"/>
      <c r="AC149" s="637"/>
      <c r="AD149" s="637"/>
      <c r="AE149" s="637"/>
      <c r="AF149" s="637"/>
      <c r="AG149" s="637"/>
      <c r="AH149" s="637"/>
      <c r="AI149" s="637"/>
      <c r="AJ149" s="637"/>
      <c r="AK149" s="637"/>
      <c r="AL149" s="637"/>
      <c r="AM149" s="637"/>
      <c r="AN149" s="637"/>
      <c r="AO149" s="637"/>
      <c r="AP149" s="637"/>
      <c r="AQ149" s="637"/>
      <c r="AR149" s="637"/>
      <c r="AS149" s="637"/>
      <c r="AT149" s="637"/>
      <c r="AU149" s="637"/>
      <c r="AV149" s="637"/>
      <c r="AW149" s="637"/>
      <c r="AX149" s="637"/>
      <c r="AY149" s="637"/>
      <c r="AZ149" s="637"/>
      <c r="BA149" s="637"/>
      <c r="BB149" s="637"/>
      <c r="BC149" s="637"/>
      <c r="BD149" s="637"/>
      <c r="BE149" s="637"/>
      <c r="BF149" s="637"/>
      <c r="BG149" s="637"/>
      <c r="BH149" s="637"/>
      <c r="BI149" s="637"/>
      <c r="BJ149" s="637"/>
      <c r="BK149" s="637"/>
      <c r="BL149" s="637"/>
      <c r="BM149" s="637"/>
      <c r="BN149" s="637"/>
      <c r="BO149" s="637"/>
      <c r="BP149" s="637"/>
      <c r="BQ149" s="637"/>
      <c r="BR149" s="637"/>
      <c r="BS149" s="637"/>
      <c r="BT149" s="637"/>
      <c r="BU149" s="637"/>
      <c r="BV149" s="637"/>
      <c r="BW149" s="637"/>
      <c r="BX149" s="637"/>
      <c r="BY149" s="637"/>
      <c r="BZ149" s="637"/>
      <c r="CA149" s="637"/>
      <c r="CB149" s="637"/>
      <c r="CC149" s="637"/>
      <c r="CD149" s="637"/>
      <c r="CE149" s="637"/>
      <c r="CF149" s="637"/>
      <c r="CG149" s="637"/>
      <c r="CH149" s="637"/>
      <c r="CI149" s="637"/>
      <c r="CJ149" s="637"/>
      <c r="CK149" s="637"/>
      <c r="CL149" s="637"/>
      <c r="CM149" s="637"/>
    </row>
    <row r="150" ht="15.75" customHeight="1">
      <c r="A150" s="637"/>
      <c r="B150" s="637"/>
      <c r="C150" s="637"/>
      <c r="D150" s="637"/>
      <c r="E150" s="637"/>
      <c r="F150" s="637"/>
      <c r="G150" s="637"/>
      <c r="H150" s="637"/>
      <c r="I150" s="637"/>
      <c r="J150" s="637"/>
      <c r="K150" s="637"/>
      <c r="L150" s="637"/>
      <c r="M150" s="637"/>
      <c r="N150" s="637"/>
      <c r="O150" s="637"/>
      <c r="P150" s="637"/>
      <c r="Q150" s="637"/>
      <c r="R150" s="637"/>
      <c r="S150" s="637"/>
      <c r="T150" s="637"/>
      <c r="U150" s="637"/>
      <c r="V150" s="637"/>
      <c r="W150" s="637"/>
      <c r="X150" s="637"/>
      <c r="Y150" s="637"/>
      <c r="Z150" s="637"/>
      <c r="AA150" s="637"/>
      <c r="AB150" s="637"/>
      <c r="AC150" s="637"/>
      <c r="AD150" s="637"/>
      <c r="AE150" s="637"/>
      <c r="AF150" s="637"/>
      <c r="AG150" s="637"/>
      <c r="AH150" s="637"/>
      <c r="AI150" s="637"/>
      <c r="AJ150" s="637"/>
      <c r="AK150" s="637"/>
      <c r="AL150" s="637"/>
      <c r="AM150" s="637"/>
      <c r="AN150" s="637"/>
      <c r="AO150" s="637"/>
      <c r="AP150" s="637"/>
      <c r="AQ150" s="637"/>
      <c r="AR150" s="637"/>
      <c r="AS150" s="637"/>
      <c r="AT150" s="637"/>
      <c r="AU150" s="637"/>
      <c r="AV150" s="637"/>
      <c r="AW150" s="637"/>
      <c r="AX150" s="637"/>
      <c r="AY150" s="637"/>
      <c r="AZ150" s="637"/>
      <c r="BA150" s="637"/>
      <c r="BB150" s="637"/>
      <c r="BC150" s="637"/>
      <c r="BD150" s="637"/>
      <c r="BE150" s="637"/>
      <c r="BF150" s="637"/>
      <c r="BG150" s="637"/>
      <c r="BH150" s="637"/>
      <c r="BI150" s="637"/>
      <c r="BJ150" s="637"/>
      <c r="BK150" s="637"/>
      <c r="BL150" s="637"/>
      <c r="BM150" s="637"/>
      <c r="BN150" s="637"/>
      <c r="BO150" s="637"/>
      <c r="BP150" s="637"/>
      <c r="BQ150" s="637"/>
      <c r="BR150" s="637"/>
      <c r="BS150" s="637"/>
      <c r="BT150" s="637"/>
      <c r="BU150" s="637"/>
      <c r="BV150" s="637"/>
      <c r="BW150" s="637"/>
      <c r="BX150" s="637"/>
      <c r="BY150" s="637"/>
      <c r="BZ150" s="637"/>
      <c r="CA150" s="637"/>
      <c r="CB150" s="637"/>
      <c r="CC150" s="637"/>
      <c r="CD150" s="637"/>
      <c r="CE150" s="637"/>
      <c r="CF150" s="637"/>
      <c r="CG150" s="637"/>
      <c r="CH150" s="637"/>
      <c r="CI150" s="637"/>
      <c r="CJ150" s="637"/>
      <c r="CK150" s="637"/>
      <c r="CL150" s="637"/>
      <c r="CM150" s="637"/>
    </row>
    <row r="151" ht="15.75" customHeight="1">
      <c r="A151" s="637"/>
      <c r="B151" s="637"/>
      <c r="C151" s="637"/>
      <c r="D151" s="637"/>
      <c r="E151" s="637"/>
      <c r="F151" s="637"/>
      <c r="G151" s="637"/>
      <c r="H151" s="637"/>
      <c r="I151" s="637"/>
      <c r="J151" s="637"/>
      <c r="K151" s="637"/>
      <c r="L151" s="637"/>
      <c r="M151" s="637"/>
      <c r="N151" s="637"/>
      <c r="O151" s="637"/>
      <c r="P151" s="637"/>
      <c r="Q151" s="637"/>
      <c r="R151" s="637"/>
      <c r="S151" s="637"/>
      <c r="T151" s="637"/>
      <c r="U151" s="637"/>
      <c r="V151" s="637"/>
      <c r="W151" s="637"/>
      <c r="X151" s="637"/>
      <c r="Y151" s="637"/>
      <c r="Z151" s="637"/>
      <c r="AA151" s="637"/>
      <c r="AB151" s="637"/>
      <c r="AC151" s="637"/>
      <c r="AD151" s="637"/>
      <c r="AE151" s="637"/>
      <c r="AF151" s="637"/>
      <c r="AG151" s="637"/>
      <c r="AH151" s="637"/>
      <c r="AI151" s="637"/>
      <c r="AJ151" s="637"/>
      <c r="AK151" s="637"/>
      <c r="AL151" s="637"/>
      <c r="AM151" s="637"/>
      <c r="AN151" s="637"/>
      <c r="AO151" s="637"/>
      <c r="AP151" s="637"/>
      <c r="AQ151" s="637"/>
      <c r="AR151" s="637"/>
      <c r="AS151" s="637"/>
      <c r="AT151" s="637"/>
      <c r="AU151" s="637"/>
      <c r="AV151" s="637"/>
      <c r="AW151" s="637"/>
      <c r="AX151" s="637"/>
      <c r="AY151" s="637"/>
      <c r="AZ151" s="637"/>
      <c r="BA151" s="637"/>
      <c r="BB151" s="637"/>
      <c r="BC151" s="637"/>
      <c r="BD151" s="637"/>
      <c r="BE151" s="637"/>
      <c r="BF151" s="637"/>
      <c r="BG151" s="637"/>
      <c r="BH151" s="637"/>
      <c r="BI151" s="637"/>
      <c r="BJ151" s="637"/>
      <c r="BK151" s="637"/>
      <c r="BL151" s="637"/>
      <c r="BM151" s="637"/>
      <c r="BN151" s="637"/>
      <c r="BO151" s="637"/>
      <c r="BP151" s="637"/>
      <c r="BQ151" s="637"/>
      <c r="BR151" s="637"/>
      <c r="BS151" s="637"/>
      <c r="BT151" s="637"/>
      <c r="BU151" s="637"/>
      <c r="BV151" s="637"/>
      <c r="BW151" s="637"/>
      <c r="BX151" s="637"/>
      <c r="BY151" s="637"/>
      <c r="BZ151" s="637"/>
      <c r="CA151" s="637"/>
      <c r="CB151" s="637"/>
      <c r="CC151" s="637"/>
      <c r="CD151" s="637"/>
      <c r="CE151" s="637"/>
      <c r="CF151" s="637"/>
      <c r="CG151" s="637"/>
      <c r="CH151" s="637"/>
      <c r="CI151" s="637"/>
      <c r="CJ151" s="637"/>
      <c r="CK151" s="637"/>
      <c r="CL151" s="637"/>
      <c r="CM151" s="637"/>
    </row>
    <row r="152" ht="15.75" customHeight="1">
      <c r="A152" s="637"/>
      <c r="B152" s="637"/>
      <c r="C152" s="637"/>
      <c r="D152" s="637"/>
      <c r="E152" s="637"/>
      <c r="F152" s="637"/>
      <c r="G152" s="637"/>
      <c r="H152" s="637"/>
      <c r="I152" s="637"/>
      <c r="J152" s="637"/>
      <c r="K152" s="637"/>
      <c r="L152" s="637"/>
      <c r="M152" s="637"/>
      <c r="N152" s="637"/>
      <c r="O152" s="637"/>
      <c r="P152" s="637"/>
      <c r="Q152" s="637"/>
      <c r="R152" s="637"/>
      <c r="S152" s="637"/>
      <c r="T152" s="637"/>
      <c r="U152" s="637"/>
      <c r="V152" s="637"/>
      <c r="W152" s="637"/>
      <c r="X152" s="637"/>
      <c r="Y152" s="637"/>
      <c r="Z152" s="637"/>
      <c r="AA152" s="637"/>
      <c r="AB152" s="637"/>
      <c r="AC152" s="637"/>
      <c r="AD152" s="637"/>
      <c r="AE152" s="637"/>
      <c r="AF152" s="637"/>
      <c r="AG152" s="637"/>
      <c r="AH152" s="637"/>
      <c r="AI152" s="637"/>
      <c r="AJ152" s="637"/>
      <c r="AK152" s="637"/>
      <c r="AL152" s="637"/>
      <c r="AM152" s="637"/>
      <c r="AN152" s="637"/>
      <c r="AO152" s="637"/>
      <c r="AP152" s="637"/>
      <c r="AQ152" s="637"/>
      <c r="AR152" s="637"/>
      <c r="AS152" s="637"/>
      <c r="AT152" s="637"/>
      <c r="AU152" s="637"/>
      <c r="AV152" s="637"/>
      <c r="AW152" s="637"/>
      <c r="AX152" s="637"/>
      <c r="AY152" s="637"/>
      <c r="AZ152" s="637"/>
      <c r="BA152" s="637"/>
      <c r="BB152" s="637"/>
      <c r="BC152" s="637"/>
      <c r="BD152" s="637"/>
      <c r="BE152" s="637"/>
      <c r="BF152" s="637"/>
      <c r="BG152" s="637"/>
      <c r="BH152" s="637"/>
      <c r="BI152" s="637"/>
      <c r="BJ152" s="637"/>
      <c r="BK152" s="637"/>
      <c r="BL152" s="637"/>
      <c r="BM152" s="637"/>
      <c r="BN152" s="637"/>
      <c r="BO152" s="637"/>
      <c r="BP152" s="637"/>
      <c r="BQ152" s="637"/>
      <c r="BR152" s="637"/>
      <c r="BS152" s="637"/>
      <c r="BT152" s="637"/>
      <c r="BU152" s="637"/>
      <c r="BV152" s="637"/>
      <c r="BW152" s="637"/>
      <c r="BX152" s="637"/>
      <c r="BY152" s="637"/>
      <c r="BZ152" s="637"/>
      <c r="CA152" s="637"/>
      <c r="CB152" s="637"/>
      <c r="CC152" s="637"/>
      <c r="CD152" s="637"/>
      <c r="CE152" s="637"/>
      <c r="CF152" s="637"/>
      <c r="CG152" s="637"/>
      <c r="CH152" s="637"/>
      <c r="CI152" s="637"/>
      <c r="CJ152" s="637"/>
      <c r="CK152" s="637"/>
      <c r="CL152" s="637"/>
      <c r="CM152" s="637"/>
    </row>
    <row r="153" ht="15.75" customHeight="1">
      <c r="A153" s="637"/>
      <c r="B153" s="637"/>
      <c r="C153" s="637"/>
      <c r="D153" s="637"/>
      <c r="E153" s="637"/>
      <c r="F153" s="637"/>
      <c r="G153" s="637"/>
      <c r="H153" s="637"/>
      <c r="I153" s="637"/>
      <c r="J153" s="637"/>
      <c r="K153" s="637"/>
      <c r="L153" s="637"/>
      <c r="M153" s="637"/>
      <c r="N153" s="637"/>
      <c r="O153" s="637"/>
      <c r="P153" s="637"/>
      <c r="Q153" s="637"/>
      <c r="R153" s="637"/>
      <c r="S153" s="637"/>
      <c r="T153" s="637"/>
      <c r="U153" s="637"/>
      <c r="V153" s="637"/>
      <c r="W153" s="637"/>
      <c r="X153" s="637"/>
      <c r="Y153" s="637"/>
      <c r="Z153" s="637"/>
      <c r="AA153" s="637"/>
      <c r="AB153" s="637"/>
      <c r="AC153" s="637"/>
      <c r="AD153" s="637"/>
      <c r="AE153" s="637"/>
      <c r="AF153" s="637"/>
      <c r="AG153" s="637"/>
      <c r="AH153" s="637"/>
      <c r="AI153" s="637"/>
      <c r="AJ153" s="637"/>
      <c r="AK153" s="637"/>
      <c r="AL153" s="637"/>
      <c r="AM153" s="637"/>
      <c r="AN153" s="637"/>
      <c r="AO153" s="637"/>
      <c r="AP153" s="637"/>
      <c r="AQ153" s="637"/>
      <c r="AR153" s="637"/>
      <c r="AS153" s="637"/>
      <c r="AT153" s="637"/>
      <c r="AU153" s="637"/>
      <c r="AV153" s="637"/>
      <c r="AW153" s="637"/>
      <c r="AX153" s="637"/>
      <c r="AY153" s="637"/>
      <c r="AZ153" s="637"/>
      <c r="BA153" s="637"/>
      <c r="BB153" s="637"/>
      <c r="BC153" s="637"/>
      <c r="BD153" s="637"/>
      <c r="BE153" s="637"/>
      <c r="BF153" s="637"/>
      <c r="BG153" s="637"/>
      <c r="BH153" s="637"/>
      <c r="BI153" s="637"/>
      <c r="BJ153" s="637"/>
      <c r="BK153" s="637"/>
      <c r="BL153" s="637"/>
      <c r="BM153" s="637"/>
      <c r="BN153" s="637"/>
      <c r="BO153" s="637"/>
      <c r="BP153" s="637"/>
      <c r="BQ153" s="637"/>
      <c r="BR153" s="637"/>
      <c r="BS153" s="637"/>
      <c r="BT153" s="637"/>
      <c r="BU153" s="637"/>
      <c r="BV153" s="637"/>
      <c r="BW153" s="637"/>
      <c r="BX153" s="637"/>
      <c r="BY153" s="637"/>
      <c r="BZ153" s="637"/>
      <c r="CA153" s="637"/>
      <c r="CB153" s="637"/>
      <c r="CC153" s="637"/>
      <c r="CD153" s="637"/>
      <c r="CE153" s="637"/>
      <c r="CF153" s="637"/>
      <c r="CG153" s="637"/>
      <c r="CH153" s="637"/>
      <c r="CI153" s="637"/>
      <c r="CJ153" s="637"/>
      <c r="CK153" s="637"/>
      <c r="CL153" s="637"/>
      <c r="CM153" s="637"/>
    </row>
    <row r="154" ht="15.75" customHeight="1">
      <c r="A154" s="637"/>
      <c r="B154" s="637"/>
      <c r="C154" s="637"/>
      <c r="D154" s="637"/>
      <c r="E154" s="637"/>
      <c r="F154" s="637"/>
      <c r="G154" s="637"/>
      <c r="H154" s="637"/>
      <c r="I154" s="637"/>
      <c r="J154" s="637"/>
      <c r="K154" s="637"/>
      <c r="L154" s="637"/>
      <c r="M154" s="637"/>
      <c r="N154" s="637"/>
      <c r="O154" s="637"/>
      <c r="P154" s="637"/>
      <c r="Q154" s="637"/>
      <c r="R154" s="637"/>
      <c r="S154" s="637"/>
      <c r="T154" s="637"/>
      <c r="U154" s="637"/>
      <c r="V154" s="637"/>
      <c r="W154" s="637"/>
      <c r="X154" s="637"/>
      <c r="Y154" s="637"/>
      <c r="Z154" s="637"/>
      <c r="AA154" s="637"/>
      <c r="AB154" s="637"/>
      <c r="AC154" s="637"/>
      <c r="AD154" s="637"/>
      <c r="AE154" s="637"/>
      <c r="AF154" s="637"/>
      <c r="AG154" s="637"/>
      <c r="AH154" s="637"/>
      <c r="AI154" s="637"/>
      <c r="AJ154" s="637"/>
      <c r="AK154" s="637"/>
      <c r="AL154" s="637"/>
      <c r="AM154" s="637"/>
      <c r="AN154" s="637"/>
      <c r="AO154" s="637"/>
      <c r="AP154" s="637"/>
      <c r="AQ154" s="637"/>
      <c r="AR154" s="637"/>
      <c r="AS154" s="637"/>
      <c r="AT154" s="637"/>
      <c r="AU154" s="637"/>
      <c r="AV154" s="637"/>
      <c r="AW154" s="637"/>
      <c r="AX154" s="637"/>
      <c r="AY154" s="637"/>
      <c r="AZ154" s="637"/>
      <c r="BA154" s="637"/>
      <c r="BB154" s="637"/>
      <c r="BC154" s="637"/>
      <c r="BD154" s="637"/>
      <c r="BE154" s="637"/>
      <c r="BF154" s="637"/>
      <c r="BG154" s="637"/>
      <c r="BH154" s="637"/>
      <c r="BI154" s="637"/>
      <c r="BJ154" s="637"/>
      <c r="BK154" s="637"/>
      <c r="BL154" s="637"/>
      <c r="BM154" s="637"/>
      <c r="BN154" s="637"/>
      <c r="BO154" s="637"/>
      <c r="BP154" s="637"/>
      <c r="BQ154" s="637"/>
      <c r="BR154" s="637"/>
      <c r="BS154" s="637"/>
      <c r="BT154" s="637"/>
      <c r="BU154" s="637"/>
      <c r="BV154" s="637"/>
      <c r="BW154" s="637"/>
      <c r="BX154" s="637"/>
      <c r="BY154" s="637"/>
      <c r="BZ154" s="637"/>
      <c r="CA154" s="637"/>
      <c r="CB154" s="637"/>
      <c r="CC154" s="637"/>
      <c r="CD154" s="637"/>
      <c r="CE154" s="637"/>
      <c r="CF154" s="637"/>
      <c r="CG154" s="637"/>
      <c r="CH154" s="637"/>
      <c r="CI154" s="637"/>
      <c r="CJ154" s="637"/>
      <c r="CK154" s="637"/>
      <c r="CL154" s="637"/>
      <c r="CM154" s="637"/>
    </row>
    <row r="155" ht="15.75" customHeight="1">
      <c r="A155" s="637"/>
      <c r="B155" s="637"/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7"/>
      <c r="P155" s="637"/>
      <c r="Q155" s="637"/>
      <c r="R155" s="637"/>
      <c r="S155" s="637"/>
      <c r="T155" s="637"/>
      <c r="U155" s="637"/>
      <c r="V155" s="637"/>
      <c r="W155" s="637"/>
      <c r="X155" s="637"/>
      <c r="Y155" s="637"/>
      <c r="Z155" s="637"/>
      <c r="AA155" s="637"/>
      <c r="AB155" s="637"/>
      <c r="AC155" s="637"/>
      <c r="AD155" s="637"/>
      <c r="AE155" s="637"/>
      <c r="AF155" s="637"/>
      <c r="AG155" s="637"/>
      <c r="AH155" s="637"/>
      <c r="AI155" s="637"/>
      <c r="AJ155" s="637"/>
      <c r="AK155" s="637"/>
      <c r="AL155" s="637"/>
      <c r="AM155" s="637"/>
      <c r="AN155" s="637"/>
      <c r="AO155" s="637"/>
      <c r="AP155" s="637"/>
      <c r="AQ155" s="637"/>
      <c r="AR155" s="637"/>
      <c r="AS155" s="637"/>
      <c r="AT155" s="637"/>
      <c r="AU155" s="637"/>
      <c r="AV155" s="637"/>
      <c r="AW155" s="637"/>
      <c r="AX155" s="637"/>
      <c r="AY155" s="637"/>
      <c r="AZ155" s="637"/>
      <c r="BA155" s="637"/>
      <c r="BB155" s="637"/>
      <c r="BC155" s="637"/>
      <c r="BD155" s="637"/>
      <c r="BE155" s="637"/>
      <c r="BF155" s="637"/>
      <c r="BG155" s="637"/>
      <c r="BH155" s="637"/>
      <c r="BI155" s="637"/>
      <c r="BJ155" s="637"/>
      <c r="BK155" s="637"/>
      <c r="BL155" s="637"/>
      <c r="BM155" s="637"/>
      <c r="BN155" s="637"/>
      <c r="BO155" s="637"/>
      <c r="BP155" s="637"/>
      <c r="BQ155" s="637"/>
      <c r="BR155" s="637"/>
      <c r="BS155" s="637"/>
      <c r="BT155" s="637"/>
      <c r="BU155" s="637"/>
      <c r="BV155" s="637"/>
      <c r="BW155" s="637"/>
      <c r="BX155" s="637"/>
      <c r="BY155" s="637"/>
      <c r="BZ155" s="637"/>
      <c r="CA155" s="637"/>
      <c r="CB155" s="637"/>
      <c r="CC155" s="637"/>
      <c r="CD155" s="637"/>
      <c r="CE155" s="637"/>
      <c r="CF155" s="637"/>
      <c r="CG155" s="637"/>
      <c r="CH155" s="637"/>
      <c r="CI155" s="637"/>
      <c r="CJ155" s="637"/>
      <c r="CK155" s="637"/>
      <c r="CL155" s="637"/>
      <c r="CM155" s="637"/>
    </row>
    <row r="156" ht="15.75" customHeight="1">
      <c r="A156" s="637"/>
      <c r="B156" s="637"/>
      <c r="C156" s="637"/>
      <c r="D156" s="637"/>
      <c r="E156" s="637"/>
      <c r="F156" s="637"/>
      <c r="G156" s="637"/>
      <c r="H156" s="637"/>
      <c r="I156" s="637"/>
      <c r="J156" s="637"/>
      <c r="K156" s="637"/>
      <c r="L156" s="637"/>
      <c r="M156" s="637"/>
      <c r="N156" s="637"/>
      <c r="O156" s="637"/>
      <c r="P156" s="637"/>
      <c r="Q156" s="637"/>
      <c r="R156" s="637"/>
      <c r="S156" s="637"/>
      <c r="T156" s="637"/>
      <c r="U156" s="637"/>
      <c r="V156" s="637"/>
      <c r="W156" s="637"/>
      <c r="X156" s="637"/>
      <c r="Y156" s="637"/>
      <c r="Z156" s="637"/>
      <c r="AA156" s="637"/>
      <c r="AB156" s="637"/>
      <c r="AC156" s="637"/>
      <c r="AD156" s="637"/>
      <c r="AE156" s="637"/>
      <c r="AF156" s="637"/>
      <c r="AG156" s="637"/>
      <c r="AH156" s="637"/>
      <c r="AI156" s="637"/>
      <c r="AJ156" s="637"/>
      <c r="AK156" s="637"/>
      <c r="AL156" s="637"/>
      <c r="AM156" s="637"/>
      <c r="AN156" s="637"/>
      <c r="AO156" s="637"/>
      <c r="AP156" s="637"/>
      <c r="AQ156" s="637"/>
      <c r="AR156" s="637"/>
      <c r="AS156" s="637"/>
      <c r="AT156" s="637"/>
      <c r="AU156" s="637"/>
      <c r="AV156" s="637"/>
      <c r="AW156" s="637"/>
      <c r="AX156" s="637"/>
      <c r="AY156" s="637"/>
      <c r="AZ156" s="637"/>
      <c r="BA156" s="637"/>
      <c r="BB156" s="637"/>
      <c r="BC156" s="637"/>
      <c r="BD156" s="637"/>
      <c r="BE156" s="637"/>
      <c r="BF156" s="637"/>
      <c r="BG156" s="637"/>
      <c r="BH156" s="637"/>
      <c r="BI156" s="637"/>
      <c r="BJ156" s="637"/>
      <c r="BK156" s="637"/>
      <c r="BL156" s="637"/>
      <c r="BM156" s="637"/>
      <c r="BN156" s="637"/>
      <c r="BO156" s="637"/>
      <c r="BP156" s="637"/>
      <c r="BQ156" s="637"/>
      <c r="BR156" s="637"/>
      <c r="BS156" s="637"/>
      <c r="BT156" s="637"/>
      <c r="BU156" s="637"/>
      <c r="BV156" s="637"/>
      <c r="BW156" s="637"/>
      <c r="BX156" s="637"/>
      <c r="BY156" s="637"/>
      <c r="BZ156" s="637"/>
      <c r="CA156" s="637"/>
      <c r="CB156" s="637"/>
      <c r="CC156" s="637"/>
      <c r="CD156" s="637"/>
      <c r="CE156" s="637"/>
      <c r="CF156" s="637"/>
      <c r="CG156" s="637"/>
      <c r="CH156" s="637"/>
      <c r="CI156" s="637"/>
      <c r="CJ156" s="637"/>
      <c r="CK156" s="637"/>
      <c r="CL156" s="637"/>
      <c r="CM156" s="637"/>
    </row>
    <row r="157" ht="15.75" customHeight="1">
      <c r="A157" s="637"/>
      <c r="B157" s="637"/>
      <c r="C157" s="637"/>
      <c r="D157" s="637"/>
      <c r="E157" s="637"/>
      <c r="F157" s="637"/>
      <c r="G157" s="637"/>
      <c r="H157" s="637"/>
      <c r="I157" s="637"/>
      <c r="J157" s="637"/>
      <c r="K157" s="637"/>
      <c r="L157" s="637"/>
      <c r="M157" s="637"/>
      <c r="N157" s="637"/>
      <c r="O157" s="637"/>
      <c r="P157" s="637"/>
      <c r="Q157" s="637"/>
      <c r="R157" s="637"/>
      <c r="S157" s="637"/>
      <c r="T157" s="637"/>
      <c r="U157" s="637"/>
      <c r="V157" s="637"/>
      <c r="W157" s="637"/>
      <c r="X157" s="637"/>
      <c r="Y157" s="637"/>
      <c r="Z157" s="637"/>
      <c r="AA157" s="637"/>
      <c r="AB157" s="637"/>
      <c r="AC157" s="637"/>
      <c r="AD157" s="637"/>
      <c r="AE157" s="637"/>
      <c r="AF157" s="637"/>
      <c r="AG157" s="637"/>
      <c r="AH157" s="637"/>
      <c r="AI157" s="637"/>
      <c r="AJ157" s="637"/>
      <c r="AK157" s="637"/>
      <c r="AL157" s="637"/>
      <c r="AM157" s="637"/>
      <c r="AN157" s="637"/>
      <c r="AO157" s="637"/>
      <c r="AP157" s="637"/>
      <c r="AQ157" s="637"/>
      <c r="AR157" s="637"/>
      <c r="AS157" s="637"/>
      <c r="AT157" s="637"/>
      <c r="AU157" s="637"/>
      <c r="AV157" s="637"/>
      <c r="AW157" s="637"/>
      <c r="AX157" s="637"/>
      <c r="AY157" s="637"/>
      <c r="AZ157" s="637"/>
      <c r="BA157" s="637"/>
      <c r="BB157" s="637"/>
      <c r="BC157" s="637"/>
      <c r="BD157" s="637"/>
      <c r="BE157" s="637"/>
      <c r="BF157" s="637"/>
      <c r="BG157" s="637"/>
      <c r="BH157" s="637"/>
      <c r="BI157" s="637"/>
      <c r="BJ157" s="637"/>
      <c r="BK157" s="637"/>
      <c r="BL157" s="637"/>
      <c r="BM157" s="637"/>
      <c r="BN157" s="637"/>
      <c r="BO157" s="637"/>
      <c r="BP157" s="637"/>
      <c r="BQ157" s="637"/>
      <c r="BR157" s="637"/>
      <c r="BS157" s="637"/>
      <c r="BT157" s="637"/>
      <c r="BU157" s="637"/>
      <c r="BV157" s="637"/>
      <c r="BW157" s="637"/>
      <c r="BX157" s="637"/>
      <c r="BY157" s="637"/>
      <c r="BZ157" s="637"/>
      <c r="CA157" s="637"/>
      <c r="CB157" s="637"/>
      <c r="CC157" s="637"/>
      <c r="CD157" s="637"/>
      <c r="CE157" s="637"/>
      <c r="CF157" s="637"/>
      <c r="CG157" s="637"/>
      <c r="CH157" s="637"/>
      <c r="CI157" s="637"/>
      <c r="CJ157" s="637"/>
      <c r="CK157" s="637"/>
      <c r="CL157" s="637"/>
      <c r="CM157" s="637"/>
    </row>
    <row r="158" ht="15.75" customHeight="1">
      <c r="A158" s="637"/>
      <c r="B158" s="637"/>
      <c r="C158" s="637"/>
      <c r="D158" s="637"/>
      <c r="E158" s="637"/>
      <c r="F158" s="637"/>
      <c r="G158" s="637"/>
      <c r="H158" s="637"/>
      <c r="I158" s="637"/>
      <c r="J158" s="637"/>
      <c r="K158" s="637"/>
      <c r="L158" s="637"/>
      <c r="M158" s="637"/>
      <c r="N158" s="637"/>
      <c r="O158" s="637"/>
      <c r="P158" s="637"/>
      <c r="Q158" s="637"/>
      <c r="R158" s="637"/>
      <c r="S158" s="637"/>
      <c r="T158" s="637"/>
      <c r="U158" s="637"/>
      <c r="V158" s="637"/>
      <c r="W158" s="637"/>
      <c r="X158" s="637"/>
      <c r="Y158" s="637"/>
      <c r="Z158" s="637"/>
      <c r="AA158" s="637"/>
      <c r="AB158" s="637"/>
      <c r="AC158" s="637"/>
      <c r="AD158" s="637"/>
      <c r="AE158" s="637"/>
      <c r="AF158" s="637"/>
      <c r="AG158" s="637"/>
      <c r="AH158" s="637"/>
      <c r="AI158" s="637"/>
      <c r="AJ158" s="637"/>
      <c r="AK158" s="637"/>
      <c r="AL158" s="637"/>
      <c r="AM158" s="637"/>
      <c r="AN158" s="637"/>
      <c r="AO158" s="637"/>
      <c r="AP158" s="637"/>
      <c r="AQ158" s="637"/>
      <c r="AR158" s="637"/>
      <c r="AS158" s="637"/>
      <c r="AT158" s="637"/>
      <c r="AU158" s="637"/>
      <c r="AV158" s="637"/>
      <c r="AW158" s="637"/>
      <c r="AX158" s="637"/>
      <c r="AY158" s="637"/>
      <c r="AZ158" s="637"/>
      <c r="BA158" s="637"/>
      <c r="BB158" s="637"/>
      <c r="BC158" s="637"/>
      <c r="BD158" s="637"/>
      <c r="BE158" s="637"/>
      <c r="BF158" s="637"/>
      <c r="BG158" s="637"/>
      <c r="BH158" s="637"/>
      <c r="BI158" s="637"/>
      <c r="BJ158" s="637"/>
      <c r="BK158" s="637"/>
      <c r="BL158" s="637"/>
      <c r="BM158" s="637"/>
      <c r="BN158" s="637"/>
      <c r="BO158" s="637"/>
      <c r="BP158" s="637"/>
      <c r="BQ158" s="637"/>
      <c r="BR158" s="637"/>
      <c r="BS158" s="637"/>
      <c r="BT158" s="637"/>
      <c r="BU158" s="637"/>
      <c r="BV158" s="637"/>
      <c r="BW158" s="637"/>
      <c r="BX158" s="637"/>
      <c r="BY158" s="637"/>
      <c r="BZ158" s="637"/>
      <c r="CA158" s="637"/>
      <c r="CB158" s="637"/>
      <c r="CC158" s="637"/>
      <c r="CD158" s="637"/>
      <c r="CE158" s="637"/>
      <c r="CF158" s="637"/>
      <c r="CG158" s="637"/>
      <c r="CH158" s="637"/>
      <c r="CI158" s="637"/>
      <c r="CJ158" s="637"/>
      <c r="CK158" s="637"/>
      <c r="CL158" s="637"/>
      <c r="CM158" s="637"/>
    </row>
    <row r="159" ht="15.75" customHeight="1">
      <c r="A159" s="637"/>
      <c r="B159" s="637"/>
      <c r="C159" s="637"/>
      <c r="D159" s="637"/>
      <c r="E159" s="637"/>
      <c r="F159" s="637"/>
      <c r="G159" s="637"/>
      <c r="H159" s="637"/>
      <c r="I159" s="637"/>
      <c r="J159" s="637"/>
      <c r="K159" s="637"/>
      <c r="L159" s="637"/>
      <c r="M159" s="637"/>
      <c r="N159" s="637"/>
      <c r="O159" s="637"/>
      <c r="P159" s="637"/>
      <c r="Q159" s="637"/>
      <c r="R159" s="637"/>
      <c r="S159" s="637"/>
      <c r="T159" s="637"/>
      <c r="U159" s="637"/>
      <c r="V159" s="637"/>
      <c r="W159" s="637"/>
      <c r="X159" s="637"/>
      <c r="Y159" s="637"/>
      <c r="Z159" s="637"/>
      <c r="AA159" s="637"/>
      <c r="AB159" s="637"/>
      <c r="AC159" s="637"/>
      <c r="AD159" s="637"/>
      <c r="AE159" s="637"/>
      <c r="AF159" s="637"/>
      <c r="AG159" s="637"/>
      <c r="AH159" s="637"/>
      <c r="AI159" s="637"/>
      <c r="AJ159" s="637"/>
      <c r="AK159" s="637"/>
      <c r="AL159" s="637"/>
      <c r="AM159" s="637"/>
      <c r="AN159" s="637"/>
      <c r="AO159" s="637"/>
      <c r="AP159" s="637"/>
      <c r="AQ159" s="637"/>
      <c r="AR159" s="637"/>
      <c r="AS159" s="637"/>
      <c r="AT159" s="637"/>
      <c r="AU159" s="637"/>
      <c r="AV159" s="637"/>
      <c r="AW159" s="637"/>
      <c r="AX159" s="637"/>
      <c r="AY159" s="637"/>
      <c r="AZ159" s="637"/>
      <c r="BA159" s="637"/>
      <c r="BB159" s="637"/>
      <c r="BC159" s="637"/>
      <c r="BD159" s="637"/>
      <c r="BE159" s="637"/>
      <c r="BF159" s="637"/>
      <c r="BG159" s="637"/>
      <c r="BH159" s="637"/>
      <c r="BI159" s="637"/>
      <c r="BJ159" s="637"/>
      <c r="BK159" s="637"/>
      <c r="BL159" s="637"/>
      <c r="BM159" s="637"/>
      <c r="BN159" s="637"/>
      <c r="BO159" s="637"/>
      <c r="BP159" s="637"/>
      <c r="BQ159" s="637"/>
      <c r="BR159" s="637"/>
      <c r="BS159" s="637"/>
      <c r="BT159" s="637"/>
      <c r="BU159" s="637"/>
      <c r="BV159" s="637"/>
      <c r="BW159" s="637"/>
      <c r="BX159" s="637"/>
      <c r="BY159" s="637"/>
      <c r="BZ159" s="637"/>
      <c r="CA159" s="637"/>
      <c r="CB159" s="637"/>
      <c r="CC159" s="637"/>
      <c r="CD159" s="637"/>
      <c r="CE159" s="637"/>
      <c r="CF159" s="637"/>
      <c r="CG159" s="637"/>
      <c r="CH159" s="637"/>
      <c r="CI159" s="637"/>
      <c r="CJ159" s="637"/>
      <c r="CK159" s="637"/>
      <c r="CL159" s="637"/>
      <c r="CM159" s="637"/>
    </row>
    <row r="160" ht="15.75" customHeight="1">
      <c r="A160" s="637"/>
      <c r="B160" s="637"/>
      <c r="C160" s="637"/>
      <c r="D160" s="637"/>
      <c r="E160" s="637"/>
      <c r="F160" s="637"/>
      <c r="G160" s="637"/>
      <c r="H160" s="637"/>
      <c r="I160" s="637"/>
      <c r="J160" s="637"/>
      <c r="K160" s="637"/>
      <c r="L160" s="637"/>
      <c r="M160" s="637"/>
      <c r="N160" s="637"/>
      <c r="O160" s="637"/>
      <c r="P160" s="637"/>
      <c r="Q160" s="637"/>
      <c r="R160" s="637"/>
      <c r="S160" s="637"/>
      <c r="T160" s="637"/>
      <c r="U160" s="637"/>
      <c r="V160" s="637"/>
      <c r="W160" s="637"/>
      <c r="X160" s="637"/>
      <c r="Y160" s="637"/>
      <c r="Z160" s="637"/>
      <c r="AA160" s="637"/>
      <c r="AB160" s="637"/>
      <c r="AC160" s="637"/>
      <c r="AD160" s="637"/>
      <c r="AE160" s="637"/>
      <c r="AF160" s="637"/>
      <c r="AG160" s="637"/>
      <c r="AH160" s="637"/>
      <c r="AI160" s="637"/>
      <c r="AJ160" s="637"/>
      <c r="AK160" s="637"/>
      <c r="AL160" s="637"/>
      <c r="AM160" s="637"/>
      <c r="AN160" s="637"/>
      <c r="AO160" s="637"/>
      <c r="AP160" s="637"/>
      <c r="AQ160" s="637"/>
      <c r="AR160" s="637"/>
      <c r="AS160" s="637"/>
      <c r="AT160" s="637"/>
      <c r="AU160" s="637"/>
      <c r="AV160" s="637"/>
      <c r="AW160" s="637"/>
      <c r="AX160" s="637"/>
      <c r="AY160" s="637"/>
      <c r="AZ160" s="637"/>
      <c r="BA160" s="637"/>
      <c r="BB160" s="637"/>
      <c r="BC160" s="637"/>
      <c r="BD160" s="637"/>
      <c r="BE160" s="637"/>
      <c r="BF160" s="637"/>
      <c r="BG160" s="637"/>
      <c r="BH160" s="637"/>
      <c r="BI160" s="637"/>
      <c r="BJ160" s="637"/>
      <c r="BK160" s="637"/>
      <c r="BL160" s="637"/>
      <c r="BM160" s="637"/>
      <c r="BN160" s="637"/>
      <c r="BO160" s="637"/>
      <c r="BP160" s="637"/>
      <c r="BQ160" s="637"/>
      <c r="BR160" s="637"/>
      <c r="BS160" s="637"/>
      <c r="BT160" s="637"/>
      <c r="BU160" s="637"/>
      <c r="BV160" s="637"/>
      <c r="BW160" s="637"/>
      <c r="BX160" s="637"/>
      <c r="BY160" s="637"/>
      <c r="BZ160" s="637"/>
      <c r="CA160" s="637"/>
      <c r="CB160" s="637"/>
      <c r="CC160" s="637"/>
      <c r="CD160" s="637"/>
      <c r="CE160" s="637"/>
      <c r="CF160" s="637"/>
      <c r="CG160" s="637"/>
      <c r="CH160" s="637"/>
      <c r="CI160" s="637"/>
      <c r="CJ160" s="637"/>
      <c r="CK160" s="637"/>
      <c r="CL160" s="637"/>
      <c r="CM160" s="637"/>
    </row>
    <row r="161" ht="15.75" customHeight="1">
      <c r="A161" s="637"/>
      <c r="B161" s="637"/>
      <c r="C161" s="637"/>
      <c r="D161" s="637"/>
      <c r="E161" s="637"/>
      <c r="F161" s="637"/>
      <c r="G161" s="637"/>
      <c r="H161" s="637"/>
      <c r="I161" s="637"/>
      <c r="J161" s="637"/>
      <c r="K161" s="637"/>
      <c r="L161" s="637"/>
      <c r="M161" s="637"/>
      <c r="N161" s="637"/>
      <c r="O161" s="637"/>
      <c r="P161" s="637"/>
      <c r="Q161" s="637"/>
      <c r="R161" s="637"/>
      <c r="S161" s="637"/>
      <c r="T161" s="637"/>
      <c r="U161" s="637"/>
      <c r="V161" s="637"/>
      <c r="W161" s="637"/>
      <c r="X161" s="637"/>
      <c r="Y161" s="637"/>
      <c r="Z161" s="637"/>
      <c r="AA161" s="637"/>
      <c r="AB161" s="637"/>
      <c r="AC161" s="637"/>
      <c r="AD161" s="637"/>
      <c r="AE161" s="637"/>
      <c r="AF161" s="637"/>
      <c r="AG161" s="637"/>
      <c r="AH161" s="637"/>
      <c r="AI161" s="637"/>
      <c r="AJ161" s="637"/>
      <c r="AK161" s="637"/>
      <c r="AL161" s="637"/>
      <c r="AM161" s="637"/>
      <c r="AN161" s="637"/>
      <c r="AO161" s="637"/>
      <c r="AP161" s="637"/>
      <c r="AQ161" s="637"/>
      <c r="AR161" s="637"/>
      <c r="AS161" s="637"/>
      <c r="AT161" s="637"/>
      <c r="AU161" s="637"/>
      <c r="AV161" s="637"/>
      <c r="AW161" s="637"/>
      <c r="AX161" s="637"/>
      <c r="AY161" s="637"/>
      <c r="AZ161" s="637"/>
      <c r="BA161" s="637"/>
      <c r="BB161" s="637"/>
      <c r="BC161" s="637"/>
      <c r="BD161" s="637"/>
      <c r="BE161" s="637"/>
      <c r="BF161" s="637"/>
      <c r="BG161" s="637"/>
      <c r="BH161" s="637"/>
      <c r="BI161" s="637"/>
      <c r="BJ161" s="637"/>
      <c r="BK161" s="637"/>
      <c r="BL161" s="637"/>
      <c r="BM161" s="637"/>
      <c r="BN161" s="637"/>
      <c r="BO161" s="637"/>
      <c r="BP161" s="637"/>
      <c r="BQ161" s="637"/>
      <c r="BR161" s="637"/>
      <c r="BS161" s="637"/>
      <c r="BT161" s="637"/>
      <c r="BU161" s="637"/>
      <c r="BV161" s="637"/>
      <c r="BW161" s="637"/>
      <c r="BX161" s="637"/>
      <c r="BY161" s="637"/>
      <c r="BZ161" s="637"/>
      <c r="CA161" s="637"/>
      <c r="CB161" s="637"/>
      <c r="CC161" s="637"/>
      <c r="CD161" s="637"/>
      <c r="CE161" s="637"/>
      <c r="CF161" s="637"/>
      <c r="CG161" s="637"/>
      <c r="CH161" s="637"/>
      <c r="CI161" s="637"/>
      <c r="CJ161" s="637"/>
      <c r="CK161" s="637"/>
      <c r="CL161" s="637"/>
      <c r="CM161" s="637"/>
    </row>
    <row r="162" ht="15.75" customHeight="1">
      <c r="A162" s="637"/>
      <c r="B162" s="637"/>
      <c r="C162" s="637"/>
      <c r="D162" s="637"/>
      <c r="E162" s="637"/>
      <c r="F162" s="637"/>
      <c r="G162" s="637"/>
      <c r="H162" s="637"/>
      <c r="I162" s="637"/>
      <c r="J162" s="637"/>
      <c r="K162" s="637"/>
      <c r="L162" s="637"/>
      <c r="M162" s="637"/>
      <c r="N162" s="637"/>
      <c r="O162" s="637"/>
      <c r="P162" s="637"/>
      <c r="Q162" s="637"/>
      <c r="R162" s="637"/>
      <c r="S162" s="637"/>
      <c r="T162" s="637"/>
      <c r="U162" s="637"/>
      <c r="V162" s="637"/>
      <c r="W162" s="637"/>
      <c r="X162" s="637"/>
      <c r="Y162" s="637"/>
      <c r="Z162" s="637"/>
      <c r="AA162" s="637"/>
      <c r="AB162" s="637"/>
      <c r="AC162" s="637"/>
      <c r="AD162" s="637"/>
      <c r="AE162" s="637"/>
      <c r="AF162" s="637"/>
      <c r="AG162" s="637"/>
      <c r="AH162" s="637"/>
      <c r="AI162" s="637"/>
      <c r="AJ162" s="637"/>
      <c r="AK162" s="637"/>
      <c r="AL162" s="637"/>
      <c r="AM162" s="637"/>
      <c r="AN162" s="637"/>
      <c r="AO162" s="637"/>
      <c r="AP162" s="637"/>
      <c r="AQ162" s="637"/>
      <c r="AR162" s="637"/>
      <c r="AS162" s="637"/>
      <c r="AT162" s="637"/>
      <c r="AU162" s="637"/>
      <c r="AV162" s="637"/>
      <c r="AW162" s="637"/>
      <c r="AX162" s="637"/>
      <c r="AY162" s="637"/>
      <c r="AZ162" s="637"/>
      <c r="BA162" s="637"/>
      <c r="BB162" s="637"/>
      <c r="BC162" s="637"/>
      <c r="BD162" s="637"/>
      <c r="BE162" s="637"/>
      <c r="BF162" s="637"/>
      <c r="BG162" s="637"/>
      <c r="BH162" s="637"/>
      <c r="BI162" s="637"/>
      <c r="BJ162" s="637"/>
      <c r="BK162" s="637"/>
      <c r="BL162" s="637"/>
      <c r="BM162" s="637"/>
      <c r="BN162" s="637"/>
      <c r="BO162" s="637"/>
      <c r="BP162" s="637"/>
      <c r="BQ162" s="637"/>
      <c r="BR162" s="637"/>
      <c r="BS162" s="637"/>
      <c r="BT162" s="637"/>
      <c r="BU162" s="637"/>
      <c r="BV162" s="637"/>
      <c r="BW162" s="637"/>
      <c r="BX162" s="637"/>
      <c r="BY162" s="637"/>
      <c r="BZ162" s="637"/>
      <c r="CA162" s="637"/>
      <c r="CB162" s="637"/>
      <c r="CC162" s="637"/>
      <c r="CD162" s="637"/>
      <c r="CE162" s="637"/>
      <c r="CF162" s="637"/>
      <c r="CG162" s="637"/>
      <c r="CH162" s="637"/>
      <c r="CI162" s="637"/>
      <c r="CJ162" s="637"/>
      <c r="CK162" s="637"/>
      <c r="CL162" s="637"/>
      <c r="CM162" s="637"/>
    </row>
    <row r="163" ht="15.75" customHeight="1">
      <c r="A163" s="637"/>
      <c r="B163" s="637"/>
      <c r="C163" s="637"/>
      <c r="D163" s="637"/>
      <c r="E163" s="637"/>
      <c r="F163" s="637"/>
      <c r="G163" s="637"/>
      <c r="H163" s="637"/>
      <c r="I163" s="637"/>
      <c r="J163" s="637"/>
      <c r="K163" s="637"/>
      <c r="L163" s="637"/>
      <c r="M163" s="637"/>
      <c r="N163" s="637"/>
      <c r="O163" s="637"/>
      <c r="P163" s="637"/>
      <c r="Q163" s="637"/>
      <c r="R163" s="637"/>
      <c r="S163" s="637"/>
      <c r="T163" s="637"/>
      <c r="U163" s="637"/>
      <c r="V163" s="637"/>
      <c r="W163" s="637"/>
      <c r="X163" s="637"/>
      <c r="Y163" s="637"/>
      <c r="Z163" s="637"/>
      <c r="AA163" s="637"/>
      <c r="AB163" s="637"/>
      <c r="AC163" s="637"/>
      <c r="AD163" s="637"/>
      <c r="AE163" s="637"/>
      <c r="AF163" s="637"/>
      <c r="AG163" s="637"/>
      <c r="AH163" s="637"/>
      <c r="AI163" s="637"/>
      <c r="AJ163" s="637"/>
      <c r="AK163" s="637"/>
      <c r="AL163" s="637"/>
      <c r="AM163" s="637"/>
      <c r="AN163" s="637"/>
      <c r="AO163" s="637"/>
      <c r="AP163" s="637"/>
      <c r="AQ163" s="637"/>
      <c r="AR163" s="637"/>
      <c r="AS163" s="637"/>
      <c r="AT163" s="637"/>
      <c r="AU163" s="637"/>
      <c r="AV163" s="637"/>
      <c r="AW163" s="637"/>
      <c r="AX163" s="637"/>
      <c r="AY163" s="637"/>
      <c r="AZ163" s="637"/>
      <c r="BA163" s="637"/>
      <c r="BB163" s="637"/>
      <c r="BC163" s="637"/>
      <c r="BD163" s="637"/>
      <c r="BE163" s="637"/>
      <c r="BF163" s="637"/>
      <c r="BG163" s="637"/>
      <c r="BH163" s="637"/>
      <c r="BI163" s="637"/>
      <c r="BJ163" s="637"/>
      <c r="BK163" s="637"/>
      <c r="BL163" s="637"/>
      <c r="BM163" s="637"/>
      <c r="BN163" s="637"/>
      <c r="BO163" s="637"/>
      <c r="BP163" s="637"/>
      <c r="BQ163" s="637"/>
      <c r="BR163" s="637"/>
      <c r="BS163" s="637"/>
      <c r="BT163" s="637"/>
      <c r="BU163" s="637"/>
      <c r="BV163" s="637"/>
      <c r="BW163" s="637"/>
      <c r="BX163" s="637"/>
      <c r="BY163" s="637"/>
      <c r="BZ163" s="637"/>
      <c r="CA163" s="637"/>
      <c r="CB163" s="637"/>
      <c r="CC163" s="637"/>
      <c r="CD163" s="637"/>
      <c r="CE163" s="637"/>
      <c r="CF163" s="637"/>
      <c r="CG163" s="637"/>
      <c r="CH163" s="637"/>
      <c r="CI163" s="637"/>
      <c r="CJ163" s="637"/>
      <c r="CK163" s="637"/>
      <c r="CL163" s="637"/>
      <c r="CM163" s="637"/>
    </row>
    <row r="164" ht="15.75" customHeight="1">
      <c r="A164" s="637"/>
      <c r="B164" s="637"/>
      <c r="C164" s="637"/>
      <c r="D164" s="637"/>
      <c r="E164" s="637"/>
      <c r="F164" s="637"/>
      <c r="G164" s="637"/>
      <c r="H164" s="637"/>
      <c r="I164" s="637"/>
      <c r="J164" s="637"/>
      <c r="K164" s="637"/>
      <c r="L164" s="637"/>
      <c r="M164" s="637"/>
      <c r="N164" s="637"/>
      <c r="O164" s="637"/>
      <c r="P164" s="637"/>
      <c r="Q164" s="637"/>
      <c r="R164" s="637"/>
      <c r="S164" s="637"/>
      <c r="T164" s="637"/>
      <c r="U164" s="637"/>
      <c r="V164" s="637"/>
      <c r="W164" s="637"/>
      <c r="X164" s="637"/>
      <c r="Y164" s="637"/>
      <c r="Z164" s="637"/>
      <c r="AA164" s="637"/>
      <c r="AB164" s="637"/>
      <c r="AC164" s="637"/>
      <c r="AD164" s="637"/>
      <c r="AE164" s="637"/>
      <c r="AF164" s="637"/>
      <c r="AG164" s="637"/>
      <c r="AH164" s="637"/>
      <c r="AI164" s="637"/>
      <c r="AJ164" s="637"/>
      <c r="AK164" s="637"/>
      <c r="AL164" s="637"/>
      <c r="AM164" s="637"/>
      <c r="AN164" s="637"/>
      <c r="AO164" s="637"/>
      <c r="AP164" s="637"/>
      <c r="AQ164" s="637"/>
      <c r="AR164" s="637"/>
      <c r="AS164" s="637"/>
      <c r="AT164" s="637"/>
      <c r="AU164" s="637"/>
      <c r="AV164" s="637"/>
      <c r="AW164" s="637"/>
      <c r="AX164" s="637"/>
      <c r="AY164" s="637"/>
      <c r="AZ164" s="637"/>
      <c r="BA164" s="637"/>
      <c r="BB164" s="637"/>
      <c r="BC164" s="637"/>
      <c r="BD164" s="637"/>
      <c r="BE164" s="637"/>
      <c r="BF164" s="637"/>
      <c r="BG164" s="637"/>
      <c r="BH164" s="637"/>
      <c r="BI164" s="637"/>
      <c r="BJ164" s="637"/>
      <c r="BK164" s="637"/>
      <c r="BL164" s="637"/>
      <c r="BM164" s="637"/>
      <c r="BN164" s="637"/>
      <c r="BO164" s="637"/>
      <c r="BP164" s="637"/>
      <c r="BQ164" s="637"/>
      <c r="BR164" s="637"/>
      <c r="BS164" s="637"/>
      <c r="BT164" s="637"/>
      <c r="BU164" s="637"/>
      <c r="BV164" s="637"/>
      <c r="BW164" s="637"/>
      <c r="BX164" s="637"/>
      <c r="BY164" s="637"/>
      <c r="BZ164" s="637"/>
      <c r="CA164" s="637"/>
      <c r="CB164" s="637"/>
      <c r="CC164" s="637"/>
      <c r="CD164" s="637"/>
      <c r="CE164" s="637"/>
      <c r="CF164" s="637"/>
      <c r="CG164" s="637"/>
      <c r="CH164" s="637"/>
      <c r="CI164" s="637"/>
      <c r="CJ164" s="637"/>
      <c r="CK164" s="637"/>
      <c r="CL164" s="637"/>
      <c r="CM164" s="637"/>
    </row>
    <row r="165" ht="15.75" customHeight="1">
      <c r="A165" s="637"/>
      <c r="B165" s="637"/>
      <c r="C165" s="637"/>
      <c r="D165" s="637"/>
      <c r="E165" s="637"/>
      <c r="F165" s="637"/>
      <c r="G165" s="637"/>
      <c r="H165" s="637"/>
      <c r="I165" s="637"/>
      <c r="J165" s="637"/>
      <c r="K165" s="637"/>
      <c r="L165" s="637"/>
      <c r="M165" s="637"/>
      <c r="N165" s="637"/>
      <c r="O165" s="637"/>
      <c r="P165" s="637"/>
      <c r="Q165" s="637"/>
      <c r="R165" s="637"/>
      <c r="S165" s="637"/>
      <c r="T165" s="637"/>
      <c r="U165" s="637"/>
      <c r="V165" s="637"/>
      <c r="W165" s="637"/>
      <c r="X165" s="637"/>
      <c r="Y165" s="637"/>
      <c r="Z165" s="637"/>
      <c r="AA165" s="637"/>
      <c r="AB165" s="637"/>
      <c r="AC165" s="637"/>
      <c r="AD165" s="637"/>
      <c r="AE165" s="637"/>
      <c r="AF165" s="637"/>
      <c r="AG165" s="637"/>
      <c r="AH165" s="637"/>
      <c r="AI165" s="637"/>
      <c r="AJ165" s="637"/>
      <c r="AK165" s="637"/>
      <c r="AL165" s="637"/>
      <c r="AM165" s="637"/>
      <c r="AN165" s="637"/>
      <c r="AO165" s="637"/>
      <c r="AP165" s="637"/>
      <c r="AQ165" s="637"/>
      <c r="AR165" s="637"/>
      <c r="AS165" s="637"/>
      <c r="AT165" s="637"/>
      <c r="AU165" s="637"/>
      <c r="AV165" s="637"/>
      <c r="AW165" s="637"/>
      <c r="AX165" s="637"/>
      <c r="AY165" s="637"/>
      <c r="AZ165" s="637"/>
      <c r="BA165" s="637"/>
      <c r="BB165" s="637"/>
      <c r="BC165" s="637"/>
      <c r="BD165" s="637"/>
      <c r="BE165" s="637"/>
      <c r="BF165" s="637"/>
      <c r="BG165" s="637"/>
      <c r="BH165" s="637"/>
      <c r="BI165" s="637"/>
      <c r="BJ165" s="637"/>
      <c r="BK165" s="637"/>
      <c r="BL165" s="637"/>
      <c r="BM165" s="637"/>
      <c r="BN165" s="637"/>
      <c r="BO165" s="637"/>
      <c r="BP165" s="637"/>
      <c r="BQ165" s="637"/>
      <c r="BR165" s="637"/>
      <c r="BS165" s="637"/>
      <c r="BT165" s="637"/>
      <c r="BU165" s="637"/>
      <c r="BV165" s="637"/>
      <c r="BW165" s="637"/>
      <c r="BX165" s="637"/>
      <c r="BY165" s="637"/>
      <c r="BZ165" s="637"/>
      <c r="CA165" s="637"/>
      <c r="CB165" s="637"/>
      <c r="CC165" s="637"/>
      <c r="CD165" s="637"/>
      <c r="CE165" s="637"/>
      <c r="CF165" s="637"/>
      <c r="CG165" s="637"/>
      <c r="CH165" s="637"/>
      <c r="CI165" s="637"/>
      <c r="CJ165" s="637"/>
      <c r="CK165" s="637"/>
      <c r="CL165" s="637"/>
      <c r="CM165" s="637"/>
    </row>
    <row r="166" ht="15.75" customHeight="1">
      <c r="A166" s="637"/>
      <c r="B166" s="637"/>
      <c r="C166" s="637"/>
      <c r="D166" s="637"/>
      <c r="E166" s="637"/>
      <c r="F166" s="637"/>
      <c r="G166" s="637"/>
      <c r="H166" s="637"/>
      <c r="I166" s="637"/>
      <c r="J166" s="637"/>
      <c r="K166" s="637"/>
      <c r="L166" s="637"/>
      <c r="M166" s="637"/>
      <c r="N166" s="637"/>
      <c r="O166" s="637"/>
      <c r="P166" s="637"/>
      <c r="Q166" s="637"/>
      <c r="R166" s="637"/>
      <c r="S166" s="637"/>
      <c r="T166" s="637"/>
      <c r="U166" s="637"/>
      <c r="V166" s="637"/>
      <c r="W166" s="637"/>
      <c r="X166" s="637"/>
      <c r="Y166" s="637"/>
      <c r="Z166" s="637"/>
      <c r="AA166" s="637"/>
      <c r="AB166" s="637"/>
      <c r="AC166" s="637"/>
      <c r="AD166" s="637"/>
      <c r="AE166" s="637"/>
      <c r="AF166" s="637"/>
      <c r="AG166" s="637"/>
      <c r="AH166" s="637"/>
      <c r="AI166" s="637"/>
      <c r="AJ166" s="637"/>
      <c r="AK166" s="637"/>
      <c r="AL166" s="637"/>
      <c r="AM166" s="637"/>
      <c r="AN166" s="637"/>
      <c r="AO166" s="637"/>
      <c r="AP166" s="637"/>
      <c r="AQ166" s="637"/>
      <c r="AR166" s="637"/>
      <c r="AS166" s="637"/>
      <c r="AT166" s="637"/>
      <c r="AU166" s="637"/>
      <c r="AV166" s="637"/>
      <c r="AW166" s="637"/>
      <c r="AX166" s="637"/>
      <c r="AY166" s="637"/>
      <c r="AZ166" s="637"/>
      <c r="BA166" s="637"/>
      <c r="BB166" s="637"/>
      <c r="BC166" s="637"/>
      <c r="BD166" s="637"/>
      <c r="BE166" s="637"/>
      <c r="BF166" s="637"/>
      <c r="BG166" s="637"/>
      <c r="BH166" s="637"/>
      <c r="BI166" s="637"/>
      <c r="BJ166" s="637"/>
      <c r="BK166" s="637"/>
      <c r="BL166" s="637"/>
      <c r="BM166" s="637"/>
      <c r="BN166" s="637"/>
      <c r="BO166" s="637"/>
      <c r="BP166" s="637"/>
      <c r="BQ166" s="637"/>
      <c r="BR166" s="637"/>
      <c r="BS166" s="637"/>
      <c r="BT166" s="637"/>
      <c r="BU166" s="637"/>
      <c r="BV166" s="637"/>
      <c r="BW166" s="637"/>
      <c r="BX166" s="637"/>
      <c r="BY166" s="637"/>
      <c r="BZ166" s="637"/>
      <c r="CA166" s="637"/>
      <c r="CB166" s="637"/>
      <c r="CC166" s="637"/>
      <c r="CD166" s="637"/>
      <c r="CE166" s="637"/>
      <c r="CF166" s="637"/>
      <c r="CG166" s="637"/>
      <c r="CH166" s="637"/>
      <c r="CI166" s="637"/>
      <c r="CJ166" s="637"/>
      <c r="CK166" s="637"/>
      <c r="CL166" s="637"/>
      <c r="CM166" s="637"/>
    </row>
    <row r="167" ht="15.75" customHeight="1">
      <c r="A167" s="637"/>
      <c r="B167" s="637"/>
      <c r="C167" s="637"/>
      <c r="D167" s="637"/>
      <c r="E167" s="637"/>
      <c r="F167" s="637"/>
      <c r="G167" s="637"/>
      <c r="H167" s="637"/>
      <c r="I167" s="637"/>
      <c r="J167" s="637"/>
      <c r="K167" s="637"/>
      <c r="L167" s="637"/>
      <c r="M167" s="637"/>
      <c r="N167" s="637"/>
      <c r="O167" s="637"/>
      <c r="P167" s="637"/>
      <c r="Q167" s="637"/>
      <c r="R167" s="637"/>
      <c r="S167" s="637"/>
      <c r="T167" s="637"/>
      <c r="U167" s="637"/>
      <c r="V167" s="637"/>
      <c r="W167" s="637"/>
      <c r="X167" s="637"/>
      <c r="Y167" s="637"/>
      <c r="Z167" s="637"/>
      <c r="AA167" s="637"/>
      <c r="AB167" s="637"/>
      <c r="AC167" s="637"/>
      <c r="AD167" s="637"/>
      <c r="AE167" s="637"/>
      <c r="AF167" s="637"/>
      <c r="AG167" s="637"/>
      <c r="AH167" s="637"/>
      <c r="AI167" s="637"/>
      <c r="AJ167" s="637"/>
      <c r="AK167" s="637"/>
      <c r="AL167" s="637"/>
      <c r="AM167" s="637"/>
      <c r="AN167" s="637"/>
      <c r="AO167" s="637"/>
      <c r="AP167" s="637"/>
      <c r="AQ167" s="637"/>
      <c r="AR167" s="637"/>
      <c r="AS167" s="637"/>
      <c r="AT167" s="637"/>
      <c r="AU167" s="637"/>
      <c r="AV167" s="637"/>
      <c r="AW167" s="637"/>
      <c r="AX167" s="637"/>
      <c r="AY167" s="637"/>
      <c r="AZ167" s="637"/>
      <c r="BA167" s="637"/>
      <c r="BB167" s="637"/>
      <c r="BC167" s="637"/>
      <c r="BD167" s="637"/>
      <c r="BE167" s="637"/>
      <c r="BF167" s="637"/>
      <c r="BG167" s="637"/>
      <c r="BH167" s="637"/>
      <c r="BI167" s="637"/>
      <c r="BJ167" s="637"/>
      <c r="BK167" s="637"/>
      <c r="BL167" s="637"/>
      <c r="BM167" s="637"/>
      <c r="BN167" s="637"/>
      <c r="BO167" s="637"/>
      <c r="BP167" s="637"/>
      <c r="BQ167" s="637"/>
      <c r="BR167" s="637"/>
      <c r="BS167" s="637"/>
      <c r="BT167" s="637"/>
      <c r="BU167" s="637"/>
      <c r="BV167" s="637"/>
      <c r="BW167" s="637"/>
      <c r="BX167" s="637"/>
      <c r="BY167" s="637"/>
      <c r="BZ167" s="637"/>
      <c r="CA167" s="637"/>
      <c r="CB167" s="637"/>
      <c r="CC167" s="637"/>
      <c r="CD167" s="637"/>
      <c r="CE167" s="637"/>
      <c r="CF167" s="637"/>
      <c r="CG167" s="637"/>
      <c r="CH167" s="637"/>
      <c r="CI167" s="637"/>
      <c r="CJ167" s="637"/>
      <c r="CK167" s="637"/>
      <c r="CL167" s="637"/>
      <c r="CM167" s="637"/>
    </row>
    <row r="168" ht="15.75" customHeight="1">
      <c r="A168" s="637"/>
      <c r="B168" s="637"/>
      <c r="C168" s="637"/>
      <c r="D168" s="637"/>
      <c r="E168" s="637"/>
      <c r="F168" s="637"/>
      <c r="G168" s="637"/>
      <c r="H168" s="637"/>
      <c r="I168" s="637"/>
      <c r="J168" s="637"/>
      <c r="K168" s="637"/>
      <c r="L168" s="637"/>
      <c r="M168" s="637"/>
      <c r="N168" s="637"/>
      <c r="O168" s="637"/>
      <c r="P168" s="637"/>
      <c r="Q168" s="637"/>
      <c r="R168" s="637"/>
      <c r="S168" s="637"/>
      <c r="T168" s="637"/>
      <c r="U168" s="637"/>
      <c r="V168" s="637"/>
      <c r="W168" s="637"/>
      <c r="X168" s="637"/>
      <c r="Y168" s="637"/>
      <c r="Z168" s="637"/>
      <c r="AA168" s="637"/>
      <c r="AB168" s="637"/>
      <c r="AC168" s="637"/>
      <c r="AD168" s="637"/>
      <c r="AE168" s="637"/>
      <c r="AF168" s="637"/>
      <c r="AG168" s="637"/>
      <c r="AH168" s="637"/>
      <c r="AI168" s="637"/>
      <c r="AJ168" s="637"/>
      <c r="AK168" s="637"/>
      <c r="AL168" s="637"/>
      <c r="AM168" s="637"/>
      <c r="AN168" s="637"/>
      <c r="AO168" s="637"/>
      <c r="AP168" s="637"/>
      <c r="AQ168" s="637"/>
      <c r="AR168" s="637"/>
      <c r="AS168" s="637"/>
      <c r="AT168" s="637"/>
      <c r="AU168" s="637"/>
      <c r="AV168" s="637"/>
      <c r="AW168" s="637"/>
      <c r="AX168" s="637"/>
      <c r="AY168" s="637"/>
      <c r="AZ168" s="637"/>
      <c r="BA168" s="637"/>
      <c r="BB168" s="637"/>
      <c r="BC168" s="637"/>
      <c r="BD168" s="637"/>
      <c r="BE168" s="637"/>
      <c r="BF168" s="637"/>
      <c r="BG168" s="637"/>
      <c r="BH168" s="637"/>
      <c r="BI168" s="637"/>
      <c r="BJ168" s="637"/>
      <c r="BK168" s="637"/>
      <c r="BL168" s="637"/>
      <c r="BM168" s="637"/>
      <c r="BN168" s="637"/>
      <c r="BO168" s="637"/>
      <c r="BP168" s="637"/>
      <c r="BQ168" s="637"/>
      <c r="BR168" s="637"/>
      <c r="BS168" s="637"/>
      <c r="BT168" s="637"/>
      <c r="BU168" s="637"/>
      <c r="BV168" s="637"/>
      <c r="BW168" s="637"/>
      <c r="BX168" s="637"/>
      <c r="BY168" s="637"/>
      <c r="BZ168" s="637"/>
      <c r="CA168" s="637"/>
      <c r="CB168" s="637"/>
      <c r="CC168" s="637"/>
      <c r="CD168" s="637"/>
      <c r="CE168" s="637"/>
      <c r="CF168" s="637"/>
      <c r="CG168" s="637"/>
      <c r="CH168" s="637"/>
      <c r="CI168" s="637"/>
      <c r="CJ168" s="637"/>
      <c r="CK168" s="637"/>
      <c r="CL168" s="637"/>
      <c r="CM168" s="637"/>
    </row>
    <row r="169" ht="15.75" customHeight="1">
      <c r="A169" s="637"/>
      <c r="B169" s="637"/>
      <c r="C169" s="637"/>
      <c r="D169" s="637"/>
      <c r="E169" s="637"/>
      <c r="F169" s="637"/>
      <c r="G169" s="637"/>
      <c r="H169" s="637"/>
      <c r="I169" s="637"/>
      <c r="J169" s="637"/>
      <c r="K169" s="637"/>
      <c r="L169" s="637"/>
      <c r="M169" s="637"/>
      <c r="N169" s="637"/>
      <c r="O169" s="637"/>
      <c r="P169" s="637"/>
      <c r="Q169" s="637"/>
      <c r="R169" s="637"/>
      <c r="S169" s="637"/>
      <c r="T169" s="637"/>
      <c r="U169" s="637"/>
      <c r="V169" s="637"/>
      <c r="W169" s="637"/>
      <c r="X169" s="637"/>
      <c r="Y169" s="637"/>
      <c r="Z169" s="637"/>
      <c r="AA169" s="637"/>
      <c r="AB169" s="637"/>
      <c r="AC169" s="637"/>
      <c r="AD169" s="637"/>
      <c r="AE169" s="637"/>
      <c r="AF169" s="637"/>
      <c r="AG169" s="637"/>
      <c r="AH169" s="637"/>
      <c r="AI169" s="637"/>
      <c r="AJ169" s="637"/>
      <c r="AK169" s="637"/>
      <c r="AL169" s="637"/>
      <c r="AM169" s="637"/>
      <c r="AN169" s="637"/>
      <c r="AO169" s="637"/>
      <c r="AP169" s="637"/>
      <c r="AQ169" s="637"/>
      <c r="AR169" s="637"/>
      <c r="AS169" s="637"/>
      <c r="AT169" s="637"/>
      <c r="AU169" s="637"/>
      <c r="AV169" s="637"/>
      <c r="AW169" s="637"/>
      <c r="AX169" s="637"/>
      <c r="AY169" s="637"/>
      <c r="AZ169" s="637"/>
      <c r="BA169" s="637"/>
      <c r="BB169" s="637"/>
      <c r="BC169" s="637"/>
      <c r="BD169" s="637"/>
      <c r="BE169" s="637"/>
      <c r="BF169" s="637"/>
      <c r="BG169" s="637"/>
      <c r="BH169" s="637"/>
      <c r="BI169" s="637"/>
      <c r="BJ169" s="637"/>
      <c r="BK169" s="637"/>
      <c r="BL169" s="637"/>
      <c r="BM169" s="637"/>
      <c r="BN169" s="637"/>
      <c r="BO169" s="637"/>
      <c r="BP169" s="637"/>
      <c r="BQ169" s="637"/>
      <c r="BR169" s="637"/>
      <c r="BS169" s="637"/>
      <c r="BT169" s="637"/>
      <c r="BU169" s="637"/>
      <c r="BV169" s="637"/>
      <c r="BW169" s="637"/>
      <c r="BX169" s="637"/>
      <c r="BY169" s="637"/>
      <c r="BZ169" s="637"/>
      <c r="CA169" s="637"/>
      <c r="CB169" s="637"/>
      <c r="CC169" s="637"/>
      <c r="CD169" s="637"/>
      <c r="CE169" s="637"/>
      <c r="CF169" s="637"/>
      <c r="CG169" s="637"/>
      <c r="CH169" s="637"/>
      <c r="CI169" s="637"/>
      <c r="CJ169" s="637"/>
      <c r="CK169" s="637"/>
      <c r="CL169" s="637"/>
      <c r="CM169" s="637"/>
    </row>
    <row r="170" ht="15.75" customHeight="1">
      <c r="A170" s="637"/>
      <c r="B170" s="637"/>
      <c r="C170" s="637"/>
      <c r="D170" s="637"/>
      <c r="E170" s="637"/>
      <c r="F170" s="637"/>
      <c r="G170" s="637"/>
      <c r="H170" s="637"/>
      <c r="I170" s="637"/>
      <c r="J170" s="637"/>
      <c r="K170" s="637"/>
      <c r="L170" s="637"/>
      <c r="M170" s="637"/>
      <c r="N170" s="637"/>
      <c r="O170" s="637"/>
      <c r="P170" s="637"/>
      <c r="Q170" s="637"/>
      <c r="R170" s="637"/>
      <c r="S170" s="637"/>
      <c r="T170" s="637"/>
      <c r="U170" s="637"/>
      <c r="V170" s="637"/>
      <c r="W170" s="637"/>
      <c r="X170" s="637"/>
      <c r="Y170" s="637"/>
      <c r="Z170" s="637"/>
      <c r="AA170" s="637"/>
      <c r="AB170" s="637"/>
      <c r="AC170" s="637"/>
      <c r="AD170" s="637"/>
      <c r="AE170" s="637"/>
      <c r="AF170" s="637"/>
      <c r="AG170" s="637"/>
      <c r="AH170" s="637"/>
      <c r="AI170" s="637"/>
      <c r="AJ170" s="637"/>
      <c r="AK170" s="637"/>
      <c r="AL170" s="637"/>
      <c r="AM170" s="637"/>
      <c r="AN170" s="637"/>
      <c r="AO170" s="637"/>
      <c r="AP170" s="637"/>
      <c r="AQ170" s="637"/>
      <c r="AR170" s="637"/>
      <c r="AS170" s="637"/>
      <c r="AT170" s="637"/>
      <c r="AU170" s="637"/>
      <c r="AV170" s="637"/>
      <c r="AW170" s="637"/>
      <c r="AX170" s="637"/>
      <c r="AY170" s="637"/>
      <c r="AZ170" s="637"/>
      <c r="BA170" s="637"/>
      <c r="BB170" s="637"/>
      <c r="BC170" s="637"/>
      <c r="BD170" s="637"/>
      <c r="BE170" s="637"/>
      <c r="BF170" s="637"/>
      <c r="BG170" s="637"/>
      <c r="BH170" s="637"/>
      <c r="BI170" s="637"/>
      <c r="BJ170" s="637"/>
      <c r="BK170" s="637"/>
      <c r="BL170" s="637"/>
      <c r="BM170" s="637"/>
      <c r="BN170" s="637"/>
      <c r="BO170" s="637"/>
      <c r="BP170" s="637"/>
      <c r="BQ170" s="637"/>
      <c r="BR170" s="637"/>
      <c r="BS170" s="637"/>
      <c r="BT170" s="637"/>
      <c r="BU170" s="637"/>
      <c r="BV170" s="637"/>
      <c r="BW170" s="637"/>
      <c r="BX170" s="637"/>
      <c r="BY170" s="637"/>
      <c r="BZ170" s="637"/>
      <c r="CA170" s="637"/>
      <c r="CB170" s="637"/>
      <c r="CC170" s="637"/>
      <c r="CD170" s="637"/>
      <c r="CE170" s="637"/>
      <c r="CF170" s="637"/>
      <c r="CG170" s="637"/>
      <c r="CH170" s="637"/>
      <c r="CI170" s="637"/>
      <c r="CJ170" s="637"/>
      <c r="CK170" s="637"/>
      <c r="CL170" s="637"/>
      <c r="CM170" s="637"/>
    </row>
    <row r="171" ht="15.75" customHeight="1">
      <c r="A171" s="637"/>
      <c r="B171" s="637"/>
      <c r="C171" s="637"/>
      <c r="D171" s="637"/>
      <c r="E171" s="637"/>
      <c r="F171" s="637"/>
      <c r="G171" s="637"/>
      <c r="H171" s="637"/>
      <c r="I171" s="637"/>
      <c r="J171" s="637"/>
      <c r="K171" s="637"/>
      <c r="L171" s="637"/>
      <c r="M171" s="637"/>
      <c r="N171" s="637"/>
      <c r="O171" s="637"/>
      <c r="P171" s="637"/>
      <c r="Q171" s="637"/>
      <c r="R171" s="637"/>
      <c r="S171" s="637"/>
      <c r="T171" s="637"/>
      <c r="U171" s="637"/>
      <c r="V171" s="637"/>
      <c r="W171" s="637"/>
      <c r="X171" s="637"/>
      <c r="Y171" s="637"/>
      <c r="Z171" s="637"/>
      <c r="AA171" s="637"/>
      <c r="AB171" s="637"/>
      <c r="AC171" s="637"/>
      <c r="AD171" s="637"/>
      <c r="AE171" s="637"/>
      <c r="AF171" s="637"/>
      <c r="AG171" s="637"/>
      <c r="AH171" s="637"/>
      <c r="AI171" s="637"/>
      <c r="AJ171" s="637"/>
      <c r="AK171" s="637"/>
      <c r="AL171" s="637"/>
      <c r="AM171" s="637"/>
      <c r="AN171" s="637"/>
      <c r="AO171" s="637"/>
      <c r="AP171" s="637"/>
      <c r="AQ171" s="637"/>
      <c r="AR171" s="637"/>
      <c r="AS171" s="637"/>
      <c r="AT171" s="637"/>
      <c r="AU171" s="637"/>
      <c r="AV171" s="637"/>
      <c r="AW171" s="637"/>
      <c r="AX171" s="637"/>
      <c r="AY171" s="637"/>
      <c r="AZ171" s="637"/>
      <c r="BA171" s="637"/>
      <c r="BB171" s="637"/>
      <c r="BC171" s="637"/>
      <c r="BD171" s="637"/>
      <c r="BE171" s="637"/>
      <c r="BF171" s="637"/>
      <c r="BG171" s="637"/>
      <c r="BH171" s="637"/>
      <c r="BI171" s="637"/>
      <c r="BJ171" s="637"/>
      <c r="BK171" s="637"/>
      <c r="BL171" s="637"/>
      <c r="BM171" s="637"/>
      <c r="BN171" s="637"/>
      <c r="BO171" s="637"/>
      <c r="BP171" s="637"/>
      <c r="BQ171" s="637"/>
      <c r="BR171" s="637"/>
      <c r="BS171" s="637"/>
      <c r="BT171" s="637"/>
      <c r="BU171" s="637"/>
      <c r="BV171" s="637"/>
      <c r="BW171" s="637"/>
      <c r="BX171" s="637"/>
      <c r="BY171" s="637"/>
      <c r="BZ171" s="637"/>
      <c r="CA171" s="637"/>
      <c r="CB171" s="637"/>
      <c r="CC171" s="637"/>
      <c r="CD171" s="637"/>
      <c r="CE171" s="637"/>
      <c r="CF171" s="637"/>
      <c r="CG171" s="637"/>
      <c r="CH171" s="637"/>
      <c r="CI171" s="637"/>
      <c r="CJ171" s="637"/>
      <c r="CK171" s="637"/>
      <c r="CL171" s="637"/>
      <c r="CM171" s="637"/>
    </row>
    <row r="172" ht="15.75" customHeight="1">
      <c r="A172" s="637"/>
      <c r="B172" s="637"/>
      <c r="C172" s="637"/>
      <c r="D172" s="637"/>
      <c r="E172" s="637"/>
      <c r="F172" s="637"/>
      <c r="G172" s="637"/>
      <c r="H172" s="637"/>
      <c r="I172" s="637"/>
      <c r="J172" s="637"/>
      <c r="K172" s="637"/>
      <c r="L172" s="637"/>
      <c r="M172" s="637"/>
      <c r="N172" s="637"/>
      <c r="O172" s="637"/>
      <c r="P172" s="637"/>
      <c r="Q172" s="637"/>
      <c r="R172" s="637"/>
      <c r="S172" s="637"/>
      <c r="T172" s="637"/>
      <c r="U172" s="637"/>
      <c r="V172" s="637"/>
      <c r="W172" s="637"/>
      <c r="X172" s="637"/>
      <c r="Y172" s="637"/>
      <c r="Z172" s="637"/>
      <c r="AA172" s="637"/>
      <c r="AB172" s="637"/>
      <c r="AC172" s="637"/>
      <c r="AD172" s="637"/>
      <c r="AE172" s="637"/>
      <c r="AF172" s="637"/>
      <c r="AG172" s="637"/>
      <c r="AH172" s="637"/>
      <c r="AI172" s="637"/>
      <c r="AJ172" s="637"/>
      <c r="AK172" s="637"/>
      <c r="AL172" s="637"/>
      <c r="AM172" s="637"/>
      <c r="AN172" s="637"/>
      <c r="AO172" s="637"/>
      <c r="AP172" s="637"/>
      <c r="AQ172" s="637"/>
      <c r="AR172" s="637"/>
      <c r="AS172" s="637"/>
      <c r="AT172" s="637"/>
      <c r="AU172" s="637"/>
      <c r="AV172" s="637"/>
      <c r="AW172" s="637"/>
      <c r="AX172" s="637"/>
      <c r="AY172" s="637"/>
      <c r="AZ172" s="637"/>
      <c r="BA172" s="637"/>
      <c r="BB172" s="637"/>
      <c r="BC172" s="637"/>
      <c r="BD172" s="637"/>
      <c r="BE172" s="637"/>
      <c r="BF172" s="637"/>
      <c r="BG172" s="637"/>
      <c r="BH172" s="637"/>
      <c r="BI172" s="637"/>
      <c r="BJ172" s="637"/>
      <c r="BK172" s="637"/>
      <c r="BL172" s="637"/>
      <c r="BM172" s="637"/>
      <c r="BN172" s="637"/>
      <c r="BO172" s="637"/>
      <c r="BP172" s="637"/>
      <c r="BQ172" s="637"/>
      <c r="BR172" s="637"/>
      <c r="BS172" s="637"/>
      <c r="BT172" s="637"/>
      <c r="BU172" s="637"/>
      <c r="BV172" s="637"/>
      <c r="BW172" s="637"/>
      <c r="BX172" s="637"/>
      <c r="BY172" s="637"/>
      <c r="BZ172" s="637"/>
      <c r="CA172" s="637"/>
      <c r="CB172" s="637"/>
      <c r="CC172" s="637"/>
      <c r="CD172" s="637"/>
      <c r="CE172" s="637"/>
      <c r="CF172" s="637"/>
      <c r="CG172" s="637"/>
      <c r="CH172" s="637"/>
      <c r="CI172" s="637"/>
      <c r="CJ172" s="637"/>
      <c r="CK172" s="637"/>
      <c r="CL172" s="637"/>
      <c r="CM172" s="637"/>
    </row>
    <row r="173" ht="15.75" customHeight="1">
      <c r="A173" s="637"/>
      <c r="B173" s="637"/>
      <c r="C173" s="637"/>
      <c r="D173" s="637"/>
      <c r="E173" s="637"/>
      <c r="F173" s="637"/>
      <c r="G173" s="637"/>
      <c r="H173" s="637"/>
      <c r="I173" s="637"/>
      <c r="J173" s="637"/>
      <c r="K173" s="637"/>
      <c r="L173" s="637"/>
      <c r="M173" s="637"/>
      <c r="N173" s="637"/>
      <c r="O173" s="637"/>
      <c r="P173" s="637"/>
      <c r="Q173" s="637"/>
      <c r="R173" s="637"/>
      <c r="S173" s="637"/>
      <c r="T173" s="637"/>
      <c r="U173" s="637"/>
      <c r="V173" s="637"/>
      <c r="W173" s="637"/>
      <c r="X173" s="637"/>
      <c r="Y173" s="637"/>
      <c r="Z173" s="637"/>
      <c r="AA173" s="637"/>
      <c r="AB173" s="637"/>
      <c r="AC173" s="637"/>
      <c r="AD173" s="637"/>
      <c r="AE173" s="637"/>
      <c r="AF173" s="637"/>
      <c r="AG173" s="637"/>
      <c r="AH173" s="637"/>
      <c r="AI173" s="637"/>
      <c r="AJ173" s="637"/>
      <c r="AK173" s="637"/>
      <c r="AL173" s="637"/>
      <c r="AM173" s="637"/>
      <c r="AN173" s="637"/>
      <c r="AO173" s="637"/>
      <c r="AP173" s="637"/>
      <c r="AQ173" s="637"/>
      <c r="AR173" s="637"/>
      <c r="AS173" s="637"/>
      <c r="AT173" s="637"/>
      <c r="AU173" s="637"/>
      <c r="AV173" s="637"/>
      <c r="AW173" s="637"/>
      <c r="AX173" s="637"/>
      <c r="AY173" s="637"/>
      <c r="AZ173" s="637"/>
      <c r="BA173" s="637"/>
      <c r="BB173" s="637"/>
      <c r="BC173" s="637"/>
      <c r="BD173" s="637"/>
      <c r="BE173" s="637"/>
      <c r="BF173" s="637"/>
      <c r="BG173" s="637"/>
      <c r="BH173" s="637"/>
      <c r="BI173" s="637"/>
      <c r="BJ173" s="637"/>
      <c r="BK173" s="637"/>
      <c r="BL173" s="637"/>
      <c r="BM173" s="637"/>
      <c r="BN173" s="637"/>
      <c r="BO173" s="637"/>
      <c r="BP173" s="637"/>
      <c r="BQ173" s="637"/>
      <c r="BR173" s="637"/>
      <c r="BS173" s="637"/>
      <c r="BT173" s="637"/>
      <c r="BU173" s="637"/>
      <c r="BV173" s="637"/>
      <c r="BW173" s="637"/>
      <c r="BX173" s="637"/>
      <c r="BY173" s="637"/>
      <c r="BZ173" s="637"/>
      <c r="CA173" s="637"/>
      <c r="CB173" s="637"/>
      <c r="CC173" s="637"/>
      <c r="CD173" s="637"/>
      <c r="CE173" s="637"/>
      <c r="CF173" s="637"/>
      <c r="CG173" s="637"/>
      <c r="CH173" s="637"/>
      <c r="CI173" s="637"/>
      <c r="CJ173" s="637"/>
      <c r="CK173" s="637"/>
      <c r="CL173" s="637"/>
      <c r="CM173" s="637"/>
    </row>
    <row r="174" ht="15.75" customHeight="1">
      <c r="A174" s="637"/>
      <c r="B174" s="637"/>
      <c r="C174" s="637"/>
      <c r="D174" s="637"/>
      <c r="E174" s="637"/>
      <c r="F174" s="637"/>
      <c r="G174" s="637"/>
      <c r="H174" s="637"/>
      <c r="I174" s="637"/>
      <c r="J174" s="637"/>
      <c r="K174" s="637"/>
      <c r="L174" s="637"/>
      <c r="M174" s="637"/>
      <c r="N174" s="637"/>
      <c r="O174" s="637"/>
      <c r="P174" s="637"/>
      <c r="Q174" s="637"/>
      <c r="R174" s="637"/>
      <c r="S174" s="637"/>
      <c r="T174" s="637"/>
      <c r="U174" s="637"/>
      <c r="V174" s="637"/>
      <c r="W174" s="637"/>
      <c r="X174" s="637"/>
      <c r="Y174" s="637"/>
      <c r="Z174" s="637"/>
      <c r="AA174" s="637"/>
      <c r="AB174" s="637"/>
      <c r="AC174" s="637"/>
      <c r="AD174" s="637"/>
      <c r="AE174" s="637"/>
      <c r="AF174" s="637"/>
      <c r="AG174" s="637"/>
      <c r="AH174" s="637"/>
      <c r="AI174" s="637"/>
      <c r="AJ174" s="637"/>
      <c r="AK174" s="637"/>
      <c r="AL174" s="637"/>
      <c r="AM174" s="637"/>
      <c r="AN174" s="637"/>
      <c r="AO174" s="637"/>
      <c r="AP174" s="637"/>
      <c r="AQ174" s="637"/>
      <c r="AR174" s="637"/>
      <c r="AS174" s="637"/>
      <c r="AT174" s="637"/>
      <c r="AU174" s="637"/>
      <c r="AV174" s="637"/>
      <c r="AW174" s="637"/>
      <c r="AX174" s="637"/>
      <c r="AY174" s="637"/>
      <c r="AZ174" s="637"/>
      <c r="BA174" s="637"/>
      <c r="BB174" s="637"/>
      <c r="BC174" s="637"/>
      <c r="BD174" s="637"/>
      <c r="BE174" s="637"/>
      <c r="BF174" s="637"/>
      <c r="BG174" s="637"/>
      <c r="BH174" s="637"/>
      <c r="BI174" s="637"/>
      <c r="BJ174" s="637"/>
      <c r="BK174" s="637"/>
      <c r="BL174" s="637"/>
      <c r="BM174" s="637"/>
      <c r="BN174" s="637"/>
      <c r="BO174" s="637"/>
      <c r="BP174" s="637"/>
      <c r="BQ174" s="637"/>
      <c r="BR174" s="637"/>
      <c r="BS174" s="637"/>
      <c r="BT174" s="637"/>
      <c r="BU174" s="637"/>
      <c r="BV174" s="637"/>
      <c r="BW174" s="637"/>
      <c r="BX174" s="637"/>
      <c r="BY174" s="637"/>
      <c r="BZ174" s="637"/>
      <c r="CA174" s="637"/>
      <c r="CB174" s="637"/>
      <c r="CC174" s="637"/>
      <c r="CD174" s="637"/>
      <c r="CE174" s="637"/>
      <c r="CF174" s="637"/>
      <c r="CG174" s="637"/>
      <c r="CH174" s="637"/>
      <c r="CI174" s="637"/>
      <c r="CJ174" s="637"/>
      <c r="CK174" s="637"/>
      <c r="CL174" s="637"/>
      <c r="CM174" s="637"/>
    </row>
    <row r="175" ht="15.75" customHeight="1">
      <c r="A175" s="637"/>
      <c r="B175" s="637"/>
      <c r="C175" s="637"/>
      <c r="D175" s="637"/>
      <c r="E175" s="637"/>
      <c r="F175" s="637"/>
      <c r="G175" s="637"/>
      <c r="H175" s="637"/>
      <c r="I175" s="637"/>
      <c r="J175" s="637"/>
      <c r="K175" s="637"/>
      <c r="L175" s="637"/>
      <c r="M175" s="637"/>
      <c r="N175" s="637"/>
      <c r="O175" s="637"/>
      <c r="P175" s="637"/>
      <c r="Q175" s="637"/>
      <c r="R175" s="637"/>
      <c r="S175" s="637"/>
      <c r="T175" s="637"/>
      <c r="U175" s="637"/>
      <c r="V175" s="637"/>
      <c r="W175" s="637"/>
      <c r="X175" s="637"/>
      <c r="Y175" s="637"/>
      <c r="Z175" s="637"/>
      <c r="AA175" s="637"/>
      <c r="AB175" s="637"/>
      <c r="AC175" s="637"/>
      <c r="AD175" s="637"/>
      <c r="AE175" s="637"/>
      <c r="AF175" s="637"/>
      <c r="AG175" s="637"/>
      <c r="AH175" s="637"/>
      <c r="AI175" s="637"/>
      <c r="AJ175" s="637"/>
      <c r="AK175" s="637"/>
      <c r="AL175" s="637"/>
      <c r="AM175" s="637"/>
      <c r="AN175" s="637"/>
      <c r="AO175" s="637"/>
      <c r="AP175" s="637"/>
      <c r="AQ175" s="637"/>
      <c r="AR175" s="637"/>
      <c r="AS175" s="637"/>
      <c r="AT175" s="637"/>
      <c r="AU175" s="637"/>
      <c r="AV175" s="637"/>
      <c r="AW175" s="637"/>
      <c r="AX175" s="637"/>
      <c r="AY175" s="637"/>
      <c r="AZ175" s="637"/>
      <c r="BA175" s="637"/>
      <c r="BB175" s="637"/>
      <c r="BC175" s="637"/>
      <c r="BD175" s="637"/>
      <c r="BE175" s="637"/>
      <c r="BF175" s="637"/>
      <c r="BG175" s="637"/>
      <c r="BH175" s="637"/>
      <c r="BI175" s="637"/>
      <c r="BJ175" s="637"/>
      <c r="BK175" s="637"/>
      <c r="BL175" s="637"/>
      <c r="BM175" s="637"/>
      <c r="BN175" s="637"/>
      <c r="BO175" s="637"/>
      <c r="BP175" s="637"/>
      <c r="BQ175" s="637"/>
      <c r="BR175" s="637"/>
      <c r="BS175" s="637"/>
      <c r="BT175" s="637"/>
      <c r="BU175" s="637"/>
      <c r="BV175" s="637"/>
      <c r="BW175" s="637"/>
      <c r="BX175" s="637"/>
      <c r="BY175" s="637"/>
      <c r="BZ175" s="637"/>
      <c r="CA175" s="637"/>
      <c r="CB175" s="637"/>
      <c r="CC175" s="637"/>
      <c r="CD175" s="637"/>
      <c r="CE175" s="637"/>
      <c r="CF175" s="637"/>
      <c r="CG175" s="637"/>
      <c r="CH175" s="637"/>
      <c r="CI175" s="637"/>
      <c r="CJ175" s="637"/>
      <c r="CK175" s="637"/>
      <c r="CL175" s="637"/>
      <c r="CM175" s="637"/>
    </row>
    <row r="176" ht="15.75" customHeight="1">
      <c r="A176" s="637"/>
      <c r="B176" s="637"/>
      <c r="C176" s="637"/>
      <c r="D176" s="637"/>
      <c r="E176" s="637"/>
      <c r="F176" s="637"/>
      <c r="G176" s="637"/>
      <c r="H176" s="637"/>
      <c r="I176" s="637"/>
      <c r="J176" s="637"/>
      <c r="K176" s="637"/>
      <c r="L176" s="637"/>
      <c r="M176" s="637"/>
      <c r="N176" s="637"/>
      <c r="O176" s="637"/>
      <c r="P176" s="637"/>
      <c r="Q176" s="637"/>
      <c r="R176" s="637"/>
      <c r="S176" s="637"/>
      <c r="T176" s="637"/>
      <c r="U176" s="637"/>
      <c r="V176" s="637"/>
      <c r="W176" s="637"/>
      <c r="X176" s="637"/>
      <c r="Y176" s="637"/>
      <c r="Z176" s="637"/>
      <c r="AA176" s="637"/>
      <c r="AB176" s="637"/>
      <c r="AC176" s="637"/>
      <c r="AD176" s="637"/>
      <c r="AE176" s="637"/>
      <c r="AF176" s="637"/>
      <c r="AG176" s="637"/>
      <c r="AH176" s="637"/>
      <c r="AI176" s="637"/>
      <c r="AJ176" s="637"/>
      <c r="AK176" s="637"/>
      <c r="AL176" s="637"/>
      <c r="AM176" s="637"/>
      <c r="AN176" s="637"/>
      <c r="AO176" s="637"/>
      <c r="AP176" s="637"/>
      <c r="AQ176" s="637"/>
      <c r="AR176" s="637"/>
      <c r="AS176" s="637"/>
      <c r="AT176" s="637"/>
      <c r="AU176" s="637"/>
      <c r="AV176" s="637"/>
      <c r="AW176" s="637"/>
      <c r="AX176" s="637"/>
      <c r="AY176" s="637"/>
      <c r="AZ176" s="637"/>
      <c r="BA176" s="637"/>
      <c r="BB176" s="637"/>
      <c r="BC176" s="637"/>
      <c r="BD176" s="637"/>
      <c r="BE176" s="637"/>
      <c r="BF176" s="637"/>
      <c r="BG176" s="637"/>
      <c r="BH176" s="637"/>
      <c r="BI176" s="637"/>
      <c r="BJ176" s="637"/>
      <c r="BK176" s="637"/>
      <c r="BL176" s="637"/>
      <c r="BM176" s="637"/>
      <c r="BN176" s="637"/>
      <c r="BO176" s="637"/>
      <c r="BP176" s="637"/>
      <c r="BQ176" s="637"/>
      <c r="BR176" s="637"/>
      <c r="BS176" s="637"/>
      <c r="BT176" s="637"/>
      <c r="BU176" s="637"/>
      <c r="BV176" s="637"/>
      <c r="BW176" s="637"/>
      <c r="BX176" s="637"/>
      <c r="BY176" s="637"/>
      <c r="BZ176" s="637"/>
      <c r="CA176" s="637"/>
      <c r="CB176" s="637"/>
      <c r="CC176" s="637"/>
      <c r="CD176" s="637"/>
      <c r="CE176" s="637"/>
      <c r="CF176" s="637"/>
      <c r="CG176" s="637"/>
      <c r="CH176" s="637"/>
      <c r="CI176" s="637"/>
      <c r="CJ176" s="637"/>
      <c r="CK176" s="637"/>
      <c r="CL176" s="637"/>
      <c r="CM176" s="637"/>
    </row>
    <row r="177" ht="15.75" customHeight="1">
      <c r="A177" s="637"/>
      <c r="B177" s="637"/>
      <c r="C177" s="637"/>
      <c r="D177" s="637"/>
      <c r="E177" s="637"/>
      <c r="F177" s="637"/>
      <c r="G177" s="637"/>
      <c r="H177" s="637"/>
      <c r="I177" s="637"/>
      <c r="J177" s="637"/>
      <c r="K177" s="637"/>
      <c r="L177" s="637"/>
      <c r="M177" s="637"/>
      <c r="N177" s="637"/>
      <c r="O177" s="637"/>
      <c r="P177" s="637"/>
      <c r="Q177" s="637"/>
      <c r="R177" s="637"/>
      <c r="S177" s="637"/>
      <c r="T177" s="637"/>
      <c r="U177" s="637"/>
      <c r="V177" s="637"/>
      <c r="W177" s="637"/>
      <c r="X177" s="637"/>
      <c r="Y177" s="637"/>
      <c r="Z177" s="637"/>
      <c r="AA177" s="637"/>
      <c r="AB177" s="637"/>
      <c r="AC177" s="637"/>
      <c r="AD177" s="637"/>
      <c r="AE177" s="637"/>
      <c r="AF177" s="637"/>
      <c r="AG177" s="637"/>
      <c r="AH177" s="637"/>
      <c r="AI177" s="637"/>
      <c r="AJ177" s="637"/>
      <c r="AK177" s="637"/>
      <c r="AL177" s="637"/>
      <c r="AM177" s="637"/>
      <c r="AN177" s="637"/>
      <c r="AO177" s="637"/>
      <c r="AP177" s="637"/>
      <c r="AQ177" s="637"/>
      <c r="AR177" s="637"/>
      <c r="AS177" s="637"/>
      <c r="AT177" s="637"/>
      <c r="AU177" s="637"/>
      <c r="AV177" s="637"/>
      <c r="AW177" s="637"/>
      <c r="AX177" s="637"/>
      <c r="AY177" s="637"/>
      <c r="AZ177" s="637"/>
      <c r="BA177" s="637"/>
      <c r="BB177" s="637"/>
      <c r="BC177" s="637"/>
      <c r="BD177" s="637"/>
      <c r="BE177" s="637"/>
      <c r="BF177" s="637"/>
      <c r="BG177" s="637"/>
      <c r="BH177" s="637"/>
      <c r="BI177" s="637"/>
      <c r="BJ177" s="637"/>
      <c r="BK177" s="637"/>
      <c r="BL177" s="637"/>
      <c r="BM177" s="637"/>
      <c r="BN177" s="637"/>
      <c r="BO177" s="637"/>
      <c r="BP177" s="637"/>
      <c r="BQ177" s="637"/>
      <c r="BR177" s="637"/>
      <c r="BS177" s="637"/>
      <c r="BT177" s="637"/>
      <c r="BU177" s="637"/>
      <c r="BV177" s="637"/>
      <c r="BW177" s="637"/>
      <c r="BX177" s="637"/>
      <c r="BY177" s="637"/>
      <c r="BZ177" s="637"/>
      <c r="CA177" s="637"/>
      <c r="CB177" s="637"/>
      <c r="CC177" s="637"/>
      <c r="CD177" s="637"/>
      <c r="CE177" s="637"/>
      <c r="CF177" s="637"/>
      <c r="CG177" s="637"/>
      <c r="CH177" s="637"/>
      <c r="CI177" s="637"/>
      <c r="CJ177" s="637"/>
      <c r="CK177" s="637"/>
      <c r="CL177" s="637"/>
      <c r="CM177" s="637"/>
    </row>
    <row r="178" ht="15.75" customHeight="1">
      <c r="A178" s="637"/>
      <c r="B178" s="637"/>
      <c r="C178" s="637"/>
      <c r="D178" s="637"/>
      <c r="E178" s="637"/>
      <c r="F178" s="637"/>
      <c r="G178" s="637"/>
      <c r="H178" s="637"/>
      <c r="I178" s="637"/>
      <c r="J178" s="637"/>
      <c r="K178" s="637"/>
      <c r="L178" s="637"/>
      <c r="M178" s="637"/>
      <c r="N178" s="637"/>
      <c r="O178" s="637"/>
      <c r="P178" s="637"/>
      <c r="Q178" s="637"/>
      <c r="R178" s="637"/>
      <c r="S178" s="637"/>
      <c r="T178" s="637"/>
      <c r="U178" s="637"/>
      <c r="V178" s="637"/>
      <c r="W178" s="637"/>
      <c r="X178" s="637"/>
      <c r="Y178" s="637"/>
      <c r="Z178" s="637"/>
      <c r="AA178" s="637"/>
      <c r="AB178" s="637"/>
      <c r="AC178" s="637"/>
      <c r="AD178" s="637"/>
      <c r="AE178" s="637"/>
      <c r="AF178" s="637"/>
      <c r="AG178" s="637"/>
      <c r="AH178" s="637"/>
      <c r="AI178" s="637"/>
      <c r="AJ178" s="637"/>
      <c r="AK178" s="637"/>
      <c r="AL178" s="637"/>
      <c r="AM178" s="637"/>
      <c r="AN178" s="637"/>
      <c r="AO178" s="637"/>
      <c r="AP178" s="637"/>
      <c r="AQ178" s="637"/>
      <c r="AR178" s="637"/>
      <c r="AS178" s="637"/>
      <c r="AT178" s="637"/>
      <c r="AU178" s="637"/>
      <c r="AV178" s="637"/>
      <c r="AW178" s="637"/>
      <c r="AX178" s="637"/>
      <c r="AY178" s="637"/>
      <c r="AZ178" s="637"/>
      <c r="BA178" s="637"/>
      <c r="BB178" s="637"/>
      <c r="BC178" s="637"/>
      <c r="BD178" s="637"/>
      <c r="BE178" s="637"/>
      <c r="BF178" s="637"/>
      <c r="BG178" s="637"/>
      <c r="BH178" s="637"/>
      <c r="BI178" s="637"/>
      <c r="BJ178" s="637"/>
      <c r="BK178" s="637"/>
      <c r="BL178" s="637"/>
      <c r="BM178" s="637"/>
      <c r="BN178" s="637"/>
      <c r="BO178" s="637"/>
      <c r="BP178" s="637"/>
      <c r="BQ178" s="637"/>
      <c r="BR178" s="637"/>
      <c r="BS178" s="637"/>
      <c r="BT178" s="637"/>
      <c r="BU178" s="637"/>
      <c r="BV178" s="637"/>
      <c r="BW178" s="637"/>
      <c r="BX178" s="637"/>
      <c r="BY178" s="637"/>
      <c r="BZ178" s="637"/>
      <c r="CA178" s="637"/>
      <c r="CB178" s="637"/>
      <c r="CC178" s="637"/>
      <c r="CD178" s="637"/>
      <c r="CE178" s="637"/>
      <c r="CF178" s="637"/>
      <c r="CG178" s="637"/>
      <c r="CH178" s="637"/>
      <c r="CI178" s="637"/>
      <c r="CJ178" s="637"/>
      <c r="CK178" s="637"/>
      <c r="CL178" s="637"/>
      <c r="CM178" s="637"/>
    </row>
    <row r="179" ht="15.75" customHeight="1">
      <c r="A179" s="637"/>
      <c r="B179" s="637"/>
      <c r="C179" s="637"/>
      <c r="D179" s="637"/>
      <c r="E179" s="637"/>
      <c r="F179" s="637"/>
      <c r="G179" s="637"/>
      <c r="H179" s="637"/>
      <c r="I179" s="637"/>
      <c r="J179" s="637"/>
      <c r="K179" s="637"/>
      <c r="L179" s="637"/>
      <c r="M179" s="637"/>
      <c r="N179" s="637"/>
      <c r="O179" s="637"/>
      <c r="P179" s="637"/>
      <c r="Q179" s="637"/>
      <c r="R179" s="637"/>
      <c r="S179" s="637"/>
      <c r="T179" s="637"/>
      <c r="U179" s="637"/>
      <c r="V179" s="637"/>
      <c r="W179" s="637"/>
      <c r="X179" s="637"/>
      <c r="Y179" s="637"/>
      <c r="Z179" s="637"/>
      <c r="AA179" s="637"/>
      <c r="AB179" s="637"/>
      <c r="AC179" s="637"/>
      <c r="AD179" s="637"/>
      <c r="AE179" s="637"/>
      <c r="AF179" s="637"/>
      <c r="AG179" s="637"/>
      <c r="AH179" s="637"/>
      <c r="AI179" s="637"/>
      <c r="AJ179" s="637"/>
      <c r="AK179" s="637"/>
      <c r="AL179" s="637"/>
      <c r="AM179" s="637"/>
      <c r="AN179" s="637"/>
      <c r="AO179" s="637"/>
      <c r="AP179" s="637"/>
      <c r="AQ179" s="637"/>
      <c r="AR179" s="637"/>
      <c r="AS179" s="637"/>
      <c r="AT179" s="637"/>
      <c r="AU179" s="637"/>
      <c r="AV179" s="637"/>
      <c r="AW179" s="637"/>
      <c r="AX179" s="637"/>
      <c r="AY179" s="637"/>
      <c r="AZ179" s="637"/>
      <c r="BA179" s="637"/>
      <c r="BB179" s="637"/>
      <c r="BC179" s="637"/>
      <c r="BD179" s="637"/>
      <c r="BE179" s="637"/>
      <c r="BF179" s="637"/>
      <c r="BG179" s="637"/>
      <c r="BH179" s="637"/>
      <c r="BI179" s="637"/>
      <c r="BJ179" s="637"/>
      <c r="BK179" s="637"/>
      <c r="BL179" s="637"/>
      <c r="BM179" s="637"/>
      <c r="BN179" s="637"/>
      <c r="BO179" s="637"/>
      <c r="BP179" s="637"/>
      <c r="BQ179" s="637"/>
      <c r="BR179" s="637"/>
      <c r="BS179" s="637"/>
      <c r="BT179" s="637"/>
      <c r="BU179" s="637"/>
      <c r="BV179" s="637"/>
      <c r="BW179" s="637"/>
      <c r="BX179" s="637"/>
      <c r="BY179" s="637"/>
      <c r="BZ179" s="637"/>
      <c r="CA179" s="637"/>
      <c r="CB179" s="637"/>
      <c r="CC179" s="637"/>
      <c r="CD179" s="637"/>
      <c r="CE179" s="637"/>
      <c r="CF179" s="637"/>
      <c r="CG179" s="637"/>
      <c r="CH179" s="637"/>
      <c r="CI179" s="637"/>
      <c r="CJ179" s="637"/>
      <c r="CK179" s="637"/>
      <c r="CL179" s="637"/>
      <c r="CM179" s="637"/>
    </row>
    <row r="180" ht="15.75" customHeight="1">
      <c r="A180" s="637"/>
      <c r="B180" s="637"/>
      <c r="C180" s="637"/>
      <c r="D180" s="637"/>
      <c r="E180" s="637"/>
      <c r="F180" s="637"/>
      <c r="G180" s="637"/>
      <c r="H180" s="637"/>
      <c r="I180" s="637"/>
      <c r="J180" s="637"/>
      <c r="K180" s="637"/>
      <c r="L180" s="637"/>
      <c r="M180" s="637"/>
      <c r="N180" s="637"/>
      <c r="O180" s="637"/>
      <c r="P180" s="637"/>
      <c r="Q180" s="637"/>
      <c r="R180" s="637"/>
      <c r="S180" s="637"/>
      <c r="T180" s="637"/>
      <c r="U180" s="637"/>
      <c r="V180" s="637"/>
      <c r="W180" s="637"/>
      <c r="X180" s="637"/>
      <c r="Y180" s="637"/>
      <c r="Z180" s="637"/>
      <c r="AA180" s="637"/>
      <c r="AB180" s="637"/>
      <c r="AC180" s="637"/>
      <c r="AD180" s="637"/>
      <c r="AE180" s="637"/>
      <c r="AF180" s="637"/>
      <c r="AG180" s="637"/>
      <c r="AH180" s="637"/>
      <c r="AI180" s="637"/>
      <c r="AJ180" s="637"/>
      <c r="AK180" s="637"/>
      <c r="AL180" s="637"/>
      <c r="AM180" s="637"/>
      <c r="AN180" s="637"/>
      <c r="AO180" s="637"/>
      <c r="AP180" s="637"/>
      <c r="AQ180" s="637"/>
      <c r="AR180" s="637"/>
      <c r="AS180" s="637"/>
      <c r="AT180" s="637"/>
      <c r="AU180" s="637"/>
      <c r="AV180" s="637"/>
      <c r="AW180" s="637"/>
      <c r="AX180" s="637"/>
      <c r="AY180" s="637"/>
      <c r="AZ180" s="637"/>
      <c r="BA180" s="637"/>
      <c r="BB180" s="637"/>
      <c r="BC180" s="637"/>
      <c r="BD180" s="637"/>
      <c r="BE180" s="637"/>
      <c r="BF180" s="637"/>
      <c r="BG180" s="637"/>
      <c r="BH180" s="637"/>
      <c r="BI180" s="637"/>
      <c r="BJ180" s="637"/>
      <c r="BK180" s="637"/>
      <c r="BL180" s="637"/>
      <c r="BM180" s="637"/>
      <c r="BN180" s="637"/>
      <c r="BO180" s="637"/>
      <c r="BP180" s="637"/>
      <c r="BQ180" s="637"/>
      <c r="BR180" s="637"/>
      <c r="BS180" s="637"/>
      <c r="BT180" s="637"/>
      <c r="BU180" s="637"/>
      <c r="BV180" s="637"/>
      <c r="BW180" s="637"/>
      <c r="BX180" s="637"/>
      <c r="BY180" s="637"/>
      <c r="BZ180" s="637"/>
      <c r="CA180" s="637"/>
      <c r="CB180" s="637"/>
      <c r="CC180" s="637"/>
      <c r="CD180" s="637"/>
      <c r="CE180" s="637"/>
      <c r="CF180" s="637"/>
      <c r="CG180" s="637"/>
      <c r="CH180" s="637"/>
      <c r="CI180" s="637"/>
      <c r="CJ180" s="637"/>
      <c r="CK180" s="637"/>
      <c r="CL180" s="637"/>
      <c r="CM180" s="637"/>
    </row>
    <row r="181" ht="15.75" customHeight="1">
      <c r="A181" s="637"/>
      <c r="B181" s="637"/>
      <c r="C181" s="637"/>
      <c r="D181" s="637"/>
      <c r="E181" s="637"/>
      <c r="F181" s="637"/>
      <c r="G181" s="637"/>
      <c r="H181" s="637"/>
      <c r="I181" s="637"/>
      <c r="J181" s="637"/>
      <c r="K181" s="637"/>
      <c r="L181" s="637"/>
      <c r="M181" s="637"/>
      <c r="N181" s="637"/>
      <c r="O181" s="637"/>
      <c r="P181" s="637"/>
      <c r="Q181" s="637"/>
      <c r="R181" s="637"/>
      <c r="S181" s="637"/>
      <c r="T181" s="637"/>
      <c r="U181" s="637"/>
      <c r="V181" s="637"/>
      <c r="W181" s="637"/>
      <c r="X181" s="637"/>
      <c r="Y181" s="637"/>
      <c r="Z181" s="637"/>
      <c r="AA181" s="637"/>
      <c r="AB181" s="637"/>
      <c r="AC181" s="637"/>
      <c r="AD181" s="637"/>
      <c r="AE181" s="637"/>
      <c r="AF181" s="637"/>
      <c r="AG181" s="637"/>
      <c r="AH181" s="637"/>
      <c r="AI181" s="637"/>
      <c r="AJ181" s="637"/>
      <c r="AK181" s="637"/>
      <c r="AL181" s="637"/>
      <c r="AM181" s="637"/>
      <c r="AN181" s="637"/>
      <c r="AO181" s="637"/>
      <c r="AP181" s="637"/>
      <c r="AQ181" s="637"/>
      <c r="AR181" s="637"/>
      <c r="AS181" s="637"/>
      <c r="AT181" s="637"/>
      <c r="AU181" s="637"/>
      <c r="AV181" s="637"/>
      <c r="AW181" s="637"/>
      <c r="AX181" s="637"/>
      <c r="AY181" s="637"/>
      <c r="AZ181" s="637"/>
      <c r="BA181" s="637"/>
      <c r="BB181" s="637"/>
      <c r="BC181" s="637"/>
      <c r="BD181" s="637"/>
      <c r="BE181" s="637"/>
      <c r="BF181" s="637"/>
      <c r="BG181" s="637"/>
      <c r="BH181" s="637"/>
      <c r="BI181" s="637"/>
      <c r="BJ181" s="637"/>
      <c r="BK181" s="637"/>
      <c r="BL181" s="637"/>
      <c r="BM181" s="637"/>
      <c r="BN181" s="637"/>
      <c r="BO181" s="637"/>
      <c r="BP181" s="637"/>
      <c r="BQ181" s="637"/>
      <c r="BR181" s="637"/>
      <c r="BS181" s="637"/>
      <c r="BT181" s="637"/>
      <c r="BU181" s="637"/>
      <c r="BV181" s="637"/>
      <c r="BW181" s="637"/>
      <c r="BX181" s="637"/>
      <c r="BY181" s="637"/>
      <c r="BZ181" s="637"/>
      <c r="CA181" s="637"/>
      <c r="CB181" s="637"/>
      <c r="CC181" s="637"/>
      <c r="CD181" s="637"/>
      <c r="CE181" s="637"/>
      <c r="CF181" s="637"/>
      <c r="CG181" s="637"/>
      <c r="CH181" s="637"/>
      <c r="CI181" s="637"/>
      <c r="CJ181" s="637"/>
      <c r="CK181" s="637"/>
      <c r="CL181" s="637"/>
      <c r="CM181" s="637"/>
    </row>
    <row r="182" ht="15.75" customHeight="1">
      <c r="A182" s="637"/>
      <c r="B182" s="637"/>
      <c r="C182" s="637"/>
      <c r="D182" s="637"/>
      <c r="E182" s="637"/>
      <c r="F182" s="637"/>
      <c r="G182" s="637"/>
      <c r="H182" s="637"/>
      <c r="I182" s="637"/>
      <c r="J182" s="637"/>
      <c r="K182" s="637"/>
      <c r="L182" s="637"/>
      <c r="M182" s="637"/>
      <c r="N182" s="637"/>
      <c r="O182" s="637"/>
      <c r="P182" s="637"/>
      <c r="Q182" s="637"/>
      <c r="R182" s="637"/>
      <c r="S182" s="637"/>
      <c r="T182" s="637"/>
      <c r="U182" s="637"/>
      <c r="V182" s="637"/>
      <c r="W182" s="637"/>
      <c r="X182" s="637"/>
      <c r="Y182" s="637"/>
      <c r="Z182" s="637"/>
      <c r="AA182" s="637"/>
      <c r="AB182" s="637"/>
      <c r="AC182" s="637"/>
      <c r="AD182" s="637"/>
      <c r="AE182" s="637"/>
      <c r="AF182" s="637"/>
      <c r="AG182" s="637"/>
      <c r="AH182" s="637"/>
      <c r="AI182" s="637"/>
      <c r="AJ182" s="637"/>
      <c r="AK182" s="637"/>
      <c r="AL182" s="637"/>
      <c r="AM182" s="637"/>
      <c r="AN182" s="637"/>
      <c r="AO182" s="637"/>
      <c r="AP182" s="637"/>
      <c r="AQ182" s="637"/>
      <c r="AR182" s="637"/>
      <c r="AS182" s="637"/>
      <c r="AT182" s="637"/>
      <c r="AU182" s="637"/>
      <c r="AV182" s="637"/>
      <c r="AW182" s="637"/>
      <c r="AX182" s="637"/>
      <c r="AY182" s="637"/>
      <c r="AZ182" s="637"/>
      <c r="BA182" s="637"/>
      <c r="BB182" s="637"/>
      <c r="BC182" s="637"/>
      <c r="BD182" s="637"/>
      <c r="BE182" s="637"/>
      <c r="BF182" s="637"/>
      <c r="BG182" s="637"/>
      <c r="BH182" s="637"/>
      <c r="BI182" s="637"/>
      <c r="BJ182" s="637"/>
      <c r="BK182" s="637"/>
      <c r="BL182" s="637"/>
      <c r="BM182" s="637"/>
      <c r="BN182" s="637"/>
      <c r="BO182" s="637"/>
      <c r="BP182" s="637"/>
      <c r="BQ182" s="637"/>
      <c r="BR182" s="637"/>
      <c r="BS182" s="637"/>
      <c r="BT182" s="637"/>
      <c r="BU182" s="637"/>
      <c r="BV182" s="637"/>
      <c r="BW182" s="637"/>
      <c r="BX182" s="637"/>
      <c r="BY182" s="637"/>
      <c r="BZ182" s="637"/>
      <c r="CA182" s="637"/>
      <c r="CB182" s="637"/>
      <c r="CC182" s="637"/>
      <c r="CD182" s="637"/>
      <c r="CE182" s="637"/>
      <c r="CF182" s="637"/>
      <c r="CG182" s="637"/>
      <c r="CH182" s="637"/>
      <c r="CI182" s="637"/>
      <c r="CJ182" s="637"/>
      <c r="CK182" s="637"/>
      <c r="CL182" s="637"/>
      <c r="CM182" s="637"/>
    </row>
    <row r="183" ht="15.75" customHeight="1">
      <c r="A183" s="637"/>
      <c r="B183" s="637"/>
      <c r="C183" s="637"/>
      <c r="D183" s="637"/>
      <c r="E183" s="637"/>
      <c r="F183" s="637"/>
      <c r="G183" s="637"/>
      <c r="H183" s="637"/>
      <c r="I183" s="637"/>
      <c r="J183" s="637"/>
      <c r="K183" s="637"/>
      <c r="L183" s="637"/>
      <c r="M183" s="637"/>
      <c r="N183" s="637"/>
      <c r="O183" s="637"/>
      <c r="P183" s="637"/>
      <c r="Q183" s="637"/>
      <c r="R183" s="637"/>
      <c r="S183" s="637"/>
      <c r="T183" s="637"/>
      <c r="U183" s="637"/>
      <c r="V183" s="637"/>
      <c r="W183" s="637"/>
      <c r="X183" s="637"/>
      <c r="Y183" s="637"/>
      <c r="Z183" s="637"/>
      <c r="AA183" s="637"/>
      <c r="AB183" s="637"/>
      <c r="AC183" s="637"/>
      <c r="AD183" s="637"/>
      <c r="AE183" s="637"/>
      <c r="AF183" s="637"/>
      <c r="AG183" s="637"/>
      <c r="AH183" s="637"/>
      <c r="AI183" s="637"/>
      <c r="AJ183" s="637"/>
      <c r="AK183" s="637"/>
      <c r="AL183" s="637"/>
      <c r="AM183" s="637"/>
      <c r="AN183" s="637"/>
      <c r="AO183" s="637"/>
      <c r="AP183" s="637"/>
      <c r="AQ183" s="637"/>
      <c r="AR183" s="637"/>
      <c r="AS183" s="637"/>
      <c r="AT183" s="637"/>
      <c r="AU183" s="637"/>
      <c r="AV183" s="637"/>
      <c r="AW183" s="637"/>
      <c r="AX183" s="637"/>
      <c r="AY183" s="637"/>
      <c r="AZ183" s="637"/>
      <c r="BA183" s="637"/>
      <c r="BB183" s="637"/>
      <c r="BC183" s="637"/>
      <c r="BD183" s="637"/>
      <c r="BE183" s="637"/>
      <c r="BF183" s="637"/>
      <c r="BG183" s="637"/>
      <c r="BH183" s="637"/>
      <c r="BI183" s="637"/>
      <c r="BJ183" s="637"/>
      <c r="BK183" s="637"/>
      <c r="BL183" s="637"/>
      <c r="BM183" s="637"/>
      <c r="BN183" s="637"/>
      <c r="BO183" s="637"/>
      <c r="BP183" s="637"/>
      <c r="BQ183" s="637"/>
      <c r="BR183" s="637"/>
      <c r="BS183" s="637"/>
      <c r="BT183" s="637"/>
      <c r="BU183" s="637"/>
      <c r="BV183" s="637"/>
      <c r="BW183" s="637"/>
      <c r="BX183" s="637"/>
      <c r="BY183" s="637"/>
      <c r="BZ183" s="637"/>
      <c r="CA183" s="637"/>
      <c r="CB183" s="637"/>
      <c r="CC183" s="637"/>
      <c r="CD183" s="637"/>
      <c r="CE183" s="637"/>
      <c r="CF183" s="637"/>
      <c r="CG183" s="637"/>
      <c r="CH183" s="637"/>
      <c r="CI183" s="637"/>
      <c r="CJ183" s="637"/>
      <c r="CK183" s="637"/>
      <c r="CL183" s="637"/>
      <c r="CM183" s="637"/>
    </row>
    <row r="184" ht="15.75" customHeight="1">
      <c r="A184" s="637"/>
      <c r="B184" s="637"/>
      <c r="C184" s="637"/>
      <c r="D184" s="637"/>
      <c r="E184" s="637"/>
      <c r="F184" s="637"/>
      <c r="G184" s="637"/>
      <c r="H184" s="637"/>
      <c r="I184" s="637"/>
      <c r="J184" s="637"/>
      <c r="K184" s="637"/>
      <c r="L184" s="637"/>
      <c r="M184" s="637"/>
      <c r="N184" s="637"/>
      <c r="O184" s="637"/>
      <c r="P184" s="637"/>
      <c r="Q184" s="637"/>
      <c r="R184" s="637"/>
      <c r="S184" s="637"/>
      <c r="T184" s="637"/>
      <c r="U184" s="637"/>
      <c r="V184" s="637"/>
      <c r="W184" s="637"/>
      <c r="X184" s="637"/>
      <c r="Y184" s="637"/>
      <c r="Z184" s="637"/>
      <c r="AA184" s="637"/>
      <c r="AB184" s="637"/>
      <c r="AC184" s="637"/>
      <c r="AD184" s="637"/>
      <c r="AE184" s="637"/>
      <c r="AF184" s="637"/>
      <c r="AG184" s="637"/>
      <c r="AH184" s="637"/>
      <c r="AI184" s="637"/>
      <c r="AJ184" s="637"/>
      <c r="AK184" s="637"/>
      <c r="AL184" s="637"/>
      <c r="AM184" s="637"/>
      <c r="AN184" s="637"/>
      <c r="AO184" s="637"/>
      <c r="AP184" s="637"/>
      <c r="AQ184" s="637"/>
      <c r="AR184" s="637"/>
      <c r="AS184" s="637"/>
      <c r="AT184" s="637"/>
      <c r="AU184" s="637"/>
      <c r="AV184" s="637"/>
      <c r="AW184" s="637"/>
      <c r="AX184" s="637"/>
      <c r="AY184" s="637"/>
      <c r="AZ184" s="637"/>
      <c r="BA184" s="637"/>
      <c r="BB184" s="637"/>
      <c r="BC184" s="637"/>
      <c r="BD184" s="637"/>
      <c r="BE184" s="637"/>
      <c r="BF184" s="637"/>
      <c r="BG184" s="637"/>
      <c r="BH184" s="637"/>
      <c r="BI184" s="637"/>
      <c r="BJ184" s="637"/>
      <c r="BK184" s="637"/>
      <c r="BL184" s="637"/>
      <c r="BM184" s="637"/>
      <c r="BN184" s="637"/>
      <c r="BO184" s="637"/>
      <c r="BP184" s="637"/>
      <c r="BQ184" s="637"/>
      <c r="BR184" s="637"/>
      <c r="BS184" s="637"/>
      <c r="BT184" s="637"/>
      <c r="BU184" s="637"/>
      <c r="BV184" s="637"/>
      <c r="BW184" s="637"/>
      <c r="BX184" s="637"/>
      <c r="BY184" s="637"/>
      <c r="BZ184" s="637"/>
      <c r="CA184" s="637"/>
      <c r="CB184" s="637"/>
      <c r="CC184" s="637"/>
      <c r="CD184" s="637"/>
      <c r="CE184" s="637"/>
      <c r="CF184" s="637"/>
      <c r="CG184" s="637"/>
      <c r="CH184" s="637"/>
      <c r="CI184" s="637"/>
      <c r="CJ184" s="637"/>
      <c r="CK184" s="637"/>
      <c r="CL184" s="637"/>
      <c r="CM184" s="637"/>
    </row>
    <row r="185" ht="15.75" customHeight="1">
      <c r="A185" s="637"/>
      <c r="B185" s="637"/>
      <c r="C185" s="637"/>
      <c r="D185" s="637"/>
      <c r="E185" s="637"/>
      <c r="F185" s="637"/>
      <c r="G185" s="637"/>
      <c r="H185" s="637"/>
      <c r="I185" s="637"/>
      <c r="J185" s="637"/>
      <c r="K185" s="637"/>
      <c r="L185" s="637"/>
      <c r="M185" s="637"/>
      <c r="N185" s="637"/>
      <c r="O185" s="637"/>
      <c r="P185" s="637"/>
      <c r="Q185" s="637"/>
      <c r="R185" s="637"/>
      <c r="S185" s="637"/>
      <c r="T185" s="637"/>
      <c r="U185" s="637"/>
      <c r="V185" s="637"/>
      <c r="W185" s="637"/>
      <c r="X185" s="637"/>
      <c r="Y185" s="637"/>
      <c r="Z185" s="637"/>
      <c r="AA185" s="637"/>
      <c r="AB185" s="637"/>
      <c r="AC185" s="637"/>
      <c r="AD185" s="637"/>
      <c r="AE185" s="637"/>
      <c r="AF185" s="637"/>
      <c r="AG185" s="637"/>
      <c r="AH185" s="637"/>
      <c r="AI185" s="637"/>
      <c r="AJ185" s="637"/>
      <c r="AK185" s="637"/>
      <c r="AL185" s="637"/>
      <c r="AM185" s="637"/>
      <c r="AN185" s="637"/>
      <c r="AO185" s="637"/>
      <c r="AP185" s="637"/>
      <c r="AQ185" s="637"/>
      <c r="AR185" s="637"/>
      <c r="AS185" s="637"/>
      <c r="AT185" s="637"/>
      <c r="AU185" s="637"/>
      <c r="AV185" s="637"/>
      <c r="AW185" s="637"/>
      <c r="AX185" s="637"/>
      <c r="AY185" s="637"/>
      <c r="AZ185" s="637"/>
      <c r="BA185" s="637"/>
      <c r="BB185" s="637"/>
      <c r="BC185" s="637"/>
      <c r="BD185" s="637"/>
      <c r="BE185" s="637"/>
      <c r="BF185" s="637"/>
      <c r="BG185" s="637"/>
      <c r="BH185" s="637"/>
      <c r="BI185" s="637"/>
      <c r="BJ185" s="637"/>
      <c r="BK185" s="637"/>
      <c r="BL185" s="637"/>
      <c r="BM185" s="637"/>
      <c r="BN185" s="637"/>
      <c r="BO185" s="637"/>
      <c r="BP185" s="637"/>
      <c r="BQ185" s="637"/>
      <c r="BR185" s="637"/>
      <c r="BS185" s="637"/>
      <c r="BT185" s="637"/>
      <c r="BU185" s="637"/>
      <c r="BV185" s="637"/>
      <c r="BW185" s="637"/>
      <c r="BX185" s="637"/>
      <c r="BY185" s="637"/>
      <c r="BZ185" s="637"/>
      <c r="CA185" s="637"/>
      <c r="CB185" s="637"/>
      <c r="CC185" s="637"/>
      <c r="CD185" s="637"/>
      <c r="CE185" s="637"/>
      <c r="CF185" s="637"/>
      <c r="CG185" s="637"/>
      <c r="CH185" s="637"/>
      <c r="CI185" s="637"/>
      <c r="CJ185" s="637"/>
      <c r="CK185" s="637"/>
      <c r="CL185" s="637"/>
      <c r="CM185" s="637"/>
    </row>
    <row r="186" ht="15.75" customHeight="1">
      <c r="A186" s="637"/>
      <c r="B186" s="637"/>
      <c r="C186" s="637"/>
      <c r="D186" s="637"/>
      <c r="E186" s="637"/>
      <c r="F186" s="637"/>
      <c r="G186" s="637"/>
      <c r="H186" s="637"/>
      <c r="I186" s="637"/>
      <c r="J186" s="637"/>
      <c r="K186" s="637"/>
      <c r="L186" s="637"/>
      <c r="M186" s="637"/>
      <c r="N186" s="637"/>
      <c r="O186" s="637"/>
      <c r="P186" s="637"/>
      <c r="Q186" s="637"/>
      <c r="R186" s="637"/>
      <c r="S186" s="637"/>
      <c r="T186" s="637"/>
      <c r="U186" s="637"/>
      <c r="V186" s="637"/>
      <c r="W186" s="637"/>
      <c r="X186" s="637"/>
      <c r="Y186" s="637"/>
      <c r="Z186" s="637"/>
      <c r="AA186" s="637"/>
      <c r="AB186" s="637"/>
      <c r="AC186" s="637"/>
      <c r="AD186" s="637"/>
      <c r="AE186" s="637"/>
      <c r="AF186" s="637"/>
      <c r="AG186" s="637"/>
      <c r="AH186" s="637"/>
      <c r="AI186" s="637"/>
      <c r="AJ186" s="637"/>
      <c r="AK186" s="637"/>
      <c r="AL186" s="637"/>
      <c r="AM186" s="637"/>
      <c r="AN186" s="637"/>
      <c r="AO186" s="637"/>
      <c r="AP186" s="637"/>
      <c r="AQ186" s="637"/>
      <c r="AR186" s="637"/>
      <c r="AS186" s="637"/>
      <c r="AT186" s="637"/>
      <c r="AU186" s="637"/>
      <c r="AV186" s="637"/>
      <c r="AW186" s="637"/>
      <c r="AX186" s="637"/>
      <c r="AY186" s="637"/>
      <c r="AZ186" s="637"/>
      <c r="BA186" s="637"/>
      <c r="BB186" s="637"/>
      <c r="BC186" s="637"/>
      <c r="BD186" s="637"/>
      <c r="BE186" s="637"/>
      <c r="BF186" s="637"/>
      <c r="BG186" s="637"/>
      <c r="BH186" s="637"/>
      <c r="BI186" s="637"/>
      <c r="BJ186" s="637"/>
      <c r="BK186" s="637"/>
      <c r="BL186" s="637"/>
      <c r="BM186" s="637"/>
      <c r="BN186" s="637"/>
      <c r="BO186" s="637"/>
      <c r="BP186" s="637"/>
      <c r="BQ186" s="637"/>
      <c r="BR186" s="637"/>
      <c r="BS186" s="637"/>
      <c r="BT186" s="637"/>
      <c r="BU186" s="637"/>
      <c r="BV186" s="637"/>
      <c r="BW186" s="637"/>
      <c r="BX186" s="637"/>
      <c r="BY186" s="637"/>
      <c r="BZ186" s="637"/>
      <c r="CA186" s="637"/>
      <c r="CB186" s="637"/>
      <c r="CC186" s="637"/>
      <c r="CD186" s="637"/>
      <c r="CE186" s="637"/>
      <c r="CF186" s="637"/>
      <c r="CG186" s="637"/>
      <c r="CH186" s="637"/>
      <c r="CI186" s="637"/>
      <c r="CJ186" s="637"/>
      <c r="CK186" s="637"/>
      <c r="CL186" s="637"/>
      <c r="CM186" s="637"/>
    </row>
    <row r="187" ht="15.75" customHeight="1">
      <c r="A187" s="637"/>
      <c r="B187" s="637"/>
      <c r="C187" s="637"/>
      <c r="D187" s="637"/>
      <c r="E187" s="637"/>
      <c r="F187" s="637"/>
      <c r="G187" s="637"/>
      <c r="H187" s="637"/>
      <c r="I187" s="637"/>
      <c r="J187" s="637"/>
      <c r="K187" s="637"/>
      <c r="L187" s="637"/>
      <c r="M187" s="637"/>
      <c r="N187" s="637"/>
      <c r="O187" s="637"/>
      <c r="P187" s="637"/>
      <c r="Q187" s="637"/>
      <c r="R187" s="637"/>
      <c r="S187" s="637"/>
      <c r="T187" s="637"/>
      <c r="U187" s="637"/>
      <c r="V187" s="637"/>
      <c r="W187" s="637"/>
      <c r="X187" s="637"/>
      <c r="Y187" s="637"/>
      <c r="Z187" s="637"/>
      <c r="AA187" s="637"/>
      <c r="AB187" s="637"/>
      <c r="AC187" s="637"/>
      <c r="AD187" s="637"/>
      <c r="AE187" s="637"/>
      <c r="AF187" s="637"/>
      <c r="AG187" s="637"/>
      <c r="AH187" s="637"/>
      <c r="AI187" s="637"/>
      <c r="AJ187" s="637"/>
      <c r="AK187" s="637"/>
      <c r="AL187" s="637"/>
      <c r="AM187" s="637"/>
      <c r="AN187" s="637"/>
      <c r="AO187" s="637"/>
      <c r="AP187" s="637"/>
      <c r="AQ187" s="637"/>
      <c r="AR187" s="637"/>
      <c r="AS187" s="637"/>
      <c r="AT187" s="637"/>
      <c r="AU187" s="637"/>
      <c r="AV187" s="637"/>
      <c r="AW187" s="637"/>
      <c r="AX187" s="637"/>
      <c r="AY187" s="637"/>
      <c r="AZ187" s="637"/>
      <c r="BA187" s="637"/>
      <c r="BB187" s="637"/>
      <c r="BC187" s="637"/>
      <c r="BD187" s="637"/>
      <c r="BE187" s="637"/>
      <c r="BF187" s="637"/>
      <c r="BG187" s="637"/>
      <c r="BH187" s="637"/>
      <c r="BI187" s="637"/>
      <c r="BJ187" s="637"/>
      <c r="BK187" s="637"/>
      <c r="BL187" s="637"/>
      <c r="BM187" s="637"/>
      <c r="BN187" s="637"/>
      <c r="BO187" s="637"/>
      <c r="BP187" s="637"/>
      <c r="BQ187" s="637"/>
      <c r="BR187" s="637"/>
      <c r="BS187" s="637"/>
      <c r="BT187" s="637"/>
      <c r="BU187" s="637"/>
      <c r="BV187" s="637"/>
      <c r="BW187" s="637"/>
      <c r="BX187" s="637"/>
      <c r="BY187" s="637"/>
      <c r="BZ187" s="637"/>
      <c r="CA187" s="637"/>
      <c r="CB187" s="637"/>
      <c r="CC187" s="637"/>
      <c r="CD187" s="637"/>
      <c r="CE187" s="637"/>
      <c r="CF187" s="637"/>
      <c r="CG187" s="637"/>
      <c r="CH187" s="637"/>
      <c r="CI187" s="637"/>
      <c r="CJ187" s="637"/>
      <c r="CK187" s="637"/>
      <c r="CL187" s="637"/>
      <c r="CM187" s="637"/>
    </row>
    <row r="188" ht="15.75" customHeight="1">
      <c r="A188" s="637"/>
      <c r="B188" s="637"/>
      <c r="C188" s="637"/>
      <c r="D188" s="637"/>
      <c r="E188" s="637"/>
      <c r="F188" s="637"/>
      <c r="G188" s="637"/>
      <c r="H188" s="637"/>
      <c r="I188" s="637"/>
      <c r="J188" s="637"/>
      <c r="K188" s="637"/>
      <c r="L188" s="637"/>
      <c r="M188" s="637"/>
      <c r="N188" s="637"/>
      <c r="O188" s="637"/>
      <c r="P188" s="637"/>
      <c r="Q188" s="637"/>
      <c r="R188" s="637"/>
      <c r="S188" s="637"/>
      <c r="T188" s="637"/>
      <c r="U188" s="637"/>
      <c r="V188" s="637"/>
      <c r="W188" s="637"/>
      <c r="X188" s="637"/>
      <c r="Y188" s="637"/>
      <c r="Z188" s="637"/>
      <c r="AA188" s="637"/>
      <c r="AB188" s="637"/>
      <c r="AC188" s="637"/>
      <c r="AD188" s="637"/>
      <c r="AE188" s="637"/>
      <c r="AF188" s="637"/>
      <c r="AG188" s="637"/>
      <c r="AH188" s="637"/>
      <c r="AI188" s="637"/>
      <c r="AJ188" s="637"/>
      <c r="AK188" s="637"/>
      <c r="AL188" s="637"/>
      <c r="AM188" s="637"/>
      <c r="AN188" s="637"/>
      <c r="AO188" s="637"/>
      <c r="AP188" s="637"/>
      <c r="AQ188" s="637"/>
      <c r="AR188" s="637"/>
      <c r="AS188" s="637"/>
      <c r="AT188" s="637"/>
      <c r="AU188" s="637"/>
      <c r="AV188" s="637"/>
      <c r="AW188" s="637"/>
      <c r="AX188" s="637"/>
      <c r="AY188" s="637"/>
      <c r="AZ188" s="637"/>
      <c r="BA188" s="637"/>
      <c r="BB188" s="637"/>
      <c r="BC188" s="637"/>
      <c r="BD188" s="637"/>
      <c r="BE188" s="637"/>
      <c r="BF188" s="637"/>
      <c r="BG188" s="637"/>
      <c r="BH188" s="637"/>
      <c r="BI188" s="637"/>
      <c r="BJ188" s="637"/>
      <c r="BK188" s="637"/>
      <c r="BL188" s="637"/>
      <c r="BM188" s="637"/>
      <c r="BN188" s="637"/>
      <c r="BO188" s="637"/>
      <c r="BP188" s="637"/>
      <c r="BQ188" s="637"/>
      <c r="BR188" s="637"/>
      <c r="BS188" s="637"/>
      <c r="BT188" s="637"/>
      <c r="BU188" s="637"/>
      <c r="BV188" s="637"/>
      <c r="BW188" s="637"/>
      <c r="BX188" s="637"/>
      <c r="BY188" s="637"/>
      <c r="BZ188" s="637"/>
      <c r="CA188" s="637"/>
      <c r="CB188" s="637"/>
      <c r="CC188" s="637"/>
      <c r="CD188" s="637"/>
      <c r="CE188" s="637"/>
      <c r="CF188" s="637"/>
      <c r="CG188" s="637"/>
      <c r="CH188" s="637"/>
      <c r="CI188" s="637"/>
      <c r="CJ188" s="637"/>
      <c r="CK188" s="637"/>
      <c r="CL188" s="637"/>
      <c r="CM188" s="637"/>
    </row>
    <row r="189" ht="15.75" customHeight="1">
      <c r="A189" s="637"/>
      <c r="B189" s="637"/>
      <c r="C189" s="637"/>
      <c r="D189" s="637"/>
      <c r="E189" s="637"/>
      <c r="F189" s="637"/>
      <c r="G189" s="637"/>
      <c r="H189" s="637"/>
      <c r="I189" s="637"/>
      <c r="J189" s="637"/>
      <c r="K189" s="637"/>
      <c r="L189" s="637"/>
      <c r="M189" s="637"/>
      <c r="N189" s="637"/>
      <c r="O189" s="637"/>
      <c r="P189" s="637"/>
      <c r="Q189" s="637"/>
      <c r="R189" s="637"/>
      <c r="S189" s="637"/>
      <c r="T189" s="637"/>
      <c r="U189" s="637"/>
      <c r="V189" s="637"/>
      <c r="W189" s="637"/>
      <c r="X189" s="637"/>
      <c r="Y189" s="637"/>
      <c r="Z189" s="637"/>
      <c r="AA189" s="637"/>
      <c r="AB189" s="637"/>
      <c r="AC189" s="637"/>
      <c r="AD189" s="637"/>
      <c r="AE189" s="637"/>
      <c r="AF189" s="637"/>
      <c r="AG189" s="637"/>
      <c r="AH189" s="637"/>
      <c r="AI189" s="637"/>
      <c r="AJ189" s="637"/>
      <c r="AK189" s="637"/>
      <c r="AL189" s="637"/>
      <c r="AM189" s="637"/>
      <c r="AN189" s="637"/>
      <c r="AO189" s="637"/>
      <c r="AP189" s="637"/>
      <c r="AQ189" s="637"/>
      <c r="AR189" s="637"/>
      <c r="AS189" s="637"/>
      <c r="AT189" s="637"/>
      <c r="AU189" s="637"/>
      <c r="AV189" s="637"/>
      <c r="AW189" s="637"/>
      <c r="AX189" s="637"/>
      <c r="AY189" s="637"/>
      <c r="AZ189" s="637"/>
      <c r="BA189" s="637"/>
      <c r="BB189" s="637"/>
      <c r="BC189" s="637"/>
      <c r="BD189" s="637"/>
      <c r="BE189" s="637"/>
      <c r="BF189" s="637"/>
      <c r="BG189" s="637"/>
      <c r="BH189" s="637"/>
      <c r="BI189" s="637"/>
      <c r="BJ189" s="637"/>
      <c r="BK189" s="637"/>
      <c r="BL189" s="637"/>
      <c r="BM189" s="637"/>
      <c r="BN189" s="637"/>
      <c r="BO189" s="637"/>
      <c r="BP189" s="637"/>
      <c r="BQ189" s="637"/>
      <c r="BR189" s="637"/>
      <c r="BS189" s="637"/>
      <c r="BT189" s="637"/>
      <c r="BU189" s="637"/>
      <c r="BV189" s="637"/>
      <c r="BW189" s="637"/>
      <c r="BX189" s="637"/>
      <c r="BY189" s="637"/>
      <c r="BZ189" s="637"/>
      <c r="CA189" s="637"/>
      <c r="CB189" s="637"/>
      <c r="CC189" s="637"/>
      <c r="CD189" s="637"/>
      <c r="CE189" s="637"/>
      <c r="CF189" s="637"/>
      <c r="CG189" s="637"/>
      <c r="CH189" s="637"/>
      <c r="CI189" s="637"/>
      <c r="CJ189" s="637"/>
      <c r="CK189" s="637"/>
      <c r="CL189" s="637"/>
      <c r="CM189" s="637"/>
    </row>
    <row r="190" ht="15.75" customHeight="1">
      <c r="A190" s="637"/>
      <c r="B190" s="637"/>
      <c r="C190" s="637"/>
      <c r="D190" s="637"/>
      <c r="E190" s="637"/>
      <c r="F190" s="637"/>
      <c r="G190" s="637"/>
      <c r="H190" s="637"/>
      <c r="I190" s="637"/>
      <c r="J190" s="637"/>
      <c r="K190" s="637"/>
      <c r="L190" s="637"/>
      <c r="M190" s="637"/>
      <c r="N190" s="637"/>
      <c r="O190" s="637"/>
      <c r="P190" s="637"/>
      <c r="Q190" s="637"/>
      <c r="R190" s="637"/>
      <c r="S190" s="637"/>
      <c r="T190" s="637"/>
      <c r="U190" s="637"/>
      <c r="V190" s="637"/>
      <c r="W190" s="637"/>
      <c r="X190" s="637"/>
      <c r="Y190" s="637"/>
      <c r="Z190" s="637"/>
      <c r="AA190" s="637"/>
      <c r="AB190" s="637"/>
      <c r="AC190" s="637"/>
      <c r="AD190" s="637"/>
      <c r="AE190" s="637"/>
      <c r="AF190" s="637"/>
      <c r="AG190" s="637"/>
      <c r="AH190" s="637"/>
      <c r="AI190" s="637"/>
      <c r="AJ190" s="637"/>
      <c r="AK190" s="637"/>
      <c r="AL190" s="637"/>
      <c r="AM190" s="637"/>
      <c r="AN190" s="637"/>
      <c r="AO190" s="637"/>
      <c r="AP190" s="637"/>
      <c r="AQ190" s="637"/>
      <c r="AR190" s="637"/>
      <c r="AS190" s="637"/>
      <c r="AT190" s="637"/>
      <c r="AU190" s="637"/>
      <c r="AV190" s="637"/>
      <c r="AW190" s="637"/>
      <c r="AX190" s="637"/>
      <c r="AY190" s="637"/>
      <c r="AZ190" s="637"/>
      <c r="BA190" s="637"/>
      <c r="BB190" s="637"/>
      <c r="BC190" s="637"/>
      <c r="BD190" s="637"/>
      <c r="BE190" s="637"/>
      <c r="BF190" s="637"/>
      <c r="BG190" s="637"/>
      <c r="BH190" s="637"/>
      <c r="BI190" s="637"/>
      <c r="BJ190" s="637"/>
      <c r="BK190" s="637"/>
      <c r="BL190" s="637"/>
      <c r="BM190" s="637"/>
      <c r="BN190" s="637"/>
      <c r="BO190" s="637"/>
      <c r="BP190" s="637"/>
      <c r="BQ190" s="637"/>
      <c r="BR190" s="637"/>
      <c r="BS190" s="637"/>
      <c r="BT190" s="637"/>
      <c r="BU190" s="637"/>
      <c r="BV190" s="637"/>
      <c r="BW190" s="637"/>
      <c r="BX190" s="637"/>
      <c r="BY190" s="637"/>
      <c r="BZ190" s="637"/>
      <c r="CA190" s="637"/>
      <c r="CB190" s="637"/>
      <c r="CC190" s="637"/>
      <c r="CD190" s="637"/>
      <c r="CE190" s="637"/>
      <c r="CF190" s="637"/>
      <c r="CG190" s="637"/>
      <c r="CH190" s="637"/>
      <c r="CI190" s="637"/>
      <c r="CJ190" s="637"/>
      <c r="CK190" s="637"/>
      <c r="CL190" s="637"/>
      <c r="CM190" s="637"/>
    </row>
    <row r="191" ht="15.75" customHeight="1">
      <c r="A191" s="637"/>
      <c r="B191" s="637"/>
      <c r="C191" s="637"/>
      <c r="D191" s="637"/>
      <c r="E191" s="637"/>
      <c r="F191" s="637"/>
      <c r="G191" s="637"/>
      <c r="H191" s="637"/>
      <c r="I191" s="637"/>
      <c r="J191" s="637"/>
      <c r="K191" s="637"/>
      <c r="L191" s="637"/>
      <c r="M191" s="637"/>
      <c r="N191" s="637"/>
      <c r="O191" s="637"/>
      <c r="P191" s="637"/>
      <c r="Q191" s="637"/>
      <c r="R191" s="637"/>
      <c r="S191" s="637"/>
      <c r="T191" s="637"/>
      <c r="U191" s="637"/>
      <c r="V191" s="637"/>
      <c r="W191" s="637"/>
      <c r="X191" s="637"/>
      <c r="Y191" s="637"/>
      <c r="Z191" s="637"/>
      <c r="AA191" s="637"/>
      <c r="AB191" s="637"/>
      <c r="AC191" s="637"/>
      <c r="AD191" s="637"/>
      <c r="AE191" s="637"/>
      <c r="AF191" s="637"/>
      <c r="AG191" s="637"/>
      <c r="AH191" s="637"/>
      <c r="AI191" s="637"/>
      <c r="AJ191" s="637"/>
      <c r="AK191" s="637"/>
      <c r="AL191" s="637"/>
      <c r="AM191" s="637"/>
      <c r="AN191" s="637"/>
      <c r="AO191" s="637"/>
      <c r="AP191" s="637"/>
      <c r="AQ191" s="637"/>
      <c r="AR191" s="637"/>
      <c r="AS191" s="637"/>
      <c r="AT191" s="637"/>
      <c r="AU191" s="637"/>
      <c r="AV191" s="637"/>
      <c r="AW191" s="637"/>
      <c r="AX191" s="637"/>
      <c r="AY191" s="637"/>
      <c r="AZ191" s="637"/>
      <c r="BA191" s="637"/>
      <c r="BB191" s="637"/>
      <c r="BC191" s="637"/>
      <c r="BD191" s="637"/>
      <c r="BE191" s="637"/>
      <c r="BF191" s="637"/>
      <c r="BG191" s="637"/>
      <c r="BH191" s="637"/>
      <c r="BI191" s="637"/>
      <c r="BJ191" s="637"/>
      <c r="BK191" s="637"/>
      <c r="BL191" s="637"/>
      <c r="BM191" s="637"/>
      <c r="BN191" s="637"/>
      <c r="BO191" s="637"/>
      <c r="BP191" s="637"/>
      <c r="BQ191" s="637"/>
      <c r="BR191" s="637"/>
      <c r="BS191" s="637"/>
      <c r="BT191" s="637"/>
      <c r="BU191" s="637"/>
      <c r="BV191" s="637"/>
      <c r="BW191" s="637"/>
      <c r="BX191" s="637"/>
      <c r="BY191" s="637"/>
      <c r="BZ191" s="637"/>
      <c r="CA191" s="637"/>
      <c r="CB191" s="637"/>
      <c r="CC191" s="637"/>
      <c r="CD191" s="637"/>
      <c r="CE191" s="637"/>
      <c r="CF191" s="637"/>
      <c r="CG191" s="637"/>
      <c r="CH191" s="637"/>
      <c r="CI191" s="637"/>
      <c r="CJ191" s="637"/>
      <c r="CK191" s="637"/>
      <c r="CL191" s="637"/>
      <c r="CM191" s="637"/>
    </row>
    <row r="192" ht="15.75" customHeight="1">
      <c r="A192" s="637"/>
      <c r="B192" s="637"/>
      <c r="C192" s="637"/>
      <c r="D192" s="637"/>
      <c r="E192" s="637"/>
      <c r="F192" s="637"/>
      <c r="G192" s="637"/>
      <c r="H192" s="637"/>
      <c r="I192" s="637"/>
      <c r="J192" s="637"/>
      <c r="K192" s="637"/>
      <c r="L192" s="637"/>
      <c r="M192" s="637"/>
      <c r="N192" s="637"/>
      <c r="O192" s="637"/>
      <c r="P192" s="637"/>
      <c r="Q192" s="637"/>
      <c r="R192" s="637"/>
      <c r="S192" s="637"/>
      <c r="T192" s="637"/>
      <c r="U192" s="637"/>
      <c r="V192" s="637"/>
      <c r="W192" s="637"/>
      <c r="X192" s="637"/>
      <c r="Y192" s="637"/>
      <c r="Z192" s="637"/>
      <c r="AA192" s="637"/>
      <c r="AB192" s="637"/>
      <c r="AC192" s="637"/>
      <c r="AD192" s="637"/>
      <c r="AE192" s="637"/>
      <c r="AF192" s="637"/>
      <c r="AG192" s="637"/>
      <c r="AH192" s="637"/>
      <c r="AI192" s="637"/>
      <c r="AJ192" s="637"/>
      <c r="AK192" s="637"/>
      <c r="AL192" s="637"/>
      <c r="AM192" s="637"/>
      <c r="AN192" s="637"/>
      <c r="AO192" s="637"/>
      <c r="AP192" s="637"/>
      <c r="AQ192" s="637"/>
      <c r="AR192" s="637"/>
      <c r="AS192" s="637"/>
      <c r="AT192" s="637"/>
      <c r="AU192" s="637"/>
      <c r="AV192" s="637"/>
      <c r="AW192" s="637"/>
      <c r="AX192" s="637"/>
      <c r="AY192" s="637"/>
      <c r="AZ192" s="637"/>
      <c r="BA192" s="637"/>
      <c r="BB192" s="637"/>
      <c r="BC192" s="637"/>
      <c r="BD192" s="637"/>
      <c r="BE192" s="637"/>
      <c r="BF192" s="637"/>
      <c r="BG192" s="637"/>
      <c r="BH192" s="637"/>
      <c r="BI192" s="637"/>
      <c r="BJ192" s="637"/>
      <c r="BK192" s="637"/>
      <c r="BL192" s="637"/>
      <c r="BM192" s="637"/>
      <c r="BN192" s="637"/>
      <c r="BO192" s="637"/>
      <c r="BP192" s="637"/>
      <c r="BQ192" s="637"/>
      <c r="BR192" s="637"/>
      <c r="BS192" s="637"/>
      <c r="BT192" s="637"/>
      <c r="BU192" s="637"/>
      <c r="BV192" s="637"/>
      <c r="BW192" s="637"/>
      <c r="BX192" s="637"/>
      <c r="BY192" s="637"/>
      <c r="BZ192" s="637"/>
      <c r="CA192" s="637"/>
      <c r="CB192" s="637"/>
      <c r="CC192" s="637"/>
      <c r="CD192" s="637"/>
      <c r="CE192" s="637"/>
      <c r="CF192" s="637"/>
      <c r="CG192" s="637"/>
      <c r="CH192" s="637"/>
      <c r="CI192" s="637"/>
      <c r="CJ192" s="637"/>
      <c r="CK192" s="637"/>
      <c r="CL192" s="637"/>
      <c r="CM192" s="637"/>
    </row>
    <row r="193" ht="15.75" customHeight="1">
      <c r="A193" s="637"/>
      <c r="B193" s="637"/>
      <c r="C193" s="637"/>
      <c r="D193" s="637"/>
      <c r="E193" s="637"/>
      <c r="F193" s="637"/>
      <c r="G193" s="637"/>
      <c r="H193" s="637"/>
      <c r="I193" s="637"/>
      <c r="J193" s="637"/>
      <c r="K193" s="637"/>
      <c r="L193" s="637"/>
      <c r="M193" s="637"/>
      <c r="N193" s="637"/>
      <c r="O193" s="637"/>
      <c r="P193" s="637"/>
      <c r="Q193" s="637"/>
      <c r="R193" s="637"/>
      <c r="S193" s="637"/>
      <c r="T193" s="637"/>
      <c r="U193" s="637"/>
      <c r="V193" s="637"/>
      <c r="W193" s="637"/>
      <c r="X193" s="637"/>
      <c r="Y193" s="637"/>
      <c r="Z193" s="637"/>
      <c r="AA193" s="637"/>
      <c r="AB193" s="637"/>
      <c r="AC193" s="637"/>
      <c r="AD193" s="637"/>
      <c r="AE193" s="637"/>
      <c r="AF193" s="637"/>
      <c r="AG193" s="637"/>
      <c r="AH193" s="637"/>
      <c r="AI193" s="637"/>
      <c r="AJ193" s="637"/>
      <c r="AK193" s="637"/>
      <c r="AL193" s="637"/>
      <c r="AM193" s="637"/>
      <c r="AN193" s="637"/>
      <c r="AO193" s="637"/>
      <c r="AP193" s="637"/>
      <c r="AQ193" s="637"/>
      <c r="AR193" s="637"/>
      <c r="AS193" s="637"/>
      <c r="AT193" s="637"/>
      <c r="AU193" s="637"/>
      <c r="AV193" s="637"/>
      <c r="AW193" s="637"/>
      <c r="AX193" s="637"/>
      <c r="AY193" s="637"/>
      <c r="AZ193" s="637"/>
      <c r="BA193" s="637"/>
      <c r="BB193" s="637"/>
      <c r="BC193" s="637"/>
      <c r="BD193" s="637"/>
      <c r="BE193" s="637"/>
      <c r="BF193" s="637"/>
      <c r="BG193" s="637"/>
      <c r="BH193" s="637"/>
      <c r="BI193" s="637"/>
      <c r="BJ193" s="637"/>
      <c r="BK193" s="637"/>
      <c r="BL193" s="637"/>
      <c r="BM193" s="637"/>
      <c r="BN193" s="637"/>
      <c r="BO193" s="637"/>
      <c r="BP193" s="637"/>
      <c r="BQ193" s="637"/>
      <c r="BR193" s="637"/>
      <c r="BS193" s="637"/>
      <c r="BT193" s="637"/>
      <c r="BU193" s="637"/>
      <c r="BV193" s="637"/>
      <c r="BW193" s="637"/>
      <c r="BX193" s="637"/>
      <c r="BY193" s="637"/>
      <c r="BZ193" s="637"/>
      <c r="CA193" s="637"/>
      <c r="CB193" s="637"/>
      <c r="CC193" s="637"/>
      <c r="CD193" s="637"/>
      <c r="CE193" s="637"/>
      <c r="CF193" s="637"/>
      <c r="CG193" s="637"/>
      <c r="CH193" s="637"/>
      <c r="CI193" s="637"/>
      <c r="CJ193" s="637"/>
      <c r="CK193" s="637"/>
      <c r="CL193" s="637"/>
      <c r="CM193" s="637"/>
    </row>
    <row r="194" ht="15.75" customHeight="1">
      <c r="A194" s="637"/>
      <c r="B194" s="637"/>
      <c r="C194" s="637"/>
      <c r="D194" s="637"/>
      <c r="E194" s="637"/>
      <c r="F194" s="637"/>
      <c r="G194" s="637"/>
      <c r="H194" s="637"/>
      <c r="I194" s="637"/>
      <c r="J194" s="637"/>
      <c r="K194" s="637"/>
      <c r="L194" s="637"/>
      <c r="M194" s="637"/>
      <c r="N194" s="637"/>
      <c r="O194" s="637"/>
      <c r="P194" s="637"/>
      <c r="Q194" s="637"/>
      <c r="R194" s="637"/>
      <c r="S194" s="637"/>
      <c r="T194" s="637"/>
      <c r="U194" s="637"/>
      <c r="V194" s="637"/>
      <c r="W194" s="637"/>
      <c r="X194" s="637"/>
      <c r="Y194" s="637"/>
      <c r="Z194" s="637"/>
      <c r="AA194" s="637"/>
      <c r="AB194" s="637"/>
      <c r="AC194" s="637"/>
      <c r="AD194" s="637"/>
      <c r="AE194" s="637"/>
      <c r="AF194" s="637"/>
      <c r="AG194" s="637"/>
      <c r="AH194" s="637"/>
      <c r="AI194" s="637"/>
      <c r="AJ194" s="637"/>
      <c r="AK194" s="637"/>
      <c r="AL194" s="637"/>
      <c r="AM194" s="637"/>
      <c r="AN194" s="637"/>
      <c r="AO194" s="637"/>
      <c r="AP194" s="637"/>
      <c r="AQ194" s="637"/>
      <c r="AR194" s="637"/>
      <c r="AS194" s="637"/>
      <c r="AT194" s="637"/>
      <c r="AU194" s="637"/>
      <c r="AV194" s="637"/>
      <c r="AW194" s="637"/>
      <c r="AX194" s="637"/>
      <c r="AY194" s="637"/>
      <c r="AZ194" s="637"/>
      <c r="BA194" s="637"/>
      <c r="BB194" s="637"/>
      <c r="BC194" s="637"/>
      <c r="BD194" s="637"/>
      <c r="BE194" s="637"/>
      <c r="BF194" s="637"/>
      <c r="BG194" s="637"/>
      <c r="BH194" s="637"/>
      <c r="BI194" s="637"/>
      <c r="BJ194" s="637"/>
      <c r="BK194" s="637"/>
      <c r="BL194" s="637"/>
      <c r="BM194" s="637"/>
      <c r="BN194" s="637"/>
      <c r="BO194" s="637"/>
      <c r="BP194" s="637"/>
      <c r="BQ194" s="637"/>
      <c r="BR194" s="637"/>
      <c r="BS194" s="637"/>
      <c r="BT194" s="637"/>
      <c r="BU194" s="637"/>
      <c r="BV194" s="637"/>
      <c r="BW194" s="637"/>
      <c r="BX194" s="637"/>
      <c r="BY194" s="637"/>
      <c r="BZ194" s="637"/>
      <c r="CA194" s="637"/>
      <c r="CB194" s="637"/>
      <c r="CC194" s="637"/>
      <c r="CD194" s="637"/>
      <c r="CE194" s="637"/>
      <c r="CF194" s="637"/>
      <c r="CG194" s="637"/>
      <c r="CH194" s="637"/>
      <c r="CI194" s="637"/>
      <c r="CJ194" s="637"/>
      <c r="CK194" s="637"/>
      <c r="CL194" s="637"/>
      <c r="CM194" s="637"/>
    </row>
    <row r="195" ht="15.75" customHeight="1">
      <c r="A195" s="637"/>
      <c r="B195" s="637"/>
      <c r="C195" s="637"/>
      <c r="D195" s="637"/>
      <c r="E195" s="637"/>
      <c r="F195" s="637"/>
      <c r="G195" s="637"/>
      <c r="H195" s="637"/>
      <c r="I195" s="637"/>
      <c r="J195" s="637"/>
      <c r="K195" s="637"/>
      <c r="L195" s="637"/>
      <c r="M195" s="637"/>
      <c r="N195" s="637"/>
      <c r="O195" s="637"/>
      <c r="P195" s="637"/>
      <c r="Q195" s="637"/>
      <c r="R195" s="637"/>
      <c r="S195" s="637"/>
      <c r="T195" s="637"/>
      <c r="U195" s="637"/>
      <c r="V195" s="637"/>
      <c r="W195" s="637"/>
      <c r="X195" s="637"/>
      <c r="Y195" s="637"/>
      <c r="Z195" s="637"/>
      <c r="AA195" s="637"/>
      <c r="AB195" s="637"/>
      <c r="AC195" s="637"/>
      <c r="AD195" s="637"/>
      <c r="AE195" s="637"/>
      <c r="AF195" s="637"/>
      <c r="AG195" s="637"/>
      <c r="AH195" s="637"/>
      <c r="AI195" s="637"/>
      <c r="AJ195" s="637"/>
      <c r="AK195" s="637"/>
      <c r="AL195" s="637"/>
      <c r="AM195" s="637"/>
      <c r="AN195" s="637"/>
      <c r="AO195" s="637"/>
      <c r="AP195" s="637"/>
      <c r="AQ195" s="637"/>
      <c r="AR195" s="637"/>
      <c r="AS195" s="637"/>
      <c r="AT195" s="637"/>
      <c r="AU195" s="637"/>
      <c r="AV195" s="637"/>
      <c r="AW195" s="637"/>
      <c r="AX195" s="637"/>
      <c r="AY195" s="637"/>
      <c r="AZ195" s="637"/>
      <c r="BA195" s="637"/>
      <c r="BB195" s="637"/>
      <c r="BC195" s="637"/>
      <c r="BD195" s="637"/>
      <c r="BE195" s="637"/>
      <c r="BF195" s="637"/>
      <c r="BG195" s="637"/>
      <c r="BH195" s="637"/>
      <c r="BI195" s="637"/>
      <c r="BJ195" s="637"/>
      <c r="BK195" s="637"/>
      <c r="BL195" s="637"/>
      <c r="BM195" s="637"/>
      <c r="BN195" s="637"/>
      <c r="BO195" s="637"/>
      <c r="BP195" s="637"/>
      <c r="BQ195" s="637"/>
      <c r="BR195" s="637"/>
      <c r="BS195" s="637"/>
      <c r="BT195" s="637"/>
      <c r="BU195" s="637"/>
      <c r="BV195" s="637"/>
      <c r="BW195" s="637"/>
      <c r="BX195" s="637"/>
      <c r="BY195" s="637"/>
      <c r="BZ195" s="637"/>
      <c r="CA195" s="637"/>
      <c r="CB195" s="637"/>
      <c r="CC195" s="637"/>
      <c r="CD195" s="637"/>
      <c r="CE195" s="637"/>
      <c r="CF195" s="637"/>
      <c r="CG195" s="637"/>
      <c r="CH195" s="637"/>
      <c r="CI195" s="637"/>
      <c r="CJ195" s="637"/>
      <c r="CK195" s="637"/>
      <c r="CL195" s="637"/>
      <c r="CM195" s="637"/>
    </row>
    <row r="196" ht="15.75" customHeight="1">
      <c r="A196" s="637"/>
      <c r="B196" s="637"/>
      <c r="C196" s="637"/>
      <c r="D196" s="637"/>
      <c r="E196" s="637"/>
      <c r="F196" s="637"/>
      <c r="G196" s="637"/>
      <c r="H196" s="637"/>
      <c r="I196" s="637"/>
      <c r="J196" s="637"/>
      <c r="K196" s="637"/>
      <c r="L196" s="637"/>
      <c r="M196" s="637"/>
      <c r="N196" s="637"/>
      <c r="O196" s="637"/>
      <c r="P196" s="637"/>
      <c r="Q196" s="637"/>
      <c r="R196" s="637"/>
      <c r="S196" s="637"/>
      <c r="T196" s="637"/>
      <c r="U196" s="637"/>
      <c r="V196" s="637"/>
      <c r="W196" s="637"/>
      <c r="X196" s="637"/>
      <c r="Y196" s="637"/>
      <c r="Z196" s="637"/>
      <c r="AA196" s="637"/>
      <c r="AB196" s="637"/>
      <c r="AC196" s="637"/>
      <c r="AD196" s="637"/>
      <c r="AE196" s="637"/>
      <c r="AF196" s="637"/>
      <c r="AG196" s="637"/>
      <c r="AH196" s="637"/>
      <c r="AI196" s="637"/>
      <c r="AJ196" s="637"/>
      <c r="AK196" s="637"/>
      <c r="AL196" s="637"/>
      <c r="AM196" s="637"/>
      <c r="AN196" s="637"/>
      <c r="AO196" s="637"/>
      <c r="AP196" s="637"/>
      <c r="AQ196" s="637"/>
      <c r="AR196" s="637"/>
      <c r="AS196" s="637"/>
      <c r="AT196" s="637"/>
      <c r="AU196" s="637"/>
      <c r="AV196" s="637"/>
      <c r="AW196" s="637"/>
      <c r="AX196" s="637"/>
      <c r="AY196" s="637"/>
      <c r="AZ196" s="637"/>
      <c r="BA196" s="637"/>
      <c r="BB196" s="637"/>
      <c r="BC196" s="637"/>
      <c r="BD196" s="637"/>
      <c r="BE196" s="637"/>
      <c r="BF196" s="637"/>
      <c r="BG196" s="637"/>
      <c r="BH196" s="637"/>
      <c r="BI196" s="637"/>
      <c r="BJ196" s="637"/>
      <c r="BK196" s="637"/>
      <c r="BL196" s="637"/>
      <c r="BM196" s="637"/>
      <c r="BN196" s="637"/>
      <c r="BO196" s="637"/>
      <c r="BP196" s="637"/>
      <c r="BQ196" s="637"/>
      <c r="BR196" s="637"/>
      <c r="BS196" s="637"/>
      <c r="BT196" s="637"/>
      <c r="BU196" s="637"/>
      <c r="BV196" s="637"/>
      <c r="BW196" s="637"/>
      <c r="BX196" s="637"/>
      <c r="BY196" s="637"/>
      <c r="BZ196" s="637"/>
      <c r="CA196" s="637"/>
      <c r="CB196" s="637"/>
      <c r="CC196" s="637"/>
      <c r="CD196" s="637"/>
      <c r="CE196" s="637"/>
      <c r="CF196" s="637"/>
      <c r="CG196" s="637"/>
      <c r="CH196" s="637"/>
      <c r="CI196" s="637"/>
      <c r="CJ196" s="637"/>
      <c r="CK196" s="637"/>
      <c r="CL196" s="637"/>
      <c r="CM196" s="637"/>
    </row>
    <row r="197" ht="15.75" customHeight="1">
      <c r="A197" s="637"/>
      <c r="B197" s="637"/>
      <c r="C197" s="637"/>
      <c r="D197" s="637"/>
      <c r="E197" s="637"/>
      <c r="F197" s="637"/>
      <c r="G197" s="637"/>
      <c r="H197" s="637"/>
      <c r="I197" s="637"/>
      <c r="J197" s="637"/>
      <c r="K197" s="637"/>
      <c r="L197" s="637"/>
      <c r="M197" s="637"/>
      <c r="N197" s="637"/>
      <c r="O197" s="637"/>
      <c r="P197" s="637"/>
      <c r="Q197" s="637"/>
      <c r="R197" s="637"/>
      <c r="S197" s="637"/>
      <c r="T197" s="637"/>
      <c r="U197" s="637"/>
      <c r="V197" s="637"/>
      <c r="W197" s="637"/>
      <c r="X197" s="637"/>
      <c r="Y197" s="637"/>
      <c r="Z197" s="637"/>
      <c r="AA197" s="637"/>
      <c r="AB197" s="637"/>
      <c r="AC197" s="637"/>
      <c r="AD197" s="637"/>
      <c r="AE197" s="637"/>
      <c r="AF197" s="637"/>
      <c r="AG197" s="637"/>
      <c r="AH197" s="637"/>
      <c r="AI197" s="637"/>
      <c r="AJ197" s="637"/>
      <c r="AK197" s="637"/>
      <c r="AL197" s="637"/>
      <c r="AM197" s="637"/>
      <c r="AN197" s="637"/>
      <c r="AO197" s="637"/>
      <c r="AP197" s="637"/>
      <c r="AQ197" s="637"/>
      <c r="AR197" s="637"/>
      <c r="AS197" s="637"/>
      <c r="AT197" s="637"/>
      <c r="AU197" s="637"/>
      <c r="AV197" s="637"/>
      <c r="AW197" s="637"/>
      <c r="AX197" s="637"/>
      <c r="AY197" s="637"/>
      <c r="AZ197" s="637"/>
      <c r="BA197" s="637"/>
      <c r="BB197" s="637"/>
      <c r="BC197" s="637"/>
      <c r="BD197" s="637"/>
      <c r="BE197" s="637"/>
      <c r="BF197" s="637"/>
      <c r="BG197" s="637"/>
      <c r="BH197" s="637"/>
      <c r="BI197" s="637"/>
      <c r="BJ197" s="637"/>
      <c r="BK197" s="637"/>
      <c r="BL197" s="637"/>
      <c r="BM197" s="637"/>
      <c r="BN197" s="637"/>
      <c r="BO197" s="637"/>
      <c r="BP197" s="637"/>
      <c r="BQ197" s="637"/>
      <c r="BR197" s="637"/>
      <c r="BS197" s="637"/>
      <c r="BT197" s="637"/>
      <c r="BU197" s="637"/>
      <c r="BV197" s="637"/>
      <c r="BW197" s="637"/>
      <c r="BX197" s="637"/>
      <c r="BY197" s="637"/>
      <c r="BZ197" s="637"/>
      <c r="CA197" s="637"/>
      <c r="CB197" s="637"/>
      <c r="CC197" s="637"/>
      <c r="CD197" s="637"/>
      <c r="CE197" s="637"/>
      <c r="CF197" s="637"/>
      <c r="CG197" s="637"/>
      <c r="CH197" s="637"/>
      <c r="CI197" s="637"/>
      <c r="CJ197" s="637"/>
      <c r="CK197" s="637"/>
      <c r="CL197" s="637"/>
      <c r="CM197" s="637"/>
    </row>
    <row r="198" ht="15.75" customHeight="1">
      <c r="A198" s="637"/>
      <c r="B198" s="637"/>
      <c r="C198" s="637"/>
      <c r="D198" s="637"/>
      <c r="E198" s="637"/>
      <c r="F198" s="637"/>
      <c r="G198" s="637"/>
      <c r="H198" s="637"/>
      <c r="I198" s="637"/>
      <c r="J198" s="637"/>
      <c r="K198" s="637"/>
      <c r="L198" s="637"/>
      <c r="M198" s="637"/>
      <c r="N198" s="637"/>
      <c r="O198" s="637"/>
      <c r="P198" s="637"/>
      <c r="Q198" s="637"/>
      <c r="R198" s="637"/>
      <c r="S198" s="637"/>
      <c r="T198" s="637"/>
      <c r="U198" s="637"/>
      <c r="V198" s="637"/>
      <c r="W198" s="637"/>
      <c r="X198" s="637"/>
      <c r="Y198" s="637"/>
      <c r="Z198" s="637"/>
      <c r="AA198" s="637"/>
      <c r="AB198" s="637"/>
      <c r="AC198" s="637"/>
      <c r="AD198" s="637"/>
      <c r="AE198" s="637"/>
      <c r="AF198" s="637"/>
      <c r="AG198" s="637"/>
      <c r="AH198" s="637"/>
      <c r="AI198" s="637"/>
      <c r="AJ198" s="637"/>
      <c r="AK198" s="637"/>
      <c r="AL198" s="637"/>
      <c r="AM198" s="637"/>
      <c r="AN198" s="637"/>
      <c r="AO198" s="637"/>
      <c r="AP198" s="637"/>
      <c r="AQ198" s="637"/>
      <c r="AR198" s="637"/>
      <c r="AS198" s="637"/>
      <c r="AT198" s="637"/>
      <c r="AU198" s="637"/>
      <c r="AV198" s="637"/>
      <c r="AW198" s="637"/>
      <c r="AX198" s="637"/>
      <c r="AY198" s="637"/>
      <c r="AZ198" s="637"/>
      <c r="BA198" s="637"/>
      <c r="BB198" s="637"/>
      <c r="BC198" s="637"/>
      <c r="BD198" s="637"/>
      <c r="BE198" s="637"/>
      <c r="BF198" s="637"/>
      <c r="BG198" s="637"/>
      <c r="BH198" s="637"/>
      <c r="BI198" s="637"/>
      <c r="BJ198" s="637"/>
      <c r="BK198" s="637"/>
      <c r="BL198" s="637"/>
      <c r="BM198" s="637"/>
      <c r="BN198" s="637"/>
      <c r="BO198" s="637"/>
      <c r="BP198" s="637"/>
      <c r="BQ198" s="637"/>
      <c r="BR198" s="637"/>
      <c r="BS198" s="637"/>
      <c r="BT198" s="637"/>
      <c r="BU198" s="637"/>
      <c r="BV198" s="637"/>
      <c r="BW198" s="637"/>
      <c r="BX198" s="637"/>
      <c r="BY198" s="637"/>
      <c r="BZ198" s="637"/>
      <c r="CA198" s="637"/>
      <c r="CB198" s="637"/>
      <c r="CC198" s="637"/>
      <c r="CD198" s="637"/>
      <c r="CE198" s="637"/>
      <c r="CF198" s="637"/>
      <c r="CG198" s="637"/>
      <c r="CH198" s="637"/>
      <c r="CI198" s="637"/>
      <c r="CJ198" s="637"/>
      <c r="CK198" s="637"/>
      <c r="CL198" s="637"/>
      <c r="CM198" s="637"/>
    </row>
    <row r="199" ht="15.75" customHeight="1">
      <c r="A199" s="637"/>
      <c r="B199" s="637"/>
      <c r="C199" s="637"/>
      <c r="D199" s="637"/>
      <c r="E199" s="637"/>
      <c r="F199" s="637"/>
      <c r="G199" s="637"/>
      <c r="H199" s="637"/>
      <c r="I199" s="637"/>
      <c r="J199" s="637"/>
      <c r="K199" s="637"/>
      <c r="L199" s="637"/>
      <c r="M199" s="637"/>
      <c r="N199" s="637"/>
      <c r="O199" s="637"/>
      <c r="P199" s="637"/>
      <c r="Q199" s="637"/>
      <c r="R199" s="637"/>
      <c r="S199" s="637"/>
      <c r="T199" s="637"/>
      <c r="U199" s="637"/>
      <c r="V199" s="637"/>
      <c r="W199" s="637"/>
      <c r="X199" s="637"/>
      <c r="Y199" s="637"/>
      <c r="Z199" s="637"/>
      <c r="AA199" s="637"/>
      <c r="AB199" s="637"/>
      <c r="AC199" s="637"/>
      <c r="AD199" s="637"/>
      <c r="AE199" s="637"/>
      <c r="AF199" s="637"/>
      <c r="AG199" s="637"/>
      <c r="AH199" s="637"/>
      <c r="AI199" s="637"/>
      <c r="AJ199" s="637"/>
      <c r="AK199" s="637"/>
      <c r="AL199" s="637"/>
      <c r="AM199" s="637"/>
      <c r="AN199" s="637"/>
      <c r="AO199" s="637"/>
      <c r="AP199" s="637"/>
      <c r="AQ199" s="637"/>
      <c r="AR199" s="637"/>
      <c r="AS199" s="637"/>
      <c r="AT199" s="637"/>
      <c r="AU199" s="637"/>
      <c r="AV199" s="637"/>
      <c r="AW199" s="637"/>
      <c r="AX199" s="637"/>
      <c r="AY199" s="637"/>
      <c r="AZ199" s="637"/>
      <c r="BA199" s="637"/>
      <c r="BB199" s="637"/>
      <c r="BC199" s="637"/>
      <c r="BD199" s="637"/>
      <c r="BE199" s="637"/>
      <c r="BF199" s="637"/>
      <c r="BG199" s="637"/>
      <c r="BH199" s="637"/>
      <c r="BI199" s="637"/>
      <c r="BJ199" s="637"/>
      <c r="BK199" s="637"/>
      <c r="BL199" s="637"/>
      <c r="BM199" s="637"/>
      <c r="BN199" s="637"/>
      <c r="BO199" s="637"/>
      <c r="BP199" s="637"/>
      <c r="BQ199" s="637"/>
      <c r="BR199" s="637"/>
      <c r="BS199" s="637"/>
      <c r="BT199" s="637"/>
      <c r="BU199" s="637"/>
      <c r="BV199" s="637"/>
      <c r="BW199" s="637"/>
      <c r="BX199" s="637"/>
      <c r="BY199" s="637"/>
      <c r="BZ199" s="637"/>
      <c r="CA199" s="637"/>
      <c r="CB199" s="637"/>
      <c r="CC199" s="637"/>
      <c r="CD199" s="637"/>
      <c r="CE199" s="637"/>
      <c r="CF199" s="637"/>
      <c r="CG199" s="637"/>
      <c r="CH199" s="637"/>
      <c r="CI199" s="637"/>
      <c r="CJ199" s="637"/>
      <c r="CK199" s="637"/>
      <c r="CL199" s="637"/>
      <c r="CM199" s="637"/>
    </row>
    <row r="200" ht="15.75" customHeight="1">
      <c r="A200" s="637"/>
      <c r="B200" s="637"/>
      <c r="C200" s="637"/>
      <c r="D200" s="637"/>
      <c r="E200" s="637"/>
      <c r="F200" s="637"/>
      <c r="G200" s="637"/>
      <c r="H200" s="637"/>
      <c r="I200" s="637"/>
      <c r="J200" s="637"/>
      <c r="K200" s="637"/>
      <c r="L200" s="637"/>
      <c r="M200" s="637"/>
      <c r="N200" s="637"/>
      <c r="O200" s="637"/>
      <c r="P200" s="637"/>
      <c r="Q200" s="637"/>
      <c r="R200" s="637"/>
      <c r="S200" s="637"/>
      <c r="T200" s="637"/>
      <c r="U200" s="637"/>
      <c r="V200" s="637"/>
      <c r="W200" s="637"/>
      <c r="X200" s="637"/>
      <c r="Y200" s="637"/>
      <c r="Z200" s="637"/>
      <c r="AA200" s="637"/>
      <c r="AB200" s="637"/>
      <c r="AC200" s="637"/>
      <c r="AD200" s="637"/>
      <c r="AE200" s="637"/>
      <c r="AF200" s="637"/>
      <c r="AG200" s="637"/>
      <c r="AH200" s="637"/>
      <c r="AI200" s="637"/>
      <c r="AJ200" s="637"/>
      <c r="AK200" s="637"/>
      <c r="AL200" s="637"/>
      <c r="AM200" s="637"/>
      <c r="AN200" s="637"/>
      <c r="AO200" s="637"/>
      <c r="AP200" s="637"/>
      <c r="AQ200" s="637"/>
      <c r="AR200" s="637"/>
      <c r="AS200" s="637"/>
      <c r="AT200" s="637"/>
      <c r="AU200" s="637"/>
      <c r="AV200" s="637"/>
      <c r="AW200" s="637"/>
      <c r="AX200" s="637"/>
      <c r="AY200" s="637"/>
      <c r="AZ200" s="637"/>
      <c r="BA200" s="637"/>
      <c r="BB200" s="637"/>
      <c r="BC200" s="637"/>
      <c r="BD200" s="637"/>
      <c r="BE200" s="637"/>
      <c r="BF200" s="637"/>
      <c r="BG200" s="637"/>
      <c r="BH200" s="637"/>
      <c r="BI200" s="637"/>
      <c r="BJ200" s="637"/>
      <c r="BK200" s="637"/>
      <c r="BL200" s="637"/>
      <c r="BM200" s="637"/>
      <c r="BN200" s="637"/>
      <c r="BO200" s="637"/>
      <c r="BP200" s="637"/>
      <c r="BQ200" s="637"/>
      <c r="BR200" s="637"/>
      <c r="BS200" s="637"/>
      <c r="BT200" s="637"/>
      <c r="BU200" s="637"/>
      <c r="BV200" s="637"/>
      <c r="BW200" s="637"/>
      <c r="BX200" s="637"/>
      <c r="BY200" s="637"/>
      <c r="BZ200" s="637"/>
      <c r="CA200" s="637"/>
      <c r="CB200" s="637"/>
      <c r="CC200" s="637"/>
      <c r="CD200" s="637"/>
      <c r="CE200" s="637"/>
      <c r="CF200" s="637"/>
      <c r="CG200" s="637"/>
      <c r="CH200" s="637"/>
      <c r="CI200" s="637"/>
      <c r="CJ200" s="637"/>
      <c r="CK200" s="637"/>
      <c r="CL200" s="637"/>
      <c r="CM200" s="637"/>
    </row>
    <row r="201" ht="15.75" customHeight="1">
      <c r="A201" s="637"/>
      <c r="B201" s="637"/>
      <c r="C201" s="637"/>
      <c r="D201" s="637"/>
      <c r="E201" s="637"/>
      <c r="F201" s="637"/>
      <c r="G201" s="637"/>
      <c r="H201" s="637"/>
      <c r="I201" s="637"/>
      <c r="J201" s="637"/>
      <c r="K201" s="637"/>
      <c r="L201" s="637"/>
      <c r="M201" s="637"/>
      <c r="N201" s="637"/>
      <c r="O201" s="637"/>
      <c r="P201" s="637"/>
      <c r="Q201" s="637"/>
      <c r="R201" s="637"/>
      <c r="S201" s="637"/>
      <c r="T201" s="637"/>
      <c r="U201" s="637"/>
      <c r="V201" s="637"/>
      <c r="W201" s="637"/>
      <c r="X201" s="637"/>
      <c r="Y201" s="637"/>
      <c r="Z201" s="637"/>
      <c r="AA201" s="637"/>
      <c r="AB201" s="637"/>
      <c r="AC201" s="637"/>
      <c r="AD201" s="637"/>
      <c r="AE201" s="637"/>
      <c r="AF201" s="637"/>
      <c r="AG201" s="637"/>
      <c r="AH201" s="637"/>
      <c r="AI201" s="637"/>
      <c r="AJ201" s="637"/>
      <c r="AK201" s="637"/>
      <c r="AL201" s="637"/>
      <c r="AM201" s="637"/>
      <c r="AN201" s="637"/>
      <c r="AO201" s="637"/>
      <c r="AP201" s="637"/>
      <c r="AQ201" s="637"/>
      <c r="AR201" s="637"/>
      <c r="AS201" s="637"/>
      <c r="AT201" s="637"/>
      <c r="AU201" s="637"/>
      <c r="AV201" s="637"/>
      <c r="AW201" s="637"/>
      <c r="AX201" s="637"/>
      <c r="AY201" s="637"/>
      <c r="AZ201" s="637"/>
      <c r="BA201" s="637"/>
      <c r="BB201" s="637"/>
      <c r="BC201" s="637"/>
      <c r="BD201" s="637"/>
      <c r="BE201" s="637"/>
      <c r="BF201" s="637"/>
      <c r="BG201" s="637"/>
      <c r="BH201" s="637"/>
      <c r="BI201" s="637"/>
      <c r="BJ201" s="637"/>
      <c r="BK201" s="637"/>
      <c r="BL201" s="637"/>
      <c r="BM201" s="637"/>
      <c r="BN201" s="637"/>
      <c r="BO201" s="637"/>
      <c r="BP201" s="637"/>
      <c r="BQ201" s="637"/>
      <c r="BR201" s="637"/>
      <c r="BS201" s="637"/>
      <c r="BT201" s="637"/>
      <c r="BU201" s="637"/>
      <c r="BV201" s="637"/>
      <c r="BW201" s="637"/>
      <c r="BX201" s="637"/>
      <c r="BY201" s="637"/>
      <c r="BZ201" s="637"/>
      <c r="CA201" s="637"/>
      <c r="CB201" s="637"/>
      <c r="CC201" s="637"/>
      <c r="CD201" s="637"/>
      <c r="CE201" s="637"/>
      <c r="CF201" s="637"/>
      <c r="CG201" s="637"/>
      <c r="CH201" s="637"/>
      <c r="CI201" s="637"/>
      <c r="CJ201" s="637"/>
      <c r="CK201" s="637"/>
      <c r="CL201" s="637"/>
      <c r="CM201" s="637"/>
    </row>
    <row r="202" ht="15.75" customHeight="1">
      <c r="A202" s="637"/>
      <c r="B202" s="637"/>
      <c r="C202" s="637"/>
      <c r="D202" s="637"/>
      <c r="E202" s="637"/>
      <c r="F202" s="637"/>
      <c r="G202" s="637"/>
      <c r="H202" s="637"/>
      <c r="I202" s="637"/>
      <c r="J202" s="637"/>
      <c r="K202" s="637"/>
      <c r="L202" s="637"/>
      <c r="M202" s="637"/>
      <c r="N202" s="637"/>
      <c r="O202" s="637"/>
      <c r="P202" s="637"/>
      <c r="Q202" s="637"/>
      <c r="R202" s="637"/>
      <c r="S202" s="637"/>
      <c r="T202" s="637"/>
      <c r="U202" s="637"/>
      <c r="V202" s="637"/>
      <c r="W202" s="637"/>
      <c r="X202" s="637"/>
      <c r="Y202" s="637"/>
      <c r="Z202" s="637"/>
      <c r="AA202" s="637"/>
      <c r="AB202" s="637"/>
      <c r="AC202" s="637"/>
      <c r="AD202" s="637"/>
      <c r="AE202" s="637"/>
      <c r="AF202" s="637"/>
      <c r="AG202" s="637"/>
      <c r="AH202" s="637"/>
      <c r="AI202" s="637"/>
      <c r="AJ202" s="637"/>
      <c r="AK202" s="637"/>
      <c r="AL202" s="637"/>
      <c r="AM202" s="637"/>
      <c r="AN202" s="637"/>
      <c r="AO202" s="637"/>
      <c r="AP202" s="637"/>
      <c r="AQ202" s="637"/>
      <c r="AR202" s="637"/>
      <c r="AS202" s="637"/>
      <c r="AT202" s="637"/>
      <c r="AU202" s="637"/>
      <c r="AV202" s="637"/>
      <c r="AW202" s="637"/>
      <c r="AX202" s="637"/>
      <c r="AY202" s="637"/>
      <c r="AZ202" s="637"/>
      <c r="BA202" s="637"/>
      <c r="BB202" s="637"/>
      <c r="BC202" s="637"/>
      <c r="BD202" s="637"/>
      <c r="BE202" s="637"/>
      <c r="BF202" s="637"/>
      <c r="BG202" s="637"/>
      <c r="BH202" s="637"/>
      <c r="BI202" s="637"/>
      <c r="BJ202" s="637"/>
      <c r="BK202" s="637"/>
      <c r="BL202" s="637"/>
      <c r="BM202" s="637"/>
      <c r="BN202" s="637"/>
      <c r="BO202" s="637"/>
      <c r="BP202" s="637"/>
      <c r="BQ202" s="637"/>
      <c r="BR202" s="637"/>
      <c r="BS202" s="637"/>
      <c r="BT202" s="637"/>
      <c r="BU202" s="637"/>
      <c r="BV202" s="637"/>
      <c r="BW202" s="637"/>
      <c r="BX202" s="637"/>
      <c r="BY202" s="637"/>
      <c r="BZ202" s="637"/>
      <c r="CA202" s="637"/>
      <c r="CB202" s="637"/>
      <c r="CC202" s="637"/>
      <c r="CD202" s="637"/>
      <c r="CE202" s="637"/>
      <c r="CF202" s="637"/>
      <c r="CG202" s="637"/>
      <c r="CH202" s="637"/>
      <c r="CI202" s="637"/>
      <c r="CJ202" s="637"/>
      <c r="CK202" s="637"/>
      <c r="CL202" s="637"/>
      <c r="CM202" s="637"/>
    </row>
    <row r="203" ht="15.75" customHeight="1">
      <c r="A203" s="637"/>
      <c r="B203" s="637"/>
      <c r="C203" s="637"/>
      <c r="D203" s="637"/>
      <c r="E203" s="637"/>
      <c r="F203" s="637"/>
      <c r="G203" s="637"/>
      <c r="H203" s="637"/>
      <c r="I203" s="637"/>
      <c r="J203" s="637"/>
      <c r="K203" s="637"/>
      <c r="L203" s="637"/>
      <c r="M203" s="637"/>
      <c r="N203" s="637"/>
      <c r="O203" s="637"/>
      <c r="P203" s="637"/>
      <c r="Q203" s="637"/>
      <c r="R203" s="637"/>
      <c r="S203" s="637"/>
      <c r="T203" s="637"/>
      <c r="U203" s="637"/>
      <c r="V203" s="637"/>
      <c r="W203" s="637"/>
      <c r="X203" s="637"/>
      <c r="Y203" s="637"/>
      <c r="Z203" s="637"/>
      <c r="AA203" s="637"/>
      <c r="AB203" s="637"/>
      <c r="AC203" s="637"/>
      <c r="AD203" s="637"/>
      <c r="AE203" s="637"/>
      <c r="AF203" s="637"/>
      <c r="AG203" s="637"/>
      <c r="AH203" s="637"/>
      <c r="AI203" s="637"/>
      <c r="AJ203" s="637"/>
      <c r="AK203" s="637"/>
      <c r="AL203" s="637"/>
      <c r="AM203" s="637"/>
      <c r="AN203" s="637"/>
      <c r="AO203" s="637"/>
      <c r="AP203" s="637"/>
      <c r="AQ203" s="637"/>
      <c r="AR203" s="637"/>
      <c r="AS203" s="637"/>
      <c r="AT203" s="637"/>
      <c r="AU203" s="637"/>
      <c r="AV203" s="637"/>
      <c r="AW203" s="637"/>
      <c r="AX203" s="637"/>
      <c r="AY203" s="637"/>
      <c r="AZ203" s="637"/>
      <c r="BA203" s="637"/>
      <c r="BB203" s="637"/>
      <c r="BC203" s="637"/>
      <c r="BD203" s="637"/>
      <c r="BE203" s="637"/>
      <c r="BF203" s="637"/>
      <c r="BG203" s="637"/>
      <c r="BH203" s="637"/>
      <c r="BI203" s="637"/>
      <c r="BJ203" s="637"/>
      <c r="BK203" s="637"/>
      <c r="BL203" s="637"/>
      <c r="BM203" s="637"/>
      <c r="BN203" s="637"/>
      <c r="BO203" s="637"/>
      <c r="BP203" s="637"/>
      <c r="BQ203" s="637"/>
      <c r="BR203" s="637"/>
      <c r="BS203" s="637"/>
      <c r="BT203" s="637"/>
      <c r="BU203" s="637"/>
      <c r="BV203" s="637"/>
      <c r="BW203" s="637"/>
      <c r="BX203" s="637"/>
      <c r="BY203" s="637"/>
      <c r="BZ203" s="637"/>
      <c r="CA203" s="637"/>
      <c r="CB203" s="637"/>
      <c r="CC203" s="637"/>
      <c r="CD203" s="637"/>
      <c r="CE203" s="637"/>
      <c r="CF203" s="637"/>
      <c r="CG203" s="637"/>
      <c r="CH203" s="637"/>
      <c r="CI203" s="637"/>
      <c r="CJ203" s="637"/>
      <c r="CK203" s="637"/>
      <c r="CL203" s="637"/>
      <c r="CM203" s="637"/>
    </row>
    <row r="204" ht="15.75" customHeight="1">
      <c r="A204" s="637"/>
      <c r="B204" s="637"/>
      <c r="C204" s="637"/>
      <c r="D204" s="637"/>
      <c r="E204" s="637"/>
      <c r="F204" s="637"/>
      <c r="G204" s="637"/>
      <c r="H204" s="637"/>
      <c r="I204" s="637"/>
      <c r="J204" s="637"/>
      <c r="K204" s="637"/>
      <c r="L204" s="637"/>
      <c r="M204" s="637"/>
      <c r="N204" s="637"/>
      <c r="O204" s="637"/>
      <c r="P204" s="637"/>
      <c r="Q204" s="637"/>
      <c r="R204" s="637"/>
      <c r="S204" s="637"/>
      <c r="T204" s="637"/>
      <c r="U204" s="637"/>
      <c r="V204" s="637"/>
      <c r="W204" s="637"/>
      <c r="X204" s="637"/>
      <c r="Y204" s="637"/>
      <c r="Z204" s="637"/>
      <c r="AA204" s="637"/>
      <c r="AB204" s="637"/>
      <c r="AC204" s="637"/>
      <c r="AD204" s="637"/>
      <c r="AE204" s="637"/>
      <c r="AF204" s="637"/>
      <c r="AG204" s="637"/>
      <c r="AH204" s="637"/>
      <c r="AI204" s="637"/>
      <c r="AJ204" s="637"/>
      <c r="AK204" s="637"/>
      <c r="AL204" s="637"/>
      <c r="AM204" s="637"/>
      <c r="AN204" s="637"/>
      <c r="AO204" s="637"/>
      <c r="AP204" s="637"/>
      <c r="AQ204" s="637"/>
      <c r="AR204" s="637"/>
      <c r="AS204" s="637"/>
      <c r="AT204" s="637"/>
      <c r="AU204" s="637"/>
      <c r="AV204" s="637"/>
      <c r="AW204" s="637"/>
      <c r="AX204" s="637"/>
      <c r="AY204" s="637"/>
      <c r="AZ204" s="637"/>
      <c r="BA204" s="637"/>
      <c r="BB204" s="637"/>
      <c r="BC204" s="637"/>
      <c r="BD204" s="637"/>
      <c r="BE204" s="637"/>
      <c r="BF204" s="637"/>
      <c r="BG204" s="637"/>
      <c r="BH204" s="637"/>
      <c r="BI204" s="637"/>
      <c r="BJ204" s="637"/>
      <c r="BK204" s="637"/>
      <c r="BL204" s="637"/>
      <c r="BM204" s="637"/>
      <c r="BN204" s="637"/>
      <c r="BO204" s="637"/>
      <c r="BP204" s="637"/>
      <c r="BQ204" s="637"/>
      <c r="BR204" s="637"/>
      <c r="BS204" s="637"/>
      <c r="BT204" s="637"/>
      <c r="BU204" s="637"/>
      <c r="BV204" s="637"/>
      <c r="BW204" s="637"/>
      <c r="BX204" s="637"/>
      <c r="BY204" s="637"/>
      <c r="BZ204" s="637"/>
      <c r="CA204" s="637"/>
      <c r="CB204" s="637"/>
      <c r="CC204" s="637"/>
      <c r="CD204" s="637"/>
      <c r="CE204" s="637"/>
      <c r="CF204" s="637"/>
      <c r="CG204" s="637"/>
      <c r="CH204" s="637"/>
      <c r="CI204" s="637"/>
      <c r="CJ204" s="637"/>
      <c r="CK204" s="637"/>
      <c r="CL204" s="637"/>
      <c r="CM204" s="637"/>
    </row>
    <row r="205" ht="15.75" customHeight="1">
      <c r="A205" s="637"/>
      <c r="B205" s="637"/>
      <c r="C205" s="637"/>
      <c r="D205" s="637"/>
      <c r="E205" s="637"/>
      <c r="F205" s="637"/>
      <c r="G205" s="637"/>
      <c r="H205" s="637"/>
      <c r="I205" s="637"/>
      <c r="J205" s="637"/>
      <c r="K205" s="637"/>
      <c r="L205" s="637"/>
      <c r="M205" s="637"/>
      <c r="N205" s="637"/>
      <c r="O205" s="637"/>
      <c r="P205" s="637"/>
      <c r="Q205" s="637"/>
      <c r="R205" s="637"/>
      <c r="S205" s="637"/>
      <c r="T205" s="637"/>
      <c r="U205" s="637"/>
      <c r="V205" s="637"/>
      <c r="W205" s="637"/>
      <c r="X205" s="637"/>
      <c r="Y205" s="637"/>
      <c r="Z205" s="637"/>
      <c r="AA205" s="637"/>
      <c r="AB205" s="637"/>
      <c r="AC205" s="637"/>
      <c r="AD205" s="637"/>
      <c r="AE205" s="637"/>
      <c r="AF205" s="637"/>
      <c r="AG205" s="637"/>
      <c r="AH205" s="637"/>
      <c r="AI205" s="637"/>
      <c r="AJ205" s="637"/>
      <c r="AK205" s="637"/>
      <c r="AL205" s="637"/>
      <c r="AM205" s="637"/>
      <c r="AN205" s="637"/>
      <c r="AO205" s="637"/>
      <c r="AP205" s="637"/>
      <c r="AQ205" s="637"/>
      <c r="AR205" s="637"/>
      <c r="AS205" s="637"/>
      <c r="AT205" s="637"/>
      <c r="AU205" s="637"/>
      <c r="AV205" s="637"/>
      <c r="AW205" s="637"/>
      <c r="AX205" s="637"/>
      <c r="AY205" s="637"/>
      <c r="AZ205" s="637"/>
      <c r="BA205" s="637"/>
      <c r="BB205" s="637"/>
      <c r="BC205" s="637"/>
      <c r="BD205" s="637"/>
      <c r="BE205" s="637"/>
      <c r="BF205" s="637"/>
      <c r="BG205" s="637"/>
      <c r="BH205" s="637"/>
      <c r="BI205" s="637"/>
      <c r="BJ205" s="637"/>
      <c r="BK205" s="637"/>
      <c r="BL205" s="637"/>
      <c r="BM205" s="637"/>
      <c r="BN205" s="637"/>
      <c r="BO205" s="637"/>
      <c r="BP205" s="637"/>
      <c r="BQ205" s="637"/>
      <c r="BR205" s="637"/>
      <c r="BS205" s="637"/>
      <c r="BT205" s="637"/>
      <c r="BU205" s="637"/>
      <c r="BV205" s="637"/>
      <c r="BW205" s="637"/>
      <c r="BX205" s="637"/>
      <c r="BY205" s="637"/>
      <c r="BZ205" s="637"/>
      <c r="CA205" s="637"/>
      <c r="CB205" s="637"/>
      <c r="CC205" s="637"/>
      <c r="CD205" s="637"/>
      <c r="CE205" s="637"/>
      <c r="CF205" s="637"/>
      <c r="CG205" s="637"/>
      <c r="CH205" s="637"/>
      <c r="CI205" s="637"/>
      <c r="CJ205" s="637"/>
      <c r="CK205" s="637"/>
      <c r="CL205" s="637"/>
      <c r="CM205" s="637"/>
    </row>
    <row r="206" ht="15.75" customHeight="1">
      <c r="A206" s="637"/>
      <c r="B206" s="637"/>
      <c r="C206" s="637"/>
      <c r="D206" s="637"/>
      <c r="E206" s="637"/>
      <c r="F206" s="637"/>
      <c r="G206" s="637"/>
      <c r="H206" s="637"/>
      <c r="I206" s="637"/>
      <c r="J206" s="637"/>
      <c r="K206" s="637"/>
      <c r="L206" s="637"/>
      <c r="M206" s="637"/>
      <c r="N206" s="637"/>
      <c r="O206" s="637"/>
      <c r="P206" s="637"/>
      <c r="Q206" s="637"/>
      <c r="R206" s="637"/>
      <c r="S206" s="637"/>
      <c r="T206" s="637"/>
      <c r="U206" s="637"/>
      <c r="V206" s="637"/>
      <c r="W206" s="637"/>
      <c r="X206" s="637"/>
      <c r="Y206" s="637"/>
      <c r="Z206" s="637"/>
      <c r="AA206" s="637"/>
      <c r="AB206" s="637"/>
      <c r="AC206" s="637"/>
      <c r="AD206" s="637"/>
      <c r="AE206" s="637"/>
      <c r="AF206" s="637"/>
      <c r="AG206" s="637"/>
      <c r="AH206" s="637"/>
      <c r="AI206" s="637"/>
      <c r="AJ206" s="637"/>
      <c r="AK206" s="637"/>
      <c r="AL206" s="637"/>
      <c r="AM206" s="637"/>
      <c r="AN206" s="637"/>
      <c r="AO206" s="637"/>
      <c r="AP206" s="637"/>
      <c r="AQ206" s="637"/>
      <c r="AR206" s="637"/>
      <c r="AS206" s="637"/>
      <c r="AT206" s="637"/>
      <c r="AU206" s="637"/>
      <c r="AV206" s="637"/>
      <c r="AW206" s="637"/>
      <c r="AX206" s="637"/>
      <c r="AY206" s="637"/>
      <c r="AZ206" s="637"/>
      <c r="BA206" s="637"/>
      <c r="BB206" s="637"/>
      <c r="BC206" s="637"/>
      <c r="BD206" s="637"/>
      <c r="BE206" s="637"/>
      <c r="BF206" s="637"/>
      <c r="BG206" s="637"/>
      <c r="BH206" s="637"/>
      <c r="BI206" s="637"/>
      <c r="BJ206" s="637"/>
      <c r="BK206" s="637"/>
      <c r="BL206" s="637"/>
      <c r="BM206" s="637"/>
      <c r="BN206" s="637"/>
      <c r="BO206" s="637"/>
      <c r="BP206" s="637"/>
      <c r="BQ206" s="637"/>
      <c r="BR206" s="637"/>
      <c r="BS206" s="637"/>
      <c r="BT206" s="637"/>
      <c r="BU206" s="637"/>
      <c r="BV206" s="637"/>
      <c r="BW206" s="637"/>
      <c r="BX206" s="637"/>
      <c r="BY206" s="637"/>
      <c r="BZ206" s="637"/>
      <c r="CA206" s="637"/>
      <c r="CB206" s="637"/>
      <c r="CC206" s="637"/>
      <c r="CD206" s="637"/>
      <c r="CE206" s="637"/>
      <c r="CF206" s="637"/>
      <c r="CG206" s="637"/>
      <c r="CH206" s="637"/>
      <c r="CI206" s="637"/>
      <c r="CJ206" s="637"/>
      <c r="CK206" s="637"/>
      <c r="CL206" s="637"/>
      <c r="CM206" s="637"/>
    </row>
    <row r="207" ht="15.75" customHeight="1">
      <c r="A207" s="637"/>
      <c r="B207" s="637"/>
      <c r="C207" s="637"/>
      <c r="D207" s="637"/>
      <c r="E207" s="637"/>
      <c r="F207" s="637"/>
      <c r="G207" s="637"/>
      <c r="H207" s="637"/>
      <c r="I207" s="637"/>
      <c r="J207" s="637"/>
      <c r="K207" s="637"/>
      <c r="L207" s="637"/>
      <c r="M207" s="637"/>
      <c r="N207" s="637"/>
      <c r="O207" s="637"/>
      <c r="P207" s="637"/>
      <c r="Q207" s="637"/>
      <c r="R207" s="637"/>
      <c r="S207" s="637"/>
      <c r="T207" s="637"/>
      <c r="U207" s="637"/>
      <c r="V207" s="637"/>
      <c r="W207" s="637"/>
      <c r="X207" s="637"/>
      <c r="Y207" s="637"/>
      <c r="Z207" s="637"/>
      <c r="AA207" s="637"/>
      <c r="AB207" s="637"/>
      <c r="AC207" s="637"/>
      <c r="AD207" s="637"/>
      <c r="AE207" s="637"/>
      <c r="AF207" s="637"/>
      <c r="AG207" s="637"/>
      <c r="AH207" s="637"/>
      <c r="AI207" s="637"/>
      <c r="AJ207" s="637"/>
      <c r="AK207" s="637"/>
      <c r="AL207" s="637"/>
      <c r="AM207" s="637"/>
      <c r="AN207" s="637"/>
      <c r="AO207" s="637"/>
      <c r="AP207" s="637"/>
      <c r="AQ207" s="637"/>
      <c r="AR207" s="637"/>
      <c r="AS207" s="637"/>
      <c r="AT207" s="637"/>
      <c r="AU207" s="637"/>
      <c r="AV207" s="637"/>
      <c r="AW207" s="637"/>
      <c r="AX207" s="637"/>
      <c r="AY207" s="637"/>
      <c r="AZ207" s="637"/>
      <c r="BA207" s="637"/>
      <c r="BB207" s="637"/>
      <c r="BC207" s="637"/>
      <c r="BD207" s="637"/>
      <c r="BE207" s="637"/>
      <c r="BF207" s="637"/>
      <c r="BG207" s="637"/>
      <c r="BH207" s="637"/>
      <c r="BI207" s="637"/>
      <c r="BJ207" s="637"/>
      <c r="BK207" s="637"/>
      <c r="BL207" s="637"/>
      <c r="BM207" s="637"/>
      <c r="BN207" s="637"/>
      <c r="BO207" s="637"/>
      <c r="BP207" s="637"/>
      <c r="BQ207" s="637"/>
      <c r="BR207" s="637"/>
      <c r="BS207" s="637"/>
      <c r="BT207" s="637"/>
      <c r="BU207" s="637"/>
      <c r="BV207" s="637"/>
      <c r="BW207" s="637"/>
      <c r="BX207" s="637"/>
      <c r="BY207" s="637"/>
      <c r="BZ207" s="637"/>
      <c r="CA207" s="637"/>
      <c r="CB207" s="637"/>
      <c r="CC207" s="637"/>
      <c r="CD207" s="637"/>
      <c r="CE207" s="637"/>
      <c r="CF207" s="637"/>
      <c r="CG207" s="637"/>
      <c r="CH207" s="637"/>
      <c r="CI207" s="637"/>
      <c r="CJ207" s="637"/>
      <c r="CK207" s="637"/>
      <c r="CL207" s="637"/>
      <c r="CM207" s="637"/>
    </row>
    <row r="208" ht="15.75" customHeight="1">
      <c r="A208" s="637"/>
      <c r="B208" s="637"/>
      <c r="C208" s="637"/>
      <c r="D208" s="637"/>
      <c r="E208" s="637"/>
      <c r="F208" s="637"/>
      <c r="G208" s="637"/>
      <c r="H208" s="637"/>
      <c r="I208" s="637"/>
      <c r="J208" s="637"/>
      <c r="K208" s="637"/>
      <c r="L208" s="637"/>
      <c r="M208" s="637"/>
      <c r="N208" s="637"/>
      <c r="O208" s="637"/>
      <c r="P208" s="637"/>
      <c r="Q208" s="637"/>
      <c r="R208" s="637"/>
      <c r="S208" s="637"/>
      <c r="T208" s="637"/>
      <c r="U208" s="637"/>
      <c r="V208" s="637"/>
      <c r="W208" s="637"/>
      <c r="X208" s="637"/>
      <c r="Y208" s="637"/>
      <c r="Z208" s="637"/>
      <c r="AA208" s="637"/>
      <c r="AB208" s="637"/>
      <c r="AC208" s="637"/>
      <c r="AD208" s="637"/>
      <c r="AE208" s="637"/>
      <c r="AF208" s="637"/>
      <c r="AG208" s="637"/>
      <c r="AH208" s="637"/>
      <c r="AI208" s="637"/>
      <c r="AJ208" s="637"/>
      <c r="AK208" s="637"/>
      <c r="AL208" s="637"/>
      <c r="AM208" s="637"/>
      <c r="AN208" s="637"/>
      <c r="AO208" s="637"/>
      <c r="AP208" s="637"/>
      <c r="AQ208" s="637"/>
      <c r="AR208" s="637"/>
      <c r="AS208" s="637"/>
      <c r="AT208" s="637"/>
      <c r="AU208" s="637"/>
      <c r="AV208" s="637"/>
      <c r="AW208" s="637"/>
      <c r="AX208" s="637"/>
      <c r="AY208" s="637"/>
      <c r="AZ208" s="637"/>
      <c r="BA208" s="637"/>
      <c r="BB208" s="637"/>
      <c r="BC208" s="637"/>
      <c r="BD208" s="637"/>
      <c r="BE208" s="637"/>
      <c r="BF208" s="637"/>
      <c r="BG208" s="637"/>
      <c r="BH208" s="637"/>
      <c r="BI208" s="637"/>
      <c r="BJ208" s="637"/>
      <c r="BK208" s="637"/>
      <c r="BL208" s="637"/>
      <c r="BM208" s="637"/>
      <c r="BN208" s="637"/>
      <c r="BO208" s="637"/>
      <c r="BP208" s="637"/>
      <c r="BQ208" s="637"/>
      <c r="BR208" s="637"/>
      <c r="BS208" s="637"/>
      <c r="BT208" s="637"/>
      <c r="BU208" s="637"/>
      <c r="BV208" s="637"/>
      <c r="BW208" s="637"/>
      <c r="BX208" s="637"/>
      <c r="BY208" s="637"/>
      <c r="BZ208" s="637"/>
      <c r="CA208" s="637"/>
      <c r="CB208" s="637"/>
      <c r="CC208" s="637"/>
      <c r="CD208" s="637"/>
      <c r="CE208" s="637"/>
      <c r="CF208" s="637"/>
      <c r="CG208" s="637"/>
      <c r="CH208" s="637"/>
      <c r="CI208" s="637"/>
      <c r="CJ208" s="637"/>
      <c r="CK208" s="637"/>
      <c r="CL208" s="637"/>
      <c r="CM208" s="637"/>
    </row>
    <row r="209" ht="15.75" customHeight="1">
      <c r="A209" s="637"/>
      <c r="B209" s="637"/>
      <c r="C209" s="637"/>
      <c r="D209" s="637"/>
      <c r="E209" s="637"/>
      <c r="F209" s="637"/>
      <c r="G209" s="637"/>
      <c r="H209" s="637"/>
      <c r="I209" s="637"/>
      <c r="J209" s="637"/>
      <c r="K209" s="637"/>
      <c r="L209" s="637"/>
      <c r="M209" s="637"/>
      <c r="N209" s="637"/>
      <c r="O209" s="637"/>
      <c r="P209" s="637"/>
      <c r="Q209" s="637"/>
      <c r="R209" s="637"/>
      <c r="S209" s="637"/>
      <c r="T209" s="637"/>
      <c r="U209" s="637"/>
      <c r="V209" s="637"/>
      <c r="W209" s="637"/>
      <c r="X209" s="637"/>
      <c r="Y209" s="637"/>
      <c r="Z209" s="637"/>
      <c r="AA209" s="637"/>
      <c r="AB209" s="637"/>
      <c r="AC209" s="637"/>
      <c r="AD209" s="637"/>
      <c r="AE209" s="637"/>
      <c r="AF209" s="637"/>
      <c r="AG209" s="637"/>
      <c r="AH209" s="637"/>
      <c r="AI209" s="637"/>
      <c r="AJ209" s="637"/>
      <c r="AK209" s="637"/>
      <c r="AL209" s="637"/>
      <c r="AM209" s="637"/>
      <c r="AN209" s="637"/>
      <c r="AO209" s="637"/>
      <c r="AP209" s="637"/>
      <c r="AQ209" s="637"/>
      <c r="AR209" s="637"/>
      <c r="AS209" s="637"/>
      <c r="AT209" s="637"/>
      <c r="AU209" s="637"/>
      <c r="AV209" s="637"/>
      <c r="AW209" s="637"/>
      <c r="AX209" s="637"/>
      <c r="AY209" s="637"/>
      <c r="AZ209" s="637"/>
      <c r="BA209" s="637"/>
      <c r="BB209" s="637"/>
      <c r="BC209" s="637"/>
      <c r="BD209" s="637"/>
      <c r="BE209" s="637"/>
      <c r="BF209" s="637"/>
      <c r="BG209" s="637"/>
      <c r="BH209" s="637"/>
      <c r="BI209" s="637"/>
      <c r="BJ209" s="637"/>
      <c r="BK209" s="637"/>
      <c r="BL209" s="637"/>
      <c r="BM209" s="637"/>
      <c r="BN209" s="637"/>
      <c r="BO209" s="637"/>
      <c r="BP209" s="637"/>
      <c r="BQ209" s="637"/>
      <c r="BR209" s="637"/>
      <c r="BS209" s="637"/>
      <c r="BT209" s="637"/>
      <c r="BU209" s="637"/>
      <c r="BV209" s="637"/>
      <c r="BW209" s="637"/>
      <c r="BX209" s="637"/>
      <c r="BY209" s="637"/>
      <c r="BZ209" s="637"/>
      <c r="CA209" s="637"/>
      <c r="CB209" s="637"/>
      <c r="CC209" s="637"/>
      <c r="CD209" s="637"/>
      <c r="CE209" s="637"/>
      <c r="CF209" s="637"/>
      <c r="CG209" s="637"/>
      <c r="CH209" s="637"/>
      <c r="CI209" s="637"/>
      <c r="CJ209" s="637"/>
      <c r="CK209" s="637"/>
      <c r="CL209" s="637"/>
      <c r="CM209" s="637"/>
    </row>
    <row r="210" ht="15.75" customHeight="1">
      <c r="A210" s="637"/>
      <c r="B210" s="637"/>
      <c r="C210" s="637"/>
      <c r="D210" s="637"/>
      <c r="E210" s="637"/>
      <c r="F210" s="637"/>
      <c r="G210" s="637"/>
      <c r="H210" s="637"/>
      <c r="I210" s="637"/>
      <c r="J210" s="637"/>
      <c r="K210" s="637"/>
      <c r="L210" s="637"/>
      <c r="M210" s="637"/>
      <c r="N210" s="637"/>
      <c r="O210" s="637"/>
      <c r="P210" s="637"/>
      <c r="Q210" s="637"/>
      <c r="R210" s="637"/>
      <c r="S210" s="637"/>
      <c r="T210" s="637"/>
      <c r="U210" s="637"/>
      <c r="V210" s="637"/>
      <c r="W210" s="637"/>
      <c r="X210" s="637"/>
      <c r="Y210" s="637"/>
      <c r="Z210" s="637"/>
      <c r="AA210" s="637"/>
      <c r="AB210" s="637"/>
      <c r="AC210" s="637"/>
      <c r="AD210" s="637"/>
      <c r="AE210" s="637"/>
      <c r="AF210" s="637"/>
      <c r="AG210" s="637"/>
      <c r="AH210" s="637"/>
      <c r="AI210" s="637"/>
      <c r="AJ210" s="637"/>
      <c r="AK210" s="637"/>
      <c r="AL210" s="637"/>
      <c r="AM210" s="637"/>
      <c r="AN210" s="637"/>
      <c r="AO210" s="637"/>
      <c r="AP210" s="637"/>
      <c r="AQ210" s="637"/>
      <c r="AR210" s="637"/>
      <c r="AS210" s="637"/>
      <c r="AT210" s="637"/>
      <c r="AU210" s="637"/>
      <c r="AV210" s="637"/>
      <c r="AW210" s="637"/>
      <c r="AX210" s="637"/>
      <c r="AY210" s="637"/>
      <c r="AZ210" s="637"/>
      <c r="BA210" s="637"/>
      <c r="BB210" s="637"/>
      <c r="BC210" s="637"/>
      <c r="BD210" s="637"/>
      <c r="BE210" s="637"/>
      <c r="BF210" s="637"/>
      <c r="BG210" s="637"/>
      <c r="BH210" s="637"/>
      <c r="BI210" s="637"/>
      <c r="BJ210" s="637"/>
      <c r="BK210" s="637"/>
      <c r="BL210" s="637"/>
      <c r="BM210" s="637"/>
      <c r="BN210" s="637"/>
      <c r="BO210" s="637"/>
      <c r="BP210" s="637"/>
      <c r="BQ210" s="637"/>
      <c r="BR210" s="637"/>
      <c r="BS210" s="637"/>
      <c r="BT210" s="637"/>
      <c r="BU210" s="637"/>
      <c r="BV210" s="637"/>
      <c r="BW210" s="637"/>
      <c r="BX210" s="637"/>
      <c r="BY210" s="637"/>
      <c r="BZ210" s="637"/>
      <c r="CA210" s="637"/>
      <c r="CB210" s="637"/>
      <c r="CC210" s="637"/>
      <c r="CD210" s="637"/>
      <c r="CE210" s="637"/>
      <c r="CF210" s="637"/>
      <c r="CG210" s="637"/>
      <c r="CH210" s="637"/>
      <c r="CI210" s="637"/>
      <c r="CJ210" s="637"/>
      <c r="CK210" s="637"/>
      <c r="CL210" s="637"/>
      <c r="CM210" s="637"/>
    </row>
    <row r="211" ht="15.75" customHeight="1">
      <c r="A211" s="637"/>
      <c r="B211" s="637"/>
      <c r="C211" s="637"/>
      <c r="D211" s="637"/>
      <c r="E211" s="637"/>
      <c r="F211" s="637"/>
      <c r="G211" s="637"/>
      <c r="H211" s="637"/>
      <c r="I211" s="637"/>
      <c r="J211" s="637"/>
      <c r="K211" s="637"/>
      <c r="L211" s="637"/>
      <c r="M211" s="637"/>
      <c r="N211" s="637"/>
      <c r="O211" s="637"/>
      <c r="P211" s="637"/>
      <c r="Q211" s="637"/>
      <c r="R211" s="637"/>
      <c r="S211" s="637"/>
      <c r="T211" s="637"/>
      <c r="U211" s="637"/>
      <c r="V211" s="637"/>
      <c r="W211" s="637"/>
      <c r="X211" s="637"/>
      <c r="Y211" s="637"/>
      <c r="Z211" s="637"/>
      <c r="AA211" s="637"/>
      <c r="AB211" s="637"/>
      <c r="AC211" s="637"/>
      <c r="AD211" s="637"/>
      <c r="AE211" s="637"/>
      <c r="AF211" s="637"/>
      <c r="AG211" s="637"/>
      <c r="AH211" s="637"/>
      <c r="AI211" s="637"/>
      <c r="AJ211" s="637"/>
      <c r="AK211" s="637"/>
      <c r="AL211" s="637"/>
      <c r="AM211" s="637"/>
      <c r="AN211" s="637"/>
      <c r="AO211" s="637"/>
      <c r="AP211" s="637"/>
      <c r="AQ211" s="637"/>
      <c r="AR211" s="637"/>
      <c r="AS211" s="637"/>
      <c r="AT211" s="637"/>
      <c r="AU211" s="637"/>
      <c r="AV211" s="637"/>
      <c r="AW211" s="637"/>
      <c r="AX211" s="637"/>
      <c r="AY211" s="637"/>
      <c r="AZ211" s="637"/>
      <c r="BA211" s="637"/>
      <c r="BB211" s="637"/>
      <c r="BC211" s="637"/>
      <c r="BD211" s="637"/>
      <c r="BE211" s="637"/>
      <c r="BF211" s="637"/>
      <c r="BG211" s="637"/>
      <c r="BH211" s="637"/>
      <c r="BI211" s="637"/>
      <c r="BJ211" s="637"/>
      <c r="BK211" s="637"/>
      <c r="BL211" s="637"/>
      <c r="BM211" s="637"/>
      <c r="BN211" s="637"/>
      <c r="BO211" s="637"/>
      <c r="BP211" s="637"/>
      <c r="BQ211" s="637"/>
      <c r="BR211" s="637"/>
      <c r="BS211" s="637"/>
      <c r="BT211" s="637"/>
      <c r="BU211" s="637"/>
      <c r="BV211" s="637"/>
      <c r="BW211" s="637"/>
      <c r="BX211" s="637"/>
      <c r="BY211" s="637"/>
      <c r="BZ211" s="637"/>
      <c r="CA211" s="637"/>
      <c r="CB211" s="637"/>
      <c r="CC211" s="637"/>
      <c r="CD211" s="637"/>
      <c r="CE211" s="637"/>
      <c r="CF211" s="637"/>
      <c r="CG211" s="637"/>
      <c r="CH211" s="637"/>
      <c r="CI211" s="637"/>
      <c r="CJ211" s="637"/>
      <c r="CK211" s="637"/>
      <c r="CL211" s="637"/>
      <c r="CM211" s="637"/>
    </row>
    <row r="212" ht="15.75" customHeight="1">
      <c r="A212" s="637"/>
      <c r="B212" s="637"/>
      <c r="C212" s="637"/>
      <c r="D212" s="637"/>
      <c r="E212" s="637"/>
      <c r="F212" s="637"/>
      <c r="G212" s="637"/>
      <c r="H212" s="637"/>
      <c r="I212" s="637"/>
      <c r="J212" s="637"/>
      <c r="K212" s="637"/>
      <c r="L212" s="637"/>
      <c r="M212" s="637"/>
      <c r="N212" s="637"/>
      <c r="O212" s="637"/>
      <c r="P212" s="637"/>
      <c r="Q212" s="637"/>
      <c r="R212" s="637"/>
      <c r="S212" s="637"/>
      <c r="T212" s="637"/>
      <c r="U212" s="637"/>
      <c r="V212" s="637"/>
      <c r="W212" s="637"/>
      <c r="X212" s="637"/>
      <c r="Y212" s="637"/>
      <c r="Z212" s="637"/>
      <c r="AA212" s="637"/>
      <c r="AB212" s="637"/>
      <c r="AC212" s="637"/>
      <c r="AD212" s="637"/>
      <c r="AE212" s="637"/>
      <c r="AF212" s="637"/>
      <c r="AG212" s="637"/>
      <c r="AH212" s="637"/>
      <c r="AI212" s="637"/>
      <c r="AJ212" s="637"/>
      <c r="AK212" s="637"/>
      <c r="AL212" s="637"/>
      <c r="AM212" s="637"/>
      <c r="AN212" s="637"/>
      <c r="AO212" s="637"/>
      <c r="AP212" s="637"/>
      <c r="AQ212" s="637"/>
      <c r="AR212" s="637"/>
      <c r="AS212" s="637"/>
      <c r="AT212" s="637"/>
      <c r="AU212" s="637"/>
      <c r="AV212" s="637"/>
      <c r="AW212" s="637"/>
      <c r="AX212" s="637"/>
      <c r="AY212" s="637"/>
      <c r="AZ212" s="637"/>
      <c r="BA212" s="637"/>
      <c r="BB212" s="637"/>
      <c r="BC212" s="637"/>
      <c r="BD212" s="637"/>
      <c r="BE212" s="637"/>
      <c r="BF212" s="637"/>
      <c r="BG212" s="637"/>
      <c r="BH212" s="637"/>
      <c r="BI212" s="637"/>
      <c r="BJ212" s="637"/>
      <c r="BK212" s="637"/>
      <c r="BL212" s="637"/>
      <c r="BM212" s="637"/>
      <c r="BN212" s="637"/>
      <c r="BO212" s="637"/>
      <c r="BP212" s="637"/>
      <c r="BQ212" s="637"/>
      <c r="BR212" s="637"/>
      <c r="BS212" s="637"/>
      <c r="BT212" s="637"/>
      <c r="BU212" s="637"/>
      <c r="BV212" s="637"/>
      <c r="BW212" s="637"/>
      <c r="BX212" s="637"/>
      <c r="BY212" s="637"/>
      <c r="BZ212" s="637"/>
      <c r="CA212" s="637"/>
      <c r="CB212" s="637"/>
      <c r="CC212" s="637"/>
      <c r="CD212" s="637"/>
      <c r="CE212" s="637"/>
      <c r="CF212" s="637"/>
      <c r="CG212" s="637"/>
      <c r="CH212" s="637"/>
      <c r="CI212" s="637"/>
      <c r="CJ212" s="637"/>
      <c r="CK212" s="637"/>
      <c r="CL212" s="637"/>
      <c r="CM212" s="637"/>
    </row>
    <row r="213" ht="15.75" customHeight="1">
      <c r="A213" s="637"/>
      <c r="B213" s="637"/>
      <c r="C213" s="637"/>
      <c r="D213" s="637"/>
      <c r="E213" s="637"/>
      <c r="F213" s="637"/>
      <c r="G213" s="637"/>
      <c r="H213" s="637"/>
      <c r="I213" s="637"/>
      <c r="J213" s="637"/>
      <c r="K213" s="637"/>
      <c r="L213" s="637"/>
      <c r="M213" s="637"/>
      <c r="N213" s="637"/>
      <c r="O213" s="637"/>
      <c r="P213" s="637"/>
      <c r="Q213" s="637"/>
      <c r="R213" s="637"/>
      <c r="S213" s="637"/>
      <c r="T213" s="637"/>
      <c r="U213" s="637"/>
      <c r="V213" s="637"/>
      <c r="W213" s="637"/>
      <c r="X213" s="637"/>
      <c r="Y213" s="637"/>
      <c r="Z213" s="637"/>
      <c r="AA213" s="637"/>
      <c r="AB213" s="637"/>
      <c r="AC213" s="637"/>
      <c r="AD213" s="637"/>
      <c r="AE213" s="637"/>
      <c r="AF213" s="637"/>
      <c r="AG213" s="637"/>
      <c r="AH213" s="637"/>
      <c r="AI213" s="637"/>
      <c r="AJ213" s="637"/>
      <c r="AK213" s="637"/>
      <c r="AL213" s="637"/>
      <c r="AM213" s="637"/>
      <c r="AN213" s="637"/>
      <c r="AO213" s="637"/>
      <c r="AP213" s="637"/>
      <c r="AQ213" s="637"/>
      <c r="AR213" s="637"/>
      <c r="AS213" s="637"/>
      <c r="AT213" s="637"/>
      <c r="AU213" s="637"/>
      <c r="AV213" s="637"/>
      <c r="AW213" s="637"/>
      <c r="AX213" s="637"/>
      <c r="AY213" s="637"/>
      <c r="AZ213" s="637"/>
      <c r="BA213" s="637"/>
      <c r="BB213" s="637"/>
      <c r="BC213" s="637"/>
      <c r="BD213" s="637"/>
      <c r="BE213" s="637"/>
      <c r="BF213" s="637"/>
      <c r="BG213" s="637"/>
      <c r="BH213" s="637"/>
      <c r="BI213" s="637"/>
      <c r="BJ213" s="637"/>
      <c r="BK213" s="637"/>
      <c r="BL213" s="637"/>
      <c r="BM213" s="637"/>
      <c r="BN213" s="637"/>
      <c r="BO213" s="637"/>
      <c r="BP213" s="637"/>
      <c r="BQ213" s="637"/>
      <c r="BR213" s="637"/>
      <c r="BS213" s="637"/>
      <c r="BT213" s="637"/>
      <c r="BU213" s="637"/>
      <c r="BV213" s="637"/>
      <c r="BW213" s="637"/>
      <c r="BX213" s="637"/>
      <c r="BY213" s="637"/>
      <c r="BZ213" s="637"/>
      <c r="CA213" s="637"/>
      <c r="CB213" s="637"/>
      <c r="CC213" s="637"/>
      <c r="CD213" s="637"/>
      <c r="CE213" s="637"/>
      <c r="CF213" s="637"/>
      <c r="CG213" s="637"/>
      <c r="CH213" s="637"/>
      <c r="CI213" s="637"/>
      <c r="CJ213" s="637"/>
      <c r="CK213" s="637"/>
      <c r="CL213" s="637"/>
      <c r="CM213" s="637"/>
    </row>
    <row r="214" ht="15.75" customHeight="1">
      <c r="A214" s="637"/>
      <c r="B214" s="637"/>
      <c r="C214" s="637"/>
      <c r="D214" s="637"/>
      <c r="E214" s="637"/>
      <c r="F214" s="637"/>
      <c r="G214" s="637"/>
      <c r="H214" s="637"/>
      <c r="I214" s="637"/>
      <c r="J214" s="637"/>
      <c r="K214" s="637"/>
      <c r="L214" s="637"/>
      <c r="M214" s="637"/>
      <c r="N214" s="637"/>
      <c r="O214" s="637"/>
      <c r="P214" s="637"/>
      <c r="Q214" s="637"/>
      <c r="R214" s="637"/>
      <c r="S214" s="637"/>
      <c r="T214" s="637"/>
      <c r="U214" s="637"/>
      <c r="V214" s="637"/>
      <c r="W214" s="637"/>
      <c r="X214" s="637"/>
      <c r="Y214" s="637"/>
      <c r="Z214" s="637"/>
      <c r="AA214" s="637"/>
      <c r="AB214" s="637"/>
      <c r="AC214" s="637"/>
      <c r="AD214" s="637"/>
      <c r="AE214" s="637"/>
      <c r="AF214" s="637"/>
      <c r="AG214" s="637"/>
      <c r="AH214" s="637"/>
      <c r="AI214" s="637"/>
      <c r="AJ214" s="637"/>
      <c r="AK214" s="637"/>
      <c r="AL214" s="637"/>
      <c r="AM214" s="637"/>
      <c r="AN214" s="637"/>
      <c r="AO214" s="637"/>
      <c r="AP214" s="637"/>
      <c r="AQ214" s="637"/>
      <c r="AR214" s="637"/>
      <c r="AS214" s="637"/>
      <c r="AT214" s="637"/>
      <c r="AU214" s="637"/>
      <c r="AV214" s="637"/>
      <c r="AW214" s="637"/>
      <c r="AX214" s="637"/>
      <c r="AY214" s="637"/>
      <c r="AZ214" s="637"/>
      <c r="BA214" s="637"/>
      <c r="BB214" s="637"/>
      <c r="BC214" s="637"/>
      <c r="BD214" s="637"/>
      <c r="BE214" s="637"/>
      <c r="BF214" s="637"/>
      <c r="BG214" s="637"/>
      <c r="BH214" s="637"/>
      <c r="BI214" s="637"/>
      <c r="BJ214" s="637"/>
      <c r="BK214" s="637"/>
      <c r="BL214" s="637"/>
      <c r="BM214" s="637"/>
      <c r="BN214" s="637"/>
      <c r="BO214" s="637"/>
      <c r="BP214" s="637"/>
      <c r="BQ214" s="637"/>
      <c r="BR214" s="637"/>
      <c r="BS214" s="637"/>
      <c r="BT214" s="637"/>
      <c r="BU214" s="637"/>
      <c r="BV214" s="637"/>
      <c r="BW214" s="637"/>
      <c r="BX214" s="637"/>
      <c r="BY214" s="637"/>
      <c r="BZ214" s="637"/>
      <c r="CA214" s="637"/>
      <c r="CB214" s="637"/>
      <c r="CC214" s="637"/>
      <c r="CD214" s="637"/>
      <c r="CE214" s="637"/>
      <c r="CF214" s="637"/>
      <c r="CG214" s="637"/>
      <c r="CH214" s="637"/>
      <c r="CI214" s="637"/>
      <c r="CJ214" s="637"/>
      <c r="CK214" s="637"/>
      <c r="CL214" s="637"/>
      <c r="CM214" s="637"/>
    </row>
    <row r="215" ht="15.75" customHeight="1">
      <c r="A215" s="637"/>
      <c r="B215" s="637"/>
      <c r="C215" s="637"/>
      <c r="D215" s="637"/>
      <c r="E215" s="637"/>
      <c r="F215" s="637"/>
      <c r="G215" s="637"/>
      <c r="H215" s="637"/>
      <c r="I215" s="637"/>
      <c r="J215" s="637"/>
      <c r="K215" s="637"/>
      <c r="L215" s="637"/>
      <c r="M215" s="637"/>
      <c r="N215" s="637"/>
      <c r="O215" s="637"/>
      <c r="P215" s="637"/>
      <c r="Q215" s="637"/>
      <c r="R215" s="637"/>
      <c r="S215" s="637"/>
      <c r="T215" s="637"/>
      <c r="U215" s="637"/>
      <c r="V215" s="637"/>
      <c r="W215" s="637"/>
      <c r="X215" s="637"/>
      <c r="Y215" s="637"/>
      <c r="Z215" s="637"/>
      <c r="AA215" s="637"/>
      <c r="AB215" s="637"/>
      <c r="AC215" s="637"/>
      <c r="AD215" s="637"/>
      <c r="AE215" s="637"/>
      <c r="AF215" s="637"/>
      <c r="AG215" s="637"/>
      <c r="AH215" s="637"/>
      <c r="AI215" s="637"/>
      <c r="AJ215" s="637"/>
      <c r="AK215" s="637"/>
      <c r="AL215" s="637"/>
      <c r="AM215" s="637"/>
      <c r="AN215" s="637"/>
      <c r="AO215" s="637"/>
      <c r="AP215" s="637"/>
      <c r="AQ215" s="637"/>
      <c r="AR215" s="637"/>
      <c r="AS215" s="637"/>
      <c r="AT215" s="637"/>
      <c r="AU215" s="637"/>
      <c r="AV215" s="637"/>
      <c r="AW215" s="637"/>
      <c r="AX215" s="637"/>
      <c r="AY215" s="637"/>
      <c r="AZ215" s="637"/>
      <c r="BA215" s="637"/>
      <c r="BB215" s="637"/>
      <c r="BC215" s="637"/>
      <c r="BD215" s="637"/>
      <c r="BE215" s="637"/>
      <c r="BF215" s="637"/>
      <c r="BG215" s="637"/>
      <c r="BH215" s="637"/>
      <c r="BI215" s="637"/>
      <c r="BJ215" s="637"/>
      <c r="BK215" s="637"/>
      <c r="BL215" s="637"/>
      <c r="BM215" s="637"/>
      <c r="BN215" s="637"/>
      <c r="BO215" s="637"/>
      <c r="BP215" s="637"/>
      <c r="BQ215" s="637"/>
      <c r="BR215" s="637"/>
      <c r="BS215" s="637"/>
      <c r="BT215" s="637"/>
      <c r="BU215" s="637"/>
      <c r="BV215" s="637"/>
      <c r="BW215" s="637"/>
      <c r="BX215" s="637"/>
      <c r="BY215" s="637"/>
      <c r="BZ215" s="637"/>
      <c r="CA215" s="637"/>
      <c r="CB215" s="637"/>
      <c r="CC215" s="637"/>
      <c r="CD215" s="637"/>
      <c r="CE215" s="637"/>
      <c r="CF215" s="637"/>
      <c r="CG215" s="637"/>
      <c r="CH215" s="637"/>
      <c r="CI215" s="637"/>
      <c r="CJ215" s="637"/>
      <c r="CK215" s="637"/>
      <c r="CL215" s="637"/>
      <c r="CM215" s="637"/>
    </row>
    <row r="216" ht="15.75" customHeight="1">
      <c r="A216" s="637"/>
      <c r="B216" s="637"/>
      <c r="C216" s="637"/>
      <c r="D216" s="637"/>
      <c r="E216" s="637"/>
      <c r="F216" s="637"/>
      <c r="G216" s="637"/>
      <c r="H216" s="637"/>
      <c r="I216" s="637"/>
      <c r="J216" s="637"/>
      <c r="K216" s="637"/>
      <c r="L216" s="637"/>
      <c r="M216" s="637"/>
      <c r="N216" s="637"/>
      <c r="O216" s="637"/>
      <c r="P216" s="637"/>
      <c r="Q216" s="637"/>
      <c r="R216" s="637"/>
      <c r="S216" s="637"/>
      <c r="T216" s="637"/>
      <c r="U216" s="637"/>
      <c r="V216" s="637"/>
      <c r="W216" s="637"/>
      <c r="X216" s="637"/>
      <c r="Y216" s="637"/>
      <c r="Z216" s="637"/>
      <c r="AA216" s="637"/>
      <c r="AB216" s="637"/>
      <c r="AC216" s="637"/>
      <c r="AD216" s="637"/>
      <c r="AE216" s="637"/>
      <c r="AF216" s="637"/>
      <c r="AG216" s="637"/>
      <c r="AH216" s="637"/>
      <c r="AI216" s="637"/>
      <c r="AJ216" s="637"/>
      <c r="AK216" s="637"/>
      <c r="AL216" s="637"/>
      <c r="AM216" s="637"/>
      <c r="AN216" s="637"/>
      <c r="AO216" s="637"/>
      <c r="AP216" s="637"/>
      <c r="AQ216" s="637"/>
      <c r="AR216" s="637"/>
      <c r="AS216" s="637"/>
      <c r="AT216" s="637"/>
      <c r="AU216" s="637"/>
      <c r="AV216" s="637"/>
      <c r="AW216" s="637"/>
      <c r="AX216" s="637"/>
      <c r="AY216" s="637"/>
      <c r="AZ216" s="637"/>
      <c r="BA216" s="637"/>
      <c r="BB216" s="637"/>
      <c r="BC216" s="637"/>
      <c r="BD216" s="637"/>
      <c r="BE216" s="637"/>
      <c r="BF216" s="637"/>
      <c r="BG216" s="637"/>
      <c r="BH216" s="637"/>
      <c r="BI216" s="637"/>
      <c r="BJ216" s="637"/>
      <c r="BK216" s="637"/>
      <c r="BL216" s="637"/>
      <c r="BM216" s="637"/>
      <c r="BN216" s="637"/>
      <c r="BO216" s="637"/>
      <c r="BP216" s="637"/>
      <c r="BQ216" s="637"/>
      <c r="BR216" s="637"/>
      <c r="BS216" s="637"/>
      <c r="BT216" s="637"/>
      <c r="BU216" s="637"/>
      <c r="BV216" s="637"/>
      <c r="BW216" s="637"/>
      <c r="BX216" s="637"/>
      <c r="BY216" s="637"/>
      <c r="BZ216" s="637"/>
      <c r="CA216" s="637"/>
      <c r="CB216" s="637"/>
      <c r="CC216" s="637"/>
      <c r="CD216" s="637"/>
      <c r="CE216" s="637"/>
      <c r="CF216" s="637"/>
      <c r="CG216" s="637"/>
      <c r="CH216" s="637"/>
      <c r="CI216" s="637"/>
      <c r="CJ216" s="637"/>
      <c r="CK216" s="637"/>
      <c r="CL216" s="637"/>
      <c r="CM216" s="637"/>
    </row>
    <row r="217" ht="15.75" customHeight="1">
      <c r="A217" s="637"/>
      <c r="B217" s="637"/>
      <c r="C217" s="637"/>
      <c r="D217" s="637"/>
      <c r="E217" s="637"/>
      <c r="F217" s="637"/>
      <c r="G217" s="637"/>
      <c r="H217" s="637"/>
      <c r="I217" s="637"/>
      <c r="J217" s="637"/>
      <c r="K217" s="637"/>
      <c r="L217" s="637"/>
      <c r="M217" s="637"/>
      <c r="N217" s="637"/>
      <c r="O217" s="637"/>
      <c r="P217" s="637"/>
      <c r="Q217" s="637"/>
      <c r="R217" s="637"/>
      <c r="S217" s="637"/>
      <c r="T217" s="637"/>
      <c r="U217" s="637"/>
      <c r="V217" s="637"/>
      <c r="W217" s="637"/>
      <c r="X217" s="637"/>
      <c r="Y217" s="637"/>
      <c r="Z217" s="637"/>
      <c r="AA217" s="637"/>
      <c r="AB217" s="637"/>
      <c r="AC217" s="637"/>
      <c r="AD217" s="637"/>
      <c r="AE217" s="637"/>
      <c r="AF217" s="637"/>
      <c r="AG217" s="637"/>
      <c r="AH217" s="637"/>
      <c r="AI217" s="637"/>
      <c r="AJ217" s="637"/>
      <c r="AK217" s="637"/>
      <c r="AL217" s="637"/>
      <c r="AM217" s="637"/>
      <c r="AN217" s="637"/>
      <c r="AO217" s="637"/>
      <c r="AP217" s="637"/>
      <c r="AQ217" s="637"/>
      <c r="AR217" s="637"/>
      <c r="AS217" s="637"/>
      <c r="AT217" s="637"/>
      <c r="AU217" s="637"/>
      <c r="AV217" s="637"/>
      <c r="AW217" s="637"/>
      <c r="AX217" s="637"/>
      <c r="AY217" s="637"/>
      <c r="AZ217" s="637"/>
      <c r="BA217" s="637"/>
      <c r="BB217" s="637"/>
      <c r="BC217" s="637"/>
      <c r="BD217" s="637"/>
      <c r="BE217" s="637"/>
      <c r="BF217" s="637"/>
      <c r="BG217" s="637"/>
      <c r="BH217" s="637"/>
      <c r="BI217" s="637"/>
      <c r="BJ217" s="637"/>
      <c r="BK217" s="637"/>
      <c r="BL217" s="637"/>
      <c r="BM217" s="637"/>
      <c r="BN217" s="637"/>
      <c r="BO217" s="637"/>
      <c r="BP217" s="637"/>
      <c r="BQ217" s="637"/>
      <c r="BR217" s="637"/>
      <c r="BS217" s="637"/>
      <c r="BT217" s="637"/>
      <c r="BU217" s="637"/>
      <c r="BV217" s="637"/>
      <c r="BW217" s="637"/>
      <c r="BX217" s="637"/>
      <c r="BY217" s="637"/>
      <c r="BZ217" s="637"/>
      <c r="CA217" s="637"/>
      <c r="CB217" s="637"/>
      <c r="CC217" s="637"/>
      <c r="CD217" s="637"/>
      <c r="CE217" s="637"/>
      <c r="CF217" s="637"/>
      <c r="CG217" s="637"/>
      <c r="CH217" s="637"/>
      <c r="CI217" s="637"/>
      <c r="CJ217" s="637"/>
      <c r="CK217" s="637"/>
      <c r="CL217" s="637"/>
      <c r="CM217" s="637"/>
    </row>
    <row r="218" ht="15.75" customHeight="1">
      <c r="A218" s="637"/>
      <c r="B218" s="637"/>
      <c r="C218" s="637"/>
      <c r="D218" s="637"/>
      <c r="E218" s="637"/>
      <c r="F218" s="637"/>
      <c r="G218" s="637"/>
      <c r="H218" s="637"/>
      <c r="I218" s="637"/>
      <c r="J218" s="637"/>
      <c r="K218" s="637"/>
      <c r="L218" s="637"/>
      <c r="M218" s="637"/>
      <c r="N218" s="637"/>
      <c r="O218" s="637"/>
      <c r="P218" s="637"/>
      <c r="Q218" s="637"/>
      <c r="R218" s="637"/>
      <c r="S218" s="637"/>
      <c r="T218" s="637"/>
      <c r="U218" s="637"/>
      <c r="V218" s="637"/>
      <c r="W218" s="637"/>
      <c r="X218" s="637"/>
      <c r="Y218" s="637"/>
      <c r="Z218" s="637"/>
      <c r="AA218" s="637"/>
      <c r="AB218" s="637"/>
      <c r="AC218" s="637"/>
      <c r="AD218" s="637"/>
      <c r="AE218" s="637"/>
      <c r="AF218" s="637"/>
      <c r="AG218" s="637"/>
      <c r="AH218" s="637"/>
      <c r="AI218" s="637"/>
      <c r="AJ218" s="637"/>
      <c r="AK218" s="637"/>
      <c r="AL218" s="637"/>
      <c r="AM218" s="637"/>
      <c r="AN218" s="637"/>
      <c r="AO218" s="637"/>
      <c r="AP218" s="637"/>
      <c r="AQ218" s="637"/>
      <c r="AR218" s="637"/>
      <c r="AS218" s="637"/>
      <c r="AT218" s="637"/>
      <c r="AU218" s="637"/>
      <c r="AV218" s="637"/>
      <c r="AW218" s="637"/>
      <c r="AX218" s="637"/>
      <c r="AY218" s="637"/>
      <c r="AZ218" s="637"/>
      <c r="BA218" s="637"/>
      <c r="BB218" s="637"/>
      <c r="BC218" s="637"/>
      <c r="BD218" s="637"/>
      <c r="BE218" s="637"/>
      <c r="BF218" s="637"/>
      <c r="BG218" s="637"/>
      <c r="BH218" s="637"/>
      <c r="BI218" s="637"/>
      <c r="BJ218" s="637"/>
      <c r="BK218" s="637"/>
      <c r="BL218" s="637"/>
      <c r="BM218" s="637"/>
      <c r="BN218" s="637"/>
      <c r="BO218" s="637"/>
      <c r="BP218" s="637"/>
      <c r="BQ218" s="637"/>
      <c r="BR218" s="637"/>
      <c r="BS218" s="637"/>
      <c r="BT218" s="637"/>
      <c r="BU218" s="637"/>
      <c r="BV218" s="637"/>
      <c r="BW218" s="637"/>
      <c r="BX218" s="637"/>
      <c r="BY218" s="637"/>
      <c r="BZ218" s="637"/>
      <c r="CA218" s="637"/>
      <c r="CB218" s="637"/>
      <c r="CC218" s="637"/>
      <c r="CD218" s="637"/>
      <c r="CE218" s="637"/>
      <c r="CF218" s="637"/>
      <c r="CG218" s="637"/>
      <c r="CH218" s="637"/>
      <c r="CI218" s="637"/>
      <c r="CJ218" s="637"/>
      <c r="CK218" s="637"/>
      <c r="CL218" s="637"/>
      <c r="CM218" s="637"/>
    </row>
    <row r="219" ht="15.75" customHeight="1">
      <c r="A219" s="637"/>
      <c r="B219" s="637"/>
      <c r="C219" s="637"/>
      <c r="D219" s="637"/>
      <c r="E219" s="637"/>
      <c r="F219" s="637"/>
      <c r="G219" s="637"/>
      <c r="H219" s="637"/>
      <c r="I219" s="637"/>
      <c r="J219" s="637"/>
      <c r="K219" s="637"/>
      <c r="L219" s="637"/>
      <c r="M219" s="637"/>
      <c r="N219" s="637"/>
      <c r="O219" s="637"/>
      <c r="P219" s="637"/>
      <c r="Q219" s="637"/>
      <c r="R219" s="637"/>
      <c r="S219" s="637"/>
      <c r="T219" s="637"/>
      <c r="U219" s="637"/>
      <c r="V219" s="637"/>
      <c r="W219" s="637"/>
      <c r="X219" s="637"/>
      <c r="Y219" s="637"/>
      <c r="Z219" s="637"/>
      <c r="AA219" s="637"/>
      <c r="AB219" s="637"/>
      <c r="AC219" s="637"/>
      <c r="AD219" s="637"/>
      <c r="AE219" s="637"/>
      <c r="AF219" s="637"/>
      <c r="AG219" s="637"/>
      <c r="AH219" s="637"/>
      <c r="AI219" s="637"/>
      <c r="AJ219" s="637"/>
      <c r="AK219" s="637"/>
      <c r="AL219" s="637"/>
      <c r="AM219" s="637"/>
      <c r="AN219" s="637"/>
      <c r="AO219" s="637"/>
      <c r="AP219" s="637"/>
      <c r="AQ219" s="637"/>
      <c r="AR219" s="637"/>
      <c r="AS219" s="637"/>
      <c r="AT219" s="637"/>
      <c r="AU219" s="637"/>
      <c r="AV219" s="637"/>
      <c r="AW219" s="637"/>
      <c r="AX219" s="637"/>
      <c r="AY219" s="637"/>
      <c r="AZ219" s="637"/>
      <c r="BA219" s="637"/>
      <c r="BB219" s="637"/>
      <c r="BC219" s="637"/>
      <c r="BD219" s="637"/>
      <c r="BE219" s="637"/>
      <c r="BF219" s="637"/>
      <c r="BG219" s="637"/>
      <c r="BH219" s="637"/>
      <c r="BI219" s="637"/>
      <c r="BJ219" s="637"/>
      <c r="BK219" s="637"/>
      <c r="BL219" s="637"/>
      <c r="BM219" s="637"/>
      <c r="BN219" s="637"/>
      <c r="BO219" s="637"/>
      <c r="BP219" s="637"/>
      <c r="BQ219" s="637"/>
      <c r="BR219" s="637"/>
      <c r="BS219" s="637"/>
      <c r="BT219" s="637"/>
      <c r="BU219" s="637"/>
      <c r="BV219" s="637"/>
      <c r="BW219" s="637"/>
      <c r="BX219" s="637"/>
      <c r="BY219" s="637"/>
      <c r="BZ219" s="637"/>
      <c r="CA219" s="637"/>
      <c r="CB219" s="637"/>
      <c r="CC219" s="637"/>
      <c r="CD219" s="637"/>
      <c r="CE219" s="637"/>
      <c r="CF219" s="637"/>
      <c r="CG219" s="637"/>
      <c r="CH219" s="637"/>
      <c r="CI219" s="637"/>
      <c r="CJ219" s="637"/>
      <c r="CK219" s="637"/>
      <c r="CL219" s="637"/>
      <c r="CM219" s="637"/>
    </row>
    <row r="220" ht="15.75" customHeight="1">
      <c r="A220" s="637"/>
      <c r="B220" s="637"/>
      <c r="C220" s="637"/>
      <c r="D220" s="637"/>
      <c r="E220" s="637"/>
      <c r="F220" s="637"/>
      <c r="G220" s="637"/>
      <c r="H220" s="637"/>
      <c r="I220" s="637"/>
      <c r="J220" s="637"/>
      <c r="K220" s="637"/>
      <c r="L220" s="637"/>
      <c r="M220" s="637"/>
      <c r="N220" s="637"/>
      <c r="O220" s="637"/>
      <c r="P220" s="637"/>
      <c r="Q220" s="637"/>
      <c r="R220" s="637"/>
      <c r="S220" s="637"/>
      <c r="T220" s="637"/>
      <c r="U220" s="637"/>
      <c r="V220" s="637"/>
      <c r="W220" s="637"/>
      <c r="X220" s="637"/>
      <c r="Y220" s="637"/>
      <c r="Z220" s="637"/>
      <c r="AA220" s="637"/>
      <c r="AB220" s="637"/>
      <c r="AC220" s="637"/>
      <c r="AD220" s="637"/>
      <c r="AE220" s="637"/>
      <c r="AF220" s="637"/>
      <c r="AG220" s="637"/>
      <c r="AH220" s="637"/>
      <c r="AI220" s="637"/>
      <c r="AJ220" s="637"/>
      <c r="AK220" s="637"/>
      <c r="AL220" s="637"/>
      <c r="AM220" s="637"/>
      <c r="AN220" s="637"/>
      <c r="AO220" s="637"/>
      <c r="AP220" s="637"/>
      <c r="AQ220" s="637"/>
      <c r="AR220" s="637"/>
      <c r="AS220" s="637"/>
      <c r="AT220" s="637"/>
      <c r="AU220" s="637"/>
      <c r="AV220" s="637"/>
      <c r="AW220" s="637"/>
      <c r="AX220" s="637"/>
      <c r="AY220" s="637"/>
      <c r="AZ220" s="637"/>
      <c r="BA220" s="637"/>
      <c r="BB220" s="637"/>
      <c r="BC220" s="637"/>
      <c r="BD220" s="637"/>
      <c r="BE220" s="637"/>
      <c r="BF220" s="637"/>
      <c r="BG220" s="637"/>
      <c r="BH220" s="637"/>
      <c r="BI220" s="637"/>
      <c r="BJ220" s="637"/>
      <c r="BK220" s="637"/>
      <c r="BL220" s="637"/>
      <c r="BM220" s="637"/>
      <c r="BN220" s="637"/>
      <c r="BO220" s="637"/>
      <c r="BP220" s="637"/>
      <c r="BQ220" s="637"/>
      <c r="BR220" s="637"/>
      <c r="BS220" s="637"/>
      <c r="BT220" s="637"/>
      <c r="BU220" s="637"/>
      <c r="BV220" s="637"/>
      <c r="BW220" s="637"/>
      <c r="BX220" s="637"/>
      <c r="BY220" s="637"/>
      <c r="BZ220" s="637"/>
      <c r="CA220" s="637"/>
      <c r="CB220" s="637"/>
      <c r="CC220" s="637"/>
      <c r="CD220" s="637"/>
      <c r="CE220" s="637"/>
      <c r="CF220" s="637"/>
      <c r="CG220" s="637"/>
      <c r="CH220" s="637"/>
      <c r="CI220" s="637"/>
      <c r="CJ220" s="637"/>
      <c r="CK220" s="637"/>
      <c r="CL220" s="637"/>
      <c r="CM220" s="637"/>
    </row>
    <row r="221" ht="15.75" customHeight="1">
      <c r="A221" s="637"/>
      <c r="B221" s="637"/>
      <c r="C221" s="637"/>
      <c r="D221" s="637"/>
      <c r="E221" s="637"/>
      <c r="F221" s="637"/>
      <c r="G221" s="637"/>
      <c r="H221" s="637"/>
      <c r="I221" s="637"/>
      <c r="J221" s="637"/>
      <c r="K221" s="637"/>
      <c r="L221" s="637"/>
      <c r="M221" s="637"/>
      <c r="N221" s="637"/>
      <c r="O221" s="637"/>
      <c r="P221" s="637"/>
      <c r="Q221" s="637"/>
      <c r="R221" s="637"/>
      <c r="S221" s="637"/>
      <c r="T221" s="637"/>
      <c r="U221" s="637"/>
      <c r="V221" s="637"/>
      <c r="W221" s="637"/>
      <c r="X221" s="637"/>
      <c r="Y221" s="637"/>
      <c r="Z221" s="637"/>
      <c r="AA221" s="637"/>
      <c r="AB221" s="637"/>
      <c r="AC221" s="637"/>
      <c r="AD221" s="637"/>
      <c r="AE221" s="637"/>
      <c r="AF221" s="637"/>
      <c r="AG221" s="637"/>
      <c r="AH221" s="637"/>
      <c r="AI221" s="637"/>
      <c r="AJ221" s="637"/>
      <c r="AK221" s="637"/>
      <c r="AL221" s="637"/>
      <c r="AM221" s="637"/>
      <c r="AN221" s="637"/>
      <c r="AO221" s="637"/>
      <c r="AP221" s="637"/>
      <c r="AQ221" s="637"/>
      <c r="AR221" s="637"/>
      <c r="AS221" s="637"/>
      <c r="AT221" s="637"/>
      <c r="AU221" s="637"/>
      <c r="AV221" s="637"/>
      <c r="AW221" s="637"/>
      <c r="AX221" s="637"/>
      <c r="AY221" s="637"/>
      <c r="AZ221" s="637"/>
      <c r="BA221" s="637"/>
      <c r="BB221" s="637"/>
      <c r="BC221" s="637"/>
      <c r="BD221" s="637"/>
      <c r="BE221" s="637"/>
      <c r="BF221" s="637"/>
      <c r="BG221" s="637"/>
      <c r="BH221" s="637"/>
      <c r="BI221" s="637"/>
      <c r="BJ221" s="637"/>
      <c r="BK221" s="637"/>
      <c r="BL221" s="637"/>
      <c r="BM221" s="637"/>
      <c r="BN221" s="637"/>
      <c r="BO221" s="637"/>
      <c r="BP221" s="637"/>
      <c r="BQ221" s="637"/>
      <c r="BR221" s="637"/>
      <c r="BS221" s="637"/>
      <c r="BT221" s="637"/>
      <c r="BU221" s="637"/>
      <c r="BV221" s="637"/>
      <c r="BW221" s="637"/>
      <c r="BX221" s="637"/>
      <c r="BY221" s="637"/>
      <c r="BZ221" s="637"/>
      <c r="CA221" s="637"/>
      <c r="CB221" s="637"/>
      <c r="CC221" s="637"/>
      <c r="CD221" s="637"/>
      <c r="CE221" s="637"/>
      <c r="CF221" s="637"/>
      <c r="CG221" s="637"/>
      <c r="CH221" s="637"/>
      <c r="CI221" s="637"/>
      <c r="CJ221" s="637"/>
      <c r="CK221" s="637"/>
      <c r="CL221" s="637"/>
      <c r="CM221" s="637"/>
    </row>
    <row r="222" ht="15.75" customHeight="1">
      <c r="A222" s="637"/>
      <c r="B222" s="637"/>
      <c r="C222" s="637"/>
      <c r="D222" s="637"/>
      <c r="E222" s="637"/>
      <c r="F222" s="637"/>
      <c r="G222" s="637"/>
      <c r="H222" s="637"/>
      <c r="I222" s="637"/>
      <c r="J222" s="637"/>
      <c r="K222" s="637"/>
      <c r="L222" s="637"/>
      <c r="M222" s="637"/>
      <c r="N222" s="637"/>
      <c r="O222" s="637"/>
      <c r="P222" s="637"/>
      <c r="Q222" s="637"/>
      <c r="R222" s="637"/>
      <c r="S222" s="637"/>
      <c r="T222" s="637"/>
      <c r="U222" s="637"/>
      <c r="V222" s="637"/>
      <c r="W222" s="637"/>
      <c r="X222" s="637"/>
      <c r="Y222" s="637"/>
      <c r="Z222" s="637"/>
      <c r="AA222" s="637"/>
      <c r="AB222" s="637"/>
      <c r="AC222" s="637"/>
      <c r="AD222" s="637"/>
      <c r="AE222" s="637"/>
      <c r="AF222" s="637"/>
      <c r="AG222" s="637"/>
      <c r="AH222" s="637"/>
      <c r="AI222" s="637"/>
      <c r="AJ222" s="637"/>
      <c r="AK222" s="637"/>
      <c r="AL222" s="637"/>
      <c r="AM222" s="637"/>
      <c r="AN222" s="637"/>
      <c r="AO222" s="637"/>
      <c r="AP222" s="637"/>
      <c r="AQ222" s="637"/>
      <c r="AR222" s="637"/>
      <c r="AS222" s="637"/>
      <c r="AT222" s="637"/>
      <c r="AU222" s="637"/>
      <c r="AV222" s="637"/>
      <c r="AW222" s="637"/>
      <c r="AX222" s="637"/>
      <c r="AY222" s="637"/>
      <c r="AZ222" s="637"/>
      <c r="BA222" s="637"/>
      <c r="BB222" s="637"/>
      <c r="BC222" s="637"/>
      <c r="BD222" s="637"/>
      <c r="BE222" s="637"/>
      <c r="BF222" s="637"/>
      <c r="BG222" s="637"/>
      <c r="BH222" s="637"/>
      <c r="BI222" s="637"/>
      <c r="BJ222" s="637"/>
      <c r="BK222" s="637"/>
      <c r="BL222" s="637"/>
      <c r="BM222" s="637"/>
      <c r="BN222" s="637"/>
      <c r="BO222" s="637"/>
      <c r="BP222" s="637"/>
      <c r="BQ222" s="637"/>
      <c r="BR222" s="637"/>
      <c r="BS222" s="637"/>
      <c r="BT222" s="637"/>
      <c r="BU222" s="637"/>
      <c r="BV222" s="637"/>
      <c r="BW222" s="637"/>
      <c r="BX222" s="637"/>
      <c r="BY222" s="637"/>
      <c r="BZ222" s="637"/>
      <c r="CA222" s="637"/>
      <c r="CB222" s="637"/>
      <c r="CC222" s="637"/>
      <c r="CD222" s="637"/>
      <c r="CE222" s="637"/>
      <c r="CF222" s="637"/>
      <c r="CG222" s="637"/>
      <c r="CH222" s="637"/>
      <c r="CI222" s="637"/>
      <c r="CJ222" s="637"/>
      <c r="CK222" s="637"/>
      <c r="CL222" s="637"/>
      <c r="CM222" s="637"/>
    </row>
    <row r="223" ht="15.75" customHeight="1">
      <c r="A223" s="637"/>
      <c r="B223" s="637"/>
      <c r="C223" s="637"/>
      <c r="D223" s="637"/>
      <c r="E223" s="637"/>
      <c r="F223" s="637"/>
      <c r="G223" s="637"/>
      <c r="H223" s="637"/>
      <c r="I223" s="637"/>
      <c r="J223" s="637"/>
      <c r="K223" s="637"/>
      <c r="L223" s="637"/>
      <c r="M223" s="637"/>
      <c r="N223" s="637"/>
      <c r="O223" s="637"/>
      <c r="P223" s="637"/>
      <c r="Q223" s="637"/>
      <c r="R223" s="637"/>
      <c r="S223" s="637"/>
      <c r="T223" s="637"/>
      <c r="U223" s="637"/>
      <c r="V223" s="637"/>
      <c r="W223" s="637"/>
      <c r="X223" s="637"/>
      <c r="Y223" s="637"/>
      <c r="Z223" s="637"/>
      <c r="AA223" s="637"/>
      <c r="AB223" s="637"/>
      <c r="AC223" s="637"/>
      <c r="AD223" s="637"/>
      <c r="AE223" s="637"/>
      <c r="AF223" s="637"/>
      <c r="AG223" s="637"/>
      <c r="AH223" s="637"/>
      <c r="AI223" s="637"/>
      <c r="AJ223" s="637"/>
      <c r="AK223" s="637"/>
      <c r="AL223" s="637"/>
      <c r="AM223" s="637"/>
      <c r="AN223" s="637"/>
      <c r="AO223" s="637"/>
      <c r="AP223" s="637"/>
      <c r="AQ223" s="637"/>
      <c r="AR223" s="637"/>
      <c r="AS223" s="637"/>
      <c r="AT223" s="637"/>
      <c r="AU223" s="637"/>
      <c r="AV223" s="637"/>
      <c r="AW223" s="637"/>
      <c r="AX223" s="637"/>
      <c r="AY223" s="637"/>
      <c r="AZ223" s="637"/>
      <c r="BA223" s="637"/>
      <c r="BB223" s="637"/>
      <c r="BC223" s="637"/>
      <c r="BD223" s="637"/>
      <c r="BE223" s="637"/>
      <c r="BF223" s="637"/>
      <c r="BG223" s="637"/>
      <c r="BH223" s="637"/>
      <c r="BI223" s="637"/>
      <c r="BJ223" s="637"/>
      <c r="BK223" s="637"/>
      <c r="BL223" s="637"/>
      <c r="BM223" s="637"/>
      <c r="BN223" s="637"/>
      <c r="BO223" s="637"/>
      <c r="BP223" s="637"/>
      <c r="BQ223" s="637"/>
      <c r="BR223" s="637"/>
      <c r="BS223" s="637"/>
      <c r="BT223" s="637"/>
      <c r="BU223" s="637"/>
      <c r="BV223" s="637"/>
      <c r="BW223" s="637"/>
      <c r="BX223" s="637"/>
      <c r="BY223" s="637"/>
      <c r="BZ223" s="637"/>
      <c r="CA223" s="637"/>
      <c r="CB223" s="637"/>
      <c r="CC223" s="637"/>
      <c r="CD223" s="637"/>
      <c r="CE223" s="637"/>
      <c r="CF223" s="637"/>
      <c r="CG223" s="637"/>
      <c r="CH223" s="637"/>
      <c r="CI223" s="637"/>
      <c r="CJ223" s="637"/>
      <c r="CK223" s="637"/>
      <c r="CL223" s="637"/>
      <c r="CM223" s="637"/>
    </row>
    <row r="224" ht="15.75" customHeight="1">
      <c r="A224" s="637"/>
      <c r="B224" s="637"/>
      <c r="C224" s="637"/>
      <c r="D224" s="637"/>
      <c r="E224" s="637"/>
      <c r="F224" s="637"/>
      <c r="G224" s="637"/>
      <c r="H224" s="637"/>
      <c r="I224" s="637"/>
      <c r="J224" s="637"/>
      <c r="K224" s="637"/>
      <c r="L224" s="637"/>
      <c r="M224" s="637"/>
      <c r="N224" s="637"/>
      <c r="O224" s="637"/>
      <c r="P224" s="637"/>
      <c r="Q224" s="637"/>
      <c r="R224" s="637"/>
      <c r="S224" s="637"/>
      <c r="T224" s="637"/>
      <c r="U224" s="637"/>
      <c r="V224" s="637"/>
      <c r="W224" s="637"/>
      <c r="X224" s="637"/>
      <c r="Y224" s="637"/>
      <c r="Z224" s="637"/>
      <c r="AA224" s="637"/>
      <c r="AB224" s="637"/>
      <c r="AC224" s="637"/>
      <c r="AD224" s="637"/>
      <c r="AE224" s="637"/>
      <c r="AF224" s="637"/>
      <c r="AG224" s="637"/>
      <c r="AH224" s="637"/>
      <c r="AI224" s="637"/>
      <c r="AJ224" s="637"/>
      <c r="AK224" s="637"/>
      <c r="AL224" s="637"/>
      <c r="AM224" s="637"/>
      <c r="AN224" s="637"/>
      <c r="AO224" s="637"/>
      <c r="AP224" s="637"/>
      <c r="AQ224" s="637"/>
      <c r="AR224" s="637"/>
      <c r="AS224" s="637"/>
      <c r="AT224" s="637"/>
      <c r="AU224" s="637"/>
      <c r="AV224" s="637"/>
      <c r="AW224" s="637"/>
      <c r="AX224" s="637"/>
      <c r="AY224" s="637"/>
      <c r="AZ224" s="637"/>
      <c r="BA224" s="637"/>
      <c r="BB224" s="637"/>
      <c r="BC224" s="637"/>
      <c r="BD224" s="637"/>
      <c r="BE224" s="637"/>
      <c r="BF224" s="637"/>
      <c r="BG224" s="637"/>
      <c r="BH224" s="637"/>
      <c r="BI224" s="637"/>
      <c r="BJ224" s="637"/>
      <c r="BK224" s="637"/>
      <c r="BL224" s="637"/>
      <c r="BM224" s="637"/>
      <c r="BN224" s="637"/>
      <c r="BO224" s="637"/>
      <c r="BP224" s="637"/>
      <c r="BQ224" s="637"/>
      <c r="BR224" s="637"/>
      <c r="BS224" s="637"/>
      <c r="BT224" s="637"/>
      <c r="BU224" s="637"/>
      <c r="BV224" s="637"/>
      <c r="BW224" s="637"/>
      <c r="BX224" s="637"/>
      <c r="BY224" s="637"/>
      <c r="BZ224" s="637"/>
      <c r="CA224" s="637"/>
      <c r="CB224" s="637"/>
      <c r="CC224" s="637"/>
      <c r="CD224" s="637"/>
      <c r="CE224" s="637"/>
      <c r="CF224" s="637"/>
      <c r="CG224" s="637"/>
      <c r="CH224" s="637"/>
      <c r="CI224" s="637"/>
      <c r="CJ224" s="637"/>
      <c r="CK224" s="637"/>
      <c r="CL224" s="637"/>
      <c r="CM224" s="637"/>
    </row>
    <row r="225" ht="15.75" customHeight="1">
      <c r="A225" s="637"/>
      <c r="B225" s="637"/>
      <c r="C225" s="637"/>
      <c r="D225" s="637"/>
      <c r="E225" s="637"/>
      <c r="F225" s="637"/>
      <c r="G225" s="637"/>
      <c r="H225" s="637"/>
      <c r="I225" s="637"/>
      <c r="J225" s="637"/>
      <c r="K225" s="637"/>
      <c r="L225" s="637"/>
      <c r="M225" s="637"/>
      <c r="N225" s="637"/>
      <c r="O225" s="637"/>
      <c r="P225" s="637"/>
      <c r="Q225" s="637"/>
      <c r="R225" s="637"/>
      <c r="S225" s="637"/>
      <c r="T225" s="637"/>
      <c r="U225" s="637"/>
      <c r="V225" s="637"/>
      <c r="W225" s="637"/>
      <c r="X225" s="637"/>
      <c r="Y225" s="637"/>
      <c r="Z225" s="637"/>
      <c r="AA225" s="637"/>
      <c r="AB225" s="637"/>
      <c r="AC225" s="637"/>
      <c r="AD225" s="637"/>
      <c r="AE225" s="637"/>
      <c r="AF225" s="637"/>
      <c r="AG225" s="637"/>
      <c r="AH225" s="637"/>
      <c r="AI225" s="637"/>
      <c r="AJ225" s="637"/>
      <c r="AK225" s="637"/>
      <c r="AL225" s="637"/>
      <c r="AM225" s="637"/>
      <c r="AN225" s="637"/>
      <c r="AO225" s="637"/>
      <c r="AP225" s="637"/>
      <c r="AQ225" s="637"/>
      <c r="AR225" s="637"/>
      <c r="AS225" s="637"/>
      <c r="AT225" s="637"/>
      <c r="AU225" s="637"/>
      <c r="AV225" s="637"/>
      <c r="AW225" s="637"/>
      <c r="AX225" s="637"/>
      <c r="AY225" s="637"/>
      <c r="AZ225" s="637"/>
      <c r="BA225" s="637"/>
      <c r="BB225" s="637"/>
      <c r="BC225" s="637"/>
      <c r="BD225" s="637"/>
      <c r="BE225" s="637"/>
      <c r="BF225" s="637"/>
      <c r="BG225" s="637"/>
      <c r="BH225" s="637"/>
      <c r="BI225" s="637"/>
      <c r="BJ225" s="637"/>
      <c r="BK225" s="637"/>
      <c r="BL225" s="637"/>
      <c r="BM225" s="637"/>
      <c r="BN225" s="637"/>
      <c r="BO225" s="637"/>
      <c r="BP225" s="637"/>
      <c r="BQ225" s="637"/>
      <c r="BR225" s="637"/>
      <c r="BS225" s="637"/>
      <c r="BT225" s="637"/>
      <c r="BU225" s="637"/>
      <c r="BV225" s="637"/>
      <c r="BW225" s="637"/>
      <c r="BX225" s="637"/>
      <c r="BY225" s="637"/>
      <c r="BZ225" s="637"/>
      <c r="CA225" s="637"/>
      <c r="CB225" s="637"/>
      <c r="CC225" s="637"/>
      <c r="CD225" s="637"/>
      <c r="CE225" s="637"/>
      <c r="CF225" s="637"/>
      <c r="CG225" s="637"/>
      <c r="CH225" s="637"/>
      <c r="CI225" s="637"/>
      <c r="CJ225" s="637"/>
      <c r="CK225" s="637"/>
      <c r="CL225" s="637"/>
      <c r="CM225" s="637"/>
    </row>
    <row r="226" ht="15.75" customHeight="1">
      <c r="A226" s="637"/>
      <c r="B226" s="637"/>
      <c r="C226" s="637"/>
      <c r="D226" s="637"/>
      <c r="E226" s="637"/>
      <c r="F226" s="637"/>
      <c r="G226" s="637"/>
      <c r="H226" s="637"/>
      <c r="I226" s="637"/>
      <c r="J226" s="637"/>
      <c r="K226" s="637"/>
      <c r="L226" s="637"/>
      <c r="M226" s="637"/>
      <c r="N226" s="637"/>
      <c r="O226" s="637"/>
      <c r="P226" s="637"/>
      <c r="Q226" s="637"/>
      <c r="R226" s="637"/>
      <c r="S226" s="637"/>
      <c r="T226" s="637"/>
      <c r="U226" s="637"/>
      <c r="V226" s="637"/>
      <c r="W226" s="637"/>
      <c r="X226" s="637"/>
      <c r="Y226" s="637"/>
      <c r="Z226" s="637"/>
      <c r="AA226" s="637"/>
      <c r="AB226" s="637"/>
      <c r="AC226" s="637"/>
      <c r="AD226" s="637"/>
      <c r="AE226" s="637"/>
      <c r="AF226" s="637"/>
      <c r="AG226" s="637"/>
      <c r="AH226" s="637"/>
      <c r="AI226" s="637"/>
      <c r="AJ226" s="637"/>
      <c r="AK226" s="637"/>
      <c r="AL226" s="637"/>
      <c r="AM226" s="637"/>
      <c r="AN226" s="637"/>
      <c r="AO226" s="637"/>
      <c r="AP226" s="637"/>
      <c r="AQ226" s="637"/>
      <c r="AR226" s="637"/>
      <c r="AS226" s="637"/>
      <c r="AT226" s="637"/>
      <c r="AU226" s="637"/>
      <c r="AV226" s="637"/>
      <c r="AW226" s="637"/>
      <c r="AX226" s="637"/>
      <c r="AY226" s="637"/>
      <c r="AZ226" s="637"/>
      <c r="BA226" s="637"/>
      <c r="BB226" s="637"/>
      <c r="BC226" s="637"/>
      <c r="BD226" s="637"/>
      <c r="BE226" s="637"/>
      <c r="BF226" s="637"/>
      <c r="BG226" s="637"/>
      <c r="BH226" s="637"/>
      <c r="BI226" s="637"/>
      <c r="BJ226" s="637"/>
      <c r="BK226" s="637"/>
      <c r="BL226" s="637"/>
      <c r="BM226" s="637"/>
      <c r="BN226" s="637"/>
      <c r="BO226" s="637"/>
      <c r="BP226" s="637"/>
      <c r="BQ226" s="637"/>
      <c r="BR226" s="637"/>
      <c r="BS226" s="637"/>
      <c r="BT226" s="637"/>
      <c r="BU226" s="637"/>
      <c r="BV226" s="637"/>
      <c r="BW226" s="637"/>
      <c r="BX226" s="637"/>
      <c r="BY226" s="637"/>
      <c r="BZ226" s="637"/>
      <c r="CA226" s="637"/>
      <c r="CB226" s="637"/>
      <c r="CC226" s="637"/>
      <c r="CD226" s="637"/>
      <c r="CE226" s="637"/>
      <c r="CF226" s="637"/>
      <c r="CG226" s="637"/>
      <c r="CH226" s="637"/>
      <c r="CI226" s="637"/>
      <c r="CJ226" s="637"/>
      <c r="CK226" s="637"/>
      <c r="CL226" s="637"/>
      <c r="CM226" s="637"/>
    </row>
    <row r="227" ht="15.75" customHeight="1">
      <c r="A227" s="637"/>
      <c r="B227" s="637"/>
      <c r="C227" s="637"/>
      <c r="D227" s="637"/>
      <c r="E227" s="637"/>
      <c r="F227" s="637"/>
      <c r="G227" s="637"/>
      <c r="H227" s="637"/>
      <c r="I227" s="637"/>
      <c r="J227" s="637"/>
      <c r="K227" s="637"/>
      <c r="L227" s="637"/>
      <c r="M227" s="637"/>
      <c r="N227" s="637"/>
      <c r="O227" s="637"/>
      <c r="P227" s="637"/>
      <c r="Q227" s="637"/>
      <c r="R227" s="637"/>
      <c r="S227" s="637"/>
      <c r="T227" s="637"/>
      <c r="U227" s="637"/>
      <c r="V227" s="637"/>
      <c r="W227" s="637"/>
      <c r="X227" s="637"/>
      <c r="Y227" s="637"/>
      <c r="Z227" s="637"/>
      <c r="AA227" s="637"/>
      <c r="AB227" s="637"/>
      <c r="AC227" s="637"/>
      <c r="AD227" s="637"/>
      <c r="AE227" s="637"/>
      <c r="AF227" s="637"/>
      <c r="AG227" s="637"/>
      <c r="AH227" s="637"/>
      <c r="AI227" s="637"/>
      <c r="AJ227" s="637"/>
      <c r="AK227" s="637"/>
      <c r="AL227" s="637"/>
      <c r="AM227" s="637"/>
      <c r="AN227" s="637"/>
      <c r="AO227" s="637"/>
      <c r="AP227" s="637"/>
      <c r="AQ227" s="637"/>
      <c r="AR227" s="637"/>
      <c r="AS227" s="637"/>
      <c r="AT227" s="637"/>
      <c r="AU227" s="637"/>
      <c r="AV227" s="637"/>
      <c r="AW227" s="637"/>
      <c r="AX227" s="637"/>
      <c r="AY227" s="637"/>
      <c r="AZ227" s="637"/>
      <c r="BA227" s="637"/>
      <c r="BB227" s="637"/>
      <c r="BC227" s="637"/>
      <c r="BD227" s="637"/>
      <c r="BE227" s="637"/>
      <c r="BF227" s="637"/>
      <c r="BG227" s="637"/>
      <c r="BH227" s="637"/>
      <c r="BI227" s="637"/>
      <c r="BJ227" s="637"/>
      <c r="BK227" s="637"/>
      <c r="BL227" s="637"/>
      <c r="BM227" s="637"/>
      <c r="BN227" s="637"/>
      <c r="BO227" s="637"/>
      <c r="BP227" s="637"/>
      <c r="BQ227" s="637"/>
      <c r="BR227" s="637"/>
      <c r="BS227" s="637"/>
      <c r="BT227" s="637"/>
      <c r="BU227" s="637"/>
      <c r="BV227" s="637"/>
      <c r="BW227" s="637"/>
      <c r="BX227" s="637"/>
      <c r="BY227" s="637"/>
      <c r="BZ227" s="637"/>
      <c r="CA227" s="637"/>
      <c r="CB227" s="637"/>
      <c r="CC227" s="637"/>
      <c r="CD227" s="637"/>
      <c r="CE227" s="637"/>
      <c r="CF227" s="637"/>
      <c r="CG227" s="637"/>
      <c r="CH227" s="637"/>
      <c r="CI227" s="637"/>
      <c r="CJ227" s="637"/>
      <c r="CK227" s="637"/>
      <c r="CL227" s="637"/>
      <c r="CM227" s="637"/>
    </row>
    <row r="228" ht="15.75" customHeight="1">
      <c r="A228" s="637"/>
      <c r="B228" s="637"/>
      <c r="C228" s="637"/>
      <c r="D228" s="637"/>
      <c r="E228" s="637"/>
      <c r="F228" s="637"/>
      <c r="G228" s="637"/>
      <c r="H228" s="637"/>
      <c r="I228" s="637"/>
      <c r="J228" s="637"/>
      <c r="K228" s="637"/>
      <c r="L228" s="637"/>
      <c r="M228" s="637"/>
      <c r="N228" s="637"/>
      <c r="O228" s="637"/>
      <c r="P228" s="637"/>
      <c r="Q228" s="637"/>
      <c r="R228" s="637"/>
      <c r="S228" s="637"/>
      <c r="T228" s="637"/>
      <c r="U228" s="637"/>
      <c r="V228" s="637"/>
      <c r="W228" s="637"/>
      <c r="X228" s="637"/>
      <c r="Y228" s="637"/>
      <c r="Z228" s="637"/>
      <c r="AA228" s="637"/>
      <c r="AB228" s="637"/>
      <c r="AC228" s="637"/>
      <c r="AD228" s="637"/>
      <c r="AE228" s="637"/>
      <c r="AF228" s="637"/>
      <c r="AG228" s="637"/>
      <c r="AH228" s="637"/>
      <c r="AI228" s="637"/>
      <c r="AJ228" s="637"/>
      <c r="AK228" s="637"/>
      <c r="AL228" s="637"/>
      <c r="AM228" s="637"/>
      <c r="AN228" s="637"/>
      <c r="AO228" s="637"/>
      <c r="AP228" s="637"/>
      <c r="AQ228" s="637"/>
      <c r="AR228" s="637"/>
      <c r="AS228" s="637"/>
      <c r="AT228" s="637"/>
      <c r="AU228" s="637"/>
      <c r="AV228" s="637"/>
      <c r="AW228" s="637"/>
      <c r="AX228" s="637"/>
      <c r="AY228" s="637"/>
      <c r="AZ228" s="637"/>
      <c r="BA228" s="637"/>
      <c r="BB228" s="637"/>
      <c r="BC228" s="637"/>
      <c r="BD228" s="637"/>
      <c r="BE228" s="637"/>
      <c r="BF228" s="637"/>
      <c r="BG228" s="637"/>
      <c r="BH228" s="637"/>
      <c r="BI228" s="637"/>
      <c r="BJ228" s="637"/>
      <c r="BK228" s="637"/>
      <c r="BL228" s="637"/>
      <c r="BM228" s="637"/>
      <c r="BN228" s="637"/>
      <c r="BO228" s="637"/>
      <c r="BP228" s="637"/>
      <c r="BQ228" s="637"/>
      <c r="BR228" s="637"/>
      <c r="BS228" s="637"/>
      <c r="BT228" s="637"/>
      <c r="BU228" s="637"/>
      <c r="BV228" s="637"/>
      <c r="BW228" s="637"/>
      <c r="BX228" s="637"/>
      <c r="BY228" s="637"/>
      <c r="BZ228" s="637"/>
      <c r="CA228" s="637"/>
      <c r="CB228" s="637"/>
      <c r="CC228" s="637"/>
      <c r="CD228" s="637"/>
      <c r="CE228" s="637"/>
      <c r="CF228" s="637"/>
      <c r="CG228" s="637"/>
      <c r="CH228" s="637"/>
      <c r="CI228" s="637"/>
      <c r="CJ228" s="637"/>
      <c r="CK228" s="637"/>
      <c r="CL228" s="637"/>
      <c r="CM228" s="637"/>
    </row>
    <row r="229" ht="15.75" customHeight="1">
      <c r="A229" s="637"/>
      <c r="B229" s="637"/>
      <c r="C229" s="637"/>
      <c r="D229" s="637"/>
      <c r="E229" s="637"/>
      <c r="F229" s="637"/>
      <c r="G229" s="637"/>
      <c r="H229" s="637"/>
      <c r="I229" s="637"/>
      <c r="J229" s="637"/>
      <c r="K229" s="637"/>
      <c r="L229" s="637"/>
      <c r="M229" s="637"/>
      <c r="N229" s="637"/>
      <c r="O229" s="637"/>
      <c r="P229" s="637"/>
      <c r="Q229" s="637"/>
      <c r="R229" s="637"/>
      <c r="S229" s="637"/>
      <c r="T229" s="637"/>
      <c r="U229" s="637"/>
      <c r="V229" s="637"/>
      <c r="W229" s="637"/>
      <c r="X229" s="637"/>
      <c r="Y229" s="637"/>
      <c r="Z229" s="637"/>
      <c r="AA229" s="637"/>
      <c r="AB229" s="637"/>
      <c r="AC229" s="637"/>
      <c r="AD229" s="637"/>
      <c r="AE229" s="637"/>
      <c r="AF229" s="637"/>
      <c r="AG229" s="637"/>
      <c r="AH229" s="637"/>
      <c r="AI229" s="637"/>
      <c r="AJ229" s="637"/>
      <c r="AK229" s="637"/>
      <c r="AL229" s="637"/>
      <c r="AM229" s="637"/>
      <c r="AN229" s="637"/>
      <c r="AO229" s="637"/>
      <c r="AP229" s="637"/>
      <c r="AQ229" s="637"/>
      <c r="AR229" s="637"/>
      <c r="AS229" s="637"/>
      <c r="AT229" s="637"/>
      <c r="AU229" s="637"/>
      <c r="AV229" s="637"/>
      <c r="AW229" s="637"/>
      <c r="AX229" s="637"/>
      <c r="AY229" s="637"/>
      <c r="AZ229" s="637"/>
      <c r="BA229" s="637"/>
      <c r="BB229" s="637"/>
      <c r="BC229" s="637"/>
      <c r="BD229" s="637"/>
      <c r="BE229" s="637"/>
      <c r="BF229" s="637"/>
      <c r="BG229" s="637"/>
      <c r="BH229" s="637"/>
      <c r="BI229" s="637"/>
      <c r="BJ229" s="637"/>
      <c r="BK229" s="637"/>
      <c r="BL229" s="637"/>
      <c r="BM229" s="637"/>
      <c r="BN229" s="637"/>
      <c r="BO229" s="637"/>
      <c r="BP229" s="637"/>
      <c r="BQ229" s="637"/>
      <c r="BR229" s="637"/>
      <c r="BS229" s="637"/>
      <c r="BT229" s="637"/>
      <c r="BU229" s="637"/>
      <c r="BV229" s="637"/>
      <c r="BW229" s="637"/>
      <c r="BX229" s="637"/>
      <c r="BY229" s="637"/>
      <c r="BZ229" s="637"/>
      <c r="CA229" s="637"/>
      <c r="CB229" s="637"/>
      <c r="CC229" s="637"/>
      <c r="CD229" s="637"/>
      <c r="CE229" s="637"/>
      <c r="CF229" s="637"/>
      <c r="CG229" s="637"/>
      <c r="CH229" s="637"/>
      <c r="CI229" s="637"/>
      <c r="CJ229" s="637"/>
      <c r="CK229" s="637"/>
      <c r="CL229" s="637"/>
      <c r="CM229" s="637"/>
    </row>
    <row r="230" ht="15.75" customHeight="1">
      <c r="A230" s="637"/>
      <c r="B230" s="637"/>
      <c r="C230" s="637"/>
      <c r="D230" s="637"/>
      <c r="E230" s="637"/>
      <c r="F230" s="637"/>
      <c r="G230" s="637"/>
      <c r="H230" s="637"/>
      <c r="I230" s="637"/>
      <c r="J230" s="637"/>
      <c r="K230" s="637"/>
      <c r="L230" s="637"/>
      <c r="M230" s="637"/>
      <c r="N230" s="637"/>
      <c r="O230" s="637"/>
      <c r="P230" s="637"/>
      <c r="Q230" s="637"/>
      <c r="R230" s="637"/>
      <c r="S230" s="637"/>
      <c r="T230" s="637"/>
      <c r="U230" s="637"/>
      <c r="V230" s="637"/>
      <c r="W230" s="637"/>
      <c r="X230" s="637"/>
      <c r="Y230" s="637"/>
      <c r="Z230" s="637"/>
      <c r="AA230" s="637"/>
      <c r="AB230" s="637"/>
      <c r="AC230" s="637"/>
      <c r="AD230" s="637"/>
      <c r="AE230" s="637"/>
      <c r="AF230" s="637"/>
      <c r="AG230" s="637"/>
      <c r="AH230" s="637"/>
      <c r="AI230" s="637"/>
      <c r="AJ230" s="637"/>
      <c r="AK230" s="637"/>
      <c r="AL230" s="637"/>
      <c r="AM230" s="637"/>
      <c r="AN230" s="637"/>
      <c r="AO230" s="637"/>
      <c r="AP230" s="637"/>
      <c r="AQ230" s="637"/>
      <c r="AR230" s="637"/>
      <c r="AS230" s="637"/>
      <c r="AT230" s="637"/>
      <c r="AU230" s="637"/>
      <c r="AV230" s="637"/>
      <c r="AW230" s="637"/>
      <c r="AX230" s="637"/>
      <c r="AY230" s="637"/>
      <c r="AZ230" s="637"/>
      <c r="BA230" s="637"/>
      <c r="BB230" s="637"/>
      <c r="BC230" s="637"/>
      <c r="BD230" s="637"/>
      <c r="BE230" s="637"/>
      <c r="BF230" s="637"/>
      <c r="BG230" s="637"/>
      <c r="BH230" s="637"/>
      <c r="BI230" s="637"/>
      <c r="BJ230" s="637"/>
      <c r="BK230" s="637"/>
      <c r="BL230" s="637"/>
      <c r="BM230" s="637"/>
      <c r="BN230" s="637"/>
      <c r="BO230" s="637"/>
      <c r="BP230" s="637"/>
      <c r="BQ230" s="637"/>
      <c r="BR230" s="637"/>
      <c r="BS230" s="637"/>
      <c r="BT230" s="637"/>
      <c r="BU230" s="637"/>
      <c r="BV230" s="637"/>
      <c r="BW230" s="637"/>
      <c r="BX230" s="637"/>
      <c r="BY230" s="637"/>
      <c r="BZ230" s="637"/>
      <c r="CA230" s="637"/>
      <c r="CB230" s="637"/>
      <c r="CC230" s="637"/>
      <c r="CD230" s="637"/>
      <c r="CE230" s="637"/>
      <c r="CF230" s="637"/>
      <c r="CG230" s="637"/>
      <c r="CH230" s="637"/>
      <c r="CI230" s="637"/>
      <c r="CJ230" s="637"/>
      <c r="CK230" s="637"/>
      <c r="CL230" s="637"/>
      <c r="CM230" s="637"/>
    </row>
    <row r="231" ht="15.75" customHeight="1">
      <c r="A231" s="637"/>
      <c r="B231" s="637"/>
      <c r="C231" s="637"/>
      <c r="D231" s="637"/>
      <c r="E231" s="637"/>
      <c r="F231" s="637"/>
      <c r="G231" s="637"/>
      <c r="H231" s="637"/>
      <c r="I231" s="637"/>
      <c r="J231" s="637"/>
      <c r="K231" s="637"/>
      <c r="L231" s="637"/>
      <c r="M231" s="637"/>
      <c r="N231" s="637"/>
      <c r="O231" s="637"/>
      <c r="P231" s="637"/>
      <c r="Q231" s="637"/>
      <c r="R231" s="637"/>
      <c r="S231" s="637"/>
      <c r="T231" s="637"/>
      <c r="U231" s="637"/>
      <c r="V231" s="637"/>
      <c r="W231" s="637"/>
      <c r="X231" s="637"/>
      <c r="Y231" s="637"/>
      <c r="Z231" s="637"/>
      <c r="AA231" s="637"/>
      <c r="AB231" s="637"/>
      <c r="AC231" s="637"/>
      <c r="AD231" s="637"/>
      <c r="AE231" s="637"/>
      <c r="AF231" s="637"/>
      <c r="AG231" s="637"/>
      <c r="AH231" s="637"/>
      <c r="AI231" s="637"/>
      <c r="AJ231" s="637"/>
      <c r="AK231" s="637"/>
      <c r="AL231" s="637"/>
      <c r="AM231" s="637"/>
      <c r="AN231" s="637"/>
      <c r="AO231" s="637"/>
      <c r="AP231" s="637"/>
      <c r="AQ231" s="637"/>
      <c r="AR231" s="637"/>
      <c r="AS231" s="637"/>
      <c r="AT231" s="637"/>
      <c r="AU231" s="637"/>
      <c r="AV231" s="637"/>
      <c r="AW231" s="637"/>
      <c r="AX231" s="637"/>
      <c r="AY231" s="637"/>
      <c r="AZ231" s="637"/>
      <c r="BA231" s="637"/>
      <c r="BB231" s="637"/>
      <c r="BC231" s="637"/>
      <c r="BD231" s="637"/>
      <c r="BE231" s="637"/>
      <c r="BF231" s="637"/>
      <c r="BG231" s="637"/>
      <c r="BH231" s="637"/>
      <c r="BI231" s="637"/>
      <c r="BJ231" s="637"/>
      <c r="BK231" s="637"/>
      <c r="BL231" s="637"/>
      <c r="BM231" s="637"/>
      <c r="BN231" s="637"/>
      <c r="BO231" s="637"/>
      <c r="BP231" s="637"/>
      <c r="BQ231" s="637"/>
      <c r="BR231" s="637"/>
      <c r="BS231" s="637"/>
      <c r="BT231" s="637"/>
      <c r="BU231" s="637"/>
      <c r="BV231" s="637"/>
      <c r="BW231" s="637"/>
      <c r="BX231" s="637"/>
      <c r="BY231" s="637"/>
      <c r="BZ231" s="637"/>
      <c r="CA231" s="637"/>
      <c r="CB231" s="637"/>
      <c r="CC231" s="637"/>
      <c r="CD231" s="637"/>
      <c r="CE231" s="637"/>
      <c r="CF231" s="637"/>
      <c r="CG231" s="637"/>
      <c r="CH231" s="637"/>
      <c r="CI231" s="637"/>
      <c r="CJ231" s="637"/>
      <c r="CK231" s="637"/>
      <c r="CL231" s="637"/>
      <c r="CM231" s="637"/>
    </row>
    <row r="232" ht="15.75" customHeight="1">
      <c r="A232" s="637"/>
      <c r="B232" s="637"/>
      <c r="C232" s="637"/>
      <c r="D232" s="637"/>
      <c r="E232" s="637"/>
      <c r="F232" s="637"/>
      <c r="G232" s="637"/>
      <c r="H232" s="637"/>
      <c r="I232" s="637"/>
      <c r="J232" s="637"/>
      <c r="K232" s="637"/>
      <c r="L232" s="637"/>
      <c r="M232" s="637"/>
      <c r="N232" s="637"/>
      <c r="O232" s="637"/>
      <c r="P232" s="637"/>
      <c r="Q232" s="637"/>
      <c r="R232" s="637"/>
      <c r="S232" s="637"/>
      <c r="T232" s="637"/>
      <c r="U232" s="637"/>
      <c r="V232" s="637"/>
      <c r="W232" s="637"/>
      <c r="X232" s="637"/>
      <c r="Y232" s="637"/>
      <c r="Z232" s="637"/>
      <c r="AA232" s="637"/>
      <c r="AB232" s="637"/>
      <c r="AC232" s="637"/>
      <c r="AD232" s="637"/>
      <c r="AE232" s="637"/>
      <c r="AF232" s="637"/>
      <c r="AG232" s="637"/>
      <c r="AH232" s="637"/>
      <c r="AI232" s="637"/>
      <c r="AJ232" s="637"/>
      <c r="AK232" s="637"/>
      <c r="AL232" s="637"/>
      <c r="AM232" s="637"/>
      <c r="AN232" s="637"/>
      <c r="AO232" s="637"/>
      <c r="AP232" s="637"/>
      <c r="AQ232" s="637"/>
      <c r="AR232" s="637"/>
      <c r="AS232" s="637"/>
      <c r="AT232" s="637"/>
      <c r="AU232" s="637"/>
      <c r="AV232" s="637"/>
      <c r="AW232" s="637"/>
      <c r="AX232" s="637"/>
      <c r="AY232" s="637"/>
      <c r="AZ232" s="637"/>
      <c r="BA232" s="637"/>
      <c r="BB232" s="637"/>
      <c r="BC232" s="637"/>
      <c r="BD232" s="637"/>
      <c r="BE232" s="637"/>
      <c r="BF232" s="637"/>
      <c r="BG232" s="637"/>
      <c r="BH232" s="637"/>
      <c r="BI232" s="637"/>
      <c r="BJ232" s="637"/>
      <c r="BK232" s="637"/>
      <c r="BL232" s="637"/>
      <c r="BM232" s="637"/>
      <c r="BN232" s="637"/>
      <c r="BO232" s="637"/>
      <c r="BP232" s="637"/>
      <c r="BQ232" s="637"/>
      <c r="BR232" s="637"/>
      <c r="BS232" s="637"/>
      <c r="BT232" s="637"/>
      <c r="BU232" s="637"/>
      <c r="BV232" s="637"/>
      <c r="BW232" s="637"/>
      <c r="BX232" s="637"/>
      <c r="BY232" s="637"/>
      <c r="BZ232" s="637"/>
      <c r="CA232" s="637"/>
      <c r="CB232" s="637"/>
      <c r="CC232" s="637"/>
      <c r="CD232" s="637"/>
      <c r="CE232" s="637"/>
      <c r="CF232" s="637"/>
      <c r="CG232" s="637"/>
      <c r="CH232" s="637"/>
      <c r="CI232" s="637"/>
      <c r="CJ232" s="637"/>
      <c r="CK232" s="637"/>
      <c r="CL232" s="637"/>
      <c r="CM232" s="637"/>
    </row>
    <row r="233" ht="15.75" customHeight="1">
      <c r="A233" s="637"/>
      <c r="B233" s="637"/>
      <c r="C233" s="637"/>
      <c r="D233" s="637"/>
      <c r="E233" s="637"/>
      <c r="F233" s="637"/>
      <c r="G233" s="637"/>
      <c r="H233" s="637"/>
      <c r="I233" s="637"/>
      <c r="J233" s="637"/>
      <c r="K233" s="637"/>
      <c r="L233" s="637"/>
      <c r="M233" s="637"/>
      <c r="N233" s="637"/>
      <c r="O233" s="637"/>
      <c r="P233" s="637"/>
      <c r="Q233" s="637"/>
      <c r="R233" s="637"/>
      <c r="S233" s="637"/>
      <c r="T233" s="637"/>
      <c r="U233" s="637"/>
      <c r="V233" s="637"/>
      <c r="W233" s="637"/>
      <c r="X233" s="637"/>
      <c r="Y233" s="637"/>
      <c r="Z233" s="637"/>
      <c r="AA233" s="637"/>
      <c r="AB233" s="637"/>
      <c r="AC233" s="637"/>
      <c r="AD233" s="637"/>
      <c r="AE233" s="637"/>
      <c r="AF233" s="637"/>
      <c r="AG233" s="637"/>
      <c r="AH233" s="637"/>
      <c r="AI233" s="637"/>
      <c r="AJ233" s="637"/>
      <c r="AK233" s="637"/>
      <c r="AL233" s="637"/>
      <c r="AM233" s="637"/>
      <c r="AN233" s="637"/>
      <c r="AO233" s="637"/>
      <c r="AP233" s="637"/>
      <c r="AQ233" s="637"/>
      <c r="AR233" s="637"/>
      <c r="AS233" s="637"/>
      <c r="AT233" s="637"/>
      <c r="AU233" s="637"/>
      <c r="AV233" s="637"/>
      <c r="AW233" s="637"/>
      <c r="AX233" s="637"/>
      <c r="AY233" s="637"/>
      <c r="AZ233" s="637"/>
      <c r="BA233" s="637"/>
      <c r="BB233" s="637"/>
      <c r="BC233" s="637"/>
      <c r="BD233" s="637"/>
      <c r="BE233" s="637"/>
      <c r="BF233" s="637"/>
      <c r="BG233" s="637"/>
      <c r="BH233" s="637"/>
      <c r="BI233" s="637"/>
      <c r="BJ233" s="637"/>
      <c r="BK233" s="637"/>
      <c r="BL233" s="637"/>
      <c r="BM233" s="637"/>
      <c r="BN233" s="637"/>
      <c r="BO233" s="637"/>
      <c r="BP233" s="637"/>
      <c r="BQ233" s="637"/>
      <c r="BR233" s="637"/>
      <c r="BS233" s="637"/>
      <c r="BT233" s="637"/>
      <c r="BU233" s="637"/>
      <c r="BV233" s="637"/>
      <c r="BW233" s="637"/>
      <c r="BX233" s="637"/>
      <c r="BY233" s="637"/>
      <c r="BZ233" s="637"/>
      <c r="CA233" s="637"/>
      <c r="CB233" s="637"/>
      <c r="CC233" s="637"/>
      <c r="CD233" s="637"/>
      <c r="CE233" s="637"/>
      <c r="CF233" s="637"/>
      <c r="CG233" s="637"/>
      <c r="CH233" s="637"/>
      <c r="CI233" s="637"/>
      <c r="CJ233" s="637"/>
      <c r="CK233" s="637"/>
      <c r="CL233" s="637"/>
      <c r="CM233" s="637"/>
    </row>
    <row r="234" ht="15.75" customHeight="1">
      <c r="A234" s="637"/>
      <c r="B234" s="637"/>
      <c r="C234" s="637"/>
      <c r="D234" s="637"/>
      <c r="E234" s="637"/>
      <c r="F234" s="637"/>
      <c r="G234" s="637"/>
      <c r="H234" s="637"/>
      <c r="I234" s="637"/>
      <c r="J234" s="637"/>
      <c r="K234" s="637"/>
      <c r="L234" s="637"/>
      <c r="M234" s="637"/>
      <c r="N234" s="637"/>
      <c r="O234" s="637"/>
      <c r="P234" s="637"/>
      <c r="Q234" s="637"/>
      <c r="R234" s="637"/>
      <c r="S234" s="637"/>
      <c r="T234" s="637"/>
      <c r="U234" s="637"/>
      <c r="V234" s="637"/>
      <c r="W234" s="637"/>
      <c r="X234" s="637"/>
      <c r="Y234" s="637"/>
      <c r="Z234" s="637"/>
      <c r="AA234" s="637"/>
      <c r="AB234" s="637"/>
      <c r="AC234" s="637"/>
      <c r="AD234" s="637"/>
      <c r="AE234" s="637"/>
      <c r="AF234" s="637"/>
      <c r="AG234" s="637"/>
      <c r="AH234" s="637"/>
      <c r="AI234" s="637"/>
      <c r="AJ234" s="637"/>
      <c r="AK234" s="637"/>
      <c r="AL234" s="637"/>
      <c r="AM234" s="637"/>
      <c r="AN234" s="637"/>
      <c r="AO234" s="637"/>
      <c r="AP234" s="637"/>
      <c r="AQ234" s="637"/>
      <c r="AR234" s="637"/>
      <c r="AS234" s="637"/>
      <c r="AT234" s="637"/>
      <c r="AU234" s="637"/>
      <c r="AV234" s="637"/>
      <c r="AW234" s="637"/>
      <c r="AX234" s="637"/>
      <c r="AY234" s="637"/>
      <c r="AZ234" s="637"/>
      <c r="BA234" s="637"/>
      <c r="BB234" s="637"/>
      <c r="BC234" s="637"/>
      <c r="BD234" s="637"/>
      <c r="BE234" s="637"/>
      <c r="BF234" s="637"/>
      <c r="BG234" s="637"/>
      <c r="BH234" s="637"/>
      <c r="BI234" s="637"/>
      <c r="BJ234" s="637"/>
      <c r="BK234" s="637"/>
      <c r="BL234" s="637"/>
      <c r="BM234" s="637"/>
      <c r="BN234" s="637"/>
      <c r="BO234" s="637"/>
      <c r="BP234" s="637"/>
      <c r="BQ234" s="637"/>
      <c r="BR234" s="637"/>
      <c r="BS234" s="637"/>
      <c r="BT234" s="637"/>
      <c r="BU234" s="637"/>
      <c r="BV234" s="637"/>
      <c r="BW234" s="637"/>
      <c r="BX234" s="637"/>
      <c r="BY234" s="637"/>
      <c r="BZ234" s="637"/>
      <c r="CA234" s="637"/>
      <c r="CB234" s="637"/>
      <c r="CC234" s="637"/>
      <c r="CD234" s="637"/>
      <c r="CE234" s="637"/>
      <c r="CF234" s="637"/>
      <c r="CG234" s="637"/>
      <c r="CH234" s="637"/>
      <c r="CI234" s="637"/>
      <c r="CJ234" s="637"/>
      <c r="CK234" s="637"/>
      <c r="CL234" s="637"/>
      <c r="CM234" s="637"/>
    </row>
    <row r="235" ht="15.75" customHeight="1">
      <c r="A235" s="637"/>
      <c r="B235" s="637"/>
      <c r="C235" s="637"/>
      <c r="D235" s="637"/>
      <c r="E235" s="637"/>
      <c r="F235" s="637"/>
      <c r="G235" s="637"/>
      <c r="H235" s="637"/>
      <c r="I235" s="637"/>
      <c r="J235" s="637"/>
      <c r="K235" s="637"/>
      <c r="L235" s="637"/>
      <c r="M235" s="637"/>
      <c r="N235" s="637"/>
      <c r="O235" s="637"/>
      <c r="P235" s="637"/>
      <c r="Q235" s="637"/>
      <c r="R235" s="637"/>
      <c r="S235" s="637"/>
      <c r="T235" s="637"/>
      <c r="U235" s="637"/>
      <c r="V235" s="637"/>
      <c r="W235" s="637"/>
      <c r="X235" s="637"/>
      <c r="Y235" s="637"/>
      <c r="Z235" s="637"/>
      <c r="AA235" s="637"/>
      <c r="AB235" s="637"/>
      <c r="AC235" s="637"/>
      <c r="AD235" s="637"/>
      <c r="AE235" s="637"/>
      <c r="AF235" s="637"/>
      <c r="AG235" s="637"/>
      <c r="AH235" s="637"/>
      <c r="AI235" s="637"/>
      <c r="AJ235" s="637"/>
      <c r="AK235" s="637"/>
      <c r="AL235" s="637"/>
      <c r="AM235" s="637"/>
      <c r="AN235" s="637"/>
      <c r="AO235" s="637"/>
      <c r="AP235" s="637"/>
      <c r="AQ235" s="637"/>
      <c r="AR235" s="637"/>
      <c r="AS235" s="637"/>
      <c r="AT235" s="637"/>
      <c r="AU235" s="637"/>
      <c r="AV235" s="637"/>
      <c r="AW235" s="637"/>
      <c r="AX235" s="637"/>
      <c r="AY235" s="637"/>
      <c r="AZ235" s="637"/>
      <c r="BA235" s="637"/>
      <c r="BB235" s="637"/>
      <c r="BC235" s="637"/>
      <c r="BD235" s="637"/>
      <c r="BE235" s="637"/>
      <c r="BF235" s="637"/>
      <c r="BG235" s="637"/>
      <c r="BH235" s="637"/>
      <c r="BI235" s="637"/>
      <c r="BJ235" s="637"/>
      <c r="BK235" s="637"/>
      <c r="BL235" s="637"/>
      <c r="BM235" s="637"/>
      <c r="BN235" s="637"/>
      <c r="BO235" s="637"/>
      <c r="BP235" s="637"/>
      <c r="BQ235" s="637"/>
      <c r="BR235" s="637"/>
      <c r="BS235" s="637"/>
      <c r="BT235" s="637"/>
      <c r="BU235" s="637"/>
      <c r="BV235" s="637"/>
      <c r="BW235" s="637"/>
      <c r="BX235" s="637"/>
      <c r="BY235" s="637"/>
      <c r="BZ235" s="637"/>
      <c r="CA235" s="637"/>
      <c r="CB235" s="637"/>
      <c r="CC235" s="637"/>
      <c r="CD235" s="637"/>
      <c r="CE235" s="637"/>
      <c r="CF235" s="637"/>
      <c r="CG235" s="637"/>
      <c r="CH235" s="637"/>
      <c r="CI235" s="637"/>
      <c r="CJ235" s="637"/>
      <c r="CK235" s="637"/>
      <c r="CL235" s="637"/>
      <c r="CM235" s="637"/>
    </row>
    <row r="236" ht="15.75" customHeight="1">
      <c r="A236" s="637"/>
      <c r="B236" s="637"/>
      <c r="C236" s="637"/>
      <c r="D236" s="637"/>
      <c r="E236" s="637"/>
      <c r="F236" s="637"/>
      <c r="G236" s="637"/>
      <c r="H236" s="637"/>
      <c r="I236" s="637"/>
      <c r="J236" s="637"/>
      <c r="K236" s="637"/>
      <c r="L236" s="637"/>
      <c r="M236" s="637"/>
      <c r="N236" s="637"/>
      <c r="O236" s="637"/>
      <c r="P236" s="637"/>
      <c r="Q236" s="637"/>
      <c r="R236" s="637"/>
      <c r="S236" s="637"/>
      <c r="T236" s="637"/>
      <c r="U236" s="637"/>
      <c r="V236" s="637"/>
      <c r="W236" s="637"/>
      <c r="X236" s="637"/>
      <c r="Y236" s="637"/>
      <c r="Z236" s="637"/>
      <c r="AA236" s="637"/>
      <c r="AB236" s="637"/>
      <c r="AC236" s="637"/>
      <c r="AD236" s="637"/>
      <c r="AE236" s="637"/>
      <c r="AF236" s="637"/>
      <c r="AG236" s="637"/>
      <c r="AH236" s="637"/>
      <c r="AI236" s="637"/>
      <c r="AJ236" s="637"/>
      <c r="AK236" s="637"/>
      <c r="AL236" s="637"/>
      <c r="AM236" s="637"/>
      <c r="AN236" s="637"/>
      <c r="AO236" s="637"/>
      <c r="AP236" s="637"/>
      <c r="AQ236" s="637"/>
      <c r="AR236" s="637"/>
      <c r="AS236" s="637"/>
      <c r="AT236" s="637"/>
      <c r="AU236" s="637"/>
      <c r="AV236" s="637"/>
      <c r="AW236" s="637"/>
      <c r="AX236" s="637"/>
      <c r="AY236" s="637"/>
      <c r="AZ236" s="637"/>
      <c r="BA236" s="637"/>
      <c r="BB236" s="637"/>
      <c r="BC236" s="637"/>
      <c r="BD236" s="637"/>
      <c r="BE236" s="637"/>
      <c r="BF236" s="637"/>
      <c r="BG236" s="637"/>
      <c r="BH236" s="637"/>
      <c r="BI236" s="637"/>
      <c r="BJ236" s="637"/>
      <c r="BK236" s="637"/>
      <c r="BL236" s="637"/>
      <c r="BM236" s="637"/>
      <c r="BN236" s="637"/>
      <c r="BO236" s="637"/>
      <c r="BP236" s="637"/>
      <c r="BQ236" s="637"/>
      <c r="BR236" s="637"/>
      <c r="BS236" s="637"/>
      <c r="BT236" s="637"/>
      <c r="BU236" s="637"/>
      <c r="BV236" s="637"/>
      <c r="BW236" s="637"/>
      <c r="BX236" s="637"/>
      <c r="BY236" s="637"/>
      <c r="BZ236" s="637"/>
      <c r="CA236" s="637"/>
      <c r="CB236" s="637"/>
      <c r="CC236" s="637"/>
      <c r="CD236" s="637"/>
      <c r="CE236" s="637"/>
      <c r="CF236" s="637"/>
      <c r="CG236" s="637"/>
      <c r="CH236" s="637"/>
      <c r="CI236" s="637"/>
      <c r="CJ236" s="637"/>
      <c r="CK236" s="637"/>
      <c r="CL236" s="637"/>
      <c r="CM236" s="637"/>
    </row>
    <row r="237" ht="15.75" customHeight="1">
      <c r="A237" s="637"/>
      <c r="B237" s="637"/>
      <c r="C237" s="637"/>
      <c r="D237" s="637"/>
      <c r="E237" s="637"/>
      <c r="F237" s="637"/>
      <c r="G237" s="637"/>
      <c r="H237" s="637"/>
      <c r="I237" s="637"/>
      <c r="J237" s="637"/>
      <c r="K237" s="637"/>
      <c r="L237" s="637"/>
      <c r="M237" s="637"/>
      <c r="N237" s="637"/>
      <c r="O237" s="637"/>
      <c r="P237" s="637"/>
      <c r="Q237" s="637"/>
      <c r="R237" s="637"/>
      <c r="S237" s="637"/>
      <c r="T237" s="637"/>
      <c r="U237" s="637"/>
      <c r="V237" s="637"/>
      <c r="W237" s="637"/>
      <c r="X237" s="637"/>
      <c r="Y237" s="637"/>
      <c r="Z237" s="637"/>
      <c r="AA237" s="637"/>
      <c r="AB237" s="637"/>
      <c r="AC237" s="637"/>
      <c r="AD237" s="637"/>
      <c r="AE237" s="637"/>
      <c r="AF237" s="637"/>
      <c r="AG237" s="637"/>
      <c r="AH237" s="637"/>
      <c r="AI237" s="637"/>
      <c r="AJ237" s="637"/>
      <c r="AK237" s="637"/>
      <c r="AL237" s="637"/>
      <c r="AM237" s="637"/>
      <c r="AN237" s="637"/>
      <c r="AO237" s="637"/>
      <c r="AP237" s="637"/>
      <c r="AQ237" s="637"/>
      <c r="AR237" s="637"/>
      <c r="AS237" s="637"/>
      <c r="AT237" s="637"/>
      <c r="AU237" s="637"/>
      <c r="AV237" s="637"/>
      <c r="AW237" s="637"/>
      <c r="AX237" s="637"/>
      <c r="AY237" s="637"/>
      <c r="AZ237" s="637"/>
      <c r="BA237" s="637"/>
      <c r="BB237" s="637"/>
      <c r="BC237" s="637"/>
      <c r="BD237" s="637"/>
      <c r="BE237" s="637"/>
      <c r="BF237" s="637"/>
      <c r="BG237" s="637"/>
      <c r="BH237" s="637"/>
      <c r="BI237" s="637"/>
      <c r="BJ237" s="637"/>
      <c r="BK237" s="637"/>
      <c r="BL237" s="637"/>
      <c r="BM237" s="637"/>
      <c r="BN237" s="637"/>
      <c r="BO237" s="637"/>
      <c r="BP237" s="637"/>
      <c r="BQ237" s="637"/>
      <c r="BR237" s="637"/>
      <c r="BS237" s="637"/>
      <c r="BT237" s="637"/>
      <c r="BU237" s="637"/>
      <c r="BV237" s="637"/>
      <c r="BW237" s="637"/>
      <c r="BX237" s="637"/>
      <c r="BY237" s="637"/>
      <c r="BZ237" s="637"/>
      <c r="CA237" s="637"/>
      <c r="CB237" s="637"/>
      <c r="CC237" s="637"/>
      <c r="CD237" s="637"/>
      <c r="CE237" s="637"/>
      <c r="CF237" s="637"/>
      <c r="CG237" s="637"/>
      <c r="CH237" s="637"/>
      <c r="CI237" s="637"/>
      <c r="CJ237" s="637"/>
      <c r="CK237" s="637"/>
      <c r="CL237" s="637"/>
      <c r="CM237" s="637"/>
    </row>
    <row r="238" ht="15.75" customHeight="1">
      <c r="A238" s="637"/>
      <c r="B238" s="637"/>
      <c r="C238" s="637"/>
      <c r="D238" s="637"/>
      <c r="E238" s="637"/>
      <c r="F238" s="637"/>
      <c r="G238" s="637"/>
      <c r="H238" s="637"/>
      <c r="I238" s="637"/>
      <c r="J238" s="637"/>
      <c r="K238" s="637"/>
      <c r="L238" s="637"/>
      <c r="M238" s="637"/>
      <c r="N238" s="637"/>
      <c r="O238" s="637"/>
      <c r="P238" s="637"/>
      <c r="Q238" s="637"/>
      <c r="R238" s="637"/>
      <c r="S238" s="637"/>
      <c r="T238" s="637"/>
      <c r="U238" s="637"/>
      <c r="V238" s="637"/>
      <c r="W238" s="637"/>
      <c r="X238" s="637"/>
      <c r="Y238" s="637"/>
      <c r="Z238" s="637"/>
      <c r="AA238" s="637"/>
      <c r="AB238" s="637"/>
      <c r="AC238" s="637"/>
      <c r="AD238" s="637"/>
      <c r="AE238" s="637"/>
      <c r="AF238" s="637"/>
      <c r="AG238" s="637"/>
      <c r="AH238" s="637"/>
      <c r="AI238" s="637"/>
      <c r="AJ238" s="637"/>
      <c r="AK238" s="637"/>
      <c r="AL238" s="637"/>
      <c r="AM238" s="637"/>
      <c r="AN238" s="637"/>
      <c r="AO238" s="637"/>
      <c r="AP238" s="637"/>
      <c r="AQ238" s="637"/>
      <c r="AR238" s="637"/>
      <c r="AS238" s="637"/>
      <c r="AT238" s="637"/>
      <c r="AU238" s="637"/>
      <c r="AV238" s="637"/>
      <c r="AW238" s="637"/>
      <c r="AX238" s="637"/>
      <c r="AY238" s="637"/>
      <c r="AZ238" s="637"/>
      <c r="BA238" s="637"/>
      <c r="BB238" s="637"/>
      <c r="BC238" s="637"/>
      <c r="BD238" s="637"/>
      <c r="BE238" s="637"/>
      <c r="BF238" s="637"/>
      <c r="BG238" s="637"/>
      <c r="BH238" s="637"/>
      <c r="BI238" s="637"/>
      <c r="BJ238" s="637"/>
      <c r="BK238" s="637"/>
      <c r="BL238" s="637"/>
      <c r="BM238" s="637"/>
      <c r="BN238" s="637"/>
      <c r="BO238" s="637"/>
      <c r="BP238" s="637"/>
      <c r="BQ238" s="637"/>
      <c r="BR238" s="637"/>
      <c r="BS238" s="637"/>
      <c r="BT238" s="637"/>
      <c r="BU238" s="637"/>
      <c r="BV238" s="637"/>
      <c r="BW238" s="637"/>
      <c r="BX238" s="637"/>
      <c r="BY238" s="637"/>
      <c r="BZ238" s="637"/>
      <c r="CA238" s="637"/>
      <c r="CB238" s="637"/>
      <c r="CC238" s="637"/>
      <c r="CD238" s="637"/>
      <c r="CE238" s="637"/>
      <c r="CF238" s="637"/>
      <c r="CG238" s="637"/>
      <c r="CH238" s="637"/>
      <c r="CI238" s="637"/>
      <c r="CJ238" s="637"/>
      <c r="CK238" s="637"/>
      <c r="CL238" s="637"/>
      <c r="CM238" s="637"/>
    </row>
    <row r="239" ht="15.75" customHeight="1">
      <c r="A239" s="637"/>
      <c r="B239" s="637"/>
      <c r="C239" s="637"/>
      <c r="D239" s="637"/>
      <c r="E239" s="637"/>
      <c r="F239" s="637"/>
      <c r="G239" s="637"/>
      <c r="H239" s="637"/>
      <c r="I239" s="637"/>
      <c r="J239" s="637"/>
      <c r="K239" s="637"/>
      <c r="L239" s="637"/>
      <c r="M239" s="637"/>
      <c r="N239" s="637"/>
      <c r="O239" s="637"/>
      <c r="P239" s="637"/>
      <c r="Q239" s="637"/>
      <c r="R239" s="637"/>
      <c r="S239" s="637"/>
      <c r="T239" s="637"/>
      <c r="U239" s="637"/>
      <c r="V239" s="637"/>
      <c r="W239" s="637"/>
      <c r="X239" s="637"/>
      <c r="Y239" s="637"/>
      <c r="Z239" s="637"/>
      <c r="AA239" s="637"/>
      <c r="AB239" s="637"/>
      <c r="AC239" s="637"/>
      <c r="AD239" s="637"/>
      <c r="AE239" s="637"/>
      <c r="AF239" s="637"/>
      <c r="AG239" s="637"/>
      <c r="AH239" s="637"/>
      <c r="AI239" s="637"/>
      <c r="AJ239" s="637"/>
      <c r="AK239" s="637"/>
      <c r="AL239" s="637"/>
      <c r="AM239" s="637"/>
      <c r="AN239" s="637"/>
      <c r="AO239" s="637"/>
      <c r="AP239" s="637"/>
      <c r="AQ239" s="637"/>
      <c r="AR239" s="637"/>
      <c r="AS239" s="637"/>
      <c r="AT239" s="637"/>
      <c r="AU239" s="637"/>
      <c r="AV239" s="637"/>
      <c r="AW239" s="637"/>
      <c r="AX239" s="637"/>
      <c r="AY239" s="637"/>
      <c r="AZ239" s="637"/>
      <c r="BA239" s="637"/>
      <c r="BB239" s="637"/>
      <c r="BC239" s="637"/>
      <c r="BD239" s="637"/>
      <c r="BE239" s="637"/>
      <c r="BF239" s="637"/>
      <c r="BG239" s="637"/>
      <c r="BH239" s="637"/>
      <c r="BI239" s="637"/>
      <c r="BJ239" s="637"/>
      <c r="BK239" s="637"/>
      <c r="BL239" s="637"/>
      <c r="BM239" s="637"/>
      <c r="BN239" s="637"/>
      <c r="BO239" s="637"/>
      <c r="BP239" s="637"/>
      <c r="BQ239" s="637"/>
      <c r="BR239" s="637"/>
      <c r="BS239" s="637"/>
      <c r="BT239" s="637"/>
      <c r="BU239" s="637"/>
      <c r="BV239" s="637"/>
      <c r="BW239" s="637"/>
      <c r="BX239" s="637"/>
      <c r="BY239" s="637"/>
      <c r="BZ239" s="637"/>
      <c r="CA239" s="637"/>
      <c r="CB239" s="637"/>
      <c r="CC239" s="637"/>
      <c r="CD239" s="637"/>
      <c r="CE239" s="637"/>
      <c r="CF239" s="637"/>
      <c r="CG239" s="637"/>
      <c r="CH239" s="637"/>
      <c r="CI239" s="637"/>
      <c r="CJ239" s="637"/>
      <c r="CK239" s="637"/>
      <c r="CL239" s="637"/>
      <c r="CM239" s="637"/>
    </row>
    <row r="240" ht="15.75" customHeight="1">
      <c r="A240" s="637"/>
      <c r="B240" s="637"/>
      <c r="C240" s="637"/>
      <c r="D240" s="637"/>
      <c r="E240" s="637"/>
      <c r="F240" s="637"/>
      <c r="G240" s="637"/>
      <c r="H240" s="637"/>
      <c r="I240" s="637"/>
      <c r="J240" s="637"/>
      <c r="K240" s="637"/>
      <c r="L240" s="637"/>
      <c r="M240" s="637"/>
      <c r="N240" s="637"/>
      <c r="O240" s="637"/>
      <c r="P240" s="637"/>
      <c r="Q240" s="637"/>
      <c r="R240" s="637"/>
      <c r="S240" s="637"/>
      <c r="T240" s="637"/>
      <c r="U240" s="637"/>
      <c r="V240" s="637"/>
      <c r="W240" s="637"/>
      <c r="X240" s="637"/>
      <c r="Y240" s="637"/>
      <c r="Z240" s="637"/>
      <c r="AA240" s="637"/>
      <c r="AB240" s="637"/>
      <c r="AC240" s="637"/>
      <c r="AD240" s="637"/>
      <c r="AE240" s="637"/>
      <c r="AF240" s="637"/>
      <c r="AG240" s="637"/>
      <c r="AH240" s="637"/>
      <c r="AI240" s="637"/>
      <c r="AJ240" s="637"/>
      <c r="AK240" s="637"/>
      <c r="AL240" s="637"/>
      <c r="AM240" s="637"/>
      <c r="AN240" s="637"/>
      <c r="AO240" s="637"/>
      <c r="AP240" s="637"/>
      <c r="AQ240" s="637"/>
      <c r="AR240" s="637"/>
      <c r="AS240" s="637"/>
      <c r="AT240" s="637"/>
      <c r="AU240" s="637"/>
      <c r="AV240" s="637"/>
      <c r="AW240" s="637"/>
      <c r="AX240" s="637"/>
      <c r="AY240" s="637"/>
      <c r="AZ240" s="637"/>
      <c r="BA240" s="637"/>
      <c r="BB240" s="637"/>
      <c r="BC240" s="637"/>
      <c r="BD240" s="637"/>
      <c r="BE240" s="637"/>
      <c r="BF240" s="637"/>
      <c r="BG240" s="637"/>
      <c r="BH240" s="637"/>
      <c r="BI240" s="637"/>
      <c r="BJ240" s="637"/>
      <c r="BK240" s="637"/>
      <c r="BL240" s="637"/>
      <c r="BM240" s="637"/>
      <c r="BN240" s="637"/>
      <c r="BO240" s="637"/>
      <c r="BP240" s="637"/>
      <c r="BQ240" s="637"/>
      <c r="BR240" s="637"/>
      <c r="BS240" s="637"/>
      <c r="BT240" s="637"/>
      <c r="BU240" s="637"/>
      <c r="BV240" s="637"/>
      <c r="BW240" s="637"/>
      <c r="BX240" s="637"/>
      <c r="BY240" s="637"/>
      <c r="BZ240" s="637"/>
      <c r="CA240" s="637"/>
      <c r="CB240" s="637"/>
      <c r="CC240" s="637"/>
      <c r="CD240" s="637"/>
      <c r="CE240" s="637"/>
      <c r="CF240" s="637"/>
      <c r="CG240" s="637"/>
      <c r="CH240" s="637"/>
      <c r="CI240" s="637"/>
      <c r="CJ240" s="637"/>
      <c r="CK240" s="637"/>
      <c r="CL240" s="637"/>
      <c r="CM240" s="637"/>
    </row>
    <row r="241" ht="15.75" customHeight="1">
      <c r="A241" s="637"/>
      <c r="B241" s="637"/>
      <c r="C241" s="637"/>
      <c r="D241" s="637"/>
      <c r="E241" s="637"/>
      <c r="F241" s="637"/>
      <c r="G241" s="637"/>
      <c r="H241" s="637"/>
      <c r="I241" s="637"/>
      <c r="J241" s="637"/>
      <c r="K241" s="637"/>
      <c r="L241" s="637"/>
      <c r="M241" s="637"/>
      <c r="N241" s="637"/>
      <c r="O241" s="637"/>
      <c r="P241" s="637"/>
      <c r="Q241" s="637"/>
      <c r="R241" s="637"/>
      <c r="S241" s="637"/>
      <c r="T241" s="637"/>
      <c r="U241" s="637"/>
      <c r="V241" s="637"/>
      <c r="W241" s="637"/>
      <c r="X241" s="637"/>
      <c r="Y241" s="637"/>
      <c r="Z241" s="637"/>
      <c r="AA241" s="637"/>
      <c r="AB241" s="637"/>
      <c r="AC241" s="637"/>
      <c r="AD241" s="637"/>
      <c r="AE241" s="637"/>
      <c r="AF241" s="637"/>
      <c r="AG241" s="637"/>
      <c r="AH241" s="637"/>
      <c r="AI241" s="637"/>
      <c r="AJ241" s="637"/>
      <c r="AK241" s="637"/>
      <c r="AL241" s="637"/>
      <c r="AM241" s="637"/>
      <c r="AN241" s="637"/>
      <c r="AO241" s="637"/>
      <c r="AP241" s="637"/>
      <c r="AQ241" s="637"/>
      <c r="AR241" s="637"/>
      <c r="AS241" s="637"/>
      <c r="AT241" s="637"/>
      <c r="AU241" s="637"/>
      <c r="AV241" s="637"/>
      <c r="AW241" s="637"/>
      <c r="AX241" s="637"/>
      <c r="AY241" s="637"/>
      <c r="AZ241" s="637"/>
      <c r="BA241" s="637"/>
      <c r="BB241" s="637"/>
      <c r="BC241" s="637"/>
      <c r="BD241" s="637"/>
      <c r="BE241" s="637"/>
      <c r="BF241" s="637"/>
      <c r="BG241" s="637"/>
      <c r="BH241" s="637"/>
      <c r="BI241" s="637"/>
      <c r="BJ241" s="637"/>
      <c r="BK241" s="637"/>
      <c r="BL241" s="637"/>
      <c r="BM241" s="637"/>
      <c r="BN241" s="637"/>
      <c r="BO241" s="637"/>
      <c r="BP241" s="637"/>
      <c r="BQ241" s="637"/>
      <c r="BR241" s="637"/>
      <c r="BS241" s="637"/>
      <c r="BT241" s="637"/>
      <c r="BU241" s="637"/>
      <c r="BV241" s="637"/>
      <c r="BW241" s="637"/>
      <c r="BX241" s="637"/>
      <c r="BY241" s="637"/>
      <c r="BZ241" s="637"/>
      <c r="CA241" s="637"/>
      <c r="CB241" s="637"/>
      <c r="CC241" s="637"/>
      <c r="CD241" s="637"/>
      <c r="CE241" s="637"/>
      <c r="CF241" s="637"/>
      <c r="CG241" s="637"/>
      <c r="CH241" s="637"/>
      <c r="CI241" s="637"/>
      <c r="CJ241" s="637"/>
      <c r="CK241" s="637"/>
      <c r="CL241" s="637"/>
      <c r="CM241" s="637"/>
    </row>
    <row r="242" ht="15.75" customHeight="1">
      <c r="A242" s="637"/>
      <c r="B242" s="637"/>
      <c r="C242" s="637"/>
      <c r="D242" s="637"/>
      <c r="E242" s="637"/>
      <c r="F242" s="637"/>
      <c r="G242" s="637"/>
      <c r="H242" s="637"/>
      <c r="I242" s="637"/>
      <c r="J242" s="637"/>
      <c r="K242" s="637"/>
      <c r="L242" s="637"/>
      <c r="M242" s="637"/>
      <c r="N242" s="637"/>
      <c r="O242" s="637"/>
      <c r="P242" s="637"/>
      <c r="Q242" s="637"/>
      <c r="R242" s="637"/>
      <c r="S242" s="637"/>
      <c r="T242" s="637"/>
      <c r="U242" s="637"/>
      <c r="V242" s="637"/>
      <c r="W242" s="637"/>
      <c r="X242" s="637"/>
      <c r="Y242" s="637"/>
      <c r="Z242" s="637"/>
      <c r="AA242" s="637"/>
      <c r="AB242" s="637"/>
      <c r="AC242" s="637"/>
      <c r="AD242" s="637"/>
      <c r="AE242" s="637"/>
      <c r="AF242" s="637"/>
      <c r="AG242" s="637"/>
      <c r="AH242" s="637"/>
      <c r="AI242" s="637"/>
      <c r="AJ242" s="637"/>
      <c r="AK242" s="637"/>
      <c r="AL242" s="637"/>
      <c r="AM242" s="637"/>
      <c r="AN242" s="637"/>
      <c r="AO242" s="637"/>
      <c r="AP242" s="637"/>
      <c r="AQ242" s="637"/>
      <c r="AR242" s="637"/>
      <c r="AS242" s="637"/>
      <c r="AT242" s="637"/>
      <c r="AU242" s="637"/>
      <c r="AV242" s="637"/>
      <c r="AW242" s="637"/>
      <c r="AX242" s="637"/>
      <c r="AY242" s="637"/>
      <c r="AZ242" s="637"/>
      <c r="BA242" s="637"/>
      <c r="BB242" s="637"/>
      <c r="BC242" s="637"/>
      <c r="BD242" s="637"/>
      <c r="BE242" s="637"/>
      <c r="BF242" s="637"/>
      <c r="BG242" s="637"/>
      <c r="BH242" s="637"/>
      <c r="BI242" s="637"/>
      <c r="BJ242" s="637"/>
      <c r="BK242" s="637"/>
      <c r="BL242" s="637"/>
      <c r="BM242" s="637"/>
      <c r="BN242" s="637"/>
      <c r="BO242" s="637"/>
      <c r="BP242" s="637"/>
      <c r="BQ242" s="637"/>
      <c r="BR242" s="637"/>
      <c r="BS242" s="637"/>
      <c r="BT242" s="637"/>
      <c r="BU242" s="637"/>
      <c r="BV242" s="637"/>
      <c r="BW242" s="637"/>
      <c r="BX242" s="637"/>
      <c r="BY242" s="637"/>
      <c r="BZ242" s="637"/>
      <c r="CA242" s="637"/>
      <c r="CB242" s="637"/>
      <c r="CC242" s="637"/>
      <c r="CD242" s="637"/>
      <c r="CE242" s="637"/>
      <c r="CF242" s="637"/>
      <c r="CG242" s="637"/>
      <c r="CH242" s="637"/>
      <c r="CI242" s="637"/>
      <c r="CJ242" s="637"/>
      <c r="CK242" s="637"/>
      <c r="CL242" s="637"/>
      <c r="CM242" s="637"/>
    </row>
    <row r="243" ht="15.75" customHeight="1">
      <c r="A243" s="637"/>
      <c r="B243" s="637"/>
      <c r="C243" s="637"/>
      <c r="D243" s="637"/>
      <c r="E243" s="637"/>
      <c r="F243" s="637"/>
      <c r="G243" s="637"/>
      <c r="H243" s="637"/>
      <c r="I243" s="637"/>
      <c r="J243" s="637"/>
      <c r="K243" s="637"/>
      <c r="L243" s="637"/>
      <c r="M243" s="637"/>
      <c r="N243" s="637"/>
      <c r="O243" s="637"/>
      <c r="P243" s="637"/>
      <c r="Q243" s="637"/>
      <c r="R243" s="637"/>
      <c r="S243" s="637"/>
      <c r="T243" s="637"/>
      <c r="U243" s="637"/>
      <c r="V243" s="637"/>
      <c r="W243" s="637"/>
      <c r="X243" s="637"/>
      <c r="Y243" s="637"/>
      <c r="Z243" s="637"/>
      <c r="AA243" s="637"/>
      <c r="AB243" s="637"/>
      <c r="AC243" s="637"/>
      <c r="AD243" s="637"/>
      <c r="AE243" s="637"/>
      <c r="AF243" s="637"/>
      <c r="AG243" s="637"/>
      <c r="AH243" s="637"/>
      <c r="AI243" s="637"/>
      <c r="AJ243" s="637"/>
      <c r="AK243" s="637"/>
      <c r="AL243" s="637"/>
      <c r="AM243" s="637"/>
      <c r="AN243" s="637"/>
      <c r="AO243" s="637"/>
      <c r="AP243" s="637"/>
      <c r="AQ243" s="637"/>
      <c r="AR243" s="637"/>
      <c r="AS243" s="637"/>
      <c r="AT243" s="637"/>
      <c r="AU243" s="637"/>
      <c r="AV243" s="637"/>
      <c r="AW243" s="637"/>
      <c r="AX243" s="637"/>
      <c r="AY243" s="637"/>
      <c r="AZ243" s="637"/>
      <c r="BA243" s="637"/>
      <c r="BB243" s="637"/>
      <c r="BC243" s="637"/>
      <c r="BD243" s="637"/>
      <c r="BE243" s="637"/>
      <c r="BF243" s="637"/>
      <c r="BG243" s="637"/>
      <c r="BH243" s="637"/>
      <c r="BI243" s="637"/>
      <c r="BJ243" s="637"/>
      <c r="BK243" s="637"/>
      <c r="BL243" s="637"/>
      <c r="BM243" s="637"/>
      <c r="BN243" s="637"/>
      <c r="BO243" s="637"/>
      <c r="BP243" s="637"/>
      <c r="BQ243" s="637"/>
      <c r="BR243" s="637"/>
      <c r="BS243" s="637"/>
      <c r="BT243" s="637"/>
      <c r="BU243" s="637"/>
      <c r="BV243" s="637"/>
      <c r="BW243" s="637"/>
      <c r="BX243" s="637"/>
      <c r="BY243" s="637"/>
      <c r="BZ243" s="637"/>
      <c r="CA243" s="637"/>
      <c r="CB243" s="637"/>
      <c r="CC243" s="637"/>
      <c r="CD243" s="637"/>
      <c r="CE243" s="637"/>
      <c r="CF243" s="637"/>
      <c r="CG243" s="637"/>
      <c r="CH243" s="637"/>
      <c r="CI243" s="637"/>
      <c r="CJ243" s="637"/>
      <c r="CK243" s="637"/>
      <c r="CL243" s="637"/>
      <c r="CM243" s="637"/>
    </row>
    <row r="244" ht="15.75" customHeight="1">
      <c r="A244" s="637"/>
      <c r="B244" s="637"/>
      <c r="C244" s="637"/>
      <c r="D244" s="637"/>
      <c r="E244" s="637"/>
      <c r="F244" s="637"/>
      <c r="G244" s="637"/>
      <c r="H244" s="637"/>
      <c r="I244" s="637"/>
      <c r="J244" s="637"/>
      <c r="K244" s="637"/>
      <c r="L244" s="637"/>
      <c r="M244" s="637"/>
      <c r="N244" s="637"/>
      <c r="O244" s="637"/>
      <c r="P244" s="637"/>
      <c r="Q244" s="637"/>
      <c r="R244" s="637"/>
      <c r="S244" s="637"/>
      <c r="T244" s="637"/>
      <c r="U244" s="637"/>
      <c r="V244" s="637"/>
      <c r="W244" s="637"/>
      <c r="X244" s="637"/>
      <c r="Y244" s="637"/>
      <c r="Z244" s="637"/>
      <c r="AA244" s="637"/>
      <c r="AB244" s="637"/>
      <c r="AC244" s="637"/>
      <c r="AD244" s="637"/>
      <c r="AE244" s="637"/>
      <c r="AF244" s="637"/>
      <c r="AG244" s="637"/>
      <c r="AH244" s="637"/>
      <c r="AI244" s="637"/>
      <c r="AJ244" s="637"/>
      <c r="AK244" s="637"/>
      <c r="AL244" s="637"/>
      <c r="AM244" s="637"/>
      <c r="AN244" s="637"/>
      <c r="AO244" s="637"/>
      <c r="AP244" s="637"/>
      <c r="AQ244" s="637"/>
      <c r="AR244" s="637"/>
      <c r="AS244" s="637"/>
      <c r="AT244" s="637"/>
      <c r="AU244" s="637"/>
      <c r="AV244" s="637"/>
      <c r="AW244" s="637"/>
      <c r="AX244" s="637"/>
      <c r="AY244" s="637"/>
      <c r="AZ244" s="637"/>
      <c r="BA244" s="637"/>
      <c r="BB244" s="637"/>
      <c r="BC244" s="637"/>
      <c r="BD244" s="637"/>
      <c r="BE244" s="637"/>
      <c r="BF244" s="637"/>
      <c r="BG244" s="637"/>
      <c r="BH244" s="637"/>
      <c r="BI244" s="637"/>
      <c r="BJ244" s="637"/>
      <c r="BK244" s="637"/>
      <c r="BL244" s="637"/>
      <c r="BM244" s="637"/>
      <c r="BN244" s="637"/>
      <c r="BO244" s="637"/>
      <c r="BP244" s="637"/>
      <c r="BQ244" s="637"/>
      <c r="BR244" s="637"/>
      <c r="BS244" s="637"/>
      <c r="BT244" s="637"/>
      <c r="BU244" s="637"/>
      <c r="BV244" s="637"/>
      <c r="BW244" s="637"/>
      <c r="BX244" s="637"/>
      <c r="BY244" s="637"/>
      <c r="BZ244" s="637"/>
      <c r="CA244" s="637"/>
      <c r="CB244" s="637"/>
      <c r="CC244" s="637"/>
      <c r="CD244" s="637"/>
      <c r="CE244" s="637"/>
      <c r="CF244" s="637"/>
      <c r="CG244" s="637"/>
      <c r="CH244" s="637"/>
      <c r="CI244" s="637"/>
      <c r="CJ244" s="637"/>
      <c r="CK244" s="637"/>
      <c r="CL244" s="637"/>
      <c r="CM244" s="63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1">
    <mergeCell ref="BP2:BP4"/>
    <mergeCell ref="BS2:BS3"/>
    <mergeCell ref="CA12:CB12"/>
    <mergeCell ref="CA13:CB13"/>
    <mergeCell ref="CA14:CB15"/>
    <mergeCell ref="CC14:CC15"/>
    <mergeCell ref="CA16:CB16"/>
    <mergeCell ref="CA17:CB17"/>
    <mergeCell ref="A3:A4"/>
    <mergeCell ref="B4:C4"/>
    <mergeCell ref="S4:T4"/>
    <mergeCell ref="AJ4:AK4"/>
    <mergeCell ref="A1:A2"/>
    <mergeCell ref="B37:C37"/>
    <mergeCell ref="S37:T37"/>
    <mergeCell ref="AJ37:AK37"/>
    <mergeCell ref="BB37:BC37"/>
    <mergeCell ref="B1:R1"/>
    <mergeCell ref="S1:AI1"/>
    <mergeCell ref="AJ1:BA1"/>
    <mergeCell ref="BB1:BN1"/>
    <mergeCell ref="BP1:BU1"/>
    <mergeCell ref="BV1:BV36"/>
    <mergeCell ref="BB4:BC4"/>
    <mergeCell ref="BW1:BW4"/>
    <mergeCell ref="BX1:BX4"/>
    <mergeCell ref="BY1:BY4"/>
    <mergeCell ref="CA3:CC3"/>
    <mergeCell ref="CA4:CC4"/>
    <mergeCell ref="B2:C2"/>
    <mergeCell ref="D2:F2"/>
    <mergeCell ref="I2:J2"/>
    <mergeCell ref="S2:T2"/>
    <mergeCell ref="U2:W2"/>
    <mergeCell ref="Z2:AA2"/>
    <mergeCell ref="AJ2:AK2"/>
    <mergeCell ref="AM2:AO2"/>
    <mergeCell ref="AR2:AS2"/>
    <mergeCell ref="BB2:BC2"/>
    <mergeCell ref="BD2:BF2"/>
    <mergeCell ref="BI2:BJ2"/>
  </mergeCells>
  <hyperlinks>
    <hyperlink r:id="rId1" ref="Q43"/>
  </hyperlinks>
  <printOptions horizontalCentered="1" verticalCentered="1"/>
  <pageMargins bottom="0.0" footer="0.0" header="0.0" left="0.0" right="0.0" top="0.0"/>
  <pageSetup paperSize="9" scale="130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29"/>
    <col customWidth="1" min="2" max="2" width="26.14"/>
    <col customWidth="1" min="3" max="3" width="15.29"/>
    <col customWidth="1" min="4" max="4" width="14.86"/>
    <col customWidth="1" min="5" max="5" width="13.14"/>
    <col customWidth="1" min="6" max="6" width="14.29"/>
    <col customWidth="1" min="7" max="7" width="13.86"/>
    <col customWidth="1" min="8" max="8" width="18.29"/>
    <col customWidth="1" min="9" max="9" width="24.29"/>
    <col customWidth="1" min="10" max="10" width="13.71"/>
    <col customWidth="1" min="11" max="11" width="14.71"/>
    <col customWidth="1" min="12" max="12" width="11.86"/>
    <col customWidth="1" min="13" max="26" width="9.14"/>
  </cols>
  <sheetData>
    <row r="1" ht="12.0" customHeight="1">
      <c r="A1" s="777" t="s">
        <v>540</v>
      </c>
      <c r="B1" s="778"/>
      <c r="C1" s="778"/>
      <c r="D1" s="778"/>
      <c r="E1" s="778"/>
      <c r="F1" s="778"/>
      <c r="G1" s="778"/>
      <c r="H1" s="77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5.75" customHeight="1">
      <c r="A2" s="674"/>
      <c r="B2" s="780"/>
      <c r="C2" s="780"/>
      <c r="D2" s="780"/>
      <c r="E2" s="780"/>
      <c r="F2" s="780"/>
      <c r="G2" s="780"/>
      <c r="H2" s="781"/>
      <c r="I2" s="109"/>
      <c r="J2" s="109" t="s">
        <v>541</v>
      </c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782" t="s">
        <v>542</v>
      </c>
      <c r="B3" s="783" t="s">
        <v>38</v>
      </c>
      <c r="C3" s="784" t="s">
        <v>543</v>
      </c>
      <c r="D3" s="785" t="s">
        <v>544</v>
      </c>
      <c r="E3" s="786" t="s">
        <v>545</v>
      </c>
      <c r="F3" s="786" t="s">
        <v>546</v>
      </c>
      <c r="G3" s="787" t="s">
        <v>547</v>
      </c>
      <c r="H3" s="788" t="s">
        <v>548</v>
      </c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789">
        <v>1.0</v>
      </c>
      <c r="B4" s="790" t="s">
        <v>55</v>
      </c>
      <c r="C4" s="791"/>
      <c r="D4" s="792">
        <f>SUMIF(PURCHASE!$C$3:$C$233,'AMOUNT UPDATE'!B4:B10,PURCHASE!$I$3:$I$233)</f>
        <v>97610</v>
      </c>
      <c r="E4" s="792">
        <f>SUMIF(PURCHASE!$C$3:$C$233,'AMOUNT UPDATE'!B4:B10,PURCHASE!$J$3:$J$233)</f>
        <v>0</v>
      </c>
      <c r="F4" s="97">
        <f>SUMIF(EXPENSES!$K$3:$K$925,SUPPLIERS,EXPENSES!$F$3:$F$925)</f>
        <v>97610</v>
      </c>
      <c r="G4" s="789"/>
      <c r="H4" s="793">
        <f t="shared" ref="H4:H27" si="1">F4+E4+-D4+C4+G4</f>
        <v>0</v>
      </c>
      <c r="I4" s="794"/>
      <c r="J4" s="117"/>
      <c r="K4" s="795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796">
        <f t="shared" ref="A5:A19" si="2">1+A4</f>
        <v>2</v>
      </c>
      <c r="B5" s="790" t="s">
        <v>549</v>
      </c>
      <c r="C5" s="797"/>
      <c r="D5" s="556">
        <f>SUMIF(PURCHASE!$C$3:$C$506,'AMOUNT UPDATE'!B5:B30,PURCHASE!$I$3:$I$506)</f>
        <v>0</v>
      </c>
      <c r="E5" s="556">
        <f>SUMIF(PURCHASE!$C$3:$C$506,'AMOUNT UPDATE'!B5:B30,PURCHASE!$J$3:$J$506)</f>
        <v>0</v>
      </c>
      <c r="F5" s="97">
        <f>SUMIF(EXPENSES!$K$3:$K$925,SUPPLIERS,EXPENSES!$F$3:$F$925)</f>
        <v>0</v>
      </c>
      <c r="G5" s="798"/>
      <c r="H5" s="793">
        <f t="shared" si="1"/>
        <v>0</v>
      </c>
      <c r="I5" s="795"/>
      <c r="J5" s="799"/>
      <c r="K5" s="795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789">
        <f t="shared" si="2"/>
        <v>3</v>
      </c>
      <c r="B6" s="790" t="s">
        <v>550</v>
      </c>
      <c r="C6" s="797"/>
      <c r="D6" s="792">
        <f>SUMIF(PURCHASE!$C$3:$C$506,'AMOUNT UPDATE'!B6:B31,PURCHASE!$I$3:$I$506)</f>
        <v>0</v>
      </c>
      <c r="E6" s="792">
        <f>SUMIF(PURCHASE!$C$3:$C$506,'AMOUNT UPDATE'!B6:B31,PURCHASE!$J$3:$J$506)</f>
        <v>0</v>
      </c>
      <c r="F6" s="97">
        <f>SUMIF(EXPENSES!$K$3:$K$925,SUPPLIERS,EXPENSES!$F$3:$F$925)</f>
        <v>0</v>
      </c>
      <c r="G6" s="789"/>
      <c r="H6" s="793">
        <f t="shared" si="1"/>
        <v>0</v>
      </c>
      <c r="I6" s="109"/>
      <c r="J6" s="109"/>
      <c r="K6" s="795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789">
        <f t="shared" si="2"/>
        <v>4</v>
      </c>
      <c r="B7" s="790" t="s">
        <v>551</v>
      </c>
      <c r="C7" s="791"/>
      <c r="D7" s="792">
        <f>SUMIF(PURCHASE!$C$3:$C$506,'AMOUNT UPDATE'!B7:B50,PURCHASE!$I$3:$I$506)</f>
        <v>0</v>
      </c>
      <c r="E7" s="792">
        <f>SUMIF(PURCHASE!$C$3:$C$506,'AMOUNT UPDATE'!B7:B50,PURCHASE!$J$3:$J$506)</f>
        <v>0</v>
      </c>
      <c r="F7" s="97">
        <f>SUMIF(EXPENSES!$K$3:$K$925,SUPPLIERS,EXPENSES!$F$3:$F$925)</f>
        <v>0</v>
      </c>
      <c r="G7" s="789"/>
      <c r="H7" s="793">
        <f t="shared" si="1"/>
        <v>0</v>
      </c>
      <c r="I7" s="795"/>
      <c r="J7" s="109"/>
      <c r="K7" s="795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789">
        <f t="shared" si="2"/>
        <v>5</v>
      </c>
      <c r="B8" s="790" t="s">
        <v>53</v>
      </c>
      <c r="C8" s="797"/>
      <c r="D8" s="556">
        <f>SUMIF(PURCHASE!$C$3:$C$506,'AMOUNT UPDATE'!B8:B51,PURCHASE!$I$3:$I$506)</f>
        <v>74000</v>
      </c>
      <c r="E8" s="792">
        <f>SUMIF(PURCHASE!$C$3:$C$506,'AMOUNT UPDATE'!B8:B51,PURCHASE!$J$3:$J$506)</f>
        <v>0</v>
      </c>
      <c r="F8" s="97">
        <f>SUMIF(EXPENSES!$K$3:$K$925,SUPPLIERS,EXPENSES!$F$3:$F$925)</f>
        <v>74000</v>
      </c>
      <c r="G8" s="798"/>
      <c r="H8" s="793">
        <f t="shared" si="1"/>
        <v>0</v>
      </c>
      <c r="I8" s="102"/>
      <c r="J8" s="109"/>
      <c r="K8" s="795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789">
        <f t="shared" si="2"/>
        <v>6</v>
      </c>
      <c r="B9" s="790" t="s">
        <v>552</v>
      </c>
      <c r="C9" s="797"/>
      <c r="D9" s="556">
        <f>SUMIF(PURCHASE!$C$3:$C$506,'AMOUNT UPDATE'!B4:B19,PURCHASE!$I$3:$I$506)</f>
        <v>0</v>
      </c>
      <c r="E9" s="556">
        <f>SUMIF(PURCHASE!$C$3:$C$506,'AMOUNT UPDATE'!B4:B19,PURCHASE!$J$3:$J$506)</f>
        <v>0</v>
      </c>
      <c r="F9" s="97">
        <f>SUMIF(EXPENSES!$K$3:$K$925,SUPPLIERS,EXPENSES!$F$3:$F$925)</f>
        <v>0</v>
      </c>
      <c r="G9" s="798"/>
      <c r="H9" s="793">
        <f t="shared" si="1"/>
        <v>0</v>
      </c>
      <c r="I9" s="792"/>
      <c r="J9" s="109"/>
      <c r="K9" s="795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789">
        <f t="shared" si="2"/>
        <v>7</v>
      </c>
      <c r="B10" s="790" t="s">
        <v>553</v>
      </c>
      <c r="C10" s="791"/>
      <c r="D10" s="792">
        <f>SUMIF(PURCHASE!$C$3:$C$506,'AMOUNT UPDATE'!B10:B27,PURCHASE!$I$3:$I$506)</f>
        <v>0</v>
      </c>
      <c r="E10" s="792">
        <f>SUMIF(PURCHASE!$C$3:$C$506,'AMOUNT UPDATE'!B10:B27,PURCHASE!$J$3:$J$506)</f>
        <v>0</v>
      </c>
      <c r="F10" s="97">
        <f>SUMIF(EXPENSES!$K$3:$K$925,SUPPLIERS,EXPENSES!$F$3:$F$925)</f>
        <v>0</v>
      </c>
      <c r="G10" s="800"/>
      <c r="H10" s="793">
        <f t="shared" si="1"/>
        <v>0</v>
      </c>
      <c r="I10" s="97"/>
      <c r="J10" s="109"/>
      <c r="K10" s="795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789">
        <f t="shared" si="2"/>
        <v>8</v>
      </c>
      <c r="B11" s="790" t="s">
        <v>50</v>
      </c>
      <c r="C11" s="791"/>
      <c r="D11" s="792">
        <f>SUMIF(PURCHASE!$C$3:$C$506,'AMOUNT UPDATE'!B11:B57,PURCHASE!$I$3:$I$506)</f>
        <v>114069</v>
      </c>
      <c r="E11" s="792">
        <f>SUMIF(PURCHASE!$C$3:$C$506,'AMOUNT UPDATE'!B11:B28,PURCHASE!$J$3:$J$506)</f>
        <v>0</v>
      </c>
      <c r="F11" s="97">
        <f>SUMIF(EXPENSES!$K$3:$K$925,SUPPLIERS,EXPENSES!$F$3:$F$925)</f>
        <v>114069</v>
      </c>
      <c r="G11" s="801"/>
      <c r="H11" s="793">
        <f t="shared" si="1"/>
        <v>0</v>
      </c>
      <c r="I11" s="102"/>
      <c r="J11" s="109"/>
      <c r="K11" s="795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>
      <c r="A12" s="802">
        <f t="shared" si="2"/>
        <v>9</v>
      </c>
      <c r="B12" s="790" t="s">
        <v>47</v>
      </c>
      <c r="C12" s="791"/>
      <c r="D12" s="792">
        <f>SUMIF(PURCHASE!$C$3:$C$506,'AMOUNT UPDATE'!B12:B58,PURCHASE!$I$3:$I$506)</f>
        <v>120100</v>
      </c>
      <c r="E12" s="792">
        <f>SUMIF(PURCHASE!$C$3:$C$506,'AMOUNT UPDATE'!B12:B58,PURCHASE!$J$3:$J$506)</f>
        <v>0</v>
      </c>
      <c r="F12" s="97">
        <f>SUMIF(EXPENSES!$K$3:$K$925,SUPPLIERS,EXPENSES!$F$3:$F$925)</f>
        <v>120100</v>
      </c>
      <c r="G12" s="789"/>
      <c r="H12" s="793">
        <f t="shared" si="1"/>
        <v>0</v>
      </c>
      <c r="I12" s="109"/>
      <c r="J12" s="109"/>
      <c r="K12" s="795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>
      <c r="A13" s="802">
        <f t="shared" si="2"/>
        <v>10</v>
      </c>
      <c r="B13" s="790" t="s">
        <v>54</v>
      </c>
      <c r="C13" s="791"/>
      <c r="D13" s="792">
        <f>SUMIF(PURCHASE!$C$3:$C$506,'AMOUNT UPDATE'!B13:B59,PURCHASE!$I$3:$I$506)</f>
        <v>63000</v>
      </c>
      <c r="E13" s="792">
        <f>SUMIF(PURCHASE!$C$3:$C$506,'AMOUNT UPDATE'!B13:B59,PURCHASE!$J$3:$J$506)</f>
        <v>0</v>
      </c>
      <c r="F13" s="97">
        <f>SUMIF(EXPENSES!$K$3:$K$925,SUPPLIERS,EXPENSES!$F$3:$F$925)</f>
        <v>63000</v>
      </c>
      <c r="G13" s="801"/>
      <c r="H13" s="793">
        <f t="shared" si="1"/>
        <v>0</v>
      </c>
      <c r="I13" s="109"/>
      <c r="J13" s="109"/>
      <c r="K13" s="795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>
      <c r="A14" s="802">
        <f t="shared" si="2"/>
        <v>11</v>
      </c>
      <c r="B14" s="790" t="s">
        <v>554</v>
      </c>
      <c r="C14" s="791"/>
      <c r="D14" s="792">
        <f>SUMIF(PURCHASE!$C$3:$C$506,'AMOUNT UPDATE'!B14:B60,PURCHASE!$I$3:$I$506)</f>
        <v>0</v>
      </c>
      <c r="E14" s="792">
        <f>SUMIF(PURCHASE!$C$3:$C$506,'AMOUNT UPDATE'!B14:B60,PURCHASE!$J$3:$J$506)</f>
        <v>0</v>
      </c>
      <c r="F14" s="97">
        <f>SUMIF(EXPENSES!$K$3:$K$925,SUPPLIERS,EXPENSES!$F$3:$F$925)</f>
        <v>0</v>
      </c>
      <c r="G14" s="789"/>
      <c r="H14" s="793">
        <f t="shared" si="1"/>
        <v>0</v>
      </c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802">
        <f t="shared" si="2"/>
        <v>12</v>
      </c>
      <c r="B15" s="790" t="s">
        <v>52</v>
      </c>
      <c r="C15" s="791"/>
      <c r="D15" s="792">
        <f>SUMIF(PURCHASE!$C$3:$C$506,'AMOUNT UPDATE'!B15:B61,PURCHASE!$I$3:$I$506)</f>
        <v>14005</v>
      </c>
      <c r="E15" s="792">
        <f>SUMIF(PURCHASE!$C$3:$C$506,'AMOUNT UPDATE'!B15:B61,PURCHASE!$J$3:$J$506)</f>
        <v>0</v>
      </c>
      <c r="F15" s="97">
        <f>SUMIF(EXPENSES!$K$3:$K$925,SUPPLIERS,EXPENSES!$F$3:$F$925)</f>
        <v>14005</v>
      </c>
      <c r="G15" s="789"/>
      <c r="H15" s="793">
        <f t="shared" si="1"/>
        <v>0</v>
      </c>
      <c r="I15" s="109"/>
      <c r="J15" s="109"/>
      <c r="K15" s="795"/>
      <c r="L15" s="803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802">
        <f t="shared" si="2"/>
        <v>13</v>
      </c>
      <c r="B16" s="661" t="s">
        <v>555</v>
      </c>
      <c r="C16" s="791"/>
      <c r="D16" s="792">
        <f>SUMIF(PURCHASE!$C$3:$C$506,'AMOUNT UPDATE'!B16:B62,PURCHASE!$I$3:$I$506)</f>
        <v>0</v>
      </c>
      <c r="E16" s="792">
        <f>SUMIF(PURCHASE!$C$3:$C$506,'AMOUNT UPDATE'!B16:B62,PURCHASE!$J$3:$J$506)</f>
        <v>0</v>
      </c>
      <c r="F16" s="97">
        <f>SUMIF(EXPENSES!$K$3:$K$925,SUPPLIERS,EXPENSES!$F$3:$F$925)</f>
        <v>0</v>
      </c>
      <c r="G16" s="789"/>
      <c r="H16" s="793">
        <f t="shared" si="1"/>
        <v>0</v>
      </c>
      <c r="I16" s="131"/>
      <c r="K16" s="795"/>
      <c r="L16" s="803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A17" s="802">
        <f t="shared" si="2"/>
        <v>14</v>
      </c>
      <c r="B17" s="790" t="s">
        <v>48</v>
      </c>
      <c r="C17" s="791"/>
      <c r="D17" s="792">
        <f>SUMIF(PURCHASE!$C$3:$C$506,'AMOUNT UPDATE'!B17:B63,PURCHASE!$I$3:$I$506)</f>
        <v>700800</v>
      </c>
      <c r="E17" s="792">
        <f>SUMIF(PURCHASE!$C$3:$C$506,'AMOUNT UPDATE'!B17:B63,PURCHASE!$J$3:$J$506)</f>
        <v>0</v>
      </c>
      <c r="F17" s="97">
        <f>SUMIF(EXPENSES!$K$3:$K$925,SUPPLIERS,EXPENSES!$F$3:$F$925)</f>
        <v>700800</v>
      </c>
      <c r="G17" s="801"/>
      <c r="H17" s="793">
        <f t="shared" si="1"/>
        <v>0</v>
      </c>
      <c r="I17" s="109"/>
      <c r="J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>
      <c r="A18" s="802">
        <f t="shared" si="2"/>
        <v>15</v>
      </c>
      <c r="B18" s="790" t="s">
        <v>51</v>
      </c>
      <c r="C18" s="791"/>
      <c r="D18" s="792">
        <f>SUMIF(PURCHASE!$C$3:$C$506,'AMOUNT UPDATE'!B18:B59,PURCHASE!$I$3:$I$506)</f>
        <v>177739.3765</v>
      </c>
      <c r="E18" s="792">
        <f>SUMIF(PURCHASE!$C$3:$C$506,'AMOUNT UPDATE'!B18:B59,PURCHASE!$J$3:$J$506)</f>
        <v>0</v>
      </c>
      <c r="F18" s="97">
        <f>SUMIF(EXPENSES!$K$3:$K$925,SUPPLIERS,EXPENSES!$F$3:$F$925)</f>
        <v>177739</v>
      </c>
      <c r="G18" s="801"/>
      <c r="H18" s="793">
        <f t="shared" si="1"/>
        <v>-0.3765203596</v>
      </c>
      <c r="I18" s="109"/>
      <c r="J18" s="109"/>
      <c r="K18" s="804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>
      <c r="A19" s="802">
        <f t="shared" si="2"/>
        <v>16</v>
      </c>
      <c r="B19" s="790" t="s">
        <v>49</v>
      </c>
      <c r="C19" s="791"/>
      <c r="D19" s="792">
        <f>SUMIF(PURCHASE!$C$3:$C$506,'AMOUNT UPDATE'!B19:B59,PURCHASE!$I$3:$I$506)</f>
        <v>151700</v>
      </c>
      <c r="E19" s="792">
        <f>SUMIF(PURCHASE!$C$3:$C$506,'AMOUNT UPDATE'!B19:B59,PURCHASE!$J$3:$J$506)</f>
        <v>0</v>
      </c>
      <c r="F19" s="97">
        <f>SUMIF(EXPENSES!$K$3:$K$925,SUPPLIERS,EXPENSES!$F$3:$F$925)</f>
        <v>151700</v>
      </c>
      <c r="G19" s="789"/>
      <c r="H19" s="793">
        <f t="shared" si="1"/>
        <v>0</v>
      </c>
      <c r="I19" s="109"/>
      <c r="J19" s="109"/>
      <c r="K19" s="795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>
      <c r="A20" s="802">
        <v>17.0</v>
      </c>
      <c r="B20" s="790" t="s">
        <v>556</v>
      </c>
      <c r="C20" s="791"/>
      <c r="D20" s="792">
        <f>SUMIF(PURCHASE!$C$3:$C$506,'AMOUNT UPDATE'!B20:B60,PURCHASE!$I$3:$I$506)</f>
        <v>0</v>
      </c>
      <c r="E20" s="792">
        <f>SUMIF(PURCHASE!$C$3:$C$506,'AMOUNT UPDATE'!B20:B60,PURCHASE!$J$3:$J$506)</f>
        <v>0</v>
      </c>
      <c r="F20" s="97">
        <f>SUMIF(EXPENSES!$K$3:$K$925,B5:B27,EXPENSES!$F$3:$F$925)</f>
        <v>0</v>
      </c>
      <c r="G20" s="789"/>
      <c r="H20" s="793">
        <f t="shared" si="1"/>
        <v>0</v>
      </c>
      <c r="I20" s="109"/>
      <c r="J20" s="109"/>
      <c r="K20" s="804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5.75" customHeight="1">
      <c r="A21" s="802">
        <v>18.0</v>
      </c>
      <c r="B21" s="790" t="s">
        <v>557</v>
      </c>
      <c r="C21" s="791"/>
      <c r="D21" s="792">
        <f>SUMIF(PURCHASE!$C$3:$C$506,'AMOUNT UPDATE'!B21:B60,PURCHASE!$I$3:$I$506)</f>
        <v>0</v>
      </c>
      <c r="E21" s="792">
        <f>SUMIF(PURCHASE!$C$3:$C$506,'AMOUNT UPDATE'!B21:B60,PURCHASE!$J$3:$J$506)</f>
        <v>0</v>
      </c>
      <c r="F21" s="97">
        <f>SUMIF(EXPENSES!$K$3:$K$925,B4:B27,EXPENSES!$F$3:$F$925)</f>
        <v>0</v>
      </c>
      <c r="G21" s="789"/>
      <c r="H21" s="793">
        <f t="shared" si="1"/>
        <v>0</v>
      </c>
      <c r="I21" s="109"/>
      <c r="J21" s="109"/>
      <c r="K21" s="795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802">
        <v>19.0</v>
      </c>
      <c r="B22" s="790"/>
      <c r="C22" s="791"/>
      <c r="D22" s="792">
        <f>SUMIF(PURCHASE!$C$3:$C$506,'AMOUNT UPDATE'!B22:B61,PURCHASE!$I$3:$I$506)</f>
        <v>0</v>
      </c>
      <c r="E22" s="792">
        <f>SUMIF(PURCHASE!$C$3:$C$506,'AMOUNT UPDATE'!B22:B61,PURCHASE!$J$3:$J$506)</f>
        <v>0</v>
      </c>
      <c r="F22" s="97">
        <f>SUMIF(EXPENSES!$K$3:$K$925,B5:B28,EXPENSES!$F$3:$F$925)</f>
        <v>0</v>
      </c>
      <c r="G22" s="789"/>
      <c r="H22" s="793">
        <f t="shared" si="1"/>
        <v>0</v>
      </c>
      <c r="I22" s="109"/>
      <c r="J22" s="109"/>
      <c r="K22" s="795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802">
        <v>19.0</v>
      </c>
      <c r="B23" s="790"/>
      <c r="C23" s="791"/>
      <c r="D23" s="792">
        <f>SUMIF(PURCHASE!$C$3:$C$506,'AMOUNT UPDATE'!B23:B62,PURCHASE!$I$3:$I$506)</f>
        <v>0</v>
      </c>
      <c r="E23" s="792">
        <f>SUMIF(PURCHASE!$C$3:$C$506,'AMOUNT UPDATE'!B23:B62,PURCHASE!$J$3:$J$506)</f>
        <v>0</v>
      </c>
      <c r="F23" s="97">
        <f>SUMIF(EXPENSES!$K$3:$K$925,B6:B29,EXPENSES!$F$3:$F$925)</f>
        <v>0</v>
      </c>
      <c r="G23" s="789"/>
      <c r="H23" s="793">
        <f t="shared" si="1"/>
        <v>0</v>
      </c>
      <c r="I23" s="109"/>
      <c r="J23" s="109"/>
      <c r="K23" s="795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802">
        <v>20.0</v>
      </c>
      <c r="B24" s="790"/>
      <c r="C24" s="791"/>
      <c r="D24" s="792">
        <f>SUMIF(PURCHASE!$C$3:$C$506,'AMOUNT UPDATE'!B24:B63,PURCHASE!$I$3:$I$506)</f>
        <v>0</v>
      </c>
      <c r="E24" s="792">
        <f>SUMIF(PURCHASE!$C$3:$C$506,'AMOUNT UPDATE'!B24:B63,PURCHASE!$J$3:$J$506)</f>
        <v>0</v>
      </c>
      <c r="F24" s="97">
        <f>SUMIF(EXPENSES!$K$3:$K$925,B7:B30,EXPENSES!$F$3:$F$925)</f>
        <v>0</v>
      </c>
      <c r="G24" s="789"/>
      <c r="H24" s="793">
        <f t="shared" si="1"/>
        <v>0</v>
      </c>
      <c r="I24" s="109"/>
      <c r="J24" s="109"/>
      <c r="K24" s="795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802">
        <v>21.0</v>
      </c>
      <c r="B25" s="790"/>
      <c r="C25" s="791"/>
      <c r="D25" s="792">
        <f>SUMIF(PURCHASE!$C$3:$C$506,'AMOUNT UPDATE'!B25:B64,PURCHASE!$I$3:$I$506)</f>
        <v>0</v>
      </c>
      <c r="E25" s="792">
        <f>SUMIF(PURCHASE!$C$3:$C$506,'AMOUNT UPDATE'!B25:B64,PURCHASE!$J$3:$J$506)</f>
        <v>0</v>
      </c>
      <c r="F25" s="97">
        <f>SUMIF(EXPENSES!$K$3:$K$925,B8:B31,EXPENSES!$F$3:$F$925)</f>
        <v>0</v>
      </c>
      <c r="G25" s="789"/>
      <c r="H25" s="793">
        <f t="shared" si="1"/>
        <v>0</v>
      </c>
      <c r="I25" s="109"/>
      <c r="J25" s="109"/>
      <c r="K25" s="795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102">
        <v>22.0</v>
      </c>
      <c r="B26" s="790"/>
      <c r="C26" s="793"/>
      <c r="D26" s="792">
        <f>SUMIF(PURCHASE!$C$3:$C$506,'AMOUNT UPDATE'!B26:B65,PURCHASE!$I$3:$I$506)</f>
        <v>0</v>
      </c>
      <c r="E26" s="792">
        <f>SUMIF(PURCHASE!$C$3:$C$506,'AMOUNT UPDATE'!B26:B65,PURCHASE!$J$3:$J$506)</f>
        <v>0</v>
      </c>
      <c r="F26" s="97">
        <f>SUMIF(EXPENSES!$K$3:$K$925,B9:B32,EXPENSES!$F$3:$F$925)</f>
        <v>0</v>
      </c>
      <c r="G26" s="805"/>
      <c r="H26" s="793">
        <f t="shared" si="1"/>
        <v>0</v>
      </c>
      <c r="I26" s="109"/>
      <c r="J26" s="109"/>
      <c r="K26" s="795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102">
        <v>23.0</v>
      </c>
      <c r="B27" s="790"/>
      <c r="C27" s="793"/>
      <c r="D27" s="792">
        <f>SUMIF(PURCHASE!$C$3:$C$506,'AMOUNT UPDATE'!B27:B60,PURCHASE!$I$3:$I$506)</f>
        <v>0</v>
      </c>
      <c r="E27" s="792">
        <f>SUMIF(PURCHASE!$C$3:$C$506,'AMOUNT UPDATE'!B27:B66,PURCHASE!$J$3:$J$506)</f>
        <v>0</v>
      </c>
      <c r="F27" s="97">
        <f>SUMIF(EXPENSES!$K$3:$K$925,B5:B28,EXPENSES!$F$3:$F$925)</f>
        <v>0</v>
      </c>
      <c r="G27" s="805"/>
      <c r="H27" s="793">
        <f t="shared" si="1"/>
        <v>0</v>
      </c>
      <c r="I27" s="109"/>
      <c r="J27" s="109"/>
      <c r="K27" s="795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102"/>
      <c r="B28" s="806" t="s">
        <v>558</v>
      </c>
      <c r="C28" s="807">
        <f>SUM(C4:C19)</f>
        <v>0</v>
      </c>
      <c r="D28" s="102"/>
      <c r="E28" s="102"/>
      <c r="F28" s="808">
        <v>0.0</v>
      </c>
      <c r="G28" s="510"/>
      <c r="H28" s="809">
        <f>SUM(H4:H27)</f>
        <v>-0.3765203596</v>
      </c>
      <c r="I28" s="109"/>
      <c r="J28" s="109"/>
      <c r="K28" s="795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102"/>
      <c r="B29" s="102"/>
      <c r="C29" s="102"/>
      <c r="D29" s="102"/>
      <c r="E29" s="102"/>
      <c r="F29" s="102"/>
      <c r="G29" s="102"/>
      <c r="H29" s="102"/>
      <c r="I29" s="109"/>
      <c r="J29" s="109"/>
      <c r="K29" s="795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109"/>
      <c r="B31" s="109"/>
      <c r="C31" s="109"/>
      <c r="D31" s="109"/>
      <c r="E31" s="109"/>
      <c r="F31" s="109"/>
      <c r="G31" s="109"/>
      <c r="H31" s="795"/>
      <c r="I31" s="109"/>
      <c r="J31" s="109"/>
      <c r="K31" s="773">
        <f>236640-403947</f>
        <v>-167307</v>
      </c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28"/>
  <mergeCells count="3">
    <mergeCell ref="A1:H2"/>
    <mergeCell ref="I16:J16"/>
    <mergeCell ref="F28:G28"/>
  </mergeCells>
  <conditionalFormatting sqref="C4:C27 H4:H27">
    <cfRule type="cellIs" dxfId="8" priority="1" operator="lessThan">
      <formula>0</formula>
    </cfRule>
  </conditionalFormatting>
  <conditionalFormatting sqref="C4:C27 H4:H27">
    <cfRule type="cellIs" dxfId="9" priority="2" operator="greaterThan">
      <formula>0</formula>
    </cfRule>
  </conditionalFormatting>
  <dataValidations>
    <dataValidation type="list" allowBlank="1" showErrorMessage="1" sqref="B4">
      <formula1>$B$4:$B$23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Col="1"/>
  <cols>
    <col customWidth="1" hidden="1" min="1" max="1" width="10.71"/>
    <col customWidth="1" min="2" max="2" width="5.86"/>
    <col customWidth="1" min="3" max="3" width="22.86"/>
    <col customWidth="1" min="4" max="4" width="16.29"/>
    <col customWidth="1" min="5" max="5" width="9.71"/>
    <col customWidth="1" min="6" max="6" width="6.43"/>
    <col customWidth="1" min="7" max="7" width="11.71"/>
    <col customWidth="1" min="8" max="8" width="10.57"/>
    <col customWidth="1" min="9" max="9" width="10.71"/>
    <col customWidth="1" hidden="1" min="10" max="16" width="5.71" outlineLevel="1"/>
    <col customWidth="1" hidden="1" min="17" max="17" width="8.29"/>
    <col customWidth="1" hidden="1" min="18" max="24" width="6.71" outlineLevel="1"/>
    <col customWidth="1" hidden="1" min="25" max="25" width="8.29"/>
    <col customWidth="1" hidden="1" min="26" max="32" width="6.71" outlineLevel="1"/>
    <col customWidth="1" hidden="1" min="33" max="33" width="8.29"/>
    <col customWidth="1" hidden="1" min="34" max="40" width="6.71" outlineLevel="1"/>
    <col customWidth="1" hidden="1" min="41" max="41" width="8.29"/>
    <col customWidth="1" hidden="1" min="42" max="44" width="8.29" outlineLevel="1"/>
    <col customWidth="1" hidden="1" min="45" max="46" width="8.29"/>
    <col customWidth="1" hidden="1" min="47" max="47" width="6.71"/>
    <col customWidth="1" hidden="1" min="48" max="48" width="4.43"/>
    <col customWidth="1" min="49" max="49" width="11.57"/>
    <col customWidth="1" min="50" max="50" width="9.43"/>
    <col customWidth="1" min="51" max="51" width="5.57"/>
    <col customWidth="1" min="52" max="52" width="9.29"/>
    <col customWidth="1" min="53" max="53" width="26.0"/>
    <col customWidth="1" min="54" max="54" width="9.57"/>
    <col customWidth="1" min="55" max="55" width="12.29"/>
    <col customWidth="1" min="56" max="56" width="11.86"/>
    <col customWidth="1" min="57" max="57" width="11.43"/>
    <col customWidth="1" min="58" max="58" width="11.71"/>
    <col customWidth="1" min="59" max="59" width="10.0"/>
    <col customWidth="1" min="60" max="60" width="10.71"/>
    <col customWidth="1" min="61" max="61" width="35.29"/>
  </cols>
  <sheetData>
    <row r="1" ht="33.0" customHeight="1">
      <c r="A1" s="810" t="s">
        <v>536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  <c r="R1" s="811"/>
      <c r="S1" s="811"/>
      <c r="T1" s="811"/>
      <c r="U1" s="811"/>
      <c r="V1" s="811"/>
      <c r="W1" s="811"/>
      <c r="X1" s="811"/>
      <c r="Y1" s="811"/>
      <c r="Z1" s="811"/>
      <c r="AA1" s="811"/>
      <c r="AB1" s="811"/>
      <c r="AC1" s="811"/>
      <c r="AD1" s="811"/>
      <c r="AE1" s="811"/>
      <c r="AF1" s="811"/>
      <c r="AG1" s="811"/>
      <c r="AH1" s="811"/>
      <c r="AI1" s="811"/>
      <c r="AJ1" s="811"/>
      <c r="AK1" s="811"/>
      <c r="AL1" s="811"/>
      <c r="AM1" s="811"/>
      <c r="AN1" s="811"/>
      <c r="AO1" s="811"/>
      <c r="AP1" s="811"/>
      <c r="AQ1" s="811"/>
      <c r="AR1" s="811"/>
      <c r="AS1" s="811"/>
      <c r="AT1" s="811"/>
      <c r="AU1" s="811"/>
      <c r="AV1" s="811"/>
      <c r="AW1" s="811"/>
      <c r="AX1" s="811"/>
      <c r="AY1" s="811"/>
      <c r="AZ1" s="811"/>
      <c r="BA1" s="811"/>
      <c r="BB1" s="811"/>
      <c r="BC1" s="811"/>
      <c r="BD1" s="811"/>
      <c r="BE1" s="811"/>
      <c r="BF1" s="811"/>
      <c r="BG1" s="811"/>
      <c r="BH1" s="811"/>
      <c r="BI1" s="812"/>
    </row>
    <row r="2" ht="30.0" customHeight="1">
      <c r="A2" s="813" t="s">
        <v>559</v>
      </c>
      <c r="B2" s="814"/>
      <c r="C2" s="3"/>
      <c r="D2" s="815"/>
      <c r="E2" s="816" t="s">
        <v>560</v>
      </c>
      <c r="F2" s="3"/>
      <c r="G2" s="816" t="s">
        <v>561</v>
      </c>
      <c r="H2" s="2"/>
      <c r="I2" s="2"/>
      <c r="J2" s="817"/>
      <c r="K2" s="817"/>
      <c r="L2" s="817"/>
      <c r="M2" s="817"/>
      <c r="N2" s="817"/>
      <c r="O2" s="817"/>
      <c r="P2" s="817"/>
      <c r="Q2" s="814" t="s">
        <v>562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/>
      <c r="AW2" s="813" t="s">
        <v>563</v>
      </c>
      <c r="AX2" s="814"/>
      <c r="AY2" s="3"/>
      <c r="AZ2" s="813"/>
      <c r="BA2" s="816" t="s">
        <v>564</v>
      </c>
      <c r="BB2" s="2"/>
      <c r="BC2" s="3"/>
      <c r="BD2" s="816" t="s">
        <v>565</v>
      </c>
      <c r="BE2" s="2"/>
      <c r="BF2" s="3"/>
      <c r="BG2" s="818" t="s">
        <v>566</v>
      </c>
      <c r="BH2" s="3"/>
      <c r="BI2" s="819"/>
    </row>
    <row r="3">
      <c r="A3" s="820" t="s">
        <v>567</v>
      </c>
      <c r="B3" s="821" t="s">
        <v>568</v>
      </c>
      <c r="C3" s="822" t="s">
        <v>569</v>
      </c>
      <c r="D3" s="823" t="s">
        <v>570</v>
      </c>
      <c r="E3" s="824" t="s">
        <v>571</v>
      </c>
      <c r="F3" s="825" t="s">
        <v>572</v>
      </c>
      <c r="G3" s="824" t="s">
        <v>573</v>
      </c>
      <c r="H3" s="826" t="s">
        <v>574</v>
      </c>
      <c r="I3" s="827" t="s">
        <v>575</v>
      </c>
      <c r="J3" s="828">
        <v>44652.0</v>
      </c>
      <c r="K3" s="828">
        <v>44653.0</v>
      </c>
      <c r="L3" s="828">
        <v>44654.0</v>
      </c>
      <c r="M3" s="828">
        <v>44655.0</v>
      </c>
      <c r="N3" s="828">
        <v>44656.0</v>
      </c>
      <c r="O3" s="828">
        <v>44657.0</v>
      </c>
      <c r="P3" s="829">
        <v>44658.0</v>
      </c>
      <c r="Q3" s="830" t="s">
        <v>576</v>
      </c>
      <c r="R3" s="831">
        <v>44659.0</v>
      </c>
      <c r="S3" s="831">
        <v>44660.0</v>
      </c>
      <c r="T3" s="831">
        <v>44661.0</v>
      </c>
      <c r="U3" s="831">
        <v>44662.0</v>
      </c>
      <c r="V3" s="831">
        <v>44663.0</v>
      </c>
      <c r="W3" s="831">
        <v>44664.0</v>
      </c>
      <c r="X3" s="832">
        <v>44665.0</v>
      </c>
      <c r="Y3" s="833" t="s">
        <v>577</v>
      </c>
      <c r="Z3" s="831">
        <v>44666.0</v>
      </c>
      <c r="AA3" s="834">
        <v>44667.0</v>
      </c>
      <c r="AB3" s="834">
        <v>44668.0</v>
      </c>
      <c r="AC3" s="834">
        <v>44669.0</v>
      </c>
      <c r="AD3" s="834">
        <v>44670.0</v>
      </c>
      <c r="AE3" s="834">
        <v>44671.0</v>
      </c>
      <c r="AF3" s="835">
        <v>44672.0</v>
      </c>
      <c r="AG3" s="833" t="s">
        <v>578</v>
      </c>
      <c r="AH3" s="831">
        <v>44673.0</v>
      </c>
      <c r="AI3" s="834">
        <v>44674.0</v>
      </c>
      <c r="AJ3" s="834">
        <v>44675.0</v>
      </c>
      <c r="AK3" s="834">
        <v>44676.0</v>
      </c>
      <c r="AL3" s="834">
        <v>44677.0</v>
      </c>
      <c r="AM3" s="834">
        <v>44678.0</v>
      </c>
      <c r="AN3" s="835">
        <v>44679.0</v>
      </c>
      <c r="AO3" s="833" t="s">
        <v>579</v>
      </c>
      <c r="AP3" s="836">
        <v>44680.0</v>
      </c>
      <c r="AQ3" s="837">
        <v>44681.0</v>
      </c>
      <c r="AR3" s="837">
        <v>44682.0</v>
      </c>
      <c r="AS3" s="838" t="s">
        <v>580</v>
      </c>
      <c r="AT3" s="839" t="s">
        <v>581</v>
      </c>
      <c r="AU3" s="826" t="s">
        <v>572</v>
      </c>
      <c r="AV3" s="825" t="s">
        <v>582</v>
      </c>
      <c r="AW3" s="840" t="s">
        <v>583</v>
      </c>
      <c r="AX3" s="826" t="s">
        <v>584</v>
      </c>
      <c r="AY3" s="825" t="s">
        <v>585</v>
      </c>
      <c r="AZ3" s="840" t="s">
        <v>586</v>
      </c>
      <c r="BA3" s="841" t="s">
        <v>587</v>
      </c>
      <c r="BB3" s="826" t="s">
        <v>588</v>
      </c>
      <c r="BC3" s="825" t="s">
        <v>589</v>
      </c>
      <c r="BD3" s="842" t="s">
        <v>590</v>
      </c>
      <c r="BE3" s="843" t="s">
        <v>591</v>
      </c>
      <c r="BF3" s="844" t="s">
        <v>26</v>
      </c>
      <c r="BG3" s="821" t="s">
        <v>592</v>
      </c>
      <c r="BH3" s="825" t="s">
        <v>593</v>
      </c>
      <c r="BI3" s="820" t="s">
        <v>594</v>
      </c>
    </row>
    <row r="4">
      <c r="A4" s="845" t="s">
        <v>595</v>
      </c>
      <c r="B4" s="846"/>
      <c r="C4" s="847"/>
      <c r="D4" s="848"/>
      <c r="E4" s="849"/>
      <c r="F4" s="850"/>
      <c r="G4" s="849"/>
      <c r="H4" s="851"/>
      <c r="I4" s="852"/>
      <c r="J4" s="828"/>
      <c r="K4" s="828"/>
      <c r="L4" s="828"/>
      <c r="M4" s="828"/>
      <c r="N4" s="828"/>
      <c r="O4" s="828"/>
      <c r="P4" s="829"/>
      <c r="Q4" s="853"/>
      <c r="R4" s="854"/>
      <c r="S4" s="854"/>
      <c r="T4" s="854"/>
      <c r="U4" s="854"/>
      <c r="V4" s="854"/>
      <c r="W4" s="854"/>
      <c r="X4" s="855"/>
      <c r="Y4" s="856"/>
      <c r="Z4" s="854"/>
      <c r="AA4" s="854"/>
      <c r="AB4" s="854"/>
      <c r="AC4" s="854"/>
      <c r="AD4" s="854"/>
      <c r="AE4" s="854"/>
      <c r="AF4" s="855"/>
      <c r="AG4" s="856"/>
      <c r="AH4" s="854"/>
      <c r="AI4" s="854"/>
      <c r="AJ4" s="854"/>
      <c r="AK4" s="854"/>
      <c r="AL4" s="854"/>
      <c r="AM4" s="854"/>
      <c r="AN4" s="855"/>
      <c r="AO4" s="856"/>
      <c r="AP4" s="855"/>
      <c r="AQ4" s="855"/>
      <c r="AR4" s="855"/>
      <c r="AS4" s="856"/>
      <c r="AT4" s="857"/>
      <c r="AU4" s="851"/>
      <c r="AV4" s="850"/>
      <c r="AW4" s="858"/>
      <c r="AX4" s="851"/>
      <c r="AY4" s="850"/>
      <c r="AZ4" s="858"/>
      <c r="BA4" s="859"/>
      <c r="BB4" s="851"/>
      <c r="BC4" s="850"/>
      <c r="BD4" s="860"/>
      <c r="BE4" s="861"/>
      <c r="BF4" s="862"/>
      <c r="BG4" s="863"/>
      <c r="BH4" s="850"/>
      <c r="BI4" s="864"/>
    </row>
    <row r="5">
      <c r="A5" s="865"/>
      <c r="B5" s="866">
        <v>1.0</v>
      </c>
      <c r="C5" s="867" t="s">
        <v>596</v>
      </c>
      <c r="D5" s="868" t="s">
        <v>597</v>
      </c>
      <c r="E5" s="869" t="s">
        <v>598</v>
      </c>
      <c r="F5" s="870">
        <v>9.0</v>
      </c>
      <c r="G5" s="871">
        <v>110000.0</v>
      </c>
      <c r="H5" s="872">
        <f>+G5/26</f>
        <v>4230.769231</v>
      </c>
      <c r="I5" s="873">
        <f t="shared" ref="I5:I14" si="1">+H5/F5</f>
        <v>470.0854701</v>
      </c>
      <c r="J5" s="874">
        <v>1.0</v>
      </c>
      <c r="K5" s="874">
        <v>1.0</v>
      </c>
      <c r="L5" s="874">
        <v>1.0</v>
      </c>
      <c r="M5" s="874">
        <v>1.0</v>
      </c>
      <c r="N5" s="874">
        <v>1.0</v>
      </c>
      <c r="O5" s="874">
        <v>1.0</v>
      </c>
      <c r="P5" s="875">
        <v>1.0</v>
      </c>
      <c r="Q5" s="876"/>
      <c r="R5" s="877"/>
      <c r="S5" s="877"/>
      <c r="T5" s="877"/>
      <c r="U5" s="877"/>
      <c r="V5" s="877"/>
      <c r="W5" s="877"/>
      <c r="X5" s="878"/>
      <c r="Y5" s="876"/>
      <c r="Z5" s="877"/>
      <c r="AA5" s="877"/>
      <c r="AB5" s="877"/>
      <c r="AC5" s="877"/>
      <c r="AD5" s="877"/>
      <c r="AE5" s="877"/>
      <c r="AF5" s="878"/>
      <c r="AG5" s="876"/>
      <c r="AH5" s="877"/>
      <c r="AI5" s="877"/>
      <c r="AJ5" s="877"/>
      <c r="AK5" s="877"/>
      <c r="AL5" s="877"/>
      <c r="AM5" s="877"/>
      <c r="AN5" s="878"/>
      <c r="AO5" s="876"/>
      <c r="AP5" s="877"/>
      <c r="AQ5" s="879"/>
      <c r="AR5" s="880"/>
      <c r="AS5" s="876"/>
      <c r="AT5" s="881">
        <v>26.0</v>
      </c>
      <c r="AU5" s="879"/>
      <c r="AV5" s="882"/>
      <c r="AW5" s="883">
        <f t="shared" ref="AW5:AW7" si="2">(AT5*H5)+(AU5*H5)-(AV5*H5)</f>
        <v>110000</v>
      </c>
      <c r="AX5" s="884"/>
      <c r="AY5" s="885"/>
      <c r="AZ5" s="886">
        <f t="shared" ref="AZ5:AZ21" si="3">+AY5+AX5+AW5</f>
        <v>110000</v>
      </c>
      <c r="BA5" s="887"/>
      <c r="BB5" s="884"/>
      <c r="BC5" s="888">
        <v>30000.0</v>
      </c>
      <c r="BD5" s="889">
        <f t="shared" ref="BD5:BD21" si="4">AZ5-BA5+BB5-BC5</f>
        <v>80000</v>
      </c>
      <c r="BE5" s="890"/>
      <c r="BF5" s="891">
        <f t="shared" ref="BF5:BF7" si="5">BE5-BD5</f>
        <v>-80000</v>
      </c>
      <c r="BG5" s="892"/>
      <c r="BH5" s="885"/>
      <c r="BI5" s="893"/>
    </row>
    <row r="6">
      <c r="A6" s="865"/>
      <c r="B6" s="866">
        <v>2.0</v>
      </c>
      <c r="C6" s="867" t="s">
        <v>137</v>
      </c>
      <c r="D6" s="868" t="s">
        <v>599</v>
      </c>
      <c r="E6" s="869" t="s">
        <v>598</v>
      </c>
      <c r="F6" s="870">
        <v>9.0</v>
      </c>
      <c r="G6" s="871">
        <v>25000.0</v>
      </c>
      <c r="H6" s="872">
        <f>G6/26</f>
        <v>961.5384615</v>
      </c>
      <c r="I6" s="873">
        <f t="shared" si="1"/>
        <v>106.8376068</v>
      </c>
      <c r="J6" s="874">
        <v>1.0</v>
      </c>
      <c r="K6" s="874">
        <v>1.0</v>
      </c>
      <c r="L6" s="874">
        <v>1.0</v>
      </c>
      <c r="M6" s="874" t="s">
        <v>600</v>
      </c>
      <c r="N6" s="874">
        <v>1.0</v>
      </c>
      <c r="O6" s="874">
        <v>1.0</v>
      </c>
      <c r="P6" s="874">
        <v>1.0</v>
      </c>
      <c r="Q6" s="876"/>
      <c r="R6" s="874"/>
      <c r="S6" s="874"/>
      <c r="T6" s="874"/>
      <c r="U6" s="874"/>
      <c r="V6" s="874"/>
      <c r="W6" s="874"/>
      <c r="X6" s="874"/>
      <c r="Y6" s="876"/>
      <c r="Z6" s="874"/>
      <c r="AA6" s="874"/>
      <c r="AB6" s="874"/>
      <c r="AC6" s="874"/>
      <c r="AD6" s="874"/>
      <c r="AE6" s="874"/>
      <c r="AF6" s="874"/>
      <c r="AG6" s="876"/>
      <c r="AH6" s="874"/>
      <c r="AI6" s="874"/>
      <c r="AJ6" s="874"/>
      <c r="AK6" s="874"/>
      <c r="AL6" s="874"/>
      <c r="AM6" s="874"/>
      <c r="AN6" s="874"/>
      <c r="AO6" s="876"/>
      <c r="AP6" s="874"/>
      <c r="AQ6" s="879"/>
      <c r="AR6" s="880"/>
      <c r="AS6" s="876"/>
      <c r="AT6" s="881">
        <v>26.0</v>
      </c>
      <c r="AU6" s="879"/>
      <c r="AV6" s="882"/>
      <c r="AW6" s="883">
        <f t="shared" si="2"/>
        <v>25000</v>
      </c>
      <c r="AX6" s="884"/>
      <c r="AY6" s="885"/>
      <c r="AZ6" s="886">
        <f t="shared" si="3"/>
        <v>25000</v>
      </c>
      <c r="BA6" s="887"/>
      <c r="BB6" s="884"/>
      <c r="BC6" s="888">
        <v>2249.0</v>
      </c>
      <c r="BD6" s="889">
        <f t="shared" si="4"/>
        <v>22751</v>
      </c>
      <c r="BE6" s="890"/>
      <c r="BF6" s="891">
        <f t="shared" si="5"/>
        <v>-22751</v>
      </c>
      <c r="BG6" s="892"/>
      <c r="BH6" s="885">
        <v>0.0</v>
      </c>
      <c r="BI6" s="893"/>
    </row>
    <row r="7">
      <c r="A7" s="894"/>
      <c r="B7" s="866">
        <v>3.0</v>
      </c>
      <c r="C7" s="895" t="s">
        <v>601</v>
      </c>
      <c r="D7" s="896" t="s">
        <v>602</v>
      </c>
      <c r="E7" s="869" t="s">
        <v>598</v>
      </c>
      <c r="F7" s="870">
        <v>9.0</v>
      </c>
      <c r="G7" s="871">
        <v>59000.0</v>
      </c>
      <c r="H7" s="872">
        <f t="shared" ref="H7:H14" si="6">+G7/26</f>
        <v>2269.230769</v>
      </c>
      <c r="I7" s="873">
        <f t="shared" si="1"/>
        <v>252.1367521</v>
      </c>
      <c r="J7" s="874">
        <v>1.0</v>
      </c>
      <c r="K7" s="874">
        <v>1.0</v>
      </c>
      <c r="L7" s="874">
        <v>1.0</v>
      </c>
      <c r="M7" s="874">
        <v>1.0</v>
      </c>
      <c r="N7" s="874">
        <v>1.0</v>
      </c>
      <c r="O7" s="874">
        <v>1.0</v>
      </c>
      <c r="P7" s="875">
        <v>1.0</v>
      </c>
      <c r="Q7" s="876"/>
      <c r="R7" s="877"/>
      <c r="S7" s="877"/>
      <c r="T7" s="877"/>
      <c r="U7" s="877"/>
      <c r="V7" s="877"/>
      <c r="W7" s="877"/>
      <c r="X7" s="878"/>
      <c r="Y7" s="876"/>
      <c r="Z7" s="877"/>
      <c r="AA7" s="877"/>
      <c r="AB7" s="877"/>
      <c r="AC7" s="877"/>
      <c r="AD7" s="877"/>
      <c r="AE7" s="877"/>
      <c r="AF7" s="878"/>
      <c r="AG7" s="876"/>
      <c r="AH7" s="877"/>
      <c r="AI7" s="877"/>
      <c r="AJ7" s="877"/>
      <c r="AK7" s="877"/>
      <c r="AL7" s="877"/>
      <c r="AM7" s="877"/>
      <c r="AN7" s="878"/>
      <c r="AO7" s="876"/>
      <c r="AP7" s="877"/>
      <c r="AQ7" s="879"/>
      <c r="AR7" s="880"/>
      <c r="AS7" s="876"/>
      <c r="AT7" s="881">
        <v>26.0</v>
      </c>
      <c r="AU7" s="879"/>
      <c r="AV7" s="882"/>
      <c r="AW7" s="883">
        <f t="shared" si="2"/>
        <v>59000</v>
      </c>
      <c r="AX7" s="884"/>
      <c r="AY7" s="885"/>
      <c r="AZ7" s="886">
        <f t="shared" si="3"/>
        <v>59000</v>
      </c>
      <c r="BA7" s="887"/>
      <c r="BB7" s="884"/>
      <c r="BC7" s="888">
        <v>25240.0</v>
      </c>
      <c r="BD7" s="889">
        <f t="shared" si="4"/>
        <v>33760</v>
      </c>
      <c r="BE7" s="890"/>
      <c r="BF7" s="891">
        <f t="shared" si="5"/>
        <v>-33760</v>
      </c>
      <c r="BG7" s="892"/>
      <c r="BH7" s="885"/>
      <c r="BI7" s="893"/>
    </row>
    <row r="8">
      <c r="A8" s="894"/>
      <c r="B8" s="866">
        <v>4.0</v>
      </c>
      <c r="C8" s="897" t="s">
        <v>603</v>
      </c>
      <c r="D8" s="896" t="s">
        <v>604</v>
      </c>
      <c r="E8" s="871" t="s">
        <v>598</v>
      </c>
      <c r="F8" s="870">
        <v>9.0</v>
      </c>
      <c r="G8" s="871">
        <v>32000.0</v>
      </c>
      <c r="H8" s="872">
        <f t="shared" si="6"/>
        <v>1230.769231</v>
      </c>
      <c r="I8" s="873">
        <f t="shared" si="1"/>
        <v>136.7521368</v>
      </c>
      <c r="J8" s="874">
        <v>1.0</v>
      </c>
      <c r="K8" s="874">
        <v>1.0</v>
      </c>
      <c r="L8" s="874">
        <v>1.0</v>
      </c>
      <c r="M8" s="874">
        <v>1.0</v>
      </c>
      <c r="N8" s="874">
        <v>1.0</v>
      </c>
      <c r="O8" s="874">
        <v>1.0</v>
      </c>
      <c r="P8" s="875">
        <v>1.0</v>
      </c>
      <c r="Q8" s="876"/>
      <c r="R8" s="877"/>
      <c r="S8" s="877"/>
      <c r="T8" s="877"/>
      <c r="U8" s="877"/>
      <c r="V8" s="877"/>
      <c r="W8" s="877"/>
      <c r="X8" s="878"/>
      <c r="Y8" s="876"/>
      <c r="Z8" s="877"/>
      <c r="AA8" s="877"/>
      <c r="AB8" s="877"/>
      <c r="AC8" s="877"/>
      <c r="AD8" s="877"/>
      <c r="AE8" s="877"/>
      <c r="AF8" s="878"/>
      <c r="AG8" s="876"/>
      <c r="AH8" s="877"/>
      <c r="AI8" s="877"/>
      <c r="AJ8" s="877"/>
      <c r="AK8" s="877"/>
      <c r="AL8" s="877"/>
      <c r="AM8" s="877"/>
      <c r="AN8" s="878"/>
      <c r="AO8" s="876"/>
      <c r="AP8" s="877"/>
      <c r="AQ8" s="879"/>
      <c r="AR8" s="880"/>
      <c r="AS8" s="876"/>
      <c r="AT8" s="881">
        <v>26.0</v>
      </c>
      <c r="AU8" s="879"/>
      <c r="AV8" s="882"/>
      <c r="AW8" s="883">
        <f>(AT8*H8)+(AU8*I8)-(AV8*H8)</f>
        <v>32000</v>
      </c>
      <c r="AX8" s="884"/>
      <c r="AY8" s="885"/>
      <c r="AZ8" s="886">
        <f t="shared" si="3"/>
        <v>32000</v>
      </c>
      <c r="BA8" s="898"/>
      <c r="BB8" s="884"/>
      <c r="BC8" s="888">
        <v>3000.0</v>
      </c>
      <c r="BD8" s="889">
        <f t="shared" si="4"/>
        <v>29000</v>
      </c>
      <c r="BE8" s="890"/>
      <c r="BF8" s="891">
        <f t="shared" ref="BF8:BF21" si="7">+BE8-BD8</f>
        <v>-29000</v>
      </c>
      <c r="BG8" s="892"/>
      <c r="BH8" s="885">
        <f t="shared" ref="BH8:BH13" si="8">BG8+BB8-BA8</f>
        <v>0</v>
      </c>
      <c r="BI8" s="893"/>
    </row>
    <row r="9">
      <c r="A9" s="899">
        <v>45184.0</v>
      </c>
      <c r="B9" s="900">
        <v>5.0</v>
      </c>
      <c r="C9" s="901" t="s">
        <v>129</v>
      </c>
      <c r="D9" s="902" t="s">
        <v>604</v>
      </c>
      <c r="E9" s="903" t="s">
        <v>598</v>
      </c>
      <c r="F9" s="904">
        <v>9.0</v>
      </c>
      <c r="G9" s="903">
        <v>32000.0</v>
      </c>
      <c r="H9" s="905">
        <f t="shared" si="6"/>
        <v>1230.769231</v>
      </c>
      <c r="I9" s="906">
        <f t="shared" si="1"/>
        <v>136.7521368</v>
      </c>
      <c r="J9" s="907">
        <v>1.0</v>
      </c>
      <c r="K9" s="907">
        <v>1.0</v>
      </c>
      <c r="L9" s="907">
        <v>1.0</v>
      </c>
      <c r="M9" s="907">
        <v>1.0</v>
      </c>
      <c r="N9" s="907">
        <v>1.0</v>
      </c>
      <c r="O9" s="907">
        <v>1.0</v>
      </c>
      <c r="P9" s="908">
        <v>1.0</v>
      </c>
      <c r="Q9" s="909"/>
      <c r="R9" s="907"/>
      <c r="S9" s="907"/>
      <c r="T9" s="907"/>
      <c r="U9" s="907"/>
      <c r="V9" s="907"/>
      <c r="W9" s="907"/>
      <c r="X9" s="910"/>
      <c r="Y9" s="909"/>
      <c r="Z9" s="907"/>
      <c r="AA9" s="907"/>
      <c r="AB9" s="907"/>
      <c r="AC9" s="907"/>
      <c r="AD9" s="907"/>
      <c r="AE9" s="907"/>
      <c r="AF9" s="910"/>
      <c r="AG9" s="909"/>
      <c r="AH9" s="911"/>
      <c r="AI9" s="911"/>
      <c r="AJ9" s="911"/>
      <c r="AK9" s="911"/>
      <c r="AL9" s="911"/>
      <c r="AM9" s="911"/>
      <c r="AN9" s="910"/>
      <c r="AO9" s="909"/>
      <c r="AP9" s="911"/>
      <c r="AQ9" s="912"/>
      <c r="AR9" s="913"/>
      <c r="AS9" s="909"/>
      <c r="AT9" s="914">
        <v>26.0</v>
      </c>
      <c r="AU9" s="912"/>
      <c r="AV9" s="915"/>
      <c r="AW9" s="916">
        <f t="shared" ref="AW9:AW21" si="9">(AT9*H9)+(AU9*H9)-(AV9*H9)</f>
        <v>32000</v>
      </c>
      <c r="AX9" s="917"/>
      <c r="AY9" s="918"/>
      <c r="AZ9" s="886">
        <f t="shared" si="3"/>
        <v>32000</v>
      </c>
      <c r="BA9" s="919"/>
      <c r="BB9" s="917"/>
      <c r="BC9" s="920">
        <v>10000.0</v>
      </c>
      <c r="BD9" s="921">
        <f t="shared" si="4"/>
        <v>22000</v>
      </c>
      <c r="BE9" s="922"/>
      <c r="BF9" s="923">
        <f t="shared" si="7"/>
        <v>-22000</v>
      </c>
      <c r="BG9" s="892"/>
      <c r="BH9" s="918">
        <f t="shared" si="8"/>
        <v>0</v>
      </c>
      <c r="BI9" s="924"/>
    </row>
    <row r="10">
      <c r="A10" s="894">
        <v>45190.0</v>
      </c>
      <c r="B10" s="866">
        <v>6.0</v>
      </c>
      <c r="C10" s="897" t="s">
        <v>605</v>
      </c>
      <c r="D10" s="896" t="s">
        <v>604</v>
      </c>
      <c r="E10" s="871" t="s">
        <v>598</v>
      </c>
      <c r="F10" s="870">
        <v>9.0</v>
      </c>
      <c r="G10" s="871">
        <v>34500.0</v>
      </c>
      <c r="H10" s="872">
        <f t="shared" si="6"/>
        <v>1326.923077</v>
      </c>
      <c r="I10" s="873">
        <f t="shared" si="1"/>
        <v>147.4358974</v>
      </c>
      <c r="J10" s="874">
        <v>1.0</v>
      </c>
      <c r="K10" s="874">
        <v>1.0</v>
      </c>
      <c r="L10" s="874">
        <v>1.0</v>
      </c>
      <c r="M10" s="874">
        <v>1.0</v>
      </c>
      <c r="N10" s="874">
        <v>1.0</v>
      </c>
      <c r="O10" s="874">
        <v>1.0</v>
      </c>
      <c r="P10" s="875"/>
      <c r="Q10" s="876"/>
      <c r="R10" s="874"/>
      <c r="S10" s="874"/>
      <c r="T10" s="874"/>
      <c r="U10" s="874"/>
      <c r="V10" s="874"/>
      <c r="W10" s="874"/>
      <c r="X10" s="878"/>
      <c r="Y10" s="876"/>
      <c r="Z10" s="877"/>
      <c r="AA10" s="877"/>
      <c r="AB10" s="877"/>
      <c r="AC10" s="877"/>
      <c r="AD10" s="877"/>
      <c r="AE10" s="877"/>
      <c r="AF10" s="878"/>
      <c r="AG10" s="876"/>
      <c r="AH10" s="877"/>
      <c r="AI10" s="877"/>
      <c r="AJ10" s="877"/>
      <c r="AK10" s="877"/>
      <c r="AL10" s="877"/>
      <c r="AM10" s="877"/>
      <c r="AN10" s="878"/>
      <c r="AO10" s="876"/>
      <c r="AP10" s="877"/>
      <c r="AQ10" s="879"/>
      <c r="AR10" s="880"/>
      <c r="AS10" s="876"/>
      <c r="AT10" s="881">
        <v>26.0</v>
      </c>
      <c r="AU10" s="879"/>
      <c r="AV10" s="882"/>
      <c r="AW10" s="883">
        <f t="shared" si="9"/>
        <v>34500</v>
      </c>
      <c r="AX10" s="884"/>
      <c r="AY10" s="885"/>
      <c r="AZ10" s="886">
        <f t="shared" si="3"/>
        <v>34500</v>
      </c>
      <c r="BA10" s="887"/>
      <c r="BB10" s="884"/>
      <c r="BC10" s="888">
        <v>5000.0</v>
      </c>
      <c r="BD10" s="889">
        <f t="shared" si="4"/>
        <v>29500</v>
      </c>
      <c r="BE10" s="890"/>
      <c r="BF10" s="925">
        <f t="shared" si="7"/>
        <v>-29500</v>
      </c>
      <c r="BG10" s="892"/>
      <c r="BH10" s="885">
        <f t="shared" si="8"/>
        <v>0</v>
      </c>
      <c r="BI10" s="893"/>
    </row>
    <row r="11">
      <c r="A11" s="894"/>
      <c r="B11" s="866">
        <v>7.0</v>
      </c>
      <c r="C11" s="897" t="s">
        <v>606</v>
      </c>
      <c r="D11" s="896" t="s">
        <v>607</v>
      </c>
      <c r="E11" s="871" t="s">
        <v>598</v>
      </c>
      <c r="F11" s="870">
        <v>9.0</v>
      </c>
      <c r="G11" s="871">
        <v>45000.0</v>
      </c>
      <c r="H11" s="926">
        <f t="shared" si="6"/>
        <v>1730.769231</v>
      </c>
      <c r="I11" s="873">
        <f t="shared" si="1"/>
        <v>192.3076923</v>
      </c>
      <c r="J11" s="874">
        <v>1.0</v>
      </c>
      <c r="K11" s="874">
        <v>1.0</v>
      </c>
      <c r="L11" s="874">
        <v>1.0</v>
      </c>
      <c r="M11" s="874">
        <v>1.0</v>
      </c>
      <c r="N11" s="874">
        <v>1.0</v>
      </c>
      <c r="O11" s="874">
        <v>1.0</v>
      </c>
      <c r="P11" s="875">
        <v>1.0</v>
      </c>
      <c r="Q11" s="876"/>
      <c r="R11" s="877"/>
      <c r="S11" s="877"/>
      <c r="T11" s="877"/>
      <c r="U11" s="877"/>
      <c r="V11" s="877"/>
      <c r="W11" s="877"/>
      <c r="X11" s="878"/>
      <c r="Y11" s="876"/>
      <c r="Z11" s="877"/>
      <c r="AA11" s="877"/>
      <c r="AB11" s="877"/>
      <c r="AC11" s="877"/>
      <c r="AD11" s="877"/>
      <c r="AE11" s="877"/>
      <c r="AF11" s="878"/>
      <c r="AG11" s="876"/>
      <c r="AH11" s="877"/>
      <c r="AI11" s="877"/>
      <c r="AJ11" s="877"/>
      <c r="AK11" s="877"/>
      <c r="AL11" s="877"/>
      <c r="AM11" s="877"/>
      <c r="AN11" s="878"/>
      <c r="AO11" s="876"/>
      <c r="AP11" s="877"/>
      <c r="AQ11" s="879"/>
      <c r="AR11" s="880"/>
      <c r="AS11" s="876"/>
      <c r="AT11" s="881">
        <v>26.0</v>
      </c>
      <c r="AU11" s="879"/>
      <c r="AV11" s="882"/>
      <c r="AW11" s="883">
        <f t="shared" si="9"/>
        <v>45000</v>
      </c>
      <c r="AX11" s="884"/>
      <c r="AY11" s="885"/>
      <c r="AZ11" s="886">
        <f t="shared" si="3"/>
        <v>45000</v>
      </c>
      <c r="BA11" s="887"/>
      <c r="BB11" s="884"/>
      <c r="BC11" s="888">
        <v>30000.0</v>
      </c>
      <c r="BD11" s="889">
        <f t="shared" si="4"/>
        <v>15000</v>
      </c>
      <c r="BE11" s="890"/>
      <c r="BF11" s="925">
        <f t="shared" si="7"/>
        <v>-15000</v>
      </c>
      <c r="BG11" s="892"/>
      <c r="BH11" s="885">
        <f t="shared" si="8"/>
        <v>0</v>
      </c>
      <c r="BI11" s="893"/>
    </row>
    <row r="12" ht="19.5" customHeight="1">
      <c r="A12" s="894"/>
      <c r="B12" s="866">
        <v>8.0</v>
      </c>
      <c r="C12" s="897" t="s">
        <v>608</v>
      </c>
      <c r="D12" s="896" t="s">
        <v>604</v>
      </c>
      <c r="E12" s="871" t="s">
        <v>598</v>
      </c>
      <c r="F12" s="870">
        <v>9.0</v>
      </c>
      <c r="G12" s="871">
        <v>41500.0</v>
      </c>
      <c r="H12" s="926">
        <f t="shared" si="6"/>
        <v>1596.153846</v>
      </c>
      <c r="I12" s="873">
        <f t="shared" si="1"/>
        <v>177.3504274</v>
      </c>
      <c r="J12" s="874">
        <v>1.0</v>
      </c>
      <c r="K12" s="874">
        <v>1.0</v>
      </c>
      <c r="L12" s="874">
        <v>1.0</v>
      </c>
      <c r="M12" s="874">
        <v>1.0</v>
      </c>
      <c r="N12" s="874">
        <v>1.0</v>
      </c>
      <c r="O12" s="874">
        <v>1.0</v>
      </c>
      <c r="P12" s="875">
        <v>1.0</v>
      </c>
      <c r="Q12" s="876"/>
      <c r="R12" s="877"/>
      <c r="S12" s="877"/>
      <c r="T12" s="877"/>
      <c r="U12" s="877"/>
      <c r="V12" s="877"/>
      <c r="W12" s="877"/>
      <c r="X12" s="878"/>
      <c r="Y12" s="876"/>
      <c r="Z12" s="877"/>
      <c r="AA12" s="877"/>
      <c r="AB12" s="877"/>
      <c r="AC12" s="877"/>
      <c r="AD12" s="877"/>
      <c r="AE12" s="877"/>
      <c r="AF12" s="878"/>
      <c r="AG12" s="876"/>
      <c r="AH12" s="877"/>
      <c r="AI12" s="877"/>
      <c r="AJ12" s="877"/>
      <c r="AK12" s="877"/>
      <c r="AL12" s="877"/>
      <c r="AM12" s="877"/>
      <c r="AN12" s="878"/>
      <c r="AO12" s="876"/>
      <c r="AP12" s="877"/>
      <c r="AQ12" s="879"/>
      <c r="AR12" s="880"/>
      <c r="AS12" s="876"/>
      <c r="AT12" s="881">
        <v>26.0</v>
      </c>
      <c r="AU12" s="879"/>
      <c r="AV12" s="882"/>
      <c r="AW12" s="883">
        <f t="shared" si="9"/>
        <v>41500</v>
      </c>
      <c r="AX12" s="884"/>
      <c r="AY12" s="885"/>
      <c r="AZ12" s="886">
        <f t="shared" si="3"/>
        <v>41500</v>
      </c>
      <c r="BA12" s="887"/>
      <c r="BB12" s="884"/>
      <c r="BC12" s="927"/>
      <c r="BD12" s="889">
        <f t="shared" si="4"/>
        <v>41500</v>
      </c>
      <c r="BE12" s="890"/>
      <c r="BF12" s="925">
        <f t="shared" si="7"/>
        <v>-41500</v>
      </c>
      <c r="BG12" s="892"/>
      <c r="BH12" s="885">
        <f t="shared" si="8"/>
        <v>0</v>
      </c>
      <c r="BI12" s="893"/>
    </row>
    <row r="13" ht="19.5" customHeight="1">
      <c r="A13" s="928"/>
      <c r="B13" s="929"/>
      <c r="C13" s="930"/>
      <c r="D13" s="931"/>
      <c r="E13" s="871"/>
      <c r="F13" s="870"/>
      <c r="G13" s="932"/>
      <c r="H13" s="926">
        <f t="shared" si="6"/>
        <v>0</v>
      </c>
      <c r="I13" s="873" t="str">
        <f t="shared" si="1"/>
        <v>#DIV/0!</v>
      </c>
      <c r="J13" s="933"/>
      <c r="K13" s="933"/>
      <c r="L13" s="933"/>
      <c r="M13" s="933"/>
      <c r="N13" s="933"/>
      <c r="O13" s="933"/>
      <c r="P13" s="934"/>
      <c r="Q13" s="876"/>
      <c r="R13" s="935"/>
      <c r="S13" s="935"/>
      <c r="T13" s="935"/>
      <c r="U13" s="935"/>
      <c r="V13" s="935"/>
      <c r="W13" s="935"/>
      <c r="X13" s="936"/>
      <c r="Y13" s="876"/>
      <c r="Z13" s="877"/>
      <c r="AA13" s="935"/>
      <c r="AB13" s="935"/>
      <c r="AC13" s="935"/>
      <c r="AD13" s="935"/>
      <c r="AE13" s="935"/>
      <c r="AF13" s="936"/>
      <c r="AG13" s="876"/>
      <c r="AH13" s="935"/>
      <c r="AI13" s="935"/>
      <c r="AJ13" s="877"/>
      <c r="AK13" s="935"/>
      <c r="AL13" s="877"/>
      <c r="AM13" s="877"/>
      <c r="AN13" s="936"/>
      <c r="AO13" s="876"/>
      <c r="AP13" s="937"/>
      <c r="AQ13" s="937"/>
      <c r="AR13" s="938"/>
      <c r="AS13" s="876"/>
      <c r="AT13" s="939">
        <f t="shared" ref="AT13:AT20" si="10">AS13+AO13+AG13+Y13+Q13</f>
        <v>0</v>
      </c>
      <c r="AU13" s="940"/>
      <c r="AV13" s="941"/>
      <c r="AW13" s="883">
        <f t="shared" si="9"/>
        <v>0</v>
      </c>
      <c r="AX13" s="942"/>
      <c r="AY13" s="943"/>
      <c r="AZ13" s="883">
        <f t="shared" si="3"/>
        <v>0</v>
      </c>
      <c r="BA13" s="944"/>
      <c r="BB13" s="942"/>
      <c r="BC13" s="927"/>
      <c r="BD13" s="889">
        <f t="shared" si="4"/>
        <v>0</v>
      </c>
      <c r="BE13" s="889"/>
      <c r="BF13" s="891">
        <f t="shared" si="7"/>
        <v>0</v>
      </c>
      <c r="BG13" s="892"/>
      <c r="BH13" s="885">
        <f t="shared" si="8"/>
        <v>0</v>
      </c>
      <c r="BI13" s="945"/>
    </row>
    <row r="14" ht="19.5" customHeight="1">
      <c r="A14" s="946" t="s">
        <v>609</v>
      </c>
      <c r="B14" s="947">
        <v>1.0</v>
      </c>
      <c r="C14" s="948" t="s">
        <v>610</v>
      </c>
      <c r="D14" s="949" t="s">
        <v>611</v>
      </c>
      <c r="E14" s="950" t="s">
        <v>598</v>
      </c>
      <c r="F14" s="951">
        <v>9.0</v>
      </c>
      <c r="G14" s="950"/>
      <c r="H14" s="952">
        <f t="shared" si="6"/>
        <v>0</v>
      </c>
      <c r="I14" s="953">
        <f t="shared" si="1"/>
        <v>0</v>
      </c>
      <c r="J14" s="933">
        <v>1.0</v>
      </c>
      <c r="K14" s="933">
        <v>1.0</v>
      </c>
      <c r="L14" s="933">
        <v>1.0</v>
      </c>
      <c r="M14" s="933">
        <v>1.0</v>
      </c>
      <c r="N14" s="933">
        <v>1.0</v>
      </c>
      <c r="O14" s="933">
        <v>1.0</v>
      </c>
      <c r="P14" s="934" t="s">
        <v>600</v>
      </c>
      <c r="Q14" s="954"/>
      <c r="R14" s="935"/>
      <c r="S14" s="935"/>
      <c r="T14" s="935"/>
      <c r="U14" s="935"/>
      <c r="V14" s="935"/>
      <c r="W14" s="935"/>
      <c r="X14" s="936"/>
      <c r="Y14" s="954"/>
      <c r="Z14" s="935"/>
      <c r="AA14" s="935"/>
      <c r="AB14" s="935"/>
      <c r="AC14" s="935"/>
      <c r="AD14" s="935"/>
      <c r="AE14" s="935"/>
      <c r="AF14" s="936"/>
      <c r="AG14" s="954"/>
      <c r="AH14" s="935"/>
      <c r="AI14" s="935"/>
      <c r="AJ14" s="935"/>
      <c r="AK14" s="935"/>
      <c r="AL14" s="935"/>
      <c r="AM14" s="935"/>
      <c r="AN14" s="936"/>
      <c r="AO14" s="954"/>
      <c r="AP14" s="935"/>
      <c r="AQ14" s="940"/>
      <c r="AR14" s="938"/>
      <c r="AS14" s="954"/>
      <c r="AT14" s="955">
        <f t="shared" si="10"/>
        <v>0</v>
      </c>
      <c r="AU14" s="879"/>
      <c r="AV14" s="879"/>
      <c r="AW14" s="956">
        <f t="shared" si="9"/>
        <v>0</v>
      </c>
      <c r="AX14" s="884"/>
      <c r="AY14" s="892"/>
      <c r="AZ14" s="956">
        <f t="shared" si="3"/>
        <v>0</v>
      </c>
      <c r="BA14" s="957"/>
      <c r="BB14" s="884"/>
      <c r="BC14" s="927"/>
      <c r="BD14" s="889">
        <f t="shared" si="4"/>
        <v>0</v>
      </c>
      <c r="BE14" s="890"/>
      <c r="BF14" s="890">
        <f t="shared" si="7"/>
        <v>0</v>
      </c>
      <c r="BG14" s="892"/>
      <c r="BH14" s="892"/>
      <c r="BI14" s="168"/>
    </row>
    <row r="15" ht="20.25" customHeight="1">
      <c r="A15" s="958" t="s">
        <v>612</v>
      </c>
      <c r="B15" s="959"/>
      <c r="C15" s="960"/>
      <c r="D15" s="961"/>
      <c r="E15" s="962"/>
      <c r="F15" s="963"/>
      <c r="G15" s="962"/>
      <c r="H15" s="964"/>
      <c r="I15" s="965"/>
      <c r="J15" s="933"/>
      <c r="K15" s="933"/>
      <c r="L15" s="933"/>
      <c r="M15" s="933"/>
      <c r="N15" s="933"/>
      <c r="O15" s="933"/>
      <c r="P15" s="934"/>
      <c r="Q15" s="954"/>
      <c r="R15" s="935"/>
      <c r="S15" s="935"/>
      <c r="T15" s="935"/>
      <c r="U15" s="935"/>
      <c r="V15" s="935"/>
      <c r="W15" s="935"/>
      <c r="X15" s="936"/>
      <c r="Y15" s="954"/>
      <c r="Z15" s="935"/>
      <c r="AA15" s="935"/>
      <c r="AB15" s="935"/>
      <c r="AC15" s="935"/>
      <c r="AD15" s="935"/>
      <c r="AE15" s="935"/>
      <c r="AF15" s="936"/>
      <c r="AG15" s="954"/>
      <c r="AH15" s="935"/>
      <c r="AI15" s="935"/>
      <c r="AJ15" s="935"/>
      <c r="AK15" s="935"/>
      <c r="AL15" s="935"/>
      <c r="AM15" s="935"/>
      <c r="AN15" s="936"/>
      <c r="AO15" s="954"/>
      <c r="AP15" s="935"/>
      <c r="AQ15" s="940"/>
      <c r="AR15" s="938"/>
      <c r="AS15" s="954"/>
      <c r="AT15" s="955">
        <f t="shared" si="10"/>
        <v>0</v>
      </c>
      <c r="AU15" s="940"/>
      <c r="AV15" s="941"/>
      <c r="AW15" s="956">
        <f t="shared" si="9"/>
        <v>0</v>
      </c>
      <c r="AX15" s="942"/>
      <c r="AY15" s="943"/>
      <c r="AZ15" s="956">
        <f t="shared" si="3"/>
        <v>0</v>
      </c>
      <c r="BA15" s="966"/>
      <c r="BB15" s="942"/>
      <c r="BC15" s="927"/>
      <c r="BD15" s="889">
        <f t="shared" si="4"/>
        <v>0</v>
      </c>
      <c r="BE15" s="889"/>
      <c r="BF15" s="967">
        <f t="shared" si="7"/>
        <v>0</v>
      </c>
      <c r="BG15" s="892"/>
      <c r="BH15" s="943">
        <f>BG15+BB15-BA15</f>
        <v>0</v>
      </c>
      <c r="BI15" s="945"/>
    </row>
    <row r="16" ht="19.5" customHeight="1">
      <c r="A16" s="968" t="s">
        <v>609</v>
      </c>
      <c r="B16" s="969">
        <v>2.0</v>
      </c>
      <c r="C16" s="970" t="s">
        <v>613</v>
      </c>
      <c r="D16" s="971" t="s">
        <v>604</v>
      </c>
      <c r="E16" s="950" t="s">
        <v>598</v>
      </c>
      <c r="F16" s="951">
        <v>9.0</v>
      </c>
      <c r="G16" s="950"/>
      <c r="H16" s="952">
        <f t="shared" ref="H16:H19" si="11">+G16/26</f>
        <v>0</v>
      </c>
      <c r="I16" s="953">
        <f t="shared" ref="I16:I21" si="12">+H16/F16</f>
        <v>0</v>
      </c>
      <c r="J16" s="933">
        <v>1.0</v>
      </c>
      <c r="K16" s="933">
        <v>1.0</v>
      </c>
      <c r="L16" s="933">
        <v>1.0</v>
      </c>
      <c r="M16" s="933">
        <v>1.0</v>
      </c>
      <c r="N16" s="933">
        <v>1.0</v>
      </c>
      <c r="O16" s="933">
        <v>1.0</v>
      </c>
      <c r="P16" s="874">
        <v>1.0</v>
      </c>
      <c r="Q16" s="954"/>
      <c r="R16" s="935"/>
      <c r="S16" s="935"/>
      <c r="T16" s="935"/>
      <c r="U16" s="935"/>
      <c r="V16" s="935"/>
      <c r="W16" s="935"/>
      <c r="X16" s="936"/>
      <c r="Y16" s="954"/>
      <c r="Z16" s="935"/>
      <c r="AA16" s="935"/>
      <c r="AB16" s="935"/>
      <c r="AC16" s="935"/>
      <c r="AD16" s="935"/>
      <c r="AE16" s="935"/>
      <c r="AF16" s="936"/>
      <c r="AG16" s="954"/>
      <c r="AH16" s="935"/>
      <c r="AI16" s="935"/>
      <c r="AJ16" s="935"/>
      <c r="AK16" s="935"/>
      <c r="AL16" s="935"/>
      <c r="AM16" s="935"/>
      <c r="AN16" s="936"/>
      <c r="AO16" s="954"/>
      <c r="AP16" s="935"/>
      <c r="AQ16" s="940"/>
      <c r="AR16" s="938"/>
      <c r="AS16" s="954"/>
      <c r="AT16" s="955">
        <f t="shared" si="10"/>
        <v>0</v>
      </c>
      <c r="AU16" s="879"/>
      <c r="AV16" s="879"/>
      <c r="AW16" s="956">
        <f t="shared" si="9"/>
        <v>0</v>
      </c>
      <c r="AX16" s="884"/>
      <c r="AY16" s="892"/>
      <c r="AZ16" s="956">
        <f t="shared" si="3"/>
        <v>0</v>
      </c>
      <c r="BA16" s="957"/>
      <c r="BB16" s="884"/>
      <c r="BC16" s="927"/>
      <c r="BD16" s="889">
        <f t="shared" si="4"/>
        <v>0</v>
      </c>
      <c r="BE16" s="890"/>
      <c r="BF16" s="890">
        <f t="shared" si="7"/>
        <v>0</v>
      </c>
      <c r="BG16" s="892"/>
      <c r="BH16" s="892"/>
      <c r="BI16" s="168"/>
    </row>
    <row r="17" ht="19.5" customHeight="1">
      <c r="A17" s="968" t="s">
        <v>609</v>
      </c>
      <c r="B17" s="969">
        <v>3.0</v>
      </c>
      <c r="C17" s="970" t="s">
        <v>614</v>
      </c>
      <c r="D17" s="971" t="s">
        <v>604</v>
      </c>
      <c r="E17" s="950" t="s">
        <v>598</v>
      </c>
      <c r="F17" s="951">
        <v>9.0</v>
      </c>
      <c r="G17" s="950"/>
      <c r="H17" s="952">
        <f t="shared" si="11"/>
        <v>0</v>
      </c>
      <c r="I17" s="953">
        <f t="shared" si="12"/>
        <v>0</v>
      </c>
      <c r="J17" s="933">
        <v>1.0</v>
      </c>
      <c r="K17" s="933">
        <v>1.0</v>
      </c>
      <c r="L17" s="933">
        <v>1.0</v>
      </c>
      <c r="M17" s="933">
        <v>1.0</v>
      </c>
      <c r="N17" s="933">
        <v>1.0</v>
      </c>
      <c r="O17" s="933">
        <v>1.0</v>
      </c>
      <c r="P17" s="874">
        <v>1.0</v>
      </c>
      <c r="Q17" s="954"/>
      <c r="R17" s="935"/>
      <c r="S17" s="935"/>
      <c r="T17" s="935"/>
      <c r="U17" s="935"/>
      <c r="V17" s="935"/>
      <c r="W17" s="935"/>
      <c r="X17" s="936"/>
      <c r="Y17" s="954"/>
      <c r="Z17" s="935"/>
      <c r="AA17" s="935"/>
      <c r="AB17" s="935"/>
      <c r="AC17" s="935"/>
      <c r="AD17" s="935"/>
      <c r="AE17" s="935"/>
      <c r="AF17" s="936"/>
      <c r="AG17" s="954"/>
      <c r="AH17" s="935"/>
      <c r="AI17" s="935"/>
      <c r="AJ17" s="935"/>
      <c r="AK17" s="935"/>
      <c r="AL17" s="935"/>
      <c r="AM17" s="935"/>
      <c r="AN17" s="936"/>
      <c r="AO17" s="954"/>
      <c r="AP17" s="935"/>
      <c r="AQ17" s="940"/>
      <c r="AR17" s="938"/>
      <c r="AS17" s="954"/>
      <c r="AT17" s="955">
        <f t="shared" si="10"/>
        <v>0</v>
      </c>
      <c r="AU17" s="879"/>
      <c r="AV17" s="879"/>
      <c r="AW17" s="956">
        <f t="shared" si="9"/>
        <v>0</v>
      </c>
      <c r="AX17" s="884"/>
      <c r="AY17" s="892"/>
      <c r="AZ17" s="956">
        <f t="shared" si="3"/>
        <v>0</v>
      </c>
      <c r="BA17" s="957"/>
      <c r="BB17" s="884"/>
      <c r="BC17" s="927"/>
      <c r="BD17" s="889">
        <f t="shared" si="4"/>
        <v>0</v>
      </c>
      <c r="BE17" s="890"/>
      <c r="BF17" s="890">
        <f t="shared" si="7"/>
        <v>0</v>
      </c>
      <c r="BG17" s="892"/>
      <c r="BH17" s="892"/>
      <c r="BI17" s="168"/>
    </row>
    <row r="18" ht="29.25" customHeight="1">
      <c r="A18" s="968" t="s">
        <v>609</v>
      </c>
      <c r="B18" s="969">
        <v>4.0</v>
      </c>
      <c r="C18" s="970" t="s">
        <v>615</v>
      </c>
      <c r="D18" s="971" t="s">
        <v>604</v>
      </c>
      <c r="E18" s="950" t="s">
        <v>598</v>
      </c>
      <c r="F18" s="972">
        <v>9.0</v>
      </c>
      <c r="G18" s="972"/>
      <c r="H18" s="952">
        <f t="shared" si="11"/>
        <v>0</v>
      </c>
      <c r="I18" s="953">
        <f t="shared" si="12"/>
        <v>0</v>
      </c>
      <c r="J18" s="933">
        <v>1.0</v>
      </c>
      <c r="K18" s="933">
        <v>1.0</v>
      </c>
      <c r="L18" s="933">
        <v>1.0</v>
      </c>
      <c r="M18" s="933">
        <v>1.0</v>
      </c>
      <c r="N18" s="933">
        <v>1.0</v>
      </c>
      <c r="O18" s="933">
        <v>1.0</v>
      </c>
      <c r="P18" s="874">
        <v>1.0</v>
      </c>
      <c r="Q18" s="954"/>
      <c r="R18" s="935"/>
      <c r="S18" s="935"/>
      <c r="T18" s="935"/>
      <c r="U18" s="935"/>
      <c r="V18" s="935"/>
      <c r="W18" s="935"/>
      <c r="X18" s="936"/>
      <c r="Y18" s="954"/>
      <c r="Z18" s="935"/>
      <c r="AA18" s="935"/>
      <c r="AB18" s="935"/>
      <c r="AC18" s="935"/>
      <c r="AD18" s="935"/>
      <c r="AE18" s="935"/>
      <c r="AF18" s="936"/>
      <c r="AG18" s="954"/>
      <c r="AH18" s="935"/>
      <c r="AI18" s="935"/>
      <c r="AJ18" s="935"/>
      <c r="AK18" s="935"/>
      <c r="AL18" s="935"/>
      <c r="AM18" s="935"/>
      <c r="AN18" s="936"/>
      <c r="AO18" s="954"/>
      <c r="AP18" s="879"/>
      <c r="AQ18" s="879"/>
      <c r="AR18" s="879"/>
      <c r="AS18" s="954"/>
      <c r="AT18" s="955">
        <f t="shared" si="10"/>
        <v>0</v>
      </c>
      <c r="AU18" s="879"/>
      <c r="AV18" s="879"/>
      <c r="AW18" s="956">
        <f t="shared" si="9"/>
        <v>0</v>
      </c>
      <c r="AX18" s="884"/>
      <c r="AY18" s="892"/>
      <c r="AZ18" s="956">
        <f t="shared" si="3"/>
        <v>0</v>
      </c>
      <c r="BA18" s="957"/>
      <c r="BB18" s="884"/>
      <c r="BC18" s="927"/>
      <c r="BD18" s="889">
        <f t="shared" si="4"/>
        <v>0</v>
      </c>
      <c r="BE18" s="890"/>
      <c r="BF18" s="890">
        <f t="shared" si="7"/>
        <v>0</v>
      </c>
      <c r="BG18" s="892"/>
      <c r="BH18" s="892"/>
      <c r="BI18" s="168"/>
    </row>
    <row r="19" ht="19.5" customHeight="1">
      <c r="A19" s="968" t="s">
        <v>609</v>
      </c>
      <c r="B19" s="973"/>
      <c r="C19" s="974" t="s">
        <v>616</v>
      </c>
      <c r="D19" s="971" t="s">
        <v>604</v>
      </c>
      <c r="E19" s="950" t="s">
        <v>598</v>
      </c>
      <c r="F19" s="972">
        <v>9.0</v>
      </c>
      <c r="G19" s="972"/>
      <c r="H19" s="975">
        <f t="shared" si="11"/>
        <v>0</v>
      </c>
      <c r="I19" s="976">
        <f t="shared" si="12"/>
        <v>0</v>
      </c>
      <c r="J19" s="874">
        <v>1.0</v>
      </c>
      <c r="K19" s="874">
        <v>1.0</v>
      </c>
      <c r="L19" s="874">
        <v>1.0</v>
      </c>
      <c r="M19" s="874">
        <v>1.0</v>
      </c>
      <c r="N19" s="874">
        <v>1.0</v>
      </c>
      <c r="O19" s="874">
        <v>1.0</v>
      </c>
      <c r="P19" s="874"/>
      <c r="Q19" s="954"/>
      <c r="R19" s="879"/>
      <c r="S19" s="879"/>
      <c r="T19" s="879"/>
      <c r="U19" s="879"/>
      <c r="V19" s="879"/>
      <c r="W19" s="879"/>
      <c r="X19" s="879"/>
      <c r="Y19" s="954"/>
      <c r="Z19" s="879"/>
      <c r="AA19" s="879"/>
      <c r="AB19" s="879"/>
      <c r="AC19" s="879"/>
      <c r="AD19" s="879"/>
      <c r="AE19" s="879"/>
      <c r="AF19" s="879"/>
      <c r="AG19" s="954"/>
      <c r="AH19" s="879"/>
      <c r="AI19" s="879"/>
      <c r="AJ19" s="879"/>
      <c r="AK19" s="879"/>
      <c r="AL19" s="879"/>
      <c r="AM19" s="879"/>
      <c r="AN19" s="879"/>
      <c r="AO19" s="954"/>
      <c r="AP19" s="879"/>
      <c r="AQ19" s="879"/>
      <c r="AR19" s="879"/>
      <c r="AS19" s="954"/>
      <c r="AT19" s="955">
        <f t="shared" si="10"/>
        <v>0</v>
      </c>
      <c r="AU19" s="879"/>
      <c r="AV19" s="879"/>
      <c r="AW19" s="956">
        <f t="shared" si="9"/>
        <v>0</v>
      </c>
      <c r="AX19" s="884"/>
      <c r="AY19" s="892"/>
      <c r="AZ19" s="956">
        <f t="shared" si="3"/>
        <v>0</v>
      </c>
      <c r="BA19" s="957"/>
      <c r="BB19" s="884"/>
      <c r="BC19" s="927"/>
      <c r="BD19" s="889">
        <f t="shared" si="4"/>
        <v>0</v>
      </c>
      <c r="BE19" s="890"/>
      <c r="BF19" s="890">
        <f t="shared" si="7"/>
        <v>0</v>
      </c>
      <c r="BG19" s="892"/>
      <c r="BH19" s="892"/>
      <c r="BI19" s="977"/>
    </row>
    <row r="20" ht="19.5" customHeight="1">
      <c r="A20" s="968"/>
      <c r="B20" s="973">
        <v>9.0</v>
      </c>
      <c r="C20" s="897"/>
      <c r="D20" s="978" t="s">
        <v>617</v>
      </c>
      <c r="E20" s="950" t="s">
        <v>598</v>
      </c>
      <c r="F20" s="972">
        <v>9.0</v>
      </c>
      <c r="G20" s="972">
        <v>0.0</v>
      </c>
      <c r="H20" s="975">
        <f>G20/26</f>
        <v>0</v>
      </c>
      <c r="I20" s="976">
        <f t="shared" si="12"/>
        <v>0</v>
      </c>
      <c r="J20" s="874"/>
      <c r="K20" s="874"/>
      <c r="L20" s="874"/>
      <c r="M20" s="874"/>
      <c r="N20" s="874"/>
      <c r="O20" s="874"/>
      <c r="P20" s="874"/>
      <c r="Q20" s="954"/>
      <c r="R20" s="879"/>
      <c r="S20" s="879"/>
      <c r="T20" s="879"/>
      <c r="U20" s="879"/>
      <c r="V20" s="879"/>
      <c r="W20" s="879"/>
      <c r="X20" s="879"/>
      <c r="Y20" s="954"/>
      <c r="Z20" s="879"/>
      <c r="AA20" s="879"/>
      <c r="AB20" s="879"/>
      <c r="AC20" s="879"/>
      <c r="AD20" s="879"/>
      <c r="AE20" s="879"/>
      <c r="AF20" s="879"/>
      <c r="AG20" s="954"/>
      <c r="AH20" s="879"/>
      <c r="AI20" s="879"/>
      <c r="AJ20" s="879"/>
      <c r="AK20" s="879"/>
      <c r="AL20" s="879"/>
      <c r="AM20" s="879"/>
      <c r="AN20" s="879"/>
      <c r="AO20" s="954"/>
      <c r="AP20" s="879"/>
      <c r="AQ20" s="879"/>
      <c r="AR20" s="879"/>
      <c r="AS20" s="954"/>
      <c r="AT20" s="955">
        <f t="shared" si="10"/>
        <v>0</v>
      </c>
      <c r="AU20" s="879"/>
      <c r="AV20" s="879"/>
      <c r="AW20" s="956">
        <f t="shared" si="9"/>
        <v>0</v>
      </c>
      <c r="AX20" s="884"/>
      <c r="AY20" s="892"/>
      <c r="AZ20" s="956">
        <f t="shared" si="3"/>
        <v>0</v>
      </c>
      <c r="BA20" s="957"/>
      <c r="BB20" s="884"/>
      <c r="BC20" s="927"/>
      <c r="BD20" s="889">
        <f t="shared" si="4"/>
        <v>0</v>
      </c>
      <c r="BE20" s="890"/>
      <c r="BF20" s="890">
        <f t="shared" si="7"/>
        <v>0</v>
      </c>
      <c r="BG20" s="892"/>
      <c r="BH20" s="979">
        <v>0.0</v>
      </c>
      <c r="BI20" s="168"/>
    </row>
    <row r="21" ht="15.75" customHeight="1">
      <c r="A21" s="980"/>
      <c r="B21" s="973">
        <v>9.0</v>
      </c>
      <c r="C21" s="981" t="s">
        <v>618</v>
      </c>
      <c r="D21" s="982" t="s">
        <v>619</v>
      </c>
      <c r="E21" s="983" t="s">
        <v>598</v>
      </c>
      <c r="F21" s="983">
        <v>9.0</v>
      </c>
      <c r="G21" s="983">
        <v>34500.0</v>
      </c>
      <c r="H21" s="975">
        <f>+G21/26</f>
        <v>1326.923077</v>
      </c>
      <c r="I21" s="984">
        <f t="shared" si="12"/>
        <v>147.4358974</v>
      </c>
      <c r="J21" s="879">
        <v>1.0</v>
      </c>
      <c r="K21" s="879">
        <v>1.0</v>
      </c>
      <c r="L21" s="879">
        <v>1.0</v>
      </c>
      <c r="M21" s="879">
        <v>1.0</v>
      </c>
      <c r="N21" s="879">
        <v>1.0</v>
      </c>
      <c r="O21" s="879">
        <v>1.0</v>
      </c>
      <c r="P21" s="879">
        <v>1.0</v>
      </c>
      <c r="Q21" s="954"/>
      <c r="R21" s="879"/>
      <c r="S21" s="879"/>
      <c r="T21" s="879"/>
      <c r="U21" s="879"/>
      <c r="V21" s="879"/>
      <c r="W21" s="879"/>
      <c r="X21" s="879"/>
      <c r="Y21" s="954"/>
      <c r="Z21" s="879"/>
      <c r="AA21" s="879"/>
      <c r="AB21" s="879"/>
      <c r="AC21" s="879"/>
      <c r="AD21" s="879"/>
      <c r="AE21" s="879"/>
      <c r="AF21" s="879"/>
      <c r="AG21" s="954"/>
      <c r="AH21" s="879"/>
      <c r="AI21" s="879"/>
      <c r="AJ21" s="879"/>
      <c r="AK21" s="879"/>
      <c r="AL21" s="879"/>
      <c r="AM21" s="879"/>
      <c r="AN21" s="879"/>
      <c r="AO21" s="954"/>
      <c r="AP21" s="879"/>
      <c r="AQ21" s="879"/>
      <c r="AR21" s="879"/>
      <c r="AS21" s="985"/>
      <c r="AT21" s="986">
        <v>26.0</v>
      </c>
      <c r="AU21" s="879"/>
      <c r="AV21" s="879"/>
      <c r="AW21" s="987">
        <f t="shared" si="9"/>
        <v>34500</v>
      </c>
      <c r="AX21" s="884"/>
      <c r="AY21" s="892"/>
      <c r="AZ21" s="987">
        <f t="shared" si="3"/>
        <v>34500</v>
      </c>
      <c r="BA21" s="957"/>
      <c r="BB21" s="884"/>
      <c r="BC21" s="888">
        <v>21844.0</v>
      </c>
      <c r="BD21" s="889">
        <f t="shared" si="4"/>
        <v>12656</v>
      </c>
      <c r="BE21" s="889"/>
      <c r="BF21" s="889">
        <f t="shared" si="7"/>
        <v>-12656</v>
      </c>
      <c r="BG21" s="892"/>
      <c r="BH21" s="885">
        <v>0.0</v>
      </c>
      <c r="BI21" s="988"/>
    </row>
    <row r="22" ht="15.75" customHeight="1">
      <c r="A22" s="989"/>
      <c r="B22" s="990"/>
      <c r="C22" s="991"/>
      <c r="D22" s="992"/>
      <c r="E22" s="993"/>
      <c r="F22" s="994"/>
      <c r="G22" s="995">
        <f>SUM(G5:G21)</f>
        <v>413500</v>
      </c>
      <c r="H22" s="996"/>
      <c r="I22" s="997"/>
      <c r="J22" s="998"/>
      <c r="K22" s="999"/>
      <c r="L22" s="999"/>
      <c r="M22" s="999"/>
      <c r="N22" s="999"/>
      <c r="O22" s="999"/>
      <c r="P22" s="999"/>
      <c r="Q22" s="1000">
        <f>SUM(Q5:Q21)</f>
        <v>0</v>
      </c>
      <c r="R22" s="1001"/>
      <c r="S22" s="995"/>
      <c r="T22" s="995"/>
      <c r="U22" s="995"/>
      <c r="V22" s="995"/>
      <c r="W22" s="995"/>
      <c r="X22" s="998"/>
      <c r="Y22" s="1002">
        <f>SUM(Y5:Y21)</f>
        <v>0</v>
      </c>
      <c r="Z22" s="1001"/>
      <c r="AA22" s="995"/>
      <c r="AB22" s="995"/>
      <c r="AC22" s="995"/>
      <c r="AD22" s="995"/>
      <c r="AE22" s="995"/>
      <c r="AF22" s="998"/>
      <c r="AG22" s="1002">
        <f>SUM(AG5:AG21)</f>
        <v>0</v>
      </c>
      <c r="AH22" s="1001"/>
      <c r="AI22" s="995"/>
      <c r="AJ22" s="995"/>
      <c r="AK22" s="995"/>
      <c r="AL22" s="995"/>
      <c r="AM22" s="995"/>
      <c r="AN22" s="998"/>
      <c r="AO22" s="1002">
        <f>SUM(AO5:AO21)</f>
        <v>0</v>
      </c>
      <c r="AP22" s="1001"/>
      <c r="AQ22" s="995"/>
      <c r="AR22" s="998"/>
      <c r="AS22" s="1002">
        <f t="shared" ref="AS22:BH22" si="13">SUM(AS5:AS21)</f>
        <v>0</v>
      </c>
      <c r="AT22" s="1003">
        <f t="shared" si="13"/>
        <v>234</v>
      </c>
      <c r="AU22" s="996">
        <f t="shared" si="13"/>
        <v>0</v>
      </c>
      <c r="AV22" s="997">
        <f t="shared" si="13"/>
        <v>0</v>
      </c>
      <c r="AW22" s="990">
        <f t="shared" si="13"/>
        <v>413500</v>
      </c>
      <c r="AX22" s="996">
        <f t="shared" si="13"/>
        <v>0</v>
      </c>
      <c r="AY22" s="1004">
        <f t="shared" si="13"/>
        <v>0</v>
      </c>
      <c r="AZ22" s="990">
        <f t="shared" si="13"/>
        <v>413500</v>
      </c>
      <c r="BA22" s="995">
        <f t="shared" si="13"/>
        <v>0</v>
      </c>
      <c r="BB22" s="1004">
        <f t="shared" si="13"/>
        <v>0</v>
      </c>
      <c r="BC22" s="1005">
        <f t="shared" si="13"/>
        <v>127333</v>
      </c>
      <c r="BD22" s="1005">
        <f t="shared" si="13"/>
        <v>286167</v>
      </c>
      <c r="BE22" s="1005">
        <f t="shared" si="13"/>
        <v>0</v>
      </c>
      <c r="BF22" s="1005">
        <f t="shared" si="13"/>
        <v>-286167</v>
      </c>
      <c r="BG22" s="999">
        <f t="shared" si="13"/>
        <v>0</v>
      </c>
      <c r="BH22" s="1005">
        <f t="shared" si="13"/>
        <v>0</v>
      </c>
      <c r="BI22" s="1006"/>
    </row>
    <row r="23" ht="15.75" customHeight="1">
      <c r="A23" s="637"/>
      <c r="B23" s="637"/>
      <c r="C23" s="637"/>
      <c r="D23" s="637"/>
      <c r="E23" s="1007"/>
      <c r="F23" s="1007"/>
      <c r="G23" s="637"/>
      <c r="H23" s="637"/>
      <c r="I23" s="637"/>
      <c r="J23" s="637"/>
      <c r="K23" s="637"/>
      <c r="L23" s="637"/>
      <c r="M23" s="637"/>
      <c r="N23" s="637"/>
      <c r="O23" s="637"/>
      <c r="P23" s="637"/>
      <c r="Q23" s="1008"/>
      <c r="R23" s="637"/>
      <c r="S23" s="637"/>
      <c r="T23" s="637"/>
      <c r="U23" s="637"/>
      <c r="V23" s="637"/>
      <c r="W23" s="637"/>
      <c r="X23" s="637"/>
      <c r="Y23" s="1008"/>
      <c r="Z23" s="637"/>
      <c r="AA23" s="637"/>
      <c r="AB23" s="637"/>
      <c r="AC23" s="637"/>
      <c r="AD23" s="637"/>
      <c r="AE23" s="637"/>
      <c r="AF23" s="637"/>
      <c r="AG23" s="1009"/>
      <c r="AH23" s="637"/>
      <c r="AI23" s="637"/>
      <c r="AJ23" s="637"/>
      <c r="AK23" s="637"/>
      <c r="AL23" s="637"/>
      <c r="AM23" s="637"/>
      <c r="AN23" s="637"/>
      <c r="AO23" s="1008"/>
      <c r="AP23" s="637"/>
      <c r="AQ23" s="637"/>
      <c r="AR23" s="637"/>
      <c r="AS23" s="1008"/>
      <c r="AT23" s="637"/>
      <c r="AU23" s="637"/>
      <c r="AV23" s="637"/>
      <c r="AW23" s="637"/>
      <c r="AX23" s="637"/>
      <c r="AY23" s="637"/>
      <c r="AZ23" s="637"/>
      <c r="BA23" s="637"/>
      <c r="BB23" s="637"/>
      <c r="BC23" s="637"/>
      <c r="BD23" s="637"/>
      <c r="BE23" s="637"/>
      <c r="BF23" s="637"/>
      <c r="BG23" s="637"/>
      <c r="BH23" s="1010"/>
      <c r="BI23" s="637"/>
    </row>
    <row r="24" ht="15.75" customHeight="1">
      <c r="A24" s="637"/>
      <c r="B24" s="637"/>
      <c r="C24" s="637"/>
      <c r="D24" s="637"/>
      <c r="E24" s="1007"/>
      <c r="F24" s="1007"/>
      <c r="G24" s="637"/>
      <c r="H24" s="637"/>
      <c r="I24" s="637"/>
      <c r="J24" s="637"/>
      <c r="K24" s="637"/>
      <c r="L24" s="637"/>
      <c r="M24" s="637"/>
      <c r="N24" s="637"/>
      <c r="O24" s="637"/>
      <c r="P24" s="637"/>
      <c r="Q24" s="1008"/>
      <c r="R24" s="637"/>
      <c r="S24" s="637"/>
      <c r="T24" s="637"/>
      <c r="U24" s="637"/>
      <c r="V24" s="637"/>
      <c r="W24" s="637"/>
      <c r="X24" s="637"/>
      <c r="Y24" s="1008"/>
      <c r="Z24" s="637"/>
      <c r="AA24" s="637"/>
      <c r="AB24" s="637"/>
      <c r="AC24" s="637"/>
      <c r="AD24" s="637"/>
      <c r="AE24" s="637"/>
      <c r="AF24" s="637"/>
      <c r="AG24" s="1008"/>
      <c r="AH24" s="637"/>
      <c r="AI24" s="637"/>
      <c r="AJ24" s="637"/>
      <c r="AK24" s="637"/>
      <c r="AL24" s="637"/>
      <c r="AM24" s="637"/>
      <c r="AN24" s="637"/>
      <c r="AO24" s="1008"/>
      <c r="AP24" s="637"/>
      <c r="AQ24" s="637"/>
      <c r="AR24" s="637"/>
      <c r="AS24" s="1008"/>
      <c r="AT24" s="637"/>
      <c r="AU24" s="637"/>
      <c r="AV24" s="637"/>
      <c r="AW24" s="637"/>
      <c r="AX24" s="637"/>
      <c r="AY24" s="637"/>
      <c r="AZ24" s="637"/>
      <c r="BA24" s="1011"/>
      <c r="BC24" s="637"/>
      <c r="BD24" s="637"/>
      <c r="BE24" s="637"/>
      <c r="BF24" s="637"/>
      <c r="BG24" s="637"/>
      <c r="BH24" s="637"/>
      <c r="BI24" s="637"/>
    </row>
    <row r="25" ht="15.75" customHeight="1">
      <c r="A25" s="637"/>
      <c r="B25" s="637"/>
      <c r="C25" s="637"/>
      <c r="D25" s="637"/>
      <c r="E25" s="1007"/>
      <c r="F25" s="1007"/>
      <c r="G25" s="637"/>
      <c r="H25" s="637"/>
      <c r="I25" s="637"/>
      <c r="J25" s="637"/>
      <c r="K25" s="637"/>
      <c r="L25" s="637"/>
      <c r="M25" s="637"/>
      <c r="N25" s="637"/>
      <c r="O25" s="637"/>
      <c r="P25" s="637"/>
      <c r="Q25" s="1008"/>
      <c r="R25" s="637"/>
      <c r="S25" s="637"/>
      <c r="T25" s="637"/>
      <c r="U25" s="637"/>
      <c r="V25" s="637"/>
      <c r="W25" s="637"/>
      <c r="X25" s="637"/>
      <c r="Y25" s="1008"/>
      <c r="Z25" s="637"/>
      <c r="AA25" s="637"/>
      <c r="AB25" s="637"/>
      <c r="AC25" s="637"/>
      <c r="AD25" s="637"/>
      <c r="AE25" s="637"/>
      <c r="AF25" s="637"/>
      <c r="AG25" s="1008"/>
      <c r="AH25" s="637"/>
      <c r="AI25" s="637"/>
      <c r="AJ25" s="637"/>
      <c r="AK25" s="637"/>
      <c r="AL25" s="637"/>
      <c r="AM25" s="637"/>
      <c r="AN25" s="637"/>
      <c r="AO25" s="1008"/>
      <c r="AP25" s="637"/>
      <c r="AQ25" s="637"/>
      <c r="AR25" s="637"/>
      <c r="AS25" s="1008"/>
      <c r="AT25" s="637"/>
      <c r="AU25" s="637"/>
      <c r="AV25" s="637"/>
      <c r="AW25" s="637"/>
      <c r="AX25" s="637"/>
      <c r="AY25" s="637"/>
      <c r="AZ25" s="637"/>
      <c r="BA25" s="1011"/>
      <c r="BC25" s="637"/>
      <c r="BD25" s="637"/>
      <c r="BE25" s="637"/>
      <c r="BF25" s="637"/>
      <c r="BG25" s="637"/>
      <c r="BH25" s="637"/>
      <c r="BI25" s="637"/>
    </row>
    <row r="26" ht="15.75" customHeight="1">
      <c r="A26" s="637"/>
      <c r="B26" s="637"/>
      <c r="C26" s="637"/>
      <c r="D26" s="637"/>
      <c r="E26" s="1007"/>
      <c r="F26" s="1007"/>
      <c r="G26" s="637"/>
      <c r="H26" s="637"/>
      <c r="I26" s="637"/>
      <c r="J26" s="637"/>
      <c r="K26" s="637"/>
      <c r="L26" s="637"/>
      <c r="M26" s="637"/>
      <c r="N26" s="637"/>
      <c r="O26" s="637"/>
      <c r="P26" s="637"/>
      <c r="Q26" s="1008"/>
      <c r="R26" s="637"/>
      <c r="S26" s="637"/>
      <c r="T26" s="637"/>
      <c r="U26" s="637"/>
      <c r="V26" s="637"/>
      <c r="W26" s="637"/>
      <c r="X26" s="637"/>
      <c r="Y26" s="1008"/>
      <c r="Z26" s="637"/>
      <c r="AA26" s="637"/>
      <c r="AB26" s="637"/>
      <c r="AC26" s="637"/>
      <c r="AD26" s="637"/>
      <c r="AE26" s="637"/>
      <c r="AF26" s="637"/>
      <c r="AG26" s="1008"/>
      <c r="AH26" s="637"/>
      <c r="AI26" s="637"/>
      <c r="AJ26" s="637"/>
      <c r="AK26" s="637"/>
      <c r="AL26" s="637"/>
      <c r="AM26" s="637"/>
      <c r="AN26" s="637"/>
      <c r="AO26" s="1008"/>
      <c r="AP26" s="637"/>
      <c r="AQ26" s="637"/>
      <c r="AR26" s="637"/>
      <c r="AS26" s="1008"/>
      <c r="AT26" s="637"/>
      <c r="AU26" s="637"/>
      <c r="AV26" s="637"/>
      <c r="AW26" s="637"/>
      <c r="AX26" s="637"/>
      <c r="AY26" s="637"/>
      <c r="AZ26" s="637"/>
      <c r="BA26" s="1012"/>
      <c r="BB26" s="510"/>
      <c r="BC26" s="275"/>
      <c r="BD26" s="637"/>
      <c r="BE26" s="637"/>
      <c r="BF26" s="637"/>
      <c r="BG26" s="637"/>
      <c r="BH26" s="637"/>
      <c r="BI26" s="637"/>
    </row>
    <row r="27" ht="15.75" customHeight="1">
      <c r="A27" s="637"/>
      <c r="B27" s="637"/>
      <c r="C27" s="637"/>
      <c r="D27" s="637"/>
      <c r="E27" s="1007"/>
      <c r="F27" s="1007"/>
      <c r="G27" s="637"/>
      <c r="H27" s="637"/>
      <c r="I27" s="637"/>
      <c r="J27" s="637"/>
      <c r="K27" s="637"/>
      <c r="L27" s="637"/>
      <c r="M27" s="637"/>
      <c r="N27" s="637"/>
      <c r="O27" s="637"/>
      <c r="P27" s="637"/>
      <c r="Q27" s="1008"/>
      <c r="R27" s="637"/>
      <c r="S27" s="637"/>
      <c r="T27" s="637"/>
      <c r="U27" s="637"/>
      <c r="V27" s="637"/>
      <c r="W27" s="637"/>
      <c r="X27" s="637"/>
      <c r="Y27" s="1008"/>
      <c r="Z27" s="637"/>
      <c r="AA27" s="637"/>
      <c r="AB27" s="637"/>
      <c r="AC27" s="637"/>
      <c r="AD27" s="637"/>
      <c r="AE27" s="637"/>
      <c r="AF27" s="637"/>
      <c r="AG27" s="1008"/>
      <c r="AH27" s="637"/>
      <c r="AI27" s="637"/>
      <c r="AJ27" s="637"/>
      <c r="AK27" s="637"/>
      <c r="AL27" s="637"/>
      <c r="AM27" s="637"/>
      <c r="AN27" s="637"/>
      <c r="AO27" s="1008"/>
      <c r="AP27" s="637"/>
      <c r="AQ27" s="637"/>
      <c r="AR27" s="637"/>
      <c r="AS27" s="1008"/>
      <c r="AT27" s="637"/>
      <c r="AU27" s="637"/>
      <c r="AV27" s="637"/>
      <c r="AW27" s="637"/>
      <c r="AX27" s="637"/>
      <c r="AY27" s="637"/>
      <c r="AZ27" s="637"/>
      <c r="BA27" s="1013"/>
      <c r="BB27" s="510"/>
      <c r="BC27" s="275"/>
      <c r="BD27" s="637"/>
      <c r="BE27" s="637"/>
      <c r="BF27" s="637"/>
      <c r="BG27" s="637"/>
      <c r="BH27" s="637"/>
      <c r="BI27" s="637"/>
    </row>
    <row r="28" ht="15.75" customHeight="1">
      <c r="A28" s="637"/>
      <c r="B28" s="637"/>
      <c r="C28" s="637"/>
      <c r="D28" s="637"/>
      <c r="E28" s="1007"/>
      <c r="F28" s="1007"/>
      <c r="G28" s="637"/>
      <c r="H28" s="637"/>
      <c r="I28" s="637"/>
      <c r="J28" s="637"/>
      <c r="K28" s="637"/>
      <c r="L28" s="637"/>
      <c r="M28" s="637"/>
      <c r="N28" s="637"/>
      <c r="O28" s="637"/>
      <c r="P28" s="637"/>
      <c r="Q28" s="1008"/>
      <c r="R28" s="637"/>
      <c r="S28" s="637"/>
      <c r="T28" s="637"/>
      <c r="U28" s="637"/>
      <c r="V28" s="637"/>
      <c r="W28" s="637"/>
      <c r="X28" s="637"/>
      <c r="Y28" s="1008"/>
      <c r="Z28" s="637"/>
      <c r="AA28" s="637"/>
      <c r="AB28" s="637"/>
      <c r="AC28" s="637"/>
      <c r="AD28" s="637"/>
      <c r="AE28" s="637"/>
      <c r="AF28" s="637"/>
      <c r="AG28" s="1008"/>
      <c r="AH28" s="637"/>
      <c r="AI28" s="637"/>
      <c r="AJ28" s="637"/>
      <c r="AK28" s="637"/>
      <c r="AL28" s="637"/>
      <c r="AM28" s="637"/>
      <c r="AN28" s="637"/>
      <c r="AO28" s="1008"/>
      <c r="AP28" s="637"/>
      <c r="AQ28" s="637"/>
      <c r="AR28" s="637"/>
      <c r="AS28" s="1008"/>
      <c r="AT28" s="637"/>
      <c r="AU28" s="637"/>
      <c r="AV28" s="637"/>
      <c r="AW28" s="637"/>
      <c r="AX28" s="637"/>
      <c r="AY28" s="637"/>
      <c r="AZ28" s="637"/>
      <c r="BA28" s="1014"/>
      <c r="BB28" s="510"/>
      <c r="BC28" s="1015"/>
      <c r="BD28" s="637"/>
      <c r="BE28" s="637"/>
      <c r="BF28" s="637"/>
      <c r="BG28" s="637"/>
      <c r="BH28" s="637"/>
      <c r="BI28" s="637"/>
    </row>
    <row r="29" ht="15.75" customHeight="1">
      <c r="A29" s="637"/>
      <c r="B29" s="637"/>
      <c r="C29" s="637"/>
      <c r="D29" s="637"/>
      <c r="E29" s="1007"/>
      <c r="F29" s="1007"/>
      <c r="G29" s="637"/>
      <c r="H29" s="637"/>
      <c r="I29" s="637"/>
      <c r="J29" s="637"/>
      <c r="K29" s="637"/>
      <c r="L29" s="637"/>
      <c r="M29" s="637"/>
      <c r="N29" s="637"/>
      <c r="O29" s="637"/>
      <c r="P29" s="637"/>
      <c r="Q29" s="1008"/>
      <c r="R29" s="637"/>
      <c r="S29" s="637"/>
      <c r="T29" s="637"/>
      <c r="U29" s="637"/>
      <c r="V29" s="637"/>
      <c r="W29" s="637"/>
      <c r="X29" s="637"/>
      <c r="Y29" s="1008"/>
      <c r="Z29" s="637"/>
      <c r="AA29" s="637"/>
      <c r="AB29" s="637"/>
      <c r="AC29" s="637"/>
      <c r="AD29" s="637"/>
      <c r="AE29" s="637"/>
      <c r="AF29" s="637"/>
      <c r="AG29" s="1008"/>
      <c r="AH29" s="637"/>
      <c r="AI29" s="637"/>
      <c r="AJ29" s="637"/>
      <c r="AK29" s="637"/>
      <c r="AL29" s="637"/>
      <c r="AM29" s="637"/>
      <c r="AN29" s="637"/>
      <c r="AO29" s="1008"/>
      <c r="AP29" s="637"/>
      <c r="AQ29" s="637"/>
      <c r="AR29" s="637"/>
      <c r="AS29" s="1008"/>
      <c r="AT29" s="637"/>
      <c r="AU29" s="637"/>
      <c r="AV29" s="637"/>
      <c r="AW29" s="637"/>
      <c r="AX29" s="637"/>
      <c r="AY29" s="637"/>
      <c r="AZ29" s="637"/>
      <c r="BA29" s="1016"/>
      <c r="BB29" s="510"/>
      <c r="BC29" s="275"/>
      <c r="BD29" s="637"/>
      <c r="BE29" s="637"/>
      <c r="BF29" s="637"/>
      <c r="BG29" s="637"/>
      <c r="BH29" s="637"/>
      <c r="BI29" s="637"/>
    </row>
    <row r="30" ht="15.75" customHeight="1">
      <c r="A30" s="637"/>
      <c r="B30" s="637"/>
      <c r="C30" s="637"/>
      <c r="D30" s="637"/>
      <c r="E30" s="1007"/>
      <c r="F30" s="1007"/>
      <c r="G30" s="637"/>
      <c r="H30" s="637"/>
      <c r="I30" s="637"/>
      <c r="J30" s="637"/>
      <c r="K30" s="637"/>
      <c r="L30" s="637"/>
      <c r="M30" s="637"/>
      <c r="N30" s="637"/>
      <c r="O30" s="637"/>
      <c r="P30" s="637"/>
      <c r="Q30" s="1008"/>
      <c r="R30" s="637"/>
      <c r="S30" s="637"/>
      <c r="T30" s="637"/>
      <c r="U30" s="637"/>
      <c r="V30" s="637"/>
      <c r="W30" s="637"/>
      <c r="X30" s="637"/>
      <c r="Y30" s="1008"/>
      <c r="Z30" s="637"/>
      <c r="AA30" s="637"/>
      <c r="AB30" s="637"/>
      <c r="AC30" s="637"/>
      <c r="AD30" s="637"/>
      <c r="AE30" s="637"/>
      <c r="AF30" s="637"/>
      <c r="AG30" s="1008"/>
      <c r="AH30" s="637"/>
      <c r="AI30" s="637"/>
      <c r="AJ30" s="637"/>
      <c r="AK30" s="637"/>
      <c r="AL30" s="637"/>
      <c r="AM30" s="637"/>
      <c r="AN30" s="637"/>
      <c r="AO30" s="1008"/>
      <c r="AP30" s="637"/>
      <c r="AQ30" s="637"/>
      <c r="AR30" s="637"/>
      <c r="AS30" s="1008"/>
      <c r="AT30" s="637"/>
      <c r="AU30" s="637"/>
      <c r="AV30" s="637"/>
      <c r="AW30" s="637"/>
      <c r="AX30" s="637"/>
      <c r="AY30" s="637"/>
      <c r="AZ30" s="637"/>
      <c r="BA30" s="1016"/>
      <c r="BB30" s="510"/>
      <c r="BC30" s="275"/>
      <c r="BD30" s="637"/>
      <c r="BE30" s="637"/>
      <c r="BF30" s="637"/>
      <c r="BG30" s="637"/>
      <c r="BH30" s="637"/>
      <c r="BI30" s="637"/>
    </row>
    <row r="31" ht="15.75" customHeight="1">
      <c r="A31" s="637"/>
      <c r="B31" s="637"/>
      <c r="C31" s="637"/>
      <c r="D31" s="637"/>
      <c r="E31" s="1007"/>
      <c r="F31" s="1007"/>
      <c r="G31" s="637"/>
      <c r="H31" s="637"/>
      <c r="I31" s="637"/>
      <c r="J31" s="637"/>
      <c r="K31" s="637"/>
      <c r="L31" s="637"/>
      <c r="M31" s="637"/>
      <c r="N31" s="637"/>
      <c r="O31" s="637"/>
      <c r="P31" s="637"/>
      <c r="Q31" s="1008"/>
      <c r="R31" s="637"/>
      <c r="S31" s="637"/>
      <c r="T31" s="637"/>
      <c r="U31" s="637"/>
      <c r="V31" s="637"/>
      <c r="W31" s="637"/>
      <c r="X31" s="637"/>
      <c r="Y31" s="1008"/>
      <c r="Z31" s="637"/>
      <c r="AA31" s="637"/>
      <c r="AB31" s="637"/>
      <c r="AC31" s="637"/>
      <c r="AD31" s="637"/>
      <c r="AE31" s="637"/>
      <c r="AF31" s="637"/>
      <c r="AG31" s="1008"/>
      <c r="AH31" s="637"/>
      <c r="AI31" s="637"/>
      <c r="AJ31" s="637"/>
      <c r="AK31" s="637"/>
      <c r="AL31" s="637"/>
      <c r="AM31" s="637"/>
      <c r="AN31" s="637"/>
      <c r="AO31" s="1008"/>
      <c r="AP31" s="637"/>
      <c r="AQ31" s="637"/>
      <c r="AR31" s="637"/>
      <c r="AS31" s="1008"/>
      <c r="AT31" s="637"/>
      <c r="AU31" s="637"/>
      <c r="AV31" s="637"/>
      <c r="AW31" s="637"/>
      <c r="AX31" s="637"/>
      <c r="AY31" s="637"/>
      <c r="AZ31" s="637"/>
      <c r="BA31" s="275"/>
      <c r="BB31" s="275"/>
      <c r="BC31" s="275"/>
      <c r="BD31" s="637"/>
      <c r="BE31" s="637"/>
      <c r="BF31" s="637"/>
      <c r="BG31" s="637"/>
      <c r="BH31" s="637"/>
      <c r="BI31" s="637"/>
    </row>
    <row r="32" ht="15.75" customHeight="1">
      <c r="A32" s="637"/>
      <c r="B32" s="637"/>
      <c r="C32" s="637"/>
      <c r="D32" s="637"/>
      <c r="E32" s="1007"/>
      <c r="F32" s="1007"/>
      <c r="G32" s="637"/>
      <c r="H32" s="637"/>
      <c r="I32" s="637"/>
      <c r="J32" s="637"/>
      <c r="K32" s="637"/>
      <c r="L32" s="637"/>
      <c r="M32" s="637"/>
      <c r="N32" s="637"/>
      <c r="O32" s="637"/>
      <c r="P32" s="637"/>
      <c r="Q32" s="1008"/>
      <c r="R32" s="637"/>
      <c r="S32" s="637"/>
      <c r="T32" s="637"/>
      <c r="U32" s="637"/>
      <c r="V32" s="637"/>
      <c r="W32" s="637"/>
      <c r="X32" s="637"/>
      <c r="Y32" s="1008"/>
      <c r="Z32" s="637"/>
      <c r="AA32" s="637"/>
      <c r="AB32" s="637"/>
      <c r="AC32" s="637"/>
      <c r="AD32" s="637"/>
      <c r="AE32" s="637"/>
      <c r="AF32" s="637"/>
      <c r="AG32" s="1008"/>
      <c r="AH32" s="637"/>
      <c r="AI32" s="637"/>
      <c r="AJ32" s="637"/>
      <c r="AK32" s="637"/>
      <c r="AL32" s="637"/>
      <c r="AM32" s="637"/>
      <c r="AN32" s="637"/>
      <c r="AO32" s="1008"/>
      <c r="AP32" s="637"/>
      <c r="AQ32" s="637"/>
      <c r="AR32" s="637"/>
      <c r="AS32" s="1008"/>
      <c r="AT32" s="637"/>
      <c r="AU32" s="637"/>
      <c r="AV32" s="637"/>
      <c r="AW32" s="637"/>
      <c r="AX32" s="637"/>
      <c r="AY32" s="637"/>
      <c r="AZ32" s="637"/>
      <c r="BA32" s="275"/>
      <c r="BB32" s="275"/>
      <c r="BC32" s="275"/>
      <c r="BD32" s="637"/>
      <c r="BE32" s="637"/>
      <c r="BF32" s="637"/>
      <c r="BG32" s="637"/>
      <c r="BH32" s="637"/>
      <c r="BI32" s="637"/>
    </row>
    <row r="33" ht="15.75" customHeight="1">
      <c r="A33" s="637"/>
      <c r="B33" s="637"/>
      <c r="C33" s="637"/>
      <c r="D33" s="637"/>
      <c r="E33" s="1007"/>
      <c r="F33" s="1007"/>
      <c r="G33" s="637"/>
      <c r="H33" s="637"/>
      <c r="I33" s="637"/>
      <c r="J33" s="637"/>
      <c r="K33" s="637"/>
      <c r="L33" s="637"/>
      <c r="M33" s="637"/>
      <c r="N33" s="637"/>
      <c r="O33" s="637"/>
      <c r="P33" s="637"/>
      <c r="Q33" s="1008"/>
      <c r="R33" s="637"/>
      <c r="S33" s="637"/>
      <c r="T33" s="637"/>
      <c r="U33" s="637"/>
      <c r="V33" s="637"/>
      <c r="W33" s="637"/>
      <c r="X33" s="637"/>
      <c r="Y33" s="1008"/>
      <c r="Z33" s="637"/>
      <c r="AA33" s="637"/>
      <c r="AB33" s="637"/>
      <c r="AC33" s="637"/>
      <c r="AD33" s="637"/>
      <c r="AE33" s="637"/>
      <c r="AF33" s="637"/>
      <c r="AG33" s="1008"/>
      <c r="AH33" s="637"/>
      <c r="AI33" s="637"/>
      <c r="AJ33" s="637"/>
      <c r="AK33" s="637"/>
      <c r="AL33" s="637"/>
      <c r="AM33" s="637"/>
      <c r="AN33" s="637"/>
      <c r="AO33" s="1008"/>
      <c r="AP33" s="637"/>
      <c r="AQ33" s="637"/>
      <c r="AR33" s="637"/>
      <c r="AS33" s="1008"/>
      <c r="AT33" s="637"/>
      <c r="AU33" s="637"/>
      <c r="AV33" s="637"/>
      <c r="AW33" s="637"/>
      <c r="AX33" s="637"/>
      <c r="AY33" s="637"/>
      <c r="AZ33" s="637"/>
      <c r="BA33" s="275"/>
      <c r="BB33" s="275"/>
      <c r="BC33" s="275"/>
      <c r="BD33" s="637"/>
      <c r="BE33" s="637"/>
      <c r="BF33" s="637"/>
      <c r="BG33" s="637"/>
      <c r="BH33" s="637"/>
      <c r="BI33" s="637"/>
    </row>
    <row r="34" ht="15.75" customHeight="1">
      <c r="A34" s="637"/>
      <c r="B34" s="637"/>
      <c r="C34" s="637"/>
      <c r="D34" s="637"/>
      <c r="E34" s="1007"/>
      <c r="F34" s="1007"/>
      <c r="G34" s="637"/>
      <c r="H34" s="637"/>
      <c r="I34" s="637"/>
      <c r="J34" s="637"/>
      <c r="K34" s="637"/>
      <c r="L34" s="637"/>
      <c r="M34" s="637"/>
      <c r="N34" s="637"/>
      <c r="O34" s="637"/>
      <c r="P34" s="637"/>
      <c r="Q34" s="1008"/>
      <c r="R34" s="637"/>
      <c r="S34" s="637"/>
      <c r="T34" s="637"/>
      <c r="U34" s="637"/>
      <c r="V34" s="637"/>
      <c r="W34" s="637"/>
      <c r="X34" s="637"/>
      <c r="Y34" s="1008"/>
      <c r="Z34" s="637"/>
      <c r="AA34" s="637"/>
      <c r="AB34" s="637"/>
      <c r="AC34" s="637"/>
      <c r="AD34" s="637"/>
      <c r="AE34" s="637"/>
      <c r="AF34" s="637"/>
      <c r="AG34" s="1008"/>
      <c r="AH34" s="637"/>
      <c r="AI34" s="637"/>
      <c r="AJ34" s="637"/>
      <c r="AK34" s="637"/>
      <c r="AL34" s="637"/>
      <c r="AM34" s="637"/>
      <c r="AN34" s="637"/>
      <c r="AO34" s="1008"/>
      <c r="AP34" s="637"/>
      <c r="AQ34" s="637"/>
      <c r="AR34" s="637"/>
      <c r="AS34" s="1008"/>
      <c r="AT34" s="637"/>
      <c r="AU34" s="637"/>
      <c r="AV34" s="637"/>
      <c r="AW34" s="637"/>
      <c r="AX34" s="637"/>
      <c r="AY34" s="637"/>
      <c r="AZ34" s="637"/>
      <c r="BA34" s="275"/>
      <c r="BB34" s="275"/>
      <c r="BC34" s="275"/>
      <c r="BD34" s="637"/>
      <c r="BE34" s="637"/>
      <c r="BF34" s="637"/>
      <c r="BG34" s="637"/>
      <c r="BH34" s="637"/>
      <c r="BI34" s="637"/>
    </row>
    <row r="35" ht="15.75" customHeight="1">
      <c r="A35" s="637"/>
      <c r="B35" s="637"/>
      <c r="C35" s="637"/>
      <c r="D35" s="637"/>
      <c r="E35" s="1007"/>
      <c r="F35" s="1007"/>
      <c r="G35" s="637"/>
      <c r="H35" s="637"/>
      <c r="I35" s="637"/>
      <c r="J35" s="637"/>
      <c r="K35" s="637"/>
      <c r="L35" s="637"/>
      <c r="M35" s="637"/>
      <c r="N35" s="637"/>
      <c r="O35" s="637"/>
      <c r="P35" s="637"/>
      <c r="Q35" s="1008"/>
      <c r="R35" s="637"/>
      <c r="S35" s="637"/>
      <c r="T35" s="637"/>
      <c r="U35" s="637"/>
      <c r="V35" s="637"/>
      <c r="W35" s="637"/>
      <c r="X35" s="637"/>
      <c r="Y35" s="1008"/>
      <c r="Z35" s="637"/>
      <c r="AA35" s="637"/>
      <c r="AB35" s="637"/>
      <c r="AC35" s="637"/>
      <c r="AD35" s="637"/>
      <c r="AE35" s="637"/>
      <c r="AF35" s="637"/>
      <c r="AG35" s="1008"/>
      <c r="AH35" s="637"/>
      <c r="AI35" s="637"/>
      <c r="AJ35" s="637"/>
      <c r="AK35" s="637"/>
      <c r="AL35" s="637"/>
      <c r="AM35" s="637"/>
      <c r="AN35" s="637"/>
      <c r="AO35" s="1008"/>
      <c r="AP35" s="637"/>
      <c r="AQ35" s="637"/>
      <c r="AR35" s="637"/>
      <c r="AS35" s="1008"/>
      <c r="AT35" s="637"/>
      <c r="AU35" s="637"/>
      <c r="AV35" s="637"/>
      <c r="AW35" s="637"/>
      <c r="AX35" s="637"/>
      <c r="AY35" s="637"/>
      <c r="AZ35" s="637"/>
      <c r="BA35" s="275"/>
      <c r="BB35" s="275"/>
      <c r="BC35" s="275"/>
      <c r="BD35" s="637"/>
      <c r="BE35" s="637"/>
      <c r="BF35" s="637"/>
      <c r="BG35" s="637"/>
      <c r="BH35" s="637"/>
      <c r="BI35" s="637"/>
    </row>
    <row r="36" ht="15.75" customHeight="1">
      <c r="A36" s="637"/>
      <c r="B36" s="637"/>
      <c r="C36" s="637"/>
      <c r="D36" s="637"/>
      <c r="E36" s="1007"/>
      <c r="F36" s="1007"/>
      <c r="G36" s="637"/>
      <c r="H36" s="637"/>
      <c r="I36" s="637"/>
      <c r="J36" s="637"/>
      <c r="K36" s="637"/>
      <c r="L36" s="637"/>
      <c r="M36" s="637"/>
      <c r="N36" s="637"/>
      <c r="O36" s="637"/>
      <c r="P36" s="637"/>
      <c r="Q36" s="1008"/>
      <c r="R36" s="637"/>
      <c r="S36" s="637"/>
      <c r="T36" s="637"/>
      <c r="U36" s="637"/>
      <c r="V36" s="637"/>
      <c r="W36" s="637"/>
      <c r="X36" s="637"/>
      <c r="Y36" s="1008"/>
      <c r="Z36" s="637"/>
      <c r="AA36" s="637"/>
      <c r="AB36" s="637"/>
      <c r="AC36" s="637"/>
      <c r="AD36" s="637"/>
      <c r="AE36" s="637"/>
      <c r="AF36" s="637"/>
      <c r="AG36" s="1008"/>
      <c r="AH36" s="637"/>
      <c r="AI36" s="637"/>
      <c r="AJ36" s="637"/>
      <c r="AK36" s="637"/>
      <c r="AL36" s="637"/>
      <c r="AM36" s="637"/>
      <c r="AN36" s="637"/>
      <c r="AO36" s="1008"/>
      <c r="AP36" s="637"/>
      <c r="AQ36" s="637"/>
      <c r="AR36" s="637"/>
      <c r="AS36" s="1008"/>
      <c r="AT36" s="637"/>
      <c r="AU36" s="637"/>
      <c r="AV36" s="637"/>
      <c r="AW36" s="637"/>
      <c r="AX36" s="637"/>
      <c r="AY36" s="637"/>
      <c r="AZ36" s="637"/>
      <c r="BA36" s="275"/>
      <c r="BB36" s="275"/>
      <c r="BC36" s="275"/>
      <c r="BD36" s="637"/>
      <c r="BE36" s="637"/>
      <c r="BF36" s="637"/>
      <c r="BG36" s="637"/>
      <c r="BH36" s="637"/>
      <c r="BI36" s="637"/>
    </row>
    <row r="37" ht="15.75" customHeight="1">
      <c r="A37" s="637"/>
      <c r="B37" s="637"/>
      <c r="C37" s="637"/>
      <c r="D37" s="637"/>
      <c r="E37" s="1007"/>
      <c r="F37" s="1007"/>
      <c r="G37" s="637"/>
      <c r="H37" s="637"/>
      <c r="I37" s="637"/>
      <c r="J37" s="637"/>
      <c r="K37" s="637"/>
      <c r="L37" s="637"/>
      <c r="M37" s="637"/>
      <c r="N37" s="637"/>
      <c r="O37" s="637"/>
      <c r="P37" s="637"/>
      <c r="Q37" s="1008"/>
      <c r="R37" s="637"/>
      <c r="S37" s="637"/>
      <c r="T37" s="637"/>
      <c r="U37" s="637"/>
      <c r="V37" s="637"/>
      <c r="W37" s="637"/>
      <c r="X37" s="637"/>
      <c r="Y37" s="1008"/>
      <c r="Z37" s="637"/>
      <c r="AA37" s="637"/>
      <c r="AB37" s="637"/>
      <c r="AC37" s="637"/>
      <c r="AD37" s="637"/>
      <c r="AE37" s="637"/>
      <c r="AF37" s="637"/>
      <c r="AG37" s="1008"/>
      <c r="AH37" s="637"/>
      <c r="AI37" s="637"/>
      <c r="AJ37" s="637"/>
      <c r="AK37" s="637"/>
      <c r="AL37" s="637"/>
      <c r="AM37" s="637"/>
      <c r="AN37" s="637"/>
      <c r="AO37" s="1008"/>
      <c r="AP37" s="637"/>
      <c r="AQ37" s="637"/>
      <c r="AR37" s="637"/>
      <c r="AS37" s="1008"/>
      <c r="AT37" s="637"/>
      <c r="AU37" s="637"/>
      <c r="AV37" s="637"/>
      <c r="AW37" s="637"/>
      <c r="AX37" s="637"/>
      <c r="AY37" s="637"/>
      <c r="AZ37" s="637"/>
      <c r="BA37" s="275"/>
      <c r="BB37" s="275"/>
      <c r="BC37" s="275"/>
      <c r="BD37" s="637"/>
      <c r="BE37" s="637"/>
      <c r="BF37" s="637"/>
      <c r="BG37" s="637"/>
      <c r="BH37" s="637"/>
      <c r="BI37" s="637"/>
    </row>
    <row r="38" ht="15.75" customHeight="1">
      <c r="A38" s="637"/>
      <c r="B38" s="637"/>
      <c r="C38" s="637"/>
      <c r="D38" s="637"/>
      <c r="E38" s="1007"/>
      <c r="F38" s="1007"/>
      <c r="G38" s="637"/>
      <c r="H38" s="637"/>
      <c r="I38" s="637"/>
      <c r="J38" s="637"/>
      <c r="K38" s="637"/>
      <c r="L38" s="637"/>
      <c r="M38" s="637"/>
      <c r="N38" s="637"/>
      <c r="O38" s="637"/>
      <c r="P38" s="637"/>
      <c r="Q38" s="1008"/>
      <c r="R38" s="637"/>
      <c r="S38" s="637"/>
      <c r="T38" s="637"/>
      <c r="U38" s="637"/>
      <c r="V38" s="637"/>
      <c r="W38" s="637"/>
      <c r="X38" s="637"/>
      <c r="Y38" s="1008"/>
      <c r="Z38" s="637"/>
      <c r="AA38" s="637"/>
      <c r="AB38" s="637"/>
      <c r="AC38" s="637"/>
      <c r="AD38" s="637"/>
      <c r="AE38" s="637"/>
      <c r="AF38" s="637"/>
      <c r="AG38" s="1008"/>
      <c r="AH38" s="637"/>
      <c r="AI38" s="637"/>
      <c r="AJ38" s="637"/>
      <c r="AK38" s="637"/>
      <c r="AL38" s="637"/>
      <c r="AM38" s="637"/>
      <c r="AN38" s="637"/>
      <c r="AO38" s="1008"/>
      <c r="AP38" s="637"/>
      <c r="AQ38" s="637"/>
      <c r="AR38" s="637"/>
      <c r="AS38" s="1008"/>
      <c r="AT38" s="637"/>
      <c r="AU38" s="637"/>
      <c r="AV38" s="637"/>
      <c r="AW38" s="637"/>
      <c r="AX38" s="637"/>
      <c r="AY38" s="637"/>
      <c r="AZ38" s="637"/>
      <c r="BA38" s="275"/>
      <c r="BB38" s="275"/>
      <c r="BC38" s="275"/>
      <c r="BD38" s="637"/>
      <c r="BE38" s="637"/>
      <c r="BF38" s="637"/>
      <c r="BG38" s="637"/>
      <c r="BH38" s="637"/>
      <c r="BI38" s="637"/>
    </row>
    <row r="39" ht="15.75" customHeight="1">
      <c r="A39" s="637"/>
      <c r="B39" s="637"/>
      <c r="C39" s="637"/>
      <c r="D39" s="637"/>
      <c r="E39" s="1007"/>
      <c r="F39" s="1007"/>
      <c r="G39" s="637"/>
      <c r="H39" s="637"/>
      <c r="I39" s="637"/>
      <c r="J39" s="637"/>
      <c r="K39" s="637"/>
      <c r="L39" s="637"/>
      <c r="M39" s="637"/>
      <c r="N39" s="637"/>
      <c r="O39" s="637"/>
      <c r="P39" s="637"/>
      <c r="Q39" s="1008"/>
      <c r="R39" s="637"/>
      <c r="S39" s="637"/>
      <c r="T39" s="637"/>
      <c r="U39" s="637"/>
      <c r="V39" s="637"/>
      <c r="W39" s="637"/>
      <c r="X39" s="637"/>
      <c r="Y39" s="1008"/>
      <c r="Z39" s="637"/>
      <c r="AA39" s="637"/>
      <c r="AB39" s="637"/>
      <c r="AC39" s="637"/>
      <c r="AD39" s="637"/>
      <c r="AE39" s="637"/>
      <c r="AF39" s="637"/>
      <c r="AG39" s="1008"/>
      <c r="AH39" s="637"/>
      <c r="AI39" s="637"/>
      <c r="AJ39" s="637"/>
      <c r="AK39" s="637"/>
      <c r="AL39" s="637"/>
      <c r="AM39" s="637"/>
      <c r="AN39" s="637"/>
      <c r="AO39" s="1008"/>
      <c r="AP39" s="637"/>
      <c r="AQ39" s="637"/>
      <c r="AR39" s="637"/>
      <c r="AS39" s="1008"/>
      <c r="AT39" s="637"/>
      <c r="AU39" s="637"/>
      <c r="AV39" s="637"/>
      <c r="AW39" s="637"/>
      <c r="AX39" s="637"/>
      <c r="AY39" s="637"/>
      <c r="AZ39" s="637"/>
      <c r="BA39" s="275"/>
      <c r="BB39" s="275"/>
      <c r="BC39" s="275"/>
      <c r="BD39" s="637"/>
      <c r="BE39" s="637"/>
      <c r="BF39" s="637"/>
      <c r="BG39" s="637"/>
      <c r="BH39" s="637"/>
      <c r="BI39" s="637"/>
    </row>
    <row r="40" ht="15.75" customHeight="1">
      <c r="A40" s="637"/>
      <c r="B40" s="637"/>
      <c r="C40" s="637"/>
      <c r="D40" s="637"/>
      <c r="E40" s="1007"/>
      <c r="F40" s="1007"/>
      <c r="G40" s="637"/>
      <c r="H40" s="637"/>
      <c r="I40" s="637"/>
      <c r="J40" s="637"/>
      <c r="K40" s="637"/>
      <c r="L40" s="637"/>
      <c r="M40" s="637"/>
      <c r="N40" s="637"/>
      <c r="O40" s="637"/>
      <c r="P40" s="637"/>
      <c r="Q40" s="1008"/>
      <c r="R40" s="637"/>
      <c r="S40" s="637"/>
      <c r="T40" s="637"/>
      <c r="U40" s="637"/>
      <c r="V40" s="637"/>
      <c r="W40" s="637"/>
      <c r="X40" s="637"/>
      <c r="Y40" s="1008"/>
      <c r="Z40" s="637"/>
      <c r="AA40" s="637"/>
      <c r="AB40" s="637"/>
      <c r="AC40" s="637"/>
      <c r="AD40" s="637"/>
      <c r="AE40" s="637"/>
      <c r="AF40" s="637"/>
      <c r="AG40" s="1008"/>
      <c r="AH40" s="637"/>
      <c r="AI40" s="637"/>
      <c r="AJ40" s="637"/>
      <c r="AK40" s="637"/>
      <c r="AL40" s="637"/>
      <c r="AM40" s="637"/>
      <c r="AN40" s="637"/>
      <c r="AO40" s="1008"/>
      <c r="AP40" s="637"/>
      <c r="AQ40" s="637"/>
      <c r="AR40" s="637"/>
      <c r="AS40" s="1008"/>
      <c r="AT40" s="637"/>
      <c r="AU40" s="637"/>
      <c r="AV40" s="637"/>
      <c r="AW40" s="637"/>
      <c r="AX40" s="637"/>
      <c r="AY40" s="637"/>
      <c r="AZ40" s="637"/>
      <c r="BA40" s="637"/>
      <c r="BB40" s="637"/>
      <c r="BC40" s="637"/>
      <c r="BD40" s="637"/>
      <c r="BE40" s="637"/>
      <c r="BF40" s="637"/>
      <c r="BG40" s="637"/>
      <c r="BH40" s="637"/>
      <c r="BI40" s="637"/>
    </row>
    <row r="41" ht="15.75" customHeight="1">
      <c r="A41" s="637"/>
      <c r="B41" s="637"/>
      <c r="C41" s="637"/>
      <c r="D41" s="637"/>
      <c r="E41" s="1007"/>
      <c r="F41" s="1007"/>
      <c r="G41" s="637"/>
      <c r="H41" s="637"/>
      <c r="I41" s="637"/>
      <c r="J41" s="637"/>
      <c r="K41" s="637"/>
      <c r="L41" s="637"/>
      <c r="M41" s="637"/>
      <c r="N41" s="637"/>
      <c r="O41" s="637"/>
      <c r="P41" s="637"/>
      <c r="Q41" s="1008"/>
      <c r="R41" s="637"/>
      <c r="S41" s="637"/>
      <c r="T41" s="637"/>
      <c r="U41" s="637"/>
      <c r="V41" s="637"/>
      <c r="W41" s="637"/>
      <c r="X41" s="637"/>
      <c r="Y41" s="1008"/>
      <c r="Z41" s="637"/>
      <c r="AA41" s="637"/>
      <c r="AB41" s="637"/>
      <c r="AC41" s="637"/>
      <c r="AD41" s="637"/>
      <c r="AE41" s="637"/>
      <c r="AF41" s="637"/>
      <c r="AG41" s="1008"/>
      <c r="AH41" s="637"/>
      <c r="AI41" s="637"/>
      <c r="AJ41" s="637"/>
      <c r="AK41" s="637"/>
      <c r="AL41" s="637"/>
      <c r="AM41" s="637"/>
      <c r="AN41" s="637"/>
      <c r="AO41" s="1008"/>
      <c r="AP41" s="637"/>
      <c r="AQ41" s="637"/>
      <c r="AR41" s="637"/>
      <c r="AS41" s="1008"/>
      <c r="AT41" s="637"/>
      <c r="AU41" s="637"/>
      <c r="AV41" s="637"/>
      <c r="AW41" s="637"/>
      <c r="AX41" s="637"/>
      <c r="AY41" s="637"/>
      <c r="AZ41" s="637"/>
      <c r="BA41" s="637"/>
      <c r="BB41" s="637"/>
      <c r="BC41" s="637"/>
      <c r="BD41" s="637"/>
      <c r="BE41" s="637"/>
      <c r="BF41" s="637"/>
      <c r="BG41" s="637"/>
      <c r="BH41" s="637"/>
      <c r="BI41" s="637"/>
    </row>
    <row r="42" ht="15.75" customHeight="1">
      <c r="A42" s="637"/>
      <c r="B42" s="637"/>
      <c r="C42" s="637"/>
      <c r="D42" s="637"/>
      <c r="E42" s="1007"/>
      <c r="F42" s="1007"/>
      <c r="G42" s="637"/>
      <c r="H42" s="637"/>
      <c r="I42" s="637"/>
      <c r="J42" s="637"/>
      <c r="K42" s="637"/>
      <c r="L42" s="637"/>
      <c r="M42" s="637"/>
      <c r="N42" s="637"/>
      <c r="O42" s="637"/>
      <c r="P42" s="637"/>
      <c r="Q42" s="1008"/>
      <c r="R42" s="637"/>
      <c r="S42" s="637"/>
      <c r="T42" s="637"/>
      <c r="U42" s="637"/>
      <c r="V42" s="637"/>
      <c r="W42" s="637"/>
      <c r="X42" s="637"/>
      <c r="Y42" s="1008"/>
      <c r="Z42" s="637"/>
      <c r="AA42" s="637"/>
      <c r="AB42" s="637"/>
      <c r="AC42" s="637"/>
      <c r="AD42" s="637"/>
      <c r="AE42" s="637"/>
      <c r="AF42" s="637"/>
      <c r="AG42" s="1008"/>
      <c r="AH42" s="637"/>
      <c r="AI42" s="637"/>
      <c r="AJ42" s="637"/>
      <c r="AK42" s="637"/>
      <c r="AL42" s="637"/>
      <c r="AM42" s="637"/>
      <c r="AN42" s="637"/>
      <c r="AO42" s="1008"/>
      <c r="AP42" s="637"/>
      <c r="AQ42" s="637"/>
      <c r="AR42" s="637"/>
      <c r="AS42" s="1008"/>
      <c r="AT42" s="637"/>
      <c r="AU42" s="637"/>
      <c r="AV42" s="637"/>
      <c r="AW42" s="637"/>
      <c r="AX42" s="637"/>
      <c r="AY42" s="637"/>
      <c r="AZ42" s="637"/>
      <c r="BA42" s="637"/>
      <c r="BB42" s="637"/>
      <c r="BC42" s="637"/>
      <c r="BD42" s="637"/>
      <c r="BE42" s="637"/>
      <c r="BF42" s="637"/>
      <c r="BG42" s="637"/>
      <c r="BH42" s="637"/>
      <c r="BI42" s="637"/>
    </row>
    <row r="43" ht="15.75" customHeight="1">
      <c r="A43" s="637"/>
      <c r="B43" s="637"/>
      <c r="C43" s="637"/>
      <c r="D43" s="637"/>
      <c r="E43" s="1007"/>
      <c r="F43" s="1007"/>
      <c r="G43" s="637"/>
      <c r="H43" s="637"/>
      <c r="I43" s="637"/>
      <c r="J43" s="637"/>
      <c r="K43" s="637"/>
      <c r="L43" s="637"/>
      <c r="M43" s="637"/>
      <c r="N43" s="637"/>
      <c r="O43" s="637"/>
      <c r="P43" s="637"/>
      <c r="Q43" s="1008"/>
      <c r="R43" s="637"/>
      <c r="S43" s="637"/>
      <c r="T43" s="637"/>
      <c r="U43" s="637"/>
      <c r="V43" s="637"/>
      <c r="W43" s="637"/>
      <c r="X43" s="637"/>
      <c r="Y43" s="1008"/>
      <c r="Z43" s="637"/>
      <c r="AA43" s="637"/>
      <c r="AB43" s="637"/>
      <c r="AC43" s="637"/>
      <c r="AD43" s="637"/>
      <c r="AE43" s="637"/>
      <c r="AF43" s="637"/>
      <c r="AG43" s="1008"/>
      <c r="AH43" s="637"/>
      <c r="AI43" s="637"/>
      <c r="AJ43" s="637"/>
      <c r="AK43" s="637"/>
      <c r="AL43" s="637"/>
      <c r="AM43" s="637"/>
      <c r="AN43" s="637"/>
      <c r="AO43" s="1008"/>
      <c r="AP43" s="637"/>
      <c r="AQ43" s="637"/>
      <c r="AR43" s="637"/>
      <c r="AS43" s="1008"/>
      <c r="AT43" s="637"/>
      <c r="AU43" s="637"/>
      <c r="AV43" s="637"/>
      <c r="AW43" s="637"/>
      <c r="AX43" s="637"/>
      <c r="AY43" s="637"/>
      <c r="AZ43" s="637"/>
      <c r="BA43" s="637"/>
      <c r="BB43" s="637"/>
      <c r="BC43" s="637"/>
      <c r="BD43" s="637"/>
      <c r="BE43" s="637"/>
      <c r="BF43" s="637"/>
      <c r="BG43" s="637"/>
      <c r="BH43" s="637"/>
      <c r="BI43" s="637"/>
    </row>
    <row r="44" ht="15.75" customHeight="1">
      <c r="A44" s="637"/>
      <c r="B44" s="637"/>
      <c r="C44" s="637"/>
      <c r="D44" s="637"/>
      <c r="E44" s="1007"/>
      <c r="F44" s="1007"/>
      <c r="G44" s="637"/>
      <c r="H44" s="637"/>
      <c r="I44" s="637"/>
      <c r="J44" s="637"/>
      <c r="K44" s="637"/>
      <c r="L44" s="637"/>
      <c r="M44" s="637"/>
      <c r="N44" s="637"/>
      <c r="O44" s="637"/>
      <c r="P44" s="637"/>
      <c r="Q44" s="1008"/>
      <c r="R44" s="637"/>
      <c r="S44" s="637"/>
      <c r="T44" s="637"/>
      <c r="U44" s="637"/>
      <c r="V44" s="637"/>
      <c r="W44" s="637"/>
      <c r="X44" s="637"/>
      <c r="Y44" s="1008"/>
      <c r="Z44" s="637"/>
      <c r="AA44" s="637"/>
      <c r="AB44" s="637"/>
      <c r="AC44" s="637"/>
      <c r="AD44" s="637"/>
      <c r="AE44" s="637"/>
      <c r="AF44" s="637"/>
      <c r="AG44" s="1008"/>
      <c r="AH44" s="637"/>
      <c r="AI44" s="637"/>
      <c r="AJ44" s="637"/>
      <c r="AK44" s="637"/>
      <c r="AL44" s="637"/>
      <c r="AM44" s="637"/>
      <c r="AN44" s="637"/>
      <c r="AO44" s="1008"/>
      <c r="AP44" s="637"/>
      <c r="AQ44" s="637"/>
      <c r="AR44" s="637"/>
      <c r="AS44" s="1008"/>
      <c r="AT44" s="637"/>
      <c r="AU44" s="637"/>
      <c r="AV44" s="637"/>
      <c r="AW44" s="637"/>
      <c r="AX44" s="637"/>
      <c r="AY44" s="637"/>
      <c r="AZ44" s="637"/>
      <c r="BA44" s="637"/>
      <c r="BB44" s="637"/>
      <c r="BC44" s="637"/>
      <c r="BD44" s="637"/>
      <c r="BE44" s="637"/>
      <c r="BF44" s="637"/>
      <c r="BG44" s="637"/>
      <c r="BH44" s="637"/>
      <c r="BI44" s="637"/>
    </row>
    <row r="45" ht="15.75" customHeight="1">
      <c r="A45" s="637"/>
      <c r="B45" s="637"/>
      <c r="C45" s="637"/>
      <c r="D45" s="637"/>
      <c r="E45" s="1007"/>
      <c r="F45" s="1007"/>
      <c r="G45" s="637"/>
      <c r="H45" s="637"/>
      <c r="I45" s="637"/>
      <c r="J45" s="637"/>
      <c r="K45" s="637"/>
      <c r="L45" s="637"/>
      <c r="M45" s="637"/>
      <c r="N45" s="637"/>
      <c r="O45" s="637"/>
      <c r="P45" s="637"/>
      <c r="Q45" s="1008"/>
      <c r="R45" s="637"/>
      <c r="S45" s="637"/>
      <c r="T45" s="637"/>
      <c r="U45" s="637"/>
      <c r="V45" s="637"/>
      <c r="W45" s="637"/>
      <c r="X45" s="637"/>
      <c r="Y45" s="1008"/>
      <c r="Z45" s="637"/>
      <c r="AA45" s="637"/>
      <c r="AB45" s="637"/>
      <c r="AC45" s="637"/>
      <c r="AD45" s="637"/>
      <c r="AE45" s="637"/>
      <c r="AF45" s="637"/>
      <c r="AG45" s="1008"/>
      <c r="AH45" s="637"/>
      <c r="AI45" s="637"/>
      <c r="AJ45" s="637"/>
      <c r="AK45" s="637"/>
      <c r="AL45" s="637"/>
      <c r="AM45" s="637"/>
      <c r="AN45" s="637"/>
      <c r="AO45" s="1008"/>
      <c r="AP45" s="637"/>
      <c r="AQ45" s="637"/>
      <c r="AR45" s="637"/>
      <c r="AS45" s="1008"/>
      <c r="AT45" s="637"/>
      <c r="AU45" s="637"/>
      <c r="AV45" s="637"/>
      <c r="AW45" s="637"/>
      <c r="AX45" s="637"/>
      <c r="AY45" s="637"/>
      <c r="AZ45" s="637"/>
      <c r="BA45" s="637"/>
      <c r="BB45" s="637"/>
      <c r="BC45" s="637"/>
      <c r="BD45" s="637"/>
      <c r="BE45" s="637"/>
      <c r="BF45" s="637"/>
      <c r="BG45" s="637"/>
      <c r="BH45" s="637"/>
      <c r="BI45" s="637"/>
    </row>
    <row r="46" ht="15.75" customHeight="1">
      <c r="A46" s="637"/>
      <c r="B46" s="637"/>
      <c r="C46" s="637"/>
      <c r="D46" s="637"/>
      <c r="E46" s="1007"/>
      <c r="F46" s="1007"/>
      <c r="G46" s="637"/>
      <c r="H46" s="637"/>
      <c r="I46" s="637"/>
      <c r="J46" s="637"/>
      <c r="K46" s="637"/>
      <c r="L46" s="637"/>
      <c r="M46" s="637"/>
      <c r="N46" s="637"/>
      <c r="O46" s="637"/>
      <c r="P46" s="637"/>
      <c r="Q46" s="1008"/>
      <c r="R46" s="637"/>
      <c r="S46" s="637"/>
      <c r="T46" s="637"/>
      <c r="U46" s="637"/>
      <c r="V46" s="637"/>
      <c r="W46" s="637"/>
      <c r="X46" s="637"/>
      <c r="Y46" s="1008"/>
      <c r="Z46" s="637"/>
      <c r="AA46" s="637"/>
      <c r="AB46" s="637"/>
      <c r="AC46" s="637"/>
      <c r="AD46" s="637"/>
      <c r="AE46" s="637"/>
      <c r="AF46" s="637"/>
      <c r="AG46" s="1008"/>
      <c r="AH46" s="637"/>
      <c r="AI46" s="637"/>
      <c r="AJ46" s="637"/>
      <c r="AK46" s="637"/>
      <c r="AL46" s="637"/>
      <c r="AM46" s="637"/>
      <c r="AN46" s="637"/>
      <c r="AO46" s="1008"/>
      <c r="AP46" s="637"/>
      <c r="AQ46" s="637"/>
      <c r="AR46" s="637"/>
      <c r="AS46" s="1008"/>
      <c r="AT46" s="637"/>
      <c r="AU46" s="637"/>
      <c r="AV46" s="637"/>
      <c r="AW46" s="637"/>
      <c r="AX46" s="637"/>
      <c r="AY46" s="637"/>
      <c r="AZ46" s="637"/>
      <c r="BA46" s="637"/>
      <c r="BB46" s="637"/>
      <c r="BC46" s="637"/>
      <c r="BD46" s="637"/>
      <c r="BE46" s="637"/>
      <c r="BF46" s="637"/>
      <c r="BG46" s="637"/>
      <c r="BH46" s="637"/>
      <c r="BI46" s="637"/>
    </row>
    <row r="47" ht="15.75" customHeight="1">
      <c r="A47" s="637"/>
      <c r="B47" s="637"/>
      <c r="C47" s="637"/>
      <c r="D47" s="637"/>
      <c r="E47" s="1007"/>
      <c r="F47" s="1007"/>
      <c r="G47" s="637"/>
      <c r="H47" s="637"/>
      <c r="I47" s="637"/>
      <c r="J47" s="637"/>
      <c r="K47" s="637"/>
      <c r="L47" s="637"/>
      <c r="M47" s="637"/>
      <c r="N47" s="637"/>
      <c r="O47" s="637"/>
      <c r="P47" s="637"/>
      <c r="Q47" s="1008"/>
      <c r="R47" s="637"/>
      <c r="S47" s="637"/>
      <c r="T47" s="637"/>
      <c r="U47" s="637"/>
      <c r="V47" s="637"/>
      <c r="W47" s="637"/>
      <c r="X47" s="637"/>
      <c r="Y47" s="1008"/>
      <c r="Z47" s="637"/>
      <c r="AA47" s="637"/>
      <c r="AB47" s="637"/>
      <c r="AC47" s="637"/>
      <c r="AD47" s="637"/>
      <c r="AE47" s="637"/>
      <c r="AF47" s="637"/>
      <c r="AG47" s="1008"/>
      <c r="AH47" s="637"/>
      <c r="AI47" s="637"/>
      <c r="AJ47" s="637"/>
      <c r="AK47" s="637"/>
      <c r="AL47" s="637"/>
      <c r="AM47" s="637"/>
      <c r="AN47" s="637"/>
      <c r="AO47" s="1008"/>
      <c r="AP47" s="637"/>
      <c r="AQ47" s="637"/>
      <c r="AR47" s="637"/>
      <c r="AS47" s="1008"/>
      <c r="AT47" s="637"/>
      <c r="AU47" s="637"/>
      <c r="AV47" s="637"/>
      <c r="AW47" s="637"/>
      <c r="AX47" s="637"/>
      <c r="AY47" s="637"/>
      <c r="AZ47" s="637"/>
      <c r="BA47" s="637"/>
      <c r="BB47" s="637"/>
      <c r="BC47" s="637"/>
      <c r="BD47" s="637"/>
      <c r="BE47" s="637"/>
      <c r="BF47" s="637"/>
      <c r="BG47" s="637"/>
      <c r="BH47" s="637"/>
      <c r="BI47" s="637"/>
    </row>
    <row r="48" ht="15.75" customHeight="1">
      <c r="A48" s="637"/>
      <c r="B48" s="637"/>
      <c r="C48" s="637"/>
      <c r="D48" s="637"/>
      <c r="E48" s="1007"/>
      <c r="F48" s="1007"/>
      <c r="G48" s="637"/>
      <c r="H48" s="637"/>
      <c r="I48" s="637"/>
      <c r="J48" s="637"/>
      <c r="K48" s="637"/>
      <c r="L48" s="637"/>
      <c r="M48" s="637"/>
      <c r="N48" s="637"/>
      <c r="O48" s="637"/>
      <c r="P48" s="637"/>
      <c r="Q48" s="1008"/>
      <c r="R48" s="637"/>
      <c r="S48" s="637"/>
      <c r="T48" s="637"/>
      <c r="U48" s="637"/>
      <c r="V48" s="637"/>
      <c r="W48" s="637"/>
      <c r="X48" s="637"/>
      <c r="Y48" s="1008"/>
      <c r="Z48" s="637"/>
      <c r="AA48" s="637"/>
      <c r="AB48" s="637"/>
      <c r="AC48" s="637"/>
      <c r="AD48" s="637"/>
      <c r="AE48" s="637"/>
      <c r="AF48" s="637"/>
      <c r="AG48" s="1008"/>
      <c r="AH48" s="637"/>
      <c r="AI48" s="637"/>
      <c r="AJ48" s="637"/>
      <c r="AK48" s="637"/>
      <c r="AL48" s="637"/>
      <c r="AM48" s="637"/>
      <c r="AN48" s="637"/>
      <c r="AO48" s="1008"/>
      <c r="AP48" s="637"/>
      <c r="AQ48" s="637"/>
      <c r="AR48" s="637"/>
      <c r="AS48" s="1008"/>
      <c r="AT48" s="637"/>
      <c r="AU48" s="637"/>
      <c r="AV48" s="637"/>
      <c r="AW48" s="637"/>
      <c r="AX48" s="637"/>
      <c r="AY48" s="637"/>
      <c r="AZ48" s="637"/>
      <c r="BA48" s="637"/>
      <c r="BB48" s="637"/>
      <c r="BC48" s="637"/>
      <c r="BD48" s="637"/>
      <c r="BE48" s="637"/>
      <c r="BF48" s="637"/>
      <c r="BG48" s="637"/>
      <c r="BH48" s="637"/>
      <c r="BI48" s="637"/>
    </row>
    <row r="49" ht="15.75" customHeight="1">
      <c r="A49" s="637"/>
      <c r="B49" s="637"/>
      <c r="C49" s="637"/>
      <c r="D49" s="637"/>
      <c r="E49" s="1007"/>
      <c r="F49" s="1007"/>
      <c r="G49" s="637"/>
      <c r="H49" s="637"/>
      <c r="I49" s="637"/>
      <c r="J49" s="637"/>
      <c r="K49" s="637"/>
      <c r="L49" s="637"/>
      <c r="M49" s="637"/>
      <c r="N49" s="637"/>
      <c r="O49" s="637"/>
      <c r="P49" s="637"/>
      <c r="Q49" s="1008"/>
      <c r="R49" s="637"/>
      <c r="S49" s="637"/>
      <c r="T49" s="637"/>
      <c r="U49" s="637"/>
      <c r="V49" s="637"/>
      <c r="W49" s="637"/>
      <c r="X49" s="637"/>
      <c r="Y49" s="1008"/>
      <c r="Z49" s="637"/>
      <c r="AA49" s="637"/>
      <c r="AB49" s="637"/>
      <c r="AC49" s="637"/>
      <c r="AD49" s="637"/>
      <c r="AE49" s="637"/>
      <c r="AF49" s="637"/>
      <c r="AG49" s="1008"/>
      <c r="AH49" s="637"/>
      <c r="AI49" s="637"/>
      <c r="AJ49" s="637"/>
      <c r="AK49" s="637"/>
      <c r="AL49" s="637"/>
      <c r="AM49" s="637"/>
      <c r="AN49" s="637"/>
      <c r="AO49" s="1008"/>
      <c r="AP49" s="637"/>
      <c r="AQ49" s="637"/>
      <c r="AR49" s="637"/>
      <c r="AS49" s="1008"/>
      <c r="AT49" s="637"/>
      <c r="AU49" s="637"/>
      <c r="AV49" s="637"/>
      <c r="AW49" s="637"/>
      <c r="AX49" s="637"/>
      <c r="AY49" s="637"/>
      <c r="AZ49" s="637"/>
      <c r="BA49" s="637"/>
      <c r="BB49" s="637"/>
      <c r="BC49" s="637"/>
      <c r="BD49" s="637"/>
      <c r="BE49" s="637"/>
      <c r="BF49" s="637"/>
      <c r="BG49" s="637"/>
      <c r="BH49" s="637"/>
      <c r="BI49" s="637"/>
    </row>
    <row r="50" ht="15.75" customHeight="1">
      <c r="A50" s="637"/>
      <c r="B50" s="637"/>
      <c r="C50" s="637"/>
      <c r="D50" s="637"/>
      <c r="E50" s="1007"/>
      <c r="F50" s="1007"/>
      <c r="G50" s="637"/>
      <c r="H50" s="637"/>
      <c r="I50" s="637"/>
      <c r="J50" s="637"/>
      <c r="K50" s="637"/>
      <c r="L50" s="637"/>
      <c r="M50" s="637"/>
      <c r="N50" s="637"/>
      <c r="O50" s="637"/>
      <c r="P50" s="637"/>
      <c r="Q50" s="1008"/>
      <c r="R50" s="637"/>
      <c r="S50" s="637"/>
      <c r="T50" s="637"/>
      <c r="U50" s="637"/>
      <c r="V50" s="637"/>
      <c r="W50" s="637"/>
      <c r="X50" s="637"/>
      <c r="Y50" s="1008"/>
      <c r="Z50" s="637"/>
      <c r="AA50" s="637"/>
      <c r="AB50" s="637"/>
      <c r="AC50" s="637"/>
      <c r="AD50" s="637"/>
      <c r="AE50" s="637"/>
      <c r="AF50" s="637"/>
      <c r="AG50" s="1008"/>
      <c r="AH50" s="637"/>
      <c r="AI50" s="637"/>
      <c r="AJ50" s="637"/>
      <c r="AK50" s="637"/>
      <c r="AL50" s="637"/>
      <c r="AM50" s="637"/>
      <c r="AN50" s="637"/>
      <c r="AO50" s="1008"/>
      <c r="AP50" s="637"/>
      <c r="AQ50" s="637"/>
      <c r="AR50" s="637"/>
      <c r="AS50" s="1008"/>
      <c r="AT50" s="637"/>
      <c r="AU50" s="637"/>
      <c r="AV50" s="637"/>
      <c r="AW50" s="637"/>
      <c r="AX50" s="637"/>
      <c r="AY50" s="637"/>
      <c r="AZ50" s="637"/>
      <c r="BA50" s="637"/>
      <c r="BB50" s="637"/>
      <c r="BC50" s="637"/>
      <c r="BD50" s="637"/>
      <c r="BE50" s="637"/>
      <c r="BF50" s="637"/>
      <c r="BG50" s="637"/>
      <c r="BH50" s="637"/>
      <c r="BI50" s="637"/>
    </row>
    <row r="51" ht="15.75" customHeight="1">
      <c r="A51" s="637"/>
      <c r="B51" s="637"/>
      <c r="C51" s="637"/>
      <c r="D51" s="637"/>
      <c r="E51" s="1007"/>
      <c r="F51" s="1007"/>
      <c r="G51" s="637"/>
      <c r="H51" s="637"/>
      <c r="I51" s="637"/>
      <c r="J51" s="637"/>
      <c r="K51" s="637"/>
      <c r="L51" s="637"/>
      <c r="M51" s="637"/>
      <c r="N51" s="637"/>
      <c r="O51" s="637"/>
      <c r="P51" s="637"/>
      <c r="Q51" s="1008"/>
      <c r="R51" s="637"/>
      <c r="S51" s="637"/>
      <c r="T51" s="637"/>
      <c r="U51" s="637"/>
      <c r="V51" s="637"/>
      <c r="W51" s="637"/>
      <c r="X51" s="637"/>
      <c r="Y51" s="1008"/>
      <c r="Z51" s="637"/>
      <c r="AA51" s="637"/>
      <c r="AB51" s="637"/>
      <c r="AC51" s="637"/>
      <c r="AD51" s="637"/>
      <c r="AE51" s="637"/>
      <c r="AF51" s="637"/>
      <c r="AG51" s="1008"/>
      <c r="AH51" s="637"/>
      <c r="AI51" s="637"/>
      <c r="AJ51" s="637"/>
      <c r="AK51" s="637"/>
      <c r="AL51" s="637"/>
      <c r="AM51" s="637"/>
      <c r="AN51" s="637"/>
      <c r="AO51" s="1008"/>
      <c r="AP51" s="637"/>
      <c r="AQ51" s="637"/>
      <c r="AR51" s="637"/>
      <c r="AS51" s="1008"/>
      <c r="AT51" s="637"/>
      <c r="AU51" s="637"/>
      <c r="AV51" s="637"/>
      <c r="AW51" s="637"/>
      <c r="AX51" s="637"/>
      <c r="AY51" s="637"/>
      <c r="AZ51" s="637"/>
      <c r="BA51" s="637"/>
      <c r="BB51" s="637"/>
      <c r="BC51" s="637"/>
      <c r="BD51" s="637"/>
      <c r="BE51" s="637"/>
      <c r="BF51" s="637"/>
      <c r="BG51" s="637"/>
      <c r="BH51" s="637"/>
      <c r="BI51" s="637"/>
    </row>
    <row r="52" ht="15.75" customHeight="1">
      <c r="A52" s="637"/>
      <c r="B52" s="637"/>
      <c r="C52" s="637"/>
      <c r="D52" s="637"/>
      <c r="E52" s="1007"/>
      <c r="F52" s="1007"/>
      <c r="G52" s="637"/>
      <c r="H52" s="637"/>
      <c r="I52" s="637"/>
      <c r="J52" s="637"/>
      <c r="K52" s="637"/>
      <c r="L52" s="637"/>
      <c r="M52" s="637"/>
      <c r="N52" s="637"/>
      <c r="O52" s="637"/>
      <c r="P52" s="637"/>
      <c r="Q52" s="1008"/>
      <c r="R52" s="637"/>
      <c r="S52" s="637"/>
      <c r="T52" s="637"/>
      <c r="U52" s="637"/>
      <c r="V52" s="637"/>
      <c r="W52" s="637"/>
      <c r="X52" s="637"/>
      <c r="Y52" s="1008"/>
      <c r="Z52" s="637"/>
      <c r="AA52" s="637"/>
      <c r="AB52" s="637"/>
      <c r="AC52" s="637"/>
      <c r="AD52" s="637"/>
      <c r="AE52" s="637"/>
      <c r="AF52" s="637"/>
      <c r="AG52" s="1008"/>
      <c r="AH52" s="637"/>
      <c r="AI52" s="637"/>
      <c r="AJ52" s="637"/>
      <c r="AK52" s="637"/>
      <c r="AL52" s="637"/>
      <c r="AM52" s="637"/>
      <c r="AN52" s="637"/>
      <c r="AO52" s="1008"/>
      <c r="AP52" s="637"/>
      <c r="AQ52" s="637"/>
      <c r="AR52" s="637"/>
      <c r="AS52" s="1008"/>
      <c r="AT52" s="637"/>
      <c r="AU52" s="637"/>
      <c r="AV52" s="637"/>
      <c r="AW52" s="637"/>
      <c r="AX52" s="637"/>
      <c r="AY52" s="637"/>
      <c r="AZ52" s="637"/>
      <c r="BA52" s="637"/>
      <c r="BB52" s="637"/>
      <c r="BC52" s="637"/>
      <c r="BD52" s="637"/>
      <c r="BE52" s="637"/>
      <c r="BF52" s="637"/>
      <c r="BG52" s="637"/>
      <c r="BH52" s="637"/>
      <c r="BI52" s="637"/>
    </row>
    <row r="53" ht="15.75" customHeight="1">
      <c r="A53" s="637"/>
      <c r="B53" s="637"/>
      <c r="C53" s="637"/>
      <c r="D53" s="637"/>
      <c r="E53" s="1007"/>
      <c r="F53" s="1007"/>
      <c r="G53" s="637"/>
      <c r="H53" s="637"/>
      <c r="I53" s="637"/>
      <c r="J53" s="637"/>
      <c r="K53" s="637"/>
      <c r="L53" s="637"/>
      <c r="M53" s="637"/>
      <c r="N53" s="637"/>
      <c r="O53" s="637"/>
      <c r="P53" s="637"/>
      <c r="Q53" s="1008"/>
      <c r="R53" s="637"/>
      <c r="S53" s="637"/>
      <c r="T53" s="637"/>
      <c r="U53" s="637"/>
      <c r="V53" s="637"/>
      <c r="W53" s="637"/>
      <c r="X53" s="637"/>
      <c r="Y53" s="1008"/>
      <c r="Z53" s="637"/>
      <c r="AA53" s="637"/>
      <c r="AB53" s="637"/>
      <c r="AC53" s="637"/>
      <c r="AD53" s="637"/>
      <c r="AE53" s="637"/>
      <c r="AF53" s="637"/>
      <c r="AG53" s="1008"/>
      <c r="AH53" s="637"/>
      <c r="AI53" s="637"/>
      <c r="AJ53" s="637"/>
      <c r="AK53" s="637"/>
      <c r="AL53" s="637"/>
      <c r="AM53" s="637"/>
      <c r="AN53" s="637"/>
      <c r="AO53" s="1008"/>
      <c r="AP53" s="637"/>
      <c r="AQ53" s="637"/>
      <c r="AR53" s="637"/>
      <c r="AS53" s="1008"/>
      <c r="AT53" s="637"/>
      <c r="AU53" s="637"/>
      <c r="AV53" s="637"/>
      <c r="AW53" s="637"/>
      <c r="AX53" s="637"/>
      <c r="AY53" s="637"/>
      <c r="AZ53" s="637"/>
      <c r="BA53" s="637"/>
      <c r="BB53" s="637"/>
      <c r="BC53" s="637"/>
      <c r="BD53" s="637"/>
      <c r="BE53" s="637"/>
      <c r="BF53" s="637"/>
      <c r="BG53" s="637"/>
      <c r="BH53" s="637"/>
      <c r="BI53" s="637"/>
    </row>
    <row r="54" ht="15.75" customHeight="1">
      <c r="A54" s="637"/>
      <c r="B54" s="637"/>
      <c r="C54" s="637"/>
      <c r="D54" s="637"/>
      <c r="E54" s="1007"/>
      <c r="F54" s="1007"/>
      <c r="G54" s="637"/>
      <c r="H54" s="637"/>
      <c r="I54" s="637"/>
      <c r="J54" s="637"/>
      <c r="K54" s="637"/>
      <c r="L54" s="637"/>
      <c r="M54" s="637"/>
      <c r="N54" s="637"/>
      <c r="O54" s="637"/>
      <c r="P54" s="637"/>
      <c r="Q54" s="1008"/>
      <c r="R54" s="637"/>
      <c r="S54" s="637"/>
      <c r="T54" s="637"/>
      <c r="U54" s="637"/>
      <c r="V54" s="637"/>
      <c r="W54" s="637"/>
      <c r="X54" s="637"/>
      <c r="Y54" s="1008"/>
      <c r="Z54" s="637"/>
      <c r="AA54" s="637"/>
      <c r="AB54" s="637"/>
      <c r="AC54" s="637"/>
      <c r="AD54" s="637"/>
      <c r="AE54" s="637"/>
      <c r="AF54" s="637"/>
      <c r="AG54" s="1008"/>
      <c r="AH54" s="637"/>
      <c r="AI54" s="637"/>
      <c r="AJ54" s="637"/>
      <c r="AK54" s="637"/>
      <c r="AL54" s="637"/>
      <c r="AM54" s="637"/>
      <c r="AN54" s="637"/>
      <c r="AO54" s="1008"/>
      <c r="AP54" s="637"/>
      <c r="AQ54" s="637"/>
      <c r="AR54" s="637"/>
      <c r="AS54" s="1008"/>
      <c r="AT54" s="637"/>
      <c r="AU54" s="637"/>
      <c r="AV54" s="637"/>
      <c r="AW54" s="637"/>
      <c r="AX54" s="637"/>
      <c r="AY54" s="637"/>
      <c r="AZ54" s="637"/>
      <c r="BA54" s="637"/>
      <c r="BB54" s="637"/>
      <c r="BC54" s="637"/>
      <c r="BD54" s="637"/>
      <c r="BE54" s="637"/>
      <c r="BF54" s="637"/>
      <c r="BG54" s="637"/>
      <c r="BH54" s="637"/>
      <c r="BI54" s="637"/>
    </row>
    <row r="55" ht="15.75" customHeight="1">
      <c r="A55" s="637"/>
      <c r="B55" s="637"/>
      <c r="C55" s="637"/>
      <c r="D55" s="637"/>
      <c r="E55" s="1007"/>
      <c r="F55" s="1007"/>
      <c r="G55" s="637"/>
      <c r="H55" s="637"/>
      <c r="I55" s="637"/>
      <c r="J55" s="637"/>
      <c r="K55" s="637"/>
      <c r="L55" s="637"/>
      <c r="M55" s="637"/>
      <c r="N55" s="637"/>
      <c r="O55" s="637"/>
      <c r="P55" s="637"/>
      <c r="Q55" s="1008"/>
      <c r="R55" s="637"/>
      <c r="S55" s="637"/>
      <c r="T55" s="637"/>
      <c r="U55" s="637"/>
      <c r="V55" s="637"/>
      <c r="W55" s="637"/>
      <c r="X55" s="637"/>
      <c r="Y55" s="1008"/>
      <c r="Z55" s="637"/>
      <c r="AA55" s="637"/>
      <c r="AB55" s="637"/>
      <c r="AC55" s="637"/>
      <c r="AD55" s="637"/>
      <c r="AE55" s="637"/>
      <c r="AF55" s="637"/>
      <c r="AG55" s="1008"/>
      <c r="AH55" s="637"/>
      <c r="AI55" s="637"/>
      <c r="AJ55" s="637"/>
      <c r="AK55" s="637"/>
      <c r="AL55" s="637"/>
      <c r="AM55" s="637"/>
      <c r="AN55" s="637"/>
      <c r="AO55" s="1008"/>
      <c r="AP55" s="637"/>
      <c r="AQ55" s="637"/>
      <c r="AR55" s="637"/>
      <c r="AS55" s="1008"/>
      <c r="AT55" s="637"/>
      <c r="AU55" s="637"/>
      <c r="AV55" s="637"/>
      <c r="AW55" s="637"/>
      <c r="AX55" s="637"/>
      <c r="AY55" s="637"/>
      <c r="AZ55" s="637"/>
      <c r="BA55" s="637"/>
      <c r="BB55" s="637"/>
      <c r="BC55" s="637"/>
      <c r="BD55" s="637"/>
      <c r="BE55" s="637"/>
      <c r="BF55" s="637"/>
      <c r="BG55" s="637"/>
      <c r="BH55" s="637"/>
      <c r="BI55" s="637"/>
    </row>
    <row r="56" ht="15.75" customHeight="1">
      <c r="A56" s="637"/>
      <c r="B56" s="637"/>
      <c r="C56" s="637"/>
      <c r="D56" s="637"/>
      <c r="E56" s="1007"/>
      <c r="F56" s="1007"/>
      <c r="G56" s="637"/>
      <c r="H56" s="637"/>
      <c r="I56" s="637"/>
      <c r="J56" s="637"/>
      <c r="K56" s="637"/>
      <c r="L56" s="637"/>
      <c r="M56" s="637"/>
      <c r="N56" s="637"/>
      <c r="O56" s="637"/>
      <c r="P56" s="637"/>
      <c r="Q56" s="1008"/>
      <c r="R56" s="637"/>
      <c r="S56" s="637"/>
      <c r="T56" s="637"/>
      <c r="U56" s="637"/>
      <c r="V56" s="637"/>
      <c r="W56" s="637"/>
      <c r="X56" s="637"/>
      <c r="Y56" s="1008"/>
      <c r="Z56" s="637"/>
      <c r="AA56" s="637"/>
      <c r="AB56" s="637"/>
      <c r="AC56" s="637"/>
      <c r="AD56" s="637"/>
      <c r="AE56" s="637"/>
      <c r="AF56" s="637"/>
      <c r="AG56" s="1008"/>
      <c r="AH56" s="637"/>
      <c r="AI56" s="637"/>
      <c r="AJ56" s="637"/>
      <c r="AK56" s="637"/>
      <c r="AL56" s="637"/>
      <c r="AM56" s="637"/>
      <c r="AN56" s="637"/>
      <c r="AO56" s="1008"/>
      <c r="AP56" s="637"/>
      <c r="AQ56" s="637"/>
      <c r="AR56" s="637"/>
      <c r="AS56" s="1008"/>
      <c r="AT56" s="637"/>
      <c r="AU56" s="637"/>
      <c r="AV56" s="637"/>
      <c r="AW56" s="637"/>
      <c r="AX56" s="637"/>
      <c r="AY56" s="637"/>
      <c r="AZ56" s="637"/>
      <c r="BA56" s="637"/>
      <c r="BB56" s="637"/>
      <c r="BC56" s="637"/>
      <c r="BD56" s="637"/>
      <c r="BE56" s="637"/>
      <c r="BF56" s="637"/>
      <c r="BG56" s="637"/>
      <c r="BH56" s="637"/>
      <c r="BI56" s="637"/>
    </row>
    <row r="57" ht="15.75" customHeight="1">
      <c r="A57" s="637"/>
      <c r="B57" s="637"/>
      <c r="C57" s="637"/>
      <c r="D57" s="637"/>
      <c r="E57" s="1007"/>
      <c r="F57" s="1007"/>
      <c r="G57" s="637"/>
      <c r="H57" s="637"/>
      <c r="I57" s="637"/>
      <c r="J57" s="637"/>
      <c r="K57" s="637"/>
      <c r="L57" s="637"/>
      <c r="M57" s="637"/>
      <c r="N57" s="637"/>
      <c r="O57" s="637"/>
      <c r="P57" s="637"/>
      <c r="Q57" s="1008"/>
      <c r="R57" s="637"/>
      <c r="S57" s="637"/>
      <c r="T57" s="637"/>
      <c r="U57" s="637"/>
      <c r="V57" s="637"/>
      <c r="W57" s="637"/>
      <c r="X57" s="637"/>
      <c r="Y57" s="1008"/>
      <c r="Z57" s="637"/>
      <c r="AA57" s="637"/>
      <c r="AB57" s="637"/>
      <c r="AC57" s="637"/>
      <c r="AD57" s="637"/>
      <c r="AE57" s="637"/>
      <c r="AF57" s="637"/>
      <c r="AG57" s="1008"/>
      <c r="AH57" s="637"/>
      <c r="AI57" s="637"/>
      <c r="AJ57" s="637"/>
      <c r="AK57" s="637"/>
      <c r="AL57" s="637"/>
      <c r="AM57" s="637"/>
      <c r="AN57" s="637"/>
      <c r="AO57" s="1008"/>
      <c r="AP57" s="637"/>
      <c r="AQ57" s="637"/>
      <c r="AR57" s="637"/>
      <c r="AS57" s="1008"/>
      <c r="AT57" s="637"/>
      <c r="AU57" s="637"/>
      <c r="AV57" s="637"/>
      <c r="AW57" s="637"/>
      <c r="AX57" s="637"/>
      <c r="AY57" s="637"/>
      <c r="AZ57" s="637"/>
      <c r="BA57" s="637"/>
      <c r="BB57" s="637"/>
      <c r="BC57" s="637"/>
      <c r="BD57" s="637"/>
      <c r="BE57" s="637"/>
      <c r="BF57" s="637"/>
      <c r="BG57" s="637"/>
      <c r="BH57" s="637"/>
      <c r="BI57" s="637"/>
    </row>
    <row r="58" ht="15.75" customHeight="1">
      <c r="A58" s="637"/>
      <c r="B58" s="637"/>
      <c r="C58" s="637"/>
      <c r="D58" s="637"/>
      <c r="E58" s="1007"/>
      <c r="F58" s="1007"/>
      <c r="G58" s="637"/>
      <c r="H58" s="637"/>
      <c r="I58" s="637"/>
      <c r="J58" s="637"/>
      <c r="K58" s="637"/>
      <c r="L58" s="637"/>
      <c r="M58" s="637"/>
      <c r="N58" s="637"/>
      <c r="O58" s="637"/>
      <c r="P58" s="637"/>
      <c r="Q58" s="1008"/>
      <c r="R58" s="637"/>
      <c r="S58" s="637"/>
      <c r="T58" s="637"/>
      <c r="U58" s="637"/>
      <c r="V58" s="637"/>
      <c r="W58" s="637"/>
      <c r="X58" s="637"/>
      <c r="Y58" s="1008"/>
      <c r="Z58" s="637"/>
      <c r="AA58" s="637"/>
      <c r="AB58" s="637"/>
      <c r="AC58" s="637"/>
      <c r="AD58" s="637"/>
      <c r="AE58" s="637"/>
      <c r="AF58" s="637"/>
      <c r="AG58" s="1008"/>
      <c r="AH58" s="637"/>
      <c r="AI58" s="637"/>
      <c r="AJ58" s="637"/>
      <c r="AK58" s="637"/>
      <c r="AL58" s="637"/>
      <c r="AM58" s="637"/>
      <c r="AN58" s="637"/>
      <c r="AO58" s="1008"/>
      <c r="AP58" s="637"/>
      <c r="AQ58" s="637"/>
      <c r="AR58" s="637"/>
      <c r="AS58" s="1008"/>
      <c r="AT58" s="637"/>
      <c r="AU58" s="637"/>
      <c r="AV58" s="637"/>
      <c r="AW58" s="637"/>
      <c r="AX58" s="637"/>
      <c r="AY58" s="637"/>
      <c r="AZ58" s="637"/>
      <c r="BA58" s="637"/>
      <c r="BB58" s="637"/>
      <c r="BC58" s="637"/>
      <c r="BD58" s="637"/>
      <c r="BE58" s="637"/>
      <c r="BF58" s="637"/>
      <c r="BG58" s="637"/>
      <c r="BH58" s="637"/>
      <c r="BI58" s="637"/>
    </row>
    <row r="59" ht="15.75" customHeight="1">
      <c r="A59" s="637"/>
      <c r="B59" s="637"/>
      <c r="C59" s="637"/>
      <c r="D59" s="637"/>
      <c r="E59" s="1007"/>
      <c r="F59" s="1007"/>
      <c r="G59" s="637"/>
      <c r="H59" s="637"/>
      <c r="I59" s="637"/>
      <c r="J59" s="637"/>
      <c r="K59" s="637"/>
      <c r="L59" s="637"/>
      <c r="M59" s="637"/>
      <c r="N59" s="637"/>
      <c r="O59" s="637"/>
      <c r="P59" s="637"/>
      <c r="Q59" s="1008"/>
      <c r="R59" s="637"/>
      <c r="S59" s="637"/>
      <c r="T59" s="637"/>
      <c r="U59" s="637"/>
      <c r="V59" s="637"/>
      <c r="W59" s="637"/>
      <c r="X59" s="637"/>
      <c r="Y59" s="1008"/>
      <c r="Z59" s="637"/>
      <c r="AA59" s="637"/>
      <c r="AB59" s="637"/>
      <c r="AC59" s="637"/>
      <c r="AD59" s="637"/>
      <c r="AE59" s="637"/>
      <c r="AF59" s="637"/>
      <c r="AG59" s="1008"/>
      <c r="AH59" s="637"/>
      <c r="AI59" s="637"/>
      <c r="AJ59" s="637"/>
      <c r="AK59" s="637"/>
      <c r="AL59" s="637"/>
      <c r="AM59" s="637"/>
      <c r="AN59" s="637"/>
      <c r="AO59" s="1008"/>
      <c r="AP59" s="637"/>
      <c r="AQ59" s="637"/>
      <c r="AR59" s="637"/>
      <c r="AS59" s="1008"/>
      <c r="AT59" s="637"/>
      <c r="AU59" s="637"/>
      <c r="AV59" s="637"/>
      <c r="AW59" s="637"/>
      <c r="AX59" s="637"/>
      <c r="AY59" s="637"/>
      <c r="AZ59" s="637"/>
      <c r="BA59" s="637"/>
      <c r="BB59" s="637"/>
      <c r="BC59" s="637"/>
      <c r="BD59" s="637"/>
      <c r="BE59" s="637"/>
      <c r="BF59" s="637"/>
      <c r="BG59" s="637"/>
      <c r="BH59" s="637"/>
      <c r="BI59" s="637"/>
    </row>
    <row r="60" ht="15.75" customHeight="1">
      <c r="A60" s="637"/>
      <c r="B60" s="637"/>
      <c r="C60" s="637"/>
      <c r="D60" s="637"/>
      <c r="E60" s="1007"/>
      <c r="F60" s="1007"/>
      <c r="G60" s="637"/>
      <c r="H60" s="637"/>
      <c r="I60" s="637"/>
      <c r="J60" s="637"/>
      <c r="K60" s="637"/>
      <c r="L60" s="637"/>
      <c r="M60" s="637"/>
      <c r="N60" s="637"/>
      <c r="O60" s="637"/>
      <c r="P60" s="637"/>
      <c r="Q60" s="1008"/>
      <c r="R60" s="637"/>
      <c r="S60" s="637"/>
      <c r="T60" s="637"/>
      <c r="U60" s="637"/>
      <c r="V60" s="637"/>
      <c r="W60" s="637"/>
      <c r="X60" s="637"/>
      <c r="Y60" s="1008"/>
      <c r="Z60" s="637"/>
      <c r="AA60" s="637"/>
      <c r="AB60" s="637"/>
      <c r="AC60" s="637"/>
      <c r="AD60" s="637"/>
      <c r="AE60" s="637"/>
      <c r="AF60" s="637"/>
      <c r="AG60" s="1008"/>
      <c r="AH60" s="637"/>
      <c r="AI60" s="637"/>
      <c r="AJ60" s="637"/>
      <c r="AK60" s="637"/>
      <c r="AL60" s="637"/>
      <c r="AM60" s="637"/>
      <c r="AN60" s="637"/>
      <c r="AO60" s="1008"/>
      <c r="AP60" s="637"/>
      <c r="AQ60" s="637"/>
      <c r="AR60" s="637"/>
      <c r="AS60" s="1008"/>
      <c r="AT60" s="637"/>
      <c r="AU60" s="637"/>
      <c r="AV60" s="637"/>
      <c r="AW60" s="637"/>
      <c r="AX60" s="637"/>
      <c r="AY60" s="637"/>
      <c r="AZ60" s="637"/>
      <c r="BA60" s="637"/>
      <c r="BB60" s="637"/>
      <c r="BC60" s="637"/>
      <c r="BD60" s="637"/>
      <c r="BE60" s="637"/>
      <c r="BF60" s="637"/>
      <c r="BG60" s="637"/>
      <c r="BH60" s="637"/>
      <c r="BI60" s="637"/>
    </row>
    <row r="61" ht="15.75" customHeight="1">
      <c r="A61" s="637"/>
      <c r="B61" s="637"/>
      <c r="C61" s="637"/>
      <c r="D61" s="637"/>
      <c r="E61" s="1007"/>
      <c r="F61" s="1007"/>
      <c r="G61" s="637"/>
      <c r="H61" s="637"/>
      <c r="I61" s="637"/>
      <c r="J61" s="637"/>
      <c r="K61" s="637"/>
      <c r="L61" s="637"/>
      <c r="M61" s="637"/>
      <c r="N61" s="637"/>
      <c r="O61" s="637"/>
      <c r="P61" s="637"/>
      <c r="Q61" s="1008"/>
      <c r="R61" s="637"/>
      <c r="S61" s="637"/>
      <c r="T61" s="637"/>
      <c r="U61" s="637"/>
      <c r="V61" s="637"/>
      <c r="W61" s="637"/>
      <c r="X61" s="637"/>
      <c r="Y61" s="1008"/>
      <c r="Z61" s="637"/>
      <c r="AA61" s="637"/>
      <c r="AB61" s="637"/>
      <c r="AC61" s="637"/>
      <c r="AD61" s="637"/>
      <c r="AE61" s="637"/>
      <c r="AF61" s="637"/>
      <c r="AG61" s="1008"/>
      <c r="AH61" s="637"/>
      <c r="AI61" s="637"/>
      <c r="AJ61" s="637"/>
      <c r="AK61" s="637"/>
      <c r="AL61" s="637"/>
      <c r="AM61" s="637"/>
      <c r="AN61" s="637"/>
      <c r="AO61" s="1008"/>
      <c r="AP61" s="637"/>
      <c r="AQ61" s="637"/>
      <c r="AR61" s="637"/>
      <c r="AS61" s="1008"/>
      <c r="AT61" s="637"/>
      <c r="AU61" s="637"/>
      <c r="AV61" s="637"/>
      <c r="AW61" s="637"/>
      <c r="AX61" s="637"/>
      <c r="AY61" s="637"/>
      <c r="AZ61" s="637"/>
      <c r="BA61" s="637"/>
      <c r="BB61" s="637"/>
      <c r="BC61" s="637"/>
      <c r="BD61" s="637"/>
      <c r="BE61" s="637"/>
      <c r="BF61" s="637"/>
      <c r="BG61" s="637"/>
      <c r="BH61" s="637"/>
      <c r="BI61" s="637"/>
    </row>
    <row r="62" ht="15.75" customHeight="1">
      <c r="A62" s="637"/>
      <c r="B62" s="637"/>
      <c r="C62" s="637"/>
      <c r="D62" s="637"/>
      <c r="E62" s="1007"/>
      <c r="F62" s="1007"/>
      <c r="G62" s="637"/>
      <c r="H62" s="637"/>
      <c r="I62" s="637"/>
      <c r="J62" s="637"/>
      <c r="K62" s="637"/>
      <c r="L62" s="637"/>
      <c r="M62" s="637"/>
      <c r="N62" s="637"/>
      <c r="O62" s="637"/>
      <c r="P62" s="637"/>
      <c r="Q62" s="1008"/>
      <c r="R62" s="637"/>
      <c r="S62" s="637"/>
      <c r="T62" s="637"/>
      <c r="U62" s="637"/>
      <c r="V62" s="637"/>
      <c r="W62" s="637"/>
      <c r="X62" s="637"/>
      <c r="Y62" s="1008"/>
      <c r="Z62" s="637"/>
      <c r="AA62" s="637"/>
      <c r="AB62" s="637"/>
      <c r="AC62" s="637"/>
      <c r="AD62" s="637"/>
      <c r="AE62" s="637"/>
      <c r="AF62" s="637"/>
      <c r="AG62" s="1008"/>
      <c r="AH62" s="637"/>
      <c r="AI62" s="637"/>
      <c r="AJ62" s="637"/>
      <c r="AK62" s="637"/>
      <c r="AL62" s="637"/>
      <c r="AM62" s="637"/>
      <c r="AN62" s="637"/>
      <c r="AO62" s="1008"/>
      <c r="AP62" s="637"/>
      <c r="AQ62" s="637"/>
      <c r="AR62" s="637"/>
      <c r="AS62" s="1008"/>
      <c r="AT62" s="637"/>
      <c r="AU62" s="637"/>
      <c r="AV62" s="637"/>
      <c r="AW62" s="637"/>
      <c r="AX62" s="637"/>
      <c r="AY62" s="637"/>
      <c r="AZ62" s="637"/>
      <c r="BA62" s="637"/>
      <c r="BB62" s="637"/>
      <c r="BC62" s="637"/>
      <c r="BD62" s="637"/>
      <c r="BE62" s="637"/>
      <c r="BF62" s="637"/>
      <c r="BG62" s="637"/>
      <c r="BH62" s="637"/>
      <c r="BI62" s="637"/>
    </row>
    <row r="63" ht="15.75" customHeight="1">
      <c r="A63" s="637"/>
      <c r="B63" s="637"/>
      <c r="C63" s="637"/>
      <c r="D63" s="637"/>
      <c r="E63" s="1007"/>
      <c r="F63" s="1007"/>
      <c r="G63" s="637"/>
      <c r="H63" s="637"/>
      <c r="I63" s="637"/>
      <c r="J63" s="637"/>
      <c r="K63" s="637"/>
      <c r="L63" s="637"/>
      <c r="M63" s="637"/>
      <c r="N63" s="637"/>
      <c r="O63" s="637"/>
      <c r="P63" s="637"/>
      <c r="Q63" s="1008"/>
      <c r="R63" s="637"/>
      <c r="S63" s="637"/>
      <c r="T63" s="637"/>
      <c r="U63" s="637"/>
      <c r="V63" s="637"/>
      <c r="W63" s="637"/>
      <c r="X63" s="637"/>
      <c r="Y63" s="1008"/>
      <c r="Z63" s="637"/>
      <c r="AA63" s="637"/>
      <c r="AB63" s="637"/>
      <c r="AC63" s="637"/>
      <c r="AD63" s="637"/>
      <c r="AE63" s="637"/>
      <c r="AF63" s="637"/>
      <c r="AG63" s="1008"/>
      <c r="AH63" s="637"/>
      <c r="AI63" s="637"/>
      <c r="AJ63" s="637"/>
      <c r="AK63" s="637"/>
      <c r="AL63" s="637"/>
      <c r="AM63" s="637"/>
      <c r="AN63" s="637"/>
      <c r="AO63" s="1008"/>
      <c r="AP63" s="637"/>
      <c r="AQ63" s="637"/>
      <c r="AR63" s="637"/>
      <c r="AS63" s="1008"/>
      <c r="AT63" s="637"/>
      <c r="AU63" s="637"/>
      <c r="AV63" s="637"/>
      <c r="AW63" s="637"/>
      <c r="AX63" s="637"/>
      <c r="AY63" s="637"/>
      <c r="AZ63" s="637"/>
      <c r="BA63" s="637"/>
      <c r="BB63" s="637"/>
      <c r="BC63" s="637"/>
      <c r="BD63" s="637"/>
      <c r="BE63" s="637"/>
      <c r="BF63" s="637"/>
      <c r="BG63" s="637"/>
      <c r="BH63" s="637"/>
      <c r="BI63" s="637"/>
    </row>
    <row r="64" ht="15.75" customHeight="1">
      <c r="A64" s="637"/>
      <c r="B64" s="637"/>
      <c r="C64" s="637"/>
      <c r="D64" s="637"/>
      <c r="E64" s="1007"/>
      <c r="F64" s="1007"/>
      <c r="G64" s="637"/>
      <c r="H64" s="637"/>
      <c r="I64" s="637"/>
      <c r="J64" s="637"/>
      <c r="K64" s="637"/>
      <c r="L64" s="637"/>
      <c r="M64" s="637"/>
      <c r="N64" s="637"/>
      <c r="O64" s="637"/>
      <c r="P64" s="637"/>
      <c r="Q64" s="1008"/>
      <c r="R64" s="637"/>
      <c r="S64" s="637"/>
      <c r="T64" s="637"/>
      <c r="U64" s="637"/>
      <c r="V64" s="637"/>
      <c r="W64" s="637"/>
      <c r="X64" s="637"/>
      <c r="Y64" s="1008"/>
      <c r="Z64" s="637"/>
      <c r="AA64" s="637"/>
      <c r="AB64" s="637"/>
      <c r="AC64" s="637"/>
      <c r="AD64" s="637"/>
      <c r="AE64" s="637"/>
      <c r="AF64" s="637"/>
      <c r="AG64" s="1008"/>
      <c r="AH64" s="637"/>
      <c r="AI64" s="637"/>
      <c r="AJ64" s="637"/>
      <c r="AK64" s="637"/>
      <c r="AL64" s="637"/>
      <c r="AM64" s="637"/>
      <c r="AN64" s="637"/>
      <c r="AO64" s="1008"/>
      <c r="AP64" s="637"/>
      <c r="AQ64" s="637"/>
      <c r="AR64" s="637"/>
      <c r="AS64" s="1008"/>
      <c r="AT64" s="637"/>
      <c r="AU64" s="637"/>
      <c r="AV64" s="637"/>
      <c r="AW64" s="637"/>
      <c r="AX64" s="637"/>
      <c r="AY64" s="637"/>
      <c r="AZ64" s="637"/>
      <c r="BA64" s="637"/>
      <c r="BB64" s="637"/>
      <c r="BC64" s="637"/>
      <c r="BD64" s="637"/>
      <c r="BE64" s="637"/>
      <c r="BF64" s="637"/>
      <c r="BG64" s="637"/>
      <c r="BH64" s="637"/>
      <c r="BI64" s="637"/>
    </row>
    <row r="65" ht="15.75" customHeight="1">
      <c r="A65" s="637"/>
      <c r="B65" s="637"/>
      <c r="C65" s="637"/>
      <c r="D65" s="637"/>
      <c r="E65" s="1007"/>
      <c r="F65" s="1007"/>
      <c r="G65" s="637"/>
      <c r="H65" s="637"/>
      <c r="I65" s="637"/>
      <c r="J65" s="637"/>
      <c r="K65" s="637"/>
      <c r="L65" s="637"/>
      <c r="M65" s="637"/>
      <c r="N65" s="637"/>
      <c r="O65" s="637"/>
      <c r="P65" s="637"/>
      <c r="Q65" s="1008"/>
      <c r="R65" s="637"/>
      <c r="S65" s="637"/>
      <c r="T65" s="637"/>
      <c r="U65" s="637"/>
      <c r="V65" s="637"/>
      <c r="W65" s="637"/>
      <c r="X65" s="637"/>
      <c r="Y65" s="1008"/>
      <c r="Z65" s="637"/>
      <c r="AA65" s="637"/>
      <c r="AB65" s="637"/>
      <c r="AC65" s="637"/>
      <c r="AD65" s="637"/>
      <c r="AE65" s="637"/>
      <c r="AF65" s="637"/>
      <c r="AG65" s="1008"/>
      <c r="AH65" s="637"/>
      <c r="AI65" s="637"/>
      <c r="AJ65" s="637"/>
      <c r="AK65" s="637"/>
      <c r="AL65" s="637"/>
      <c r="AM65" s="637"/>
      <c r="AN65" s="637"/>
      <c r="AO65" s="1008"/>
      <c r="AP65" s="637"/>
      <c r="AQ65" s="637"/>
      <c r="AR65" s="637"/>
      <c r="AS65" s="1008"/>
      <c r="AT65" s="637"/>
      <c r="AU65" s="637"/>
      <c r="AV65" s="637"/>
      <c r="AW65" s="637"/>
      <c r="AX65" s="637"/>
      <c r="AY65" s="637"/>
      <c r="AZ65" s="637"/>
      <c r="BA65" s="637"/>
      <c r="BB65" s="637"/>
      <c r="BC65" s="637"/>
      <c r="BD65" s="637"/>
      <c r="BE65" s="637"/>
      <c r="BF65" s="637"/>
      <c r="BG65" s="637"/>
      <c r="BH65" s="637"/>
      <c r="BI65" s="637"/>
    </row>
    <row r="66" ht="15.75" customHeight="1">
      <c r="A66" s="637"/>
      <c r="B66" s="637"/>
      <c r="C66" s="637"/>
      <c r="D66" s="637"/>
      <c r="E66" s="1007"/>
      <c r="F66" s="1007"/>
      <c r="G66" s="637"/>
      <c r="H66" s="637"/>
      <c r="I66" s="637"/>
      <c r="J66" s="637"/>
      <c r="K66" s="637"/>
      <c r="L66" s="637"/>
      <c r="M66" s="637"/>
      <c r="N66" s="637"/>
      <c r="O66" s="637"/>
      <c r="P66" s="637"/>
      <c r="Q66" s="1008"/>
      <c r="R66" s="637"/>
      <c r="S66" s="637"/>
      <c r="T66" s="637"/>
      <c r="U66" s="637"/>
      <c r="V66" s="637"/>
      <c r="W66" s="637"/>
      <c r="X66" s="637"/>
      <c r="Y66" s="1008"/>
      <c r="Z66" s="637"/>
      <c r="AA66" s="637"/>
      <c r="AB66" s="637"/>
      <c r="AC66" s="637"/>
      <c r="AD66" s="637"/>
      <c r="AE66" s="637"/>
      <c r="AF66" s="637"/>
      <c r="AG66" s="1008"/>
      <c r="AH66" s="637"/>
      <c r="AI66" s="637"/>
      <c r="AJ66" s="637"/>
      <c r="AK66" s="637"/>
      <c r="AL66" s="637"/>
      <c r="AM66" s="637"/>
      <c r="AN66" s="637"/>
      <c r="AO66" s="1008"/>
      <c r="AP66" s="637"/>
      <c r="AQ66" s="637"/>
      <c r="AR66" s="637"/>
      <c r="AS66" s="1008"/>
      <c r="AT66" s="637"/>
      <c r="AU66" s="637"/>
      <c r="AV66" s="637"/>
      <c r="AW66" s="637"/>
      <c r="AX66" s="637"/>
      <c r="AY66" s="637"/>
      <c r="AZ66" s="637"/>
      <c r="BA66" s="637"/>
      <c r="BB66" s="637"/>
      <c r="BC66" s="637"/>
      <c r="BD66" s="637"/>
      <c r="BE66" s="637"/>
      <c r="BF66" s="637"/>
      <c r="BG66" s="637"/>
      <c r="BH66" s="637"/>
      <c r="BI66" s="637"/>
    </row>
    <row r="67" ht="15.75" customHeight="1">
      <c r="A67" s="637"/>
      <c r="B67" s="637"/>
      <c r="C67" s="637"/>
      <c r="D67" s="637"/>
      <c r="E67" s="1007"/>
      <c r="F67" s="1007"/>
      <c r="G67" s="637"/>
      <c r="H67" s="637"/>
      <c r="I67" s="637"/>
      <c r="J67" s="637"/>
      <c r="K67" s="637"/>
      <c r="L67" s="637"/>
      <c r="M67" s="637"/>
      <c r="N67" s="637"/>
      <c r="O67" s="637"/>
      <c r="P67" s="637"/>
      <c r="Q67" s="1008"/>
      <c r="R67" s="637"/>
      <c r="S67" s="637"/>
      <c r="T67" s="637"/>
      <c r="U67" s="637"/>
      <c r="V67" s="637"/>
      <c r="W67" s="637"/>
      <c r="X67" s="637"/>
      <c r="Y67" s="1008"/>
      <c r="Z67" s="637"/>
      <c r="AA67" s="637"/>
      <c r="AB67" s="637"/>
      <c r="AC67" s="637"/>
      <c r="AD67" s="637"/>
      <c r="AE67" s="637"/>
      <c r="AF67" s="637"/>
      <c r="AG67" s="1008"/>
      <c r="AH67" s="637"/>
      <c r="AI67" s="637"/>
      <c r="AJ67" s="637"/>
      <c r="AK67" s="637"/>
      <c r="AL67" s="637"/>
      <c r="AM67" s="637"/>
      <c r="AN67" s="637"/>
      <c r="AO67" s="1008"/>
      <c r="AP67" s="637"/>
      <c r="AQ67" s="637"/>
      <c r="AR67" s="637"/>
      <c r="AS67" s="1008"/>
      <c r="AT67" s="637"/>
      <c r="AU67" s="637"/>
      <c r="AV67" s="637"/>
      <c r="AW67" s="637"/>
      <c r="AX67" s="637"/>
      <c r="AY67" s="637"/>
      <c r="AZ67" s="637"/>
      <c r="BA67" s="637"/>
      <c r="BB67" s="637"/>
      <c r="BC67" s="637"/>
      <c r="BD67" s="637"/>
      <c r="BE67" s="637"/>
      <c r="BF67" s="637"/>
      <c r="BG67" s="637"/>
      <c r="BH67" s="637"/>
      <c r="BI67" s="637"/>
    </row>
    <row r="68" ht="15.75" customHeight="1">
      <c r="A68" s="637"/>
      <c r="B68" s="637"/>
      <c r="C68" s="637"/>
      <c r="D68" s="637"/>
      <c r="E68" s="1007"/>
      <c r="F68" s="1007"/>
      <c r="G68" s="637"/>
      <c r="H68" s="637"/>
      <c r="I68" s="637"/>
      <c r="J68" s="637"/>
      <c r="K68" s="637"/>
      <c r="L68" s="637"/>
      <c r="M68" s="637"/>
      <c r="N68" s="637"/>
      <c r="O68" s="637"/>
      <c r="P68" s="637"/>
      <c r="Q68" s="1008"/>
      <c r="R68" s="637"/>
      <c r="S68" s="637"/>
      <c r="T68" s="637"/>
      <c r="U68" s="637"/>
      <c r="V68" s="637"/>
      <c r="W68" s="637"/>
      <c r="X68" s="637"/>
      <c r="Y68" s="1008"/>
      <c r="Z68" s="637"/>
      <c r="AA68" s="637"/>
      <c r="AB68" s="637"/>
      <c r="AC68" s="637"/>
      <c r="AD68" s="637"/>
      <c r="AE68" s="637"/>
      <c r="AF68" s="637"/>
      <c r="AG68" s="1008"/>
      <c r="AH68" s="637"/>
      <c r="AI68" s="637"/>
      <c r="AJ68" s="637"/>
      <c r="AK68" s="637"/>
      <c r="AL68" s="637"/>
      <c r="AM68" s="637"/>
      <c r="AN68" s="637"/>
      <c r="AO68" s="1008"/>
      <c r="AP68" s="637"/>
      <c r="AQ68" s="637"/>
      <c r="AR68" s="637"/>
      <c r="AS68" s="1008"/>
      <c r="AT68" s="637"/>
      <c r="AU68" s="637"/>
      <c r="AV68" s="637"/>
      <c r="AW68" s="637"/>
      <c r="AX68" s="637"/>
      <c r="AY68" s="637"/>
      <c r="AZ68" s="637"/>
      <c r="BA68" s="637"/>
      <c r="BB68" s="637"/>
      <c r="BC68" s="637"/>
      <c r="BD68" s="637"/>
      <c r="BE68" s="637"/>
      <c r="BF68" s="637"/>
      <c r="BG68" s="637"/>
      <c r="BH68" s="637"/>
      <c r="BI68" s="637"/>
    </row>
    <row r="69" ht="15.75" customHeight="1">
      <c r="A69" s="637"/>
      <c r="B69" s="637"/>
      <c r="C69" s="637"/>
      <c r="D69" s="637"/>
      <c r="E69" s="1007"/>
      <c r="F69" s="1007"/>
      <c r="G69" s="637"/>
      <c r="H69" s="637"/>
      <c r="I69" s="637"/>
      <c r="J69" s="637"/>
      <c r="K69" s="637"/>
      <c r="L69" s="637"/>
      <c r="M69" s="637"/>
      <c r="N69" s="637"/>
      <c r="O69" s="637"/>
      <c r="P69" s="637"/>
      <c r="Q69" s="1008"/>
      <c r="R69" s="637"/>
      <c r="S69" s="637"/>
      <c r="T69" s="637"/>
      <c r="U69" s="637"/>
      <c r="V69" s="637"/>
      <c r="W69" s="637"/>
      <c r="X69" s="637"/>
      <c r="Y69" s="1008"/>
      <c r="Z69" s="637"/>
      <c r="AA69" s="637"/>
      <c r="AB69" s="637"/>
      <c r="AC69" s="637"/>
      <c r="AD69" s="637"/>
      <c r="AE69" s="637"/>
      <c r="AF69" s="637"/>
      <c r="AG69" s="1008"/>
      <c r="AH69" s="637"/>
      <c r="AI69" s="637"/>
      <c r="AJ69" s="637"/>
      <c r="AK69" s="637"/>
      <c r="AL69" s="637"/>
      <c r="AM69" s="637"/>
      <c r="AN69" s="637"/>
      <c r="AO69" s="1008"/>
      <c r="AP69" s="637"/>
      <c r="AQ69" s="637"/>
      <c r="AR69" s="637"/>
      <c r="AS69" s="1008"/>
      <c r="AT69" s="637"/>
      <c r="AU69" s="637"/>
      <c r="AV69" s="637"/>
      <c r="AW69" s="637"/>
      <c r="AX69" s="637"/>
      <c r="AY69" s="637"/>
      <c r="AZ69" s="637"/>
      <c r="BA69" s="637"/>
      <c r="BB69" s="637"/>
      <c r="BC69" s="637"/>
      <c r="BD69" s="637"/>
      <c r="BE69" s="637"/>
      <c r="BF69" s="637"/>
      <c r="BG69" s="637"/>
      <c r="BH69" s="637"/>
      <c r="BI69" s="637"/>
    </row>
    <row r="70" ht="15.75" customHeight="1">
      <c r="A70" s="637"/>
      <c r="B70" s="637"/>
      <c r="C70" s="637"/>
      <c r="D70" s="637"/>
      <c r="E70" s="1007"/>
      <c r="F70" s="1007"/>
      <c r="G70" s="637"/>
      <c r="H70" s="637"/>
      <c r="I70" s="637"/>
      <c r="J70" s="637"/>
      <c r="K70" s="637"/>
      <c r="L70" s="637"/>
      <c r="M70" s="637"/>
      <c r="N70" s="637"/>
      <c r="O70" s="637"/>
      <c r="P70" s="637"/>
      <c r="Q70" s="1008"/>
      <c r="R70" s="637"/>
      <c r="S70" s="637"/>
      <c r="T70" s="637"/>
      <c r="U70" s="637"/>
      <c r="V70" s="637"/>
      <c r="W70" s="637"/>
      <c r="X70" s="637"/>
      <c r="Y70" s="1008"/>
      <c r="Z70" s="637"/>
      <c r="AA70" s="637"/>
      <c r="AB70" s="637"/>
      <c r="AC70" s="637"/>
      <c r="AD70" s="637"/>
      <c r="AE70" s="637"/>
      <c r="AF70" s="637"/>
      <c r="AG70" s="1008"/>
      <c r="AH70" s="637"/>
      <c r="AI70" s="637"/>
      <c r="AJ70" s="637"/>
      <c r="AK70" s="637"/>
      <c r="AL70" s="637"/>
      <c r="AM70" s="637"/>
      <c r="AN70" s="637"/>
      <c r="AO70" s="1008"/>
      <c r="AP70" s="637"/>
      <c r="AQ70" s="637"/>
      <c r="AR70" s="637"/>
      <c r="AS70" s="1008"/>
      <c r="AT70" s="637"/>
      <c r="AU70" s="637"/>
      <c r="AV70" s="637"/>
      <c r="AW70" s="637"/>
      <c r="AX70" s="637"/>
      <c r="AY70" s="637"/>
      <c r="AZ70" s="637"/>
      <c r="BA70" s="637"/>
      <c r="BB70" s="637"/>
      <c r="BC70" s="637"/>
      <c r="BD70" s="637"/>
      <c r="BE70" s="637"/>
      <c r="BF70" s="637"/>
      <c r="BG70" s="637"/>
      <c r="BH70" s="637"/>
      <c r="BI70" s="637"/>
    </row>
    <row r="71" ht="15.75" customHeight="1">
      <c r="A71" s="637"/>
      <c r="B71" s="637"/>
      <c r="C71" s="637"/>
      <c r="D71" s="637"/>
      <c r="E71" s="1007"/>
      <c r="F71" s="1007"/>
      <c r="G71" s="637"/>
      <c r="H71" s="637"/>
      <c r="I71" s="637"/>
      <c r="J71" s="637"/>
      <c r="K71" s="637"/>
      <c r="L71" s="637"/>
      <c r="M71" s="637"/>
      <c r="N71" s="637"/>
      <c r="O71" s="637"/>
      <c r="P71" s="637"/>
      <c r="Q71" s="1008"/>
      <c r="R71" s="637"/>
      <c r="S71" s="637"/>
      <c r="T71" s="637"/>
      <c r="U71" s="637"/>
      <c r="V71" s="637"/>
      <c r="W71" s="637"/>
      <c r="X71" s="637"/>
      <c r="Y71" s="1008"/>
      <c r="Z71" s="637"/>
      <c r="AA71" s="637"/>
      <c r="AB71" s="637"/>
      <c r="AC71" s="637"/>
      <c r="AD71" s="637"/>
      <c r="AE71" s="637"/>
      <c r="AF71" s="637"/>
      <c r="AG71" s="1008"/>
      <c r="AH71" s="637"/>
      <c r="AI71" s="637"/>
      <c r="AJ71" s="637"/>
      <c r="AK71" s="637"/>
      <c r="AL71" s="637"/>
      <c r="AM71" s="637"/>
      <c r="AN71" s="637"/>
      <c r="AO71" s="1008"/>
      <c r="AP71" s="637"/>
      <c r="AQ71" s="637"/>
      <c r="AR71" s="637"/>
      <c r="AS71" s="1008"/>
      <c r="AT71" s="637"/>
      <c r="AU71" s="637"/>
      <c r="AV71" s="637"/>
      <c r="AW71" s="637"/>
      <c r="AX71" s="637"/>
      <c r="AY71" s="637"/>
      <c r="AZ71" s="637"/>
      <c r="BA71" s="637"/>
      <c r="BB71" s="637"/>
      <c r="BC71" s="637"/>
      <c r="BD71" s="637"/>
      <c r="BE71" s="637"/>
      <c r="BF71" s="637"/>
      <c r="BG71" s="637"/>
      <c r="BH71" s="637"/>
      <c r="BI71" s="637"/>
    </row>
    <row r="72" ht="15.75" customHeight="1">
      <c r="A72" s="637"/>
      <c r="B72" s="637"/>
      <c r="C72" s="637"/>
      <c r="D72" s="637"/>
      <c r="E72" s="1007"/>
      <c r="F72" s="1007"/>
      <c r="G72" s="637"/>
      <c r="H72" s="637"/>
      <c r="I72" s="637"/>
      <c r="J72" s="637"/>
      <c r="K72" s="637"/>
      <c r="L72" s="637"/>
      <c r="M72" s="637"/>
      <c r="N72" s="637"/>
      <c r="O72" s="637"/>
      <c r="P72" s="637"/>
      <c r="Q72" s="1008"/>
      <c r="R72" s="637"/>
      <c r="S72" s="637"/>
      <c r="T72" s="637"/>
      <c r="U72" s="637"/>
      <c r="V72" s="637"/>
      <c r="W72" s="637"/>
      <c r="X72" s="637"/>
      <c r="Y72" s="1008"/>
      <c r="Z72" s="637"/>
      <c r="AA72" s="637"/>
      <c r="AB72" s="637"/>
      <c r="AC72" s="637"/>
      <c r="AD72" s="637"/>
      <c r="AE72" s="637"/>
      <c r="AF72" s="637"/>
      <c r="AG72" s="1008"/>
      <c r="AH72" s="637"/>
      <c r="AI72" s="637"/>
      <c r="AJ72" s="637"/>
      <c r="AK72" s="637"/>
      <c r="AL72" s="637"/>
      <c r="AM72" s="637"/>
      <c r="AN72" s="637"/>
      <c r="AO72" s="1008"/>
      <c r="AP72" s="637"/>
      <c r="AQ72" s="637"/>
      <c r="AR72" s="637"/>
      <c r="AS72" s="1008"/>
      <c r="AT72" s="637"/>
      <c r="AU72" s="637"/>
      <c r="AV72" s="637"/>
      <c r="AW72" s="637"/>
      <c r="AX72" s="637"/>
      <c r="AY72" s="637"/>
      <c r="AZ72" s="637"/>
      <c r="BA72" s="637"/>
      <c r="BB72" s="637"/>
      <c r="BC72" s="637"/>
      <c r="BD72" s="637"/>
      <c r="BE72" s="637"/>
      <c r="BF72" s="637"/>
      <c r="BG72" s="637"/>
      <c r="BH72" s="637"/>
      <c r="BI72" s="637"/>
    </row>
    <row r="73" ht="15.75" customHeight="1">
      <c r="A73" s="637"/>
      <c r="B73" s="637"/>
      <c r="C73" s="637"/>
      <c r="D73" s="637"/>
      <c r="E73" s="1007"/>
      <c r="F73" s="1007"/>
      <c r="G73" s="637"/>
      <c r="H73" s="637"/>
      <c r="I73" s="637"/>
      <c r="J73" s="637"/>
      <c r="K73" s="637"/>
      <c r="L73" s="637"/>
      <c r="M73" s="637"/>
      <c r="N73" s="637"/>
      <c r="O73" s="637"/>
      <c r="P73" s="637"/>
      <c r="Q73" s="1008"/>
      <c r="R73" s="637"/>
      <c r="S73" s="637"/>
      <c r="T73" s="637"/>
      <c r="U73" s="637"/>
      <c r="V73" s="637"/>
      <c r="W73" s="637"/>
      <c r="X73" s="637"/>
      <c r="Y73" s="1008"/>
      <c r="Z73" s="637"/>
      <c r="AA73" s="637"/>
      <c r="AB73" s="637"/>
      <c r="AC73" s="637"/>
      <c r="AD73" s="637"/>
      <c r="AE73" s="637"/>
      <c r="AF73" s="637"/>
      <c r="AG73" s="1008"/>
      <c r="AH73" s="637"/>
      <c r="AI73" s="637"/>
      <c r="AJ73" s="637"/>
      <c r="AK73" s="637"/>
      <c r="AL73" s="637"/>
      <c r="AM73" s="637"/>
      <c r="AN73" s="637"/>
      <c r="AO73" s="1008"/>
      <c r="AP73" s="637"/>
      <c r="AQ73" s="637"/>
      <c r="AR73" s="637"/>
      <c r="AS73" s="1008"/>
      <c r="AT73" s="637"/>
      <c r="AU73" s="637"/>
      <c r="AV73" s="637"/>
      <c r="AW73" s="637"/>
      <c r="AX73" s="637"/>
      <c r="AY73" s="637"/>
      <c r="AZ73" s="637"/>
      <c r="BA73" s="637"/>
      <c r="BB73" s="637"/>
      <c r="BC73" s="637"/>
      <c r="BD73" s="637"/>
      <c r="BE73" s="637"/>
      <c r="BF73" s="637"/>
      <c r="BG73" s="637"/>
      <c r="BH73" s="637"/>
      <c r="BI73" s="637"/>
    </row>
    <row r="74" ht="15.75" customHeight="1">
      <c r="A74" s="637"/>
      <c r="B74" s="637"/>
      <c r="C74" s="637"/>
      <c r="D74" s="637"/>
      <c r="E74" s="1007"/>
      <c r="F74" s="1007"/>
      <c r="G74" s="637"/>
      <c r="H74" s="637"/>
      <c r="I74" s="637"/>
      <c r="J74" s="637"/>
      <c r="K74" s="637"/>
      <c r="L74" s="637"/>
      <c r="M74" s="637"/>
      <c r="N74" s="637"/>
      <c r="O74" s="637"/>
      <c r="P74" s="637"/>
      <c r="Q74" s="1008"/>
      <c r="R74" s="637"/>
      <c r="S74" s="637"/>
      <c r="T74" s="637"/>
      <c r="U74" s="637"/>
      <c r="V74" s="637"/>
      <c r="W74" s="637"/>
      <c r="X74" s="637"/>
      <c r="Y74" s="1008"/>
      <c r="Z74" s="637"/>
      <c r="AA74" s="637"/>
      <c r="AB74" s="637"/>
      <c r="AC74" s="637"/>
      <c r="AD74" s="637"/>
      <c r="AE74" s="637"/>
      <c r="AF74" s="637"/>
      <c r="AG74" s="1008"/>
      <c r="AH74" s="637"/>
      <c r="AI74" s="637"/>
      <c r="AJ74" s="637"/>
      <c r="AK74" s="637"/>
      <c r="AL74" s="637"/>
      <c r="AM74" s="637"/>
      <c r="AN74" s="637"/>
      <c r="AO74" s="1008"/>
      <c r="AP74" s="637"/>
      <c r="AQ74" s="637"/>
      <c r="AR74" s="637"/>
      <c r="AS74" s="1008"/>
      <c r="AT74" s="637"/>
      <c r="AU74" s="637"/>
      <c r="AV74" s="637"/>
      <c r="AW74" s="637"/>
      <c r="AX74" s="637"/>
      <c r="AY74" s="637"/>
      <c r="AZ74" s="637"/>
      <c r="BA74" s="637"/>
      <c r="BB74" s="637"/>
      <c r="BC74" s="637"/>
      <c r="BD74" s="637"/>
      <c r="BE74" s="637"/>
      <c r="BF74" s="637"/>
      <c r="BG74" s="637"/>
      <c r="BH74" s="637"/>
      <c r="BI74" s="637"/>
    </row>
    <row r="75" ht="15.75" customHeight="1">
      <c r="A75" s="637"/>
      <c r="B75" s="637"/>
      <c r="C75" s="637"/>
      <c r="D75" s="637"/>
      <c r="E75" s="1007"/>
      <c r="F75" s="1007"/>
      <c r="G75" s="637"/>
      <c r="H75" s="637"/>
      <c r="I75" s="637"/>
      <c r="J75" s="637"/>
      <c r="K75" s="637"/>
      <c r="L75" s="637"/>
      <c r="M75" s="637"/>
      <c r="N75" s="637"/>
      <c r="O75" s="637"/>
      <c r="P75" s="637"/>
      <c r="Q75" s="1008"/>
      <c r="R75" s="637"/>
      <c r="S75" s="637"/>
      <c r="T75" s="637"/>
      <c r="U75" s="637"/>
      <c r="V75" s="637"/>
      <c r="W75" s="637"/>
      <c r="X75" s="637"/>
      <c r="Y75" s="1008"/>
      <c r="Z75" s="637"/>
      <c r="AA75" s="637"/>
      <c r="AB75" s="637"/>
      <c r="AC75" s="637"/>
      <c r="AD75" s="637"/>
      <c r="AE75" s="637"/>
      <c r="AF75" s="637"/>
      <c r="AG75" s="1008"/>
      <c r="AH75" s="637"/>
      <c r="AI75" s="637"/>
      <c r="AJ75" s="637"/>
      <c r="AK75" s="637"/>
      <c r="AL75" s="637"/>
      <c r="AM75" s="637"/>
      <c r="AN75" s="637"/>
      <c r="AO75" s="1008"/>
      <c r="AP75" s="637"/>
      <c r="AQ75" s="637"/>
      <c r="AR75" s="637"/>
      <c r="AS75" s="1008"/>
      <c r="AT75" s="637"/>
      <c r="AU75" s="637"/>
      <c r="AV75" s="637"/>
      <c r="AW75" s="637"/>
      <c r="AX75" s="637"/>
      <c r="AY75" s="637"/>
      <c r="AZ75" s="637"/>
      <c r="BA75" s="637"/>
      <c r="BB75" s="637"/>
      <c r="BC75" s="637"/>
      <c r="BD75" s="637"/>
      <c r="BE75" s="637"/>
      <c r="BF75" s="637"/>
      <c r="BG75" s="637"/>
      <c r="BH75" s="637"/>
      <c r="BI75" s="637"/>
    </row>
    <row r="76" ht="15.75" customHeight="1">
      <c r="A76" s="637"/>
      <c r="B76" s="637"/>
      <c r="C76" s="637"/>
      <c r="D76" s="637"/>
      <c r="E76" s="1007"/>
      <c r="F76" s="1007"/>
      <c r="G76" s="637"/>
      <c r="H76" s="637"/>
      <c r="I76" s="637"/>
      <c r="J76" s="637"/>
      <c r="K76" s="637"/>
      <c r="L76" s="637"/>
      <c r="M76" s="637"/>
      <c r="N76" s="637"/>
      <c r="O76" s="637"/>
      <c r="P76" s="637"/>
      <c r="Q76" s="1008"/>
      <c r="R76" s="637"/>
      <c r="S76" s="637"/>
      <c r="T76" s="637"/>
      <c r="U76" s="637"/>
      <c r="V76" s="637"/>
      <c r="W76" s="637"/>
      <c r="X76" s="637"/>
      <c r="Y76" s="1008"/>
      <c r="Z76" s="637"/>
      <c r="AA76" s="637"/>
      <c r="AB76" s="637"/>
      <c r="AC76" s="637"/>
      <c r="AD76" s="637"/>
      <c r="AE76" s="637"/>
      <c r="AF76" s="637"/>
      <c r="AG76" s="1008"/>
      <c r="AH76" s="637"/>
      <c r="AI76" s="637"/>
      <c r="AJ76" s="637"/>
      <c r="AK76" s="637"/>
      <c r="AL76" s="637"/>
      <c r="AM76" s="637"/>
      <c r="AN76" s="637"/>
      <c r="AO76" s="1008"/>
      <c r="AP76" s="637"/>
      <c r="AQ76" s="637"/>
      <c r="AR76" s="637"/>
      <c r="AS76" s="1008"/>
      <c r="AT76" s="637"/>
      <c r="AU76" s="637"/>
      <c r="AV76" s="637"/>
      <c r="AW76" s="637"/>
      <c r="AX76" s="637"/>
      <c r="AY76" s="637"/>
      <c r="AZ76" s="637"/>
      <c r="BA76" s="637"/>
      <c r="BB76" s="637"/>
      <c r="BC76" s="637"/>
      <c r="BD76" s="637"/>
      <c r="BE76" s="637"/>
      <c r="BF76" s="637"/>
      <c r="BG76" s="637"/>
      <c r="BH76" s="637"/>
      <c r="BI76" s="637"/>
    </row>
    <row r="77" ht="15.75" customHeight="1">
      <c r="A77" s="637"/>
      <c r="B77" s="637"/>
      <c r="C77" s="637"/>
      <c r="D77" s="637"/>
      <c r="E77" s="1007"/>
      <c r="F77" s="1007"/>
      <c r="G77" s="637"/>
      <c r="H77" s="637"/>
      <c r="I77" s="637"/>
      <c r="J77" s="637"/>
      <c r="K77" s="637"/>
      <c r="L77" s="637"/>
      <c r="M77" s="637"/>
      <c r="N77" s="637"/>
      <c r="O77" s="637"/>
      <c r="P77" s="637"/>
      <c r="Q77" s="1008"/>
      <c r="R77" s="637"/>
      <c r="S77" s="637"/>
      <c r="T77" s="637"/>
      <c r="U77" s="637"/>
      <c r="V77" s="637"/>
      <c r="W77" s="637"/>
      <c r="X77" s="637"/>
      <c r="Y77" s="1008"/>
      <c r="Z77" s="637"/>
      <c r="AA77" s="637"/>
      <c r="AB77" s="637"/>
      <c r="AC77" s="637"/>
      <c r="AD77" s="637"/>
      <c r="AE77" s="637"/>
      <c r="AF77" s="637"/>
      <c r="AG77" s="1008"/>
      <c r="AH77" s="637"/>
      <c r="AI77" s="637"/>
      <c r="AJ77" s="637"/>
      <c r="AK77" s="637"/>
      <c r="AL77" s="637"/>
      <c r="AM77" s="637"/>
      <c r="AN77" s="637"/>
      <c r="AO77" s="1008"/>
      <c r="AP77" s="637"/>
      <c r="AQ77" s="637"/>
      <c r="AR77" s="637"/>
      <c r="AS77" s="1008"/>
      <c r="AT77" s="637"/>
      <c r="AU77" s="637"/>
      <c r="AV77" s="637"/>
      <c r="AW77" s="637"/>
      <c r="AX77" s="637"/>
      <c r="AY77" s="637"/>
      <c r="AZ77" s="637"/>
      <c r="BA77" s="637"/>
      <c r="BB77" s="637"/>
      <c r="BC77" s="637"/>
      <c r="BD77" s="637"/>
      <c r="BE77" s="637"/>
      <c r="BF77" s="637"/>
      <c r="BG77" s="637"/>
      <c r="BH77" s="637"/>
      <c r="BI77" s="637"/>
    </row>
    <row r="78" ht="15.75" customHeight="1">
      <c r="A78" s="637"/>
      <c r="B78" s="637"/>
      <c r="C78" s="637"/>
      <c r="D78" s="637"/>
      <c r="E78" s="1007"/>
      <c r="F78" s="1007"/>
      <c r="G78" s="637"/>
      <c r="H78" s="637"/>
      <c r="I78" s="637"/>
      <c r="J78" s="637"/>
      <c r="K78" s="637"/>
      <c r="L78" s="637"/>
      <c r="M78" s="637"/>
      <c r="N78" s="637"/>
      <c r="O78" s="637"/>
      <c r="P78" s="637"/>
      <c r="Q78" s="1008"/>
      <c r="R78" s="637"/>
      <c r="S78" s="637"/>
      <c r="T78" s="637"/>
      <c r="U78" s="637"/>
      <c r="V78" s="637"/>
      <c r="W78" s="637"/>
      <c r="X78" s="637"/>
      <c r="Y78" s="1008"/>
      <c r="Z78" s="637"/>
      <c r="AA78" s="637"/>
      <c r="AB78" s="637"/>
      <c r="AC78" s="637"/>
      <c r="AD78" s="637"/>
      <c r="AE78" s="637"/>
      <c r="AF78" s="637"/>
      <c r="AG78" s="1008"/>
      <c r="AH78" s="637"/>
      <c r="AI78" s="637"/>
      <c r="AJ78" s="637"/>
      <c r="AK78" s="637"/>
      <c r="AL78" s="637"/>
      <c r="AM78" s="637"/>
      <c r="AN78" s="637"/>
      <c r="AO78" s="1008"/>
      <c r="AP78" s="637"/>
      <c r="AQ78" s="637"/>
      <c r="AR78" s="637"/>
      <c r="AS78" s="1008"/>
      <c r="AT78" s="637"/>
      <c r="AU78" s="637"/>
      <c r="AV78" s="637"/>
      <c r="AW78" s="637"/>
      <c r="AX78" s="637"/>
      <c r="AY78" s="637"/>
      <c r="AZ78" s="637"/>
      <c r="BA78" s="637"/>
      <c r="BB78" s="637"/>
      <c r="BC78" s="637"/>
      <c r="BD78" s="637"/>
      <c r="BE78" s="637"/>
      <c r="BF78" s="637"/>
      <c r="BG78" s="637"/>
      <c r="BH78" s="637"/>
      <c r="BI78" s="637"/>
    </row>
    <row r="79" ht="15.75" customHeight="1">
      <c r="A79" s="637"/>
      <c r="B79" s="637"/>
      <c r="C79" s="637"/>
      <c r="D79" s="637"/>
      <c r="E79" s="1007"/>
      <c r="F79" s="1007"/>
      <c r="G79" s="637"/>
      <c r="H79" s="637"/>
      <c r="I79" s="637"/>
      <c r="J79" s="637"/>
      <c r="K79" s="637"/>
      <c r="L79" s="637"/>
      <c r="M79" s="637"/>
      <c r="N79" s="637"/>
      <c r="O79" s="637"/>
      <c r="P79" s="637"/>
      <c r="Q79" s="1008"/>
      <c r="R79" s="637"/>
      <c r="S79" s="637"/>
      <c r="T79" s="637"/>
      <c r="U79" s="637"/>
      <c r="V79" s="637"/>
      <c r="W79" s="637"/>
      <c r="X79" s="637"/>
      <c r="Y79" s="1008"/>
      <c r="Z79" s="637"/>
      <c r="AA79" s="637"/>
      <c r="AB79" s="637"/>
      <c r="AC79" s="637"/>
      <c r="AD79" s="637"/>
      <c r="AE79" s="637"/>
      <c r="AF79" s="637"/>
      <c r="AG79" s="1008"/>
      <c r="AH79" s="637"/>
      <c r="AI79" s="637"/>
      <c r="AJ79" s="637"/>
      <c r="AK79" s="637"/>
      <c r="AL79" s="637"/>
      <c r="AM79" s="637"/>
      <c r="AN79" s="637"/>
      <c r="AO79" s="1008"/>
      <c r="AP79" s="637"/>
      <c r="AQ79" s="637"/>
      <c r="AR79" s="637"/>
      <c r="AS79" s="1008"/>
      <c r="AT79" s="637"/>
      <c r="AU79" s="637"/>
      <c r="AV79" s="637"/>
      <c r="AW79" s="637"/>
      <c r="AX79" s="637"/>
      <c r="AY79" s="637"/>
      <c r="AZ79" s="637"/>
      <c r="BA79" s="637"/>
      <c r="BB79" s="637"/>
      <c r="BC79" s="637"/>
      <c r="BD79" s="637"/>
      <c r="BE79" s="637"/>
      <c r="BF79" s="637"/>
      <c r="BG79" s="637"/>
      <c r="BH79" s="637"/>
      <c r="BI79" s="637"/>
    </row>
    <row r="80" ht="15.75" customHeight="1">
      <c r="A80" s="637"/>
      <c r="B80" s="637"/>
      <c r="C80" s="637"/>
      <c r="D80" s="637"/>
      <c r="E80" s="1007"/>
      <c r="F80" s="1007"/>
      <c r="G80" s="637"/>
      <c r="H80" s="637"/>
      <c r="I80" s="637"/>
      <c r="J80" s="637"/>
      <c r="K80" s="637"/>
      <c r="L80" s="637"/>
      <c r="M80" s="637"/>
      <c r="N80" s="637"/>
      <c r="O80" s="637"/>
      <c r="P80" s="637"/>
      <c r="Q80" s="1008"/>
      <c r="R80" s="637"/>
      <c r="S80" s="637"/>
      <c r="T80" s="637"/>
      <c r="U80" s="637"/>
      <c r="V80" s="637"/>
      <c r="W80" s="637"/>
      <c r="X80" s="637"/>
      <c r="Y80" s="1008"/>
      <c r="Z80" s="637"/>
      <c r="AA80" s="637"/>
      <c r="AB80" s="637"/>
      <c r="AC80" s="637"/>
      <c r="AD80" s="637"/>
      <c r="AE80" s="637"/>
      <c r="AF80" s="637"/>
      <c r="AG80" s="1008"/>
      <c r="AH80" s="637"/>
      <c r="AI80" s="637"/>
      <c r="AJ80" s="637"/>
      <c r="AK80" s="637"/>
      <c r="AL80" s="637"/>
      <c r="AM80" s="637"/>
      <c r="AN80" s="637"/>
      <c r="AO80" s="1008"/>
      <c r="AP80" s="637"/>
      <c r="AQ80" s="637"/>
      <c r="AR80" s="637"/>
      <c r="AS80" s="1008"/>
      <c r="AT80" s="637"/>
      <c r="AU80" s="637"/>
      <c r="AV80" s="637"/>
      <c r="AW80" s="637"/>
      <c r="AX80" s="637"/>
      <c r="AY80" s="637"/>
      <c r="AZ80" s="637"/>
      <c r="BA80" s="637"/>
      <c r="BB80" s="637"/>
      <c r="BC80" s="637"/>
      <c r="BD80" s="637"/>
      <c r="BE80" s="637"/>
      <c r="BF80" s="637"/>
      <c r="BG80" s="637"/>
      <c r="BH80" s="637"/>
      <c r="BI80" s="637"/>
    </row>
    <row r="81" ht="15.75" customHeight="1">
      <c r="A81" s="637"/>
      <c r="B81" s="637"/>
      <c r="C81" s="637"/>
      <c r="D81" s="637"/>
      <c r="E81" s="1007"/>
      <c r="F81" s="1007"/>
      <c r="G81" s="637"/>
      <c r="H81" s="637"/>
      <c r="I81" s="637"/>
      <c r="J81" s="637"/>
      <c r="K81" s="637"/>
      <c r="L81" s="637"/>
      <c r="M81" s="637"/>
      <c r="N81" s="637"/>
      <c r="O81" s="637"/>
      <c r="P81" s="637"/>
      <c r="Q81" s="1008"/>
      <c r="R81" s="637"/>
      <c r="S81" s="637"/>
      <c r="T81" s="637"/>
      <c r="U81" s="637"/>
      <c r="V81" s="637"/>
      <c r="W81" s="637"/>
      <c r="X81" s="637"/>
      <c r="Y81" s="1008"/>
      <c r="Z81" s="637"/>
      <c r="AA81" s="637"/>
      <c r="AB81" s="637"/>
      <c r="AC81" s="637"/>
      <c r="AD81" s="637"/>
      <c r="AE81" s="637"/>
      <c r="AF81" s="637"/>
      <c r="AG81" s="1008"/>
      <c r="AH81" s="637"/>
      <c r="AI81" s="637"/>
      <c r="AJ81" s="637"/>
      <c r="AK81" s="637"/>
      <c r="AL81" s="637"/>
      <c r="AM81" s="637"/>
      <c r="AN81" s="637"/>
      <c r="AO81" s="1008"/>
      <c r="AP81" s="637"/>
      <c r="AQ81" s="637"/>
      <c r="AR81" s="637"/>
      <c r="AS81" s="1008"/>
      <c r="AT81" s="637"/>
      <c r="AU81" s="637"/>
      <c r="AV81" s="637"/>
      <c r="AW81" s="637"/>
      <c r="AX81" s="637"/>
      <c r="AY81" s="637"/>
      <c r="AZ81" s="637"/>
      <c r="BA81" s="637"/>
      <c r="BB81" s="637"/>
      <c r="BC81" s="637"/>
      <c r="BD81" s="637"/>
      <c r="BE81" s="637"/>
      <c r="BF81" s="637"/>
      <c r="BG81" s="637"/>
      <c r="BH81" s="637"/>
      <c r="BI81" s="637"/>
    </row>
    <row r="82" ht="15.75" customHeight="1">
      <c r="A82" s="637"/>
      <c r="B82" s="637"/>
      <c r="C82" s="637"/>
      <c r="D82" s="637"/>
      <c r="E82" s="1007"/>
      <c r="F82" s="1007"/>
      <c r="G82" s="637"/>
      <c r="H82" s="637"/>
      <c r="I82" s="637"/>
      <c r="J82" s="637"/>
      <c r="K82" s="637"/>
      <c r="L82" s="637"/>
      <c r="M82" s="637"/>
      <c r="N82" s="637"/>
      <c r="O82" s="637"/>
      <c r="P82" s="637"/>
      <c r="Q82" s="1008"/>
      <c r="R82" s="637"/>
      <c r="S82" s="637"/>
      <c r="T82" s="637"/>
      <c r="U82" s="637"/>
      <c r="V82" s="637"/>
      <c r="W82" s="637"/>
      <c r="X82" s="637"/>
      <c r="Y82" s="1008"/>
      <c r="Z82" s="637"/>
      <c r="AA82" s="637"/>
      <c r="AB82" s="637"/>
      <c r="AC82" s="637"/>
      <c r="AD82" s="637"/>
      <c r="AE82" s="637"/>
      <c r="AF82" s="637"/>
      <c r="AG82" s="1008"/>
      <c r="AH82" s="637"/>
      <c r="AI82" s="637"/>
      <c r="AJ82" s="637"/>
      <c r="AK82" s="637"/>
      <c r="AL82" s="637"/>
      <c r="AM82" s="637"/>
      <c r="AN82" s="637"/>
      <c r="AO82" s="1008"/>
      <c r="AP82" s="637"/>
      <c r="AQ82" s="637"/>
      <c r="AR82" s="637"/>
      <c r="AS82" s="1008"/>
      <c r="AT82" s="637"/>
      <c r="AU82" s="637"/>
      <c r="AV82" s="637"/>
      <c r="AW82" s="637"/>
      <c r="AX82" s="637"/>
      <c r="AY82" s="637"/>
      <c r="AZ82" s="637"/>
      <c r="BA82" s="637"/>
      <c r="BB82" s="637"/>
      <c r="BC82" s="637"/>
      <c r="BD82" s="637"/>
      <c r="BE82" s="637"/>
      <c r="BF82" s="637"/>
      <c r="BG82" s="637"/>
      <c r="BH82" s="637"/>
      <c r="BI82" s="637"/>
    </row>
    <row r="83" ht="15.75" customHeight="1">
      <c r="A83" s="637"/>
      <c r="B83" s="637"/>
      <c r="C83" s="637"/>
      <c r="D83" s="637"/>
      <c r="E83" s="1007"/>
      <c r="F83" s="1007"/>
      <c r="G83" s="637"/>
      <c r="H83" s="637"/>
      <c r="I83" s="637"/>
      <c r="J83" s="637"/>
      <c r="K83" s="637"/>
      <c r="L83" s="637"/>
      <c r="M83" s="637"/>
      <c r="N83" s="637"/>
      <c r="O83" s="637"/>
      <c r="P83" s="637"/>
      <c r="Q83" s="1008"/>
      <c r="R83" s="637"/>
      <c r="S83" s="637"/>
      <c r="T83" s="637"/>
      <c r="U83" s="637"/>
      <c r="V83" s="637"/>
      <c r="W83" s="637"/>
      <c r="X83" s="637"/>
      <c r="Y83" s="1008"/>
      <c r="Z83" s="637"/>
      <c r="AA83" s="637"/>
      <c r="AB83" s="637"/>
      <c r="AC83" s="637"/>
      <c r="AD83" s="637"/>
      <c r="AE83" s="637"/>
      <c r="AF83" s="637"/>
      <c r="AG83" s="1008"/>
      <c r="AH83" s="637"/>
      <c r="AI83" s="637"/>
      <c r="AJ83" s="637"/>
      <c r="AK83" s="637"/>
      <c r="AL83" s="637"/>
      <c r="AM83" s="637"/>
      <c r="AN83" s="637"/>
      <c r="AO83" s="1008"/>
      <c r="AP83" s="637"/>
      <c r="AQ83" s="637"/>
      <c r="AR83" s="637"/>
      <c r="AS83" s="1008"/>
      <c r="AT83" s="637"/>
      <c r="AU83" s="637"/>
      <c r="AV83" s="637"/>
      <c r="AW83" s="637"/>
      <c r="AX83" s="637"/>
      <c r="AY83" s="637"/>
      <c r="AZ83" s="637"/>
      <c r="BA83" s="637"/>
      <c r="BB83" s="637"/>
      <c r="BC83" s="637"/>
      <c r="BD83" s="637"/>
      <c r="BE83" s="637"/>
      <c r="BF83" s="637"/>
      <c r="BG83" s="637"/>
      <c r="BH83" s="637"/>
      <c r="BI83" s="637"/>
    </row>
    <row r="84" ht="15.75" customHeight="1">
      <c r="A84" s="637"/>
      <c r="B84" s="637"/>
      <c r="C84" s="637"/>
      <c r="D84" s="637"/>
      <c r="E84" s="1007"/>
      <c r="F84" s="1007"/>
      <c r="G84" s="637"/>
      <c r="H84" s="637"/>
      <c r="I84" s="637"/>
      <c r="J84" s="637"/>
      <c r="K84" s="637"/>
      <c r="L84" s="637"/>
      <c r="M84" s="637"/>
      <c r="N84" s="637"/>
      <c r="O84" s="637"/>
      <c r="P84" s="637"/>
      <c r="Q84" s="1008"/>
      <c r="R84" s="637"/>
      <c r="S84" s="637"/>
      <c r="T84" s="637"/>
      <c r="U84" s="637"/>
      <c r="V84" s="637"/>
      <c r="W84" s="637"/>
      <c r="X84" s="637"/>
      <c r="Y84" s="1008"/>
      <c r="Z84" s="637"/>
      <c r="AA84" s="637"/>
      <c r="AB84" s="637"/>
      <c r="AC84" s="637"/>
      <c r="AD84" s="637"/>
      <c r="AE84" s="637"/>
      <c r="AF84" s="637"/>
      <c r="AG84" s="1008"/>
      <c r="AH84" s="637"/>
      <c r="AI84" s="637"/>
      <c r="AJ84" s="637"/>
      <c r="AK84" s="637"/>
      <c r="AL84" s="637"/>
      <c r="AM84" s="637"/>
      <c r="AN84" s="637"/>
      <c r="AO84" s="1008"/>
      <c r="AP84" s="637"/>
      <c r="AQ84" s="637"/>
      <c r="AR84" s="637"/>
      <c r="AS84" s="1008"/>
      <c r="AT84" s="637"/>
      <c r="AU84" s="637"/>
      <c r="AV84" s="637"/>
      <c r="AW84" s="637"/>
      <c r="AX84" s="637"/>
      <c r="AY84" s="637"/>
      <c r="AZ84" s="637"/>
      <c r="BA84" s="637"/>
      <c r="BB84" s="637"/>
      <c r="BC84" s="637"/>
      <c r="BD84" s="637"/>
      <c r="BE84" s="637"/>
      <c r="BF84" s="637"/>
      <c r="BG84" s="637"/>
      <c r="BH84" s="637"/>
      <c r="BI84" s="637"/>
    </row>
    <row r="85" ht="15.75" customHeight="1">
      <c r="A85" s="637"/>
      <c r="B85" s="637"/>
      <c r="C85" s="637"/>
      <c r="D85" s="637"/>
      <c r="E85" s="1007"/>
      <c r="F85" s="1007"/>
      <c r="G85" s="637"/>
      <c r="H85" s="637"/>
      <c r="I85" s="637"/>
      <c r="J85" s="637"/>
      <c r="K85" s="637"/>
      <c r="L85" s="637"/>
      <c r="M85" s="637"/>
      <c r="N85" s="637"/>
      <c r="O85" s="637"/>
      <c r="P85" s="637"/>
      <c r="Q85" s="1008"/>
      <c r="R85" s="637"/>
      <c r="S85" s="637"/>
      <c r="T85" s="637"/>
      <c r="U85" s="637"/>
      <c r="V85" s="637"/>
      <c r="W85" s="637"/>
      <c r="X85" s="637"/>
      <c r="Y85" s="1008"/>
      <c r="Z85" s="637"/>
      <c r="AA85" s="637"/>
      <c r="AB85" s="637"/>
      <c r="AC85" s="637"/>
      <c r="AD85" s="637"/>
      <c r="AE85" s="637"/>
      <c r="AF85" s="637"/>
      <c r="AG85" s="1008"/>
      <c r="AH85" s="637"/>
      <c r="AI85" s="637"/>
      <c r="AJ85" s="637"/>
      <c r="AK85" s="637"/>
      <c r="AL85" s="637"/>
      <c r="AM85" s="637"/>
      <c r="AN85" s="637"/>
      <c r="AO85" s="1008"/>
      <c r="AP85" s="637"/>
      <c r="AQ85" s="637"/>
      <c r="AR85" s="637"/>
      <c r="AS85" s="1008"/>
      <c r="AT85" s="637"/>
      <c r="AU85" s="637"/>
      <c r="AV85" s="637"/>
      <c r="AW85" s="637"/>
      <c r="AX85" s="637"/>
      <c r="AY85" s="637"/>
      <c r="AZ85" s="637"/>
      <c r="BA85" s="637"/>
      <c r="BB85" s="637"/>
      <c r="BC85" s="637"/>
      <c r="BD85" s="637"/>
      <c r="BE85" s="637"/>
      <c r="BF85" s="637"/>
      <c r="BG85" s="637"/>
      <c r="BH85" s="637"/>
      <c r="BI85" s="637"/>
    </row>
    <row r="86" ht="15.75" customHeight="1">
      <c r="A86" s="637"/>
      <c r="B86" s="637"/>
      <c r="C86" s="637"/>
      <c r="D86" s="637"/>
      <c r="E86" s="1007"/>
      <c r="F86" s="1007"/>
      <c r="G86" s="637"/>
      <c r="H86" s="637"/>
      <c r="I86" s="637"/>
      <c r="J86" s="637"/>
      <c r="K86" s="637"/>
      <c r="L86" s="637"/>
      <c r="M86" s="637"/>
      <c r="N86" s="637"/>
      <c r="O86" s="637"/>
      <c r="P86" s="637"/>
      <c r="Q86" s="1008"/>
      <c r="R86" s="637"/>
      <c r="S86" s="637"/>
      <c r="T86" s="637"/>
      <c r="U86" s="637"/>
      <c r="V86" s="637"/>
      <c r="W86" s="637"/>
      <c r="X86" s="637"/>
      <c r="Y86" s="1008"/>
      <c r="Z86" s="637"/>
      <c r="AA86" s="637"/>
      <c r="AB86" s="637"/>
      <c r="AC86" s="637"/>
      <c r="AD86" s="637"/>
      <c r="AE86" s="637"/>
      <c r="AF86" s="637"/>
      <c r="AG86" s="1008"/>
      <c r="AH86" s="637"/>
      <c r="AI86" s="637"/>
      <c r="AJ86" s="637"/>
      <c r="AK86" s="637"/>
      <c r="AL86" s="637"/>
      <c r="AM86" s="637"/>
      <c r="AN86" s="637"/>
      <c r="AO86" s="1008"/>
      <c r="AP86" s="637"/>
      <c r="AQ86" s="637"/>
      <c r="AR86" s="637"/>
      <c r="AS86" s="1008"/>
      <c r="AT86" s="637"/>
      <c r="AU86" s="637"/>
      <c r="AV86" s="637"/>
      <c r="AW86" s="637"/>
      <c r="AX86" s="637"/>
      <c r="AY86" s="637"/>
      <c r="AZ86" s="637"/>
      <c r="BA86" s="637"/>
      <c r="BB86" s="637"/>
      <c r="BC86" s="637"/>
      <c r="BD86" s="637"/>
      <c r="BE86" s="637"/>
      <c r="BF86" s="637"/>
      <c r="BG86" s="637"/>
      <c r="BH86" s="637"/>
      <c r="BI86" s="637"/>
    </row>
    <row r="87" ht="15.75" customHeight="1">
      <c r="A87" s="637"/>
      <c r="B87" s="637"/>
      <c r="C87" s="637"/>
      <c r="D87" s="637"/>
      <c r="E87" s="1007"/>
      <c r="F87" s="1007"/>
      <c r="G87" s="637"/>
      <c r="H87" s="637"/>
      <c r="I87" s="637"/>
      <c r="J87" s="637"/>
      <c r="K87" s="637"/>
      <c r="L87" s="637"/>
      <c r="M87" s="637"/>
      <c r="N87" s="637"/>
      <c r="O87" s="637"/>
      <c r="P87" s="637"/>
      <c r="Q87" s="1008"/>
      <c r="R87" s="637"/>
      <c r="S87" s="637"/>
      <c r="T87" s="637"/>
      <c r="U87" s="637"/>
      <c r="V87" s="637"/>
      <c r="W87" s="637"/>
      <c r="X87" s="637"/>
      <c r="Y87" s="1008"/>
      <c r="Z87" s="637"/>
      <c r="AA87" s="637"/>
      <c r="AB87" s="637"/>
      <c r="AC87" s="637"/>
      <c r="AD87" s="637"/>
      <c r="AE87" s="637"/>
      <c r="AF87" s="637"/>
      <c r="AG87" s="1008"/>
      <c r="AH87" s="637"/>
      <c r="AI87" s="637"/>
      <c r="AJ87" s="637"/>
      <c r="AK87" s="637"/>
      <c r="AL87" s="637"/>
      <c r="AM87" s="637"/>
      <c r="AN87" s="637"/>
      <c r="AO87" s="1008"/>
      <c r="AP87" s="637"/>
      <c r="AQ87" s="637"/>
      <c r="AR87" s="637"/>
      <c r="AS87" s="1008"/>
      <c r="AT87" s="637"/>
      <c r="AU87" s="637"/>
      <c r="AV87" s="637"/>
      <c r="AW87" s="637"/>
      <c r="AX87" s="637"/>
      <c r="AY87" s="637"/>
      <c r="AZ87" s="637"/>
      <c r="BA87" s="637"/>
      <c r="BB87" s="637"/>
      <c r="BC87" s="637"/>
      <c r="BD87" s="637"/>
      <c r="BE87" s="637"/>
      <c r="BF87" s="637"/>
      <c r="BG87" s="637"/>
      <c r="BH87" s="637"/>
      <c r="BI87" s="637"/>
    </row>
    <row r="88" ht="15.75" customHeight="1">
      <c r="A88" s="637"/>
      <c r="B88" s="637"/>
      <c r="C88" s="637"/>
      <c r="D88" s="637"/>
      <c r="E88" s="1007"/>
      <c r="F88" s="1007"/>
      <c r="G88" s="637"/>
      <c r="H88" s="637"/>
      <c r="I88" s="637"/>
      <c r="J88" s="637"/>
      <c r="K88" s="637"/>
      <c r="L88" s="637"/>
      <c r="M88" s="637"/>
      <c r="N88" s="637"/>
      <c r="O88" s="637"/>
      <c r="P88" s="637"/>
      <c r="Q88" s="1008"/>
      <c r="R88" s="637"/>
      <c r="S88" s="637"/>
      <c r="T88" s="637"/>
      <c r="U88" s="637"/>
      <c r="V88" s="637"/>
      <c r="W88" s="637"/>
      <c r="X88" s="637"/>
      <c r="Y88" s="1008"/>
      <c r="Z88" s="637"/>
      <c r="AA88" s="637"/>
      <c r="AB88" s="637"/>
      <c r="AC88" s="637"/>
      <c r="AD88" s="637"/>
      <c r="AE88" s="637"/>
      <c r="AF88" s="637"/>
      <c r="AG88" s="1008"/>
      <c r="AH88" s="637"/>
      <c r="AI88" s="637"/>
      <c r="AJ88" s="637"/>
      <c r="AK88" s="637"/>
      <c r="AL88" s="637"/>
      <c r="AM88" s="637"/>
      <c r="AN88" s="637"/>
      <c r="AO88" s="1008"/>
      <c r="AP88" s="637"/>
      <c r="AQ88" s="637"/>
      <c r="AR88" s="637"/>
      <c r="AS88" s="1008"/>
      <c r="AT88" s="637"/>
      <c r="AU88" s="637"/>
      <c r="AV88" s="637"/>
      <c r="AW88" s="637"/>
      <c r="AX88" s="637"/>
      <c r="AY88" s="637"/>
      <c r="AZ88" s="637"/>
      <c r="BA88" s="637"/>
      <c r="BB88" s="637"/>
      <c r="BC88" s="637"/>
      <c r="BD88" s="637"/>
      <c r="BE88" s="637"/>
      <c r="BF88" s="637"/>
      <c r="BG88" s="637"/>
      <c r="BH88" s="637"/>
      <c r="BI88" s="637"/>
    </row>
    <row r="89" ht="15.75" customHeight="1">
      <c r="A89" s="637"/>
      <c r="B89" s="637"/>
      <c r="C89" s="637"/>
      <c r="D89" s="637"/>
      <c r="E89" s="1007"/>
      <c r="F89" s="1007"/>
      <c r="G89" s="637"/>
      <c r="H89" s="637"/>
      <c r="I89" s="637"/>
      <c r="J89" s="637"/>
      <c r="K89" s="637"/>
      <c r="L89" s="637"/>
      <c r="M89" s="637"/>
      <c r="N89" s="637"/>
      <c r="O89" s="637"/>
      <c r="P89" s="637"/>
      <c r="Q89" s="1008"/>
      <c r="R89" s="637"/>
      <c r="S89" s="637"/>
      <c r="T89" s="637"/>
      <c r="U89" s="637"/>
      <c r="V89" s="637"/>
      <c r="W89" s="637"/>
      <c r="X89" s="637"/>
      <c r="Y89" s="1008"/>
      <c r="Z89" s="637"/>
      <c r="AA89" s="637"/>
      <c r="AB89" s="637"/>
      <c r="AC89" s="637"/>
      <c r="AD89" s="637"/>
      <c r="AE89" s="637"/>
      <c r="AF89" s="637"/>
      <c r="AG89" s="1008"/>
      <c r="AH89" s="637"/>
      <c r="AI89" s="637"/>
      <c r="AJ89" s="637"/>
      <c r="AK89" s="637"/>
      <c r="AL89" s="637"/>
      <c r="AM89" s="637"/>
      <c r="AN89" s="637"/>
      <c r="AO89" s="1008"/>
      <c r="AP89" s="637"/>
      <c r="AQ89" s="637"/>
      <c r="AR89" s="637"/>
      <c r="AS89" s="1008"/>
      <c r="AT89" s="637"/>
      <c r="AU89" s="637"/>
      <c r="AV89" s="637"/>
      <c r="AW89" s="637"/>
      <c r="AX89" s="637"/>
      <c r="AY89" s="637"/>
      <c r="AZ89" s="637"/>
      <c r="BA89" s="637"/>
      <c r="BB89" s="637"/>
      <c r="BC89" s="637"/>
      <c r="BD89" s="637"/>
      <c r="BE89" s="637"/>
      <c r="BF89" s="637"/>
      <c r="BG89" s="637"/>
      <c r="BH89" s="637"/>
      <c r="BI89" s="637"/>
    </row>
    <row r="90" ht="15.75" customHeight="1">
      <c r="A90" s="637"/>
      <c r="B90" s="637"/>
      <c r="C90" s="637"/>
      <c r="D90" s="637"/>
      <c r="E90" s="1007"/>
      <c r="F90" s="1007"/>
      <c r="G90" s="637"/>
      <c r="H90" s="637"/>
      <c r="I90" s="637"/>
      <c r="J90" s="637"/>
      <c r="K90" s="637"/>
      <c r="L90" s="637"/>
      <c r="M90" s="637"/>
      <c r="N90" s="637"/>
      <c r="O90" s="637"/>
      <c r="P90" s="637"/>
      <c r="Q90" s="1008"/>
      <c r="R90" s="637"/>
      <c r="S90" s="637"/>
      <c r="T90" s="637"/>
      <c r="U90" s="637"/>
      <c r="V90" s="637"/>
      <c r="W90" s="637"/>
      <c r="X90" s="637"/>
      <c r="Y90" s="1008"/>
      <c r="Z90" s="637"/>
      <c r="AA90" s="637"/>
      <c r="AB90" s="637"/>
      <c r="AC90" s="637"/>
      <c r="AD90" s="637"/>
      <c r="AE90" s="637"/>
      <c r="AF90" s="637"/>
      <c r="AG90" s="1008"/>
      <c r="AH90" s="637"/>
      <c r="AI90" s="637"/>
      <c r="AJ90" s="637"/>
      <c r="AK90" s="637"/>
      <c r="AL90" s="637"/>
      <c r="AM90" s="637"/>
      <c r="AN90" s="637"/>
      <c r="AO90" s="1008"/>
      <c r="AP90" s="637"/>
      <c r="AQ90" s="637"/>
      <c r="AR90" s="637"/>
      <c r="AS90" s="1008"/>
      <c r="AT90" s="637"/>
      <c r="AU90" s="637"/>
      <c r="AV90" s="637"/>
      <c r="AW90" s="637"/>
      <c r="AX90" s="637"/>
      <c r="AY90" s="637"/>
      <c r="AZ90" s="637"/>
      <c r="BA90" s="637"/>
      <c r="BB90" s="637"/>
      <c r="BC90" s="637"/>
      <c r="BD90" s="637"/>
      <c r="BE90" s="637"/>
      <c r="BF90" s="637"/>
      <c r="BG90" s="637"/>
      <c r="BH90" s="637"/>
      <c r="BI90" s="637"/>
    </row>
    <row r="91" ht="15.75" customHeight="1">
      <c r="A91" s="637"/>
      <c r="B91" s="637"/>
      <c r="C91" s="637"/>
      <c r="D91" s="637"/>
      <c r="E91" s="1007"/>
      <c r="F91" s="1007"/>
      <c r="G91" s="637"/>
      <c r="H91" s="637"/>
      <c r="I91" s="637"/>
      <c r="J91" s="637"/>
      <c r="K91" s="637"/>
      <c r="L91" s="637"/>
      <c r="M91" s="637"/>
      <c r="N91" s="637"/>
      <c r="O91" s="637"/>
      <c r="P91" s="637"/>
      <c r="Q91" s="1008"/>
      <c r="R91" s="637"/>
      <c r="S91" s="637"/>
      <c r="T91" s="637"/>
      <c r="U91" s="637"/>
      <c r="V91" s="637"/>
      <c r="W91" s="637"/>
      <c r="X91" s="637"/>
      <c r="Y91" s="1008"/>
      <c r="Z91" s="637"/>
      <c r="AA91" s="637"/>
      <c r="AB91" s="637"/>
      <c r="AC91" s="637"/>
      <c r="AD91" s="637"/>
      <c r="AE91" s="637"/>
      <c r="AF91" s="637"/>
      <c r="AG91" s="1008"/>
      <c r="AH91" s="637"/>
      <c r="AI91" s="637"/>
      <c r="AJ91" s="637"/>
      <c r="AK91" s="637"/>
      <c r="AL91" s="637"/>
      <c r="AM91" s="637"/>
      <c r="AN91" s="637"/>
      <c r="AO91" s="1008"/>
      <c r="AP91" s="637"/>
      <c r="AQ91" s="637"/>
      <c r="AR91" s="637"/>
      <c r="AS91" s="1008"/>
      <c r="AT91" s="637"/>
      <c r="AU91" s="637"/>
      <c r="AV91" s="637"/>
      <c r="AW91" s="637"/>
      <c r="AX91" s="637"/>
      <c r="AY91" s="637"/>
      <c r="AZ91" s="637"/>
      <c r="BA91" s="637"/>
      <c r="BB91" s="637"/>
      <c r="BC91" s="637"/>
      <c r="BD91" s="637"/>
      <c r="BE91" s="637"/>
      <c r="BF91" s="637"/>
      <c r="BG91" s="637"/>
      <c r="BH91" s="637"/>
      <c r="BI91" s="637"/>
    </row>
    <row r="92" ht="15.75" customHeight="1">
      <c r="A92" s="637"/>
      <c r="B92" s="637"/>
      <c r="C92" s="637"/>
      <c r="D92" s="637"/>
      <c r="E92" s="1007"/>
      <c r="F92" s="1007"/>
      <c r="G92" s="637"/>
      <c r="H92" s="637"/>
      <c r="I92" s="637"/>
      <c r="J92" s="637"/>
      <c r="K92" s="637"/>
      <c r="L92" s="637"/>
      <c r="M92" s="637"/>
      <c r="N92" s="637"/>
      <c r="O92" s="637"/>
      <c r="P92" s="637"/>
      <c r="Q92" s="1008"/>
      <c r="R92" s="637"/>
      <c r="S92" s="637"/>
      <c r="T92" s="637"/>
      <c r="U92" s="637"/>
      <c r="V92" s="637"/>
      <c r="W92" s="637"/>
      <c r="X92" s="637"/>
      <c r="Y92" s="1008"/>
      <c r="Z92" s="637"/>
      <c r="AA92" s="637"/>
      <c r="AB92" s="637"/>
      <c r="AC92" s="637"/>
      <c r="AD92" s="637"/>
      <c r="AE92" s="637"/>
      <c r="AF92" s="637"/>
      <c r="AG92" s="1008"/>
      <c r="AH92" s="637"/>
      <c r="AI92" s="637"/>
      <c r="AJ92" s="637"/>
      <c r="AK92" s="637"/>
      <c r="AL92" s="637"/>
      <c r="AM92" s="637"/>
      <c r="AN92" s="637"/>
      <c r="AO92" s="1008"/>
      <c r="AP92" s="637"/>
      <c r="AQ92" s="637"/>
      <c r="AR92" s="637"/>
      <c r="AS92" s="1008"/>
      <c r="AT92" s="637"/>
      <c r="AU92" s="637"/>
      <c r="AV92" s="637"/>
      <c r="AW92" s="637"/>
      <c r="AX92" s="637"/>
      <c r="AY92" s="637"/>
      <c r="AZ92" s="637"/>
      <c r="BA92" s="637"/>
      <c r="BB92" s="637"/>
      <c r="BC92" s="637"/>
      <c r="BD92" s="637"/>
      <c r="BE92" s="637"/>
      <c r="BF92" s="637"/>
      <c r="BG92" s="637"/>
      <c r="BH92" s="637"/>
      <c r="BI92" s="637"/>
    </row>
    <row r="93" ht="15.75" customHeight="1">
      <c r="A93" s="637"/>
      <c r="B93" s="637"/>
      <c r="C93" s="637"/>
      <c r="D93" s="637"/>
      <c r="E93" s="1007"/>
      <c r="F93" s="1007"/>
      <c r="G93" s="637"/>
      <c r="H93" s="637"/>
      <c r="I93" s="637"/>
      <c r="J93" s="637"/>
      <c r="K93" s="637"/>
      <c r="L93" s="637"/>
      <c r="M93" s="637"/>
      <c r="N93" s="637"/>
      <c r="O93" s="637"/>
      <c r="P93" s="637"/>
      <c r="Q93" s="1008"/>
      <c r="R93" s="637"/>
      <c r="S93" s="637"/>
      <c r="T93" s="637"/>
      <c r="U93" s="637"/>
      <c r="V93" s="637"/>
      <c r="W93" s="637"/>
      <c r="X93" s="637"/>
      <c r="Y93" s="1008"/>
      <c r="Z93" s="637"/>
      <c r="AA93" s="637"/>
      <c r="AB93" s="637"/>
      <c r="AC93" s="637"/>
      <c r="AD93" s="637"/>
      <c r="AE93" s="637"/>
      <c r="AF93" s="637"/>
      <c r="AG93" s="1008"/>
      <c r="AH93" s="637"/>
      <c r="AI93" s="637"/>
      <c r="AJ93" s="637"/>
      <c r="AK93" s="637"/>
      <c r="AL93" s="637"/>
      <c r="AM93" s="637"/>
      <c r="AN93" s="637"/>
      <c r="AO93" s="1008"/>
      <c r="AP93" s="637"/>
      <c r="AQ93" s="637"/>
      <c r="AR93" s="637"/>
      <c r="AS93" s="1008"/>
      <c r="AT93" s="637"/>
      <c r="AU93" s="637"/>
      <c r="AV93" s="637"/>
      <c r="AW93" s="637"/>
      <c r="AX93" s="637"/>
      <c r="AY93" s="637"/>
      <c r="AZ93" s="637"/>
      <c r="BA93" s="637"/>
      <c r="BB93" s="637"/>
      <c r="BC93" s="637"/>
      <c r="BD93" s="637"/>
      <c r="BE93" s="637"/>
      <c r="BF93" s="637"/>
      <c r="BG93" s="637"/>
      <c r="BH93" s="637"/>
      <c r="BI93" s="637"/>
    </row>
    <row r="94" ht="15.75" customHeight="1">
      <c r="A94" s="637"/>
      <c r="B94" s="637"/>
      <c r="C94" s="637"/>
      <c r="D94" s="637"/>
      <c r="E94" s="1007"/>
      <c r="F94" s="1007"/>
      <c r="G94" s="637"/>
      <c r="H94" s="637"/>
      <c r="I94" s="637"/>
      <c r="J94" s="637"/>
      <c r="K94" s="637"/>
      <c r="L94" s="637"/>
      <c r="M94" s="637"/>
      <c r="N94" s="637"/>
      <c r="O94" s="637"/>
      <c r="P94" s="637"/>
      <c r="Q94" s="1008"/>
      <c r="R94" s="637"/>
      <c r="S94" s="637"/>
      <c r="T94" s="637"/>
      <c r="U94" s="637"/>
      <c r="V94" s="637"/>
      <c r="W94" s="637"/>
      <c r="X94" s="637"/>
      <c r="Y94" s="1008"/>
      <c r="Z94" s="637"/>
      <c r="AA94" s="637"/>
      <c r="AB94" s="637"/>
      <c r="AC94" s="637"/>
      <c r="AD94" s="637"/>
      <c r="AE94" s="637"/>
      <c r="AF94" s="637"/>
      <c r="AG94" s="1008"/>
      <c r="AH94" s="637"/>
      <c r="AI94" s="637"/>
      <c r="AJ94" s="637"/>
      <c r="AK94" s="637"/>
      <c r="AL94" s="637"/>
      <c r="AM94" s="637"/>
      <c r="AN94" s="637"/>
      <c r="AO94" s="1008"/>
      <c r="AP94" s="637"/>
      <c r="AQ94" s="637"/>
      <c r="AR94" s="637"/>
      <c r="AS94" s="1008"/>
      <c r="AT94" s="637"/>
      <c r="AU94" s="637"/>
      <c r="AV94" s="637"/>
      <c r="AW94" s="637"/>
      <c r="AX94" s="637"/>
      <c r="AY94" s="637"/>
      <c r="AZ94" s="637"/>
      <c r="BA94" s="637"/>
      <c r="BB94" s="637"/>
      <c r="BC94" s="637"/>
      <c r="BD94" s="637"/>
      <c r="BE94" s="637"/>
      <c r="BF94" s="637"/>
      <c r="BG94" s="637"/>
      <c r="BH94" s="637"/>
      <c r="BI94" s="637"/>
    </row>
    <row r="95" ht="15.75" customHeight="1">
      <c r="A95" s="637"/>
      <c r="B95" s="637"/>
      <c r="C95" s="637"/>
      <c r="D95" s="637"/>
      <c r="E95" s="1007"/>
      <c r="F95" s="1007"/>
      <c r="G95" s="637"/>
      <c r="H95" s="637"/>
      <c r="I95" s="637"/>
      <c r="J95" s="637"/>
      <c r="K95" s="637"/>
      <c r="L95" s="637"/>
      <c r="M95" s="637"/>
      <c r="N95" s="637"/>
      <c r="O95" s="637"/>
      <c r="P95" s="637"/>
      <c r="Q95" s="1008"/>
      <c r="R95" s="637"/>
      <c r="S95" s="637"/>
      <c r="T95" s="637"/>
      <c r="U95" s="637"/>
      <c r="V95" s="637"/>
      <c r="W95" s="637"/>
      <c r="X95" s="637"/>
      <c r="Y95" s="1008"/>
      <c r="Z95" s="637"/>
      <c r="AA95" s="637"/>
      <c r="AB95" s="637"/>
      <c r="AC95" s="637"/>
      <c r="AD95" s="637"/>
      <c r="AE95" s="637"/>
      <c r="AF95" s="637"/>
      <c r="AG95" s="1008"/>
      <c r="AH95" s="637"/>
      <c r="AI95" s="637"/>
      <c r="AJ95" s="637"/>
      <c r="AK95" s="637"/>
      <c r="AL95" s="637"/>
      <c r="AM95" s="637"/>
      <c r="AN95" s="637"/>
      <c r="AO95" s="1008"/>
      <c r="AP95" s="637"/>
      <c r="AQ95" s="637"/>
      <c r="AR95" s="637"/>
      <c r="AS95" s="1008"/>
      <c r="AT95" s="637"/>
      <c r="AU95" s="637"/>
      <c r="AV95" s="637"/>
      <c r="AW95" s="637"/>
      <c r="AX95" s="637"/>
      <c r="AY95" s="637"/>
      <c r="AZ95" s="637"/>
      <c r="BA95" s="637"/>
      <c r="BB95" s="637"/>
      <c r="BC95" s="637"/>
      <c r="BD95" s="637"/>
      <c r="BE95" s="637"/>
      <c r="BF95" s="637"/>
      <c r="BG95" s="637"/>
      <c r="BH95" s="637"/>
      <c r="BI95" s="637"/>
    </row>
    <row r="96" ht="15.75" customHeight="1">
      <c r="A96" s="637"/>
      <c r="B96" s="637"/>
      <c r="C96" s="637"/>
      <c r="D96" s="637"/>
      <c r="E96" s="1007"/>
      <c r="F96" s="1007"/>
      <c r="G96" s="637"/>
      <c r="H96" s="637"/>
      <c r="I96" s="637"/>
      <c r="J96" s="637"/>
      <c r="K96" s="637"/>
      <c r="L96" s="637"/>
      <c r="M96" s="637"/>
      <c r="N96" s="637"/>
      <c r="O96" s="637"/>
      <c r="P96" s="637"/>
      <c r="Q96" s="1008"/>
      <c r="R96" s="637"/>
      <c r="S96" s="637"/>
      <c r="T96" s="637"/>
      <c r="U96" s="637"/>
      <c r="V96" s="637"/>
      <c r="W96" s="637"/>
      <c r="X96" s="637"/>
      <c r="Y96" s="1008"/>
      <c r="Z96" s="637"/>
      <c r="AA96" s="637"/>
      <c r="AB96" s="637"/>
      <c r="AC96" s="637"/>
      <c r="AD96" s="637"/>
      <c r="AE96" s="637"/>
      <c r="AF96" s="637"/>
      <c r="AG96" s="1008"/>
      <c r="AH96" s="637"/>
      <c r="AI96" s="637"/>
      <c r="AJ96" s="637"/>
      <c r="AK96" s="637"/>
      <c r="AL96" s="637"/>
      <c r="AM96" s="637"/>
      <c r="AN96" s="637"/>
      <c r="AO96" s="1008"/>
      <c r="AP96" s="637"/>
      <c r="AQ96" s="637"/>
      <c r="AR96" s="637"/>
      <c r="AS96" s="1008"/>
      <c r="AT96" s="637"/>
      <c r="AU96" s="637"/>
      <c r="AV96" s="637"/>
      <c r="AW96" s="637"/>
      <c r="AX96" s="637"/>
      <c r="AY96" s="637"/>
      <c r="AZ96" s="637"/>
      <c r="BA96" s="637"/>
      <c r="BB96" s="637"/>
      <c r="BC96" s="637"/>
      <c r="BD96" s="637"/>
      <c r="BE96" s="637"/>
      <c r="BF96" s="637"/>
      <c r="BG96" s="637"/>
      <c r="BH96" s="637"/>
      <c r="BI96" s="637"/>
    </row>
    <row r="97" ht="15.75" customHeight="1">
      <c r="A97" s="637"/>
      <c r="B97" s="637"/>
      <c r="C97" s="637"/>
      <c r="D97" s="637"/>
      <c r="E97" s="1007"/>
      <c r="F97" s="1007"/>
      <c r="G97" s="637"/>
      <c r="H97" s="637"/>
      <c r="I97" s="637"/>
      <c r="J97" s="637"/>
      <c r="K97" s="637"/>
      <c r="L97" s="637"/>
      <c r="M97" s="637"/>
      <c r="N97" s="637"/>
      <c r="O97" s="637"/>
      <c r="P97" s="637"/>
      <c r="Q97" s="1008"/>
      <c r="R97" s="637"/>
      <c r="S97" s="637"/>
      <c r="T97" s="637"/>
      <c r="U97" s="637"/>
      <c r="V97" s="637"/>
      <c r="W97" s="637"/>
      <c r="X97" s="637"/>
      <c r="Y97" s="1008"/>
      <c r="Z97" s="637"/>
      <c r="AA97" s="637"/>
      <c r="AB97" s="637"/>
      <c r="AC97" s="637"/>
      <c r="AD97" s="637"/>
      <c r="AE97" s="637"/>
      <c r="AF97" s="637"/>
      <c r="AG97" s="1008"/>
      <c r="AH97" s="637"/>
      <c r="AI97" s="637"/>
      <c r="AJ97" s="637"/>
      <c r="AK97" s="637"/>
      <c r="AL97" s="637"/>
      <c r="AM97" s="637"/>
      <c r="AN97" s="637"/>
      <c r="AO97" s="1008"/>
      <c r="AP97" s="637"/>
      <c r="AQ97" s="637"/>
      <c r="AR97" s="637"/>
      <c r="AS97" s="1008"/>
      <c r="AT97" s="637"/>
      <c r="AU97" s="637"/>
      <c r="AV97" s="637"/>
      <c r="AW97" s="637"/>
      <c r="AX97" s="637"/>
      <c r="AY97" s="637"/>
      <c r="AZ97" s="637"/>
      <c r="BA97" s="637"/>
      <c r="BB97" s="637"/>
      <c r="BC97" s="637"/>
      <c r="BD97" s="637"/>
      <c r="BE97" s="637"/>
      <c r="BF97" s="637"/>
      <c r="BG97" s="637"/>
      <c r="BH97" s="637"/>
      <c r="BI97" s="637"/>
    </row>
    <row r="98" ht="15.75" customHeight="1">
      <c r="A98" s="637"/>
      <c r="B98" s="637"/>
      <c r="C98" s="637"/>
      <c r="D98" s="637"/>
      <c r="E98" s="1007"/>
      <c r="F98" s="1007"/>
      <c r="G98" s="637"/>
      <c r="H98" s="637"/>
      <c r="I98" s="637"/>
      <c r="J98" s="637"/>
      <c r="K98" s="637"/>
      <c r="L98" s="637"/>
      <c r="M98" s="637"/>
      <c r="N98" s="637"/>
      <c r="O98" s="637"/>
      <c r="P98" s="637"/>
      <c r="Q98" s="1008"/>
      <c r="R98" s="637"/>
      <c r="S98" s="637"/>
      <c r="T98" s="637"/>
      <c r="U98" s="637"/>
      <c r="V98" s="637"/>
      <c r="W98" s="637"/>
      <c r="X98" s="637"/>
      <c r="Y98" s="1008"/>
      <c r="Z98" s="637"/>
      <c r="AA98" s="637"/>
      <c r="AB98" s="637"/>
      <c r="AC98" s="637"/>
      <c r="AD98" s="637"/>
      <c r="AE98" s="637"/>
      <c r="AF98" s="637"/>
      <c r="AG98" s="1008"/>
      <c r="AH98" s="637"/>
      <c r="AI98" s="637"/>
      <c r="AJ98" s="637"/>
      <c r="AK98" s="637"/>
      <c r="AL98" s="637"/>
      <c r="AM98" s="637"/>
      <c r="AN98" s="637"/>
      <c r="AO98" s="1008"/>
      <c r="AP98" s="637"/>
      <c r="AQ98" s="637"/>
      <c r="AR98" s="637"/>
      <c r="AS98" s="1008"/>
      <c r="AT98" s="637"/>
      <c r="AU98" s="637"/>
      <c r="AV98" s="637"/>
      <c r="AW98" s="637"/>
      <c r="AX98" s="637"/>
      <c r="AY98" s="637"/>
      <c r="AZ98" s="637"/>
      <c r="BA98" s="637"/>
      <c r="BB98" s="637"/>
      <c r="BC98" s="637"/>
      <c r="BD98" s="637"/>
      <c r="BE98" s="637"/>
      <c r="BF98" s="637"/>
      <c r="BG98" s="637"/>
      <c r="BH98" s="637"/>
      <c r="BI98" s="637"/>
    </row>
    <row r="99" ht="15.75" customHeight="1">
      <c r="A99" s="637"/>
      <c r="B99" s="637"/>
      <c r="C99" s="637"/>
      <c r="D99" s="637"/>
      <c r="E99" s="1007"/>
      <c r="F99" s="1007"/>
      <c r="G99" s="637"/>
      <c r="H99" s="637"/>
      <c r="I99" s="637"/>
      <c r="J99" s="637"/>
      <c r="K99" s="637"/>
      <c r="L99" s="637"/>
      <c r="M99" s="637"/>
      <c r="N99" s="637"/>
      <c r="O99" s="637"/>
      <c r="P99" s="637"/>
      <c r="Q99" s="1008"/>
      <c r="R99" s="637"/>
      <c r="S99" s="637"/>
      <c r="T99" s="637"/>
      <c r="U99" s="637"/>
      <c r="V99" s="637"/>
      <c r="W99" s="637"/>
      <c r="X99" s="637"/>
      <c r="Y99" s="1008"/>
      <c r="Z99" s="637"/>
      <c r="AA99" s="637"/>
      <c r="AB99" s="637"/>
      <c r="AC99" s="637"/>
      <c r="AD99" s="637"/>
      <c r="AE99" s="637"/>
      <c r="AF99" s="637"/>
      <c r="AG99" s="1008"/>
      <c r="AH99" s="637"/>
      <c r="AI99" s="637"/>
      <c r="AJ99" s="637"/>
      <c r="AK99" s="637"/>
      <c r="AL99" s="637"/>
      <c r="AM99" s="637"/>
      <c r="AN99" s="637"/>
      <c r="AO99" s="1008"/>
      <c r="AP99" s="637"/>
      <c r="AQ99" s="637"/>
      <c r="AR99" s="637"/>
      <c r="AS99" s="1008"/>
      <c r="AT99" s="637"/>
      <c r="AU99" s="637"/>
      <c r="AV99" s="637"/>
      <c r="AW99" s="637"/>
      <c r="AX99" s="637"/>
      <c r="AY99" s="637"/>
      <c r="AZ99" s="637"/>
      <c r="BA99" s="637"/>
      <c r="BB99" s="637"/>
      <c r="BC99" s="637"/>
      <c r="BD99" s="637"/>
      <c r="BE99" s="637"/>
      <c r="BF99" s="637"/>
      <c r="BG99" s="637"/>
      <c r="BH99" s="637"/>
      <c r="BI99" s="637"/>
    </row>
    <row r="100" ht="15.75" customHeight="1">
      <c r="A100" s="637"/>
      <c r="B100" s="637"/>
      <c r="C100" s="637"/>
      <c r="D100" s="637"/>
      <c r="E100" s="1007"/>
      <c r="F100" s="1007"/>
      <c r="G100" s="637"/>
      <c r="H100" s="637"/>
      <c r="I100" s="637"/>
      <c r="J100" s="637"/>
      <c r="K100" s="637"/>
      <c r="L100" s="637"/>
      <c r="M100" s="637"/>
      <c r="N100" s="637"/>
      <c r="O100" s="637"/>
      <c r="P100" s="637"/>
      <c r="Q100" s="1008"/>
      <c r="R100" s="637"/>
      <c r="S100" s="637"/>
      <c r="T100" s="637"/>
      <c r="U100" s="637"/>
      <c r="V100" s="637"/>
      <c r="W100" s="637"/>
      <c r="X100" s="637"/>
      <c r="Y100" s="1008"/>
      <c r="Z100" s="637"/>
      <c r="AA100" s="637"/>
      <c r="AB100" s="637"/>
      <c r="AC100" s="637"/>
      <c r="AD100" s="637"/>
      <c r="AE100" s="637"/>
      <c r="AF100" s="637"/>
      <c r="AG100" s="1008"/>
      <c r="AH100" s="637"/>
      <c r="AI100" s="637"/>
      <c r="AJ100" s="637"/>
      <c r="AK100" s="637"/>
      <c r="AL100" s="637"/>
      <c r="AM100" s="637"/>
      <c r="AN100" s="637"/>
      <c r="AO100" s="1008"/>
      <c r="AP100" s="637"/>
      <c r="AQ100" s="637"/>
      <c r="AR100" s="637"/>
      <c r="AS100" s="1008"/>
      <c r="AT100" s="637"/>
      <c r="AU100" s="637"/>
      <c r="AV100" s="637"/>
      <c r="AW100" s="637"/>
      <c r="AX100" s="637"/>
      <c r="AY100" s="637"/>
      <c r="AZ100" s="637"/>
      <c r="BA100" s="637"/>
      <c r="BB100" s="637"/>
      <c r="BC100" s="637"/>
      <c r="BD100" s="637"/>
      <c r="BE100" s="637"/>
      <c r="BF100" s="637"/>
      <c r="BG100" s="637"/>
      <c r="BH100" s="637"/>
      <c r="BI100" s="637"/>
    </row>
    <row r="101" ht="15.75" customHeight="1">
      <c r="A101" s="637"/>
      <c r="B101" s="637"/>
      <c r="C101" s="637"/>
      <c r="D101" s="637"/>
      <c r="E101" s="1007"/>
      <c r="F101" s="1007"/>
      <c r="G101" s="637"/>
      <c r="H101" s="637"/>
      <c r="I101" s="637"/>
      <c r="J101" s="637"/>
      <c r="K101" s="637"/>
      <c r="L101" s="637"/>
      <c r="M101" s="637"/>
      <c r="N101" s="637"/>
      <c r="O101" s="637"/>
      <c r="P101" s="637"/>
      <c r="Q101" s="1008"/>
      <c r="R101" s="637"/>
      <c r="S101" s="637"/>
      <c r="T101" s="637"/>
      <c r="U101" s="637"/>
      <c r="V101" s="637"/>
      <c r="W101" s="637"/>
      <c r="X101" s="637"/>
      <c r="Y101" s="1008"/>
      <c r="Z101" s="637"/>
      <c r="AA101" s="637"/>
      <c r="AB101" s="637"/>
      <c r="AC101" s="637"/>
      <c r="AD101" s="637"/>
      <c r="AE101" s="637"/>
      <c r="AF101" s="637"/>
      <c r="AG101" s="1008"/>
      <c r="AH101" s="637"/>
      <c r="AI101" s="637"/>
      <c r="AJ101" s="637"/>
      <c r="AK101" s="637"/>
      <c r="AL101" s="637"/>
      <c r="AM101" s="637"/>
      <c r="AN101" s="637"/>
      <c r="AO101" s="1008"/>
      <c r="AP101" s="637"/>
      <c r="AQ101" s="637"/>
      <c r="AR101" s="637"/>
      <c r="AS101" s="1008"/>
      <c r="AT101" s="637"/>
      <c r="AU101" s="637"/>
      <c r="AV101" s="637"/>
      <c r="AW101" s="637"/>
      <c r="AX101" s="637"/>
      <c r="AY101" s="637"/>
      <c r="AZ101" s="637"/>
      <c r="BA101" s="637"/>
      <c r="BB101" s="637"/>
      <c r="BC101" s="637"/>
      <c r="BD101" s="637"/>
      <c r="BE101" s="637"/>
      <c r="BF101" s="637"/>
      <c r="BG101" s="637"/>
      <c r="BH101" s="637"/>
      <c r="BI101" s="637"/>
    </row>
    <row r="102" ht="15.75" customHeight="1">
      <c r="A102" s="637"/>
      <c r="B102" s="637"/>
      <c r="C102" s="637"/>
      <c r="D102" s="637"/>
      <c r="E102" s="1007"/>
      <c r="F102" s="1007"/>
      <c r="G102" s="637"/>
      <c r="H102" s="637"/>
      <c r="I102" s="637"/>
      <c r="J102" s="637"/>
      <c r="K102" s="637"/>
      <c r="L102" s="637"/>
      <c r="M102" s="637"/>
      <c r="N102" s="637"/>
      <c r="O102" s="637"/>
      <c r="P102" s="637"/>
      <c r="Q102" s="1008"/>
      <c r="R102" s="637"/>
      <c r="S102" s="637"/>
      <c r="T102" s="637"/>
      <c r="U102" s="637"/>
      <c r="V102" s="637"/>
      <c r="W102" s="637"/>
      <c r="X102" s="637"/>
      <c r="Y102" s="1008"/>
      <c r="Z102" s="637"/>
      <c r="AA102" s="637"/>
      <c r="AB102" s="637"/>
      <c r="AC102" s="637"/>
      <c r="AD102" s="637"/>
      <c r="AE102" s="637"/>
      <c r="AF102" s="637"/>
      <c r="AG102" s="1008"/>
      <c r="AH102" s="637"/>
      <c r="AI102" s="637"/>
      <c r="AJ102" s="637"/>
      <c r="AK102" s="637"/>
      <c r="AL102" s="637"/>
      <c r="AM102" s="637"/>
      <c r="AN102" s="637"/>
      <c r="AO102" s="1008"/>
      <c r="AP102" s="637"/>
      <c r="AQ102" s="637"/>
      <c r="AR102" s="637"/>
      <c r="AS102" s="1008"/>
      <c r="AT102" s="637"/>
      <c r="AU102" s="637"/>
      <c r="AV102" s="637"/>
      <c r="AW102" s="637"/>
      <c r="AX102" s="637"/>
      <c r="AY102" s="637"/>
      <c r="AZ102" s="637"/>
      <c r="BA102" s="637"/>
      <c r="BB102" s="637"/>
      <c r="BC102" s="637"/>
      <c r="BD102" s="637"/>
      <c r="BE102" s="637"/>
      <c r="BF102" s="637"/>
      <c r="BG102" s="637"/>
      <c r="BH102" s="637"/>
      <c r="BI102" s="637"/>
    </row>
    <row r="103" ht="15.75" customHeight="1">
      <c r="A103" s="637"/>
      <c r="B103" s="637"/>
      <c r="C103" s="637"/>
      <c r="D103" s="637"/>
      <c r="E103" s="1007"/>
      <c r="F103" s="1007"/>
      <c r="G103" s="637"/>
      <c r="H103" s="637"/>
      <c r="I103" s="637"/>
      <c r="J103" s="637"/>
      <c r="K103" s="637"/>
      <c r="L103" s="637"/>
      <c r="M103" s="637"/>
      <c r="N103" s="637"/>
      <c r="O103" s="637"/>
      <c r="P103" s="637"/>
      <c r="Q103" s="1008"/>
      <c r="R103" s="637"/>
      <c r="S103" s="637"/>
      <c r="T103" s="637"/>
      <c r="U103" s="637"/>
      <c r="V103" s="637"/>
      <c r="W103" s="637"/>
      <c r="X103" s="637"/>
      <c r="Y103" s="1008"/>
      <c r="Z103" s="637"/>
      <c r="AA103" s="637"/>
      <c r="AB103" s="637"/>
      <c r="AC103" s="637"/>
      <c r="AD103" s="637"/>
      <c r="AE103" s="637"/>
      <c r="AF103" s="637"/>
      <c r="AG103" s="1008"/>
      <c r="AH103" s="637"/>
      <c r="AI103" s="637"/>
      <c r="AJ103" s="637"/>
      <c r="AK103" s="637"/>
      <c r="AL103" s="637"/>
      <c r="AM103" s="637"/>
      <c r="AN103" s="637"/>
      <c r="AO103" s="1008"/>
      <c r="AP103" s="637"/>
      <c r="AQ103" s="637"/>
      <c r="AR103" s="637"/>
      <c r="AS103" s="1008"/>
      <c r="AT103" s="637"/>
      <c r="AU103" s="637"/>
      <c r="AV103" s="637"/>
      <c r="AW103" s="637"/>
      <c r="AX103" s="637"/>
      <c r="AY103" s="637"/>
      <c r="AZ103" s="637"/>
      <c r="BA103" s="637"/>
      <c r="BB103" s="637"/>
      <c r="BC103" s="637"/>
      <c r="BD103" s="637"/>
      <c r="BE103" s="637"/>
      <c r="BF103" s="637"/>
      <c r="BG103" s="637"/>
      <c r="BH103" s="637"/>
      <c r="BI103" s="637"/>
    </row>
    <row r="104" ht="15.75" customHeight="1">
      <c r="A104" s="637"/>
      <c r="B104" s="637"/>
      <c r="C104" s="637"/>
      <c r="D104" s="637"/>
      <c r="E104" s="1007"/>
      <c r="F104" s="1007"/>
      <c r="G104" s="637"/>
      <c r="H104" s="637"/>
      <c r="I104" s="637"/>
      <c r="J104" s="637"/>
      <c r="K104" s="637"/>
      <c r="L104" s="637"/>
      <c r="M104" s="637"/>
      <c r="N104" s="637"/>
      <c r="O104" s="637"/>
      <c r="P104" s="637"/>
      <c r="Q104" s="1008"/>
      <c r="R104" s="637"/>
      <c r="S104" s="637"/>
      <c r="T104" s="637"/>
      <c r="U104" s="637"/>
      <c r="V104" s="637"/>
      <c r="W104" s="637"/>
      <c r="X104" s="637"/>
      <c r="Y104" s="1008"/>
      <c r="Z104" s="637"/>
      <c r="AA104" s="637"/>
      <c r="AB104" s="637"/>
      <c r="AC104" s="637"/>
      <c r="AD104" s="637"/>
      <c r="AE104" s="637"/>
      <c r="AF104" s="637"/>
      <c r="AG104" s="1008"/>
      <c r="AH104" s="637"/>
      <c r="AI104" s="637"/>
      <c r="AJ104" s="637"/>
      <c r="AK104" s="637"/>
      <c r="AL104" s="637"/>
      <c r="AM104" s="637"/>
      <c r="AN104" s="637"/>
      <c r="AO104" s="1008"/>
      <c r="AP104" s="637"/>
      <c r="AQ104" s="637"/>
      <c r="AR104" s="637"/>
      <c r="AS104" s="1008"/>
      <c r="AT104" s="637"/>
      <c r="AU104" s="637"/>
      <c r="AV104" s="637"/>
      <c r="AW104" s="637"/>
      <c r="AX104" s="637"/>
      <c r="AY104" s="637"/>
      <c r="AZ104" s="637"/>
      <c r="BA104" s="637"/>
      <c r="BB104" s="637"/>
      <c r="BC104" s="637"/>
      <c r="BD104" s="637"/>
      <c r="BE104" s="637"/>
      <c r="BF104" s="637"/>
      <c r="BG104" s="637"/>
      <c r="BH104" s="637"/>
      <c r="BI104" s="637"/>
    </row>
    <row r="105" ht="15.75" customHeight="1">
      <c r="A105" s="637"/>
      <c r="B105" s="637"/>
      <c r="C105" s="637"/>
      <c r="D105" s="637"/>
      <c r="E105" s="1007"/>
      <c r="F105" s="1007"/>
      <c r="G105" s="637"/>
      <c r="H105" s="637"/>
      <c r="I105" s="637"/>
      <c r="J105" s="637"/>
      <c r="K105" s="637"/>
      <c r="L105" s="637"/>
      <c r="M105" s="637"/>
      <c r="N105" s="637"/>
      <c r="O105" s="637"/>
      <c r="P105" s="637"/>
      <c r="Q105" s="1008"/>
      <c r="R105" s="637"/>
      <c r="S105" s="637"/>
      <c r="T105" s="637"/>
      <c r="U105" s="637"/>
      <c r="V105" s="637"/>
      <c r="W105" s="637"/>
      <c r="X105" s="637"/>
      <c r="Y105" s="1008"/>
      <c r="Z105" s="637"/>
      <c r="AA105" s="637"/>
      <c r="AB105" s="637"/>
      <c r="AC105" s="637"/>
      <c r="AD105" s="637"/>
      <c r="AE105" s="637"/>
      <c r="AF105" s="637"/>
      <c r="AG105" s="1008"/>
      <c r="AH105" s="637"/>
      <c r="AI105" s="637"/>
      <c r="AJ105" s="637"/>
      <c r="AK105" s="637"/>
      <c r="AL105" s="637"/>
      <c r="AM105" s="637"/>
      <c r="AN105" s="637"/>
      <c r="AO105" s="1008"/>
      <c r="AP105" s="637"/>
      <c r="AQ105" s="637"/>
      <c r="AR105" s="637"/>
      <c r="AS105" s="1008"/>
      <c r="AT105" s="637"/>
      <c r="AU105" s="637"/>
      <c r="AV105" s="637"/>
      <c r="AW105" s="637"/>
      <c r="AX105" s="637"/>
      <c r="AY105" s="637"/>
      <c r="AZ105" s="637"/>
      <c r="BA105" s="637"/>
      <c r="BB105" s="637"/>
      <c r="BC105" s="637"/>
      <c r="BD105" s="637"/>
      <c r="BE105" s="637"/>
      <c r="BF105" s="637"/>
      <c r="BG105" s="637"/>
      <c r="BH105" s="637"/>
      <c r="BI105" s="637"/>
    </row>
    <row r="106" ht="15.75" customHeight="1">
      <c r="A106" s="637"/>
      <c r="B106" s="637"/>
      <c r="C106" s="637"/>
      <c r="D106" s="637"/>
      <c r="E106" s="1007"/>
      <c r="F106" s="1007"/>
      <c r="G106" s="637"/>
      <c r="H106" s="637"/>
      <c r="I106" s="637"/>
      <c r="J106" s="637"/>
      <c r="K106" s="637"/>
      <c r="L106" s="637"/>
      <c r="M106" s="637"/>
      <c r="N106" s="637"/>
      <c r="O106" s="637"/>
      <c r="P106" s="637"/>
      <c r="Q106" s="1008"/>
      <c r="R106" s="637"/>
      <c r="S106" s="637"/>
      <c r="T106" s="637"/>
      <c r="U106" s="637"/>
      <c r="V106" s="637"/>
      <c r="W106" s="637"/>
      <c r="X106" s="637"/>
      <c r="Y106" s="1008"/>
      <c r="Z106" s="637"/>
      <c r="AA106" s="637"/>
      <c r="AB106" s="637"/>
      <c r="AC106" s="637"/>
      <c r="AD106" s="637"/>
      <c r="AE106" s="637"/>
      <c r="AF106" s="637"/>
      <c r="AG106" s="1008"/>
      <c r="AH106" s="637"/>
      <c r="AI106" s="637"/>
      <c r="AJ106" s="637"/>
      <c r="AK106" s="637"/>
      <c r="AL106" s="637"/>
      <c r="AM106" s="637"/>
      <c r="AN106" s="637"/>
      <c r="AO106" s="1008"/>
      <c r="AP106" s="637"/>
      <c r="AQ106" s="637"/>
      <c r="AR106" s="637"/>
      <c r="AS106" s="1008"/>
      <c r="AT106" s="637"/>
      <c r="AU106" s="637"/>
      <c r="AV106" s="637"/>
      <c r="AW106" s="637"/>
      <c r="AX106" s="637"/>
      <c r="AY106" s="637"/>
      <c r="AZ106" s="637"/>
      <c r="BA106" s="637"/>
      <c r="BB106" s="637"/>
      <c r="BC106" s="637"/>
      <c r="BD106" s="637"/>
      <c r="BE106" s="637"/>
      <c r="BF106" s="637"/>
      <c r="BG106" s="637"/>
      <c r="BH106" s="637"/>
      <c r="BI106" s="637"/>
    </row>
    <row r="107" ht="15.75" customHeight="1">
      <c r="A107" s="637"/>
      <c r="B107" s="637"/>
      <c r="C107" s="637"/>
      <c r="D107" s="637"/>
      <c r="E107" s="1007"/>
      <c r="F107" s="1007"/>
      <c r="G107" s="637"/>
      <c r="H107" s="637"/>
      <c r="I107" s="637"/>
      <c r="J107" s="637"/>
      <c r="K107" s="637"/>
      <c r="L107" s="637"/>
      <c r="M107" s="637"/>
      <c r="N107" s="637"/>
      <c r="O107" s="637"/>
      <c r="P107" s="637"/>
      <c r="Q107" s="1008"/>
      <c r="R107" s="637"/>
      <c r="S107" s="637"/>
      <c r="T107" s="637"/>
      <c r="U107" s="637"/>
      <c r="V107" s="637"/>
      <c r="W107" s="637"/>
      <c r="X107" s="637"/>
      <c r="Y107" s="1008"/>
      <c r="Z107" s="637"/>
      <c r="AA107" s="637"/>
      <c r="AB107" s="637"/>
      <c r="AC107" s="637"/>
      <c r="AD107" s="637"/>
      <c r="AE107" s="637"/>
      <c r="AF107" s="637"/>
      <c r="AG107" s="1008"/>
      <c r="AH107" s="637"/>
      <c r="AI107" s="637"/>
      <c r="AJ107" s="637"/>
      <c r="AK107" s="637"/>
      <c r="AL107" s="637"/>
      <c r="AM107" s="637"/>
      <c r="AN107" s="637"/>
      <c r="AO107" s="1008"/>
      <c r="AP107" s="637"/>
      <c r="AQ107" s="637"/>
      <c r="AR107" s="637"/>
      <c r="AS107" s="1008"/>
      <c r="AT107" s="637"/>
      <c r="AU107" s="637"/>
      <c r="AV107" s="637"/>
      <c r="AW107" s="637"/>
      <c r="AX107" s="637"/>
      <c r="AY107" s="637"/>
      <c r="AZ107" s="637"/>
      <c r="BA107" s="637"/>
      <c r="BB107" s="637"/>
      <c r="BC107" s="637"/>
      <c r="BD107" s="637"/>
      <c r="BE107" s="637"/>
      <c r="BF107" s="637"/>
      <c r="BG107" s="637"/>
      <c r="BH107" s="637"/>
      <c r="BI107" s="637"/>
    </row>
    <row r="108" ht="15.75" customHeight="1">
      <c r="A108" s="637"/>
      <c r="B108" s="637"/>
      <c r="C108" s="637"/>
      <c r="D108" s="637"/>
      <c r="E108" s="1007"/>
      <c r="F108" s="1007"/>
      <c r="G108" s="637"/>
      <c r="H108" s="637"/>
      <c r="I108" s="637"/>
      <c r="J108" s="637"/>
      <c r="K108" s="637"/>
      <c r="L108" s="637"/>
      <c r="M108" s="637"/>
      <c r="N108" s="637"/>
      <c r="O108" s="637"/>
      <c r="P108" s="637"/>
      <c r="Q108" s="1008"/>
      <c r="R108" s="637"/>
      <c r="S108" s="637"/>
      <c r="T108" s="637"/>
      <c r="U108" s="637"/>
      <c r="V108" s="637"/>
      <c r="W108" s="637"/>
      <c r="X108" s="637"/>
      <c r="Y108" s="1008"/>
      <c r="Z108" s="637"/>
      <c r="AA108" s="637"/>
      <c r="AB108" s="637"/>
      <c r="AC108" s="637"/>
      <c r="AD108" s="637"/>
      <c r="AE108" s="637"/>
      <c r="AF108" s="637"/>
      <c r="AG108" s="1008"/>
      <c r="AH108" s="637"/>
      <c r="AI108" s="637"/>
      <c r="AJ108" s="637"/>
      <c r="AK108" s="637"/>
      <c r="AL108" s="637"/>
      <c r="AM108" s="637"/>
      <c r="AN108" s="637"/>
      <c r="AO108" s="1008"/>
      <c r="AP108" s="637"/>
      <c r="AQ108" s="637"/>
      <c r="AR108" s="637"/>
      <c r="AS108" s="1008"/>
      <c r="AT108" s="637"/>
      <c r="AU108" s="637"/>
      <c r="AV108" s="637"/>
      <c r="AW108" s="637"/>
      <c r="AX108" s="637"/>
      <c r="AY108" s="637"/>
      <c r="AZ108" s="637"/>
      <c r="BA108" s="637"/>
      <c r="BB108" s="637"/>
      <c r="BC108" s="637"/>
      <c r="BD108" s="637"/>
      <c r="BE108" s="637"/>
      <c r="BF108" s="637"/>
      <c r="BG108" s="637"/>
      <c r="BH108" s="637"/>
      <c r="BI108" s="637"/>
    </row>
    <row r="109" ht="15.75" customHeight="1">
      <c r="A109" s="637"/>
      <c r="B109" s="637"/>
      <c r="C109" s="637"/>
      <c r="D109" s="637"/>
      <c r="E109" s="1007"/>
      <c r="F109" s="1007"/>
      <c r="G109" s="637"/>
      <c r="H109" s="637"/>
      <c r="I109" s="637"/>
      <c r="J109" s="637"/>
      <c r="K109" s="637"/>
      <c r="L109" s="637"/>
      <c r="M109" s="637"/>
      <c r="N109" s="637"/>
      <c r="O109" s="637"/>
      <c r="P109" s="637"/>
      <c r="Q109" s="1008"/>
      <c r="R109" s="637"/>
      <c r="S109" s="637"/>
      <c r="T109" s="637"/>
      <c r="U109" s="637"/>
      <c r="V109" s="637"/>
      <c r="W109" s="637"/>
      <c r="X109" s="637"/>
      <c r="Y109" s="1008"/>
      <c r="Z109" s="637"/>
      <c r="AA109" s="637"/>
      <c r="AB109" s="637"/>
      <c r="AC109" s="637"/>
      <c r="AD109" s="637"/>
      <c r="AE109" s="637"/>
      <c r="AF109" s="637"/>
      <c r="AG109" s="1008"/>
      <c r="AH109" s="637"/>
      <c r="AI109" s="637"/>
      <c r="AJ109" s="637"/>
      <c r="AK109" s="637"/>
      <c r="AL109" s="637"/>
      <c r="AM109" s="637"/>
      <c r="AN109" s="637"/>
      <c r="AO109" s="1008"/>
      <c r="AP109" s="637"/>
      <c r="AQ109" s="637"/>
      <c r="AR109" s="637"/>
      <c r="AS109" s="1008"/>
      <c r="AT109" s="637"/>
      <c r="AU109" s="637"/>
      <c r="AV109" s="637"/>
      <c r="AW109" s="637"/>
      <c r="AX109" s="637"/>
      <c r="AY109" s="637"/>
      <c r="AZ109" s="637"/>
      <c r="BA109" s="637"/>
      <c r="BB109" s="637"/>
      <c r="BC109" s="637"/>
      <c r="BD109" s="637"/>
      <c r="BE109" s="637"/>
      <c r="BF109" s="637"/>
      <c r="BG109" s="637"/>
      <c r="BH109" s="637"/>
      <c r="BI109" s="637"/>
    </row>
    <row r="110" ht="15.75" customHeight="1">
      <c r="A110" s="637"/>
      <c r="B110" s="637"/>
      <c r="C110" s="637"/>
      <c r="D110" s="637"/>
      <c r="E110" s="1007"/>
      <c r="F110" s="1007"/>
      <c r="G110" s="637"/>
      <c r="H110" s="637"/>
      <c r="I110" s="637"/>
      <c r="J110" s="637"/>
      <c r="K110" s="637"/>
      <c r="L110" s="637"/>
      <c r="M110" s="637"/>
      <c r="N110" s="637"/>
      <c r="O110" s="637"/>
      <c r="P110" s="637"/>
      <c r="Q110" s="1008"/>
      <c r="R110" s="637"/>
      <c r="S110" s="637"/>
      <c r="T110" s="637"/>
      <c r="U110" s="637"/>
      <c r="V110" s="637"/>
      <c r="W110" s="637"/>
      <c r="X110" s="637"/>
      <c r="Y110" s="1008"/>
      <c r="Z110" s="637"/>
      <c r="AA110" s="637"/>
      <c r="AB110" s="637"/>
      <c r="AC110" s="637"/>
      <c r="AD110" s="637"/>
      <c r="AE110" s="637"/>
      <c r="AF110" s="637"/>
      <c r="AG110" s="1008"/>
      <c r="AH110" s="637"/>
      <c r="AI110" s="637"/>
      <c r="AJ110" s="637"/>
      <c r="AK110" s="637"/>
      <c r="AL110" s="637"/>
      <c r="AM110" s="637"/>
      <c r="AN110" s="637"/>
      <c r="AO110" s="1008"/>
      <c r="AP110" s="637"/>
      <c r="AQ110" s="637"/>
      <c r="AR110" s="637"/>
      <c r="AS110" s="1008"/>
      <c r="AT110" s="637"/>
      <c r="AU110" s="637"/>
      <c r="AV110" s="637"/>
      <c r="AW110" s="637"/>
      <c r="AX110" s="637"/>
      <c r="AY110" s="637"/>
      <c r="AZ110" s="637"/>
      <c r="BA110" s="637"/>
      <c r="BB110" s="637"/>
      <c r="BC110" s="637"/>
      <c r="BD110" s="637"/>
      <c r="BE110" s="637"/>
      <c r="BF110" s="637"/>
      <c r="BG110" s="637"/>
      <c r="BH110" s="637"/>
      <c r="BI110" s="637"/>
    </row>
    <row r="111" ht="15.75" customHeight="1">
      <c r="A111" s="637"/>
      <c r="B111" s="637"/>
      <c r="C111" s="637"/>
      <c r="D111" s="637"/>
      <c r="E111" s="1007"/>
      <c r="F111" s="1007"/>
      <c r="G111" s="637"/>
      <c r="H111" s="637"/>
      <c r="I111" s="637"/>
      <c r="J111" s="637"/>
      <c r="K111" s="637"/>
      <c r="L111" s="637"/>
      <c r="M111" s="637"/>
      <c r="N111" s="637"/>
      <c r="O111" s="637"/>
      <c r="P111" s="637"/>
      <c r="Q111" s="1008"/>
      <c r="R111" s="637"/>
      <c r="S111" s="637"/>
      <c r="T111" s="637"/>
      <c r="U111" s="637"/>
      <c r="V111" s="637"/>
      <c r="W111" s="637"/>
      <c r="X111" s="637"/>
      <c r="Y111" s="1008"/>
      <c r="Z111" s="637"/>
      <c r="AA111" s="637"/>
      <c r="AB111" s="637"/>
      <c r="AC111" s="637"/>
      <c r="AD111" s="637"/>
      <c r="AE111" s="637"/>
      <c r="AF111" s="637"/>
      <c r="AG111" s="1008"/>
      <c r="AH111" s="637"/>
      <c r="AI111" s="637"/>
      <c r="AJ111" s="637"/>
      <c r="AK111" s="637"/>
      <c r="AL111" s="637"/>
      <c r="AM111" s="637"/>
      <c r="AN111" s="637"/>
      <c r="AO111" s="1008"/>
      <c r="AP111" s="637"/>
      <c r="AQ111" s="637"/>
      <c r="AR111" s="637"/>
      <c r="AS111" s="1008"/>
      <c r="AT111" s="637"/>
      <c r="AU111" s="637"/>
      <c r="AV111" s="637"/>
      <c r="AW111" s="637"/>
      <c r="AX111" s="637"/>
      <c r="AY111" s="637"/>
      <c r="AZ111" s="637"/>
      <c r="BA111" s="637"/>
      <c r="BB111" s="637"/>
      <c r="BC111" s="637"/>
      <c r="BD111" s="637"/>
      <c r="BE111" s="637"/>
      <c r="BF111" s="637"/>
      <c r="BG111" s="637"/>
      <c r="BH111" s="637"/>
      <c r="BI111" s="637"/>
    </row>
    <row r="112" ht="15.75" customHeight="1">
      <c r="A112" s="637"/>
      <c r="B112" s="637"/>
      <c r="C112" s="637"/>
      <c r="D112" s="637"/>
      <c r="E112" s="1007"/>
      <c r="F112" s="1007"/>
      <c r="G112" s="637"/>
      <c r="H112" s="637"/>
      <c r="I112" s="637"/>
      <c r="J112" s="637"/>
      <c r="K112" s="637"/>
      <c r="L112" s="637"/>
      <c r="M112" s="637"/>
      <c r="N112" s="637"/>
      <c r="O112" s="637"/>
      <c r="P112" s="637"/>
      <c r="Q112" s="1008"/>
      <c r="R112" s="637"/>
      <c r="S112" s="637"/>
      <c r="T112" s="637"/>
      <c r="U112" s="637"/>
      <c r="V112" s="637"/>
      <c r="W112" s="637"/>
      <c r="X112" s="637"/>
      <c r="Y112" s="1008"/>
      <c r="Z112" s="637"/>
      <c r="AA112" s="637"/>
      <c r="AB112" s="637"/>
      <c r="AC112" s="637"/>
      <c r="AD112" s="637"/>
      <c r="AE112" s="637"/>
      <c r="AF112" s="637"/>
      <c r="AG112" s="1008"/>
      <c r="AH112" s="637"/>
      <c r="AI112" s="637"/>
      <c r="AJ112" s="637"/>
      <c r="AK112" s="637"/>
      <c r="AL112" s="637"/>
      <c r="AM112" s="637"/>
      <c r="AN112" s="637"/>
      <c r="AO112" s="1008"/>
      <c r="AP112" s="637"/>
      <c r="AQ112" s="637"/>
      <c r="AR112" s="637"/>
      <c r="AS112" s="1008"/>
      <c r="AT112" s="637"/>
      <c r="AU112" s="637"/>
      <c r="AV112" s="637"/>
      <c r="AW112" s="637"/>
      <c r="AX112" s="637"/>
      <c r="AY112" s="637"/>
      <c r="AZ112" s="637"/>
      <c r="BA112" s="637"/>
      <c r="BB112" s="637"/>
      <c r="BC112" s="637"/>
      <c r="BD112" s="637"/>
      <c r="BE112" s="637"/>
      <c r="BF112" s="637"/>
      <c r="BG112" s="637"/>
      <c r="BH112" s="637"/>
      <c r="BI112" s="637"/>
    </row>
    <row r="113" ht="15.75" customHeight="1">
      <c r="A113" s="637"/>
      <c r="B113" s="637"/>
      <c r="C113" s="637"/>
      <c r="D113" s="637"/>
      <c r="E113" s="1007"/>
      <c r="F113" s="1007"/>
      <c r="G113" s="637"/>
      <c r="H113" s="637"/>
      <c r="I113" s="637"/>
      <c r="J113" s="637"/>
      <c r="K113" s="637"/>
      <c r="L113" s="637"/>
      <c r="M113" s="637"/>
      <c r="N113" s="637"/>
      <c r="O113" s="637"/>
      <c r="P113" s="637"/>
      <c r="Q113" s="1008"/>
      <c r="R113" s="637"/>
      <c r="S113" s="637"/>
      <c r="T113" s="637"/>
      <c r="U113" s="637"/>
      <c r="V113" s="637"/>
      <c r="W113" s="637"/>
      <c r="X113" s="637"/>
      <c r="Y113" s="1008"/>
      <c r="Z113" s="637"/>
      <c r="AA113" s="637"/>
      <c r="AB113" s="637"/>
      <c r="AC113" s="637"/>
      <c r="AD113" s="637"/>
      <c r="AE113" s="637"/>
      <c r="AF113" s="637"/>
      <c r="AG113" s="1008"/>
      <c r="AH113" s="637"/>
      <c r="AI113" s="637"/>
      <c r="AJ113" s="637"/>
      <c r="AK113" s="637"/>
      <c r="AL113" s="637"/>
      <c r="AM113" s="637"/>
      <c r="AN113" s="637"/>
      <c r="AO113" s="1008"/>
      <c r="AP113" s="637"/>
      <c r="AQ113" s="637"/>
      <c r="AR113" s="637"/>
      <c r="AS113" s="1008"/>
      <c r="AT113" s="637"/>
      <c r="AU113" s="637"/>
      <c r="AV113" s="637"/>
      <c r="AW113" s="637"/>
      <c r="AX113" s="637"/>
      <c r="AY113" s="637"/>
      <c r="AZ113" s="637"/>
      <c r="BA113" s="637"/>
      <c r="BB113" s="637"/>
      <c r="BC113" s="637"/>
      <c r="BD113" s="637"/>
      <c r="BE113" s="637"/>
      <c r="BF113" s="637"/>
      <c r="BG113" s="637"/>
      <c r="BH113" s="637"/>
      <c r="BI113" s="637"/>
    </row>
    <row r="114" ht="15.75" customHeight="1">
      <c r="A114" s="637"/>
      <c r="B114" s="637"/>
      <c r="C114" s="637"/>
      <c r="D114" s="637"/>
      <c r="E114" s="1007"/>
      <c r="F114" s="1007"/>
      <c r="G114" s="637"/>
      <c r="H114" s="637"/>
      <c r="I114" s="637"/>
      <c r="J114" s="637"/>
      <c r="K114" s="637"/>
      <c r="L114" s="637"/>
      <c r="M114" s="637"/>
      <c r="N114" s="637"/>
      <c r="O114" s="637"/>
      <c r="P114" s="637"/>
      <c r="Q114" s="1008"/>
      <c r="R114" s="637"/>
      <c r="S114" s="637"/>
      <c r="T114" s="637"/>
      <c r="U114" s="637"/>
      <c r="V114" s="637"/>
      <c r="W114" s="637"/>
      <c r="X114" s="637"/>
      <c r="Y114" s="1008"/>
      <c r="Z114" s="637"/>
      <c r="AA114" s="637"/>
      <c r="AB114" s="637"/>
      <c r="AC114" s="637"/>
      <c r="AD114" s="637"/>
      <c r="AE114" s="637"/>
      <c r="AF114" s="637"/>
      <c r="AG114" s="1008"/>
      <c r="AH114" s="637"/>
      <c r="AI114" s="637"/>
      <c r="AJ114" s="637"/>
      <c r="AK114" s="637"/>
      <c r="AL114" s="637"/>
      <c r="AM114" s="637"/>
      <c r="AN114" s="637"/>
      <c r="AO114" s="1008"/>
      <c r="AP114" s="637"/>
      <c r="AQ114" s="637"/>
      <c r="AR114" s="637"/>
      <c r="AS114" s="1008"/>
      <c r="AT114" s="637"/>
      <c r="AU114" s="637"/>
      <c r="AV114" s="637"/>
      <c r="AW114" s="637"/>
      <c r="AX114" s="637"/>
      <c r="AY114" s="637"/>
      <c r="AZ114" s="637"/>
      <c r="BA114" s="637"/>
      <c r="BB114" s="637"/>
      <c r="BC114" s="637"/>
      <c r="BD114" s="637"/>
      <c r="BE114" s="637"/>
      <c r="BF114" s="637"/>
      <c r="BG114" s="637"/>
      <c r="BH114" s="637"/>
      <c r="BI114" s="637"/>
    </row>
    <row r="115" ht="15.75" customHeight="1">
      <c r="A115" s="637"/>
      <c r="B115" s="637"/>
      <c r="C115" s="637"/>
      <c r="D115" s="637"/>
      <c r="E115" s="1007"/>
      <c r="F115" s="1007"/>
      <c r="G115" s="637"/>
      <c r="H115" s="637"/>
      <c r="I115" s="637"/>
      <c r="J115" s="637"/>
      <c r="K115" s="637"/>
      <c r="L115" s="637"/>
      <c r="M115" s="637"/>
      <c r="N115" s="637"/>
      <c r="O115" s="637"/>
      <c r="P115" s="637"/>
      <c r="Q115" s="1008"/>
      <c r="R115" s="637"/>
      <c r="S115" s="637"/>
      <c r="T115" s="637"/>
      <c r="U115" s="637"/>
      <c r="V115" s="637"/>
      <c r="W115" s="637"/>
      <c r="X115" s="637"/>
      <c r="Y115" s="1008"/>
      <c r="Z115" s="637"/>
      <c r="AA115" s="637"/>
      <c r="AB115" s="637"/>
      <c r="AC115" s="637"/>
      <c r="AD115" s="637"/>
      <c r="AE115" s="637"/>
      <c r="AF115" s="637"/>
      <c r="AG115" s="1008"/>
      <c r="AH115" s="637"/>
      <c r="AI115" s="637"/>
      <c r="AJ115" s="637"/>
      <c r="AK115" s="637"/>
      <c r="AL115" s="637"/>
      <c r="AM115" s="637"/>
      <c r="AN115" s="637"/>
      <c r="AO115" s="1008"/>
      <c r="AP115" s="637"/>
      <c r="AQ115" s="637"/>
      <c r="AR115" s="637"/>
      <c r="AS115" s="1008"/>
      <c r="AT115" s="637"/>
      <c r="AU115" s="637"/>
      <c r="AV115" s="637"/>
      <c r="AW115" s="637"/>
      <c r="AX115" s="637"/>
      <c r="AY115" s="637"/>
      <c r="AZ115" s="637"/>
      <c r="BA115" s="637"/>
      <c r="BB115" s="637"/>
      <c r="BC115" s="637"/>
      <c r="BD115" s="637"/>
      <c r="BE115" s="637"/>
      <c r="BF115" s="637"/>
      <c r="BG115" s="637"/>
      <c r="BH115" s="637"/>
      <c r="BI115" s="637"/>
    </row>
    <row r="116" ht="15.75" customHeight="1">
      <c r="A116" s="637"/>
      <c r="B116" s="637"/>
      <c r="C116" s="637"/>
      <c r="D116" s="637"/>
      <c r="E116" s="1007"/>
      <c r="F116" s="1007"/>
      <c r="G116" s="637"/>
      <c r="H116" s="637"/>
      <c r="I116" s="637"/>
      <c r="J116" s="637"/>
      <c r="K116" s="637"/>
      <c r="L116" s="637"/>
      <c r="M116" s="637"/>
      <c r="N116" s="637"/>
      <c r="O116" s="637"/>
      <c r="P116" s="637"/>
      <c r="Q116" s="1008"/>
      <c r="R116" s="637"/>
      <c r="S116" s="637"/>
      <c r="T116" s="637"/>
      <c r="U116" s="637"/>
      <c r="V116" s="637"/>
      <c r="W116" s="637"/>
      <c r="X116" s="637"/>
      <c r="Y116" s="1008"/>
      <c r="Z116" s="637"/>
      <c r="AA116" s="637"/>
      <c r="AB116" s="637"/>
      <c r="AC116" s="637"/>
      <c r="AD116" s="637"/>
      <c r="AE116" s="637"/>
      <c r="AF116" s="637"/>
      <c r="AG116" s="1008"/>
      <c r="AH116" s="637"/>
      <c r="AI116" s="637"/>
      <c r="AJ116" s="637"/>
      <c r="AK116" s="637"/>
      <c r="AL116" s="637"/>
      <c r="AM116" s="637"/>
      <c r="AN116" s="637"/>
      <c r="AO116" s="1008"/>
      <c r="AP116" s="637"/>
      <c r="AQ116" s="637"/>
      <c r="AR116" s="637"/>
      <c r="AS116" s="1008"/>
      <c r="AT116" s="637"/>
      <c r="AU116" s="637"/>
      <c r="AV116" s="637"/>
      <c r="AW116" s="637"/>
      <c r="AX116" s="637"/>
      <c r="AY116" s="637"/>
      <c r="AZ116" s="637"/>
      <c r="BA116" s="637"/>
      <c r="BB116" s="637"/>
      <c r="BC116" s="637"/>
      <c r="BD116" s="637"/>
      <c r="BE116" s="637"/>
      <c r="BF116" s="637"/>
      <c r="BG116" s="637"/>
      <c r="BH116" s="637"/>
      <c r="BI116" s="637"/>
    </row>
    <row r="117" ht="15.75" customHeight="1">
      <c r="A117" s="637"/>
      <c r="B117" s="637"/>
      <c r="C117" s="637"/>
      <c r="D117" s="637"/>
      <c r="E117" s="1007"/>
      <c r="F117" s="1007"/>
      <c r="G117" s="637"/>
      <c r="H117" s="637"/>
      <c r="I117" s="637"/>
      <c r="J117" s="637"/>
      <c r="K117" s="637"/>
      <c r="L117" s="637"/>
      <c r="M117" s="637"/>
      <c r="N117" s="637"/>
      <c r="O117" s="637"/>
      <c r="P117" s="637"/>
      <c r="Q117" s="1008"/>
      <c r="R117" s="637"/>
      <c r="S117" s="637"/>
      <c r="T117" s="637"/>
      <c r="U117" s="637"/>
      <c r="V117" s="637"/>
      <c r="W117" s="637"/>
      <c r="X117" s="637"/>
      <c r="Y117" s="1008"/>
      <c r="Z117" s="637"/>
      <c r="AA117" s="637"/>
      <c r="AB117" s="637"/>
      <c r="AC117" s="637"/>
      <c r="AD117" s="637"/>
      <c r="AE117" s="637"/>
      <c r="AF117" s="637"/>
      <c r="AG117" s="1008"/>
      <c r="AH117" s="637"/>
      <c r="AI117" s="637"/>
      <c r="AJ117" s="637"/>
      <c r="AK117" s="637"/>
      <c r="AL117" s="637"/>
      <c r="AM117" s="637"/>
      <c r="AN117" s="637"/>
      <c r="AO117" s="1008"/>
      <c r="AP117" s="637"/>
      <c r="AQ117" s="637"/>
      <c r="AR117" s="637"/>
      <c r="AS117" s="1008"/>
      <c r="AT117" s="637"/>
      <c r="AU117" s="637"/>
      <c r="AV117" s="637"/>
      <c r="AW117" s="637"/>
      <c r="AX117" s="637"/>
      <c r="AY117" s="637"/>
      <c r="AZ117" s="637"/>
      <c r="BA117" s="637"/>
      <c r="BB117" s="637"/>
      <c r="BC117" s="637"/>
      <c r="BD117" s="637"/>
      <c r="BE117" s="637"/>
      <c r="BF117" s="637"/>
      <c r="BG117" s="637"/>
      <c r="BH117" s="637"/>
      <c r="BI117" s="637"/>
    </row>
    <row r="118" ht="15.75" customHeight="1">
      <c r="A118" s="637"/>
      <c r="B118" s="637"/>
      <c r="C118" s="637"/>
      <c r="D118" s="637"/>
      <c r="E118" s="1007"/>
      <c r="F118" s="1007"/>
      <c r="G118" s="637"/>
      <c r="H118" s="637"/>
      <c r="I118" s="637"/>
      <c r="J118" s="637"/>
      <c r="K118" s="637"/>
      <c r="L118" s="637"/>
      <c r="M118" s="637"/>
      <c r="N118" s="637"/>
      <c r="O118" s="637"/>
      <c r="P118" s="637"/>
      <c r="Q118" s="1008"/>
      <c r="R118" s="637"/>
      <c r="S118" s="637"/>
      <c r="T118" s="637"/>
      <c r="U118" s="637"/>
      <c r="V118" s="637"/>
      <c r="W118" s="637"/>
      <c r="X118" s="637"/>
      <c r="Y118" s="1008"/>
      <c r="Z118" s="637"/>
      <c r="AA118" s="637"/>
      <c r="AB118" s="637"/>
      <c r="AC118" s="637"/>
      <c r="AD118" s="637"/>
      <c r="AE118" s="637"/>
      <c r="AF118" s="637"/>
      <c r="AG118" s="1008"/>
      <c r="AH118" s="637"/>
      <c r="AI118" s="637"/>
      <c r="AJ118" s="637"/>
      <c r="AK118" s="637"/>
      <c r="AL118" s="637"/>
      <c r="AM118" s="637"/>
      <c r="AN118" s="637"/>
      <c r="AO118" s="1008"/>
      <c r="AP118" s="637"/>
      <c r="AQ118" s="637"/>
      <c r="AR118" s="637"/>
      <c r="AS118" s="1008"/>
      <c r="AT118" s="637"/>
      <c r="AU118" s="637"/>
      <c r="AV118" s="637"/>
      <c r="AW118" s="637"/>
      <c r="AX118" s="637"/>
      <c r="AY118" s="637"/>
      <c r="AZ118" s="637"/>
      <c r="BA118" s="637"/>
      <c r="BB118" s="637"/>
      <c r="BC118" s="637"/>
      <c r="BD118" s="637"/>
      <c r="BE118" s="637"/>
      <c r="BF118" s="637"/>
      <c r="BG118" s="637"/>
      <c r="BH118" s="637"/>
      <c r="BI118" s="637"/>
    </row>
    <row r="119" ht="15.75" customHeight="1">
      <c r="A119" s="637"/>
      <c r="B119" s="637"/>
      <c r="C119" s="637"/>
      <c r="D119" s="637"/>
      <c r="E119" s="1007"/>
      <c r="F119" s="1007"/>
      <c r="G119" s="637"/>
      <c r="H119" s="637"/>
      <c r="I119" s="637"/>
      <c r="J119" s="637"/>
      <c r="K119" s="637"/>
      <c r="L119" s="637"/>
      <c r="M119" s="637"/>
      <c r="N119" s="637"/>
      <c r="O119" s="637"/>
      <c r="P119" s="637"/>
      <c r="Q119" s="1008"/>
      <c r="R119" s="637"/>
      <c r="S119" s="637"/>
      <c r="T119" s="637"/>
      <c r="U119" s="637"/>
      <c r="V119" s="637"/>
      <c r="W119" s="637"/>
      <c r="X119" s="637"/>
      <c r="Y119" s="1008"/>
      <c r="Z119" s="637"/>
      <c r="AA119" s="637"/>
      <c r="AB119" s="637"/>
      <c r="AC119" s="637"/>
      <c r="AD119" s="637"/>
      <c r="AE119" s="637"/>
      <c r="AF119" s="637"/>
      <c r="AG119" s="1008"/>
      <c r="AH119" s="637"/>
      <c r="AI119" s="637"/>
      <c r="AJ119" s="637"/>
      <c r="AK119" s="637"/>
      <c r="AL119" s="637"/>
      <c r="AM119" s="637"/>
      <c r="AN119" s="637"/>
      <c r="AO119" s="1008"/>
      <c r="AP119" s="637"/>
      <c r="AQ119" s="637"/>
      <c r="AR119" s="637"/>
      <c r="AS119" s="1008"/>
      <c r="AT119" s="637"/>
      <c r="AU119" s="637"/>
      <c r="AV119" s="637"/>
      <c r="AW119" s="637"/>
      <c r="AX119" s="637"/>
      <c r="AY119" s="637"/>
      <c r="AZ119" s="637"/>
      <c r="BA119" s="637"/>
      <c r="BB119" s="637"/>
      <c r="BC119" s="637"/>
      <c r="BD119" s="637"/>
      <c r="BE119" s="637"/>
      <c r="BF119" s="637"/>
      <c r="BG119" s="637"/>
      <c r="BH119" s="637"/>
      <c r="BI119" s="637"/>
    </row>
    <row r="120" ht="15.75" customHeight="1">
      <c r="A120" s="637"/>
      <c r="B120" s="637"/>
      <c r="C120" s="637"/>
      <c r="D120" s="637"/>
      <c r="E120" s="1007"/>
      <c r="F120" s="1007"/>
      <c r="G120" s="637"/>
      <c r="H120" s="637"/>
      <c r="I120" s="637"/>
      <c r="J120" s="637"/>
      <c r="K120" s="637"/>
      <c r="L120" s="637"/>
      <c r="M120" s="637"/>
      <c r="N120" s="637"/>
      <c r="O120" s="637"/>
      <c r="P120" s="637"/>
      <c r="Q120" s="1008"/>
      <c r="R120" s="637"/>
      <c r="S120" s="637"/>
      <c r="T120" s="637"/>
      <c r="U120" s="637"/>
      <c r="V120" s="637"/>
      <c r="W120" s="637"/>
      <c r="X120" s="637"/>
      <c r="Y120" s="1008"/>
      <c r="Z120" s="637"/>
      <c r="AA120" s="637"/>
      <c r="AB120" s="637"/>
      <c r="AC120" s="637"/>
      <c r="AD120" s="637"/>
      <c r="AE120" s="637"/>
      <c r="AF120" s="637"/>
      <c r="AG120" s="1008"/>
      <c r="AH120" s="637"/>
      <c r="AI120" s="637"/>
      <c r="AJ120" s="637"/>
      <c r="AK120" s="637"/>
      <c r="AL120" s="637"/>
      <c r="AM120" s="637"/>
      <c r="AN120" s="637"/>
      <c r="AO120" s="1008"/>
      <c r="AP120" s="637"/>
      <c r="AQ120" s="637"/>
      <c r="AR120" s="637"/>
      <c r="AS120" s="1008"/>
      <c r="AT120" s="637"/>
      <c r="AU120" s="637"/>
      <c r="AV120" s="637"/>
      <c r="AW120" s="637"/>
      <c r="AX120" s="637"/>
      <c r="AY120" s="637"/>
      <c r="AZ120" s="637"/>
      <c r="BA120" s="637"/>
      <c r="BB120" s="637"/>
      <c r="BC120" s="637"/>
      <c r="BD120" s="637"/>
      <c r="BE120" s="637"/>
      <c r="BF120" s="637"/>
      <c r="BG120" s="637"/>
      <c r="BH120" s="637"/>
      <c r="BI120" s="637"/>
    </row>
    <row r="121" ht="15.75" customHeight="1">
      <c r="A121" s="637"/>
      <c r="B121" s="637"/>
      <c r="C121" s="637"/>
      <c r="D121" s="637"/>
      <c r="E121" s="1007"/>
      <c r="F121" s="1007"/>
      <c r="G121" s="637"/>
      <c r="H121" s="637"/>
      <c r="I121" s="637"/>
      <c r="J121" s="637"/>
      <c r="K121" s="637"/>
      <c r="L121" s="637"/>
      <c r="M121" s="637"/>
      <c r="N121" s="637"/>
      <c r="O121" s="637"/>
      <c r="P121" s="637"/>
      <c r="Q121" s="1008"/>
      <c r="R121" s="637"/>
      <c r="S121" s="637"/>
      <c r="T121" s="637"/>
      <c r="U121" s="637"/>
      <c r="V121" s="637"/>
      <c r="W121" s="637"/>
      <c r="X121" s="637"/>
      <c r="Y121" s="1008"/>
      <c r="Z121" s="637"/>
      <c r="AA121" s="637"/>
      <c r="AB121" s="637"/>
      <c r="AC121" s="637"/>
      <c r="AD121" s="637"/>
      <c r="AE121" s="637"/>
      <c r="AF121" s="637"/>
      <c r="AG121" s="1008"/>
      <c r="AH121" s="637"/>
      <c r="AI121" s="637"/>
      <c r="AJ121" s="637"/>
      <c r="AK121" s="637"/>
      <c r="AL121" s="637"/>
      <c r="AM121" s="637"/>
      <c r="AN121" s="637"/>
      <c r="AO121" s="1008"/>
      <c r="AP121" s="637"/>
      <c r="AQ121" s="637"/>
      <c r="AR121" s="637"/>
      <c r="AS121" s="1008"/>
      <c r="AT121" s="637"/>
      <c r="AU121" s="637"/>
      <c r="AV121" s="637"/>
      <c r="AW121" s="637"/>
      <c r="AX121" s="637"/>
      <c r="AY121" s="637"/>
      <c r="AZ121" s="637"/>
      <c r="BA121" s="637"/>
      <c r="BB121" s="637"/>
      <c r="BC121" s="637"/>
      <c r="BD121" s="637"/>
      <c r="BE121" s="637"/>
      <c r="BF121" s="637"/>
      <c r="BG121" s="637"/>
      <c r="BH121" s="637"/>
      <c r="BI121" s="637"/>
    </row>
    <row r="122" ht="15.75" customHeight="1">
      <c r="A122" s="637"/>
      <c r="B122" s="637"/>
      <c r="C122" s="637"/>
      <c r="D122" s="637"/>
      <c r="E122" s="1007"/>
      <c r="F122" s="1007"/>
      <c r="G122" s="637"/>
      <c r="H122" s="637"/>
      <c r="I122" s="637"/>
      <c r="J122" s="637"/>
      <c r="K122" s="637"/>
      <c r="L122" s="637"/>
      <c r="M122" s="637"/>
      <c r="N122" s="637"/>
      <c r="O122" s="637"/>
      <c r="P122" s="637"/>
      <c r="Q122" s="1008"/>
      <c r="R122" s="637"/>
      <c r="S122" s="637"/>
      <c r="T122" s="637"/>
      <c r="U122" s="637"/>
      <c r="V122" s="637"/>
      <c r="W122" s="637"/>
      <c r="X122" s="637"/>
      <c r="Y122" s="1008"/>
      <c r="Z122" s="637"/>
      <c r="AA122" s="637"/>
      <c r="AB122" s="637"/>
      <c r="AC122" s="637"/>
      <c r="AD122" s="637"/>
      <c r="AE122" s="637"/>
      <c r="AF122" s="637"/>
      <c r="AG122" s="1008"/>
      <c r="AH122" s="637"/>
      <c r="AI122" s="637"/>
      <c r="AJ122" s="637"/>
      <c r="AK122" s="637"/>
      <c r="AL122" s="637"/>
      <c r="AM122" s="637"/>
      <c r="AN122" s="637"/>
      <c r="AO122" s="1008"/>
      <c r="AP122" s="637"/>
      <c r="AQ122" s="637"/>
      <c r="AR122" s="637"/>
      <c r="AS122" s="1008"/>
      <c r="AT122" s="637"/>
      <c r="AU122" s="637"/>
      <c r="AV122" s="637"/>
      <c r="AW122" s="637"/>
      <c r="AX122" s="637"/>
      <c r="AY122" s="637"/>
      <c r="AZ122" s="637"/>
      <c r="BA122" s="637"/>
      <c r="BB122" s="637"/>
      <c r="BC122" s="637"/>
      <c r="BD122" s="637"/>
      <c r="BE122" s="637"/>
      <c r="BF122" s="637"/>
      <c r="BG122" s="637"/>
      <c r="BH122" s="637"/>
      <c r="BI122" s="637"/>
    </row>
    <row r="123" ht="15.75" customHeight="1">
      <c r="A123" s="637"/>
      <c r="B123" s="637"/>
      <c r="C123" s="637"/>
      <c r="D123" s="637"/>
      <c r="E123" s="1007"/>
      <c r="F123" s="1007"/>
      <c r="G123" s="637"/>
      <c r="H123" s="637"/>
      <c r="I123" s="637"/>
      <c r="J123" s="637"/>
      <c r="K123" s="637"/>
      <c r="L123" s="637"/>
      <c r="M123" s="637"/>
      <c r="N123" s="637"/>
      <c r="O123" s="637"/>
      <c r="P123" s="637"/>
      <c r="Q123" s="1008"/>
      <c r="R123" s="637"/>
      <c r="S123" s="637"/>
      <c r="T123" s="637"/>
      <c r="U123" s="637"/>
      <c r="V123" s="637"/>
      <c r="W123" s="637"/>
      <c r="X123" s="637"/>
      <c r="Y123" s="1008"/>
      <c r="Z123" s="637"/>
      <c r="AA123" s="637"/>
      <c r="AB123" s="637"/>
      <c r="AC123" s="637"/>
      <c r="AD123" s="637"/>
      <c r="AE123" s="637"/>
      <c r="AF123" s="637"/>
      <c r="AG123" s="1008"/>
      <c r="AH123" s="637"/>
      <c r="AI123" s="637"/>
      <c r="AJ123" s="637"/>
      <c r="AK123" s="637"/>
      <c r="AL123" s="637"/>
      <c r="AM123" s="637"/>
      <c r="AN123" s="637"/>
      <c r="AO123" s="1008"/>
      <c r="AP123" s="637"/>
      <c r="AQ123" s="637"/>
      <c r="AR123" s="637"/>
      <c r="AS123" s="1008"/>
      <c r="AT123" s="637"/>
      <c r="AU123" s="637"/>
      <c r="AV123" s="637"/>
      <c r="AW123" s="637"/>
      <c r="AX123" s="637"/>
      <c r="AY123" s="637"/>
      <c r="AZ123" s="637"/>
      <c r="BA123" s="637"/>
      <c r="BB123" s="637"/>
      <c r="BC123" s="637"/>
      <c r="BD123" s="637"/>
      <c r="BE123" s="637"/>
      <c r="BF123" s="637"/>
      <c r="BG123" s="637"/>
      <c r="BH123" s="637"/>
      <c r="BI123" s="637"/>
    </row>
    <row r="124" ht="15.75" customHeight="1">
      <c r="A124" s="637"/>
      <c r="B124" s="637"/>
      <c r="C124" s="637"/>
      <c r="D124" s="637"/>
      <c r="E124" s="1007"/>
      <c r="F124" s="1007"/>
      <c r="G124" s="637"/>
      <c r="H124" s="637"/>
      <c r="I124" s="637"/>
      <c r="J124" s="637"/>
      <c r="K124" s="637"/>
      <c r="L124" s="637"/>
      <c r="M124" s="637"/>
      <c r="N124" s="637"/>
      <c r="O124" s="637"/>
      <c r="P124" s="637"/>
      <c r="Q124" s="1008"/>
      <c r="R124" s="637"/>
      <c r="S124" s="637"/>
      <c r="T124" s="637"/>
      <c r="U124" s="637"/>
      <c r="V124" s="637"/>
      <c r="W124" s="637"/>
      <c r="X124" s="637"/>
      <c r="Y124" s="1008"/>
      <c r="Z124" s="637"/>
      <c r="AA124" s="637"/>
      <c r="AB124" s="637"/>
      <c r="AC124" s="637"/>
      <c r="AD124" s="637"/>
      <c r="AE124" s="637"/>
      <c r="AF124" s="637"/>
      <c r="AG124" s="1008"/>
      <c r="AH124" s="637"/>
      <c r="AI124" s="637"/>
      <c r="AJ124" s="637"/>
      <c r="AK124" s="637"/>
      <c r="AL124" s="637"/>
      <c r="AM124" s="637"/>
      <c r="AN124" s="637"/>
      <c r="AO124" s="1008"/>
      <c r="AP124" s="637"/>
      <c r="AQ124" s="637"/>
      <c r="AR124" s="637"/>
      <c r="AS124" s="1008"/>
      <c r="AT124" s="637"/>
      <c r="AU124" s="637"/>
      <c r="AV124" s="637"/>
      <c r="AW124" s="637"/>
      <c r="AX124" s="637"/>
      <c r="AY124" s="637"/>
      <c r="AZ124" s="637"/>
      <c r="BA124" s="637"/>
      <c r="BB124" s="637"/>
      <c r="BC124" s="637"/>
      <c r="BD124" s="637"/>
      <c r="BE124" s="637"/>
      <c r="BF124" s="637"/>
      <c r="BG124" s="637"/>
      <c r="BH124" s="637"/>
      <c r="BI124" s="637"/>
    </row>
    <row r="125" ht="15.75" customHeight="1">
      <c r="A125" s="637"/>
      <c r="B125" s="637"/>
      <c r="C125" s="637"/>
      <c r="D125" s="637"/>
      <c r="E125" s="1007"/>
      <c r="F125" s="1007"/>
      <c r="G125" s="637"/>
      <c r="H125" s="637"/>
      <c r="I125" s="637"/>
      <c r="J125" s="637"/>
      <c r="K125" s="637"/>
      <c r="L125" s="637"/>
      <c r="M125" s="637"/>
      <c r="N125" s="637"/>
      <c r="O125" s="637"/>
      <c r="P125" s="637"/>
      <c r="Q125" s="1008"/>
      <c r="R125" s="637"/>
      <c r="S125" s="637"/>
      <c r="T125" s="637"/>
      <c r="U125" s="637"/>
      <c r="V125" s="637"/>
      <c r="W125" s="637"/>
      <c r="X125" s="637"/>
      <c r="Y125" s="1008"/>
      <c r="Z125" s="637"/>
      <c r="AA125" s="637"/>
      <c r="AB125" s="637"/>
      <c r="AC125" s="637"/>
      <c r="AD125" s="637"/>
      <c r="AE125" s="637"/>
      <c r="AF125" s="637"/>
      <c r="AG125" s="1008"/>
      <c r="AH125" s="637"/>
      <c r="AI125" s="637"/>
      <c r="AJ125" s="637"/>
      <c r="AK125" s="637"/>
      <c r="AL125" s="637"/>
      <c r="AM125" s="637"/>
      <c r="AN125" s="637"/>
      <c r="AO125" s="1008"/>
      <c r="AP125" s="637"/>
      <c r="AQ125" s="637"/>
      <c r="AR125" s="637"/>
      <c r="AS125" s="1008"/>
      <c r="AT125" s="637"/>
      <c r="AU125" s="637"/>
      <c r="AV125" s="637"/>
      <c r="AW125" s="637"/>
      <c r="AX125" s="637"/>
      <c r="AY125" s="637"/>
      <c r="AZ125" s="637"/>
      <c r="BA125" s="637"/>
      <c r="BB125" s="637"/>
      <c r="BC125" s="637"/>
      <c r="BD125" s="637"/>
      <c r="BE125" s="637"/>
      <c r="BF125" s="637"/>
      <c r="BG125" s="637"/>
      <c r="BH125" s="637"/>
      <c r="BI125" s="637"/>
    </row>
    <row r="126" ht="15.75" customHeight="1">
      <c r="A126" s="637"/>
      <c r="B126" s="637"/>
      <c r="C126" s="637"/>
      <c r="D126" s="637"/>
      <c r="E126" s="1007"/>
      <c r="F126" s="1007"/>
      <c r="G126" s="637"/>
      <c r="H126" s="637"/>
      <c r="I126" s="637"/>
      <c r="J126" s="637"/>
      <c r="K126" s="637"/>
      <c r="L126" s="637"/>
      <c r="M126" s="637"/>
      <c r="N126" s="637"/>
      <c r="O126" s="637"/>
      <c r="P126" s="637"/>
      <c r="Q126" s="1008"/>
      <c r="R126" s="637"/>
      <c r="S126" s="637"/>
      <c r="T126" s="637"/>
      <c r="U126" s="637"/>
      <c r="V126" s="637"/>
      <c r="W126" s="637"/>
      <c r="X126" s="637"/>
      <c r="Y126" s="1008"/>
      <c r="Z126" s="637"/>
      <c r="AA126" s="637"/>
      <c r="AB126" s="637"/>
      <c r="AC126" s="637"/>
      <c r="AD126" s="637"/>
      <c r="AE126" s="637"/>
      <c r="AF126" s="637"/>
      <c r="AG126" s="1008"/>
      <c r="AH126" s="637"/>
      <c r="AI126" s="637"/>
      <c r="AJ126" s="637"/>
      <c r="AK126" s="637"/>
      <c r="AL126" s="637"/>
      <c r="AM126" s="637"/>
      <c r="AN126" s="637"/>
      <c r="AO126" s="1008"/>
      <c r="AP126" s="637"/>
      <c r="AQ126" s="637"/>
      <c r="AR126" s="637"/>
      <c r="AS126" s="1008"/>
      <c r="AT126" s="637"/>
      <c r="AU126" s="637"/>
      <c r="AV126" s="637"/>
      <c r="AW126" s="637"/>
      <c r="AX126" s="637"/>
      <c r="AY126" s="637"/>
      <c r="AZ126" s="637"/>
      <c r="BA126" s="637"/>
      <c r="BB126" s="637"/>
      <c r="BC126" s="637"/>
      <c r="BD126" s="637"/>
      <c r="BE126" s="637"/>
      <c r="BF126" s="637"/>
      <c r="BG126" s="637"/>
      <c r="BH126" s="637"/>
      <c r="BI126" s="637"/>
    </row>
    <row r="127" ht="15.75" customHeight="1">
      <c r="A127" s="637"/>
      <c r="B127" s="637"/>
      <c r="C127" s="637"/>
      <c r="D127" s="637"/>
      <c r="E127" s="1007"/>
      <c r="F127" s="1007"/>
      <c r="G127" s="637"/>
      <c r="H127" s="637"/>
      <c r="I127" s="637"/>
      <c r="J127" s="637"/>
      <c r="K127" s="637"/>
      <c r="L127" s="637"/>
      <c r="M127" s="637"/>
      <c r="N127" s="637"/>
      <c r="O127" s="637"/>
      <c r="P127" s="637"/>
      <c r="Q127" s="1008"/>
      <c r="R127" s="637"/>
      <c r="S127" s="637"/>
      <c r="T127" s="637"/>
      <c r="U127" s="637"/>
      <c r="V127" s="637"/>
      <c r="W127" s="637"/>
      <c r="X127" s="637"/>
      <c r="Y127" s="1008"/>
      <c r="Z127" s="637"/>
      <c r="AA127" s="637"/>
      <c r="AB127" s="637"/>
      <c r="AC127" s="637"/>
      <c r="AD127" s="637"/>
      <c r="AE127" s="637"/>
      <c r="AF127" s="637"/>
      <c r="AG127" s="1008"/>
      <c r="AH127" s="637"/>
      <c r="AI127" s="637"/>
      <c r="AJ127" s="637"/>
      <c r="AK127" s="637"/>
      <c r="AL127" s="637"/>
      <c r="AM127" s="637"/>
      <c r="AN127" s="637"/>
      <c r="AO127" s="1008"/>
      <c r="AP127" s="637"/>
      <c r="AQ127" s="637"/>
      <c r="AR127" s="637"/>
      <c r="AS127" s="1008"/>
      <c r="AT127" s="637"/>
      <c r="AU127" s="637"/>
      <c r="AV127" s="637"/>
      <c r="AW127" s="637"/>
      <c r="AX127" s="637"/>
      <c r="AY127" s="637"/>
      <c r="AZ127" s="637"/>
      <c r="BA127" s="637"/>
      <c r="BB127" s="637"/>
      <c r="BC127" s="637"/>
      <c r="BD127" s="637"/>
      <c r="BE127" s="637"/>
      <c r="BF127" s="637"/>
      <c r="BG127" s="637"/>
      <c r="BH127" s="637"/>
      <c r="BI127" s="637"/>
    </row>
    <row r="128" ht="15.75" customHeight="1">
      <c r="A128" s="637"/>
      <c r="B128" s="637"/>
      <c r="C128" s="637"/>
      <c r="D128" s="637"/>
      <c r="E128" s="1007"/>
      <c r="F128" s="1007"/>
      <c r="G128" s="637"/>
      <c r="H128" s="637"/>
      <c r="I128" s="637"/>
      <c r="J128" s="637"/>
      <c r="K128" s="637"/>
      <c r="L128" s="637"/>
      <c r="M128" s="637"/>
      <c r="N128" s="637"/>
      <c r="O128" s="637"/>
      <c r="P128" s="637"/>
      <c r="Q128" s="1008"/>
      <c r="R128" s="637"/>
      <c r="S128" s="637"/>
      <c r="T128" s="637"/>
      <c r="U128" s="637"/>
      <c r="V128" s="637"/>
      <c r="W128" s="637"/>
      <c r="X128" s="637"/>
      <c r="Y128" s="1008"/>
      <c r="Z128" s="637"/>
      <c r="AA128" s="637"/>
      <c r="AB128" s="637"/>
      <c r="AC128" s="637"/>
      <c r="AD128" s="637"/>
      <c r="AE128" s="637"/>
      <c r="AF128" s="637"/>
      <c r="AG128" s="1008"/>
      <c r="AH128" s="637"/>
      <c r="AI128" s="637"/>
      <c r="AJ128" s="637"/>
      <c r="AK128" s="637"/>
      <c r="AL128" s="637"/>
      <c r="AM128" s="637"/>
      <c r="AN128" s="637"/>
      <c r="AO128" s="1008"/>
      <c r="AP128" s="637"/>
      <c r="AQ128" s="637"/>
      <c r="AR128" s="637"/>
      <c r="AS128" s="1008"/>
      <c r="AT128" s="637"/>
      <c r="AU128" s="637"/>
      <c r="AV128" s="637"/>
      <c r="AW128" s="637"/>
      <c r="AX128" s="637"/>
      <c r="AY128" s="637"/>
      <c r="AZ128" s="637"/>
      <c r="BA128" s="637"/>
      <c r="BB128" s="637"/>
      <c r="BC128" s="637"/>
      <c r="BD128" s="637"/>
      <c r="BE128" s="637"/>
      <c r="BF128" s="637"/>
      <c r="BG128" s="637"/>
      <c r="BH128" s="637"/>
      <c r="BI128" s="637"/>
    </row>
    <row r="129" ht="15.75" customHeight="1">
      <c r="A129" s="637"/>
      <c r="B129" s="637"/>
      <c r="C129" s="637"/>
      <c r="D129" s="637"/>
      <c r="E129" s="1007"/>
      <c r="F129" s="1007"/>
      <c r="G129" s="637"/>
      <c r="H129" s="637"/>
      <c r="I129" s="637"/>
      <c r="J129" s="637"/>
      <c r="K129" s="637"/>
      <c r="L129" s="637"/>
      <c r="M129" s="637"/>
      <c r="N129" s="637"/>
      <c r="O129" s="637"/>
      <c r="P129" s="637"/>
      <c r="Q129" s="1008"/>
      <c r="R129" s="637"/>
      <c r="S129" s="637"/>
      <c r="T129" s="637"/>
      <c r="U129" s="637"/>
      <c r="V129" s="637"/>
      <c r="W129" s="637"/>
      <c r="X129" s="637"/>
      <c r="Y129" s="1008"/>
      <c r="Z129" s="637"/>
      <c r="AA129" s="637"/>
      <c r="AB129" s="637"/>
      <c r="AC129" s="637"/>
      <c r="AD129" s="637"/>
      <c r="AE129" s="637"/>
      <c r="AF129" s="637"/>
      <c r="AG129" s="1008"/>
      <c r="AH129" s="637"/>
      <c r="AI129" s="637"/>
      <c r="AJ129" s="637"/>
      <c r="AK129" s="637"/>
      <c r="AL129" s="637"/>
      <c r="AM129" s="637"/>
      <c r="AN129" s="637"/>
      <c r="AO129" s="1008"/>
      <c r="AP129" s="637"/>
      <c r="AQ129" s="637"/>
      <c r="AR129" s="637"/>
      <c r="AS129" s="1008"/>
      <c r="AT129" s="637"/>
      <c r="AU129" s="637"/>
      <c r="AV129" s="637"/>
      <c r="AW129" s="637"/>
      <c r="AX129" s="637"/>
      <c r="AY129" s="637"/>
      <c r="AZ129" s="637"/>
      <c r="BA129" s="637"/>
      <c r="BB129" s="637"/>
      <c r="BC129" s="637"/>
      <c r="BD129" s="637"/>
      <c r="BE129" s="637"/>
      <c r="BF129" s="637"/>
      <c r="BG129" s="637"/>
      <c r="BH129" s="637"/>
      <c r="BI129" s="637"/>
    </row>
    <row r="130" ht="15.75" customHeight="1">
      <c r="A130" s="637"/>
      <c r="B130" s="637"/>
      <c r="C130" s="637"/>
      <c r="D130" s="637"/>
      <c r="E130" s="1007"/>
      <c r="F130" s="1007"/>
      <c r="G130" s="637"/>
      <c r="H130" s="637"/>
      <c r="I130" s="637"/>
      <c r="J130" s="637"/>
      <c r="K130" s="637"/>
      <c r="L130" s="637"/>
      <c r="M130" s="637"/>
      <c r="N130" s="637"/>
      <c r="O130" s="637"/>
      <c r="P130" s="637"/>
      <c r="Q130" s="1008"/>
      <c r="R130" s="637"/>
      <c r="S130" s="637"/>
      <c r="T130" s="637"/>
      <c r="U130" s="637"/>
      <c r="V130" s="637"/>
      <c r="W130" s="637"/>
      <c r="X130" s="637"/>
      <c r="Y130" s="1008"/>
      <c r="Z130" s="637"/>
      <c r="AA130" s="637"/>
      <c r="AB130" s="637"/>
      <c r="AC130" s="637"/>
      <c r="AD130" s="637"/>
      <c r="AE130" s="637"/>
      <c r="AF130" s="637"/>
      <c r="AG130" s="1008"/>
      <c r="AH130" s="637"/>
      <c r="AI130" s="637"/>
      <c r="AJ130" s="637"/>
      <c r="AK130" s="637"/>
      <c r="AL130" s="637"/>
      <c r="AM130" s="637"/>
      <c r="AN130" s="637"/>
      <c r="AO130" s="1008"/>
      <c r="AP130" s="637"/>
      <c r="AQ130" s="637"/>
      <c r="AR130" s="637"/>
      <c r="AS130" s="1008"/>
      <c r="AT130" s="637"/>
      <c r="AU130" s="637"/>
      <c r="AV130" s="637"/>
      <c r="AW130" s="637"/>
      <c r="AX130" s="637"/>
      <c r="AY130" s="637"/>
      <c r="AZ130" s="637"/>
      <c r="BA130" s="637"/>
      <c r="BB130" s="637"/>
      <c r="BC130" s="637"/>
      <c r="BD130" s="637"/>
      <c r="BE130" s="637"/>
      <c r="BF130" s="637"/>
      <c r="BG130" s="637"/>
      <c r="BH130" s="637"/>
      <c r="BI130" s="637"/>
    </row>
    <row r="131" ht="15.75" customHeight="1">
      <c r="A131" s="637"/>
      <c r="B131" s="637"/>
      <c r="C131" s="637"/>
      <c r="D131" s="637"/>
      <c r="E131" s="1007"/>
      <c r="F131" s="1007"/>
      <c r="G131" s="637"/>
      <c r="H131" s="637"/>
      <c r="I131" s="637"/>
      <c r="J131" s="637"/>
      <c r="K131" s="637"/>
      <c r="L131" s="637"/>
      <c r="M131" s="637"/>
      <c r="N131" s="637"/>
      <c r="O131" s="637"/>
      <c r="P131" s="637"/>
      <c r="Q131" s="1008"/>
      <c r="R131" s="637"/>
      <c r="S131" s="637"/>
      <c r="T131" s="637"/>
      <c r="U131" s="637"/>
      <c r="V131" s="637"/>
      <c r="W131" s="637"/>
      <c r="X131" s="637"/>
      <c r="Y131" s="1008"/>
      <c r="Z131" s="637"/>
      <c r="AA131" s="637"/>
      <c r="AB131" s="637"/>
      <c r="AC131" s="637"/>
      <c r="AD131" s="637"/>
      <c r="AE131" s="637"/>
      <c r="AF131" s="637"/>
      <c r="AG131" s="1008"/>
      <c r="AH131" s="637"/>
      <c r="AI131" s="637"/>
      <c r="AJ131" s="637"/>
      <c r="AK131" s="637"/>
      <c r="AL131" s="637"/>
      <c r="AM131" s="637"/>
      <c r="AN131" s="637"/>
      <c r="AO131" s="1008"/>
      <c r="AP131" s="637"/>
      <c r="AQ131" s="637"/>
      <c r="AR131" s="637"/>
      <c r="AS131" s="1008"/>
      <c r="AT131" s="637"/>
      <c r="AU131" s="637"/>
      <c r="AV131" s="637"/>
      <c r="AW131" s="637"/>
      <c r="AX131" s="637"/>
      <c r="AY131" s="637"/>
      <c r="AZ131" s="637"/>
      <c r="BA131" s="637"/>
      <c r="BB131" s="637"/>
      <c r="BC131" s="637"/>
      <c r="BD131" s="637"/>
      <c r="BE131" s="637"/>
      <c r="BF131" s="637"/>
      <c r="BG131" s="637"/>
      <c r="BH131" s="637"/>
      <c r="BI131" s="637"/>
    </row>
    <row r="132" ht="15.75" customHeight="1">
      <c r="A132" s="637"/>
      <c r="B132" s="637"/>
      <c r="C132" s="637"/>
      <c r="D132" s="637"/>
      <c r="E132" s="1007"/>
      <c r="F132" s="1007"/>
      <c r="G132" s="637"/>
      <c r="H132" s="637"/>
      <c r="I132" s="637"/>
      <c r="J132" s="637"/>
      <c r="K132" s="637"/>
      <c r="L132" s="637"/>
      <c r="M132" s="637"/>
      <c r="N132" s="637"/>
      <c r="O132" s="637"/>
      <c r="P132" s="637"/>
      <c r="Q132" s="1008"/>
      <c r="R132" s="637"/>
      <c r="S132" s="637"/>
      <c r="T132" s="637"/>
      <c r="U132" s="637"/>
      <c r="V132" s="637"/>
      <c r="W132" s="637"/>
      <c r="X132" s="637"/>
      <c r="Y132" s="1008"/>
      <c r="Z132" s="637"/>
      <c r="AA132" s="637"/>
      <c r="AB132" s="637"/>
      <c r="AC132" s="637"/>
      <c r="AD132" s="637"/>
      <c r="AE132" s="637"/>
      <c r="AF132" s="637"/>
      <c r="AG132" s="1008"/>
      <c r="AH132" s="637"/>
      <c r="AI132" s="637"/>
      <c r="AJ132" s="637"/>
      <c r="AK132" s="637"/>
      <c r="AL132" s="637"/>
      <c r="AM132" s="637"/>
      <c r="AN132" s="637"/>
      <c r="AO132" s="1008"/>
      <c r="AP132" s="637"/>
      <c r="AQ132" s="637"/>
      <c r="AR132" s="637"/>
      <c r="AS132" s="1008"/>
      <c r="AT132" s="637"/>
      <c r="AU132" s="637"/>
      <c r="AV132" s="637"/>
      <c r="AW132" s="637"/>
      <c r="AX132" s="637"/>
      <c r="AY132" s="637"/>
      <c r="AZ132" s="637"/>
      <c r="BA132" s="637"/>
      <c r="BB132" s="637"/>
      <c r="BC132" s="637"/>
      <c r="BD132" s="637"/>
      <c r="BE132" s="637"/>
      <c r="BF132" s="637"/>
      <c r="BG132" s="637"/>
      <c r="BH132" s="637"/>
      <c r="BI132" s="637"/>
    </row>
    <row r="133" ht="15.75" customHeight="1">
      <c r="A133" s="637"/>
      <c r="B133" s="637"/>
      <c r="C133" s="637"/>
      <c r="D133" s="637"/>
      <c r="E133" s="1007"/>
      <c r="F133" s="1007"/>
      <c r="G133" s="637"/>
      <c r="H133" s="637"/>
      <c r="I133" s="637"/>
      <c r="J133" s="637"/>
      <c r="K133" s="637"/>
      <c r="L133" s="637"/>
      <c r="M133" s="637"/>
      <c r="N133" s="637"/>
      <c r="O133" s="637"/>
      <c r="P133" s="637"/>
      <c r="Q133" s="1008"/>
      <c r="R133" s="637"/>
      <c r="S133" s="637"/>
      <c r="T133" s="637"/>
      <c r="U133" s="637"/>
      <c r="V133" s="637"/>
      <c r="W133" s="637"/>
      <c r="X133" s="637"/>
      <c r="Y133" s="1008"/>
      <c r="Z133" s="637"/>
      <c r="AA133" s="637"/>
      <c r="AB133" s="637"/>
      <c r="AC133" s="637"/>
      <c r="AD133" s="637"/>
      <c r="AE133" s="637"/>
      <c r="AF133" s="637"/>
      <c r="AG133" s="1008"/>
      <c r="AH133" s="637"/>
      <c r="AI133" s="637"/>
      <c r="AJ133" s="637"/>
      <c r="AK133" s="637"/>
      <c r="AL133" s="637"/>
      <c r="AM133" s="637"/>
      <c r="AN133" s="637"/>
      <c r="AO133" s="1008"/>
      <c r="AP133" s="637"/>
      <c r="AQ133" s="637"/>
      <c r="AR133" s="637"/>
      <c r="AS133" s="1008"/>
      <c r="AT133" s="637"/>
      <c r="AU133" s="637"/>
      <c r="AV133" s="637"/>
      <c r="AW133" s="637"/>
      <c r="AX133" s="637"/>
      <c r="AY133" s="637"/>
      <c r="AZ133" s="637"/>
      <c r="BA133" s="637"/>
      <c r="BB133" s="637"/>
      <c r="BC133" s="637"/>
      <c r="BD133" s="637"/>
      <c r="BE133" s="637"/>
      <c r="BF133" s="637"/>
      <c r="BG133" s="637"/>
      <c r="BH133" s="637"/>
      <c r="BI133" s="637"/>
    </row>
    <row r="134" ht="15.75" customHeight="1">
      <c r="A134" s="637"/>
      <c r="B134" s="637"/>
      <c r="C134" s="637"/>
      <c r="D134" s="637"/>
      <c r="E134" s="1007"/>
      <c r="F134" s="1007"/>
      <c r="G134" s="637"/>
      <c r="H134" s="637"/>
      <c r="I134" s="637"/>
      <c r="J134" s="637"/>
      <c r="K134" s="637"/>
      <c r="L134" s="637"/>
      <c r="M134" s="637"/>
      <c r="N134" s="637"/>
      <c r="O134" s="637"/>
      <c r="P134" s="637"/>
      <c r="Q134" s="1008"/>
      <c r="R134" s="637"/>
      <c r="S134" s="637"/>
      <c r="T134" s="637"/>
      <c r="U134" s="637"/>
      <c r="V134" s="637"/>
      <c r="W134" s="637"/>
      <c r="X134" s="637"/>
      <c r="Y134" s="1008"/>
      <c r="Z134" s="637"/>
      <c r="AA134" s="637"/>
      <c r="AB134" s="637"/>
      <c r="AC134" s="637"/>
      <c r="AD134" s="637"/>
      <c r="AE134" s="637"/>
      <c r="AF134" s="637"/>
      <c r="AG134" s="1008"/>
      <c r="AH134" s="637"/>
      <c r="AI134" s="637"/>
      <c r="AJ134" s="637"/>
      <c r="AK134" s="637"/>
      <c r="AL134" s="637"/>
      <c r="AM134" s="637"/>
      <c r="AN134" s="637"/>
      <c r="AO134" s="1008"/>
      <c r="AP134" s="637"/>
      <c r="AQ134" s="637"/>
      <c r="AR134" s="637"/>
      <c r="AS134" s="1008"/>
      <c r="AT134" s="637"/>
      <c r="AU134" s="637"/>
      <c r="AV134" s="637"/>
      <c r="AW134" s="637"/>
      <c r="AX134" s="637"/>
      <c r="AY134" s="637"/>
      <c r="AZ134" s="637"/>
      <c r="BA134" s="637"/>
      <c r="BB134" s="637"/>
      <c r="BC134" s="637"/>
      <c r="BD134" s="637"/>
      <c r="BE134" s="637"/>
      <c r="BF134" s="637"/>
      <c r="BG134" s="637"/>
      <c r="BH134" s="637"/>
      <c r="BI134" s="637"/>
    </row>
    <row r="135" ht="15.75" customHeight="1">
      <c r="A135" s="637"/>
      <c r="B135" s="637"/>
      <c r="C135" s="637"/>
      <c r="D135" s="637"/>
      <c r="E135" s="1007"/>
      <c r="F135" s="1007"/>
      <c r="G135" s="637"/>
      <c r="H135" s="637"/>
      <c r="I135" s="637"/>
      <c r="J135" s="637"/>
      <c r="K135" s="637"/>
      <c r="L135" s="637"/>
      <c r="M135" s="637"/>
      <c r="N135" s="637"/>
      <c r="O135" s="637"/>
      <c r="P135" s="637"/>
      <c r="Q135" s="1008"/>
      <c r="R135" s="637"/>
      <c r="S135" s="637"/>
      <c r="T135" s="637"/>
      <c r="U135" s="637"/>
      <c r="V135" s="637"/>
      <c r="W135" s="637"/>
      <c r="X135" s="637"/>
      <c r="Y135" s="1008"/>
      <c r="Z135" s="637"/>
      <c r="AA135" s="637"/>
      <c r="AB135" s="637"/>
      <c r="AC135" s="637"/>
      <c r="AD135" s="637"/>
      <c r="AE135" s="637"/>
      <c r="AF135" s="637"/>
      <c r="AG135" s="1008"/>
      <c r="AH135" s="637"/>
      <c r="AI135" s="637"/>
      <c r="AJ135" s="637"/>
      <c r="AK135" s="637"/>
      <c r="AL135" s="637"/>
      <c r="AM135" s="637"/>
      <c r="AN135" s="637"/>
      <c r="AO135" s="1008"/>
      <c r="AP135" s="637"/>
      <c r="AQ135" s="637"/>
      <c r="AR135" s="637"/>
      <c r="AS135" s="1008"/>
      <c r="AT135" s="637"/>
      <c r="AU135" s="637"/>
      <c r="AV135" s="637"/>
      <c r="AW135" s="637"/>
      <c r="AX135" s="637"/>
      <c r="AY135" s="637"/>
      <c r="AZ135" s="637"/>
      <c r="BA135" s="637"/>
      <c r="BB135" s="637"/>
      <c r="BC135" s="637"/>
      <c r="BD135" s="637"/>
      <c r="BE135" s="637"/>
      <c r="BF135" s="637"/>
      <c r="BG135" s="637"/>
      <c r="BH135" s="637"/>
      <c r="BI135" s="637"/>
    </row>
    <row r="136" ht="15.75" customHeight="1">
      <c r="A136" s="637"/>
      <c r="B136" s="637"/>
      <c r="C136" s="637"/>
      <c r="D136" s="637"/>
      <c r="E136" s="1007"/>
      <c r="F136" s="1007"/>
      <c r="G136" s="637"/>
      <c r="H136" s="637"/>
      <c r="I136" s="637"/>
      <c r="J136" s="637"/>
      <c r="K136" s="637"/>
      <c r="L136" s="637"/>
      <c r="M136" s="637"/>
      <c r="N136" s="637"/>
      <c r="O136" s="637"/>
      <c r="P136" s="637"/>
      <c r="Q136" s="1008"/>
      <c r="R136" s="637"/>
      <c r="S136" s="637"/>
      <c r="T136" s="637"/>
      <c r="U136" s="637"/>
      <c r="V136" s="637"/>
      <c r="W136" s="637"/>
      <c r="X136" s="637"/>
      <c r="Y136" s="1008"/>
      <c r="Z136" s="637"/>
      <c r="AA136" s="637"/>
      <c r="AB136" s="637"/>
      <c r="AC136" s="637"/>
      <c r="AD136" s="637"/>
      <c r="AE136" s="637"/>
      <c r="AF136" s="637"/>
      <c r="AG136" s="1008"/>
      <c r="AH136" s="637"/>
      <c r="AI136" s="637"/>
      <c r="AJ136" s="637"/>
      <c r="AK136" s="637"/>
      <c r="AL136" s="637"/>
      <c r="AM136" s="637"/>
      <c r="AN136" s="637"/>
      <c r="AO136" s="1008"/>
      <c r="AP136" s="637"/>
      <c r="AQ136" s="637"/>
      <c r="AR136" s="637"/>
      <c r="AS136" s="1008"/>
      <c r="AT136" s="637"/>
      <c r="AU136" s="637"/>
      <c r="AV136" s="637"/>
      <c r="AW136" s="637"/>
      <c r="AX136" s="637"/>
      <c r="AY136" s="637"/>
      <c r="AZ136" s="637"/>
      <c r="BA136" s="637"/>
      <c r="BB136" s="637"/>
      <c r="BC136" s="637"/>
      <c r="BD136" s="637"/>
      <c r="BE136" s="637"/>
      <c r="BF136" s="637"/>
      <c r="BG136" s="637"/>
      <c r="BH136" s="637"/>
      <c r="BI136" s="637"/>
    </row>
    <row r="137" ht="15.75" customHeight="1">
      <c r="A137" s="637"/>
      <c r="B137" s="637"/>
      <c r="C137" s="637"/>
      <c r="D137" s="637"/>
      <c r="E137" s="1007"/>
      <c r="F137" s="1007"/>
      <c r="G137" s="637"/>
      <c r="H137" s="637"/>
      <c r="I137" s="637"/>
      <c r="J137" s="637"/>
      <c r="K137" s="637"/>
      <c r="L137" s="637"/>
      <c r="M137" s="637"/>
      <c r="N137" s="637"/>
      <c r="O137" s="637"/>
      <c r="P137" s="637"/>
      <c r="Q137" s="1008"/>
      <c r="R137" s="637"/>
      <c r="S137" s="637"/>
      <c r="T137" s="637"/>
      <c r="U137" s="637"/>
      <c r="V137" s="637"/>
      <c r="W137" s="637"/>
      <c r="X137" s="637"/>
      <c r="Y137" s="1008"/>
      <c r="Z137" s="637"/>
      <c r="AA137" s="637"/>
      <c r="AB137" s="637"/>
      <c r="AC137" s="637"/>
      <c r="AD137" s="637"/>
      <c r="AE137" s="637"/>
      <c r="AF137" s="637"/>
      <c r="AG137" s="1008"/>
      <c r="AH137" s="637"/>
      <c r="AI137" s="637"/>
      <c r="AJ137" s="637"/>
      <c r="AK137" s="637"/>
      <c r="AL137" s="637"/>
      <c r="AM137" s="637"/>
      <c r="AN137" s="637"/>
      <c r="AO137" s="1008"/>
      <c r="AP137" s="637"/>
      <c r="AQ137" s="637"/>
      <c r="AR137" s="637"/>
      <c r="AS137" s="1008"/>
      <c r="AT137" s="637"/>
      <c r="AU137" s="637"/>
      <c r="AV137" s="637"/>
      <c r="AW137" s="637"/>
      <c r="AX137" s="637"/>
      <c r="AY137" s="637"/>
      <c r="AZ137" s="637"/>
      <c r="BA137" s="637"/>
      <c r="BB137" s="637"/>
      <c r="BC137" s="637"/>
      <c r="BD137" s="637"/>
      <c r="BE137" s="637"/>
      <c r="BF137" s="637"/>
      <c r="BG137" s="637"/>
      <c r="BH137" s="637"/>
      <c r="BI137" s="637"/>
    </row>
    <row r="138" ht="15.75" customHeight="1">
      <c r="A138" s="637"/>
      <c r="B138" s="637"/>
      <c r="C138" s="637"/>
      <c r="D138" s="637"/>
      <c r="E138" s="1007"/>
      <c r="F138" s="1007"/>
      <c r="G138" s="637"/>
      <c r="H138" s="637"/>
      <c r="I138" s="637"/>
      <c r="J138" s="637"/>
      <c r="K138" s="637"/>
      <c r="L138" s="637"/>
      <c r="M138" s="637"/>
      <c r="N138" s="637"/>
      <c r="O138" s="637"/>
      <c r="P138" s="637"/>
      <c r="Q138" s="1008"/>
      <c r="R138" s="637"/>
      <c r="S138" s="637"/>
      <c r="T138" s="637"/>
      <c r="U138" s="637"/>
      <c r="V138" s="637"/>
      <c r="W138" s="637"/>
      <c r="X138" s="637"/>
      <c r="Y138" s="1008"/>
      <c r="Z138" s="637"/>
      <c r="AA138" s="637"/>
      <c r="AB138" s="637"/>
      <c r="AC138" s="637"/>
      <c r="AD138" s="637"/>
      <c r="AE138" s="637"/>
      <c r="AF138" s="637"/>
      <c r="AG138" s="1008"/>
      <c r="AH138" s="637"/>
      <c r="AI138" s="637"/>
      <c r="AJ138" s="637"/>
      <c r="AK138" s="637"/>
      <c r="AL138" s="637"/>
      <c r="AM138" s="637"/>
      <c r="AN138" s="637"/>
      <c r="AO138" s="1008"/>
      <c r="AP138" s="637"/>
      <c r="AQ138" s="637"/>
      <c r="AR138" s="637"/>
      <c r="AS138" s="1008"/>
      <c r="AT138" s="637"/>
      <c r="AU138" s="637"/>
      <c r="AV138" s="637"/>
      <c r="AW138" s="637"/>
      <c r="AX138" s="637"/>
      <c r="AY138" s="637"/>
      <c r="AZ138" s="637"/>
      <c r="BA138" s="637"/>
      <c r="BB138" s="637"/>
      <c r="BC138" s="637"/>
      <c r="BD138" s="637"/>
      <c r="BE138" s="637"/>
      <c r="BF138" s="637"/>
      <c r="BG138" s="637"/>
      <c r="BH138" s="637"/>
      <c r="BI138" s="637"/>
    </row>
    <row r="139" ht="15.75" customHeight="1">
      <c r="A139" s="637"/>
      <c r="B139" s="637"/>
      <c r="C139" s="637"/>
      <c r="D139" s="637"/>
      <c r="E139" s="1007"/>
      <c r="F139" s="1007"/>
      <c r="G139" s="637"/>
      <c r="H139" s="637"/>
      <c r="I139" s="637"/>
      <c r="J139" s="637"/>
      <c r="K139" s="637"/>
      <c r="L139" s="637"/>
      <c r="M139" s="637"/>
      <c r="N139" s="637"/>
      <c r="O139" s="637"/>
      <c r="P139" s="637"/>
      <c r="Q139" s="1008"/>
      <c r="R139" s="637"/>
      <c r="S139" s="637"/>
      <c r="T139" s="637"/>
      <c r="U139" s="637"/>
      <c r="V139" s="637"/>
      <c r="W139" s="637"/>
      <c r="X139" s="637"/>
      <c r="Y139" s="1008"/>
      <c r="Z139" s="637"/>
      <c r="AA139" s="637"/>
      <c r="AB139" s="637"/>
      <c r="AC139" s="637"/>
      <c r="AD139" s="637"/>
      <c r="AE139" s="637"/>
      <c r="AF139" s="637"/>
      <c r="AG139" s="1008"/>
      <c r="AH139" s="637"/>
      <c r="AI139" s="637"/>
      <c r="AJ139" s="637"/>
      <c r="AK139" s="637"/>
      <c r="AL139" s="637"/>
      <c r="AM139" s="637"/>
      <c r="AN139" s="637"/>
      <c r="AO139" s="1008"/>
      <c r="AP139" s="637"/>
      <c r="AQ139" s="637"/>
      <c r="AR139" s="637"/>
      <c r="AS139" s="1008"/>
      <c r="AT139" s="637"/>
      <c r="AU139" s="637"/>
      <c r="AV139" s="637"/>
      <c r="AW139" s="637"/>
      <c r="AX139" s="637"/>
      <c r="AY139" s="637"/>
      <c r="AZ139" s="637"/>
      <c r="BA139" s="637"/>
      <c r="BB139" s="637"/>
      <c r="BC139" s="637"/>
      <c r="BD139" s="637"/>
      <c r="BE139" s="637"/>
      <c r="BF139" s="637"/>
      <c r="BG139" s="637"/>
      <c r="BH139" s="637"/>
      <c r="BI139" s="637"/>
    </row>
    <row r="140" ht="15.75" customHeight="1">
      <c r="A140" s="637"/>
      <c r="B140" s="637"/>
      <c r="C140" s="637"/>
      <c r="D140" s="637"/>
      <c r="E140" s="1007"/>
      <c r="F140" s="1007"/>
      <c r="G140" s="637"/>
      <c r="H140" s="637"/>
      <c r="I140" s="637"/>
      <c r="J140" s="637"/>
      <c r="K140" s="637"/>
      <c r="L140" s="637"/>
      <c r="M140" s="637"/>
      <c r="N140" s="637"/>
      <c r="O140" s="637"/>
      <c r="P140" s="637"/>
      <c r="Q140" s="1008"/>
      <c r="R140" s="637"/>
      <c r="S140" s="637"/>
      <c r="T140" s="637"/>
      <c r="U140" s="637"/>
      <c r="V140" s="637"/>
      <c r="W140" s="637"/>
      <c r="X140" s="637"/>
      <c r="Y140" s="1008"/>
      <c r="Z140" s="637"/>
      <c r="AA140" s="637"/>
      <c r="AB140" s="637"/>
      <c r="AC140" s="637"/>
      <c r="AD140" s="637"/>
      <c r="AE140" s="637"/>
      <c r="AF140" s="637"/>
      <c r="AG140" s="1008"/>
      <c r="AH140" s="637"/>
      <c r="AI140" s="637"/>
      <c r="AJ140" s="637"/>
      <c r="AK140" s="637"/>
      <c r="AL140" s="637"/>
      <c r="AM140" s="637"/>
      <c r="AN140" s="637"/>
      <c r="AO140" s="1008"/>
      <c r="AP140" s="637"/>
      <c r="AQ140" s="637"/>
      <c r="AR140" s="637"/>
      <c r="AS140" s="1008"/>
      <c r="AT140" s="637"/>
      <c r="AU140" s="637"/>
      <c r="AV140" s="637"/>
      <c r="AW140" s="637"/>
      <c r="AX140" s="637"/>
      <c r="AY140" s="637"/>
      <c r="AZ140" s="637"/>
      <c r="BA140" s="637"/>
      <c r="BB140" s="637"/>
      <c r="BC140" s="637"/>
      <c r="BD140" s="637"/>
      <c r="BE140" s="637"/>
      <c r="BF140" s="637"/>
      <c r="BG140" s="637"/>
      <c r="BH140" s="637"/>
      <c r="BI140" s="637"/>
    </row>
    <row r="141" ht="15.75" customHeight="1">
      <c r="A141" s="637"/>
      <c r="B141" s="637"/>
      <c r="C141" s="637"/>
      <c r="D141" s="637"/>
      <c r="E141" s="1007"/>
      <c r="F141" s="1007"/>
      <c r="G141" s="637"/>
      <c r="H141" s="637"/>
      <c r="I141" s="637"/>
      <c r="J141" s="637"/>
      <c r="K141" s="637"/>
      <c r="L141" s="637"/>
      <c r="M141" s="637"/>
      <c r="N141" s="637"/>
      <c r="O141" s="637"/>
      <c r="P141" s="637"/>
      <c r="Q141" s="1008"/>
      <c r="R141" s="637"/>
      <c r="S141" s="637"/>
      <c r="T141" s="637"/>
      <c r="U141" s="637"/>
      <c r="V141" s="637"/>
      <c r="W141" s="637"/>
      <c r="X141" s="637"/>
      <c r="Y141" s="1008"/>
      <c r="Z141" s="637"/>
      <c r="AA141" s="637"/>
      <c r="AB141" s="637"/>
      <c r="AC141" s="637"/>
      <c r="AD141" s="637"/>
      <c r="AE141" s="637"/>
      <c r="AF141" s="637"/>
      <c r="AG141" s="1008"/>
      <c r="AH141" s="637"/>
      <c r="AI141" s="637"/>
      <c r="AJ141" s="637"/>
      <c r="AK141" s="637"/>
      <c r="AL141" s="637"/>
      <c r="AM141" s="637"/>
      <c r="AN141" s="637"/>
      <c r="AO141" s="1008"/>
      <c r="AP141" s="637"/>
      <c r="AQ141" s="637"/>
      <c r="AR141" s="637"/>
      <c r="AS141" s="1008"/>
      <c r="AT141" s="637"/>
      <c r="AU141" s="637"/>
      <c r="AV141" s="637"/>
      <c r="AW141" s="637"/>
      <c r="AX141" s="637"/>
      <c r="AY141" s="637"/>
      <c r="AZ141" s="637"/>
      <c r="BA141" s="637"/>
      <c r="BB141" s="637"/>
      <c r="BC141" s="637"/>
      <c r="BD141" s="637"/>
      <c r="BE141" s="637"/>
      <c r="BF141" s="637"/>
      <c r="BG141" s="637"/>
      <c r="BH141" s="637"/>
      <c r="BI141" s="637"/>
    </row>
    <row r="142" ht="15.75" customHeight="1">
      <c r="A142" s="637"/>
      <c r="B142" s="637"/>
      <c r="C142" s="637"/>
      <c r="D142" s="637"/>
      <c r="E142" s="1007"/>
      <c r="F142" s="1007"/>
      <c r="G142" s="637"/>
      <c r="H142" s="637"/>
      <c r="I142" s="637"/>
      <c r="J142" s="637"/>
      <c r="K142" s="637"/>
      <c r="L142" s="637"/>
      <c r="M142" s="637"/>
      <c r="N142" s="637"/>
      <c r="O142" s="637"/>
      <c r="P142" s="637"/>
      <c r="Q142" s="1008"/>
      <c r="R142" s="637"/>
      <c r="S142" s="637"/>
      <c r="T142" s="637"/>
      <c r="U142" s="637"/>
      <c r="V142" s="637"/>
      <c r="W142" s="637"/>
      <c r="X142" s="637"/>
      <c r="Y142" s="1008"/>
      <c r="Z142" s="637"/>
      <c r="AA142" s="637"/>
      <c r="AB142" s="637"/>
      <c r="AC142" s="637"/>
      <c r="AD142" s="637"/>
      <c r="AE142" s="637"/>
      <c r="AF142" s="637"/>
      <c r="AG142" s="1008"/>
      <c r="AH142" s="637"/>
      <c r="AI142" s="637"/>
      <c r="AJ142" s="637"/>
      <c r="AK142" s="637"/>
      <c r="AL142" s="637"/>
      <c r="AM142" s="637"/>
      <c r="AN142" s="637"/>
      <c r="AO142" s="1008"/>
      <c r="AP142" s="637"/>
      <c r="AQ142" s="637"/>
      <c r="AR142" s="637"/>
      <c r="AS142" s="1008"/>
      <c r="AT142" s="637"/>
      <c r="AU142" s="637"/>
      <c r="AV142" s="637"/>
      <c r="AW142" s="637"/>
      <c r="AX142" s="637"/>
      <c r="AY142" s="637"/>
      <c r="AZ142" s="637"/>
      <c r="BA142" s="637"/>
      <c r="BB142" s="637"/>
      <c r="BC142" s="637"/>
      <c r="BD142" s="637"/>
      <c r="BE142" s="637"/>
      <c r="BF142" s="637"/>
      <c r="BG142" s="637"/>
      <c r="BH142" s="637"/>
      <c r="BI142" s="637"/>
    </row>
    <row r="143" ht="15.75" customHeight="1">
      <c r="A143" s="637"/>
      <c r="B143" s="637"/>
      <c r="C143" s="637"/>
      <c r="D143" s="637"/>
      <c r="E143" s="1007"/>
      <c r="F143" s="1007"/>
      <c r="G143" s="637"/>
      <c r="H143" s="637"/>
      <c r="I143" s="637"/>
      <c r="J143" s="637"/>
      <c r="K143" s="637"/>
      <c r="L143" s="637"/>
      <c r="M143" s="637"/>
      <c r="N143" s="637"/>
      <c r="O143" s="637"/>
      <c r="P143" s="637"/>
      <c r="Q143" s="1008"/>
      <c r="R143" s="637"/>
      <c r="S143" s="637"/>
      <c r="T143" s="637"/>
      <c r="U143" s="637"/>
      <c r="V143" s="637"/>
      <c r="W143" s="637"/>
      <c r="X143" s="637"/>
      <c r="Y143" s="1008"/>
      <c r="Z143" s="637"/>
      <c r="AA143" s="637"/>
      <c r="AB143" s="637"/>
      <c r="AC143" s="637"/>
      <c r="AD143" s="637"/>
      <c r="AE143" s="637"/>
      <c r="AF143" s="637"/>
      <c r="AG143" s="1008"/>
      <c r="AH143" s="637"/>
      <c r="AI143" s="637"/>
      <c r="AJ143" s="637"/>
      <c r="AK143" s="637"/>
      <c r="AL143" s="637"/>
      <c r="AM143" s="637"/>
      <c r="AN143" s="637"/>
      <c r="AO143" s="1008"/>
      <c r="AP143" s="637"/>
      <c r="AQ143" s="637"/>
      <c r="AR143" s="637"/>
      <c r="AS143" s="1008"/>
      <c r="AT143" s="637"/>
      <c r="AU143" s="637"/>
      <c r="AV143" s="637"/>
      <c r="AW143" s="637"/>
      <c r="AX143" s="637"/>
      <c r="AY143" s="637"/>
      <c r="AZ143" s="637"/>
      <c r="BA143" s="637"/>
      <c r="BB143" s="637"/>
      <c r="BC143" s="637"/>
      <c r="BD143" s="637"/>
      <c r="BE143" s="637"/>
      <c r="BF143" s="637"/>
      <c r="BG143" s="637"/>
      <c r="BH143" s="637"/>
      <c r="BI143" s="637"/>
    </row>
    <row r="144" ht="15.75" customHeight="1">
      <c r="A144" s="637"/>
      <c r="B144" s="637"/>
      <c r="C144" s="637"/>
      <c r="D144" s="637"/>
      <c r="E144" s="1007"/>
      <c r="F144" s="1007"/>
      <c r="G144" s="637"/>
      <c r="H144" s="637"/>
      <c r="I144" s="637"/>
      <c r="J144" s="637"/>
      <c r="K144" s="637"/>
      <c r="L144" s="637"/>
      <c r="M144" s="637"/>
      <c r="N144" s="637"/>
      <c r="O144" s="637"/>
      <c r="P144" s="637"/>
      <c r="Q144" s="1008"/>
      <c r="R144" s="637"/>
      <c r="S144" s="637"/>
      <c r="T144" s="637"/>
      <c r="U144" s="637"/>
      <c r="V144" s="637"/>
      <c r="W144" s="637"/>
      <c r="X144" s="637"/>
      <c r="Y144" s="1008"/>
      <c r="Z144" s="637"/>
      <c r="AA144" s="637"/>
      <c r="AB144" s="637"/>
      <c r="AC144" s="637"/>
      <c r="AD144" s="637"/>
      <c r="AE144" s="637"/>
      <c r="AF144" s="637"/>
      <c r="AG144" s="1008"/>
      <c r="AH144" s="637"/>
      <c r="AI144" s="637"/>
      <c r="AJ144" s="637"/>
      <c r="AK144" s="637"/>
      <c r="AL144" s="637"/>
      <c r="AM144" s="637"/>
      <c r="AN144" s="637"/>
      <c r="AO144" s="1008"/>
      <c r="AP144" s="637"/>
      <c r="AQ144" s="637"/>
      <c r="AR144" s="637"/>
      <c r="AS144" s="1008"/>
      <c r="AT144" s="637"/>
      <c r="AU144" s="637"/>
      <c r="AV144" s="637"/>
      <c r="AW144" s="637"/>
      <c r="AX144" s="637"/>
      <c r="AY144" s="637"/>
      <c r="AZ144" s="637"/>
      <c r="BA144" s="637"/>
      <c r="BB144" s="637"/>
      <c r="BC144" s="637"/>
      <c r="BD144" s="637"/>
      <c r="BE144" s="637"/>
      <c r="BF144" s="637"/>
      <c r="BG144" s="637"/>
      <c r="BH144" s="637"/>
      <c r="BI144" s="637"/>
    </row>
    <row r="145" ht="15.75" customHeight="1">
      <c r="A145" s="637"/>
      <c r="B145" s="637"/>
      <c r="C145" s="637"/>
      <c r="D145" s="637"/>
      <c r="E145" s="1007"/>
      <c r="F145" s="1007"/>
      <c r="G145" s="637"/>
      <c r="H145" s="637"/>
      <c r="I145" s="637"/>
      <c r="J145" s="637"/>
      <c r="K145" s="637"/>
      <c r="L145" s="637"/>
      <c r="M145" s="637"/>
      <c r="N145" s="637"/>
      <c r="O145" s="637"/>
      <c r="P145" s="637"/>
      <c r="Q145" s="1008"/>
      <c r="R145" s="637"/>
      <c r="S145" s="637"/>
      <c r="T145" s="637"/>
      <c r="U145" s="637"/>
      <c r="V145" s="637"/>
      <c r="W145" s="637"/>
      <c r="X145" s="637"/>
      <c r="Y145" s="1008"/>
      <c r="Z145" s="637"/>
      <c r="AA145" s="637"/>
      <c r="AB145" s="637"/>
      <c r="AC145" s="637"/>
      <c r="AD145" s="637"/>
      <c r="AE145" s="637"/>
      <c r="AF145" s="637"/>
      <c r="AG145" s="1008"/>
      <c r="AH145" s="637"/>
      <c r="AI145" s="637"/>
      <c r="AJ145" s="637"/>
      <c r="AK145" s="637"/>
      <c r="AL145" s="637"/>
      <c r="AM145" s="637"/>
      <c r="AN145" s="637"/>
      <c r="AO145" s="1008"/>
      <c r="AP145" s="637"/>
      <c r="AQ145" s="637"/>
      <c r="AR145" s="637"/>
      <c r="AS145" s="1008"/>
      <c r="AT145" s="637"/>
      <c r="AU145" s="637"/>
      <c r="AV145" s="637"/>
      <c r="AW145" s="637"/>
      <c r="AX145" s="637"/>
      <c r="AY145" s="637"/>
      <c r="AZ145" s="637"/>
      <c r="BA145" s="637"/>
      <c r="BB145" s="637"/>
      <c r="BC145" s="637"/>
      <c r="BD145" s="637"/>
      <c r="BE145" s="637"/>
      <c r="BF145" s="637"/>
      <c r="BG145" s="637"/>
      <c r="BH145" s="637"/>
      <c r="BI145" s="637"/>
    </row>
    <row r="146" ht="15.75" customHeight="1">
      <c r="A146" s="637"/>
      <c r="B146" s="637"/>
      <c r="C146" s="637"/>
      <c r="D146" s="637"/>
      <c r="E146" s="1007"/>
      <c r="F146" s="1007"/>
      <c r="G146" s="637"/>
      <c r="H146" s="637"/>
      <c r="I146" s="637"/>
      <c r="J146" s="637"/>
      <c r="K146" s="637"/>
      <c r="L146" s="637"/>
      <c r="M146" s="637"/>
      <c r="N146" s="637"/>
      <c r="O146" s="637"/>
      <c r="P146" s="637"/>
      <c r="Q146" s="1008"/>
      <c r="R146" s="637"/>
      <c r="S146" s="637"/>
      <c r="T146" s="637"/>
      <c r="U146" s="637"/>
      <c r="V146" s="637"/>
      <c r="W146" s="637"/>
      <c r="X146" s="637"/>
      <c r="Y146" s="1008"/>
      <c r="Z146" s="637"/>
      <c r="AA146" s="637"/>
      <c r="AB146" s="637"/>
      <c r="AC146" s="637"/>
      <c r="AD146" s="637"/>
      <c r="AE146" s="637"/>
      <c r="AF146" s="637"/>
      <c r="AG146" s="1008"/>
      <c r="AH146" s="637"/>
      <c r="AI146" s="637"/>
      <c r="AJ146" s="637"/>
      <c r="AK146" s="637"/>
      <c r="AL146" s="637"/>
      <c r="AM146" s="637"/>
      <c r="AN146" s="637"/>
      <c r="AO146" s="1008"/>
      <c r="AP146" s="637"/>
      <c r="AQ146" s="637"/>
      <c r="AR146" s="637"/>
      <c r="AS146" s="1008"/>
      <c r="AT146" s="637"/>
      <c r="AU146" s="637"/>
      <c r="AV146" s="637"/>
      <c r="AW146" s="637"/>
      <c r="AX146" s="637"/>
      <c r="AY146" s="637"/>
      <c r="AZ146" s="637"/>
      <c r="BA146" s="637"/>
      <c r="BB146" s="637"/>
      <c r="BC146" s="637"/>
      <c r="BD146" s="637"/>
      <c r="BE146" s="637"/>
      <c r="BF146" s="637"/>
      <c r="BG146" s="637"/>
      <c r="BH146" s="637"/>
      <c r="BI146" s="637"/>
    </row>
    <row r="147" ht="15.75" customHeight="1">
      <c r="A147" s="637"/>
      <c r="B147" s="637"/>
      <c r="C147" s="637"/>
      <c r="D147" s="637"/>
      <c r="E147" s="1007"/>
      <c r="F147" s="1007"/>
      <c r="G147" s="637"/>
      <c r="H147" s="637"/>
      <c r="I147" s="637"/>
      <c r="J147" s="637"/>
      <c r="K147" s="637"/>
      <c r="L147" s="637"/>
      <c r="M147" s="637"/>
      <c r="N147" s="637"/>
      <c r="O147" s="637"/>
      <c r="P147" s="637"/>
      <c r="Q147" s="1008"/>
      <c r="R147" s="637"/>
      <c r="S147" s="637"/>
      <c r="T147" s="637"/>
      <c r="U147" s="637"/>
      <c r="V147" s="637"/>
      <c r="W147" s="637"/>
      <c r="X147" s="637"/>
      <c r="Y147" s="1008"/>
      <c r="Z147" s="637"/>
      <c r="AA147" s="637"/>
      <c r="AB147" s="637"/>
      <c r="AC147" s="637"/>
      <c r="AD147" s="637"/>
      <c r="AE147" s="637"/>
      <c r="AF147" s="637"/>
      <c r="AG147" s="1008"/>
      <c r="AH147" s="637"/>
      <c r="AI147" s="637"/>
      <c r="AJ147" s="637"/>
      <c r="AK147" s="637"/>
      <c r="AL147" s="637"/>
      <c r="AM147" s="637"/>
      <c r="AN147" s="637"/>
      <c r="AO147" s="1008"/>
      <c r="AP147" s="637"/>
      <c r="AQ147" s="637"/>
      <c r="AR147" s="637"/>
      <c r="AS147" s="1008"/>
      <c r="AT147" s="637"/>
      <c r="AU147" s="637"/>
      <c r="AV147" s="637"/>
      <c r="AW147" s="637"/>
      <c r="AX147" s="637"/>
      <c r="AY147" s="637"/>
      <c r="AZ147" s="637"/>
      <c r="BA147" s="637"/>
      <c r="BB147" s="637"/>
      <c r="BC147" s="637"/>
      <c r="BD147" s="637"/>
      <c r="BE147" s="637"/>
      <c r="BF147" s="637"/>
      <c r="BG147" s="637"/>
      <c r="BH147" s="637"/>
      <c r="BI147" s="637"/>
    </row>
    <row r="148" ht="15.75" customHeight="1">
      <c r="A148" s="637"/>
      <c r="B148" s="637"/>
      <c r="C148" s="637"/>
      <c r="D148" s="637"/>
      <c r="E148" s="1007"/>
      <c r="F148" s="1007"/>
      <c r="G148" s="637"/>
      <c r="H148" s="637"/>
      <c r="I148" s="637"/>
      <c r="J148" s="637"/>
      <c r="K148" s="637"/>
      <c r="L148" s="637"/>
      <c r="M148" s="637"/>
      <c r="N148" s="637"/>
      <c r="O148" s="637"/>
      <c r="P148" s="637"/>
      <c r="Q148" s="1008"/>
      <c r="R148" s="637"/>
      <c r="S148" s="637"/>
      <c r="T148" s="637"/>
      <c r="U148" s="637"/>
      <c r="V148" s="637"/>
      <c r="W148" s="637"/>
      <c r="X148" s="637"/>
      <c r="Y148" s="1008"/>
      <c r="Z148" s="637"/>
      <c r="AA148" s="637"/>
      <c r="AB148" s="637"/>
      <c r="AC148" s="637"/>
      <c r="AD148" s="637"/>
      <c r="AE148" s="637"/>
      <c r="AF148" s="637"/>
      <c r="AG148" s="1008"/>
      <c r="AH148" s="637"/>
      <c r="AI148" s="637"/>
      <c r="AJ148" s="637"/>
      <c r="AK148" s="637"/>
      <c r="AL148" s="637"/>
      <c r="AM148" s="637"/>
      <c r="AN148" s="637"/>
      <c r="AO148" s="1008"/>
      <c r="AP148" s="637"/>
      <c r="AQ148" s="637"/>
      <c r="AR148" s="637"/>
      <c r="AS148" s="1008"/>
      <c r="AT148" s="637"/>
      <c r="AU148" s="637"/>
      <c r="AV148" s="637"/>
      <c r="AW148" s="637"/>
      <c r="AX148" s="637"/>
      <c r="AY148" s="637"/>
      <c r="AZ148" s="637"/>
      <c r="BA148" s="637"/>
      <c r="BB148" s="637"/>
      <c r="BC148" s="637"/>
      <c r="BD148" s="637"/>
      <c r="BE148" s="637"/>
      <c r="BF148" s="637"/>
      <c r="BG148" s="637"/>
      <c r="BH148" s="637"/>
      <c r="BI148" s="637"/>
    </row>
    <row r="149" ht="15.75" customHeight="1">
      <c r="A149" s="637"/>
      <c r="B149" s="637"/>
      <c r="C149" s="637"/>
      <c r="D149" s="637"/>
      <c r="E149" s="1007"/>
      <c r="F149" s="1007"/>
      <c r="G149" s="637"/>
      <c r="H149" s="637"/>
      <c r="I149" s="637"/>
      <c r="J149" s="637"/>
      <c r="K149" s="637"/>
      <c r="L149" s="637"/>
      <c r="M149" s="637"/>
      <c r="N149" s="637"/>
      <c r="O149" s="637"/>
      <c r="P149" s="637"/>
      <c r="Q149" s="1008"/>
      <c r="R149" s="637"/>
      <c r="S149" s="637"/>
      <c r="T149" s="637"/>
      <c r="U149" s="637"/>
      <c r="V149" s="637"/>
      <c r="W149" s="637"/>
      <c r="X149" s="637"/>
      <c r="Y149" s="1008"/>
      <c r="Z149" s="637"/>
      <c r="AA149" s="637"/>
      <c r="AB149" s="637"/>
      <c r="AC149" s="637"/>
      <c r="AD149" s="637"/>
      <c r="AE149" s="637"/>
      <c r="AF149" s="637"/>
      <c r="AG149" s="1008"/>
      <c r="AH149" s="637"/>
      <c r="AI149" s="637"/>
      <c r="AJ149" s="637"/>
      <c r="AK149" s="637"/>
      <c r="AL149" s="637"/>
      <c r="AM149" s="637"/>
      <c r="AN149" s="637"/>
      <c r="AO149" s="1008"/>
      <c r="AP149" s="637"/>
      <c r="AQ149" s="637"/>
      <c r="AR149" s="637"/>
      <c r="AS149" s="1008"/>
      <c r="AT149" s="637"/>
      <c r="AU149" s="637"/>
      <c r="AV149" s="637"/>
      <c r="AW149" s="637"/>
      <c r="AX149" s="637"/>
      <c r="AY149" s="637"/>
      <c r="AZ149" s="637"/>
      <c r="BA149" s="637"/>
      <c r="BB149" s="637"/>
      <c r="BC149" s="637"/>
      <c r="BD149" s="637"/>
      <c r="BE149" s="637"/>
      <c r="BF149" s="637"/>
      <c r="BG149" s="637"/>
      <c r="BH149" s="637"/>
      <c r="BI149" s="637"/>
    </row>
    <row r="150" ht="15.75" customHeight="1">
      <c r="A150" s="637"/>
      <c r="B150" s="637"/>
      <c r="C150" s="637"/>
      <c r="D150" s="637"/>
      <c r="E150" s="1007"/>
      <c r="F150" s="1007"/>
      <c r="G150" s="637"/>
      <c r="H150" s="637"/>
      <c r="I150" s="637"/>
      <c r="J150" s="637"/>
      <c r="K150" s="637"/>
      <c r="L150" s="637"/>
      <c r="M150" s="637"/>
      <c r="N150" s="637"/>
      <c r="O150" s="637"/>
      <c r="P150" s="637"/>
      <c r="Q150" s="1008"/>
      <c r="R150" s="637"/>
      <c r="S150" s="637"/>
      <c r="T150" s="637"/>
      <c r="U150" s="637"/>
      <c r="V150" s="637"/>
      <c r="W150" s="637"/>
      <c r="X150" s="637"/>
      <c r="Y150" s="1008"/>
      <c r="Z150" s="637"/>
      <c r="AA150" s="637"/>
      <c r="AB150" s="637"/>
      <c r="AC150" s="637"/>
      <c r="AD150" s="637"/>
      <c r="AE150" s="637"/>
      <c r="AF150" s="637"/>
      <c r="AG150" s="1008"/>
      <c r="AH150" s="637"/>
      <c r="AI150" s="637"/>
      <c r="AJ150" s="637"/>
      <c r="AK150" s="637"/>
      <c r="AL150" s="637"/>
      <c r="AM150" s="637"/>
      <c r="AN150" s="637"/>
      <c r="AO150" s="1008"/>
      <c r="AP150" s="637"/>
      <c r="AQ150" s="637"/>
      <c r="AR150" s="637"/>
      <c r="AS150" s="1008"/>
      <c r="AT150" s="637"/>
      <c r="AU150" s="637"/>
      <c r="AV150" s="637"/>
      <c r="AW150" s="637"/>
      <c r="AX150" s="637"/>
      <c r="AY150" s="637"/>
      <c r="AZ150" s="637"/>
      <c r="BA150" s="637"/>
      <c r="BB150" s="637"/>
      <c r="BC150" s="637"/>
      <c r="BD150" s="637"/>
      <c r="BE150" s="637"/>
      <c r="BF150" s="637"/>
      <c r="BG150" s="637"/>
      <c r="BH150" s="637"/>
      <c r="BI150" s="637"/>
    </row>
    <row r="151" ht="15.75" customHeight="1">
      <c r="A151" s="637"/>
      <c r="B151" s="637"/>
      <c r="C151" s="637"/>
      <c r="D151" s="637"/>
      <c r="E151" s="1007"/>
      <c r="F151" s="1007"/>
      <c r="G151" s="637"/>
      <c r="H151" s="637"/>
      <c r="I151" s="637"/>
      <c r="J151" s="637"/>
      <c r="K151" s="637"/>
      <c r="L151" s="637"/>
      <c r="M151" s="637"/>
      <c r="N151" s="637"/>
      <c r="O151" s="637"/>
      <c r="P151" s="637"/>
      <c r="Q151" s="1008"/>
      <c r="R151" s="637"/>
      <c r="S151" s="637"/>
      <c r="T151" s="637"/>
      <c r="U151" s="637"/>
      <c r="V151" s="637"/>
      <c r="W151" s="637"/>
      <c r="X151" s="637"/>
      <c r="Y151" s="1008"/>
      <c r="Z151" s="637"/>
      <c r="AA151" s="637"/>
      <c r="AB151" s="637"/>
      <c r="AC151" s="637"/>
      <c r="AD151" s="637"/>
      <c r="AE151" s="637"/>
      <c r="AF151" s="637"/>
      <c r="AG151" s="1008"/>
      <c r="AH151" s="637"/>
      <c r="AI151" s="637"/>
      <c r="AJ151" s="637"/>
      <c r="AK151" s="637"/>
      <c r="AL151" s="637"/>
      <c r="AM151" s="637"/>
      <c r="AN151" s="637"/>
      <c r="AO151" s="1008"/>
      <c r="AP151" s="637"/>
      <c r="AQ151" s="637"/>
      <c r="AR151" s="637"/>
      <c r="AS151" s="1008"/>
      <c r="AT151" s="637"/>
      <c r="AU151" s="637"/>
      <c r="AV151" s="637"/>
      <c r="AW151" s="637"/>
      <c r="AX151" s="637"/>
      <c r="AY151" s="637"/>
      <c r="AZ151" s="637"/>
      <c r="BA151" s="637"/>
      <c r="BB151" s="637"/>
      <c r="BC151" s="637"/>
      <c r="BD151" s="637"/>
      <c r="BE151" s="637"/>
      <c r="BF151" s="637"/>
      <c r="BG151" s="637"/>
      <c r="BH151" s="637"/>
      <c r="BI151" s="637"/>
    </row>
    <row r="152" ht="15.75" customHeight="1">
      <c r="A152" s="637"/>
      <c r="B152" s="637"/>
      <c r="C152" s="637"/>
      <c r="D152" s="637"/>
      <c r="E152" s="1007"/>
      <c r="F152" s="1007"/>
      <c r="G152" s="637"/>
      <c r="H152" s="637"/>
      <c r="I152" s="637"/>
      <c r="J152" s="637"/>
      <c r="K152" s="637"/>
      <c r="L152" s="637"/>
      <c r="M152" s="637"/>
      <c r="N152" s="637"/>
      <c r="O152" s="637"/>
      <c r="P152" s="637"/>
      <c r="Q152" s="1008"/>
      <c r="R152" s="637"/>
      <c r="S152" s="637"/>
      <c r="T152" s="637"/>
      <c r="U152" s="637"/>
      <c r="V152" s="637"/>
      <c r="W152" s="637"/>
      <c r="X152" s="637"/>
      <c r="Y152" s="1008"/>
      <c r="Z152" s="637"/>
      <c r="AA152" s="637"/>
      <c r="AB152" s="637"/>
      <c r="AC152" s="637"/>
      <c r="AD152" s="637"/>
      <c r="AE152" s="637"/>
      <c r="AF152" s="637"/>
      <c r="AG152" s="1008"/>
      <c r="AH152" s="637"/>
      <c r="AI152" s="637"/>
      <c r="AJ152" s="637"/>
      <c r="AK152" s="637"/>
      <c r="AL152" s="637"/>
      <c r="AM152" s="637"/>
      <c r="AN152" s="637"/>
      <c r="AO152" s="1008"/>
      <c r="AP152" s="637"/>
      <c r="AQ152" s="637"/>
      <c r="AR152" s="637"/>
      <c r="AS152" s="1008"/>
      <c r="AT152" s="637"/>
      <c r="AU152" s="637"/>
      <c r="AV152" s="637"/>
      <c r="AW152" s="637"/>
      <c r="AX152" s="637"/>
      <c r="AY152" s="637"/>
      <c r="AZ152" s="637"/>
      <c r="BA152" s="637"/>
      <c r="BB152" s="637"/>
      <c r="BC152" s="637"/>
      <c r="BD152" s="637"/>
      <c r="BE152" s="637"/>
      <c r="BF152" s="637"/>
      <c r="BG152" s="637"/>
      <c r="BH152" s="637"/>
      <c r="BI152" s="637"/>
    </row>
    <row r="153" ht="15.75" customHeight="1">
      <c r="A153" s="637"/>
      <c r="B153" s="637"/>
      <c r="C153" s="637"/>
      <c r="D153" s="637"/>
      <c r="E153" s="1007"/>
      <c r="F153" s="1007"/>
      <c r="G153" s="637"/>
      <c r="H153" s="637"/>
      <c r="I153" s="637"/>
      <c r="J153" s="637"/>
      <c r="K153" s="637"/>
      <c r="L153" s="637"/>
      <c r="M153" s="637"/>
      <c r="N153" s="637"/>
      <c r="O153" s="637"/>
      <c r="P153" s="637"/>
      <c r="Q153" s="1008"/>
      <c r="R153" s="637"/>
      <c r="S153" s="637"/>
      <c r="T153" s="637"/>
      <c r="U153" s="637"/>
      <c r="V153" s="637"/>
      <c r="W153" s="637"/>
      <c r="X153" s="637"/>
      <c r="Y153" s="1008"/>
      <c r="Z153" s="637"/>
      <c r="AA153" s="637"/>
      <c r="AB153" s="637"/>
      <c r="AC153" s="637"/>
      <c r="AD153" s="637"/>
      <c r="AE153" s="637"/>
      <c r="AF153" s="637"/>
      <c r="AG153" s="1008"/>
      <c r="AH153" s="637"/>
      <c r="AI153" s="637"/>
      <c r="AJ153" s="637"/>
      <c r="AK153" s="637"/>
      <c r="AL153" s="637"/>
      <c r="AM153" s="637"/>
      <c r="AN153" s="637"/>
      <c r="AO153" s="1008"/>
      <c r="AP153" s="637"/>
      <c r="AQ153" s="637"/>
      <c r="AR153" s="637"/>
      <c r="AS153" s="1008"/>
      <c r="AT153" s="637"/>
      <c r="AU153" s="637"/>
      <c r="AV153" s="637"/>
      <c r="AW153" s="637"/>
      <c r="AX153" s="637"/>
      <c r="AY153" s="637"/>
      <c r="AZ153" s="637"/>
      <c r="BA153" s="637"/>
      <c r="BB153" s="637"/>
      <c r="BC153" s="637"/>
      <c r="BD153" s="637"/>
      <c r="BE153" s="637"/>
      <c r="BF153" s="637"/>
      <c r="BG153" s="637"/>
      <c r="BH153" s="637"/>
      <c r="BI153" s="637"/>
    </row>
    <row r="154" ht="15.75" customHeight="1">
      <c r="A154" s="637"/>
      <c r="B154" s="637"/>
      <c r="C154" s="637"/>
      <c r="D154" s="637"/>
      <c r="E154" s="1007"/>
      <c r="F154" s="1007"/>
      <c r="G154" s="637"/>
      <c r="H154" s="637"/>
      <c r="I154" s="637"/>
      <c r="J154" s="637"/>
      <c r="K154" s="637"/>
      <c r="L154" s="637"/>
      <c r="M154" s="637"/>
      <c r="N154" s="637"/>
      <c r="O154" s="637"/>
      <c r="P154" s="637"/>
      <c r="Q154" s="1008"/>
      <c r="R154" s="637"/>
      <c r="S154" s="637"/>
      <c r="T154" s="637"/>
      <c r="U154" s="637"/>
      <c r="V154" s="637"/>
      <c r="W154" s="637"/>
      <c r="X154" s="637"/>
      <c r="Y154" s="1008"/>
      <c r="Z154" s="637"/>
      <c r="AA154" s="637"/>
      <c r="AB154" s="637"/>
      <c r="AC154" s="637"/>
      <c r="AD154" s="637"/>
      <c r="AE154" s="637"/>
      <c r="AF154" s="637"/>
      <c r="AG154" s="1008"/>
      <c r="AH154" s="637"/>
      <c r="AI154" s="637"/>
      <c r="AJ154" s="637"/>
      <c r="AK154" s="637"/>
      <c r="AL154" s="637"/>
      <c r="AM154" s="637"/>
      <c r="AN154" s="637"/>
      <c r="AO154" s="1008"/>
      <c r="AP154" s="637"/>
      <c r="AQ154" s="637"/>
      <c r="AR154" s="637"/>
      <c r="AS154" s="1008"/>
      <c r="AT154" s="637"/>
      <c r="AU154" s="637"/>
      <c r="AV154" s="637"/>
      <c r="AW154" s="637"/>
      <c r="AX154" s="637"/>
      <c r="AY154" s="637"/>
      <c r="AZ154" s="637"/>
      <c r="BA154" s="637"/>
      <c r="BB154" s="637"/>
      <c r="BC154" s="637"/>
      <c r="BD154" s="637"/>
      <c r="BE154" s="637"/>
      <c r="BF154" s="637"/>
      <c r="BG154" s="637"/>
      <c r="BH154" s="637"/>
      <c r="BI154" s="637"/>
    </row>
    <row r="155" ht="15.75" customHeight="1">
      <c r="A155" s="637"/>
      <c r="B155" s="637"/>
      <c r="C155" s="637"/>
      <c r="D155" s="637"/>
      <c r="E155" s="1007"/>
      <c r="F155" s="1007"/>
      <c r="G155" s="637"/>
      <c r="H155" s="637"/>
      <c r="I155" s="637"/>
      <c r="J155" s="637"/>
      <c r="K155" s="637"/>
      <c r="L155" s="637"/>
      <c r="M155" s="637"/>
      <c r="N155" s="637"/>
      <c r="O155" s="637"/>
      <c r="P155" s="637"/>
      <c r="Q155" s="1008"/>
      <c r="R155" s="637"/>
      <c r="S155" s="637"/>
      <c r="T155" s="637"/>
      <c r="U155" s="637"/>
      <c r="V155" s="637"/>
      <c r="W155" s="637"/>
      <c r="X155" s="637"/>
      <c r="Y155" s="1008"/>
      <c r="Z155" s="637"/>
      <c r="AA155" s="637"/>
      <c r="AB155" s="637"/>
      <c r="AC155" s="637"/>
      <c r="AD155" s="637"/>
      <c r="AE155" s="637"/>
      <c r="AF155" s="637"/>
      <c r="AG155" s="1008"/>
      <c r="AH155" s="637"/>
      <c r="AI155" s="637"/>
      <c r="AJ155" s="637"/>
      <c r="AK155" s="637"/>
      <c r="AL155" s="637"/>
      <c r="AM155" s="637"/>
      <c r="AN155" s="637"/>
      <c r="AO155" s="1008"/>
      <c r="AP155" s="637"/>
      <c r="AQ155" s="637"/>
      <c r="AR155" s="637"/>
      <c r="AS155" s="1008"/>
      <c r="AT155" s="637"/>
      <c r="AU155" s="637"/>
      <c r="AV155" s="637"/>
      <c r="AW155" s="637"/>
      <c r="AX155" s="637"/>
      <c r="AY155" s="637"/>
      <c r="AZ155" s="637"/>
      <c r="BA155" s="637"/>
      <c r="BB155" s="637"/>
      <c r="BC155" s="637"/>
      <c r="BD155" s="637"/>
      <c r="BE155" s="637"/>
      <c r="BF155" s="637"/>
      <c r="BG155" s="637"/>
      <c r="BH155" s="637"/>
      <c r="BI155" s="637"/>
    </row>
    <row r="156" ht="15.75" customHeight="1">
      <c r="A156" s="637"/>
      <c r="B156" s="637"/>
      <c r="C156" s="637"/>
      <c r="D156" s="637"/>
      <c r="E156" s="1007"/>
      <c r="F156" s="1007"/>
      <c r="G156" s="637"/>
      <c r="H156" s="637"/>
      <c r="I156" s="637"/>
      <c r="J156" s="637"/>
      <c r="K156" s="637"/>
      <c r="L156" s="637"/>
      <c r="M156" s="637"/>
      <c r="N156" s="637"/>
      <c r="O156" s="637"/>
      <c r="P156" s="637"/>
      <c r="Q156" s="1008"/>
      <c r="R156" s="637"/>
      <c r="S156" s="637"/>
      <c r="T156" s="637"/>
      <c r="U156" s="637"/>
      <c r="V156" s="637"/>
      <c r="W156" s="637"/>
      <c r="X156" s="637"/>
      <c r="Y156" s="1008"/>
      <c r="Z156" s="637"/>
      <c r="AA156" s="637"/>
      <c r="AB156" s="637"/>
      <c r="AC156" s="637"/>
      <c r="AD156" s="637"/>
      <c r="AE156" s="637"/>
      <c r="AF156" s="637"/>
      <c r="AG156" s="1008"/>
      <c r="AH156" s="637"/>
      <c r="AI156" s="637"/>
      <c r="AJ156" s="637"/>
      <c r="AK156" s="637"/>
      <c r="AL156" s="637"/>
      <c r="AM156" s="637"/>
      <c r="AN156" s="637"/>
      <c r="AO156" s="1008"/>
      <c r="AP156" s="637"/>
      <c r="AQ156" s="637"/>
      <c r="AR156" s="637"/>
      <c r="AS156" s="1008"/>
      <c r="AT156" s="637"/>
      <c r="AU156" s="637"/>
      <c r="AV156" s="637"/>
      <c r="AW156" s="637"/>
      <c r="AX156" s="637"/>
      <c r="AY156" s="637"/>
      <c r="AZ156" s="637"/>
      <c r="BA156" s="637"/>
      <c r="BB156" s="637"/>
      <c r="BC156" s="637"/>
      <c r="BD156" s="637"/>
      <c r="BE156" s="637"/>
      <c r="BF156" s="637"/>
      <c r="BG156" s="637"/>
      <c r="BH156" s="637"/>
      <c r="BI156" s="637"/>
    </row>
    <row r="157" ht="15.75" customHeight="1">
      <c r="A157" s="637"/>
      <c r="B157" s="637"/>
      <c r="C157" s="637"/>
      <c r="D157" s="637"/>
      <c r="E157" s="1007"/>
      <c r="F157" s="1007"/>
      <c r="G157" s="637"/>
      <c r="H157" s="637"/>
      <c r="I157" s="637"/>
      <c r="J157" s="637"/>
      <c r="K157" s="637"/>
      <c r="L157" s="637"/>
      <c r="M157" s="637"/>
      <c r="N157" s="637"/>
      <c r="O157" s="637"/>
      <c r="P157" s="637"/>
      <c r="Q157" s="1008"/>
      <c r="R157" s="637"/>
      <c r="S157" s="637"/>
      <c r="T157" s="637"/>
      <c r="U157" s="637"/>
      <c r="V157" s="637"/>
      <c r="W157" s="637"/>
      <c r="X157" s="637"/>
      <c r="Y157" s="1008"/>
      <c r="Z157" s="637"/>
      <c r="AA157" s="637"/>
      <c r="AB157" s="637"/>
      <c r="AC157" s="637"/>
      <c r="AD157" s="637"/>
      <c r="AE157" s="637"/>
      <c r="AF157" s="637"/>
      <c r="AG157" s="1008"/>
      <c r="AH157" s="637"/>
      <c r="AI157" s="637"/>
      <c r="AJ157" s="637"/>
      <c r="AK157" s="637"/>
      <c r="AL157" s="637"/>
      <c r="AM157" s="637"/>
      <c r="AN157" s="637"/>
      <c r="AO157" s="1008"/>
      <c r="AP157" s="637"/>
      <c r="AQ157" s="637"/>
      <c r="AR157" s="637"/>
      <c r="AS157" s="1008"/>
      <c r="AT157" s="637"/>
      <c r="AU157" s="637"/>
      <c r="AV157" s="637"/>
      <c r="AW157" s="637"/>
      <c r="AX157" s="637"/>
      <c r="AY157" s="637"/>
      <c r="AZ157" s="637"/>
      <c r="BA157" s="637"/>
      <c r="BB157" s="637"/>
      <c r="BC157" s="637"/>
      <c r="BD157" s="637"/>
      <c r="BE157" s="637"/>
      <c r="BF157" s="637"/>
      <c r="BG157" s="637"/>
      <c r="BH157" s="637"/>
      <c r="BI157" s="637"/>
    </row>
    <row r="158" ht="15.75" customHeight="1">
      <c r="A158" s="637"/>
      <c r="B158" s="637"/>
      <c r="C158" s="637"/>
      <c r="D158" s="637"/>
      <c r="E158" s="1007"/>
      <c r="F158" s="1007"/>
      <c r="G158" s="637"/>
      <c r="H158" s="637"/>
      <c r="I158" s="637"/>
      <c r="J158" s="637"/>
      <c r="K158" s="637"/>
      <c r="L158" s="637"/>
      <c r="M158" s="637"/>
      <c r="N158" s="637"/>
      <c r="O158" s="637"/>
      <c r="P158" s="637"/>
      <c r="Q158" s="1008"/>
      <c r="R158" s="637"/>
      <c r="S158" s="637"/>
      <c r="T158" s="637"/>
      <c r="U158" s="637"/>
      <c r="V158" s="637"/>
      <c r="W158" s="637"/>
      <c r="X158" s="637"/>
      <c r="Y158" s="1008"/>
      <c r="Z158" s="637"/>
      <c r="AA158" s="637"/>
      <c r="AB158" s="637"/>
      <c r="AC158" s="637"/>
      <c r="AD158" s="637"/>
      <c r="AE158" s="637"/>
      <c r="AF158" s="637"/>
      <c r="AG158" s="1008"/>
      <c r="AH158" s="637"/>
      <c r="AI158" s="637"/>
      <c r="AJ158" s="637"/>
      <c r="AK158" s="637"/>
      <c r="AL158" s="637"/>
      <c r="AM158" s="637"/>
      <c r="AN158" s="637"/>
      <c r="AO158" s="1008"/>
      <c r="AP158" s="637"/>
      <c r="AQ158" s="637"/>
      <c r="AR158" s="637"/>
      <c r="AS158" s="1008"/>
      <c r="AT158" s="637"/>
      <c r="AU158" s="637"/>
      <c r="AV158" s="637"/>
      <c r="AW158" s="637"/>
      <c r="AX158" s="637"/>
      <c r="AY158" s="637"/>
      <c r="AZ158" s="637"/>
      <c r="BA158" s="637"/>
      <c r="BB158" s="637"/>
      <c r="BC158" s="637"/>
      <c r="BD158" s="637"/>
      <c r="BE158" s="637"/>
      <c r="BF158" s="637"/>
      <c r="BG158" s="637"/>
      <c r="BH158" s="637"/>
      <c r="BI158" s="637"/>
    </row>
    <row r="159" ht="15.75" customHeight="1">
      <c r="A159" s="637"/>
      <c r="B159" s="637"/>
      <c r="C159" s="637"/>
      <c r="D159" s="637"/>
      <c r="E159" s="1007"/>
      <c r="F159" s="1007"/>
      <c r="G159" s="637"/>
      <c r="H159" s="637"/>
      <c r="I159" s="637"/>
      <c r="J159" s="637"/>
      <c r="K159" s="637"/>
      <c r="L159" s="637"/>
      <c r="M159" s="637"/>
      <c r="N159" s="637"/>
      <c r="O159" s="637"/>
      <c r="P159" s="637"/>
      <c r="Q159" s="1008"/>
      <c r="R159" s="637"/>
      <c r="S159" s="637"/>
      <c r="T159" s="637"/>
      <c r="U159" s="637"/>
      <c r="V159" s="637"/>
      <c r="W159" s="637"/>
      <c r="X159" s="637"/>
      <c r="Y159" s="1008"/>
      <c r="Z159" s="637"/>
      <c r="AA159" s="637"/>
      <c r="AB159" s="637"/>
      <c r="AC159" s="637"/>
      <c r="AD159" s="637"/>
      <c r="AE159" s="637"/>
      <c r="AF159" s="637"/>
      <c r="AG159" s="1008"/>
      <c r="AH159" s="637"/>
      <c r="AI159" s="637"/>
      <c r="AJ159" s="637"/>
      <c r="AK159" s="637"/>
      <c r="AL159" s="637"/>
      <c r="AM159" s="637"/>
      <c r="AN159" s="637"/>
      <c r="AO159" s="1008"/>
      <c r="AP159" s="637"/>
      <c r="AQ159" s="637"/>
      <c r="AR159" s="637"/>
      <c r="AS159" s="1008"/>
      <c r="AT159" s="637"/>
      <c r="AU159" s="637"/>
      <c r="AV159" s="637"/>
      <c r="AW159" s="637"/>
      <c r="AX159" s="637"/>
      <c r="AY159" s="637"/>
      <c r="AZ159" s="637"/>
      <c r="BA159" s="637"/>
      <c r="BB159" s="637"/>
      <c r="BC159" s="637"/>
      <c r="BD159" s="637"/>
      <c r="BE159" s="637"/>
      <c r="BF159" s="637"/>
      <c r="BG159" s="637"/>
      <c r="BH159" s="637"/>
      <c r="BI159" s="637"/>
    </row>
    <row r="160" ht="15.75" customHeight="1">
      <c r="A160" s="637"/>
      <c r="B160" s="637"/>
      <c r="C160" s="637"/>
      <c r="D160" s="637"/>
      <c r="E160" s="1007"/>
      <c r="F160" s="1007"/>
      <c r="G160" s="637"/>
      <c r="H160" s="637"/>
      <c r="I160" s="637"/>
      <c r="J160" s="637"/>
      <c r="K160" s="637"/>
      <c r="L160" s="637"/>
      <c r="M160" s="637"/>
      <c r="N160" s="637"/>
      <c r="O160" s="637"/>
      <c r="P160" s="637"/>
      <c r="Q160" s="1008"/>
      <c r="R160" s="637"/>
      <c r="S160" s="637"/>
      <c r="T160" s="637"/>
      <c r="U160" s="637"/>
      <c r="V160" s="637"/>
      <c r="W160" s="637"/>
      <c r="X160" s="637"/>
      <c r="Y160" s="1008"/>
      <c r="Z160" s="637"/>
      <c r="AA160" s="637"/>
      <c r="AB160" s="637"/>
      <c r="AC160" s="637"/>
      <c r="AD160" s="637"/>
      <c r="AE160" s="637"/>
      <c r="AF160" s="637"/>
      <c r="AG160" s="1008"/>
      <c r="AH160" s="637"/>
      <c r="AI160" s="637"/>
      <c r="AJ160" s="637"/>
      <c r="AK160" s="637"/>
      <c r="AL160" s="637"/>
      <c r="AM160" s="637"/>
      <c r="AN160" s="637"/>
      <c r="AO160" s="1008"/>
      <c r="AP160" s="637"/>
      <c r="AQ160" s="637"/>
      <c r="AR160" s="637"/>
      <c r="AS160" s="1008"/>
      <c r="AT160" s="637"/>
      <c r="AU160" s="637"/>
      <c r="AV160" s="637"/>
      <c r="AW160" s="637"/>
      <c r="AX160" s="637"/>
      <c r="AY160" s="637"/>
      <c r="AZ160" s="637"/>
      <c r="BA160" s="637"/>
      <c r="BB160" s="637"/>
      <c r="BC160" s="637"/>
      <c r="BD160" s="637"/>
      <c r="BE160" s="637"/>
      <c r="BF160" s="637"/>
      <c r="BG160" s="637"/>
      <c r="BH160" s="637"/>
      <c r="BI160" s="637"/>
    </row>
    <row r="161" ht="15.75" customHeight="1">
      <c r="A161" s="637"/>
      <c r="B161" s="637"/>
      <c r="C161" s="637"/>
      <c r="D161" s="637"/>
      <c r="E161" s="1007"/>
      <c r="F161" s="1007"/>
      <c r="G161" s="637"/>
      <c r="H161" s="637"/>
      <c r="I161" s="637"/>
      <c r="J161" s="637"/>
      <c r="K161" s="637"/>
      <c r="L161" s="637"/>
      <c r="M161" s="637"/>
      <c r="N161" s="637"/>
      <c r="O161" s="637"/>
      <c r="P161" s="637"/>
      <c r="Q161" s="1008"/>
      <c r="R161" s="637"/>
      <c r="S161" s="637"/>
      <c r="T161" s="637"/>
      <c r="U161" s="637"/>
      <c r="V161" s="637"/>
      <c r="W161" s="637"/>
      <c r="X161" s="637"/>
      <c r="Y161" s="1008"/>
      <c r="Z161" s="637"/>
      <c r="AA161" s="637"/>
      <c r="AB161" s="637"/>
      <c r="AC161" s="637"/>
      <c r="AD161" s="637"/>
      <c r="AE161" s="637"/>
      <c r="AF161" s="637"/>
      <c r="AG161" s="1008"/>
      <c r="AH161" s="637"/>
      <c r="AI161" s="637"/>
      <c r="AJ161" s="637"/>
      <c r="AK161" s="637"/>
      <c r="AL161" s="637"/>
      <c r="AM161" s="637"/>
      <c r="AN161" s="637"/>
      <c r="AO161" s="1008"/>
      <c r="AP161" s="637"/>
      <c r="AQ161" s="637"/>
      <c r="AR161" s="637"/>
      <c r="AS161" s="1008"/>
      <c r="AT161" s="637"/>
      <c r="AU161" s="637"/>
      <c r="AV161" s="637"/>
      <c r="AW161" s="637"/>
      <c r="AX161" s="637"/>
      <c r="AY161" s="637"/>
      <c r="AZ161" s="637"/>
      <c r="BA161" s="637"/>
      <c r="BB161" s="637"/>
      <c r="BC161" s="637"/>
      <c r="BD161" s="637"/>
      <c r="BE161" s="637"/>
      <c r="BF161" s="637"/>
      <c r="BG161" s="637"/>
      <c r="BH161" s="637"/>
      <c r="BI161" s="637"/>
    </row>
    <row r="162" ht="15.75" customHeight="1">
      <c r="A162" s="637"/>
      <c r="B162" s="637"/>
      <c r="C162" s="637"/>
      <c r="D162" s="637"/>
      <c r="E162" s="1007"/>
      <c r="F162" s="1007"/>
      <c r="G162" s="637"/>
      <c r="H162" s="637"/>
      <c r="I162" s="637"/>
      <c r="J162" s="637"/>
      <c r="K162" s="637"/>
      <c r="L162" s="637"/>
      <c r="M162" s="637"/>
      <c r="N162" s="637"/>
      <c r="O162" s="637"/>
      <c r="P162" s="637"/>
      <c r="Q162" s="1008"/>
      <c r="R162" s="637"/>
      <c r="S162" s="637"/>
      <c r="T162" s="637"/>
      <c r="U162" s="637"/>
      <c r="V162" s="637"/>
      <c r="W162" s="637"/>
      <c r="X162" s="637"/>
      <c r="Y162" s="1008"/>
      <c r="Z162" s="637"/>
      <c r="AA162" s="637"/>
      <c r="AB162" s="637"/>
      <c r="AC162" s="637"/>
      <c r="AD162" s="637"/>
      <c r="AE162" s="637"/>
      <c r="AF162" s="637"/>
      <c r="AG162" s="1008"/>
      <c r="AH162" s="637"/>
      <c r="AI162" s="637"/>
      <c r="AJ162" s="637"/>
      <c r="AK162" s="637"/>
      <c r="AL162" s="637"/>
      <c r="AM162" s="637"/>
      <c r="AN162" s="637"/>
      <c r="AO162" s="1008"/>
      <c r="AP162" s="637"/>
      <c r="AQ162" s="637"/>
      <c r="AR162" s="637"/>
      <c r="AS162" s="1008"/>
      <c r="AT162" s="637"/>
      <c r="AU162" s="637"/>
      <c r="AV162" s="637"/>
      <c r="AW162" s="637"/>
      <c r="AX162" s="637"/>
      <c r="AY162" s="637"/>
      <c r="AZ162" s="637"/>
      <c r="BA162" s="637"/>
      <c r="BB162" s="637"/>
      <c r="BC162" s="637"/>
      <c r="BD162" s="637"/>
      <c r="BE162" s="637"/>
      <c r="BF162" s="637"/>
      <c r="BG162" s="637"/>
      <c r="BH162" s="637"/>
      <c r="BI162" s="637"/>
    </row>
    <row r="163" ht="15.75" customHeight="1">
      <c r="A163" s="637"/>
      <c r="B163" s="637"/>
      <c r="C163" s="637"/>
      <c r="D163" s="637"/>
      <c r="E163" s="1007"/>
      <c r="F163" s="1007"/>
      <c r="G163" s="637"/>
      <c r="H163" s="637"/>
      <c r="I163" s="637"/>
      <c r="J163" s="637"/>
      <c r="K163" s="637"/>
      <c r="L163" s="637"/>
      <c r="M163" s="637"/>
      <c r="N163" s="637"/>
      <c r="O163" s="637"/>
      <c r="P163" s="637"/>
      <c r="Q163" s="1008"/>
      <c r="R163" s="637"/>
      <c r="S163" s="637"/>
      <c r="T163" s="637"/>
      <c r="U163" s="637"/>
      <c r="V163" s="637"/>
      <c r="W163" s="637"/>
      <c r="X163" s="637"/>
      <c r="Y163" s="1008"/>
      <c r="Z163" s="637"/>
      <c r="AA163" s="637"/>
      <c r="AB163" s="637"/>
      <c r="AC163" s="637"/>
      <c r="AD163" s="637"/>
      <c r="AE163" s="637"/>
      <c r="AF163" s="637"/>
      <c r="AG163" s="1008"/>
      <c r="AH163" s="637"/>
      <c r="AI163" s="637"/>
      <c r="AJ163" s="637"/>
      <c r="AK163" s="637"/>
      <c r="AL163" s="637"/>
      <c r="AM163" s="637"/>
      <c r="AN163" s="637"/>
      <c r="AO163" s="1008"/>
      <c r="AP163" s="637"/>
      <c r="AQ163" s="637"/>
      <c r="AR163" s="637"/>
      <c r="AS163" s="1008"/>
      <c r="AT163" s="637"/>
      <c r="AU163" s="637"/>
      <c r="AV163" s="637"/>
      <c r="AW163" s="637"/>
      <c r="AX163" s="637"/>
      <c r="AY163" s="637"/>
      <c r="AZ163" s="637"/>
      <c r="BA163" s="637"/>
      <c r="BB163" s="637"/>
      <c r="BC163" s="637"/>
      <c r="BD163" s="637"/>
      <c r="BE163" s="637"/>
      <c r="BF163" s="637"/>
      <c r="BG163" s="637"/>
      <c r="BH163" s="637"/>
      <c r="BI163" s="637"/>
    </row>
    <row r="164" ht="15.75" customHeight="1">
      <c r="A164" s="637"/>
      <c r="B164" s="637"/>
      <c r="C164" s="637"/>
      <c r="D164" s="637"/>
      <c r="E164" s="1007"/>
      <c r="F164" s="1007"/>
      <c r="G164" s="637"/>
      <c r="H164" s="637"/>
      <c r="I164" s="637"/>
      <c r="J164" s="637"/>
      <c r="K164" s="637"/>
      <c r="L164" s="637"/>
      <c r="M164" s="637"/>
      <c r="N164" s="637"/>
      <c r="O164" s="637"/>
      <c r="P164" s="637"/>
      <c r="Q164" s="1008"/>
      <c r="R164" s="637"/>
      <c r="S164" s="637"/>
      <c r="T164" s="637"/>
      <c r="U164" s="637"/>
      <c r="V164" s="637"/>
      <c r="W164" s="637"/>
      <c r="X164" s="637"/>
      <c r="Y164" s="1008"/>
      <c r="Z164" s="637"/>
      <c r="AA164" s="637"/>
      <c r="AB164" s="637"/>
      <c r="AC164" s="637"/>
      <c r="AD164" s="637"/>
      <c r="AE164" s="637"/>
      <c r="AF164" s="637"/>
      <c r="AG164" s="1008"/>
      <c r="AH164" s="637"/>
      <c r="AI164" s="637"/>
      <c r="AJ164" s="637"/>
      <c r="AK164" s="637"/>
      <c r="AL164" s="637"/>
      <c r="AM164" s="637"/>
      <c r="AN164" s="637"/>
      <c r="AO164" s="1008"/>
      <c r="AP164" s="637"/>
      <c r="AQ164" s="637"/>
      <c r="AR164" s="637"/>
      <c r="AS164" s="1008"/>
      <c r="AT164" s="637"/>
      <c r="AU164" s="637"/>
      <c r="AV164" s="637"/>
      <c r="AW164" s="637"/>
      <c r="AX164" s="637"/>
      <c r="AY164" s="637"/>
      <c r="AZ164" s="637"/>
      <c r="BA164" s="637"/>
      <c r="BB164" s="637"/>
      <c r="BC164" s="637"/>
      <c r="BD164" s="637"/>
      <c r="BE164" s="637"/>
      <c r="BF164" s="637"/>
      <c r="BG164" s="637"/>
      <c r="BH164" s="637"/>
      <c r="BI164" s="637"/>
    </row>
    <row r="165" ht="15.75" customHeight="1">
      <c r="A165" s="637"/>
      <c r="B165" s="637"/>
      <c r="C165" s="637"/>
      <c r="D165" s="637"/>
      <c r="E165" s="1007"/>
      <c r="F165" s="1007"/>
      <c r="G165" s="637"/>
      <c r="H165" s="637"/>
      <c r="I165" s="637"/>
      <c r="J165" s="637"/>
      <c r="K165" s="637"/>
      <c r="L165" s="637"/>
      <c r="M165" s="637"/>
      <c r="N165" s="637"/>
      <c r="O165" s="637"/>
      <c r="P165" s="637"/>
      <c r="Q165" s="1008"/>
      <c r="R165" s="637"/>
      <c r="S165" s="637"/>
      <c r="T165" s="637"/>
      <c r="U165" s="637"/>
      <c r="V165" s="637"/>
      <c r="W165" s="637"/>
      <c r="X165" s="637"/>
      <c r="Y165" s="1008"/>
      <c r="Z165" s="637"/>
      <c r="AA165" s="637"/>
      <c r="AB165" s="637"/>
      <c r="AC165" s="637"/>
      <c r="AD165" s="637"/>
      <c r="AE165" s="637"/>
      <c r="AF165" s="637"/>
      <c r="AG165" s="1008"/>
      <c r="AH165" s="637"/>
      <c r="AI165" s="637"/>
      <c r="AJ165" s="637"/>
      <c r="AK165" s="637"/>
      <c r="AL165" s="637"/>
      <c r="AM165" s="637"/>
      <c r="AN165" s="637"/>
      <c r="AO165" s="1008"/>
      <c r="AP165" s="637"/>
      <c r="AQ165" s="637"/>
      <c r="AR165" s="637"/>
      <c r="AS165" s="1008"/>
      <c r="AT165" s="637"/>
      <c r="AU165" s="637"/>
      <c r="AV165" s="637"/>
      <c r="AW165" s="637"/>
      <c r="AX165" s="637"/>
      <c r="AY165" s="637"/>
      <c r="AZ165" s="637"/>
      <c r="BA165" s="637"/>
      <c r="BB165" s="637"/>
      <c r="BC165" s="637"/>
      <c r="BD165" s="637"/>
      <c r="BE165" s="637"/>
      <c r="BF165" s="637"/>
      <c r="BG165" s="637"/>
      <c r="BH165" s="637"/>
      <c r="BI165" s="637"/>
    </row>
    <row r="166" ht="15.75" customHeight="1">
      <c r="A166" s="637"/>
      <c r="B166" s="637"/>
      <c r="C166" s="637"/>
      <c r="D166" s="637"/>
      <c r="E166" s="1007"/>
      <c r="F166" s="1007"/>
      <c r="G166" s="637"/>
      <c r="H166" s="637"/>
      <c r="I166" s="637"/>
      <c r="J166" s="637"/>
      <c r="K166" s="637"/>
      <c r="L166" s="637"/>
      <c r="M166" s="637"/>
      <c r="N166" s="637"/>
      <c r="O166" s="637"/>
      <c r="P166" s="637"/>
      <c r="Q166" s="1008"/>
      <c r="R166" s="637"/>
      <c r="S166" s="637"/>
      <c r="T166" s="637"/>
      <c r="U166" s="637"/>
      <c r="V166" s="637"/>
      <c r="W166" s="637"/>
      <c r="X166" s="637"/>
      <c r="Y166" s="1008"/>
      <c r="Z166" s="637"/>
      <c r="AA166" s="637"/>
      <c r="AB166" s="637"/>
      <c r="AC166" s="637"/>
      <c r="AD166" s="637"/>
      <c r="AE166" s="637"/>
      <c r="AF166" s="637"/>
      <c r="AG166" s="1008"/>
      <c r="AH166" s="637"/>
      <c r="AI166" s="637"/>
      <c r="AJ166" s="637"/>
      <c r="AK166" s="637"/>
      <c r="AL166" s="637"/>
      <c r="AM166" s="637"/>
      <c r="AN166" s="637"/>
      <c r="AO166" s="1008"/>
      <c r="AP166" s="637"/>
      <c r="AQ166" s="637"/>
      <c r="AR166" s="637"/>
      <c r="AS166" s="1008"/>
      <c r="AT166" s="637"/>
      <c r="AU166" s="637"/>
      <c r="AV166" s="637"/>
      <c r="AW166" s="637"/>
      <c r="AX166" s="637"/>
      <c r="AY166" s="637"/>
      <c r="AZ166" s="637"/>
      <c r="BA166" s="637"/>
      <c r="BB166" s="637"/>
      <c r="BC166" s="637"/>
      <c r="BD166" s="637"/>
      <c r="BE166" s="637"/>
      <c r="BF166" s="637"/>
      <c r="BG166" s="637"/>
      <c r="BH166" s="637"/>
      <c r="BI166" s="637"/>
    </row>
    <row r="167" ht="15.75" customHeight="1">
      <c r="A167" s="637"/>
      <c r="B167" s="637"/>
      <c r="C167" s="637"/>
      <c r="D167" s="637"/>
      <c r="E167" s="1007"/>
      <c r="F167" s="1007"/>
      <c r="G167" s="637"/>
      <c r="H167" s="637"/>
      <c r="I167" s="637"/>
      <c r="J167" s="637"/>
      <c r="K167" s="637"/>
      <c r="L167" s="637"/>
      <c r="M167" s="637"/>
      <c r="N167" s="637"/>
      <c r="O167" s="637"/>
      <c r="P167" s="637"/>
      <c r="Q167" s="1008"/>
      <c r="R167" s="637"/>
      <c r="S167" s="637"/>
      <c r="T167" s="637"/>
      <c r="U167" s="637"/>
      <c r="V167" s="637"/>
      <c r="W167" s="637"/>
      <c r="X167" s="637"/>
      <c r="Y167" s="1008"/>
      <c r="Z167" s="637"/>
      <c r="AA167" s="637"/>
      <c r="AB167" s="637"/>
      <c r="AC167" s="637"/>
      <c r="AD167" s="637"/>
      <c r="AE167" s="637"/>
      <c r="AF167" s="637"/>
      <c r="AG167" s="1008"/>
      <c r="AH167" s="637"/>
      <c r="AI167" s="637"/>
      <c r="AJ167" s="637"/>
      <c r="AK167" s="637"/>
      <c r="AL167" s="637"/>
      <c r="AM167" s="637"/>
      <c r="AN167" s="637"/>
      <c r="AO167" s="1008"/>
      <c r="AP167" s="637"/>
      <c r="AQ167" s="637"/>
      <c r="AR167" s="637"/>
      <c r="AS167" s="1008"/>
      <c r="AT167" s="637"/>
      <c r="AU167" s="637"/>
      <c r="AV167" s="637"/>
      <c r="AW167" s="637"/>
      <c r="AX167" s="637"/>
      <c r="AY167" s="637"/>
      <c r="AZ167" s="637"/>
      <c r="BA167" s="637"/>
      <c r="BB167" s="637"/>
      <c r="BC167" s="637"/>
      <c r="BD167" s="637"/>
      <c r="BE167" s="637"/>
      <c r="BF167" s="637"/>
      <c r="BG167" s="637"/>
      <c r="BH167" s="637"/>
      <c r="BI167" s="637"/>
    </row>
    <row r="168" ht="15.75" customHeight="1">
      <c r="A168" s="637"/>
      <c r="B168" s="637"/>
      <c r="C168" s="637"/>
      <c r="D168" s="637"/>
      <c r="E168" s="1007"/>
      <c r="F168" s="1007"/>
      <c r="G168" s="637"/>
      <c r="H168" s="637"/>
      <c r="I168" s="637"/>
      <c r="J168" s="637"/>
      <c r="K168" s="637"/>
      <c r="L168" s="637"/>
      <c r="M168" s="637"/>
      <c r="N168" s="637"/>
      <c r="O168" s="637"/>
      <c r="P168" s="637"/>
      <c r="Q168" s="1008"/>
      <c r="R168" s="637"/>
      <c r="S168" s="637"/>
      <c r="T168" s="637"/>
      <c r="U168" s="637"/>
      <c r="V168" s="637"/>
      <c r="W168" s="637"/>
      <c r="X168" s="637"/>
      <c r="Y168" s="1008"/>
      <c r="Z168" s="637"/>
      <c r="AA168" s="637"/>
      <c r="AB168" s="637"/>
      <c r="AC168" s="637"/>
      <c r="AD168" s="637"/>
      <c r="AE168" s="637"/>
      <c r="AF168" s="637"/>
      <c r="AG168" s="1008"/>
      <c r="AH168" s="637"/>
      <c r="AI168" s="637"/>
      <c r="AJ168" s="637"/>
      <c r="AK168" s="637"/>
      <c r="AL168" s="637"/>
      <c r="AM168" s="637"/>
      <c r="AN168" s="637"/>
      <c r="AO168" s="1008"/>
      <c r="AP168" s="637"/>
      <c r="AQ168" s="637"/>
      <c r="AR168" s="637"/>
      <c r="AS168" s="1008"/>
      <c r="AT168" s="637"/>
      <c r="AU168" s="637"/>
      <c r="AV168" s="637"/>
      <c r="AW168" s="637"/>
      <c r="AX168" s="637"/>
      <c r="AY168" s="637"/>
      <c r="AZ168" s="637"/>
      <c r="BA168" s="637"/>
      <c r="BB168" s="637"/>
      <c r="BC168" s="637"/>
      <c r="BD168" s="637"/>
      <c r="BE168" s="637"/>
      <c r="BF168" s="637"/>
      <c r="BG168" s="637"/>
      <c r="BH168" s="637"/>
      <c r="BI168" s="637"/>
    </row>
    <row r="169" ht="15.75" customHeight="1">
      <c r="A169" s="637"/>
      <c r="B169" s="637"/>
      <c r="C169" s="637"/>
      <c r="D169" s="637"/>
      <c r="E169" s="1007"/>
      <c r="F169" s="1007"/>
      <c r="G169" s="637"/>
      <c r="H169" s="637"/>
      <c r="I169" s="637"/>
      <c r="J169" s="637"/>
      <c r="K169" s="637"/>
      <c r="L169" s="637"/>
      <c r="M169" s="637"/>
      <c r="N169" s="637"/>
      <c r="O169" s="637"/>
      <c r="P169" s="637"/>
      <c r="Q169" s="1008"/>
      <c r="R169" s="637"/>
      <c r="S169" s="637"/>
      <c r="T169" s="637"/>
      <c r="U169" s="637"/>
      <c r="V169" s="637"/>
      <c r="W169" s="637"/>
      <c r="X169" s="637"/>
      <c r="Y169" s="1008"/>
      <c r="Z169" s="637"/>
      <c r="AA169" s="637"/>
      <c r="AB169" s="637"/>
      <c r="AC169" s="637"/>
      <c r="AD169" s="637"/>
      <c r="AE169" s="637"/>
      <c r="AF169" s="637"/>
      <c r="AG169" s="1008"/>
      <c r="AH169" s="637"/>
      <c r="AI169" s="637"/>
      <c r="AJ169" s="637"/>
      <c r="AK169" s="637"/>
      <c r="AL169" s="637"/>
      <c r="AM169" s="637"/>
      <c r="AN169" s="637"/>
      <c r="AO169" s="1008"/>
      <c r="AP169" s="637"/>
      <c r="AQ169" s="637"/>
      <c r="AR169" s="637"/>
      <c r="AS169" s="1008"/>
      <c r="AT169" s="637"/>
      <c r="AU169" s="637"/>
      <c r="AV169" s="637"/>
      <c r="AW169" s="637"/>
      <c r="AX169" s="637"/>
      <c r="AY169" s="637"/>
      <c r="AZ169" s="637"/>
      <c r="BA169" s="637"/>
      <c r="BB169" s="637"/>
      <c r="BC169" s="637"/>
      <c r="BD169" s="637"/>
      <c r="BE169" s="637"/>
      <c r="BF169" s="637"/>
      <c r="BG169" s="637"/>
      <c r="BH169" s="637"/>
      <c r="BI169" s="637"/>
    </row>
    <row r="170" ht="15.75" customHeight="1">
      <c r="A170" s="637"/>
      <c r="B170" s="637"/>
      <c r="C170" s="637"/>
      <c r="D170" s="637"/>
      <c r="E170" s="1007"/>
      <c r="F170" s="1007"/>
      <c r="G170" s="637"/>
      <c r="H170" s="637"/>
      <c r="I170" s="637"/>
      <c r="J170" s="637"/>
      <c r="K170" s="637"/>
      <c r="L170" s="637"/>
      <c r="M170" s="637"/>
      <c r="N170" s="637"/>
      <c r="O170" s="637"/>
      <c r="P170" s="637"/>
      <c r="Q170" s="1008"/>
      <c r="R170" s="637"/>
      <c r="S170" s="637"/>
      <c r="T170" s="637"/>
      <c r="U170" s="637"/>
      <c r="V170" s="637"/>
      <c r="W170" s="637"/>
      <c r="X170" s="637"/>
      <c r="Y170" s="1008"/>
      <c r="Z170" s="637"/>
      <c r="AA170" s="637"/>
      <c r="AB170" s="637"/>
      <c r="AC170" s="637"/>
      <c r="AD170" s="637"/>
      <c r="AE170" s="637"/>
      <c r="AF170" s="637"/>
      <c r="AG170" s="1008"/>
      <c r="AH170" s="637"/>
      <c r="AI170" s="637"/>
      <c r="AJ170" s="637"/>
      <c r="AK170" s="637"/>
      <c r="AL170" s="637"/>
      <c r="AM170" s="637"/>
      <c r="AN170" s="637"/>
      <c r="AO170" s="1008"/>
      <c r="AP170" s="637"/>
      <c r="AQ170" s="637"/>
      <c r="AR170" s="637"/>
      <c r="AS170" s="1008"/>
      <c r="AT170" s="637"/>
      <c r="AU170" s="637"/>
      <c r="AV170" s="637"/>
      <c r="AW170" s="637"/>
      <c r="AX170" s="637"/>
      <c r="AY170" s="637"/>
      <c r="AZ170" s="637"/>
      <c r="BA170" s="637"/>
      <c r="BB170" s="637"/>
      <c r="BC170" s="637"/>
      <c r="BD170" s="637"/>
      <c r="BE170" s="637"/>
      <c r="BF170" s="637"/>
      <c r="BG170" s="637"/>
      <c r="BH170" s="637"/>
      <c r="BI170" s="637"/>
    </row>
    <row r="171" ht="15.75" customHeight="1">
      <c r="A171" s="637"/>
      <c r="B171" s="637"/>
      <c r="C171" s="637"/>
      <c r="D171" s="637"/>
      <c r="E171" s="1007"/>
      <c r="F171" s="1007"/>
      <c r="G171" s="637"/>
      <c r="H171" s="637"/>
      <c r="I171" s="637"/>
      <c r="J171" s="637"/>
      <c r="K171" s="637"/>
      <c r="L171" s="637"/>
      <c r="M171" s="637"/>
      <c r="N171" s="637"/>
      <c r="O171" s="637"/>
      <c r="P171" s="637"/>
      <c r="Q171" s="1008"/>
      <c r="R171" s="637"/>
      <c r="S171" s="637"/>
      <c r="T171" s="637"/>
      <c r="U171" s="637"/>
      <c r="V171" s="637"/>
      <c r="W171" s="637"/>
      <c r="X171" s="637"/>
      <c r="Y171" s="1008"/>
      <c r="Z171" s="637"/>
      <c r="AA171" s="637"/>
      <c r="AB171" s="637"/>
      <c r="AC171" s="637"/>
      <c r="AD171" s="637"/>
      <c r="AE171" s="637"/>
      <c r="AF171" s="637"/>
      <c r="AG171" s="1008"/>
      <c r="AH171" s="637"/>
      <c r="AI171" s="637"/>
      <c r="AJ171" s="637"/>
      <c r="AK171" s="637"/>
      <c r="AL171" s="637"/>
      <c r="AM171" s="637"/>
      <c r="AN171" s="637"/>
      <c r="AO171" s="1008"/>
      <c r="AP171" s="637"/>
      <c r="AQ171" s="637"/>
      <c r="AR171" s="637"/>
      <c r="AS171" s="1008"/>
      <c r="AT171" s="637"/>
      <c r="AU171" s="637"/>
      <c r="AV171" s="637"/>
      <c r="AW171" s="637"/>
      <c r="AX171" s="637"/>
      <c r="AY171" s="637"/>
      <c r="AZ171" s="637"/>
      <c r="BA171" s="637"/>
      <c r="BB171" s="637"/>
      <c r="BC171" s="637"/>
      <c r="BD171" s="637"/>
      <c r="BE171" s="637"/>
      <c r="BF171" s="637"/>
      <c r="BG171" s="637"/>
      <c r="BH171" s="637"/>
      <c r="BI171" s="637"/>
    </row>
    <row r="172" ht="15.75" customHeight="1">
      <c r="A172" s="637"/>
      <c r="B172" s="637"/>
      <c r="C172" s="637"/>
      <c r="D172" s="637"/>
      <c r="E172" s="1007"/>
      <c r="F172" s="1007"/>
      <c r="G172" s="637"/>
      <c r="H172" s="637"/>
      <c r="I172" s="637"/>
      <c r="J172" s="637"/>
      <c r="K172" s="637"/>
      <c r="L172" s="637"/>
      <c r="M172" s="637"/>
      <c r="N172" s="637"/>
      <c r="O172" s="637"/>
      <c r="P172" s="637"/>
      <c r="Q172" s="1008"/>
      <c r="R172" s="637"/>
      <c r="S172" s="637"/>
      <c r="T172" s="637"/>
      <c r="U172" s="637"/>
      <c r="V172" s="637"/>
      <c r="W172" s="637"/>
      <c r="X172" s="637"/>
      <c r="Y172" s="1008"/>
      <c r="Z172" s="637"/>
      <c r="AA172" s="637"/>
      <c r="AB172" s="637"/>
      <c r="AC172" s="637"/>
      <c r="AD172" s="637"/>
      <c r="AE172" s="637"/>
      <c r="AF172" s="637"/>
      <c r="AG172" s="1008"/>
      <c r="AH172" s="637"/>
      <c r="AI172" s="637"/>
      <c r="AJ172" s="637"/>
      <c r="AK172" s="637"/>
      <c r="AL172" s="637"/>
      <c r="AM172" s="637"/>
      <c r="AN172" s="637"/>
      <c r="AO172" s="1008"/>
      <c r="AP172" s="637"/>
      <c r="AQ172" s="637"/>
      <c r="AR172" s="637"/>
      <c r="AS172" s="1008"/>
      <c r="AT172" s="637"/>
      <c r="AU172" s="637"/>
      <c r="AV172" s="637"/>
      <c r="AW172" s="637"/>
      <c r="AX172" s="637"/>
      <c r="AY172" s="637"/>
      <c r="AZ172" s="637"/>
      <c r="BA172" s="637"/>
      <c r="BB172" s="637"/>
      <c r="BC172" s="637"/>
      <c r="BD172" s="637"/>
      <c r="BE172" s="637"/>
      <c r="BF172" s="637"/>
      <c r="BG172" s="637"/>
      <c r="BH172" s="637"/>
      <c r="BI172" s="637"/>
    </row>
    <row r="173" ht="15.75" customHeight="1">
      <c r="A173" s="637"/>
      <c r="B173" s="637"/>
      <c r="C173" s="637"/>
      <c r="D173" s="637"/>
      <c r="E173" s="1007"/>
      <c r="F173" s="1007"/>
      <c r="G173" s="637"/>
      <c r="H173" s="637"/>
      <c r="I173" s="637"/>
      <c r="J173" s="637"/>
      <c r="K173" s="637"/>
      <c r="L173" s="637"/>
      <c r="M173" s="637"/>
      <c r="N173" s="637"/>
      <c r="O173" s="637"/>
      <c r="P173" s="637"/>
      <c r="Q173" s="1008"/>
      <c r="R173" s="637"/>
      <c r="S173" s="637"/>
      <c r="T173" s="637"/>
      <c r="U173" s="637"/>
      <c r="V173" s="637"/>
      <c r="W173" s="637"/>
      <c r="X173" s="637"/>
      <c r="Y173" s="1008"/>
      <c r="Z173" s="637"/>
      <c r="AA173" s="637"/>
      <c r="AB173" s="637"/>
      <c r="AC173" s="637"/>
      <c r="AD173" s="637"/>
      <c r="AE173" s="637"/>
      <c r="AF173" s="637"/>
      <c r="AG173" s="1008"/>
      <c r="AH173" s="637"/>
      <c r="AI173" s="637"/>
      <c r="AJ173" s="637"/>
      <c r="AK173" s="637"/>
      <c r="AL173" s="637"/>
      <c r="AM173" s="637"/>
      <c r="AN173" s="637"/>
      <c r="AO173" s="1008"/>
      <c r="AP173" s="637"/>
      <c r="AQ173" s="637"/>
      <c r="AR173" s="637"/>
      <c r="AS173" s="1008"/>
      <c r="AT173" s="637"/>
      <c r="AU173" s="637"/>
      <c r="AV173" s="637"/>
      <c r="AW173" s="637"/>
      <c r="AX173" s="637"/>
      <c r="AY173" s="637"/>
      <c r="AZ173" s="637"/>
      <c r="BA173" s="637"/>
      <c r="BB173" s="637"/>
      <c r="BC173" s="637"/>
      <c r="BD173" s="637"/>
      <c r="BE173" s="637"/>
      <c r="BF173" s="637"/>
      <c r="BG173" s="637"/>
      <c r="BH173" s="637"/>
      <c r="BI173" s="637"/>
    </row>
    <row r="174" ht="15.75" customHeight="1">
      <c r="A174" s="637"/>
      <c r="B174" s="637"/>
      <c r="C174" s="637"/>
      <c r="D174" s="637"/>
      <c r="E174" s="1007"/>
      <c r="F174" s="1007"/>
      <c r="G174" s="637"/>
      <c r="H174" s="637"/>
      <c r="I174" s="637"/>
      <c r="J174" s="637"/>
      <c r="K174" s="637"/>
      <c r="L174" s="637"/>
      <c r="M174" s="637"/>
      <c r="N174" s="637"/>
      <c r="O174" s="637"/>
      <c r="P174" s="637"/>
      <c r="Q174" s="1008"/>
      <c r="R174" s="637"/>
      <c r="S174" s="637"/>
      <c r="T174" s="637"/>
      <c r="U174" s="637"/>
      <c r="V174" s="637"/>
      <c r="W174" s="637"/>
      <c r="X174" s="637"/>
      <c r="Y174" s="1008"/>
      <c r="Z174" s="637"/>
      <c r="AA174" s="637"/>
      <c r="AB174" s="637"/>
      <c r="AC174" s="637"/>
      <c r="AD174" s="637"/>
      <c r="AE174" s="637"/>
      <c r="AF174" s="637"/>
      <c r="AG174" s="1008"/>
      <c r="AH174" s="637"/>
      <c r="AI174" s="637"/>
      <c r="AJ174" s="637"/>
      <c r="AK174" s="637"/>
      <c r="AL174" s="637"/>
      <c r="AM174" s="637"/>
      <c r="AN174" s="637"/>
      <c r="AO174" s="1008"/>
      <c r="AP174" s="637"/>
      <c r="AQ174" s="637"/>
      <c r="AR174" s="637"/>
      <c r="AS174" s="1008"/>
      <c r="AT174" s="637"/>
      <c r="AU174" s="637"/>
      <c r="AV174" s="637"/>
      <c r="AW174" s="637"/>
      <c r="AX174" s="637"/>
      <c r="AY174" s="637"/>
      <c r="AZ174" s="637"/>
      <c r="BA174" s="637"/>
      <c r="BB174" s="637"/>
      <c r="BC174" s="637"/>
      <c r="BD174" s="637"/>
      <c r="BE174" s="637"/>
      <c r="BF174" s="637"/>
      <c r="BG174" s="637"/>
      <c r="BH174" s="637"/>
      <c r="BI174" s="637"/>
    </row>
    <row r="175" ht="15.75" customHeight="1">
      <c r="A175" s="637"/>
      <c r="B175" s="637"/>
      <c r="C175" s="637"/>
      <c r="D175" s="637"/>
      <c r="E175" s="1007"/>
      <c r="F175" s="1007"/>
      <c r="G175" s="637"/>
      <c r="H175" s="637"/>
      <c r="I175" s="637"/>
      <c r="J175" s="637"/>
      <c r="K175" s="637"/>
      <c r="L175" s="637"/>
      <c r="M175" s="637"/>
      <c r="N175" s="637"/>
      <c r="O175" s="637"/>
      <c r="P175" s="637"/>
      <c r="Q175" s="1008"/>
      <c r="R175" s="637"/>
      <c r="S175" s="637"/>
      <c r="T175" s="637"/>
      <c r="U175" s="637"/>
      <c r="V175" s="637"/>
      <c r="W175" s="637"/>
      <c r="X175" s="637"/>
      <c r="Y175" s="1008"/>
      <c r="Z175" s="637"/>
      <c r="AA175" s="637"/>
      <c r="AB175" s="637"/>
      <c r="AC175" s="637"/>
      <c r="AD175" s="637"/>
      <c r="AE175" s="637"/>
      <c r="AF175" s="637"/>
      <c r="AG175" s="1008"/>
      <c r="AH175" s="637"/>
      <c r="AI175" s="637"/>
      <c r="AJ175" s="637"/>
      <c r="AK175" s="637"/>
      <c r="AL175" s="637"/>
      <c r="AM175" s="637"/>
      <c r="AN175" s="637"/>
      <c r="AO175" s="1008"/>
      <c r="AP175" s="637"/>
      <c r="AQ175" s="637"/>
      <c r="AR175" s="637"/>
      <c r="AS175" s="1008"/>
      <c r="AT175" s="637"/>
      <c r="AU175" s="637"/>
      <c r="AV175" s="637"/>
      <c r="AW175" s="637"/>
      <c r="AX175" s="637"/>
      <c r="AY175" s="637"/>
      <c r="AZ175" s="637"/>
      <c r="BA175" s="637"/>
      <c r="BB175" s="637"/>
      <c r="BC175" s="637"/>
      <c r="BD175" s="637"/>
      <c r="BE175" s="637"/>
      <c r="BF175" s="637"/>
      <c r="BG175" s="637"/>
      <c r="BH175" s="637"/>
      <c r="BI175" s="637"/>
    </row>
    <row r="176" ht="15.75" customHeight="1">
      <c r="A176" s="637"/>
      <c r="B176" s="637"/>
      <c r="C176" s="637"/>
      <c r="D176" s="637"/>
      <c r="E176" s="1007"/>
      <c r="F176" s="1007"/>
      <c r="G176" s="637"/>
      <c r="H176" s="637"/>
      <c r="I176" s="637"/>
      <c r="J176" s="637"/>
      <c r="K176" s="637"/>
      <c r="L176" s="637"/>
      <c r="M176" s="637"/>
      <c r="N176" s="637"/>
      <c r="O176" s="637"/>
      <c r="P176" s="637"/>
      <c r="Q176" s="1008"/>
      <c r="R176" s="637"/>
      <c r="S176" s="637"/>
      <c r="T176" s="637"/>
      <c r="U176" s="637"/>
      <c r="V176" s="637"/>
      <c r="W176" s="637"/>
      <c r="X176" s="637"/>
      <c r="Y176" s="1008"/>
      <c r="Z176" s="637"/>
      <c r="AA176" s="637"/>
      <c r="AB176" s="637"/>
      <c r="AC176" s="637"/>
      <c r="AD176" s="637"/>
      <c r="AE176" s="637"/>
      <c r="AF176" s="637"/>
      <c r="AG176" s="1008"/>
      <c r="AH176" s="637"/>
      <c r="AI176" s="637"/>
      <c r="AJ176" s="637"/>
      <c r="AK176" s="637"/>
      <c r="AL176" s="637"/>
      <c r="AM176" s="637"/>
      <c r="AN176" s="637"/>
      <c r="AO176" s="1008"/>
      <c r="AP176" s="637"/>
      <c r="AQ176" s="637"/>
      <c r="AR176" s="637"/>
      <c r="AS176" s="1008"/>
      <c r="AT176" s="637"/>
      <c r="AU176" s="637"/>
      <c r="AV176" s="637"/>
      <c r="AW176" s="637"/>
      <c r="AX176" s="637"/>
      <c r="AY176" s="637"/>
      <c r="AZ176" s="637"/>
      <c r="BA176" s="637"/>
      <c r="BB176" s="637"/>
      <c r="BC176" s="637"/>
      <c r="BD176" s="637"/>
      <c r="BE176" s="637"/>
      <c r="BF176" s="637"/>
      <c r="BG176" s="637"/>
      <c r="BH176" s="637"/>
      <c r="BI176" s="637"/>
    </row>
    <row r="177" ht="15.75" customHeight="1">
      <c r="A177" s="637"/>
      <c r="B177" s="637"/>
      <c r="C177" s="637"/>
      <c r="D177" s="637"/>
      <c r="E177" s="1007"/>
      <c r="F177" s="1007"/>
      <c r="G177" s="637"/>
      <c r="H177" s="637"/>
      <c r="I177" s="637"/>
      <c r="J177" s="637"/>
      <c r="K177" s="637"/>
      <c r="L177" s="637"/>
      <c r="M177" s="637"/>
      <c r="N177" s="637"/>
      <c r="O177" s="637"/>
      <c r="P177" s="637"/>
      <c r="Q177" s="1008"/>
      <c r="R177" s="637"/>
      <c r="S177" s="637"/>
      <c r="T177" s="637"/>
      <c r="U177" s="637"/>
      <c r="V177" s="637"/>
      <c r="W177" s="637"/>
      <c r="X177" s="637"/>
      <c r="Y177" s="1008"/>
      <c r="Z177" s="637"/>
      <c r="AA177" s="637"/>
      <c r="AB177" s="637"/>
      <c r="AC177" s="637"/>
      <c r="AD177" s="637"/>
      <c r="AE177" s="637"/>
      <c r="AF177" s="637"/>
      <c r="AG177" s="1008"/>
      <c r="AH177" s="637"/>
      <c r="AI177" s="637"/>
      <c r="AJ177" s="637"/>
      <c r="AK177" s="637"/>
      <c r="AL177" s="637"/>
      <c r="AM177" s="637"/>
      <c r="AN177" s="637"/>
      <c r="AO177" s="1008"/>
      <c r="AP177" s="637"/>
      <c r="AQ177" s="637"/>
      <c r="AR177" s="637"/>
      <c r="AS177" s="1008"/>
      <c r="AT177" s="637"/>
      <c r="AU177" s="637"/>
      <c r="AV177" s="637"/>
      <c r="AW177" s="637"/>
      <c r="AX177" s="637"/>
      <c r="AY177" s="637"/>
      <c r="AZ177" s="637"/>
      <c r="BA177" s="637"/>
      <c r="BB177" s="637"/>
      <c r="BC177" s="637"/>
      <c r="BD177" s="637"/>
      <c r="BE177" s="637"/>
      <c r="BF177" s="637"/>
      <c r="BG177" s="637"/>
      <c r="BH177" s="637"/>
      <c r="BI177" s="637"/>
    </row>
    <row r="178" ht="15.75" customHeight="1">
      <c r="A178" s="637"/>
      <c r="B178" s="637"/>
      <c r="C178" s="637"/>
      <c r="D178" s="637"/>
      <c r="E178" s="1007"/>
      <c r="F178" s="1007"/>
      <c r="G178" s="637"/>
      <c r="H178" s="637"/>
      <c r="I178" s="637"/>
      <c r="J178" s="637"/>
      <c r="K178" s="637"/>
      <c r="L178" s="637"/>
      <c r="M178" s="637"/>
      <c r="N178" s="637"/>
      <c r="O178" s="637"/>
      <c r="P178" s="637"/>
      <c r="Q178" s="1008"/>
      <c r="R178" s="637"/>
      <c r="S178" s="637"/>
      <c r="T178" s="637"/>
      <c r="U178" s="637"/>
      <c r="V178" s="637"/>
      <c r="W178" s="637"/>
      <c r="X178" s="637"/>
      <c r="Y178" s="1008"/>
      <c r="Z178" s="637"/>
      <c r="AA178" s="637"/>
      <c r="AB178" s="637"/>
      <c r="AC178" s="637"/>
      <c r="AD178" s="637"/>
      <c r="AE178" s="637"/>
      <c r="AF178" s="637"/>
      <c r="AG178" s="1008"/>
      <c r="AH178" s="637"/>
      <c r="AI178" s="637"/>
      <c r="AJ178" s="637"/>
      <c r="AK178" s="637"/>
      <c r="AL178" s="637"/>
      <c r="AM178" s="637"/>
      <c r="AN178" s="637"/>
      <c r="AO178" s="1008"/>
      <c r="AP178" s="637"/>
      <c r="AQ178" s="637"/>
      <c r="AR178" s="637"/>
      <c r="AS178" s="1008"/>
      <c r="AT178" s="637"/>
      <c r="AU178" s="637"/>
      <c r="AV178" s="637"/>
      <c r="AW178" s="637"/>
      <c r="AX178" s="637"/>
      <c r="AY178" s="637"/>
      <c r="AZ178" s="637"/>
      <c r="BA178" s="637"/>
      <c r="BB178" s="637"/>
      <c r="BC178" s="637"/>
      <c r="BD178" s="637"/>
      <c r="BE178" s="637"/>
      <c r="BF178" s="637"/>
      <c r="BG178" s="637"/>
      <c r="BH178" s="637"/>
      <c r="BI178" s="637"/>
    </row>
    <row r="179" ht="15.75" customHeight="1">
      <c r="A179" s="637"/>
      <c r="B179" s="637"/>
      <c r="C179" s="637"/>
      <c r="D179" s="637"/>
      <c r="E179" s="1007"/>
      <c r="F179" s="1007"/>
      <c r="G179" s="637"/>
      <c r="H179" s="637"/>
      <c r="I179" s="637"/>
      <c r="J179" s="637"/>
      <c r="K179" s="637"/>
      <c r="L179" s="637"/>
      <c r="M179" s="637"/>
      <c r="N179" s="637"/>
      <c r="O179" s="637"/>
      <c r="P179" s="637"/>
      <c r="Q179" s="1008"/>
      <c r="R179" s="637"/>
      <c r="S179" s="637"/>
      <c r="T179" s="637"/>
      <c r="U179" s="637"/>
      <c r="V179" s="637"/>
      <c r="W179" s="637"/>
      <c r="X179" s="637"/>
      <c r="Y179" s="1008"/>
      <c r="Z179" s="637"/>
      <c r="AA179" s="637"/>
      <c r="AB179" s="637"/>
      <c r="AC179" s="637"/>
      <c r="AD179" s="637"/>
      <c r="AE179" s="637"/>
      <c r="AF179" s="637"/>
      <c r="AG179" s="1008"/>
      <c r="AH179" s="637"/>
      <c r="AI179" s="637"/>
      <c r="AJ179" s="637"/>
      <c r="AK179" s="637"/>
      <c r="AL179" s="637"/>
      <c r="AM179" s="637"/>
      <c r="AN179" s="637"/>
      <c r="AO179" s="1008"/>
      <c r="AP179" s="637"/>
      <c r="AQ179" s="637"/>
      <c r="AR179" s="637"/>
      <c r="AS179" s="1008"/>
      <c r="AT179" s="637"/>
      <c r="AU179" s="637"/>
      <c r="AV179" s="637"/>
      <c r="AW179" s="637"/>
      <c r="AX179" s="637"/>
      <c r="AY179" s="637"/>
      <c r="AZ179" s="637"/>
      <c r="BA179" s="637"/>
      <c r="BB179" s="637"/>
      <c r="BC179" s="637"/>
      <c r="BD179" s="637"/>
      <c r="BE179" s="637"/>
      <c r="BF179" s="637"/>
      <c r="BG179" s="637"/>
      <c r="BH179" s="637"/>
      <c r="BI179" s="637"/>
    </row>
    <row r="180" ht="15.75" customHeight="1">
      <c r="A180" s="637"/>
      <c r="B180" s="637"/>
      <c r="C180" s="637"/>
      <c r="D180" s="637"/>
      <c r="E180" s="1007"/>
      <c r="F180" s="1007"/>
      <c r="G180" s="637"/>
      <c r="H180" s="637"/>
      <c r="I180" s="637"/>
      <c r="J180" s="637"/>
      <c r="K180" s="637"/>
      <c r="L180" s="637"/>
      <c r="M180" s="637"/>
      <c r="N180" s="637"/>
      <c r="O180" s="637"/>
      <c r="P180" s="637"/>
      <c r="Q180" s="1008"/>
      <c r="R180" s="637"/>
      <c r="S180" s="637"/>
      <c r="T180" s="637"/>
      <c r="U180" s="637"/>
      <c r="V180" s="637"/>
      <c r="W180" s="637"/>
      <c r="X180" s="637"/>
      <c r="Y180" s="1008"/>
      <c r="Z180" s="637"/>
      <c r="AA180" s="637"/>
      <c r="AB180" s="637"/>
      <c r="AC180" s="637"/>
      <c r="AD180" s="637"/>
      <c r="AE180" s="637"/>
      <c r="AF180" s="637"/>
      <c r="AG180" s="1008"/>
      <c r="AH180" s="637"/>
      <c r="AI180" s="637"/>
      <c r="AJ180" s="637"/>
      <c r="AK180" s="637"/>
      <c r="AL180" s="637"/>
      <c r="AM180" s="637"/>
      <c r="AN180" s="637"/>
      <c r="AO180" s="1008"/>
      <c r="AP180" s="637"/>
      <c r="AQ180" s="637"/>
      <c r="AR180" s="637"/>
      <c r="AS180" s="1008"/>
      <c r="AT180" s="637"/>
      <c r="AU180" s="637"/>
      <c r="AV180" s="637"/>
      <c r="AW180" s="637"/>
      <c r="AX180" s="637"/>
      <c r="AY180" s="637"/>
      <c r="AZ180" s="637"/>
      <c r="BA180" s="637"/>
      <c r="BB180" s="637"/>
      <c r="BC180" s="637"/>
      <c r="BD180" s="637"/>
      <c r="BE180" s="637"/>
      <c r="BF180" s="637"/>
      <c r="BG180" s="637"/>
      <c r="BH180" s="637"/>
      <c r="BI180" s="637"/>
    </row>
    <row r="181" ht="15.75" customHeight="1">
      <c r="A181" s="637"/>
      <c r="B181" s="637"/>
      <c r="C181" s="637"/>
      <c r="D181" s="637"/>
      <c r="E181" s="1007"/>
      <c r="F181" s="1007"/>
      <c r="G181" s="637"/>
      <c r="H181" s="637"/>
      <c r="I181" s="637"/>
      <c r="J181" s="637"/>
      <c r="K181" s="637"/>
      <c r="L181" s="637"/>
      <c r="M181" s="637"/>
      <c r="N181" s="637"/>
      <c r="O181" s="637"/>
      <c r="P181" s="637"/>
      <c r="Q181" s="1008"/>
      <c r="R181" s="637"/>
      <c r="S181" s="637"/>
      <c r="T181" s="637"/>
      <c r="U181" s="637"/>
      <c r="V181" s="637"/>
      <c r="W181" s="637"/>
      <c r="X181" s="637"/>
      <c r="Y181" s="1008"/>
      <c r="Z181" s="637"/>
      <c r="AA181" s="637"/>
      <c r="AB181" s="637"/>
      <c r="AC181" s="637"/>
      <c r="AD181" s="637"/>
      <c r="AE181" s="637"/>
      <c r="AF181" s="637"/>
      <c r="AG181" s="1008"/>
      <c r="AH181" s="637"/>
      <c r="AI181" s="637"/>
      <c r="AJ181" s="637"/>
      <c r="AK181" s="637"/>
      <c r="AL181" s="637"/>
      <c r="AM181" s="637"/>
      <c r="AN181" s="637"/>
      <c r="AO181" s="1008"/>
      <c r="AP181" s="637"/>
      <c r="AQ181" s="637"/>
      <c r="AR181" s="637"/>
      <c r="AS181" s="1008"/>
      <c r="AT181" s="637"/>
      <c r="AU181" s="637"/>
      <c r="AV181" s="637"/>
      <c r="AW181" s="637"/>
      <c r="AX181" s="637"/>
      <c r="AY181" s="637"/>
      <c r="AZ181" s="637"/>
      <c r="BA181" s="637"/>
      <c r="BB181" s="637"/>
      <c r="BC181" s="637"/>
      <c r="BD181" s="637"/>
      <c r="BE181" s="637"/>
      <c r="BF181" s="637"/>
      <c r="BG181" s="637"/>
      <c r="BH181" s="637"/>
      <c r="BI181" s="637"/>
    </row>
    <row r="182" ht="15.75" customHeight="1">
      <c r="A182" s="637"/>
      <c r="B182" s="637"/>
      <c r="C182" s="637"/>
      <c r="D182" s="637"/>
      <c r="E182" s="1007"/>
      <c r="F182" s="1007"/>
      <c r="G182" s="637"/>
      <c r="H182" s="637"/>
      <c r="I182" s="637"/>
      <c r="J182" s="637"/>
      <c r="K182" s="637"/>
      <c r="L182" s="637"/>
      <c r="M182" s="637"/>
      <c r="N182" s="637"/>
      <c r="O182" s="637"/>
      <c r="P182" s="637"/>
      <c r="Q182" s="1008"/>
      <c r="R182" s="637"/>
      <c r="S182" s="637"/>
      <c r="T182" s="637"/>
      <c r="U182" s="637"/>
      <c r="V182" s="637"/>
      <c r="W182" s="637"/>
      <c r="X182" s="637"/>
      <c r="Y182" s="1008"/>
      <c r="Z182" s="637"/>
      <c r="AA182" s="637"/>
      <c r="AB182" s="637"/>
      <c r="AC182" s="637"/>
      <c r="AD182" s="637"/>
      <c r="AE182" s="637"/>
      <c r="AF182" s="637"/>
      <c r="AG182" s="1008"/>
      <c r="AH182" s="637"/>
      <c r="AI182" s="637"/>
      <c r="AJ182" s="637"/>
      <c r="AK182" s="637"/>
      <c r="AL182" s="637"/>
      <c r="AM182" s="637"/>
      <c r="AN182" s="637"/>
      <c r="AO182" s="1008"/>
      <c r="AP182" s="637"/>
      <c r="AQ182" s="637"/>
      <c r="AR182" s="637"/>
      <c r="AS182" s="1008"/>
      <c r="AT182" s="637"/>
      <c r="AU182" s="637"/>
      <c r="AV182" s="637"/>
      <c r="AW182" s="637"/>
      <c r="AX182" s="637"/>
      <c r="AY182" s="637"/>
      <c r="AZ182" s="637"/>
      <c r="BA182" s="637"/>
      <c r="BB182" s="637"/>
      <c r="BC182" s="637"/>
      <c r="BD182" s="637"/>
      <c r="BE182" s="637"/>
      <c r="BF182" s="637"/>
      <c r="BG182" s="637"/>
      <c r="BH182" s="637"/>
      <c r="BI182" s="637"/>
    </row>
    <row r="183" ht="15.75" customHeight="1">
      <c r="A183" s="637"/>
      <c r="B183" s="637"/>
      <c r="C183" s="637"/>
      <c r="D183" s="637"/>
      <c r="E183" s="1007"/>
      <c r="F183" s="1007"/>
      <c r="G183" s="637"/>
      <c r="H183" s="637"/>
      <c r="I183" s="637"/>
      <c r="J183" s="637"/>
      <c r="K183" s="637"/>
      <c r="L183" s="637"/>
      <c r="M183" s="637"/>
      <c r="N183" s="637"/>
      <c r="O183" s="637"/>
      <c r="P183" s="637"/>
      <c r="Q183" s="1008"/>
      <c r="R183" s="637"/>
      <c r="S183" s="637"/>
      <c r="T183" s="637"/>
      <c r="U183" s="637"/>
      <c r="V183" s="637"/>
      <c r="W183" s="637"/>
      <c r="X183" s="637"/>
      <c r="Y183" s="1008"/>
      <c r="Z183" s="637"/>
      <c r="AA183" s="637"/>
      <c r="AB183" s="637"/>
      <c r="AC183" s="637"/>
      <c r="AD183" s="637"/>
      <c r="AE183" s="637"/>
      <c r="AF183" s="637"/>
      <c r="AG183" s="1008"/>
      <c r="AH183" s="637"/>
      <c r="AI183" s="637"/>
      <c r="AJ183" s="637"/>
      <c r="AK183" s="637"/>
      <c r="AL183" s="637"/>
      <c r="AM183" s="637"/>
      <c r="AN183" s="637"/>
      <c r="AO183" s="1008"/>
      <c r="AP183" s="637"/>
      <c r="AQ183" s="637"/>
      <c r="AR183" s="637"/>
      <c r="AS183" s="1008"/>
      <c r="AT183" s="637"/>
      <c r="AU183" s="637"/>
      <c r="AV183" s="637"/>
      <c r="AW183" s="637"/>
      <c r="AX183" s="637"/>
      <c r="AY183" s="637"/>
      <c r="AZ183" s="637"/>
      <c r="BA183" s="637"/>
      <c r="BB183" s="637"/>
      <c r="BC183" s="637"/>
      <c r="BD183" s="637"/>
      <c r="BE183" s="637"/>
      <c r="BF183" s="637"/>
      <c r="BG183" s="637"/>
      <c r="BH183" s="637"/>
      <c r="BI183" s="637"/>
    </row>
    <row r="184" ht="15.75" customHeight="1">
      <c r="A184" s="637"/>
      <c r="B184" s="637"/>
      <c r="C184" s="637"/>
      <c r="D184" s="637"/>
      <c r="E184" s="1007"/>
      <c r="F184" s="1007"/>
      <c r="G184" s="637"/>
      <c r="H184" s="637"/>
      <c r="I184" s="637"/>
      <c r="J184" s="637"/>
      <c r="K184" s="637"/>
      <c r="L184" s="637"/>
      <c r="M184" s="637"/>
      <c r="N184" s="637"/>
      <c r="O184" s="637"/>
      <c r="P184" s="637"/>
      <c r="Q184" s="1008"/>
      <c r="R184" s="637"/>
      <c r="S184" s="637"/>
      <c r="T184" s="637"/>
      <c r="U184" s="637"/>
      <c r="V184" s="637"/>
      <c r="W184" s="637"/>
      <c r="X184" s="637"/>
      <c r="Y184" s="1008"/>
      <c r="Z184" s="637"/>
      <c r="AA184" s="637"/>
      <c r="AB184" s="637"/>
      <c r="AC184" s="637"/>
      <c r="AD184" s="637"/>
      <c r="AE184" s="637"/>
      <c r="AF184" s="637"/>
      <c r="AG184" s="1008"/>
      <c r="AH184" s="637"/>
      <c r="AI184" s="637"/>
      <c r="AJ184" s="637"/>
      <c r="AK184" s="637"/>
      <c r="AL184" s="637"/>
      <c r="AM184" s="637"/>
      <c r="AN184" s="637"/>
      <c r="AO184" s="1008"/>
      <c r="AP184" s="637"/>
      <c r="AQ184" s="637"/>
      <c r="AR184" s="637"/>
      <c r="AS184" s="1008"/>
      <c r="AT184" s="637"/>
      <c r="AU184" s="637"/>
      <c r="AV184" s="637"/>
      <c r="AW184" s="637"/>
      <c r="AX184" s="637"/>
      <c r="AY184" s="637"/>
      <c r="AZ184" s="637"/>
      <c r="BA184" s="637"/>
      <c r="BB184" s="637"/>
      <c r="BC184" s="637"/>
      <c r="BD184" s="637"/>
      <c r="BE184" s="637"/>
      <c r="BF184" s="637"/>
      <c r="BG184" s="637"/>
      <c r="BH184" s="637"/>
      <c r="BI184" s="637"/>
    </row>
    <row r="185" ht="15.75" customHeight="1">
      <c r="A185" s="637"/>
      <c r="B185" s="637"/>
      <c r="C185" s="637"/>
      <c r="D185" s="637"/>
      <c r="E185" s="1007"/>
      <c r="F185" s="1007"/>
      <c r="G185" s="637"/>
      <c r="H185" s="637"/>
      <c r="I185" s="637"/>
      <c r="J185" s="637"/>
      <c r="K185" s="637"/>
      <c r="L185" s="637"/>
      <c r="M185" s="637"/>
      <c r="N185" s="637"/>
      <c r="O185" s="637"/>
      <c r="P185" s="637"/>
      <c r="Q185" s="1008"/>
      <c r="R185" s="637"/>
      <c r="S185" s="637"/>
      <c r="T185" s="637"/>
      <c r="U185" s="637"/>
      <c r="V185" s="637"/>
      <c r="W185" s="637"/>
      <c r="X185" s="637"/>
      <c r="Y185" s="1008"/>
      <c r="Z185" s="637"/>
      <c r="AA185" s="637"/>
      <c r="AB185" s="637"/>
      <c r="AC185" s="637"/>
      <c r="AD185" s="637"/>
      <c r="AE185" s="637"/>
      <c r="AF185" s="637"/>
      <c r="AG185" s="1008"/>
      <c r="AH185" s="637"/>
      <c r="AI185" s="637"/>
      <c r="AJ185" s="637"/>
      <c r="AK185" s="637"/>
      <c r="AL185" s="637"/>
      <c r="AM185" s="637"/>
      <c r="AN185" s="637"/>
      <c r="AO185" s="1008"/>
      <c r="AP185" s="637"/>
      <c r="AQ185" s="637"/>
      <c r="AR185" s="637"/>
      <c r="AS185" s="1008"/>
      <c r="AT185" s="637"/>
      <c r="AU185" s="637"/>
      <c r="AV185" s="637"/>
      <c r="AW185" s="637"/>
      <c r="AX185" s="637"/>
      <c r="AY185" s="637"/>
      <c r="AZ185" s="637"/>
      <c r="BA185" s="637"/>
      <c r="BB185" s="637"/>
      <c r="BC185" s="637"/>
      <c r="BD185" s="637"/>
      <c r="BE185" s="637"/>
      <c r="BF185" s="637"/>
      <c r="BG185" s="637"/>
      <c r="BH185" s="637"/>
      <c r="BI185" s="637"/>
    </row>
    <row r="186" ht="15.75" customHeight="1">
      <c r="A186" s="637"/>
      <c r="B186" s="637"/>
      <c r="C186" s="637"/>
      <c r="D186" s="637"/>
      <c r="E186" s="1007"/>
      <c r="F186" s="1007"/>
      <c r="G186" s="637"/>
      <c r="H186" s="637"/>
      <c r="I186" s="637"/>
      <c r="J186" s="637"/>
      <c r="K186" s="637"/>
      <c r="L186" s="637"/>
      <c r="M186" s="637"/>
      <c r="N186" s="637"/>
      <c r="O186" s="637"/>
      <c r="P186" s="637"/>
      <c r="Q186" s="1008"/>
      <c r="R186" s="637"/>
      <c r="S186" s="637"/>
      <c r="T186" s="637"/>
      <c r="U186" s="637"/>
      <c r="V186" s="637"/>
      <c r="W186" s="637"/>
      <c r="X186" s="637"/>
      <c r="Y186" s="1008"/>
      <c r="Z186" s="637"/>
      <c r="AA186" s="637"/>
      <c r="AB186" s="637"/>
      <c r="AC186" s="637"/>
      <c r="AD186" s="637"/>
      <c r="AE186" s="637"/>
      <c r="AF186" s="637"/>
      <c r="AG186" s="1008"/>
      <c r="AH186" s="637"/>
      <c r="AI186" s="637"/>
      <c r="AJ186" s="637"/>
      <c r="AK186" s="637"/>
      <c r="AL186" s="637"/>
      <c r="AM186" s="637"/>
      <c r="AN186" s="637"/>
      <c r="AO186" s="1008"/>
      <c r="AP186" s="637"/>
      <c r="AQ186" s="637"/>
      <c r="AR186" s="637"/>
      <c r="AS186" s="1008"/>
      <c r="AT186" s="637"/>
      <c r="AU186" s="637"/>
      <c r="AV186" s="637"/>
      <c r="AW186" s="637"/>
      <c r="AX186" s="637"/>
      <c r="AY186" s="637"/>
      <c r="AZ186" s="637"/>
      <c r="BA186" s="637"/>
      <c r="BB186" s="637"/>
      <c r="BC186" s="637"/>
      <c r="BD186" s="637"/>
      <c r="BE186" s="637"/>
      <c r="BF186" s="637"/>
      <c r="BG186" s="637"/>
      <c r="BH186" s="637"/>
      <c r="BI186" s="637"/>
    </row>
    <row r="187" ht="15.75" customHeight="1">
      <c r="A187" s="637"/>
      <c r="B187" s="637"/>
      <c r="C187" s="637"/>
      <c r="D187" s="637"/>
      <c r="E187" s="1007"/>
      <c r="F187" s="1007"/>
      <c r="G187" s="637"/>
      <c r="H187" s="637"/>
      <c r="I187" s="637"/>
      <c r="J187" s="637"/>
      <c r="K187" s="637"/>
      <c r="L187" s="637"/>
      <c r="M187" s="637"/>
      <c r="N187" s="637"/>
      <c r="O187" s="637"/>
      <c r="P187" s="637"/>
      <c r="Q187" s="1008"/>
      <c r="R187" s="637"/>
      <c r="S187" s="637"/>
      <c r="T187" s="637"/>
      <c r="U187" s="637"/>
      <c r="V187" s="637"/>
      <c r="W187" s="637"/>
      <c r="X187" s="637"/>
      <c r="Y187" s="1008"/>
      <c r="Z187" s="637"/>
      <c r="AA187" s="637"/>
      <c r="AB187" s="637"/>
      <c r="AC187" s="637"/>
      <c r="AD187" s="637"/>
      <c r="AE187" s="637"/>
      <c r="AF187" s="637"/>
      <c r="AG187" s="1008"/>
      <c r="AH187" s="637"/>
      <c r="AI187" s="637"/>
      <c r="AJ187" s="637"/>
      <c r="AK187" s="637"/>
      <c r="AL187" s="637"/>
      <c r="AM187" s="637"/>
      <c r="AN187" s="637"/>
      <c r="AO187" s="1008"/>
      <c r="AP187" s="637"/>
      <c r="AQ187" s="637"/>
      <c r="AR187" s="637"/>
      <c r="AS187" s="1008"/>
      <c r="AT187" s="637"/>
      <c r="AU187" s="637"/>
      <c r="AV187" s="637"/>
      <c r="AW187" s="637"/>
      <c r="AX187" s="637"/>
      <c r="AY187" s="637"/>
      <c r="AZ187" s="637"/>
      <c r="BA187" s="637"/>
      <c r="BB187" s="637"/>
      <c r="BC187" s="637"/>
      <c r="BD187" s="637"/>
      <c r="BE187" s="637"/>
      <c r="BF187" s="637"/>
      <c r="BG187" s="637"/>
      <c r="BH187" s="637"/>
      <c r="BI187" s="637"/>
    </row>
    <row r="188" ht="15.75" customHeight="1">
      <c r="A188" s="637"/>
      <c r="B188" s="637"/>
      <c r="C188" s="637"/>
      <c r="D188" s="637"/>
      <c r="E188" s="1007"/>
      <c r="F188" s="1007"/>
      <c r="G188" s="637"/>
      <c r="H188" s="637"/>
      <c r="I188" s="637"/>
      <c r="J188" s="637"/>
      <c r="K188" s="637"/>
      <c r="L188" s="637"/>
      <c r="M188" s="637"/>
      <c r="N188" s="637"/>
      <c r="O188" s="637"/>
      <c r="P188" s="637"/>
      <c r="Q188" s="1008"/>
      <c r="R188" s="637"/>
      <c r="S188" s="637"/>
      <c r="T188" s="637"/>
      <c r="U188" s="637"/>
      <c r="V188" s="637"/>
      <c r="W188" s="637"/>
      <c r="X188" s="637"/>
      <c r="Y188" s="1008"/>
      <c r="Z188" s="637"/>
      <c r="AA188" s="637"/>
      <c r="AB188" s="637"/>
      <c r="AC188" s="637"/>
      <c r="AD188" s="637"/>
      <c r="AE188" s="637"/>
      <c r="AF188" s="637"/>
      <c r="AG188" s="1008"/>
      <c r="AH188" s="637"/>
      <c r="AI188" s="637"/>
      <c r="AJ188" s="637"/>
      <c r="AK188" s="637"/>
      <c r="AL188" s="637"/>
      <c r="AM188" s="637"/>
      <c r="AN188" s="637"/>
      <c r="AO188" s="1008"/>
      <c r="AP188" s="637"/>
      <c r="AQ188" s="637"/>
      <c r="AR188" s="637"/>
      <c r="AS188" s="1008"/>
      <c r="AT188" s="637"/>
      <c r="AU188" s="637"/>
      <c r="AV188" s="637"/>
      <c r="AW188" s="637"/>
      <c r="AX188" s="637"/>
      <c r="AY188" s="637"/>
      <c r="AZ188" s="637"/>
      <c r="BA188" s="637"/>
      <c r="BB188" s="637"/>
      <c r="BC188" s="637"/>
      <c r="BD188" s="637"/>
      <c r="BE188" s="637"/>
      <c r="BF188" s="637"/>
      <c r="BG188" s="637"/>
      <c r="BH188" s="637"/>
      <c r="BI188" s="637"/>
    </row>
    <row r="189" ht="15.75" customHeight="1">
      <c r="A189" s="637"/>
      <c r="B189" s="637"/>
      <c r="C189" s="637"/>
      <c r="D189" s="637"/>
      <c r="E189" s="1007"/>
      <c r="F189" s="1007"/>
      <c r="G189" s="637"/>
      <c r="H189" s="637"/>
      <c r="I189" s="637"/>
      <c r="J189" s="637"/>
      <c r="K189" s="637"/>
      <c r="L189" s="637"/>
      <c r="M189" s="637"/>
      <c r="N189" s="637"/>
      <c r="O189" s="637"/>
      <c r="P189" s="637"/>
      <c r="Q189" s="1008"/>
      <c r="R189" s="637"/>
      <c r="S189" s="637"/>
      <c r="T189" s="637"/>
      <c r="U189" s="637"/>
      <c r="V189" s="637"/>
      <c r="W189" s="637"/>
      <c r="X189" s="637"/>
      <c r="Y189" s="1008"/>
      <c r="Z189" s="637"/>
      <c r="AA189" s="637"/>
      <c r="AB189" s="637"/>
      <c r="AC189" s="637"/>
      <c r="AD189" s="637"/>
      <c r="AE189" s="637"/>
      <c r="AF189" s="637"/>
      <c r="AG189" s="1008"/>
      <c r="AH189" s="637"/>
      <c r="AI189" s="637"/>
      <c r="AJ189" s="637"/>
      <c r="AK189" s="637"/>
      <c r="AL189" s="637"/>
      <c r="AM189" s="637"/>
      <c r="AN189" s="637"/>
      <c r="AO189" s="1008"/>
      <c r="AP189" s="637"/>
      <c r="AQ189" s="637"/>
      <c r="AR189" s="637"/>
      <c r="AS189" s="1008"/>
      <c r="AT189" s="637"/>
      <c r="AU189" s="637"/>
      <c r="AV189" s="637"/>
      <c r="AW189" s="637"/>
      <c r="AX189" s="637"/>
      <c r="AY189" s="637"/>
      <c r="AZ189" s="637"/>
      <c r="BA189" s="637"/>
      <c r="BB189" s="637"/>
      <c r="BC189" s="637"/>
      <c r="BD189" s="637"/>
      <c r="BE189" s="637"/>
      <c r="BF189" s="637"/>
      <c r="BG189" s="637"/>
      <c r="BH189" s="637"/>
      <c r="BI189" s="637"/>
    </row>
    <row r="190" ht="15.75" customHeight="1">
      <c r="A190" s="637"/>
      <c r="B190" s="637"/>
      <c r="C190" s="637"/>
      <c r="D190" s="637"/>
      <c r="E190" s="1007"/>
      <c r="F190" s="1007"/>
      <c r="G190" s="637"/>
      <c r="H190" s="637"/>
      <c r="I190" s="637"/>
      <c r="J190" s="637"/>
      <c r="K190" s="637"/>
      <c r="L190" s="637"/>
      <c r="M190" s="637"/>
      <c r="N190" s="637"/>
      <c r="O190" s="637"/>
      <c r="P190" s="637"/>
      <c r="Q190" s="1008"/>
      <c r="R190" s="637"/>
      <c r="S190" s="637"/>
      <c r="T190" s="637"/>
      <c r="U190" s="637"/>
      <c r="V190" s="637"/>
      <c r="W190" s="637"/>
      <c r="X190" s="637"/>
      <c r="Y190" s="1008"/>
      <c r="Z190" s="637"/>
      <c r="AA190" s="637"/>
      <c r="AB190" s="637"/>
      <c r="AC190" s="637"/>
      <c r="AD190" s="637"/>
      <c r="AE190" s="637"/>
      <c r="AF190" s="637"/>
      <c r="AG190" s="1008"/>
      <c r="AH190" s="637"/>
      <c r="AI190" s="637"/>
      <c r="AJ190" s="637"/>
      <c r="AK190" s="637"/>
      <c r="AL190" s="637"/>
      <c r="AM190" s="637"/>
      <c r="AN190" s="637"/>
      <c r="AO190" s="1008"/>
      <c r="AP190" s="637"/>
      <c r="AQ190" s="637"/>
      <c r="AR190" s="637"/>
      <c r="AS190" s="1008"/>
      <c r="AT190" s="637"/>
      <c r="AU190" s="637"/>
      <c r="AV190" s="637"/>
      <c r="AW190" s="637"/>
      <c r="AX190" s="637"/>
      <c r="AY190" s="637"/>
      <c r="AZ190" s="637"/>
      <c r="BA190" s="637"/>
      <c r="BB190" s="637"/>
      <c r="BC190" s="637"/>
      <c r="BD190" s="637"/>
      <c r="BE190" s="637"/>
      <c r="BF190" s="637"/>
      <c r="BG190" s="637"/>
      <c r="BH190" s="637"/>
      <c r="BI190" s="637"/>
    </row>
    <row r="191" ht="15.75" customHeight="1">
      <c r="A191" s="637"/>
      <c r="B191" s="637"/>
      <c r="C191" s="637"/>
      <c r="D191" s="637"/>
      <c r="E191" s="1007"/>
      <c r="F191" s="1007"/>
      <c r="G191" s="637"/>
      <c r="H191" s="637"/>
      <c r="I191" s="637"/>
      <c r="J191" s="637"/>
      <c r="K191" s="637"/>
      <c r="L191" s="637"/>
      <c r="M191" s="637"/>
      <c r="N191" s="637"/>
      <c r="O191" s="637"/>
      <c r="P191" s="637"/>
      <c r="Q191" s="1008"/>
      <c r="R191" s="637"/>
      <c r="S191" s="637"/>
      <c r="T191" s="637"/>
      <c r="U191" s="637"/>
      <c r="V191" s="637"/>
      <c r="W191" s="637"/>
      <c r="X191" s="637"/>
      <c r="Y191" s="1008"/>
      <c r="Z191" s="637"/>
      <c r="AA191" s="637"/>
      <c r="AB191" s="637"/>
      <c r="AC191" s="637"/>
      <c r="AD191" s="637"/>
      <c r="AE191" s="637"/>
      <c r="AF191" s="637"/>
      <c r="AG191" s="1008"/>
      <c r="AH191" s="637"/>
      <c r="AI191" s="637"/>
      <c r="AJ191" s="637"/>
      <c r="AK191" s="637"/>
      <c r="AL191" s="637"/>
      <c r="AM191" s="637"/>
      <c r="AN191" s="637"/>
      <c r="AO191" s="1008"/>
      <c r="AP191" s="637"/>
      <c r="AQ191" s="637"/>
      <c r="AR191" s="637"/>
      <c r="AS191" s="1008"/>
      <c r="AT191" s="637"/>
      <c r="AU191" s="637"/>
      <c r="AV191" s="637"/>
      <c r="AW191" s="637"/>
      <c r="AX191" s="637"/>
      <c r="AY191" s="637"/>
      <c r="AZ191" s="637"/>
      <c r="BA191" s="637"/>
      <c r="BB191" s="637"/>
      <c r="BC191" s="637"/>
      <c r="BD191" s="637"/>
      <c r="BE191" s="637"/>
      <c r="BF191" s="637"/>
      <c r="BG191" s="637"/>
      <c r="BH191" s="637"/>
      <c r="BI191" s="637"/>
    </row>
    <row r="192" ht="15.75" customHeight="1">
      <c r="A192" s="637"/>
      <c r="B192" s="637"/>
      <c r="C192" s="637"/>
      <c r="D192" s="637"/>
      <c r="E192" s="1007"/>
      <c r="F192" s="1007"/>
      <c r="G192" s="637"/>
      <c r="H192" s="637"/>
      <c r="I192" s="637"/>
      <c r="J192" s="637"/>
      <c r="K192" s="637"/>
      <c r="L192" s="637"/>
      <c r="M192" s="637"/>
      <c r="N192" s="637"/>
      <c r="O192" s="637"/>
      <c r="P192" s="637"/>
      <c r="Q192" s="1008"/>
      <c r="R192" s="637"/>
      <c r="S192" s="637"/>
      <c r="T192" s="637"/>
      <c r="U192" s="637"/>
      <c r="V192" s="637"/>
      <c r="W192" s="637"/>
      <c r="X192" s="637"/>
      <c r="Y192" s="1008"/>
      <c r="Z192" s="637"/>
      <c r="AA192" s="637"/>
      <c r="AB192" s="637"/>
      <c r="AC192" s="637"/>
      <c r="AD192" s="637"/>
      <c r="AE192" s="637"/>
      <c r="AF192" s="637"/>
      <c r="AG192" s="1008"/>
      <c r="AH192" s="637"/>
      <c r="AI192" s="637"/>
      <c r="AJ192" s="637"/>
      <c r="AK192" s="637"/>
      <c r="AL192" s="637"/>
      <c r="AM192" s="637"/>
      <c r="AN192" s="637"/>
      <c r="AO192" s="1008"/>
      <c r="AP192" s="637"/>
      <c r="AQ192" s="637"/>
      <c r="AR192" s="637"/>
      <c r="AS192" s="1008"/>
      <c r="AT192" s="637"/>
      <c r="AU192" s="637"/>
      <c r="AV192" s="637"/>
      <c r="AW192" s="637"/>
      <c r="AX192" s="637"/>
      <c r="AY192" s="637"/>
      <c r="AZ192" s="637"/>
      <c r="BA192" s="637"/>
      <c r="BB192" s="637"/>
      <c r="BC192" s="637"/>
      <c r="BD192" s="637"/>
      <c r="BE192" s="637"/>
      <c r="BF192" s="637"/>
      <c r="BG192" s="637"/>
      <c r="BH192" s="637"/>
      <c r="BI192" s="637"/>
    </row>
    <row r="193" ht="15.75" customHeight="1">
      <c r="A193" s="637"/>
      <c r="B193" s="637"/>
      <c r="C193" s="637"/>
      <c r="D193" s="637"/>
      <c r="E193" s="1007"/>
      <c r="F193" s="1007"/>
      <c r="G193" s="637"/>
      <c r="H193" s="637"/>
      <c r="I193" s="637"/>
      <c r="J193" s="637"/>
      <c r="K193" s="637"/>
      <c r="L193" s="637"/>
      <c r="M193" s="637"/>
      <c r="N193" s="637"/>
      <c r="O193" s="637"/>
      <c r="P193" s="637"/>
      <c r="Q193" s="1008"/>
      <c r="R193" s="637"/>
      <c r="S193" s="637"/>
      <c r="T193" s="637"/>
      <c r="U193" s="637"/>
      <c r="V193" s="637"/>
      <c r="W193" s="637"/>
      <c r="X193" s="637"/>
      <c r="Y193" s="1008"/>
      <c r="Z193" s="637"/>
      <c r="AA193" s="637"/>
      <c r="AB193" s="637"/>
      <c r="AC193" s="637"/>
      <c r="AD193" s="637"/>
      <c r="AE193" s="637"/>
      <c r="AF193" s="637"/>
      <c r="AG193" s="1008"/>
      <c r="AH193" s="637"/>
      <c r="AI193" s="637"/>
      <c r="AJ193" s="637"/>
      <c r="AK193" s="637"/>
      <c r="AL193" s="637"/>
      <c r="AM193" s="637"/>
      <c r="AN193" s="637"/>
      <c r="AO193" s="1008"/>
      <c r="AP193" s="637"/>
      <c r="AQ193" s="637"/>
      <c r="AR193" s="637"/>
      <c r="AS193" s="1008"/>
      <c r="AT193" s="637"/>
      <c r="AU193" s="637"/>
      <c r="AV193" s="637"/>
      <c r="AW193" s="637"/>
      <c r="AX193" s="637"/>
      <c r="AY193" s="637"/>
      <c r="AZ193" s="637"/>
      <c r="BA193" s="637"/>
      <c r="BB193" s="637"/>
      <c r="BC193" s="637"/>
      <c r="BD193" s="637"/>
      <c r="BE193" s="637"/>
      <c r="BF193" s="637"/>
      <c r="BG193" s="637"/>
      <c r="BH193" s="637"/>
      <c r="BI193" s="637"/>
    </row>
    <row r="194" ht="15.75" customHeight="1">
      <c r="A194" s="637"/>
      <c r="B194" s="637"/>
      <c r="C194" s="637"/>
      <c r="D194" s="637"/>
      <c r="E194" s="1007"/>
      <c r="F194" s="1007"/>
      <c r="G194" s="637"/>
      <c r="H194" s="637"/>
      <c r="I194" s="637"/>
      <c r="J194" s="637"/>
      <c r="K194" s="637"/>
      <c r="L194" s="637"/>
      <c r="M194" s="637"/>
      <c r="N194" s="637"/>
      <c r="O194" s="637"/>
      <c r="P194" s="637"/>
      <c r="Q194" s="1008"/>
      <c r="R194" s="637"/>
      <c r="S194" s="637"/>
      <c r="T194" s="637"/>
      <c r="U194" s="637"/>
      <c r="V194" s="637"/>
      <c r="W194" s="637"/>
      <c r="X194" s="637"/>
      <c r="Y194" s="1008"/>
      <c r="Z194" s="637"/>
      <c r="AA194" s="637"/>
      <c r="AB194" s="637"/>
      <c r="AC194" s="637"/>
      <c r="AD194" s="637"/>
      <c r="AE194" s="637"/>
      <c r="AF194" s="637"/>
      <c r="AG194" s="1008"/>
      <c r="AH194" s="637"/>
      <c r="AI194" s="637"/>
      <c r="AJ194" s="637"/>
      <c r="AK194" s="637"/>
      <c r="AL194" s="637"/>
      <c r="AM194" s="637"/>
      <c r="AN194" s="637"/>
      <c r="AO194" s="1008"/>
      <c r="AP194" s="637"/>
      <c r="AQ194" s="637"/>
      <c r="AR194" s="637"/>
      <c r="AS194" s="1008"/>
      <c r="AT194" s="637"/>
      <c r="AU194" s="637"/>
      <c r="AV194" s="637"/>
      <c r="AW194" s="637"/>
      <c r="AX194" s="637"/>
      <c r="AY194" s="637"/>
      <c r="AZ194" s="637"/>
      <c r="BA194" s="637"/>
      <c r="BB194" s="637"/>
      <c r="BC194" s="637"/>
      <c r="BD194" s="637"/>
      <c r="BE194" s="637"/>
      <c r="BF194" s="637"/>
      <c r="BG194" s="637"/>
      <c r="BH194" s="637"/>
      <c r="BI194" s="637"/>
    </row>
    <row r="195" ht="15.75" customHeight="1">
      <c r="A195" s="637"/>
      <c r="B195" s="637"/>
      <c r="C195" s="637"/>
      <c r="D195" s="637"/>
      <c r="E195" s="1007"/>
      <c r="F195" s="1007"/>
      <c r="G195" s="637"/>
      <c r="H195" s="637"/>
      <c r="I195" s="637"/>
      <c r="J195" s="637"/>
      <c r="K195" s="637"/>
      <c r="L195" s="637"/>
      <c r="M195" s="637"/>
      <c r="N195" s="637"/>
      <c r="O195" s="637"/>
      <c r="P195" s="637"/>
      <c r="Q195" s="1008"/>
      <c r="R195" s="637"/>
      <c r="S195" s="637"/>
      <c r="T195" s="637"/>
      <c r="U195" s="637"/>
      <c r="V195" s="637"/>
      <c r="W195" s="637"/>
      <c r="X195" s="637"/>
      <c r="Y195" s="1008"/>
      <c r="Z195" s="637"/>
      <c r="AA195" s="637"/>
      <c r="AB195" s="637"/>
      <c r="AC195" s="637"/>
      <c r="AD195" s="637"/>
      <c r="AE195" s="637"/>
      <c r="AF195" s="637"/>
      <c r="AG195" s="1008"/>
      <c r="AH195" s="637"/>
      <c r="AI195" s="637"/>
      <c r="AJ195" s="637"/>
      <c r="AK195" s="637"/>
      <c r="AL195" s="637"/>
      <c r="AM195" s="637"/>
      <c r="AN195" s="637"/>
      <c r="AO195" s="1008"/>
      <c r="AP195" s="637"/>
      <c r="AQ195" s="637"/>
      <c r="AR195" s="637"/>
      <c r="AS195" s="1008"/>
      <c r="AT195" s="637"/>
      <c r="AU195" s="637"/>
      <c r="AV195" s="637"/>
      <c r="AW195" s="637"/>
      <c r="AX195" s="637"/>
      <c r="AY195" s="637"/>
      <c r="AZ195" s="637"/>
      <c r="BA195" s="637"/>
      <c r="BB195" s="637"/>
      <c r="BC195" s="637"/>
      <c r="BD195" s="637"/>
      <c r="BE195" s="637"/>
      <c r="BF195" s="637"/>
      <c r="BG195" s="637"/>
      <c r="BH195" s="637"/>
      <c r="BI195" s="637"/>
    </row>
    <row r="196" ht="15.75" customHeight="1">
      <c r="A196" s="637"/>
      <c r="B196" s="637"/>
      <c r="C196" s="637"/>
      <c r="D196" s="637"/>
      <c r="E196" s="1007"/>
      <c r="F196" s="1007"/>
      <c r="G196" s="637"/>
      <c r="H196" s="637"/>
      <c r="I196" s="637"/>
      <c r="J196" s="637"/>
      <c r="K196" s="637"/>
      <c r="L196" s="637"/>
      <c r="M196" s="637"/>
      <c r="N196" s="637"/>
      <c r="O196" s="637"/>
      <c r="P196" s="637"/>
      <c r="Q196" s="1008"/>
      <c r="R196" s="637"/>
      <c r="S196" s="637"/>
      <c r="T196" s="637"/>
      <c r="U196" s="637"/>
      <c r="V196" s="637"/>
      <c r="W196" s="637"/>
      <c r="X196" s="637"/>
      <c r="Y196" s="1008"/>
      <c r="Z196" s="637"/>
      <c r="AA196" s="637"/>
      <c r="AB196" s="637"/>
      <c r="AC196" s="637"/>
      <c r="AD196" s="637"/>
      <c r="AE196" s="637"/>
      <c r="AF196" s="637"/>
      <c r="AG196" s="1008"/>
      <c r="AH196" s="637"/>
      <c r="AI196" s="637"/>
      <c r="AJ196" s="637"/>
      <c r="AK196" s="637"/>
      <c r="AL196" s="637"/>
      <c r="AM196" s="637"/>
      <c r="AN196" s="637"/>
      <c r="AO196" s="1008"/>
      <c r="AP196" s="637"/>
      <c r="AQ196" s="637"/>
      <c r="AR196" s="637"/>
      <c r="AS196" s="1008"/>
      <c r="AT196" s="637"/>
      <c r="AU196" s="637"/>
      <c r="AV196" s="637"/>
      <c r="AW196" s="637"/>
      <c r="AX196" s="637"/>
      <c r="AY196" s="637"/>
      <c r="AZ196" s="637"/>
      <c r="BA196" s="637"/>
      <c r="BB196" s="637"/>
      <c r="BC196" s="637"/>
      <c r="BD196" s="637"/>
      <c r="BE196" s="637"/>
      <c r="BF196" s="637"/>
      <c r="BG196" s="637"/>
      <c r="BH196" s="637"/>
      <c r="BI196" s="637"/>
    </row>
    <row r="197" ht="15.75" customHeight="1">
      <c r="A197" s="637"/>
      <c r="B197" s="637"/>
      <c r="C197" s="637"/>
      <c r="D197" s="637"/>
      <c r="E197" s="1007"/>
      <c r="F197" s="1007"/>
      <c r="G197" s="637"/>
      <c r="H197" s="637"/>
      <c r="I197" s="637"/>
      <c r="J197" s="637"/>
      <c r="K197" s="637"/>
      <c r="L197" s="637"/>
      <c r="M197" s="637"/>
      <c r="N197" s="637"/>
      <c r="O197" s="637"/>
      <c r="P197" s="637"/>
      <c r="Q197" s="1008"/>
      <c r="R197" s="637"/>
      <c r="S197" s="637"/>
      <c r="T197" s="637"/>
      <c r="U197" s="637"/>
      <c r="V197" s="637"/>
      <c r="W197" s="637"/>
      <c r="X197" s="637"/>
      <c r="Y197" s="1008"/>
      <c r="Z197" s="637"/>
      <c r="AA197" s="637"/>
      <c r="AB197" s="637"/>
      <c r="AC197" s="637"/>
      <c r="AD197" s="637"/>
      <c r="AE197" s="637"/>
      <c r="AF197" s="637"/>
      <c r="AG197" s="1008"/>
      <c r="AH197" s="637"/>
      <c r="AI197" s="637"/>
      <c r="AJ197" s="637"/>
      <c r="AK197" s="637"/>
      <c r="AL197" s="637"/>
      <c r="AM197" s="637"/>
      <c r="AN197" s="637"/>
      <c r="AO197" s="1008"/>
      <c r="AP197" s="637"/>
      <c r="AQ197" s="637"/>
      <c r="AR197" s="637"/>
      <c r="AS197" s="1008"/>
      <c r="AT197" s="637"/>
      <c r="AU197" s="637"/>
      <c r="AV197" s="637"/>
      <c r="AW197" s="637"/>
      <c r="AX197" s="637"/>
      <c r="AY197" s="637"/>
      <c r="AZ197" s="637"/>
      <c r="BA197" s="637"/>
      <c r="BB197" s="637"/>
      <c r="BC197" s="637"/>
      <c r="BD197" s="637"/>
      <c r="BE197" s="637"/>
      <c r="BF197" s="637"/>
      <c r="BG197" s="637"/>
      <c r="BH197" s="637"/>
      <c r="BI197" s="637"/>
    </row>
    <row r="198" ht="15.75" customHeight="1">
      <c r="A198" s="637"/>
      <c r="B198" s="637"/>
      <c r="C198" s="637"/>
      <c r="D198" s="637"/>
      <c r="E198" s="1007"/>
      <c r="F198" s="1007"/>
      <c r="G198" s="637"/>
      <c r="H198" s="637"/>
      <c r="I198" s="637"/>
      <c r="J198" s="637"/>
      <c r="K198" s="637"/>
      <c r="L198" s="637"/>
      <c r="M198" s="637"/>
      <c r="N198" s="637"/>
      <c r="O198" s="637"/>
      <c r="P198" s="637"/>
      <c r="Q198" s="1008"/>
      <c r="R198" s="637"/>
      <c r="S198" s="637"/>
      <c r="T198" s="637"/>
      <c r="U198" s="637"/>
      <c r="V198" s="637"/>
      <c r="W198" s="637"/>
      <c r="X198" s="637"/>
      <c r="Y198" s="1008"/>
      <c r="Z198" s="637"/>
      <c r="AA198" s="637"/>
      <c r="AB198" s="637"/>
      <c r="AC198" s="637"/>
      <c r="AD198" s="637"/>
      <c r="AE198" s="637"/>
      <c r="AF198" s="637"/>
      <c r="AG198" s="1008"/>
      <c r="AH198" s="637"/>
      <c r="AI198" s="637"/>
      <c r="AJ198" s="637"/>
      <c r="AK198" s="637"/>
      <c r="AL198" s="637"/>
      <c r="AM198" s="637"/>
      <c r="AN198" s="637"/>
      <c r="AO198" s="1008"/>
      <c r="AP198" s="637"/>
      <c r="AQ198" s="637"/>
      <c r="AR198" s="637"/>
      <c r="AS198" s="1008"/>
      <c r="AT198" s="637"/>
      <c r="AU198" s="637"/>
      <c r="AV198" s="637"/>
      <c r="AW198" s="637"/>
      <c r="AX198" s="637"/>
      <c r="AY198" s="637"/>
      <c r="AZ198" s="637"/>
      <c r="BA198" s="637"/>
      <c r="BB198" s="637"/>
      <c r="BC198" s="637"/>
      <c r="BD198" s="637"/>
      <c r="BE198" s="637"/>
      <c r="BF198" s="637"/>
      <c r="BG198" s="637"/>
      <c r="BH198" s="637"/>
      <c r="BI198" s="637"/>
    </row>
    <row r="199" ht="15.75" customHeight="1">
      <c r="A199" s="637"/>
      <c r="B199" s="637"/>
      <c r="C199" s="637"/>
      <c r="D199" s="637"/>
      <c r="E199" s="1007"/>
      <c r="F199" s="1007"/>
      <c r="G199" s="637"/>
      <c r="H199" s="637"/>
      <c r="I199" s="637"/>
      <c r="J199" s="637"/>
      <c r="K199" s="637"/>
      <c r="L199" s="637"/>
      <c r="M199" s="637"/>
      <c r="N199" s="637"/>
      <c r="O199" s="637"/>
      <c r="P199" s="637"/>
      <c r="Q199" s="1008"/>
      <c r="R199" s="637"/>
      <c r="S199" s="637"/>
      <c r="T199" s="637"/>
      <c r="U199" s="637"/>
      <c r="V199" s="637"/>
      <c r="W199" s="637"/>
      <c r="X199" s="637"/>
      <c r="Y199" s="1008"/>
      <c r="Z199" s="637"/>
      <c r="AA199" s="637"/>
      <c r="AB199" s="637"/>
      <c r="AC199" s="637"/>
      <c r="AD199" s="637"/>
      <c r="AE199" s="637"/>
      <c r="AF199" s="637"/>
      <c r="AG199" s="1008"/>
      <c r="AH199" s="637"/>
      <c r="AI199" s="637"/>
      <c r="AJ199" s="637"/>
      <c r="AK199" s="637"/>
      <c r="AL199" s="637"/>
      <c r="AM199" s="637"/>
      <c r="AN199" s="637"/>
      <c r="AO199" s="1008"/>
      <c r="AP199" s="637"/>
      <c r="AQ199" s="637"/>
      <c r="AR199" s="637"/>
      <c r="AS199" s="1008"/>
      <c r="AT199" s="637"/>
      <c r="AU199" s="637"/>
      <c r="AV199" s="637"/>
      <c r="AW199" s="637"/>
      <c r="AX199" s="637"/>
      <c r="AY199" s="637"/>
      <c r="AZ199" s="637"/>
      <c r="BA199" s="637"/>
      <c r="BB199" s="637"/>
      <c r="BC199" s="637"/>
      <c r="BD199" s="637"/>
      <c r="BE199" s="637"/>
      <c r="BF199" s="637"/>
      <c r="BG199" s="637"/>
      <c r="BH199" s="637"/>
      <c r="BI199" s="637"/>
    </row>
    <row r="200" ht="15.75" customHeight="1">
      <c r="A200" s="637"/>
      <c r="B200" s="637"/>
      <c r="C200" s="637"/>
      <c r="D200" s="637"/>
      <c r="E200" s="1007"/>
      <c r="F200" s="1007"/>
      <c r="G200" s="637"/>
      <c r="H200" s="637"/>
      <c r="I200" s="637"/>
      <c r="J200" s="637"/>
      <c r="K200" s="637"/>
      <c r="L200" s="637"/>
      <c r="M200" s="637"/>
      <c r="N200" s="637"/>
      <c r="O200" s="637"/>
      <c r="P200" s="637"/>
      <c r="Q200" s="1008"/>
      <c r="R200" s="637"/>
      <c r="S200" s="637"/>
      <c r="T200" s="637"/>
      <c r="U200" s="637"/>
      <c r="V200" s="637"/>
      <c r="W200" s="637"/>
      <c r="X200" s="637"/>
      <c r="Y200" s="1008"/>
      <c r="Z200" s="637"/>
      <c r="AA200" s="637"/>
      <c r="AB200" s="637"/>
      <c r="AC200" s="637"/>
      <c r="AD200" s="637"/>
      <c r="AE200" s="637"/>
      <c r="AF200" s="637"/>
      <c r="AG200" s="1008"/>
      <c r="AH200" s="637"/>
      <c r="AI200" s="637"/>
      <c r="AJ200" s="637"/>
      <c r="AK200" s="637"/>
      <c r="AL200" s="637"/>
      <c r="AM200" s="637"/>
      <c r="AN200" s="637"/>
      <c r="AO200" s="1008"/>
      <c r="AP200" s="637"/>
      <c r="AQ200" s="637"/>
      <c r="AR200" s="637"/>
      <c r="AS200" s="1008"/>
      <c r="AT200" s="637"/>
      <c r="AU200" s="637"/>
      <c r="AV200" s="637"/>
      <c r="AW200" s="637"/>
      <c r="AX200" s="637"/>
      <c r="AY200" s="637"/>
      <c r="AZ200" s="637"/>
      <c r="BA200" s="637"/>
      <c r="BB200" s="637"/>
      <c r="BC200" s="637"/>
      <c r="BD200" s="637"/>
      <c r="BE200" s="637"/>
      <c r="BF200" s="637"/>
      <c r="BG200" s="637"/>
      <c r="BH200" s="637"/>
      <c r="BI200" s="637"/>
    </row>
    <row r="201" ht="15.75" customHeight="1">
      <c r="A201" s="637"/>
      <c r="B201" s="637"/>
      <c r="C201" s="637"/>
      <c r="D201" s="637"/>
      <c r="E201" s="1007"/>
      <c r="F201" s="1007"/>
      <c r="G201" s="637"/>
      <c r="H201" s="637"/>
      <c r="I201" s="637"/>
      <c r="J201" s="637"/>
      <c r="K201" s="637"/>
      <c r="L201" s="637"/>
      <c r="M201" s="637"/>
      <c r="N201" s="637"/>
      <c r="O201" s="637"/>
      <c r="P201" s="637"/>
      <c r="Q201" s="1008"/>
      <c r="R201" s="637"/>
      <c r="S201" s="637"/>
      <c r="T201" s="637"/>
      <c r="U201" s="637"/>
      <c r="V201" s="637"/>
      <c r="W201" s="637"/>
      <c r="X201" s="637"/>
      <c r="Y201" s="1008"/>
      <c r="Z201" s="637"/>
      <c r="AA201" s="637"/>
      <c r="AB201" s="637"/>
      <c r="AC201" s="637"/>
      <c r="AD201" s="637"/>
      <c r="AE201" s="637"/>
      <c r="AF201" s="637"/>
      <c r="AG201" s="1008"/>
      <c r="AH201" s="637"/>
      <c r="AI201" s="637"/>
      <c r="AJ201" s="637"/>
      <c r="AK201" s="637"/>
      <c r="AL201" s="637"/>
      <c r="AM201" s="637"/>
      <c r="AN201" s="637"/>
      <c r="AO201" s="1008"/>
      <c r="AP201" s="637"/>
      <c r="AQ201" s="637"/>
      <c r="AR201" s="637"/>
      <c r="AS201" s="1008"/>
      <c r="AT201" s="637"/>
      <c r="AU201" s="637"/>
      <c r="AV201" s="637"/>
      <c r="AW201" s="637"/>
      <c r="AX201" s="637"/>
      <c r="AY201" s="637"/>
      <c r="AZ201" s="637"/>
      <c r="BA201" s="637"/>
      <c r="BB201" s="637"/>
      <c r="BC201" s="637"/>
      <c r="BD201" s="637"/>
      <c r="BE201" s="637"/>
      <c r="BF201" s="637"/>
      <c r="BG201" s="637"/>
      <c r="BH201" s="637"/>
      <c r="BI201" s="637"/>
    </row>
    <row r="202" ht="15.75" customHeight="1">
      <c r="A202" s="637"/>
      <c r="B202" s="637"/>
      <c r="C202" s="637"/>
      <c r="D202" s="637"/>
      <c r="E202" s="1007"/>
      <c r="F202" s="1007"/>
      <c r="G202" s="637"/>
      <c r="H202" s="637"/>
      <c r="I202" s="637"/>
      <c r="J202" s="637"/>
      <c r="K202" s="637"/>
      <c r="L202" s="637"/>
      <c r="M202" s="637"/>
      <c r="N202" s="637"/>
      <c r="O202" s="637"/>
      <c r="P202" s="637"/>
      <c r="Q202" s="1008"/>
      <c r="R202" s="637"/>
      <c r="S202" s="637"/>
      <c r="T202" s="637"/>
      <c r="U202" s="637"/>
      <c r="V202" s="637"/>
      <c r="W202" s="637"/>
      <c r="X202" s="637"/>
      <c r="Y202" s="1008"/>
      <c r="Z202" s="637"/>
      <c r="AA202" s="637"/>
      <c r="AB202" s="637"/>
      <c r="AC202" s="637"/>
      <c r="AD202" s="637"/>
      <c r="AE202" s="637"/>
      <c r="AF202" s="637"/>
      <c r="AG202" s="1008"/>
      <c r="AH202" s="637"/>
      <c r="AI202" s="637"/>
      <c r="AJ202" s="637"/>
      <c r="AK202" s="637"/>
      <c r="AL202" s="637"/>
      <c r="AM202" s="637"/>
      <c r="AN202" s="637"/>
      <c r="AO202" s="1008"/>
      <c r="AP202" s="637"/>
      <c r="AQ202" s="637"/>
      <c r="AR202" s="637"/>
      <c r="AS202" s="1008"/>
      <c r="AT202" s="637"/>
      <c r="AU202" s="637"/>
      <c r="AV202" s="637"/>
      <c r="AW202" s="637"/>
      <c r="AX202" s="637"/>
      <c r="AY202" s="637"/>
      <c r="AZ202" s="637"/>
      <c r="BA202" s="637"/>
      <c r="BB202" s="637"/>
      <c r="BC202" s="637"/>
      <c r="BD202" s="637"/>
      <c r="BE202" s="637"/>
      <c r="BF202" s="637"/>
      <c r="BG202" s="637"/>
      <c r="BH202" s="637"/>
      <c r="BI202" s="637"/>
    </row>
    <row r="203" ht="15.75" customHeight="1">
      <c r="A203" s="637"/>
      <c r="B203" s="637"/>
      <c r="C203" s="637"/>
      <c r="D203" s="637"/>
      <c r="E203" s="1007"/>
      <c r="F203" s="1007"/>
      <c r="G203" s="637"/>
      <c r="H203" s="637"/>
      <c r="I203" s="637"/>
      <c r="J203" s="637"/>
      <c r="K203" s="637"/>
      <c r="L203" s="637"/>
      <c r="M203" s="637"/>
      <c r="N203" s="637"/>
      <c r="O203" s="637"/>
      <c r="P203" s="637"/>
      <c r="Q203" s="1008"/>
      <c r="R203" s="637"/>
      <c r="S203" s="637"/>
      <c r="T203" s="637"/>
      <c r="U203" s="637"/>
      <c r="V203" s="637"/>
      <c r="W203" s="637"/>
      <c r="X203" s="637"/>
      <c r="Y203" s="1008"/>
      <c r="Z203" s="637"/>
      <c r="AA203" s="637"/>
      <c r="AB203" s="637"/>
      <c r="AC203" s="637"/>
      <c r="AD203" s="637"/>
      <c r="AE203" s="637"/>
      <c r="AF203" s="637"/>
      <c r="AG203" s="1008"/>
      <c r="AH203" s="637"/>
      <c r="AI203" s="637"/>
      <c r="AJ203" s="637"/>
      <c r="AK203" s="637"/>
      <c r="AL203" s="637"/>
      <c r="AM203" s="637"/>
      <c r="AN203" s="637"/>
      <c r="AO203" s="1008"/>
      <c r="AP203" s="637"/>
      <c r="AQ203" s="637"/>
      <c r="AR203" s="637"/>
      <c r="AS203" s="1008"/>
      <c r="AT203" s="637"/>
      <c r="AU203" s="637"/>
      <c r="AV203" s="637"/>
      <c r="AW203" s="637"/>
      <c r="AX203" s="637"/>
      <c r="AY203" s="637"/>
      <c r="AZ203" s="637"/>
      <c r="BA203" s="637"/>
      <c r="BB203" s="637"/>
      <c r="BC203" s="637"/>
      <c r="BD203" s="637"/>
      <c r="BE203" s="637"/>
      <c r="BF203" s="637"/>
      <c r="BG203" s="637"/>
      <c r="BH203" s="637"/>
      <c r="BI203" s="637"/>
    </row>
    <row r="204" ht="15.75" customHeight="1">
      <c r="A204" s="637"/>
      <c r="B204" s="637"/>
      <c r="C204" s="637"/>
      <c r="D204" s="637"/>
      <c r="E204" s="1007"/>
      <c r="F204" s="1007"/>
      <c r="G204" s="637"/>
      <c r="H204" s="637"/>
      <c r="I204" s="637"/>
      <c r="J204" s="637"/>
      <c r="K204" s="637"/>
      <c r="L204" s="637"/>
      <c r="M204" s="637"/>
      <c r="N204" s="637"/>
      <c r="O204" s="637"/>
      <c r="P204" s="637"/>
      <c r="Q204" s="1008"/>
      <c r="R204" s="637"/>
      <c r="S204" s="637"/>
      <c r="T204" s="637"/>
      <c r="U204" s="637"/>
      <c r="V204" s="637"/>
      <c r="W204" s="637"/>
      <c r="X204" s="637"/>
      <c r="Y204" s="1008"/>
      <c r="Z204" s="637"/>
      <c r="AA204" s="637"/>
      <c r="AB204" s="637"/>
      <c r="AC204" s="637"/>
      <c r="AD204" s="637"/>
      <c r="AE204" s="637"/>
      <c r="AF204" s="637"/>
      <c r="AG204" s="1008"/>
      <c r="AH204" s="637"/>
      <c r="AI204" s="637"/>
      <c r="AJ204" s="637"/>
      <c r="AK204" s="637"/>
      <c r="AL204" s="637"/>
      <c r="AM204" s="637"/>
      <c r="AN204" s="637"/>
      <c r="AO204" s="1008"/>
      <c r="AP204" s="637"/>
      <c r="AQ204" s="637"/>
      <c r="AR204" s="637"/>
      <c r="AS204" s="1008"/>
      <c r="AT204" s="637"/>
      <c r="AU204" s="637"/>
      <c r="AV204" s="637"/>
      <c r="AW204" s="637"/>
      <c r="AX204" s="637"/>
      <c r="AY204" s="637"/>
      <c r="AZ204" s="637"/>
      <c r="BA204" s="637"/>
      <c r="BB204" s="637"/>
      <c r="BC204" s="637"/>
      <c r="BD204" s="637"/>
      <c r="BE204" s="637"/>
      <c r="BF204" s="637"/>
      <c r="BG204" s="637"/>
      <c r="BH204" s="637"/>
      <c r="BI204" s="637"/>
    </row>
    <row r="205" ht="15.75" customHeight="1">
      <c r="A205" s="637"/>
      <c r="B205" s="637"/>
      <c r="C205" s="637"/>
      <c r="D205" s="637"/>
      <c r="E205" s="1007"/>
      <c r="F205" s="1007"/>
      <c r="G205" s="637"/>
      <c r="H205" s="637"/>
      <c r="I205" s="637"/>
      <c r="J205" s="637"/>
      <c r="K205" s="637"/>
      <c r="L205" s="637"/>
      <c r="M205" s="637"/>
      <c r="N205" s="637"/>
      <c r="O205" s="637"/>
      <c r="P205" s="637"/>
      <c r="Q205" s="1008"/>
      <c r="R205" s="637"/>
      <c r="S205" s="637"/>
      <c r="T205" s="637"/>
      <c r="U205" s="637"/>
      <c r="V205" s="637"/>
      <c r="W205" s="637"/>
      <c r="X205" s="637"/>
      <c r="Y205" s="1008"/>
      <c r="Z205" s="637"/>
      <c r="AA205" s="637"/>
      <c r="AB205" s="637"/>
      <c r="AC205" s="637"/>
      <c r="AD205" s="637"/>
      <c r="AE205" s="637"/>
      <c r="AF205" s="637"/>
      <c r="AG205" s="1008"/>
      <c r="AH205" s="637"/>
      <c r="AI205" s="637"/>
      <c r="AJ205" s="637"/>
      <c r="AK205" s="637"/>
      <c r="AL205" s="637"/>
      <c r="AM205" s="637"/>
      <c r="AN205" s="637"/>
      <c r="AO205" s="1008"/>
      <c r="AP205" s="637"/>
      <c r="AQ205" s="637"/>
      <c r="AR205" s="637"/>
      <c r="AS205" s="1008"/>
      <c r="AT205" s="637"/>
      <c r="AU205" s="637"/>
      <c r="AV205" s="637"/>
      <c r="AW205" s="637"/>
      <c r="AX205" s="637"/>
      <c r="AY205" s="637"/>
      <c r="AZ205" s="637"/>
      <c r="BA205" s="637"/>
      <c r="BB205" s="637"/>
      <c r="BC205" s="637"/>
      <c r="BD205" s="637"/>
      <c r="BE205" s="637"/>
      <c r="BF205" s="637"/>
      <c r="BG205" s="637"/>
      <c r="BH205" s="637"/>
      <c r="BI205" s="637"/>
    </row>
    <row r="206" ht="15.75" customHeight="1">
      <c r="A206" s="637"/>
      <c r="B206" s="637"/>
      <c r="C206" s="637"/>
      <c r="D206" s="637"/>
      <c r="E206" s="1007"/>
      <c r="F206" s="1007"/>
      <c r="G206" s="637"/>
      <c r="H206" s="637"/>
      <c r="I206" s="637"/>
      <c r="J206" s="637"/>
      <c r="K206" s="637"/>
      <c r="L206" s="637"/>
      <c r="M206" s="637"/>
      <c r="N206" s="637"/>
      <c r="O206" s="637"/>
      <c r="P206" s="637"/>
      <c r="Q206" s="1008"/>
      <c r="R206" s="637"/>
      <c r="S206" s="637"/>
      <c r="T206" s="637"/>
      <c r="U206" s="637"/>
      <c r="V206" s="637"/>
      <c r="W206" s="637"/>
      <c r="X206" s="637"/>
      <c r="Y206" s="1008"/>
      <c r="Z206" s="637"/>
      <c r="AA206" s="637"/>
      <c r="AB206" s="637"/>
      <c r="AC206" s="637"/>
      <c r="AD206" s="637"/>
      <c r="AE206" s="637"/>
      <c r="AF206" s="637"/>
      <c r="AG206" s="1008"/>
      <c r="AH206" s="637"/>
      <c r="AI206" s="637"/>
      <c r="AJ206" s="637"/>
      <c r="AK206" s="637"/>
      <c r="AL206" s="637"/>
      <c r="AM206" s="637"/>
      <c r="AN206" s="637"/>
      <c r="AO206" s="1008"/>
      <c r="AP206" s="637"/>
      <c r="AQ206" s="637"/>
      <c r="AR206" s="637"/>
      <c r="AS206" s="1008"/>
      <c r="AT206" s="637"/>
      <c r="AU206" s="637"/>
      <c r="AV206" s="637"/>
      <c r="AW206" s="637"/>
      <c r="AX206" s="637"/>
      <c r="AY206" s="637"/>
      <c r="AZ206" s="637"/>
      <c r="BA206" s="637"/>
      <c r="BB206" s="637"/>
      <c r="BC206" s="637"/>
      <c r="BD206" s="637"/>
      <c r="BE206" s="637"/>
      <c r="BF206" s="637"/>
      <c r="BG206" s="637"/>
      <c r="BH206" s="637"/>
      <c r="BI206" s="637"/>
    </row>
    <row r="207" ht="15.75" customHeight="1">
      <c r="A207" s="637"/>
      <c r="B207" s="637"/>
      <c r="C207" s="637"/>
      <c r="D207" s="637"/>
      <c r="E207" s="1007"/>
      <c r="F207" s="1007"/>
      <c r="G207" s="637"/>
      <c r="H207" s="637"/>
      <c r="I207" s="637"/>
      <c r="J207" s="637"/>
      <c r="K207" s="637"/>
      <c r="L207" s="637"/>
      <c r="M207" s="637"/>
      <c r="N207" s="637"/>
      <c r="O207" s="637"/>
      <c r="P207" s="637"/>
      <c r="Q207" s="1008"/>
      <c r="R207" s="637"/>
      <c r="S207" s="637"/>
      <c r="T207" s="637"/>
      <c r="U207" s="637"/>
      <c r="V207" s="637"/>
      <c r="W207" s="637"/>
      <c r="X207" s="637"/>
      <c r="Y207" s="1008"/>
      <c r="Z207" s="637"/>
      <c r="AA207" s="637"/>
      <c r="AB207" s="637"/>
      <c r="AC207" s="637"/>
      <c r="AD207" s="637"/>
      <c r="AE207" s="637"/>
      <c r="AF207" s="637"/>
      <c r="AG207" s="1008"/>
      <c r="AH207" s="637"/>
      <c r="AI207" s="637"/>
      <c r="AJ207" s="637"/>
      <c r="AK207" s="637"/>
      <c r="AL207" s="637"/>
      <c r="AM207" s="637"/>
      <c r="AN207" s="637"/>
      <c r="AO207" s="1008"/>
      <c r="AP207" s="637"/>
      <c r="AQ207" s="637"/>
      <c r="AR207" s="637"/>
      <c r="AS207" s="1008"/>
      <c r="AT207" s="637"/>
      <c r="AU207" s="637"/>
      <c r="AV207" s="637"/>
      <c r="AW207" s="637"/>
      <c r="AX207" s="637"/>
      <c r="AY207" s="637"/>
      <c r="AZ207" s="637"/>
      <c r="BA207" s="637"/>
      <c r="BB207" s="637"/>
      <c r="BC207" s="637"/>
      <c r="BD207" s="637"/>
      <c r="BE207" s="637"/>
      <c r="BF207" s="637"/>
      <c r="BG207" s="637"/>
      <c r="BH207" s="637"/>
      <c r="BI207" s="637"/>
    </row>
    <row r="208" ht="15.75" customHeight="1">
      <c r="A208" s="637"/>
      <c r="B208" s="637"/>
      <c r="C208" s="637"/>
      <c r="D208" s="637"/>
      <c r="E208" s="1007"/>
      <c r="F208" s="1007"/>
      <c r="G208" s="637"/>
      <c r="H208" s="637"/>
      <c r="I208" s="637"/>
      <c r="J208" s="637"/>
      <c r="K208" s="637"/>
      <c r="L208" s="637"/>
      <c r="M208" s="637"/>
      <c r="N208" s="637"/>
      <c r="O208" s="637"/>
      <c r="P208" s="637"/>
      <c r="Q208" s="1008"/>
      <c r="R208" s="637"/>
      <c r="S208" s="637"/>
      <c r="T208" s="637"/>
      <c r="U208" s="637"/>
      <c r="V208" s="637"/>
      <c r="W208" s="637"/>
      <c r="X208" s="637"/>
      <c r="Y208" s="1008"/>
      <c r="Z208" s="637"/>
      <c r="AA208" s="637"/>
      <c r="AB208" s="637"/>
      <c r="AC208" s="637"/>
      <c r="AD208" s="637"/>
      <c r="AE208" s="637"/>
      <c r="AF208" s="637"/>
      <c r="AG208" s="1008"/>
      <c r="AH208" s="637"/>
      <c r="AI208" s="637"/>
      <c r="AJ208" s="637"/>
      <c r="AK208" s="637"/>
      <c r="AL208" s="637"/>
      <c r="AM208" s="637"/>
      <c r="AN208" s="637"/>
      <c r="AO208" s="1008"/>
      <c r="AP208" s="637"/>
      <c r="AQ208" s="637"/>
      <c r="AR208" s="637"/>
      <c r="AS208" s="1008"/>
      <c r="AT208" s="637"/>
      <c r="AU208" s="637"/>
      <c r="AV208" s="637"/>
      <c r="AW208" s="637"/>
      <c r="AX208" s="637"/>
      <c r="AY208" s="637"/>
      <c r="AZ208" s="637"/>
      <c r="BA208" s="637"/>
      <c r="BB208" s="637"/>
      <c r="BC208" s="637"/>
      <c r="BD208" s="637"/>
      <c r="BE208" s="637"/>
      <c r="BF208" s="637"/>
      <c r="BG208" s="637"/>
      <c r="BH208" s="637"/>
      <c r="BI208" s="637"/>
    </row>
    <row r="209" ht="15.75" customHeight="1">
      <c r="A209" s="637"/>
      <c r="B209" s="637"/>
      <c r="C209" s="637"/>
      <c r="D209" s="637"/>
      <c r="E209" s="1007"/>
      <c r="F209" s="1007"/>
      <c r="G209" s="637"/>
      <c r="H209" s="637"/>
      <c r="I209" s="637"/>
      <c r="J209" s="637"/>
      <c r="K209" s="637"/>
      <c r="L209" s="637"/>
      <c r="M209" s="637"/>
      <c r="N209" s="637"/>
      <c r="O209" s="637"/>
      <c r="P209" s="637"/>
      <c r="Q209" s="1008"/>
      <c r="R209" s="637"/>
      <c r="S209" s="637"/>
      <c r="T209" s="637"/>
      <c r="U209" s="637"/>
      <c r="V209" s="637"/>
      <c r="W209" s="637"/>
      <c r="X209" s="637"/>
      <c r="Y209" s="1008"/>
      <c r="Z209" s="637"/>
      <c r="AA209" s="637"/>
      <c r="AB209" s="637"/>
      <c r="AC209" s="637"/>
      <c r="AD209" s="637"/>
      <c r="AE209" s="637"/>
      <c r="AF209" s="637"/>
      <c r="AG209" s="1008"/>
      <c r="AH209" s="637"/>
      <c r="AI209" s="637"/>
      <c r="AJ209" s="637"/>
      <c r="AK209" s="637"/>
      <c r="AL209" s="637"/>
      <c r="AM209" s="637"/>
      <c r="AN209" s="637"/>
      <c r="AO209" s="1008"/>
      <c r="AP209" s="637"/>
      <c r="AQ209" s="637"/>
      <c r="AR209" s="637"/>
      <c r="AS209" s="1008"/>
      <c r="AT209" s="637"/>
      <c r="AU209" s="637"/>
      <c r="AV209" s="637"/>
      <c r="AW209" s="637"/>
      <c r="AX209" s="637"/>
      <c r="AY209" s="637"/>
      <c r="AZ209" s="637"/>
      <c r="BA209" s="637"/>
      <c r="BB209" s="637"/>
      <c r="BC209" s="637"/>
      <c r="BD209" s="637"/>
      <c r="BE209" s="637"/>
      <c r="BF209" s="637"/>
      <c r="BG209" s="637"/>
      <c r="BH209" s="637"/>
      <c r="BI209" s="637"/>
    </row>
    <row r="210" ht="15.75" customHeight="1">
      <c r="A210" s="637"/>
      <c r="B210" s="637"/>
      <c r="C210" s="637"/>
      <c r="D210" s="637"/>
      <c r="E210" s="1007"/>
      <c r="F210" s="1007"/>
      <c r="G210" s="637"/>
      <c r="H210" s="637"/>
      <c r="I210" s="637"/>
      <c r="J210" s="637"/>
      <c r="K210" s="637"/>
      <c r="L210" s="637"/>
      <c r="M210" s="637"/>
      <c r="N210" s="637"/>
      <c r="O210" s="637"/>
      <c r="P210" s="637"/>
      <c r="Q210" s="1008"/>
      <c r="R210" s="637"/>
      <c r="S210" s="637"/>
      <c r="T210" s="637"/>
      <c r="U210" s="637"/>
      <c r="V210" s="637"/>
      <c r="W210" s="637"/>
      <c r="X210" s="637"/>
      <c r="Y210" s="1008"/>
      <c r="Z210" s="637"/>
      <c r="AA210" s="637"/>
      <c r="AB210" s="637"/>
      <c r="AC210" s="637"/>
      <c r="AD210" s="637"/>
      <c r="AE210" s="637"/>
      <c r="AF210" s="637"/>
      <c r="AG210" s="1008"/>
      <c r="AH210" s="637"/>
      <c r="AI210" s="637"/>
      <c r="AJ210" s="637"/>
      <c r="AK210" s="637"/>
      <c r="AL210" s="637"/>
      <c r="AM210" s="637"/>
      <c r="AN210" s="637"/>
      <c r="AO210" s="1008"/>
      <c r="AP210" s="637"/>
      <c r="AQ210" s="637"/>
      <c r="AR210" s="637"/>
      <c r="AS210" s="1008"/>
      <c r="AT210" s="637"/>
      <c r="AU210" s="637"/>
      <c r="AV210" s="637"/>
      <c r="AW210" s="637"/>
      <c r="AX210" s="637"/>
      <c r="AY210" s="637"/>
      <c r="AZ210" s="637"/>
      <c r="BA210" s="637"/>
      <c r="BB210" s="637"/>
      <c r="BC210" s="637"/>
      <c r="BD210" s="637"/>
      <c r="BE210" s="637"/>
      <c r="BF210" s="637"/>
      <c r="BG210" s="637"/>
      <c r="BH210" s="637"/>
      <c r="BI210" s="637"/>
    </row>
    <row r="211" ht="15.75" customHeight="1">
      <c r="A211" s="637"/>
      <c r="B211" s="637"/>
      <c r="C211" s="637"/>
      <c r="D211" s="637"/>
      <c r="E211" s="1007"/>
      <c r="F211" s="1007"/>
      <c r="G211" s="637"/>
      <c r="H211" s="637"/>
      <c r="I211" s="637"/>
      <c r="J211" s="637"/>
      <c r="K211" s="637"/>
      <c r="L211" s="637"/>
      <c r="M211" s="637"/>
      <c r="N211" s="637"/>
      <c r="O211" s="637"/>
      <c r="P211" s="637"/>
      <c r="Q211" s="1008"/>
      <c r="R211" s="637"/>
      <c r="S211" s="637"/>
      <c r="T211" s="637"/>
      <c r="U211" s="637"/>
      <c r="V211" s="637"/>
      <c r="W211" s="637"/>
      <c r="X211" s="637"/>
      <c r="Y211" s="1008"/>
      <c r="Z211" s="637"/>
      <c r="AA211" s="637"/>
      <c r="AB211" s="637"/>
      <c r="AC211" s="637"/>
      <c r="AD211" s="637"/>
      <c r="AE211" s="637"/>
      <c r="AF211" s="637"/>
      <c r="AG211" s="1008"/>
      <c r="AH211" s="637"/>
      <c r="AI211" s="637"/>
      <c r="AJ211" s="637"/>
      <c r="AK211" s="637"/>
      <c r="AL211" s="637"/>
      <c r="AM211" s="637"/>
      <c r="AN211" s="637"/>
      <c r="AO211" s="1008"/>
      <c r="AP211" s="637"/>
      <c r="AQ211" s="637"/>
      <c r="AR211" s="637"/>
      <c r="AS211" s="1008"/>
      <c r="AT211" s="637"/>
      <c r="AU211" s="637"/>
      <c r="AV211" s="637"/>
      <c r="AW211" s="637"/>
      <c r="AX211" s="637"/>
      <c r="AY211" s="637"/>
      <c r="AZ211" s="637"/>
      <c r="BA211" s="637"/>
      <c r="BB211" s="637"/>
      <c r="BC211" s="637"/>
      <c r="BD211" s="637"/>
      <c r="BE211" s="637"/>
      <c r="BF211" s="637"/>
      <c r="BG211" s="637"/>
      <c r="BH211" s="637"/>
      <c r="BI211" s="637"/>
    </row>
    <row r="212" ht="15.75" customHeight="1">
      <c r="A212" s="637"/>
      <c r="B212" s="637"/>
      <c r="C212" s="637"/>
      <c r="D212" s="637"/>
      <c r="E212" s="1007"/>
      <c r="F212" s="1007"/>
      <c r="G212" s="637"/>
      <c r="H212" s="637"/>
      <c r="I212" s="637"/>
      <c r="J212" s="637"/>
      <c r="K212" s="637"/>
      <c r="L212" s="637"/>
      <c r="M212" s="637"/>
      <c r="N212" s="637"/>
      <c r="O212" s="637"/>
      <c r="P212" s="637"/>
      <c r="Q212" s="1008"/>
      <c r="R212" s="637"/>
      <c r="S212" s="637"/>
      <c r="T212" s="637"/>
      <c r="U212" s="637"/>
      <c r="V212" s="637"/>
      <c r="W212" s="637"/>
      <c r="X212" s="637"/>
      <c r="Y212" s="1008"/>
      <c r="Z212" s="637"/>
      <c r="AA212" s="637"/>
      <c r="AB212" s="637"/>
      <c r="AC212" s="637"/>
      <c r="AD212" s="637"/>
      <c r="AE212" s="637"/>
      <c r="AF212" s="637"/>
      <c r="AG212" s="1008"/>
      <c r="AH212" s="637"/>
      <c r="AI212" s="637"/>
      <c r="AJ212" s="637"/>
      <c r="AK212" s="637"/>
      <c r="AL212" s="637"/>
      <c r="AM212" s="637"/>
      <c r="AN212" s="637"/>
      <c r="AO212" s="1008"/>
      <c r="AP212" s="637"/>
      <c r="AQ212" s="637"/>
      <c r="AR212" s="637"/>
      <c r="AS212" s="1008"/>
      <c r="AT212" s="637"/>
      <c r="AU212" s="637"/>
      <c r="AV212" s="637"/>
      <c r="AW212" s="637"/>
      <c r="AX212" s="637"/>
      <c r="AY212" s="637"/>
      <c r="AZ212" s="637"/>
      <c r="BA212" s="637"/>
      <c r="BB212" s="637"/>
      <c r="BC212" s="637"/>
      <c r="BD212" s="637"/>
      <c r="BE212" s="637"/>
      <c r="BF212" s="637"/>
      <c r="BG212" s="637"/>
      <c r="BH212" s="637"/>
      <c r="BI212" s="637"/>
    </row>
    <row r="213" ht="15.75" customHeight="1">
      <c r="A213" s="637"/>
      <c r="B213" s="637"/>
      <c r="C213" s="637"/>
      <c r="D213" s="637"/>
      <c r="E213" s="1007"/>
      <c r="F213" s="1007"/>
      <c r="G213" s="637"/>
      <c r="H213" s="637"/>
      <c r="I213" s="637"/>
      <c r="J213" s="637"/>
      <c r="K213" s="637"/>
      <c r="L213" s="637"/>
      <c r="M213" s="637"/>
      <c r="N213" s="637"/>
      <c r="O213" s="637"/>
      <c r="P213" s="637"/>
      <c r="Q213" s="1008"/>
      <c r="R213" s="637"/>
      <c r="S213" s="637"/>
      <c r="T213" s="637"/>
      <c r="U213" s="637"/>
      <c r="V213" s="637"/>
      <c r="W213" s="637"/>
      <c r="X213" s="637"/>
      <c r="Y213" s="1008"/>
      <c r="Z213" s="637"/>
      <c r="AA213" s="637"/>
      <c r="AB213" s="637"/>
      <c r="AC213" s="637"/>
      <c r="AD213" s="637"/>
      <c r="AE213" s="637"/>
      <c r="AF213" s="637"/>
      <c r="AG213" s="1008"/>
      <c r="AH213" s="637"/>
      <c r="AI213" s="637"/>
      <c r="AJ213" s="637"/>
      <c r="AK213" s="637"/>
      <c r="AL213" s="637"/>
      <c r="AM213" s="637"/>
      <c r="AN213" s="637"/>
      <c r="AO213" s="1008"/>
      <c r="AP213" s="637"/>
      <c r="AQ213" s="637"/>
      <c r="AR213" s="637"/>
      <c r="AS213" s="1008"/>
      <c r="AT213" s="637"/>
      <c r="AU213" s="637"/>
      <c r="AV213" s="637"/>
      <c r="AW213" s="637"/>
      <c r="AX213" s="637"/>
      <c r="AY213" s="637"/>
      <c r="AZ213" s="637"/>
      <c r="BA213" s="637"/>
      <c r="BB213" s="637"/>
      <c r="BC213" s="637"/>
      <c r="BD213" s="637"/>
      <c r="BE213" s="637"/>
      <c r="BF213" s="637"/>
      <c r="BG213" s="637"/>
      <c r="BH213" s="637"/>
      <c r="BI213" s="637"/>
    </row>
    <row r="214" ht="15.75" customHeight="1">
      <c r="A214" s="637"/>
      <c r="B214" s="637"/>
      <c r="C214" s="637"/>
      <c r="D214" s="637"/>
      <c r="E214" s="1007"/>
      <c r="F214" s="1007"/>
      <c r="G214" s="637"/>
      <c r="H214" s="637"/>
      <c r="I214" s="637"/>
      <c r="J214" s="637"/>
      <c r="K214" s="637"/>
      <c r="L214" s="637"/>
      <c r="M214" s="637"/>
      <c r="N214" s="637"/>
      <c r="O214" s="637"/>
      <c r="P214" s="637"/>
      <c r="Q214" s="1008"/>
      <c r="R214" s="637"/>
      <c r="S214" s="637"/>
      <c r="T214" s="637"/>
      <c r="U214" s="637"/>
      <c r="V214" s="637"/>
      <c r="W214" s="637"/>
      <c r="X214" s="637"/>
      <c r="Y214" s="1008"/>
      <c r="Z214" s="637"/>
      <c r="AA214" s="637"/>
      <c r="AB214" s="637"/>
      <c r="AC214" s="637"/>
      <c r="AD214" s="637"/>
      <c r="AE214" s="637"/>
      <c r="AF214" s="637"/>
      <c r="AG214" s="1008"/>
      <c r="AH214" s="637"/>
      <c r="AI214" s="637"/>
      <c r="AJ214" s="637"/>
      <c r="AK214" s="637"/>
      <c r="AL214" s="637"/>
      <c r="AM214" s="637"/>
      <c r="AN214" s="637"/>
      <c r="AO214" s="1008"/>
      <c r="AP214" s="637"/>
      <c r="AQ214" s="637"/>
      <c r="AR214" s="637"/>
      <c r="AS214" s="1008"/>
      <c r="AT214" s="637"/>
      <c r="AU214" s="637"/>
      <c r="AV214" s="637"/>
      <c r="AW214" s="637"/>
      <c r="AX214" s="637"/>
      <c r="AY214" s="637"/>
      <c r="AZ214" s="637"/>
      <c r="BA214" s="637"/>
      <c r="BB214" s="637"/>
      <c r="BC214" s="637"/>
      <c r="BD214" s="637"/>
      <c r="BE214" s="637"/>
      <c r="BF214" s="637"/>
      <c r="BG214" s="637"/>
      <c r="BH214" s="637"/>
      <c r="BI214" s="637"/>
    </row>
    <row r="215" ht="15.75" customHeight="1">
      <c r="A215" s="637"/>
      <c r="B215" s="637"/>
      <c r="C215" s="637"/>
      <c r="D215" s="637"/>
      <c r="E215" s="1007"/>
      <c r="F215" s="1007"/>
      <c r="G215" s="637"/>
      <c r="H215" s="637"/>
      <c r="I215" s="637"/>
      <c r="J215" s="637"/>
      <c r="K215" s="637"/>
      <c r="L215" s="637"/>
      <c r="M215" s="637"/>
      <c r="N215" s="637"/>
      <c r="O215" s="637"/>
      <c r="P215" s="637"/>
      <c r="Q215" s="1008"/>
      <c r="R215" s="637"/>
      <c r="S215" s="637"/>
      <c r="T215" s="637"/>
      <c r="U215" s="637"/>
      <c r="V215" s="637"/>
      <c r="W215" s="637"/>
      <c r="X215" s="637"/>
      <c r="Y215" s="1008"/>
      <c r="Z215" s="637"/>
      <c r="AA215" s="637"/>
      <c r="AB215" s="637"/>
      <c r="AC215" s="637"/>
      <c r="AD215" s="637"/>
      <c r="AE215" s="637"/>
      <c r="AF215" s="637"/>
      <c r="AG215" s="1008"/>
      <c r="AH215" s="637"/>
      <c r="AI215" s="637"/>
      <c r="AJ215" s="637"/>
      <c r="AK215" s="637"/>
      <c r="AL215" s="637"/>
      <c r="AM215" s="637"/>
      <c r="AN215" s="637"/>
      <c r="AO215" s="1008"/>
      <c r="AP215" s="637"/>
      <c r="AQ215" s="637"/>
      <c r="AR215" s="637"/>
      <c r="AS215" s="1008"/>
      <c r="AT215" s="637"/>
      <c r="AU215" s="637"/>
      <c r="AV215" s="637"/>
      <c r="AW215" s="637"/>
      <c r="AX215" s="637"/>
      <c r="AY215" s="637"/>
      <c r="AZ215" s="637"/>
      <c r="BA215" s="637"/>
      <c r="BB215" s="637"/>
      <c r="BC215" s="637"/>
      <c r="BD215" s="637"/>
      <c r="BE215" s="637"/>
      <c r="BF215" s="637"/>
      <c r="BG215" s="637"/>
      <c r="BH215" s="637"/>
      <c r="BI215" s="637"/>
    </row>
    <row r="216" ht="15.75" customHeight="1">
      <c r="A216" s="637"/>
      <c r="B216" s="637"/>
      <c r="C216" s="637"/>
      <c r="D216" s="637"/>
      <c r="E216" s="1007"/>
      <c r="F216" s="1007"/>
      <c r="G216" s="637"/>
      <c r="H216" s="637"/>
      <c r="I216" s="637"/>
      <c r="J216" s="637"/>
      <c r="K216" s="637"/>
      <c r="L216" s="637"/>
      <c r="M216" s="637"/>
      <c r="N216" s="637"/>
      <c r="O216" s="637"/>
      <c r="P216" s="637"/>
      <c r="Q216" s="1008"/>
      <c r="R216" s="637"/>
      <c r="S216" s="637"/>
      <c r="T216" s="637"/>
      <c r="U216" s="637"/>
      <c r="V216" s="637"/>
      <c r="W216" s="637"/>
      <c r="X216" s="637"/>
      <c r="Y216" s="1008"/>
      <c r="Z216" s="637"/>
      <c r="AA216" s="637"/>
      <c r="AB216" s="637"/>
      <c r="AC216" s="637"/>
      <c r="AD216" s="637"/>
      <c r="AE216" s="637"/>
      <c r="AF216" s="637"/>
      <c r="AG216" s="1008"/>
      <c r="AH216" s="637"/>
      <c r="AI216" s="637"/>
      <c r="AJ216" s="637"/>
      <c r="AK216" s="637"/>
      <c r="AL216" s="637"/>
      <c r="AM216" s="637"/>
      <c r="AN216" s="637"/>
      <c r="AO216" s="1008"/>
      <c r="AP216" s="637"/>
      <c r="AQ216" s="637"/>
      <c r="AR216" s="637"/>
      <c r="AS216" s="1008"/>
      <c r="AT216" s="637"/>
      <c r="AU216" s="637"/>
      <c r="AV216" s="637"/>
      <c r="AW216" s="637"/>
      <c r="AX216" s="637"/>
      <c r="AY216" s="637"/>
      <c r="AZ216" s="637"/>
      <c r="BA216" s="637"/>
      <c r="BB216" s="637"/>
      <c r="BC216" s="637"/>
      <c r="BD216" s="637"/>
      <c r="BE216" s="637"/>
      <c r="BF216" s="637"/>
      <c r="BG216" s="637"/>
      <c r="BH216" s="637"/>
      <c r="BI216" s="637"/>
    </row>
    <row r="217" ht="15.75" customHeight="1">
      <c r="A217" s="637"/>
      <c r="B217" s="637"/>
      <c r="C217" s="637"/>
      <c r="D217" s="637"/>
      <c r="E217" s="1007"/>
      <c r="F217" s="1007"/>
      <c r="G217" s="637"/>
      <c r="H217" s="637"/>
      <c r="I217" s="637"/>
      <c r="J217" s="637"/>
      <c r="K217" s="637"/>
      <c r="L217" s="637"/>
      <c r="M217" s="637"/>
      <c r="N217" s="637"/>
      <c r="O217" s="637"/>
      <c r="P217" s="637"/>
      <c r="Q217" s="1008"/>
      <c r="R217" s="637"/>
      <c r="S217" s="637"/>
      <c r="T217" s="637"/>
      <c r="U217" s="637"/>
      <c r="V217" s="637"/>
      <c r="W217" s="637"/>
      <c r="X217" s="637"/>
      <c r="Y217" s="1008"/>
      <c r="Z217" s="637"/>
      <c r="AA217" s="637"/>
      <c r="AB217" s="637"/>
      <c r="AC217" s="637"/>
      <c r="AD217" s="637"/>
      <c r="AE217" s="637"/>
      <c r="AF217" s="637"/>
      <c r="AG217" s="1008"/>
      <c r="AH217" s="637"/>
      <c r="AI217" s="637"/>
      <c r="AJ217" s="637"/>
      <c r="AK217" s="637"/>
      <c r="AL217" s="637"/>
      <c r="AM217" s="637"/>
      <c r="AN217" s="637"/>
      <c r="AO217" s="1008"/>
      <c r="AP217" s="637"/>
      <c r="AQ217" s="637"/>
      <c r="AR217" s="637"/>
      <c r="AS217" s="1008"/>
      <c r="AT217" s="637"/>
      <c r="AU217" s="637"/>
      <c r="AV217" s="637"/>
      <c r="AW217" s="637"/>
      <c r="AX217" s="637"/>
      <c r="AY217" s="637"/>
      <c r="AZ217" s="637"/>
      <c r="BA217" s="637"/>
      <c r="BB217" s="637"/>
      <c r="BC217" s="637"/>
      <c r="BD217" s="637"/>
      <c r="BE217" s="637"/>
      <c r="BF217" s="637"/>
      <c r="BG217" s="637"/>
      <c r="BH217" s="637"/>
      <c r="BI217" s="637"/>
    </row>
    <row r="218" ht="15.75" customHeight="1">
      <c r="A218" s="637"/>
      <c r="B218" s="637"/>
      <c r="C218" s="637"/>
      <c r="D218" s="637"/>
      <c r="E218" s="1007"/>
      <c r="F218" s="1007"/>
      <c r="G218" s="637"/>
      <c r="H218" s="637"/>
      <c r="I218" s="637"/>
      <c r="J218" s="637"/>
      <c r="K218" s="637"/>
      <c r="L218" s="637"/>
      <c r="M218" s="637"/>
      <c r="N218" s="637"/>
      <c r="O218" s="637"/>
      <c r="P218" s="637"/>
      <c r="Q218" s="1008"/>
      <c r="R218" s="637"/>
      <c r="S218" s="637"/>
      <c r="T218" s="637"/>
      <c r="U218" s="637"/>
      <c r="V218" s="637"/>
      <c r="W218" s="637"/>
      <c r="X218" s="637"/>
      <c r="Y218" s="1008"/>
      <c r="Z218" s="637"/>
      <c r="AA218" s="637"/>
      <c r="AB218" s="637"/>
      <c r="AC218" s="637"/>
      <c r="AD218" s="637"/>
      <c r="AE218" s="637"/>
      <c r="AF218" s="637"/>
      <c r="AG218" s="1008"/>
      <c r="AH218" s="637"/>
      <c r="AI218" s="637"/>
      <c r="AJ218" s="637"/>
      <c r="AK218" s="637"/>
      <c r="AL218" s="637"/>
      <c r="AM218" s="637"/>
      <c r="AN218" s="637"/>
      <c r="AO218" s="1008"/>
      <c r="AP218" s="637"/>
      <c r="AQ218" s="637"/>
      <c r="AR218" s="637"/>
      <c r="AS218" s="1008"/>
      <c r="AT218" s="637"/>
      <c r="AU218" s="637"/>
      <c r="AV218" s="637"/>
      <c r="AW218" s="637"/>
      <c r="AX218" s="637"/>
      <c r="AY218" s="637"/>
      <c r="AZ218" s="637"/>
      <c r="BA218" s="637"/>
      <c r="BB218" s="637"/>
      <c r="BC218" s="637"/>
      <c r="BD218" s="637"/>
      <c r="BE218" s="637"/>
      <c r="BF218" s="637"/>
      <c r="BG218" s="637"/>
      <c r="BH218" s="637"/>
      <c r="BI218" s="637"/>
    </row>
    <row r="219" ht="15.75" customHeight="1">
      <c r="A219" s="637"/>
      <c r="B219" s="637"/>
      <c r="C219" s="637"/>
      <c r="D219" s="637"/>
      <c r="E219" s="1007"/>
      <c r="F219" s="1007"/>
      <c r="G219" s="637"/>
      <c r="H219" s="637"/>
      <c r="I219" s="637"/>
      <c r="J219" s="637"/>
      <c r="K219" s="637"/>
      <c r="L219" s="637"/>
      <c r="M219" s="637"/>
      <c r="N219" s="637"/>
      <c r="O219" s="637"/>
      <c r="P219" s="637"/>
      <c r="Q219" s="1008"/>
      <c r="R219" s="637"/>
      <c r="S219" s="637"/>
      <c r="T219" s="637"/>
      <c r="U219" s="637"/>
      <c r="V219" s="637"/>
      <c r="W219" s="637"/>
      <c r="X219" s="637"/>
      <c r="Y219" s="1008"/>
      <c r="Z219" s="637"/>
      <c r="AA219" s="637"/>
      <c r="AB219" s="637"/>
      <c r="AC219" s="637"/>
      <c r="AD219" s="637"/>
      <c r="AE219" s="637"/>
      <c r="AF219" s="637"/>
      <c r="AG219" s="1008"/>
      <c r="AH219" s="637"/>
      <c r="AI219" s="637"/>
      <c r="AJ219" s="637"/>
      <c r="AK219" s="637"/>
      <c r="AL219" s="637"/>
      <c r="AM219" s="637"/>
      <c r="AN219" s="637"/>
      <c r="AO219" s="1008"/>
      <c r="AP219" s="637"/>
      <c r="AQ219" s="637"/>
      <c r="AR219" s="637"/>
      <c r="AS219" s="1008"/>
      <c r="AT219" s="637"/>
      <c r="AU219" s="637"/>
      <c r="AV219" s="637"/>
      <c r="AW219" s="637"/>
      <c r="AX219" s="637"/>
      <c r="AY219" s="637"/>
      <c r="AZ219" s="637"/>
      <c r="BA219" s="637"/>
      <c r="BB219" s="637"/>
      <c r="BC219" s="637"/>
      <c r="BD219" s="637"/>
      <c r="BE219" s="637"/>
      <c r="BF219" s="637"/>
      <c r="BG219" s="637"/>
      <c r="BH219" s="637"/>
      <c r="BI219" s="637"/>
    </row>
    <row r="220" ht="15.75" customHeight="1">
      <c r="A220" s="637"/>
      <c r="B220" s="637"/>
      <c r="C220" s="637"/>
      <c r="D220" s="637"/>
      <c r="E220" s="1007"/>
      <c r="F220" s="1007"/>
      <c r="G220" s="637"/>
      <c r="H220" s="637"/>
      <c r="I220" s="637"/>
      <c r="J220" s="637"/>
      <c r="K220" s="637"/>
      <c r="L220" s="637"/>
      <c r="M220" s="637"/>
      <c r="N220" s="637"/>
      <c r="O220" s="637"/>
      <c r="P220" s="637"/>
      <c r="Q220" s="1008"/>
      <c r="R220" s="637"/>
      <c r="S220" s="637"/>
      <c r="T220" s="637"/>
      <c r="U220" s="637"/>
      <c r="V220" s="637"/>
      <c r="W220" s="637"/>
      <c r="X220" s="637"/>
      <c r="Y220" s="1008"/>
      <c r="Z220" s="637"/>
      <c r="AA220" s="637"/>
      <c r="AB220" s="637"/>
      <c r="AC220" s="637"/>
      <c r="AD220" s="637"/>
      <c r="AE220" s="637"/>
      <c r="AF220" s="637"/>
      <c r="AG220" s="1008"/>
      <c r="AH220" s="637"/>
      <c r="AI220" s="637"/>
      <c r="AJ220" s="637"/>
      <c r="AK220" s="637"/>
      <c r="AL220" s="637"/>
      <c r="AM220" s="637"/>
      <c r="AN220" s="637"/>
      <c r="AO220" s="1008"/>
      <c r="AP220" s="637"/>
      <c r="AQ220" s="637"/>
      <c r="AR220" s="637"/>
      <c r="AS220" s="1008"/>
      <c r="AT220" s="637"/>
      <c r="AU220" s="637"/>
      <c r="AV220" s="637"/>
      <c r="AW220" s="637"/>
      <c r="AX220" s="637"/>
      <c r="AY220" s="637"/>
      <c r="AZ220" s="637"/>
      <c r="BA220" s="637"/>
      <c r="BB220" s="637"/>
      <c r="BC220" s="637"/>
      <c r="BD220" s="637"/>
      <c r="BE220" s="637"/>
      <c r="BF220" s="637"/>
      <c r="BG220" s="637"/>
      <c r="BH220" s="637"/>
      <c r="BI220" s="637"/>
    </row>
    <row r="221" ht="15.75" customHeight="1">
      <c r="A221" s="637"/>
      <c r="B221" s="637"/>
      <c r="C221" s="637"/>
      <c r="D221" s="637"/>
      <c r="E221" s="1007"/>
      <c r="F221" s="1007"/>
      <c r="G221" s="637"/>
      <c r="H221" s="637"/>
      <c r="I221" s="637"/>
      <c r="J221" s="637"/>
      <c r="K221" s="637"/>
      <c r="L221" s="637"/>
      <c r="M221" s="637"/>
      <c r="N221" s="637"/>
      <c r="O221" s="637"/>
      <c r="P221" s="637"/>
      <c r="Q221" s="1008"/>
      <c r="R221" s="637"/>
      <c r="S221" s="637"/>
      <c r="T221" s="637"/>
      <c r="U221" s="637"/>
      <c r="V221" s="637"/>
      <c r="W221" s="637"/>
      <c r="X221" s="637"/>
      <c r="Y221" s="1008"/>
      <c r="Z221" s="637"/>
      <c r="AA221" s="637"/>
      <c r="AB221" s="637"/>
      <c r="AC221" s="637"/>
      <c r="AD221" s="637"/>
      <c r="AE221" s="637"/>
      <c r="AF221" s="637"/>
      <c r="AG221" s="1008"/>
      <c r="AH221" s="637"/>
      <c r="AI221" s="637"/>
      <c r="AJ221" s="637"/>
      <c r="AK221" s="637"/>
      <c r="AL221" s="637"/>
      <c r="AM221" s="637"/>
      <c r="AN221" s="637"/>
      <c r="AO221" s="1008"/>
      <c r="AP221" s="637"/>
      <c r="AQ221" s="637"/>
      <c r="AR221" s="637"/>
      <c r="AS221" s="1008"/>
      <c r="AT221" s="637"/>
      <c r="AU221" s="637"/>
      <c r="AV221" s="637"/>
      <c r="AW221" s="637"/>
      <c r="AX221" s="637"/>
      <c r="AY221" s="637"/>
      <c r="AZ221" s="637"/>
      <c r="BA221" s="637"/>
      <c r="BB221" s="637"/>
      <c r="BC221" s="637"/>
      <c r="BD221" s="637"/>
      <c r="BE221" s="637"/>
      <c r="BF221" s="637"/>
      <c r="BG221" s="637"/>
      <c r="BH221" s="637"/>
      <c r="BI221" s="637"/>
    </row>
    <row r="222" ht="15.75" customHeight="1">
      <c r="A222" s="637"/>
      <c r="B222" s="637"/>
      <c r="C222" s="637"/>
      <c r="D222" s="637"/>
      <c r="E222" s="1007"/>
      <c r="F222" s="1007"/>
      <c r="G222" s="637"/>
      <c r="H222" s="637"/>
      <c r="I222" s="637"/>
      <c r="J222" s="637"/>
      <c r="K222" s="637"/>
      <c r="L222" s="637"/>
      <c r="M222" s="637"/>
      <c r="N222" s="637"/>
      <c r="O222" s="637"/>
      <c r="P222" s="637"/>
      <c r="Q222" s="1008"/>
      <c r="R222" s="637"/>
      <c r="S222" s="637"/>
      <c r="T222" s="637"/>
      <c r="U222" s="637"/>
      <c r="V222" s="637"/>
      <c r="W222" s="637"/>
      <c r="X222" s="637"/>
      <c r="Y222" s="1008"/>
      <c r="Z222" s="637"/>
      <c r="AA222" s="637"/>
      <c r="AB222" s="637"/>
      <c r="AC222" s="637"/>
      <c r="AD222" s="637"/>
      <c r="AE222" s="637"/>
      <c r="AF222" s="637"/>
      <c r="AG222" s="1008"/>
      <c r="AH222" s="637"/>
      <c r="AI222" s="637"/>
      <c r="AJ222" s="637"/>
      <c r="AK222" s="637"/>
      <c r="AL222" s="637"/>
      <c r="AM222" s="637"/>
      <c r="AN222" s="637"/>
      <c r="AO222" s="1008"/>
      <c r="AP222" s="637"/>
      <c r="AQ222" s="637"/>
      <c r="AR222" s="637"/>
      <c r="AS222" s="1008"/>
      <c r="AT222" s="637"/>
      <c r="AU222" s="637"/>
      <c r="AV222" s="637"/>
      <c r="AW222" s="637"/>
      <c r="AX222" s="637"/>
      <c r="AY222" s="637"/>
      <c r="AZ222" s="637"/>
      <c r="BA222" s="637"/>
      <c r="BB222" s="637"/>
      <c r="BC222" s="637"/>
      <c r="BD222" s="637"/>
      <c r="BE222" s="637"/>
      <c r="BF222" s="637"/>
      <c r="BG222" s="637"/>
      <c r="BH222" s="637"/>
      <c r="BI222" s="637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A2:BC2"/>
    <mergeCell ref="BA24:BB24"/>
    <mergeCell ref="BA25:BB25"/>
    <mergeCell ref="BA26:BB26"/>
    <mergeCell ref="BA27:BB27"/>
    <mergeCell ref="BA28:BB28"/>
    <mergeCell ref="BA29:BB29"/>
    <mergeCell ref="BA30:BB30"/>
    <mergeCell ref="B2:C2"/>
    <mergeCell ref="E2:F2"/>
    <mergeCell ref="G2:I2"/>
    <mergeCell ref="Q2:AV2"/>
    <mergeCell ref="AX2:AY2"/>
    <mergeCell ref="BD2:BF2"/>
    <mergeCell ref="BG2:BH2"/>
  </mergeCells>
  <conditionalFormatting sqref="G8:G9">
    <cfRule type="cellIs" dxfId="2" priority="1" operator="equal">
      <formula>13000</formula>
    </cfRule>
  </conditionalFormatting>
  <conditionalFormatting sqref="G14 G16:G17">
    <cfRule type="cellIs" dxfId="2" priority="2" operator="equal">
      <formula>13000</formula>
    </cfRule>
  </conditionalFormatting>
  <conditionalFormatting sqref="G10:G13 G15 G18:G21">
    <cfRule type="cellIs" dxfId="2" priority="3" operator="equal">
      <formula>13000</formula>
    </cfRule>
  </conditionalFormatting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14"/>
    <col customWidth="1" min="2" max="2" width="16.86"/>
    <col customWidth="1" min="3" max="152" width="4.71"/>
    <col customWidth="1" min="153" max="188" width="4.86"/>
    <col customWidth="1" min="189" max="195" width="9.0"/>
  </cols>
  <sheetData>
    <row r="2">
      <c r="B2" s="1017"/>
      <c r="C2" s="1018">
        <v>44774.0</v>
      </c>
      <c r="D2" s="2"/>
      <c r="E2" s="2"/>
      <c r="F2" s="2"/>
      <c r="G2" s="2"/>
      <c r="H2" s="3"/>
      <c r="I2" s="1018">
        <f>1+C2</f>
        <v>44775</v>
      </c>
      <c r="J2" s="2"/>
      <c r="K2" s="2"/>
      <c r="L2" s="2"/>
      <c r="M2" s="2"/>
      <c r="N2" s="3"/>
      <c r="O2" s="1018">
        <f>1+I2</f>
        <v>44776</v>
      </c>
      <c r="P2" s="2"/>
      <c r="Q2" s="2"/>
      <c r="R2" s="2"/>
      <c r="S2" s="2"/>
      <c r="T2" s="3"/>
      <c r="U2" s="1019">
        <f>1+O2</f>
        <v>44777</v>
      </c>
      <c r="V2" s="2"/>
      <c r="W2" s="2"/>
      <c r="X2" s="2"/>
      <c r="Y2" s="2"/>
      <c r="Z2" s="727"/>
      <c r="AA2" s="1018">
        <f>1+U2</f>
        <v>44778</v>
      </c>
      <c r="AB2" s="2"/>
      <c r="AC2" s="2"/>
      <c r="AD2" s="2"/>
      <c r="AE2" s="2"/>
      <c r="AF2" s="3"/>
      <c r="AG2" s="1019">
        <f>1+AA2</f>
        <v>44779</v>
      </c>
      <c r="AH2" s="2"/>
      <c r="AI2" s="2"/>
      <c r="AJ2" s="2"/>
      <c r="AK2" s="2"/>
      <c r="AL2" s="727"/>
      <c r="AM2" s="1018">
        <f>1+AG2</f>
        <v>44780</v>
      </c>
      <c r="AN2" s="2"/>
      <c r="AO2" s="2"/>
      <c r="AP2" s="2"/>
      <c r="AQ2" s="2"/>
      <c r="AR2" s="3"/>
      <c r="AS2" s="1019">
        <f>1+AM2</f>
        <v>44781</v>
      </c>
      <c r="AT2" s="2"/>
      <c r="AU2" s="2"/>
      <c r="AV2" s="2"/>
      <c r="AW2" s="2"/>
      <c r="AX2" s="727"/>
      <c r="AY2" s="1018">
        <f>1+AS2</f>
        <v>44782</v>
      </c>
      <c r="AZ2" s="2"/>
      <c r="BA2" s="2"/>
      <c r="BB2" s="2"/>
      <c r="BC2" s="2"/>
      <c r="BD2" s="3"/>
      <c r="BE2" s="1019">
        <f>1+AY2</f>
        <v>44783</v>
      </c>
      <c r="BF2" s="2"/>
      <c r="BG2" s="2"/>
      <c r="BH2" s="2"/>
      <c r="BI2" s="2"/>
      <c r="BJ2" s="727"/>
      <c r="BK2" s="1018">
        <f>1+BE2</f>
        <v>44784</v>
      </c>
      <c r="BL2" s="2"/>
      <c r="BM2" s="2"/>
      <c r="BN2" s="2"/>
      <c r="BO2" s="2"/>
      <c r="BP2" s="3"/>
      <c r="BQ2" s="1019">
        <f>1+BK2</f>
        <v>44785</v>
      </c>
      <c r="BR2" s="2"/>
      <c r="BS2" s="2"/>
      <c r="BT2" s="2"/>
      <c r="BU2" s="2"/>
      <c r="BV2" s="727"/>
      <c r="BW2" s="1018">
        <f>1+BQ2</f>
        <v>44786</v>
      </c>
      <c r="BX2" s="2"/>
      <c r="BY2" s="2"/>
      <c r="BZ2" s="2"/>
      <c r="CA2" s="2"/>
      <c r="CB2" s="3"/>
      <c r="CC2" s="1019">
        <f>1+BW2</f>
        <v>44787</v>
      </c>
      <c r="CD2" s="2"/>
      <c r="CE2" s="2"/>
      <c r="CF2" s="2"/>
      <c r="CG2" s="2"/>
      <c r="CH2" s="727"/>
      <c r="CI2" s="1018">
        <f>1+CC2</f>
        <v>44788</v>
      </c>
      <c r="CJ2" s="2"/>
      <c r="CK2" s="2"/>
      <c r="CL2" s="2"/>
      <c r="CM2" s="2"/>
      <c r="CN2" s="3"/>
      <c r="CO2" s="1019">
        <f>1+CI2</f>
        <v>44789</v>
      </c>
      <c r="CP2" s="2"/>
      <c r="CQ2" s="2"/>
      <c r="CR2" s="2"/>
      <c r="CS2" s="2"/>
      <c r="CT2" s="727"/>
      <c r="CU2" s="1018">
        <f>1+CO2</f>
        <v>44790</v>
      </c>
      <c r="CV2" s="2"/>
      <c r="CW2" s="2"/>
      <c r="CX2" s="2"/>
      <c r="CY2" s="2"/>
      <c r="CZ2" s="3"/>
      <c r="DA2" s="1019">
        <f>1+CU2</f>
        <v>44791</v>
      </c>
      <c r="DB2" s="2"/>
      <c r="DC2" s="2"/>
      <c r="DD2" s="2"/>
      <c r="DE2" s="2"/>
      <c r="DF2" s="727"/>
      <c r="DG2" s="1018">
        <f>1+DA2</f>
        <v>44792</v>
      </c>
      <c r="DH2" s="2"/>
      <c r="DI2" s="2"/>
      <c r="DJ2" s="2"/>
      <c r="DK2" s="2"/>
      <c r="DL2" s="3"/>
      <c r="DM2" s="1019">
        <f>1+DG2</f>
        <v>44793</v>
      </c>
      <c r="DN2" s="2"/>
      <c r="DO2" s="2"/>
      <c r="DP2" s="2"/>
      <c r="DQ2" s="2"/>
      <c r="DR2" s="727"/>
      <c r="DS2" s="1018">
        <f>1+DM2</f>
        <v>44794</v>
      </c>
      <c r="DT2" s="2"/>
      <c r="DU2" s="2"/>
      <c r="DV2" s="2"/>
      <c r="DW2" s="2"/>
      <c r="DX2" s="3"/>
      <c r="DY2" s="1019">
        <f>1+DS2</f>
        <v>44795</v>
      </c>
      <c r="DZ2" s="2"/>
      <c r="EA2" s="2"/>
      <c r="EB2" s="2"/>
      <c r="EC2" s="2"/>
      <c r="ED2" s="727"/>
      <c r="EE2" s="1018">
        <f>1+DY2</f>
        <v>44796</v>
      </c>
      <c r="EF2" s="2"/>
      <c r="EG2" s="2"/>
      <c r="EH2" s="2"/>
      <c r="EI2" s="2"/>
      <c r="EJ2" s="3"/>
      <c r="EK2" s="1019">
        <f>1+EE2</f>
        <v>44797</v>
      </c>
      <c r="EL2" s="2"/>
      <c r="EM2" s="2"/>
      <c r="EN2" s="2"/>
      <c r="EO2" s="2"/>
      <c r="EP2" s="727"/>
      <c r="EQ2" s="1018">
        <f>1+EK2</f>
        <v>44798</v>
      </c>
      <c r="ER2" s="2"/>
      <c r="ES2" s="2"/>
      <c r="ET2" s="2"/>
      <c r="EU2" s="2"/>
      <c r="EV2" s="3"/>
      <c r="EW2" s="1019">
        <f>1+EQ2</f>
        <v>44799</v>
      </c>
      <c r="EX2" s="2"/>
      <c r="EY2" s="2"/>
      <c r="EZ2" s="2"/>
      <c r="FA2" s="2"/>
      <c r="FB2" s="727"/>
      <c r="FC2" s="1018">
        <f>1+EW2</f>
        <v>44800</v>
      </c>
      <c r="FD2" s="2"/>
      <c r="FE2" s="2"/>
      <c r="FF2" s="2"/>
      <c r="FG2" s="2"/>
      <c r="FH2" s="3"/>
      <c r="FI2" s="1019">
        <f>1+FC2</f>
        <v>44801</v>
      </c>
      <c r="FJ2" s="2"/>
      <c r="FK2" s="2"/>
      <c r="FL2" s="2"/>
      <c r="FM2" s="2"/>
      <c r="FN2" s="727"/>
      <c r="FO2" s="1018">
        <f>1+FI2</f>
        <v>44802</v>
      </c>
      <c r="FP2" s="2"/>
      <c r="FQ2" s="2"/>
      <c r="FR2" s="2"/>
      <c r="FS2" s="2"/>
      <c r="FT2" s="3"/>
      <c r="FU2" s="1019">
        <f>1+FO2</f>
        <v>44803</v>
      </c>
      <c r="FV2" s="2"/>
      <c r="FW2" s="2"/>
      <c r="FX2" s="2"/>
      <c r="FY2" s="2"/>
      <c r="FZ2" s="727"/>
      <c r="GA2" s="1018">
        <f>1+FU2</f>
        <v>44804</v>
      </c>
      <c r="GB2" s="2"/>
      <c r="GC2" s="2"/>
      <c r="GD2" s="2"/>
      <c r="GE2" s="2"/>
      <c r="GF2" s="3"/>
      <c r="GG2" s="1018" t="s">
        <v>62</v>
      </c>
      <c r="GH2" s="2"/>
      <c r="GI2" s="2"/>
      <c r="GJ2" s="2"/>
      <c r="GK2" s="2"/>
      <c r="GL2" s="3"/>
      <c r="GM2" s="1020" t="s">
        <v>620</v>
      </c>
    </row>
    <row r="3">
      <c r="B3" s="1021"/>
      <c r="C3" s="1022" t="s">
        <v>621</v>
      </c>
      <c r="D3" s="1023" t="s">
        <v>622</v>
      </c>
      <c r="E3" s="1023" t="s">
        <v>623</v>
      </c>
      <c r="F3" s="1023" t="s">
        <v>624</v>
      </c>
      <c r="G3" s="1024" t="s">
        <v>625</v>
      </c>
      <c r="H3" s="1025" t="s">
        <v>626</v>
      </c>
      <c r="I3" s="1022" t="s">
        <v>621</v>
      </c>
      <c r="J3" s="1023" t="s">
        <v>622</v>
      </c>
      <c r="K3" s="1023" t="s">
        <v>623</v>
      </c>
      <c r="L3" s="1023" t="s">
        <v>624</v>
      </c>
      <c r="M3" s="1024" t="s">
        <v>625</v>
      </c>
      <c r="N3" s="1025" t="s">
        <v>626</v>
      </c>
      <c r="O3" s="1022" t="s">
        <v>621</v>
      </c>
      <c r="P3" s="1023" t="s">
        <v>622</v>
      </c>
      <c r="Q3" s="1023" t="s">
        <v>623</v>
      </c>
      <c r="R3" s="1023" t="s">
        <v>624</v>
      </c>
      <c r="S3" s="1024" t="s">
        <v>625</v>
      </c>
      <c r="T3" s="1025" t="s">
        <v>626</v>
      </c>
      <c r="U3" s="1022" t="s">
        <v>621</v>
      </c>
      <c r="V3" s="1023" t="s">
        <v>622</v>
      </c>
      <c r="W3" s="1023" t="s">
        <v>623</v>
      </c>
      <c r="X3" s="1023" t="s">
        <v>624</v>
      </c>
      <c r="Y3" s="1024" t="s">
        <v>625</v>
      </c>
      <c r="Z3" s="1025" t="s">
        <v>626</v>
      </c>
      <c r="AA3" s="1022" t="s">
        <v>621</v>
      </c>
      <c r="AB3" s="1023" t="s">
        <v>622</v>
      </c>
      <c r="AC3" s="1023" t="s">
        <v>623</v>
      </c>
      <c r="AD3" s="1023" t="s">
        <v>624</v>
      </c>
      <c r="AE3" s="1024" t="s">
        <v>625</v>
      </c>
      <c r="AF3" s="1025" t="s">
        <v>626</v>
      </c>
      <c r="AG3" s="1022" t="s">
        <v>621</v>
      </c>
      <c r="AH3" s="1023" t="s">
        <v>622</v>
      </c>
      <c r="AI3" s="1023" t="s">
        <v>623</v>
      </c>
      <c r="AJ3" s="1023" t="s">
        <v>624</v>
      </c>
      <c r="AK3" s="1024" t="s">
        <v>625</v>
      </c>
      <c r="AL3" s="1025" t="s">
        <v>626</v>
      </c>
      <c r="AM3" s="1022" t="s">
        <v>621</v>
      </c>
      <c r="AN3" s="1023" t="s">
        <v>622</v>
      </c>
      <c r="AO3" s="1023" t="s">
        <v>623</v>
      </c>
      <c r="AP3" s="1023" t="s">
        <v>624</v>
      </c>
      <c r="AQ3" s="1024" t="s">
        <v>625</v>
      </c>
      <c r="AR3" s="1025" t="s">
        <v>626</v>
      </c>
      <c r="AS3" s="1022" t="s">
        <v>621</v>
      </c>
      <c r="AT3" s="1023" t="s">
        <v>622</v>
      </c>
      <c r="AU3" s="1023" t="s">
        <v>623</v>
      </c>
      <c r="AV3" s="1023" t="s">
        <v>624</v>
      </c>
      <c r="AW3" s="1024" t="s">
        <v>625</v>
      </c>
      <c r="AX3" s="1025" t="s">
        <v>626</v>
      </c>
      <c r="AY3" s="1022" t="s">
        <v>621</v>
      </c>
      <c r="AZ3" s="1023" t="s">
        <v>622</v>
      </c>
      <c r="BA3" s="1023" t="s">
        <v>623</v>
      </c>
      <c r="BB3" s="1023" t="s">
        <v>624</v>
      </c>
      <c r="BC3" s="1024" t="s">
        <v>625</v>
      </c>
      <c r="BD3" s="1025" t="s">
        <v>626</v>
      </c>
      <c r="BE3" s="1022" t="s">
        <v>621</v>
      </c>
      <c r="BF3" s="1023" t="s">
        <v>622</v>
      </c>
      <c r="BG3" s="1023" t="s">
        <v>623</v>
      </c>
      <c r="BH3" s="1023" t="s">
        <v>624</v>
      </c>
      <c r="BI3" s="1024" t="s">
        <v>625</v>
      </c>
      <c r="BJ3" s="1025" t="s">
        <v>626</v>
      </c>
      <c r="BK3" s="1022" t="s">
        <v>621</v>
      </c>
      <c r="BL3" s="1023" t="s">
        <v>622</v>
      </c>
      <c r="BM3" s="1023" t="s">
        <v>623</v>
      </c>
      <c r="BN3" s="1023" t="s">
        <v>624</v>
      </c>
      <c r="BO3" s="1024" t="s">
        <v>625</v>
      </c>
      <c r="BP3" s="1025" t="s">
        <v>626</v>
      </c>
      <c r="BQ3" s="1022" t="s">
        <v>621</v>
      </c>
      <c r="BR3" s="1023" t="s">
        <v>622</v>
      </c>
      <c r="BS3" s="1023" t="s">
        <v>623</v>
      </c>
      <c r="BT3" s="1023" t="s">
        <v>624</v>
      </c>
      <c r="BU3" s="1024" t="s">
        <v>625</v>
      </c>
      <c r="BV3" s="1025" t="s">
        <v>626</v>
      </c>
      <c r="BW3" s="1022" t="s">
        <v>621</v>
      </c>
      <c r="BX3" s="1023" t="s">
        <v>622</v>
      </c>
      <c r="BY3" s="1023" t="s">
        <v>623</v>
      </c>
      <c r="BZ3" s="1023" t="s">
        <v>624</v>
      </c>
      <c r="CA3" s="1024" t="s">
        <v>625</v>
      </c>
      <c r="CB3" s="1025" t="s">
        <v>626</v>
      </c>
      <c r="CC3" s="1022" t="s">
        <v>621</v>
      </c>
      <c r="CD3" s="1023" t="s">
        <v>622</v>
      </c>
      <c r="CE3" s="1023" t="s">
        <v>623</v>
      </c>
      <c r="CF3" s="1023" t="s">
        <v>624</v>
      </c>
      <c r="CG3" s="1024" t="s">
        <v>625</v>
      </c>
      <c r="CH3" s="1025" t="s">
        <v>626</v>
      </c>
      <c r="CI3" s="1022" t="s">
        <v>621</v>
      </c>
      <c r="CJ3" s="1023" t="s">
        <v>622</v>
      </c>
      <c r="CK3" s="1023" t="s">
        <v>623</v>
      </c>
      <c r="CL3" s="1023" t="s">
        <v>624</v>
      </c>
      <c r="CM3" s="1024" t="s">
        <v>625</v>
      </c>
      <c r="CN3" s="1025" t="s">
        <v>626</v>
      </c>
      <c r="CO3" s="1022" t="s">
        <v>621</v>
      </c>
      <c r="CP3" s="1023" t="s">
        <v>622</v>
      </c>
      <c r="CQ3" s="1023" t="s">
        <v>623</v>
      </c>
      <c r="CR3" s="1023" t="s">
        <v>624</v>
      </c>
      <c r="CS3" s="1024" t="s">
        <v>625</v>
      </c>
      <c r="CT3" s="1025" t="s">
        <v>626</v>
      </c>
      <c r="CU3" s="1022" t="s">
        <v>621</v>
      </c>
      <c r="CV3" s="1023" t="s">
        <v>622</v>
      </c>
      <c r="CW3" s="1023" t="s">
        <v>623</v>
      </c>
      <c r="CX3" s="1023" t="s">
        <v>624</v>
      </c>
      <c r="CY3" s="1024" t="s">
        <v>625</v>
      </c>
      <c r="CZ3" s="1025" t="s">
        <v>626</v>
      </c>
      <c r="DA3" s="1022" t="s">
        <v>621</v>
      </c>
      <c r="DB3" s="1023" t="s">
        <v>622</v>
      </c>
      <c r="DC3" s="1023" t="s">
        <v>623</v>
      </c>
      <c r="DD3" s="1023" t="s">
        <v>624</v>
      </c>
      <c r="DE3" s="1024" t="s">
        <v>625</v>
      </c>
      <c r="DF3" s="1025" t="s">
        <v>626</v>
      </c>
      <c r="DG3" s="1022" t="s">
        <v>621</v>
      </c>
      <c r="DH3" s="1023" t="s">
        <v>622</v>
      </c>
      <c r="DI3" s="1023" t="s">
        <v>623</v>
      </c>
      <c r="DJ3" s="1023" t="s">
        <v>624</v>
      </c>
      <c r="DK3" s="1024" t="s">
        <v>625</v>
      </c>
      <c r="DL3" s="1025" t="s">
        <v>626</v>
      </c>
      <c r="DM3" s="1022" t="s">
        <v>621</v>
      </c>
      <c r="DN3" s="1023" t="s">
        <v>622</v>
      </c>
      <c r="DO3" s="1023" t="s">
        <v>623</v>
      </c>
      <c r="DP3" s="1023" t="s">
        <v>624</v>
      </c>
      <c r="DQ3" s="1024" t="s">
        <v>625</v>
      </c>
      <c r="DR3" s="1025" t="s">
        <v>626</v>
      </c>
      <c r="DS3" s="1022" t="s">
        <v>621</v>
      </c>
      <c r="DT3" s="1023" t="s">
        <v>622</v>
      </c>
      <c r="DU3" s="1023" t="s">
        <v>623</v>
      </c>
      <c r="DV3" s="1023" t="s">
        <v>624</v>
      </c>
      <c r="DW3" s="1024" t="s">
        <v>625</v>
      </c>
      <c r="DX3" s="1025" t="s">
        <v>626</v>
      </c>
      <c r="DY3" s="1022" t="s">
        <v>621</v>
      </c>
      <c r="DZ3" s="1023" t="s">
        <v>622</v>
      </c>
      <c r="EA3" s="1023" t="s">
        <v>623</v>
      </c>
      <c r="EB3" s="1023" t="s">
        <v>624</v>
      </c>
      <c r="EC3" s="1024" t="s">
        <v>625</v>
      </c>
      <c r="ED3" s="1025" t="s">
        <v>626</v>
      </c>
      <c r="EE3" s="1022" t="s">
        <v>621</v>
      </c>
      <c r="EF3" s="1023" t="s">
        <v>622</v>
      </c>
      <c r="EG3" s="1023" t="s">
        <v>623</v>
      </c>
      <c r="EH3" s="1023" t="s">
        <v>624</v>
      </c>
      <c r="EI3" s="1024" t="s">
        <v>625</v>
      </c>
      <c r="EJ3" s="1025" t="s">
        <v>626</v>
      </c>
      <c r="EK3" s="1022" t="s">
        <v>621</v>
      </c>
      <c r="EL3" s="1023" t="s">
        <v>622</v>
      </c>
      <c r="EM3" s="1023" t="s">
        <v>623</v>
      </c>
      <c r="EN3" s="1023" t="s">
        <v>624</v>
      </c>
      <c r="EO3" s="1024" t="s">
        <v>625</v>
      </c>
      <c r="EP3" s="1025" t="s">
        <v>626</v>
      </c>
      <c r="EQ3" s="1022" t="s">
        <v>621</v>
      </c>
      <c r="ER3" s="1023" t="s">
        <v>622</v>
      </c>
      <c r="ES3" s="1023" t="s">
        <v>623</v>
      </c>
      <c r="ET3" s="1023" t="s">
        <v>624</v>
      </c>
      <c r="EU3" s="1024" t="s">
        <v>625</v>
      </c>
      <c r="EV3" s="1025" t="s">
        <v>626</v>
      </c>
      <c r="EW3" s="1022" t="s">
        <v>621</v>
      </c>
      <c r="EX3" s="1023" t="s">
        <v>622</v>
      </c>
      <c r="EY3" s="1023" t="s">
        <v>623</v>
      </c>
      <c r="EZ3" s="1023" t="s">
        <v>624</v>
      </c>
      <c r="FA3" s="1024" t="s">
        <v>625</v>
      </c>
      <c r="FB3" s="1025" t="s">
        <v>626</v>
      </c>
      <c r="FC3" s="1022" t="s">
        <v>621</v>
      </c>
      <c r="FD3" s="1023" t="s">
        <v>622</v>
      </c>
      <c r="FE3" s="1023" t="s">
        <v>623</v>
      </c>
      <c r="FF3" s="1023" t="s">
        <v>624</v>
      </c>
      <c r="FG3" s="1024" t="s">
        <v>625</v>
      </c>
      <c r="FH3" s="1025" t="s">
        <v>626</v>
      </c>
      <c r="FI3" s="1022" t="s">
        <v>621</v>
      </c>
      <c r="FJ3" s="1023" t="s">
        <v>622</v>
      </c>
      <c r="FK3" s="1023" t="s">
        <v>623</v>
      </c>
      <c r="FL3" s="1023" t="s">
        <v>624</v>
      </c>
      <c r="FM3" s="1024" t="s">
        <v>625</v>
      </c>
      <c r="FN3" s="1025" t="s">
        <v>626</v>
      </c>
      <c r="FO3" s="1022" t="s">
        <v>621</v>
      </c>
      <c r="FP3" s="1023" t="s">
        <v>622</v>
      </c>
      <c r="FQ3" s="1023" t="s">
        <v>623</v>
      </c>
      <c r="FR3" s="1023" t="s">
        <v>624</v>
      </c>
      <c r="FS3" s="1024" t="s">
        <v>625</v>
      </c>
      <c r="FT3" s="1025" t="s">
        <v>626</v>
      </c>
      <c r="FU3" s="1022" t="s">
        <v>621</v>
      </c>
      <c r="FV3" s="1023" t="s">
        <v>622</v>
      </c>
      <c r="FW3" s="1023" t="s">
        <v>623</v>
      </c>
      <c r="FX3" s="1023" t="s">
        <v>624</v>
      </c>
      <c r="FY3" s="1024" t="s">
        <v>625</v>
      </c>
      <c r="FZ3" s="1025" t="s">
        <v>626</v>
      </c>
      <c r="GA3" s="1022" t="s">
        <v>621</v>
      </c>
      <c r="GB3" s="1023" t="s">
        <v>622</v>
      </c>
      <c r="GC3" s="1023" t="s">
        <v>623</v>
      </c>
      <c r="GD3" s="1023" t="s">
        <v>624</v>
      </c>
      <c r="GE3" s="1024" t="s">
        <v>625</v>
      </c>
      <c r="GF3" s="1025" t="s">
        <v>626</v>
      </c>
      <c r="GG3" s="1022" t="s">
        <v>621</v>
      </c>
      <c r="GH3" s="1023" t="s">
        <v>622</v>
      </c>
      <c r="GI3" s="1023" t="s">
        <v>623</v>
      </c>
      <c r="GJ3" s="1023" t="s">
        <v>624</v>
      </c>
      <c r="GK3" s="1024" t="s">
        <v>625</v>
      </c>
      <c r="GL3" s="1025" t="s">
        <v>626</v>
      </c>
      <c r="GM3" s="1026" t="s">
        <v>62</v>
      </c>
    </row>
    <row r="4">
      <c r="B4" s="628" t="s">
        <v>627</v>
      </c>
      <c r="C4" s="1027"/>
      <c r="D4" s="1028" t="s">
        <v>628</v>
      </c>
      <c r="E4" s="1028"/>
      <c r="F4" s="1028"/>
      <c r="G4" s="1029" t="s">
        <v>629</v>
      </c>
      <c r="H4" s="1030"/>
      <c r="I4" s="1027"/>
      <c r="J4" s="1028" t="s">
        <v>628</v>
      </c>
      <c r="K4" s="1028"/>
      <c r="L4" s="1028"/>
      <c r="M4" s="1029" t="s">
        <v>629</v>
      </c>
      <c r="N4" s="1030"/>
      <c r="O4" s="1027"/>
      <c r="P4" s="1028" t="s">
        <v>628</v>
      </c>
      <c r="Q4" s="1028"/>
      <c r="R4" s="1028"/>
      <c r="S4" s="1029" t="s">
        <v>629</v>
      </c>
      <c r="T4" s="1030"/>
      <c r="U4" s="1027"/>
      <c r="V4" s="1028" t="s">
        <v>628</v>
      </c>
      <c r="W4" s="1028"/>
      <c r="X4" s="1028"/>
      <c r="Y4" s="1029" t="s">
        <v>629</v>
      </c>
      <c r="Z4" s="1030"/>
      <c r="AA4" s="1027"/>
      <c r="AB4" s="1028" t="s">
        <v>628</v>
      </c>
      <c r="AC4" s="1028"/>
      <c r="AD4" s="1028"/>
      <c r="AE4" s="1029" t="s">
        <v>629</v>
      </c>
      <c r="AF4" s="1030"/>
      <c r="AG4" s="1027"/>
      <c r="AH4" s="1028" t="s">
        <v>628</v>
      </c>
      <c r="AI4" s="1028"/>
      <c r="AJ4" s="1028"/>
      <c r="AK4" s="1029" t="s">
        <v>629</v>
      </c>
      <c r="AL4" s="1030"/>
      <c r="AM4" s="1027"/>
      <c r="AN4" s="1028" t="s">
        <v>628</v>
      </c>
      <c r="AO4" s="1028"/>
      <c r="AP4" s="1028"/>
      <c r="AQ4" s="1029" t="s">
        <v>629</v>
      </c>
      <c r="AR4" s="1030"/>
      <c r="AS4" s="1027"/>
      <c r="AT4" s="1028" t="s">
        <v>628</v>
      </c>
      <c r="AU4" s="1028"/>
      <c r="AV4" s="1028"/>
      <c r="AW4" s="1029" t="s">
        <v>629</v>
      </c>
      <c r="AX4" s="1030"/>
      <c r="AY4" s="1027"/>
      <c r="AZ4" s="1028" t="s">
        <v>628</v>
      </c>
      <c r="BA4" s="1028"/>
      <c r="BB4" s="1028"/>
      <c r="BC4" s="1029" t="s">
        <v>629</v>
      </c>
      <c r="BD4" s="1030"/>
      <c r="BE4" s="1027"/>
      <c r="BF4" s="1028" t="s">
        <v>628</v>
      </c>
      <c r="BG4" s="1028"/>
      <c r="BH4" s="1028"/>
      <c r="BI4" s="1029" t="s">
        <v>629</v>
      </c>
      <c r="BJ4" s="1030"/>
      <c r="BK4" s="1027"/>
      <c r="BL4" s="1028" t="s">
        <v>628</v>
      </c>
      <c r="BM4" s="1028"/>
      <c r="BN4" s="1028"/>
      <c r="BO4" s="1029" t="s">
        <v>629</v>
      </c>
      <c r="BP4" s="1030"/>
      <c r="BQ4" s="1027"/>
      <c r="BR4" s="1028" t="s">
        <v>628</v>
      </c>
      <c r="BS4" s="1028"/>
      <c r="BT4" s="1028"/>
      <c r="BU4" s="1029" t="s">
        <v>629</v>
      </c>
      <c r="BV4" s="1030"/>
      <c r="BW4" s="1027"/>
      <c r="BX4" s="1028" t="s">
        <v>628</v>
      </c>
      <c r="BY4" s="1028"/>
      <c r="BZ4" s="1028"/>
      <c r="CA4" s="1029" t="s">
        <v>629</v>
      </c>
      <c r="CB4" s="1030"/>
      <c r="CC4" s="1027"/>
      <c r="CD4" s="1028" t="s">
        <v>628</v>
      </c>
      <c r="CE4" s="1028"/>
      <c r="CF4" s="1028"/>
      <c r="CG4" s="1029" t="s">
        <v>629</v>
      </c>
      <c r="CH4" s="1030"/>
      <c r="CI4" s="1027"/>
      <c r="CJ4" s="1028" t="s">
        <v>628</v>
      </c>
      <c r="CK4" s="1028"/>
      <c r="CL4" s="1028"/>
      <c r="CM4" s="1029" t="s">
        <v>629</v>
      </c>
      <c r="CN4" s="1030"/>
      <c r="CO4" s="1027"/>
      <c r="CP4" s="1028" t="s">
        <v>628</v>
      </c>
      <c r="CQ4" s="1028"/>
      <c r="CR4" s="1028"/>
      <c r="CS4" s="1029" t="s">
        <v>629</v>
      </c>
      <c r="CT4" s="1030"/>
      <c r="CU4" s="1027"/>
      <c r="CV4" s="1028" t="s">
        <v>628</v>
      </c>
      <c r="CW4" s="1028"/>
      <c r="CX4" s="1028"/>
      <c r="CY4" s="1029" t="s">
        <v>629</v>
      </c>
      <c r="CZ4" s="1030"/>
      <c r="DA4" s="1027"/>
      <c r="DB4" s="1028" t="s">
        <v>628</v>
      </c>
      <c r="DC4" s="1028"/>
      <c r="DD4" s="1028"/>
      <c r="DE4" s="1029" t="s">
        <v>629</v>
      </c>
      <c r="DF4" s="1030"/>
      <c r="DG4" s="1027"/>
      <c r="DH4" s="1028" t="s">
        <v>628</v>
      </c>
      <c r="DI4" s="1028"/>
      <c r="DJ4" s="1028"/>
      <c r="DK4" s="1029" t="s">
        <v>629</v>
      </c>
      <c r="DL4" s="1030"/>
      <c r="DM4" s="1027"/>
      <c r="DN4" s="1028" t="s">
        <v>628</v>
      </c>
      <c r="DO4" s="1028"/>
      <c r="DP4" s="1028"/>
      <c r="DQ4" s="1029" t="s">
        <v>629</v>
      </c>
      <c r="DR4" s="1030"/>
      <c r="DS4" s="1027"/>
      <c r="DT4" s="1028" t="s">
        <v>628</v>
      </c>
      <c r="DU4" s="1028"/>
      <c r="DV4" s="1028"/>
      <c r="DW4" s="1029" t="s">
        <v>629</v>
      </c>
      <c r="DX4" s="1030"/>
      <c r="DY4" s="1027"/>
      <c r="DZ4" s="1028" t="s">
        <v>628</v>
      </c>
      <c r="EA4" s="1028"/>
      <c r="EB4" s="1028"/>
      <c r="EC4" s="1029" t="s">
        <v>629</v>
      </c>
      <c r="ED4" s="1030"/>
      <c r="EE4" s="1027"/>
      <c r="EF4" s="1028" t="s">
        <v>628</v>
      </c>
      <c r="EG4" s="1028"/>
      <c r="EH4" s="1028"/>
      <c r="EI4" s="1029" t="s">
        <v>629</v>
      </c>
      <c r="EJ4" s="1030"/>
      <c r="EK4" s="1027"/>
      <c r="EL4" s="1028" t="s">
        <v>628</v>
      </c>
      <c r="EM4" s="1028"/>
      <c r="EN4" s="1028"/>
      <c r="EO4" s="1029" t="s">
        <v>629</v>
      </c>
      <c r="EP4" s="1030"/>
      <c r="EQ4" s="1027"/>
      <c r="ER4" s="1028" t="s">
        <v>628</v>
      </c>
      <c r="ES4" s="1028"/>
      <c r="ET4" s="1028"/>
      <c r="EU4" s="1029" t="s">
        <v>629</v>
      </c>
      <c r="EV4" s="1030"/>
      <c r="EW4" s="1027"/>
      <c r="EX4" s="1028" t="s">
        <v>628</v>
      </c>
      <c r="EY4" s="1028"/>
      <c r="EZ4" s="1028"/>
      <c r="FA4" s="1029" t="s">
        <v>629</v>
      </c>
      <c r="FB4" s="1030"/>
      <c r="FC4" s="1027"/>
      <c r="FD4" s="1028" t="s">
        <v>628</v>
      </c>
      <c r="FE4" s="1028"/>
      <c r="FF4" s="1028"/>
      <c r="FG4" s="1029" t="s">
        <v>629</v>
      </c>
      <c r="FH4" s="1030"/>
      <c r="FI4" s="1027"/>
      <c r="FJ4" s="1028" t="s">
        <v>628</v>
      </c>
      <c r="FK4" s="1028"/>
      <c r="FL4" s="1028"/>
      <c r="FM4" s="1029" t="s">
        <v>629</v>
      </c>
      <c r="FN4" s="1030"/>
      <c r="FO4" s="1027"/>
      <c r="FP4" s="1028" t="s">
        <v>628</v>
      </c>
      <c r="FQ4" s="1028"/>
      <c r="FR4" s="1028"/>
      <c r="FS4" s="1029" t="s">
        <v>629</v>
      </c>
      <c r="FT4" s="1030"/>
      <c r="FU4" s="1027"/>
      <c r="FV4" s="1028" t="s">
        <v>628</v>
      </c>
      <c r="FW4" s="1028"/>
      <c r="FX4" s="1028"/>
      <c r="FY4" s="1029" t="s">
        <v>629</v>
      </c>
      <c r="FZ4" s="1030"/>
      <c r="GA4" s="1027"/>
      <c r="GB4" s="1028" t="s">
        <v>628</v>
      </c>
      <c r="GC4" s="1028"/>
      <c r="GD4" s="1028"/>
      <c r="GE4" s="1029" t="s">
        <v>629</v>
      </c>
      <c r="GF4" s="1030"/>
      <c r="GG4" s="1027"/>
      <c r="GH4" s="1028" t="s">
        <v>628</v>
      </c>
      <c r="GI4" s="1028"/>
      <c r="GJ4" s="1028"/>
      <c r="GK4" s="1029" t="s">
        <v>629</v>
      </c>
      <c r="GL4" s="1030"/>
      <c r="GM4" s="1031"/>
    </row>
    <row r="5">
      <c r="B5" s="1032" t="s">
        <v>630</v>
      </c>
      <c r="C5" s="1033"/>
      <c r="D5" s="1034"/>
      <c r="E5" s="1035">
        <f>'ORDER SENT'!H5</f>
        <v>0</v>
      </c>
      <c r="F5" s="1035">
        <f t="shared" ref="F5:F17" si="2">+C5+D5-E5</f>
        <v>0</v>
      </c>
      <c r="G5" s="1036"/>
      <c r="H5" s="1037">
        <f t="shared" ref="H5:H17" si="3">SUM(C5:G5)</f>
        <v>0</v>
      </c>
      <c r="I5" s="1038" t="str">
        <f t="shared" ref="I5:I17" si="4">G5</f>
        <v/>
      </c>
      <c r="J5" s="1034"/>
      <c r="K5" s="1035">
        <f>'ORDER SENT'!N5</f>
        <v>0</v>
      </c>
      <c r="L5" s="1035">
        <f t="shared" ref="L5:L17" si="5">+I5+J5-K5</f>
        <v>0</v>
      </c>
      <c r="M5" s="1036"/>
      <c r="N5" s="1037">
        <f t="shared" ref="N5:N17" si="6">SUM(I5:M5)</f>
        <v>0</v>
      </c>
      <c r="O5" s="1038" t="str">
        <f t="shared" ref="O5:O17" si="7">M5</f>
        <v/>
      </c>
      <c r="P5" s="1034"/>
      <c r="Q5" s="1035">
        <f>'ORDER SENT'!T5</f>
        <v>0</v>
      </c>
      <c r="R5" s="1035">
        <f t="shared" ref="R5:R17" si="8">+O5+P5-Q5</f>
        <v>0</v>
      </c>
      <c r="S5" s="1036"/>
      <c r="T5" s="1037">
        <f t="shared" ref="T5:T17" si="9">SUM(O5:S5)</f>
        <v>0</v>
      </c>
      <c r="U5" s="1038" t="str">
        <f t="shared" ref="U5:U17" si="10">S5</f>
        <v/>
      </c>
      <c r="V5" s="1034"/>
      <c r="W5" s="1035">
        <f>'ORDER SENT'!Z5</f>
        <v>0</v>
      </c>
      <c r="X5" s="1035">
        <f t="shared" ref="X5:X17" si="11">+U5+V5-W5</f>
        <v>0</v>
      </c>
      <c r="Y5" s="1036"/>
      <c r="Z5" s="1037">
        <f t="shared" ref="Z5:Z17" si="12">SUM(U5:Y5)</f>
        <v>0</v>
      </c>
      <c r="AA5" s="1038" t="str">
        <f t="shared" ref="AA5:AA17" si="13">Y5</f>
        <v/>
      </c>
      <c r="AB5" s="1034"/>
      <c r="AC5" s="1035">
        <f>'ORDER SENT'!AF5</f>
        <v>0</v>
      </c>
      <c r="AD5" s="1035">
        <f t="shared" ref="AD5:AD17" si="14">+AA5+AB5-AC5</f>
        <v>0</v>
      </c>
      <c r="AE5" s="1036"/>
      <c r="AF5" s="1037">
        <f t="shared" ref="AF5:AF17" si="15">SUM(AA5:AE5)</f>
        <v>0</v>
      </c>
      <c r="AG5" s="1038" t="str">
        <f t="shared" ref="AG5:AG17" si="16">AE5</f>
        <v/>
      </c>
      <c r="AH5" s="1034"/>
      <c r="AI5" s="1035">
        <f>'ORDER SENT'!AL5</f>
        <v>0</v>
      </c>
      <c r="AJ5" s="1035">
        <f t="shared" ref="AJ5:AJ17" si="17">+AG5+AH5-AI5</f>
        <v>0</v>
      </c>
      <c r="AK5" s="1036"/>
      <c r="AL5" s="1037">
        <f t="shared" ref="AL5:AL17" si="18">SUM(AG5:AK5)</f>
        <v>0</v>
      </c>
      <c r="AM5" s="1038" t="str">
        <f t="shared" ref="AM5:AM17" si="19">AK5</f>
        <v/>
      </c>
      <c r="AN5" s="1034"/>
      <c r="AO5" s="1035">
        <f>'ORDER SENT'!AR5</f>
        <v>0</v>
      </c>
      <c r="AP5" s="1035">
        <f t="shared" ref="AP5:AP17" si="20">+AM5+AN5-AO5</f>
        <v>0</v>
      </c>
      <c r="AQ5" s="1036"/>
      <c r="AR5" s="1037">
        <f t="shared" ref="AR5:AR17" si="21">SUM(AM5:AQ5)</f>
        <v>0</v>
      </c>
      <c r="AS5" s="1038" t="str">
        <f t="shared" ref="AS5:AS17" si="22">AQ5</f>
        <v/>
      </c>
      <c r="AT5" s="1034"/>
      <c r="AU5" s="1035">
        <f>'ORDER SENT'!AX5</f>
        <v>0</v>
      </c>
      <c r="AV5" s="1035">
        <f t="shared" ref="AV5:AV17" si="23">+AS5+AT5-AU5</f>
        <v>0</v>
      </c>
      <c r="AW5" s="1036"/>
      <c r="AX5" s="1037">
        <f t="shared" ref="AX5:AX17" si="24">SUM(AS5:AW5)</f>
        <v>0</v>
      </c>
      <c r="AY5" s="1038" t="str">
        <f t="shared" ref="AY5:AY17" si="25">AW5</f>
        <v/>
      </c>
      <c r="AZ5" s="1034"/>
      <c r="BA5" s="1035">
        <f>'ORDER SENT'!BD5</f>
        <v>0</v>
      </c>
      <c r="BB5" s="1035">
        <f t="shared" ref="BB5:BB17" si="26">+AY5+AZ5-BA5</f>
        <v>0</v>
      </c>
      <c r="BC5" s="1036"/>
      <c r="BD5" s="1037">
        <f t="shared" ref="BD5:BD16" si="27">SUM(AY5:BC5)</f>
        <v>0</v>
      </c>
      <c r="BE5" s="1038" t="str">
        <f t="shared" ref="BE5:BE17" si="28">BC5</f>
        <v/>
      </c>
      <c r="BF5" s="1034"/>
      <c r="BG5" s="1035">
        <f>'ORDER SENT'!BJ5</f>
        <v>0</v>
      </c>
      <c r="BH5" s="1035">
        <f t="shared" ref="BH5:BH17" si="29">+BE5+BF5-BG5</f>
        <v>0</v>
      </c>
      <c r="BI5" s="1036"/>
      <c r="BJ5" s="1037">
        <f t="shared" ref="BJ5:BJ16" si="30">SUM(BE5:BI5)</f>
        <v>0</v>
      </c>
      <c r="BK5" s="1038" t="str">
        <f t="shared" ref="BK5:BK17" si="31">BI5</f>
        <v/>
      </c>
      <c r="BL5" s="1034"/>
      <c r="BM5" s="1035">
        <f>'ORDER SENT'!BP5</f>
        <v>0</v>
      </c>
      <c r="BN5" s="1035">
        <f t="shared" ref="BN5:BN17" si="32">+BK5+BL5-BM5</f>
        <v>0</v>
      </c>
      <c r="BO5" s="1036"/>
      <c r="BP5" s="1037">
        <f t="shared" ref="BP5:BP17" si="33">SUM(BK5:BO5)</f>
        <v>0</v>
      </c>
      <c r="BQ5" s="1038" t="str">
        <f t="shared" ref="BQ5:BQ17" si="34">BO5</f>
        <v/>
      </c>
      <c r="BR5" s="1034"/>
      <c r="BS5" s="1035">
        <f>'ORDER SENT'!BV5</f>
        <v>0</v>
      </c>
      <c r="BT5" s="1035">
        <f t="shared" ref="BT5:BT17" si="35">+BQ5+BR5-BS5</f>
        <v>0</v>
      </c>
      <c r="BU5" s="1036"/>
      <c r="BV5" s="1037">
        <f t="shared" ref="BV5:BV16" si="36">SUM(BQ5:BU5)</f>
        <v>0</v>
      </c>
      <c r="BW5" s="1038" t="str">
        <f t="shared" ref="BW5:BW17" si="37">BU5</f>
        <v/>
      </c>
      <c r="BX5" s="1034"/>
      <c r="BY5" s="1035">
        <f>'ORDER SENT'!CB5</f>
        <v>0</v>
      </c>
      <c r="BZ5" s="1035">
        <f t="shared" ref="BZ5:BZ17" si="38">+BW5+BX5-BY5</f>
        <v>0</v>
      </c>
      <c r="CA5" s="1036"/>
      <c r="CB5" s="1037">
        <f t="shared" ref="CB5:CB16" si="39">SUM(BW5:CA5)</f>
        <v>0</v>
      </c>
      <c r="CC5" s="1038" t="str">
        <f t="shared" ref="CC5:CC17" si="40">CA5</f>
        <v/>
      </c>
      <c r="CD5" s="1034"/>
      <c r="CE5" s="1035">
        <f>'ORDER SENT'!CH5</f>
        <v>0</v>
      </c>
      <c r="CF5" s="1035">
        <f t="shared" ref="CF5:CF17" si="41">+CC5+CD5-CE5</f>
        <v>0</v>
      </c>
      <c r="CG5" s="1036"/>
      <c r="CH5" s="1037">
        <f t="shared" ref="CH5:CH16" si="42">SUM(CC5:CG5)</f>
        <v>0</v>
      </c>
      <c r="CI5" s="1038" t="str">
        <f t="shared" ref="CI5:CI17" si="43">CG5</f>
        <v/>
      </c>
      <c r="CJ5" s="1039"/>
      <c r="CK5" s="1035">
        <f>'ORDER SENT'!CN5</f>
        <v>0</v>
      </c>
      <c r="CL5" s="1035">
        <f t="shared" ref="CL5:CL17" si="44">+CI5+CJ5-CK5</f>
        <v>0</v>
      </c>
      <c r="CM5" s="1036"/>
      <c r="CN5" s="1037">
        <f t="shared" ref="CN5:CN16" si="45">SUM(CI5:CM5)</f>
        <v>0</v>
      </c>
      <c r="CO5" s="1038" t="str">
        <f t="shared" ref="CO5:CO17" si="46">CM5</f>
        <v/>
      </c>
      <c r="CP5" s="1034"/>
      <c r="CQ5" s="1035">
        <f>'ORDER SENT'!CT5</f>
        <v>0</v>
      </c>
      <c r="CR5" s="1035">
        <f t="shared" ref="CR5:CR17" si="47">+CO5+CP5-CQ5</f>
        <v>0</v>
      </c>
      <c r="CS5" s="1036"/>
      <c r="CT5" s="1037">
        <f t="shared" ref="CT5:CT16" si="48">SUM(CO5:CS5)</f>
        <v>0</v>
      </c>
      <c r="CU5" s="1038" t="str">
        <f t="shared" ref="CU5:CU17" si="49">CS5</f>
        <v/>
      </c>
      <c r="CV5" s="1034"/>
      <c r="CW5" s="1035">
        <f>'ORDER SENT'!CZ5</f>
        <v>0</v>
      </c>
      <c r="CX5" s="1035">
        <f t="shared" ref="CX5:CX17" si="50">+CU5+CV5-CW5</f>
        <v>0</v>
      </c>
      <c r="CY5" s="1036"/>
      <c r="CZ5" s="1037">
        <f t="shared" ref="CZ5:CZ16" si="51">SUM(CU5:CY5)</f>
        <v>0</v>
      </c>
      <c r="DA5" s="1038" t="str">
        <f t="shared" ref="DA5:DA17" si="52">CY5</f>
        <v/>
      </c>
      <c r="DB5" s="1034"/>
      <c r="DC5" s="1035">
        <f>'ORDER SENT'!DF5</f>
        <v>0</v>
      </c>
      <c r="DD5" s="1035">
        <f t="shared" ref="DD5:DD17" si="53">+DA5+DB5-DC5</f>
        <v>0</v>
      </c>
      <c r="DE5" s="1036"/>
      <c r="DF5" s="1037">
        <f t="shared" ref="DF5:DF16" si="54">SUM(DA5:DE5)</f>
        <v>0</v>
      </c>
      <c r="DG5" s="1038" t="str">
        <f t="shared" ref="DG5:DG17" si="55">DE5</f>
        <v/>
      </c>
      <c r="DH5" s="1034"/>
      <c r="DI5" s="1035">
        <f>'ORDER SENT'!DL5</f>
        <v>0</v>
      </c>
      <c r="DJ5" s="1035">
        <f t="shared" ref="DJ5:DJ17" si="56">+DG5+DH5-DI5</f>
        <v>0</v>
      </c>
      <c r="DK5" s="1036"/>
      <c r="DL5" s="1037">
        <f t="shared" ref="DL5:DL16" si="57">SUM(DG5:DK5)</f>
        <v>0</v>
      </c>
      <c r="DM5" s="1038" t="str">
        <f t="shared" ref="DM5:DM17" si="58">DK5</f>
        <v/>
      </c>
      <c r="DN5" s="1034"/>
      <c r="DO5" s="1035">
        <f>'ORDER SENT'!DR5</f>
        <v>0</v>
      </c>
      <c r="DP5" s="1035">
        <f t="shared" ref="DP5:DP17" si="59">+DM5+DN5-DO5</f>
        <v>0</v>
      </c>
      <c r="DQ5" s="1036"/>
      <c r="DR5" s="1037">
        <f t="shared" ref="DR5:DR16" si="60">SUM(DM5:DQ5)</f>
        <v>0</v>
      </c>
      <c r="DS5" s="1038" t="str">
        <f t="shared" ref="DS5:DS17" si="61">DQ5</f>
        <v/>
      </c>
      <c r="DT5" s="1034"/>
      <c r="DU5" s="1035">
        <f>'ORDER SENT'!DX5</f>
        <v>0</v>
      </c>
      <c r="DV5" s="1035">
        <f t="shared" ref="DV5:DV17" si="62">+DS5+DT5-DU5</f>
        <v>0</v>
      </c>
      <c r="DW5" s="1036"/>
      <c r="DX5" s="1037">
        <f t="shared" ref="DX5:DX16" si="63">SUM(DS5:DW5)</f>
        <v>0</v>
      </c>
      <c r="DY5" s="1038" t="str">
        <f t="shared" ref="DY5:DY17" si="64">DW5</f>
        <v/>
      </c>
      <c r="DZ5" s="1034"/>
      <c r="EA5" s="1035">
        <f>'ORDER SENT'!ED5</f>
        <v>0</v>
      </c>
      <c r="EB5" s="1035">
        <f t="shared" ref="EB5:EB17" si="65">+DY5+DZ5-EA5</f>
        <v>0</v>
      </c>
      <c r="EC5" s="1036"/>
      <c r="ED5" s="1037">
        <f t="shared" ref="ED5:ED16" si="66">SUM(DY5:EC5)</f>
        <v>0</v>
      </c>
      <c r="EE5" s="1038" t="str">
        <f t="shared" ref="EE5:EE17" si="67">EC5</f>
        <v/>
      </c>
      <c r="EF5" s="1034"/>
      <c r="EG5" s="1035">
        <f>'ORDER SENT'!EJ5</f>
        <v>0</v>
      </c>
      <c r="EH5" s="1035">
        <f t="shared" ref="EH5:EH17" si="68">+EE5+EF5-EG5</f>
        <v>0</v>
      </c>
      <c r="EI5" s="1036"/>
      <c r="EJ5" s="1037">
        <f t="shared" ref="EJ5:EJ16" si="69">SUM(EE5:EI5)</f>
        <v>0</v>
      </c>
      <c r="EK5" s="1038" t="str">
        <f t="shared" ref="EK5:EK17" si="70">EI5</f>
        <v/>
      </c>
      <c r="EL5" s="1034"/>
      <c r="EM5" s="1035">
        <f>'ORDER SENT'!EP5</f>
        <v>0</v>
      </c>
      <c r="EN5" s="1035">
        <f t="shared" ref="EN5:EN17" si="71">+EK5+EL5-EM5</f>
        <v>0</v>
      </c>
      <c r="EO5" s="1036"/>
      <c r="EP5" s="1037">
        <f t="shared" ref="EP5:EP16" si="72">SUM(EK5:EO5)</f>
        <v>0</v>
      </c>
      <c r="EQ5" s="1038" t="str">
        <f t="shared" ref="EQ5:EQ17" si="73">EO5</f>
        <v/>
      </c>
      <c r="ER5" s="1034"/>
      <c r="ES5" s="1035">
        <f>'ORDER SENT'!EV5</f>
        <v>0</v>
      </c>
      <c r="ET5" s="1035">
        <f t="shared" ref="ET5:ET17" si="74">+EQ5+ER5-ES5</f>
        <v>0</v>
      </c>
      <c r="EU5" s="1036"/>
      <c r="EV5" s="1037">
        <f t="shared" ref="EV5:EV16" si="75">SUM(EQ5:EU5)</f>
        <v>0</v>
      </c>
      <c r="EW5" s="1038" t="str">
        <f t="shared" ref="EW5:EW17" si="76">EU5</f>
        <v/>
      </c>
      <c r="EX5" s="1034"/>
      <c r="EY5" s="1035">
        <f>'ORDER SENT'!FB5</f>
        <v>0</v>
      </c>
      <c r="EZ5" s="1035">
        <f t="shared" ref="EZ5:EZ17" si="77">+EW5+EX5-EY5</f>
        <v>0</v>
      </c>
      <c r="FA5" s="1036"/>
      <c r="FB5" s="1037">
        <f t="shared" ref="FB5:FB16" si="78">SUM(EW5:FA5)</f>
        <v>0</v>
      </c>
      <c r="FC5" s="1038" t="str">
        <f t="shared" ref="FC5:FC17" si="79">FA5</f>
        <v/>
      </c>
      <c r="FD5" s="1034"/>
      <c r="FE5" s="1035">
        <f>'ORDER SENT'!FH5</f>
        <v>0</v>
      </c>
      <c r="FF5" s="1035">
        <f t="shared" ref="FF5:FF17" si="80">+FC5+FD5-FE5</f>
        <v>0</v>
      </c>
      <c r="FG5" s="1036"/>
      <c r="FH5" s="1037">
        <f t="shared" ref="FH5:FH16" si="81">SUM(FC5:FG5)</f>
        <v>0</v>
      </c>
      <c r="FI5" s="1038" t="str">
        <f t="shared" ref="FI5:FI17" si="82">FG5</f>
        <v/>
      </c>
      <c r="FJ5" s="1034"/>
      <c r="FK5" s="1035">
        <f>'ORDER SENT'!FN5</f>
        <v>0</v>
      </c>
      <c r="FL5" s="1035">
        <f t="shared" ref="FL5:FL17" si="83">+FI5+FJ5-FK5</f>
        <v>0</v>
      </c>
      <c r="FM5" s="1036"/>
      <c r="FN5" s="1037">
        <f t="shared" ref="FN5:FN16" si="84">SUM(FI5:FM5)</f>
        <v>0</v>
      </c>
      <c r="FO5" s="1038" t="str">
        <f t="shared" ref="FO5:FO17" si="85">FM5</f>
        <v/>
      </c>
      <c r="FP5" s="1034"/>
      <c r="FQ5" s="1035">
        <f>'ORDER SENT'!FT5</f>
        <v>0</v>
      </c>
      <c r="FR5" s="1035">
        <f t="shared" ref="FR5:FR17" si="86">+FO5+FP5-FQ5</f>
        <v>0</v>
      </c>
      <c r="FS5" s="1036"/>
      <c r="FT5" s="1037">
        <f t="shared" ref="FT5:FT16" si="87">SUM(FO5:FS5)</f>
        <v>0</v>
      </c>
      <c r="FU5" s="1038" t="str">
        <f t="shared" ref="FU5:FU17" si="88">FS5</f>
        <v/>
      </c>
      <c r="FV5" s="1034"/>
      <c r="FW5" s="1035">
        <f>'ORDER SENT'!FZ5</f>
        <v>0</v>
      </c>
      <c r="FX5" s="1035">
        <f t="shared" ref="FX5:FX17" si="89">+FU5+FV5-FW5</f>
        <v>0</v>
      </c>
      <c r="FY5" s="1036"/>
      <c r="FZ5" s="1037">
        <f t="shared" ref="FZ5:FZ16" si="90">SUM(FU5:FY5)</f>
        <v>0</v>
      </c>
      <c r="GA5" s="1038" t="str">
        <f t="shared" ref="GA5:GA17" si="91">FY5</f>
        <v/>
      </c>
      <c r="GB5" s="1034"/>
      <c r="GC5" s="1035">
        <f>'ORDER SENT'!GF5</f>
        <v>0</v>
      </c>
      <c r="GD5" s="1035">
        <f t="shared" ref="GD5:GD17" si="92">+GA5+GB5-GC5</f>
        <v>0</v>
      </c>
      <c r="GE5" s="1036"/>
      <c r="GF5" s="1037">
        <f t="shared" ref="GF5:GF16" si="93">SUM(GA5:GE5)</f>
        <v>0</v>
      </c>
      <c r="GG5" s="1038" t="str">
        <f t="shared" ref="GG5:GG51" si="94">C5</f>
        <v/>
      </c>
      <c r="GH5" s="1035">
        <f t="shared" ref="GH5:GL5" si="1">+GB5+FV5+FP5+FJ5+FD5+EX5+ER5+EL5+EF5+DZ5+DT5+DN5+DH5+DB5+CV5+CP5+CJ5+CD5+BX5+BR5+BL5+BF5++AZ5+AT5+AN5+AH5+AB5+V5+P5+J5+D5</f>
        <v>0</v>
      </c>
      <c r="GI5" s="1035">
        <f t="shared" si="1"/>
        <v>0</v>
      </c>
      <c r="GJ5" s="1035">
        <f t="shared" si="1"/>
        <v>0</v>
      </c>
      <c r="GK5" s="1040">
        <f t="shared" si="1"/>
        <v>0</v>
      </c>
      <c r="GL5" s="1037">
        <f t="shared" si="1"/>
        <v>0</v>
      </c>
      <c r="GM5" s="1041">
        <f t="shared" ref="GM5:GM16" si="96">+GK5+GJ5+GI5+GH5+GG5</f>
        <v>0</v>
      </c>
    </row>
    <row r="6">
      <c r="B6" s="1042" t="s">
        <v>631</v>
      </c>
      <c r="C6" s="1043"/>
      <c r="D6" s="1039"/>
      <c r="E6" s="1035">
        <f>'ORDER SENT'!H6</f>
        <v>0</v>
      </c>
      <c r="F6" s="1035">
        <f t="shared" si="2"/>
        <v>0</v>
      </c>
      <c r="G6" s="1044"/>
      <c r="H6" s="1045">
        <f t="shared" si="3"/>
        <v>0</v>
      </c>
      <c r="I6" s="1038" t="str">
        <f t="shared" si="4"/>
        <v/>
      </c>
      <c r="J6" s="1039"/>
      <c r="K6" s="1035">
        <f>'ORDER SENT'!N6</f>
        <v>0</v>
      </c>
      <c r="L6" s="1035">
        <f t="shared" si="5"/>
        <v>0</v>
      </c>
      <c r="M6" s="1044"/>
      <c r="N6" s="1045">
        <f t="shared" si="6"/>
        <v>0</v>
      </c>
      <c r="O6" s="1038" t="str">
        <f t="shared" si="7"/>
        <v/>
      </c>
      <c r="P6" s="1039"/>
      <c r="Q6" s="1035">
        <f>'ORDER SENT'!T6</f>
        <v>0</v>
      </c>
      <c r="R6" s="1035">
        <f t="shared" si="8"/>
        <v>0</v>
      </c>
      <c r="S6" s="1044"/>
      <c r="T6" s="1045">
        <f t="shared" si="9"/>
        <v>0</v>
      </c>
      <c r="U6" s="1038" t="str">
        <f t="shared" si="10"/>
        <v/>
      </c>
      <c r="V6" s="1039"/>
      <c r="W6" s="1035">
        <f>'ORDER SENT'!Z6</f>
        <v>0</v>
      </c>
      <c r="X6" s="1035">
        <f t="shared" si="11"/>
        <v>0</v>
      </c>
      <c r="Y6" s="1044"/>
      <c r="Z6" s="1045">
        <f t="shared" si="12"/>
        <v>0</v>
      </c>
      <c r="AA6" s="1038" t="str">
        <f t="shared" si="13"/>
        <v/>
      </c>
      <c r="AB6" s="1039"/>
      <c r="AC6" s="1035">
        <f>'ORDER SENT'!AF6</f>
        <v>0</v>
      </c>
      <c r="AD6" s="1035">
        <f t="shared" si="14"/>
        <v>0</v>
      </c>
      <c r="AE6" s="1044"/>
      <c r="AF6" s="1045">
        <f t="shared" si="15"/>
        <v>0</v>
      </c>
      <c r="AG6" s="1038" t="str">
        <f t="shared" si="16"/>
        <v/>
      </c>
      <c r="AH6" s="1039"/>
      <c r="AI6" s="1035">
        <f>'ORDER SENT'!AL6</f>
        <v>0</v>
      </c>
      <c r="AJ6" s="1035">
        <f t="shared" si="17"/>
        <v>0</v>
      </c>
      <c r="AK6" s="1044"/>
      <c r="AL6" s="1045">
        <f t="shared" si="18"/>
        <v>0</v>
      </c>
      <c r="AM6" s="1038" t="str">
        <f t="shared" si="19"/>
        <v/>
      </c>
      <c r="AN6" s="1039"/>
      <c r="AO6" s="1035">
        <f>'ORDER SENT'!AR6</f>
        <v>0</v>
      </c>
      <c r="AP6" s="1035">
        <f t="shared" si="20"/>
        <v>0</v>
      </c>
      <c r="AQ6" s="1044"/>
      <c r="AR6" s="1045">
        <f t="shared" si="21"/>
        <v>0</v>
      </c>
      <c r="AS6" s="1038" t="str">
        <f t="shared" si="22"/>
        <v/>
      </c>
      <c r="AT6" s="1039"/>
      <c r="AU6" s="1035">
        <f>'ORDER SENT'!AX6</f>
        <v>0</v>
      </c>
      <c r="AV6" s="1035">
        <f t="shared" si="23"/>
        <v>0</v>
      </c>
      <c r="AW6" s="1044"/>
      <c r="AX6" s="1045">
        <f t="shared" si="24"/>
        <v>0</v>
      </c>
      <c r="AY6" s="1038" t="str">
        <f t="shared" si="25"/>
        <v/>
      </c>
      <c r="AZ6" s="1039"/>
      <c r="BA6" s="1035">
        <f>'ORDER SENT'!BD6</f>
        <v>0</v>
      </c>
      <c r="BB6" s="1035">
        <f t="shared" si="26"/>
        <v>0</v>
      </c>
      <c r="BC6" s="1044"/>
      <c r="BD6" s="1045">
        <f t="shared" si="27"/>
        <v>0</v>
      </c>
      <c r="BE6" s="1038" t="str">
        <f t="shared" si="28"/>
        <v/>
      </c>
      <c r="BF6" s="1039"/>
      <c r="BG6" s="1035">
        <f>'ORDER SENT'!BJ6</f>
        <v>0</v>
      </c>
      <c r="BH6" s="1035">
        <f t="shared" si="29"/>
        <v>0</v>
      </c>
      <c r="BI6" s="1044"/>
      <c r="BJ6" s="1045">
        <f t="shared" si="30"/>
        <v>0</v>
      </c>
      <c r="BK6" s="1038" t="str">
        <f t="shared" si="31"/>
        <v/>
      </c>
      <c r="BL6" s="1039"/>
      <c r="BM6" s="1035">
        <f>'ORDER SENT'!BP6</f>
        <v>0</v>
      </c>
      <c r="BN6" s="1035">
        <f t="shared" si="32"/>
        <v>0</v>
      </c>
      <c r="BO6" s="1044"/>
      <c r="BP6" s="1045">
        <f t="shared" si="33"/>
        <v>0</v>
      </c>
      <c r="BQ6" s="1038" t="str">
        <f t="shared" si="34"/>
        <v/>
      </c>
      <c r="BR6" s="1039"/>
      <c r="BS6" s="1035">
        <f>'ORDER SENT'!BV6</f>
        <v>0</v>
      </c>
      <c r="BT6" s="1035">
        <f t="shared" si="35"/>
        <v>0</v>
      </c>
      <c r="BU6" s="1044"/>
      <c r="BV6" s="1045">
        <f t="shared" si="36"/>
        <v>0</v>
      </c>
      <c r="BW6" s="1038" t="str">
        <f t="shared" si="37"/>
        <v/>
      </c>
      <c r="BX6" s="1039"/>
      <c r="BY6" s="1035">
        <f>'ORDER SENT'!CB6</f>
        <v>0</v>
      </c>
      <c r="BZ6" s="1035">
        <f t="shared" si="38"/>
        <v>0</v>
      </c>
      <c r="CA6" s="1044"/>
      <c r="CB6" s="1045">
        <f t="shared" si="39"/>
        <v>0</v>
      </c>
      <c r="CC6" s="1038" t="str">
        <f t="shared" si="40"/>
        <v/>
      </c>
      <c r="CD6" s="1039"/>
      <c r="CE6" s="1035">
        <f>'ORDER SENT'!CH6</f>
        <v>0</v>
      </c>
      <c r="CF6" s="1035">
        <f t="shared" si="41"/>
        <v>0</v>
      </c>
      <c r="CG6" s="1044"/>
      <c r="CH6" s="1045">
        <f t="shared" si="42"/>
        <v>0</v>
      </c>
      <c r="CI6" s="1038" t="str">
        <f t="shared" si="43"/>
        <v/>
      </c>
      <c r="CJ6" s="1039"/>
      <c r="CK6" s="1035">
        <f>'ORDER SENT'!CN6</f>
        <v>0</v>
      </c>
      <c r="CL6" s="1035">
        <f t="shared" si="44"/>
        <v>0</v>
      </c>
      <c r="CM6" s="1044"/>
      <c r="CN6" s="1045">
        <f t="shared" si="45"/>
        <v>0</v>
      </c>
      <c r="CO6" s="1038" t="str">
        <f t="shared" si="46"/>
        <v/>
      </c>
      <c r="CP6" s="1039"/>
      <c r="CQ6" s="1035">
        <f>'ORDER SENT'!CT6</f>
        <v>0</v>
      </c>
      <c r="CR6" s="1035">
        <f t="shared" si="47"/>
        <v>0</v>
      </c>
      <c r="CS6" s="1044"/>
      <c r="CT6" s="1045">
        <f t="shared" si="48"/>
        <v>0</v>
      </c>
      <c r="CU6" s="1038" t="str">
        <f t="shared" si="49"/>
        <v/>
      </c>
      <c r="CV6" s="1039"/>
      <c r="CW6" s="1035">
        <f>'ORDER SENT'!CZ6</f>
        <v>0</v>
      </c>
      <c r="CX6" s="1035">
        <f t="shared" si="50"/>
        <v>0</v>
      </c>
      <c r="CY6" s="1044"/>
      <c r="CZ6" s="1045">
        <f t="shared" si="51"/>
        <v>0</v>
      </c>
      <c r="DA6" s="1038" t="str">
        <f t="shared" si="52"/>
        <v/>
      </c>
      <c r="DB6" s="1039"/>
      <c r="DC6" s="1035">
        <f>'ORDER SENT'!DF6</f>
        <v>0</v>
      </c>
      <c r="DD6" s="1035">
        <f t="shared" si="53"/>
        <v>0</v>
      </c>
      <c r="DE6" s="1044"/>
      <c r="DF6" s="1045">
        <f t="shared" si="54"/>
        <v>0</v>
      </c>
      <c r="DG6" s="1038" t="str">
        <f t="shared" si="55"/>
        <v/>
      </c>
      <c r="DH6" s="1039"/>
      <c r="DI6" s="1035">
        <f>'ORDER SENT'!DL6</f>
        <v>0</v>
      </c>
      <c r="DJ6" s="1035">
        <f t="shared" si="56"/>
        <v>0</v>
      </c>
      <c r="DK6" s="1044"/>
      <c r="DL6" s="1045">
        <f t="shared" si="57"/>
        <v>0</v>
      </c>
      <c r="DM6" s="1038" t="str">
        <f t="shared" si="58"/>
        <v/>
      </c>
      <c r="DN6" s="1039"/>
      <c r="DO6" s="1035">
        <f>'ORDER SENT'!DR6</f>
        <v>0</v>
      </c>
      <c r="DP6" s="1035">
        <f t="shared" si="59"/>
        <v>0</v>
      </c>
      <c r="DQ6" s="1044"/>
      <c r="DR6" s="1045">
        <f t="shared" si="60"/>
        <v>0</v>
      </c>
      <c r="DS6" s="1038" t="str">
        <f t="shared" si="61"/>
        <v/>
      </c>
      <c r="DT6" s="1039"/>
      <c r="DU6" s="1035">
        <f>'ORDER SENT'!DX6</f>
        <v>0</v>
      </c>
      <c r="DV6" s="1035">
        <f t="shared" si="62"/>
        <v>0</v>
      </c>
      <c r="DW6" s="1044"/>
      <c r="DX6" s="1045">
        <f t="shared" si="63"/>
        <v>0</v>
      </c>
      <c r="DY6" s="1038" t="str">
        <f t="shared" si="64"/>
        <v/>
      </c>
      <c r="DZ6" s="1039"/>
      <c r="EA6" s="1035">
        <f>'ORDER SENT'!ED6</f>
        <v>0</v>
      </c>
      <c r="EB6" s="1035">
        <f t="shared" si="65"/>
        <v>0</v>
      </c>
      <c r="EC6" s="1044"/>
      <c r="ED6" s="1045">
        <f t="shared" si="66"/>
        <v>0</v>
      </c>
      <c r="EE6" s="1038" t="str">
        <f t="shared" si="67"/>
        <v/>
      </c>
      <c r="EF6" s="1039"/>
      <c r="EG6" s="1035">
        <f>'ORDER SENT'!EJ6</f>
        <v>0</v>
      </c>
      <c r="EH6" s="1035">
        <f t="shared" si="68"/>
        <v>0</v>
      </c>
      <c r="EI6" s="1044"/>
      <c r="EJ6" s="1045">
        <f t="shared" si="69"/>
        <v>0</v>
      </c>
      <c r="EK6" s="1038" t="str">
        <f t="shared" si="70"/>
        <v/>
      </c>
      <c r="EL6" s="1039"/>
      <c r="EM6" s="1035">
        <f>'ORDER SENT'!EP6</f>
        <v>0</v>
      </c>
      <c r="EN6" s="1035">
        <f t="shared" si="71"/>
        <v>0</v>
      </c>
      <c r="EO6" s="1044"/>
      <c r="EP6" s="1045">
        <f t="shared" si="72"/>
        <v>0</v>
      </c>
      <c r="EQ6" s="1038" t="str">
        <f t="shared" si="73"/>
        <v/>
      </c>
      <c r="ER6" s="1039"/>
      <c r="ES6" s="1035">
        <f>'ORDER SENT'!EV6</f>
        <v>0</v>
      </c>
      <c r="ET6" s="1035">
        <f t="shared" si="74"/>
        <v>0</v>
      </c>
      <c r="EU6" s="1044"/>
      <c r="EV6" s="1045">
        <f t="shared" si="75"/>
        <v>0</v>
      </c>
      <c r="EW6" s="1038" t="str">
        <f t="shared" si="76"/>
        <v/>
      </c>
      <c r="EX6" s="1039"/>
      <c r="EY6" s="1035">
        <f>'ORDER SENT'!FB6</f>
        <v>0</v>
      </c>
      <c r="EZ6" s="1035">
        <f t="shared" si="77"/>
        <v>0</v>
      </c>
      <c r="FA6" s="1044"/>
      <c r="FB6" s="1045">
        <f t="shared" si="78"/>
        <v>0</v>
      </c>
      <c r="FC6" s="1038" t="str">
        <f t="shared" si="79"/>
        <v/>
      </c>
      <c r="FD6" s="1039"/>
      <c r="FE6" s="1035">
        <f>'ORDER SENT'!FH6</f>
        <v>0</v>
      </c>
      <c r="FF6" s="1035">
        <f t="shared" si="80"/>
        <v>0</v>
      </c>
      <c r="FG6" s="1044"/>
      <c r="FH6" s="1045">
        <f t="shared" si="81"/>
        <v>0</v>
      </c>
      <c r="FI6" s="1038" t="str">
        <f t="shared" si="82"/>
        <v/>
      </c>
      <c r="FJ6" s="1039"/>
      <c r="FK6" s="1035">
        <f>'ORDER SENT'!FN6</f>
        <v>0</v>
      </c>
      <c r="FL6" s="1035">
        <f t="shared" si="83"/>
        <v>0</v>
      </c>
      <c r="FM6" s="1044"/>
      <c r="FN6" s="1045">
        <f t="shared" si="84"/>
        <v>0</v>
      </c>
      <c r="FO6" s="1038" t="str">
        <f t="shared" si="85"/>
        <v/>
      </c>
      <c r="FP6" s="1039"/>
      <c r="FQ6" s="1035">
        <f>'ORDER SENT'!FT6</f>
        <v>0</v>
      </c>
      <c r="FR6" s="1035">
        <f t="shared" si="86"/>
        <v>0</v>
      </c>
      <c r="FS6" s="1044"/>
      <c r="FT6" s="1045">
        <f t="shared" si="87"/>
        <v>0</v>
      </c>
      <c r="FU6" s="1038" t="str">
        <f t="shared" si="88"/>
        <v/>
      </c>
      <c r="FV6" s="1039"/>
      <c r="FW6" s="1035">
        <f>'ORDER SENT'!FZ6</f>
        <v>0</v>
      </c>
      <c r="FX6" s="1035">
        <f t="shared" si="89"/>
        <v>0</v>
      </c>
      <c r="FY6" s="1044"/>
      <c r="FZ6" s="1045">
        <f t="shared" si="90"/>
        <v>0</v>
      </c>
      <c r="GA6" s="1038" t="str">
        <f t="shared" si="91"/>
        <v/>
      </c>
      <c r="GB6" s="1039"/>
      <c r="GC6" s="1035">
        <f>'ORDER SENT'!GF6</f>
        <v>0</v>
      </c>
      <c r="GD6" s="1035">
        <f t="shared" si="92"/>
        <v>0</v>
      </c>
      <c r="GE6" s="1044"/>
      <c r="GF6" s="1045">
        <f t="shared" si="93"/>
        <v>0</v>
      </c>
      <c r="GG6" s="1046" t="str">
        <f t="shared" si="94"/>
        <v/>
      </c>
      <c r="GH6" s="1047">
        <f t="shared" ref="GH6:GL6" si="95">+GB6+FV6+FP6+FJ6+FD6+EX6+ER6+EL6+EF6+DZ6+DT6+DN6+DH6+DB6+CV6+CP6+CJ6+CD6+BX6+BR6+BL6+BF6++AZ6+AT6+AN6+AH6+AB6+V6+P6+J6+D6</f>
        <v>0</v>
      </c>
      <c r="GI6" s="1047">
        <f t="shared" si="95"/>
        <v>0</v>
      </c>
      <c r="GJ6" s="1047">
        <f t="shared" si="95"/>
        <v>0</v>
      </c>
      <c r="GK6" s="1048">
        <f t="shared" si="95"/>
        <v>0</v>
      </c>
      <c r="GL6" s="1045">
        <f t="shared" si="95"/>
        <v>0</v>
      </c>
      <c r="GM6" s="1049">
        <f t="shared" si="96"/>
        <v>0</v>
      </c>
    </row>
    <row r="7">
      <c r="B7" s="1042" t="s">
        <v>632</v>
      </c>
      <c r="C7" s="1043"/>
      <c r="D7" s="1039"/>
      <c r="E7" s="1035">
        <f>'ORDER SENT'!H7</f>
        <v>0</v>
      </c>
      <c r="F7" s="1035">
        <f t="shared" si="2"/>
        <v>0</v>
      </c>
      <c r="G7" s="1044"/>
      <c r="H7" s="1045">
        <f t="shared" si="3"/>
        <v>0</v>
      </c>
      <c r="I7" s="1038" t="str">
        <f t="shared" si="4"/>
        <v/>
      </c>
      <c r="J7" s="1039"/>
      <c r="K7" s="1035">
        <f>'ORDER SENT'!N7</f>
        <v>0</v>
      </c>
      <c r="L7" s="1035">
        <f t="shared" si="5"/>
        <v>0</v>
      </c>
      <c r="M7" s="1044"/>
      <c r="N7" s="1045">
        <f t="shared" si="6"/>
        <v>0</v>
      </c>
      <c r="O7" s="1038" t="str">
        <f t="shared" si="7"/>
        <v/>
      </c>
      <c r="P7" s="1039"/>
      <c r="Q7" s="1035">
        <f>'ORDER SENT'!T7</f>
        <v>0</v>
      </c>
      <c r="R7" s="1035">
        <f t="shared" si="8"/>
        <v>0</v>
      </c>
      <c r="S7" s="1044"/>
      <c r="T7" s="1045">
        <f t="shared" si="9"/>
        <v>0</v>
      </c>
      <c r="U7" s="1038" t="str">
        <f t="shared" si="10"/>
        <v/>
      </c>
      <c r="V7" s="1039"/>
      <c r="W7" s="1035">
        <f>'ORDER SENT'!Z7</f>
        <v>0</v>
      </c>
      <c r="X7" s="1035">
        <f t="shared" si="11"/>
        <v>0</v>
      </c>
      <c r="Y7" s="1044"/>
      <c r="Z7" s="1045">
        <f t="shared" si="12"/>
        <v>0</v>
      </c>
      <c r="AA7" s="1038" t="str">
        <f t="shared" si="13"/>
        <v/>
      </c>
      <c r="AB7" s="1039"/>
      <c r="AC7" s="1035">
        <f>'ORDER SENT'!AF7</f>
        <v>0</v>
      </c>
      <c r="AD7" s="1035">
        <f t="shared" si="14"/>
        <v>0</v>
      </c>
      <c r="AE7" s="1044"/>
      <c r="AF7" s="1045">
        <f t="shared" si="15"/>
        <v>0</v>
      </c>
      <c r="AG7" s="1038" t="str">
        <f t="shared" si="16"/>
        <v/>
      </c>
      <c r="AH7" s="1039"/>
      <c r="AI7" s="1035">
        <f>'ORDER SENT'!AL7</f>
        <v>0</v>
      </c>
      <c r="AJ7" s="1035">
        <f t="shared" si="17"/>
        <v>0</v>
      </c>
      <c r="AK7" s="1044"/>
      <c r="AL7" s="1045">
        <f t="shared" si="18"/>
        <v>0</v>
      </c>
      <c r="AM7" s="1038" t="str">
        <f t="shared" si="19"/>
        <v/>
      </c>
      <c r="AN7" s="1039"/>
      <c r="AO7" s="1035">
        <f>'ORDER SENT'!AR7</f>
        <v>0</v>
      </c>
      <c r="AP7" s="1035">
        <f t="shared" si="20"/>
        <v>0</v>
      </c>
      <c r="AQ7" s="1044"/>
      <c r="AR7" s="1045">
        <f t="shared" si="21"/>
        <v>0</v>
      </c>
      <c r="AS7" s="1038" t="str">
        <f t="shared" si="22"/>
        <v/>
      </c>
      <c r="AT7" s="1039"/>
      <c r="AU7" s="1035">
        <f>'ORDER SENT'!AX7</f>
        <v>0</v>
      </c>
      <c r="AV7" s="1035">
        <f t="shared" si="23"/>
        <v>0</v>
      </c>
      <c r="AW7" s="1044"/>
      <c r="AX7" s="1045">
        <f t="shared" si="24"/>
        <v>0</v>
      </c>
      <c r="AY7" s="1038" t="str">
        <f t="shared" si="25"/>
        <v/>
      </c>
      <c r="AZ7" s="1039"/>
      <c r="BA7" s="1035">
        <f>'ORDER SENT'!BD7</f>
        <v>0</v>
      </c>
      <c r="BB7" s="1035">
        <f t="shared" si="26"/>
        <v>0</v>
      </c>
      <c r="BC7" s="1044"/>
      <c r="BD7" s="1045">
        <f t="shared" si="27"/>
        <v>0</v>
      </c>
      <c r="BE7" s="1038" t="str">
        <f t="shared" si="28"/>
        <v/>
      </c>
      <c r="BF7" s="1039"/>
      <c r="BG7" s="1035">
        <f>'ORDER SENT'!BJ7</f>
        <v>0</v>
      </c>
      <c r="BH7" s="1035">
        <f t="shared" si="29"/>
        <v>0</v>
      </c>
      <c r="BI7" s="1044"/>
      <c r="BJ7" s="1045">
        <f t="shared" si="30"/>
        <v>0</v>
      </c>
      <c r="BK7" s="1038" t="str">
        <f t="shared" si="31"/>
        <v/>
      </c>
      <c r="BL7" s="1039"/>
      <c r="BM7" s="1035">
        <f>'ORDER SENT'!BP7</f>
        <v>0</v>
      </c>
      <c r="BN7" s="1035">
        <f t="shared" si="32"/>
        <v>0</v>
      </c>
      <c r="BO7" s="1044"/>
      <c r="BP7" s="1045">
        <f t="shared" si="33"/>
        <v>0</v>
      </c>
      <c r="BQ7" s="1038" t="str">
        <f t="shared" si="34"/>
        <v/>
      </c>
      <c r="BR7" s="1039"/>
      <c r="BS7" s="1035">
        <f>'ORDER SENT'!BV7</f>
        <v>0</v>
      </c>
      <c r="BT7" s="1035">
        <f t="shared" si="35"/>
        <v>0</v>
      </c>
      <c r="BU7" s="1044"/>
      <c r="BV7" s="1045">
        <f t="shared" si="36"/>
        <v>0</v>
      </c>
      <c r="BW7" s="1038" t="str">
        <f t="shared" si="37"/>
        <v/>
      </c>
      <c r="BX7" s="1039"/>
      <c r="BY7" s="1035">
        <f>'ORDER SENT'!CB7</f>
        <v>0</v>
      </c>
      <c r="BZ7" s="1035">
        <f t="shared" si="38"/>
        <v>0</v>
      </c>
      <c r="CA7" s="1044"/>
      <c r="CB7" s="1045">
        <f t="shared" si="39"/>
        <v>0</v>
      </c>
      <c r="CC7" s="1038" t="str">
        <f t="shared" si="40"/>
        <v/>
      </c>
      <c r="CD7" s="1039"/>
      <c r="CE7" s="1035">
        <f>'ORDER SENT'!CH7</f>
        <v>0</v>
      </c>
      <c r="CF7" s="1035">
        <f t="shared" si="41"/>
        <v>0</v>
      </c>
      <c r="CG7" s="1044"/>
      <c r="CH7" s="1045">
        <f t="shared" si="42"/>
        <v>0</v>
      </c>
      <c r="CI7" s="1038" t="str">
        <f t="shared" si="43"/>
        <v/>
      </c>
      <c r="CJ7" s="1039"/>
      <c r="CK7" s="1035">
        <f>'ORDER SENT'!CN7</f>
        <v>0</v>
      </c>
      <c r="CL7" s="1035">
        <f t="shared" si="44"/>
        <v>0</v>
      </c>
      <c r="CM7" s="1044"/>
      <c r="CN7" s="1045">
        <f t="shared" si="45"/>
        <v>0</v>
      </c>
      <c r="CO7" s="1038" t="str">
        <f t="shared" si="46"/>
        <v/>
      </c>
      <c r="CP7" s="1039"/>
      <c r="CQ7" s="1035">
        <f>'ORDER SENT'!CT7</f>
        <v>0</v>
      </c>
      <c r="CR7" s="1035">
        <f t="shared" si="47"/>
        <v>0</v>
      </c>
      <c r="CS7" s="1044"/>
      <c r="CT7" s="1045">
        <f t="shared" si="48"/>
        <v>0</v>
      </c>
      <c r="CU7" s="1038" t="str">
        <f t="shared" si="49"/>
        <v/>
      </c>
      <c r="CV7" s="1039"/>
      <c r="CW7" s="1035">
        <f>'ORDER SENT'!CZ7</f>
        <v>0</v>
      </c>
      <c r="CX7" s="1035">
        <f t="shared" si="50"/>
        <v>0</v>
      </c>
      <c r="CY7" s="1044"/>
      <c r="CZ7" s="1045">
        <f t="shared" si="51"/>
        <v>0</v>
      </c>
      <c r="DA7" s="1038" t="str">
        <f t="shared" si="52"/>
        <v/>
      </c>
      <c r="DB7" s="1039"/>
      <c r="DC7" s="1035">
        <f>'ORDER SENT'!DF7</f>
        <v>0</v>
      </c>
      <c r="DD7" s="1035">
        <f t="shared" si="53"/>
        <v>0</v>
      </c>
      <c r="DE7" s="1044"/>
      <c r="DF7" s="1045">
        <f t="shared" si="54"/>
        <v>0</v>
      </c>
      <c r="DG7" s="1038" t="str">
        <f t="shared" si="55"/>
        <v/>
      </c>
      <c r="DH7" s="1039"/>
      <c r="DI7" s="1035">
        <f>'ORDER SENT'!DL7</f>
        <v>0</v>
      </c>
      <c r="DJ7" s="1035">
        <f t="shared" si="56"/>
        <v>0</v>
      </c>
      <c r="DK7" s="1044"/>
      <c r="DL7" s="1045">
        <f t="shared" si="57"/>
        <v>0</v>
      </c>
      <c r="DM7" s="1038" t="str">
        <f t="shared" si="58"/>
        <v/>
      </c>
      <c r="DN7" s="1039"/>
      <c r="DO7" s="1035">
        <f>'ORDER SENT'!DR7</f>
        <v>0</v>
      </c>
      <c r="DP7" s="1035">
        <f t="shared" si="59"/>
        <v>0</v>
      </c>
      <c r="DQ7" s="1044"/>
      <c r="DR7" s="1045">
        <f t="shared" si="60"/>
        <v>0</v>
      </c>
      <c r="DS7" s="1038" t="str">
        <f t="shared" si="61"/>
        <v/>
      </c>
      <c r="DT7" s="1039"/>
      <c r="DU7" s="1035">
        <f>'ORDER SENT'!DX7</f>
        <v>0</v>
      </c>
      <c r="DV7" s="1035">
        <f t="shared" si="62"/>
        <v>0</v>
      </c>
      <c r="DW7" s="1044"/>
      <c r="DX7" s="1045">
        <f t="shared" si="63"/>
        <v>0</v>
      </c>
      <c r="DY7" s="1038" t="str">
        <f t="shared" si="64"/>
        <v/>
      </c>
      <c r="DZ7" s="1039"/>
      <c r="EA7" s="1035">
        <f>'ORDER SENT'!ED7</f>
        <v>0</v>
      </c>
      <c r="EB7" s="1035">
        <f t="shared" si="65"/>
        <v>0</v>
      </c>
      <c r="EC7" s="1044"/>
      <c r="ED7" s="1045">
        <f t="shared" si="66"/>
        <v>0</v>
      </c>
      <c r="EE7" s="1038" t="str">
        <f t="shared" si="67"/>
        <v/>
      </c>
      <c r="EF7" s="1039"/>
      <c r="EG7" s="1035">
        <f>'ORDER SENT'!EJ7</f>
        <v>0</v>
      </c>
      <c r="EH7" s="1035">
        <f t="shared" si="68"/>
        <v>0</v>
      </c>
      <c r="EI7" s="1044"/>
      <c r="EJ7" s="1045">
        <f t="shared" si="69"/>
        <v>0</v>
      </c>
      <c r="EK7" s="1038" t="str">
        <f t="shared" si="70"/>
        <v/>
      </c>
      <c r="EL7" s="1039"/>
      <c r="EM7" s="1035">
        <f>'ORDER SENT'!EP7</f>
        <v>0</v>
      </c>
      <c r="EN7" s="1035">
        <f t="shared" si="71"/>
        <v>0</v>
      </c>
      <c r="EO7" s="1044"/>
      <c r="EP7" s="1045">
        <f t="shared" si="72"/>
        <v>0</v>
      </c>
      <c r="EQ7" s="1038" t="str">
        <f t="shared" si="73"/>
        <v/>
      </c>
      <c r="ER7" s="1039"/>
      <c r="ES7" s="1035">
        <f>'ORDER SENT'!EV7</f>
        <v>0</v>
      </c>
      <c r="ET7" s="1035">
        <f t="shared" si="74"/>
        <v>0</v>
      </c>
      <c r="EU7" s="1044"/>
      <c r="EV7" s="1045">
        <f t="shared" si="75"/>
        <v>0</v>
      </c>
      <c r="EW7" s="1038" t="str">
        <f t="shared" si="76"/>
        <v/>
      </c>
      <c r="EX7" s="1039"/>
      <c r="EY7" s="1035">
        <f>'ORDER SENT'!FB7</f>
        <v>0</v>
      </c>
      <c r="EZ7" s="1035">
        <f t="shared" si="77"/>
        <v>0</v>
      </c>
      <c r="FA7" s="1044"/>
      <c r="FB7" s="1045">
        <f t="shared" si="78"/>
        <v>0</v>
      </c>
      <c r="FC7" s="1038" t="str">
        <f t="shared" si="79"/>
        <v/>
      </c>
      <c r="FD7" s="1039"/>
      <c r="FE7" s="1035">
        <f>'ORDER SENT'!FH7</f>
        <v>0</v>
      </c>
      <c r="FF7" s="1035">
        <f t="shared" si="80"/>
        <v>0</v>
      </c>
      <c r="FG7" s="1044"/>
      <c r="FH7" s="1045">
        <f t="shared" si="81"/>
        <v>0</v>
      </c>
      <c r="FI7" s="1038" t="str">
        <f t="shared" si="82"/>
        <v/>
      </c>
      <c r="FJ7" s="1039"/>
      <c r="FK7" s="1035">
        <f>'ORDER SENT'!FN7</f>
        <v>0</v>
      </c>
      <c r="FL7" s="1035">
        <f t="shared" si="83"/>
        <v>0</v>
      </c>
      <c r="FM7" s="1044"/>
      <c r="FN7" s="1045">
        <f t="shared" si="84"/>
        <v>0</v>
      </c>
      <c r="FO7" s="1038" t="str">
        <f t="shared" si="85"/>
        <v/>
      </c>
      <c r="FP7" s="1039"/>
      <c r="FQ7" s="1035">
        <f>'ORDER SENT'!FT7</f>
        <v>0</v>
      </c>
      <c r="FR7" s="1035">
        <f t="shared" si="86"/>
        <v>0</v>
      </c>
      <c r="FS7" s="1044"/>
      <c r="FT7" s="1045">
        <f t="shared" si="87"/>
        <v>0</v>
      </c>
      <c r="FU7" s="1038" t="str">
        <f t="shared" si="88"/>
        <v/>
      </c>
      <c r="FV7" s="1039"/>
      <c r="FW7" s="1035">
        <f>'ORDER SENT'!FZ7</f>
        <v>0</v>
      </c>
      <c r="FX7" s="1035">
        <f t="shared" si="89"/>
        <v>0</v>
      </c>
      <c r="FY7" s="1044"/>
      <c r="FZ7" s="1045">
        <f t="shared" si="90"/>
        <v>0</v>
      </c>
      <c r="GA7" s="1038" t="str">
        <f t="shared" si="91"/>
        <v/>
      </c>
      <c r="GB7" s="1039"/>
      <c r="GC7" s="1035">
        <f>'ORDER SENT'!GF7</f>
        <v>0</v>
      </c>
      <c r="GD7" s="1035">
        <f t="shared" si="92"/>
        <v>0</v>
      </c>
      <c r="GE7" s="1044"/>
      <c r="GF7" s="1045">
        <f t="shared" si="93"/>
        <v>0</v>
      </c>
      <c r="GG7" s="1046" t="str">
        <f t="shared" si="94"/>
        <v/>
      </c>
      <c r="GH7" s="1047">
        <f t="shared" ref="GH7:GL7" si="97">+GB7+FV7+FP7+FJ7+FD7+EX7+ER7+EL7+EF7+DZ7+DT7+DN7+DH7+DB7+CV7+CP7+CJ7+CD7+BX7+BR7+BL7+BF7++AZ7+AT7+AN7+AH7+AB7+V7+P7+J7+D7</f>
        <v>0</v>
      </c>
      <c r="GI7" s="1047">
        <f t="shared" si="97"/>
        <v>0</v>
      </c>
      <c r="GJ7" s="1047">
        <f t="shared" si="97"/>
        <v>0</v>
      </c>
      <c r="GK7" s="1048">
        <f t="shared" si="97"/>
        <v>0</v>
      </c>
      <c r="GL7" s="1045">
        <f t="shared" si="97"/>
        <v>0</v>
      </c>
      <c r="GM7" s="1049">
        <f t="shared" si="96"/>
        <v>0</v>
      </c>
    </row>
    <row r="8">
      <c r="B8" s="1042" t="s">
        <v>633</v>
      </c>
      <c r="C8" s="1043"/>
      <c r="D8" s="1039"/>
      <c r="E8" s="1035">
        <f>'ORDER SENT'!H8</f>
        <v>0</v>
      </c>
      <c r="F8" s="1035">
        <f t="shared" si="2"/>
        <v>0</v>
      </c>
      <c r="G8" s="1044"/>
      <c r="H8" s="1045">
        <f t="shared" si="3"/>
        <v>0</v>
      </c>
      <c r="I8" s="1038" t="str">
        <f t="shared" si="4"/>
        <v/>
      </c>
      <c r="J8" s="1039"/>
      <c r="K8" s="1035">
        <f>'ORDER SENT'!N8</f>
        <v>0</v>
      </c>
      <c r="L8" s="1035">
        <f t="shared" si="5"/>
        <v>0</v>
      </c>
      <c r="M8" s="1044"/>
      <c r="N8" s="1045">
        <f t="shared" si="6"/>
        <v>0</v>
      </c>
      <c r="O8" s="1038" t="str">
        <f t="shared" si="7"/>
        <v/>
      </c>
      <c r="P8" s="1039"/>
      <c r="Q8" s="1035">
        <f>'ORDER SENT'!T8</f>
        <v>0</v>
      </c>
      <c r="R8" s="1035">
        <f t="shared" si="8"/>
        <v>0</v>
      </c>
      <c r="S8" s="1044"/>
      <c r="T8" s="1045">
        <f t="shared" si="9"/>
        <v>0</v>
      </c>
      <c r="U8" s="1038" t="str">
        <f t="shared" si="10"/>
        <v/>
      </c>
      <c r="V8" s="1039"/>
      <c r="W8" s="1035">
        <f>'ORDER SENT'!Z8</f>
        <v>0</v>
      </c>
      <c r="X8" s="1035">
        <f t="shared" si="11"/>
        <v>0</v>
      </c>
      <c r="Y8" s="1044"/>
      <c r="Z8" s="1045">
        <f t="shared" si="12"/>
        <v>0</v>
      </c>
      <c r="AA8" s="1038" t="str">
        <f t="shared" si="13"/>
        <v/>
      </c>
      <c r="AB8" s="1039"/>
      <c r="AC8" s="1035">
        <f>'ORDER SENT'!AF8</f>
        <v>0</v>
      </c>
      <c r="AD8" s="1035">
        <f t="shared" si="14"/>
        <v>0</v>
      </c>
      <c r="AE8" s="1044"/>
      <c r="AF8" s="1045">
        <f t="shared" si="15"/>
        <v>0</v>
      </c>
      <c r="AG8" s="1038" t="str">
        <f t="shared" si="16"/>
        <v/>
      </c>
      <c r="AH8" s="1039"/>
      <c r="AI8" s="1035">
        <f>'ORDER SENT'!AL8</f>
        <v>0</v>
      </c>
      <c r="AJ8" s="1035">
        <f t="shared" si="17"/>
        <v>0</v>
      </c>
      <c r="AK8" s="1044"/>
      <c r="AL8" s="1045">
        <f t="shared" si="18"/>
        <v>0</v>
      </c>
      <c r="AM8" s="1038" t="str">
        <f t="shared" si="19"/>
        <v/>
      </c>
      <c r="AN8" s="1039"/>
      <c r="AO8" s="1035">
        <f>'ORDER SENT'!AR8</f>
        <v>0</v>
      </c>
      <c r="AP8" s="1035">
        <f t="shared" si="20"/>
        <v>0</v>
      </c>
      <c r="AQ8" s="1044"/>
      <c r="AR8" s="1045">
        <f t="shared" si="21"/>
        <v>0</v>
      </c>
      <c r="AS8" s="1038" t="str">
        <f t="shared" si="22"/>
        <v/>
      </c>
      <c r="AT8" s="1039"/>
      <c r="AU8" s="1035">
        <f>'ORDER SENT'!AX8</f>
        <v>0</v>
      </c>
      <c r="AV8" s="1035">
        <f t="shared" si="23"/>
        <v>0</v>
      </c>
      <c r="AW8" s="1044"/>
      <c r="AX8" s="1045">
        <f t="shared" si="24"/>
        <v>0</v>
      </c>
      <c r="AY8" s="1038" t="str">
        <f t="shared" si="25"/>
        <v/>
      </c>
      <c r="AZ8" s="1039"/>
      <c r="BA8" s="1035">
        <f>'ORDER SENT'!BD8</f>
        <v>0</v>
      </c>
      <c r="BB8" s="1035">
        <f t="shared" si="26"/>
        <v>0</v>
      </c>
      <c r="BC8" s="1044"/>
      <c r="BD8" s="1045">
        <f t="shared" si="27"/>
        <v>0</v>
      </c>
      <c r="BE8" s="1038" t="str">
        <f t="shared" si="28"/>
        <v/>
      </c>
      <c r="BF8" s="1039"/>
      <c r="BG8" s="1035">
        <f>'ORDER SENT'!BJ8</f>
        <v>0</v>
      </c>
      <c r="BH8" s="1035">
        <f t="shared" si="29"/>
        <v>0</v>
      </c>
      <c r="BI8" s="1044"/>
      <c r="BJ8" s="1045">
        <f t="shared" si="30"/>
        <v>0</v>
      </c>
      <c r="BK8" s="1038" t="str">
        <f t="shared" si="31"/>
        <v/>
      </c>
      <c r="BL8" s="1039"/>
      <c r="BM8" s="1035">
        <f>'ORDER SENT'!BP8</f>
        <v>0</v>
      </c>
      <c r="BN8" s="1035">
        <f t="shared" si="32"/>
        <v>0</v>
      </c>
      <c r="BO8" s="1044"/>
      <c r="BP8" s="1045">
        <f t="shared" si="33"/>
        <v>0</v>
      </c>
      <c r="BQ8" s="1038" t="str">
        <f t="shared" si="34"/>
        <v/>
      </c>
      <c r="BR8" s="1039"/>
      <c r="BS8" s="1035">
        <f>'ORDER SENT'!BV8</f>
        <v>0</v>
      </c>
      <c r="BT8" s="1035">
        <f t="shared" si="35"/>
        <v>0</v>
      </c>
      <c r="BU8" s="1044"/>
      <c r="BV8" s="1045">
        <f t="shared" si="36"/>
        <v>0</v>
      </c>
      <c r="BW8" s="1038" t="str">
        <f t="shared" si="37"/>
        <v/>
      </c>
      <c r="BX8" s="1039"/>
      <c r="BY8" s="1035">
        <f>'ORDER SENT'!CB8</f>
        <v>0</v>
      </c>
      <c r="BZ8" s="1035">
        <f t="shared" si="38"/>
        <v>0</v>
      </c>
      <c r="CA8" s="1044"/>
      <c r="CB8" s="1045">
        <f t="shared" si="39"/>
        <v>0</v>
      </c>
      <c r="CC8" s="1038" t="str">
        <f t="shared" si="40"/>
        <v/>
      </c>
      <c r="CD8" s="1039"/>
      <c r="CE8" s="1035">
        <f>'ORDER SENT'!CH8</f>
        <v>0</v>
      </c>
      <c r="CF8" s="1035">
        <f t="shared" si="41"/>
        <v>0</v>
      </c>
      <c r="CG8" s="1044"/>
      <c r="CH8" s="1045">
        <f t="shared" si="42"/>
        <v>0</v>
      </c>
      <c r="CI8" s="1038" t="str">
        <f t="shared" si="43"/>
        <v/>
      </c>
      <c r="CJ8" s="1039"/>
      <c r="CK8" s="1035">
        <f>'ORDER SENT'!CN8</f>
        <v>0</v>
      </c>
      <c r="CL8" s="1035">
        <f t="shared" si="44"/>
        <v>0</v>
      </c>
      <c r="CM8" s="1044"/>
      <c r="CN8" s="1045">
        <f t="shared" si="45"/>
        <v>0</v>
      </c>
      <c r="CO8" s="1038" t="str">
        <f t="shared" si="46"/>
        <v/>
      </c>
      <c r="CP8" s="1039"/>
      <c r="CQ8" s="1035">
        <f>'ORDER SENT'!CT8</f>
        <v>0</v>
      </c>
      <c r="CR8" s="1035">
        <f t="shared" si="47"/>
        <v>0</v>
      </c>
      <c r="CS8" s="1044"/>
      <c r="CT8" s="1045">
        <f t="shared" si="48"/>
        <v>0</v>
      </c>
      <c r="CU8" s="1038" t="str">
        <f t="shared" si="49"/>
        <v/>
      </c>
      <c r="CV8" s="1039"/>
      <c r="CW8" s="1035">
        <f>'ORDER SENT'!CZ8</f>
        <v>0</v>
      </c>
      <c r="CX8" s="1035">
        <f t="shared" si="50"/>
        <v>0</v>
      </c>
      <c r="CY8" s="1044"/>
      <c r="CZ8" s="1045">
        <f t="shared" si="51"/>
        <v>0</v>
      </c>
      <c r="DA8" s="1038" t="str">
        <f t="shared" si="52"/>
        <v/>
      </c>
      <c r="DB8" s="1039"/>
      <c r="DC8" s="1035">
        <f>'ORDER SENT'!DF8</f>
        <v>0</v>
      </c>
      <c r="DD8" s="1035">
        <f t="shared" si="53"/>
        <v>0</v>
      </c>
      <c r="DE8" s="1044"/>
      <c r="DF8" s="1045">
        <f t="shared" si="54"/>
        <v>0</v>
      </c>
      <c r="DG8" s="1038" t="str">
        <f t="shared" si="55"/>
        <v/>
      </c>
      <c r="DH8" s="1039"/>
      <c r="DI8" s="1035">
        <f>'ORDER SENT'!DL8</f>
        <v>0</v>
      </c>
      <c r="DJ8" s="1035">
        <f t="shared" si="56"/>
        <v>0</v>
      </c>
      <c r="DK8" s="1044"/>
      <c r="DL8" s="1045">
        <f t="shared" si="57"/>
        <v>0</v>
      </c>
      <c r="DM8" s="1038" t="str">
        <f t="shared" si="58"/>
        <v/>
      </c>
      <c r="DN8" s="1039"/>
      <c r="DO8" s="1035">
        <f>'ORDER SENT'!DR8</f>
        <v>0</v>
      </c>
      <c r="DP8" s="1035">
        <f t="shared" si="59"/>
        <v>0</v>
      </c>
      <c r="DQ8" s="1044"/>
      <c r="DR8" s="1045">
        <f t="shared" si="60"/>
        <v>0</v>
      </c>
      <c r="DS8" s="1038" t="str">
        <f t="shared" si="61"/>
        <v/>
      </c>
      <c r="DT8" s="1039"/>
      <c r="DU8" s="1035">
        <f>'ORDER SENT'!DX8</f>
        <v>0</v>
      </c>
      <c r="DV8" s="1035">
        <f t="shared" si="62"/>
        <v>0</v>
      </c>
      <c r="DW8" s="1044"/>
      <c r="DX8" s="1045">
        <f t="shared" si="63"/>
        <v>0</v>
      </c>
      <c r="DY8" s="1038" t="str">
        <f t="shared" si="64"/>
        <v/>
      </c>
      <c r="DZ8" s="1039"/>
      <c r="EA8" s="1035">
        <f>'ORDER SENT'!ED8</f>
        <v>0</v>
      </c>
      <c r="EB8" s="1035">
        <f t="shared" si="65"/>
        <v>0</v>
      </c>
      <c r="EC8" s="1044"/>
      <c r="ED8" s="1045">
        <f t="shared" si="66"/>
        <v>0</v>
      </c>
      <c r="EE8" s="1038" t="str">
        <f t="shared" si="67"/>
        <v/>
      </c>
      <c r="EF8" s="1039"/>
      <c r="EG8" s="1035">
        <f>'ORDER SENT'!EJ8</f>
        <v>0</v>
      </c>
      <c r="EH8" s="1035">
        <f t="shared" si="68"/>
        <v>0</v>
      </c>
      <c r="EI8" s="1044"/>
      <c r="EJ8" s="1045">
        <f t="shared" si="69"/>
        <v>0</v>
      </c>
      <c r="EK8" s="1038" t="str">
        <f t="shared" si="70"/>
        <v/>
      </c>
      <c r="EL8" s="1039"/>
      <c r="EM8" s="1035">
        <f>'ORDER SENT'!EP8</f>
        <v>0</v>
      </c>
      <c r="EN8" s="1035">
        <f t="shared" si="71"/>
        <v>0</v>
      </c>
      <c r="EO8" s="1044"/>
      <c r="EP8" s="1045">
        <f t="shared" si="72"/>
        <v>0</v>
      </c>
      <c r="EQ8" s="1038" t="str">
        <f t="shared" si="73"/>
        <v/>
      </c>
      <c r="ER8" s="1039"/>
      <c r="ES8" s="1035">
        <f>'ORDER SENT'!EV8</f>
        <v>0</v>
      </c>
      <c r="ET8" s="1035">
        <f t="shared" si="74"/>
        <v>0</v>
      </c>
      <c r="EU8" s="1044"/>
      <c r="EV8" s="1045">
        <f t="shared" si="75"/>
        <v>0</v>
      </c>
      <c r="EW8" s="1038" t="str">
        <f t="shared" si="76"/>
        <v/>
      </c>
      <c r="EX8" s="1039"/>
      <c r="EY8" s="1035">
        <f>'ORDER SENT'!FB8</f>
        <v>0</v>
      </c>
      <c r="EZ8" s="1035">
        <f t="shared" si="77"/>
        <v>0</v>
      </c>
      <c r="FA8" s="1044"/>
      <c r="FB8" s="1045">
        <f t="shared" si="78"/>
        <v>0</v>
      </c>
      <c r="FC8" s="1038" t="str">
        <f t="shared" si="79"/>
        <v/>
      </c>
      <c r="FD8" s="1039"/>
      <c r="FE8" s="1035">
        <f>'ORDER SENT'!FH8</f>
        <v>0</v>
      </c>
      <c r="FF8" s="1035">
        <f t="shared" si="80"/>
        <v>0</v>
      </c>
      <c r="FG8" s="1044"/>
      <c r="FH8" s="1045">
        <f t="shared" si="81"/>
        <v>0</v>
      </c>
      <c r="FI8" s="1038" t="str">
        <f t="shared" si="82"/>
        <v/>
      </c>
      <c r="FJ8" s="1039"/>
      <c r="FK8" s="1035">
        <f>'ORDER SENT'!FN8</f>
        <v>0</v>
      </c>
      <c r="FL8" s="1035">
        <f t="shared" si="83"/>
        <v>0</v>
      </c>
      <c r="FM8" s="1044"/>
      <c r="FN8" s="1045">
        <f t="shared" si="84"/>
        <v>0</v>
      </c>
      <c r="FO8" s="1038" t="str">
        <f t="shared" si="85"/>
        <v/>
      </c>
      <c r="FP8" s="1039"/>
      <c r="FQ8" s="1035">
        <f>'ORDER SENT'!FT8</f>
        <v>0</v>
      </c>
      <c r="FR8" s="1035">
        <f t="shared" si="86"/>
        <v>0</v>
      </c>
      <c r="FS8" s="1044"/>
      <c r="FT8" s="1045">
        <f t="shared" si="87"/>
        <v>0</v>
      </c>
      <c r="FU8" s="1038" t="str">
        <f t="shared" si="88"/>
        <v/>
      </c>
      <c r="FV8" s="1039"/>
      <c r="FW8" s="1035">
        <f>'ORDER SENT'!FZ8</f>
        <v>0</v>
      </c>
      <c r="FX8" s="1035">
        <f t="shared" si="89"/>
        <v>0</v>
      </c>
      <c r="FY8" s="1044"/>
      <c r="FZ8" s="1045">
        <f t="shared" si="90"/>
        <v>0</v>
      </c>
      <c r="GA8" s="1038" t="str">
        <f t="shared" si="91"/>
        <v/>
      </c>
      <c r="GB8" s="1039"/>
      <c r="GC8" s="1035">
        <f>'ORDER SENT'!GF8</f>
        <v>0</v>
      </c>
      <c r="GD8" s="1035">
        <f t="shared" si="92"/>
        <v>0</v>
      </c>
      <c r="GE8" s="1044"/>
      <c r="GF8" s="1045">
        <f t="shared" si="93"/>
        <v>0</v>
      </c>
      <c r="GG8" s="1046" t="str">
        <f t="shared" si="94"/>
        <v/>
      </c>
      <c r="GH8" s="1047">
        <f t="shared" ref="GH8:GL8" si="98">+GB8+FV8+FP8+FJ8+FD8+EX8+ER8+EL8+EF8+DZ8+DT8+DN8+DH8+DB8+CV8+CP8+CJ8+CD8+BX8+BR8+BL8+BF8++AZ8+AT8+AN8+AH8+AB8+V8+P8+J8+D8</f>
        <v>0</v>
      </c>
      <c r="GI8" s="1047">
        <f t="shared" si="98"/>
        <v>0</v>
      </c>
      <c r="GJ8" s="1047">
        <f t="shared" si="98"/>
        <v>0</v>
      </c>
      <c r="GK8" s="1048">
        <f t="shared" si="98"/>
        <v>0</v>
      </c>
      <c r="GL8" s="1045">
        <f t="shared" si="98"/>
        <v>0</v>
      </c>
      <c r="GM8" s="1049">
        <f t="shared" si="96"/>
        <v>0</v>
      </c>
    </row>
    <row r="9">
      <c r="B9" s="1042" t="s">
        <v>634</v>
      </c>
      <c r="C9" s="1043"/>
      <c r="D9" s="1039"/>
      <c r="E9" s="1035">
        <f>'ORDER SENT'!H9</f>
        <v>0</v>
      </c>
      <c r="F9" s="1035">
        <f t="shared" si="2"/>
        <v>0</v>
      </c>
      <c r="G9" s="1044"/>
      <c r="H9" s="1045">
        <f t="shared" si="3"/>
        <v>0</v>
      </c>
      <c r="I9" s="1038" t="str">
        <f t="shared" si="4"/>
        <v/>
      </c>
      <c r="J9" s="1039"/>
      <c r="K9" s="1035">
        <f>'ORDER SENT'!N9</f>
        <v>0</v>
      </c>
      <c r="L9" s="1035">
        <f t="shared" si="5"/>
        <v>0</v>
      </c>
      <c r="M9" s="1044"/>
      <c r="N9" s="1045">
        <f t="shared" si="6"/>
        <v>0</v>
      </c>
      <c r="O9" s="1038" t="str">
        <f t="shared" si="7"/>
        <v/>
      </c>
      <c r="P9" s="1039"/>
      <c r="Q9" s="1035">
        <f>'ORDER SENT'!T9</f>
        <v>0</v>
      </c>
      <c r="R9" s="1035">
        <f t="shared" si="8"/>
        <v>0</v>
      </c>
      <c r="S9" s="1044"/>
      <c r="T9" s="1045">
        <f t="shared" si="9"/>
        <v>0</v>
      </c>
      <c r="U9" s="1038" t="str">
        <f t="shared" si="10"/>
        <v/>
      </c>
      <c r="V9" s="1039"/>
      <c r="W9" s="1035">
        <f>'ORDER SENT'!Z9</f>
        <v>0</v>
      </c>
      <c r="X9" s="1035">
        <f t="shared" si="11"/>
        <v>0</v>
      </c>
      <c r="Y9" s="1044"/>
      <c r="Z9" s="1045">
        <f t="shared" si="12"/>
        <v>0</v>
      </c>
      <c r="AA9" s="1038" t="str">
        <f t="shared" si="13"/>
        <v/>
      </c>
      <c r="AB9" s="1039"/>
      <c r="AC9" s="1035">
        <f>'ORDER SENT'!AF9</f>
        <v>0</v>
      </c>
      <c r="AD9" s="1035">
        <f t="shared" si="14"/>
        <v>0</v>
      </c>
      <c r="AE9" s="1044"/>
      <c r="AF9" s="1045">
        <f t="shared" si="15"/>
        <v>0</v>
      </c>
      <c r="AG9" s="1038" t="str">
        <f t="shared" si="16"/>
        <v/>
      </c>
      <c r="AH9" s="1039"/>
      <c r="AI9" s="1035">
        <f>'ORDER SENT'!AL9</f>
        <v>0</v>
      </c>
      <c r="AJ9" s="1035">
        <f t="shared" si="17"/>
        <v>0</v>
      </c>
      <c r="AK9" s="1044"/>
      <c r="AL9" s="1045">
        <f t="shared" si="18"/>
        <v>0</v>
      </c>
      <c r="AM9" s="1038" t="str">
        <f t="shared" si="19"/>
        <v/>
      </c>
      <c r="AN9" s="1039"/>
      <c r="AO9" s="1035">
        <f>'ORDER SENT'!AR9</f>
        <v>0</v>
      </c>
      <c r="AP9" s="1035">
        <f t="shared" si="20"/>
        <v>0</v>
      </c>
      <c r="AQ9" s="1044"/>
      <c r="AR9" s="1045">
        <f t="shared" si="21"/>
        <v>0</v>
      </c>
      <c r="AS9" s="1038" t="str">
        <f t="shared" si="22"/>
        <v/>
      </c>
      <c r="AT9" s="1039"/>
      <c r="AU9" s="1035">
        <f>'ORDER SENT'!AX9</f>
        <v>0</v>
      </c>
      <c r="AV9" s="1035">
        <f t="shared" si="23"/>
        <v>0</v>
      </c>
      <c r="AW9" s="1044"/>
      <c r="AX9" s="1045">
        <f t="shared" si="24"/>
        <v>0</v>
      </c>
      <c r="AY9" s="1038" t="str">
        <f t="shared" si="25"/>
        <v/>
      </c>
      <c r="AZ9" s="1039"/>
      <c r="BA9" s="1035">
        <f>'ORDER SENT'!BD9</f>
        <v>0</v>
      </c>
      <c r="BB9" s="1035">
        <f t="shared" si="26"/>
        <v>0</v>
      </c>
      <c r="BC9" s="1044"/>
      <c r="BD9" s="1045">
        <f t="shared" si="27"/>
        <v>0</v>
      </c>
      <c r="BE9" s="1038" t="str">
        <f t="shared" si="28"/>
        <v/>
      </c>
      <c r="BF9" s="1039"/>
      <c r="BG9" s="1035">
        <f>'ORDER SENT'!BJ9</f>
        <v>0</v>
      </c>
      <c r="BH9" s="1035">
        <f t="shared" si="29"/>
        <v>0</v>
      </c>
      <c r="BI9" s="1044"/>
      <c r="BJ9" s="1045">
        <f t="shared" si="30"/>
        <v>0</v>
      </c>
      <c r="BK9" s="1038" t="str">
        <f t="shared" si="31"/>
        <v/>
      </c>
      <c r="BL9" s="1039"/>
      <c r="BM9" s="1035">
        <f>'ORDER SENT'!BP9</f>
        <v>0</v>
      </c>
      <c r="BN9" s="1035">
        <f t="shared" si="32"/>
        <v>0</v>
      </c>
      <c r="BO9" s="1044"/>
      <c r="BP9" s="1045">
        <f t="shared" si="33"/>
        <v>0</v>
      </c>
      <c r="BQ9" s="1038" t="str">
        <f t="shared" si="34"/>
        <v/>
      </c>
      <c r="BR9" s="1039"/>
      <c r="BS9" s="1035">
        <f>'ORDER SENT'!BV9</f>
        <v>0</v>
      </c>
      <c r="BT9" s="1035">
        <f t="shared" si="35"/>
        <v>0</v>
      </c>
      <c r="BU9" s="1044"/>
      <c r="BV9" s="1045">
        <f t="shared" si="36"/>
        <v>0</v>
      </c>
      <c r="BW9" s="1038" t="str">
        <f t="shared" si="37"/>
        <v/>
      </c>
      <c r="BX9" s="1039"/>
      <c r="BY9" s="1035">
        <f>'ORDER SENT'!CB9</f>
        <v>0</v>
      </c>
      <c r="BZ9" s="1035">
        <f t="shared" si="38"/>
        <v>0</v>
      </c>
      <c r="CA9" s="1044"/>
      <c r="CB9" s="1045">
        <f t="shared" si="39"/>
        <v>0</v>
      </c>
      <c r="CC9" s="1038" t="str">
        <f t="shared" si="40"/>
        <v/>
      </c>
      <c r="CD9" s="1039"/>
      <c r="CE9" s="1035">
        <f>'ORDER SENT'!CH9</f>
        <v>0</v>
      </c>
      <c r="CF9" s="1035">
        <f t="shared" si="41"/>
        <v>0</v>
      </c>
      <c r="CG9" s="1044"/>
      <c r="CH9" s="1045">
        <f t="shared" si="42"/>
        <v>0</v>
      </c>
      <c r="CI9" s="1038" t="str">
        <f t="shared" si="43"/>
        <v/>
      </c>
      <c r="CJ9" s="1039"/>
      <c r="CK9" s="1035">
        <f>'ORDER SENT'!CN9</f>
        <v>0</v>
      </c>
      <c r="CL9" s="1035">
        <f t="shared" si="44"/>
        <v>0</v>
      </c>
      <c r="CM9" s="1044"/>
      <c r="CN9" s="1045">
        <f t="shared" si="45"/>
        <v>0</v>
      </c>
      <c r="CO9" s="1038" t="str">
        <f t="shared" si="46"/>
        <v/>
      </c>
      <c r="CP9" s="1039"/>
      <c r="CQ9" s="1035">
        <f>'ORDER SENT'!CT9</f>
        <v>0</v>
      </c>
      <c r="CR9" s="1035">
        <f t="shared" si="47"/>
        <v>0</v>
      </c>
      <c r="CS9" s="1044"/>
      <c r="CT9" s="1045">
        <f t="shared" si="48"/>
        <v>0</v>
      </c>
      <c r="CU9" s="1038" t="str">
        <f t="shared" si="49"/>
        <v/>
      </c>
      <c r="CV9" s="1039"/>
      <c r="CW9" s="1035">
        <f>'ORDER SENT'!CZ9</f>
        <v>0</v>
      </c>
      <c r="CX9" s="1035">
        <f t="shared" si="50"/>
        <v>0</v>
      </c>
      <c r="CY9" s="1044"/>
      <c r="CZ9" s="1045">
        <f t="shared" si="51"/>
        <v>0</v>
      </c>
      <c r="DA9" s="1038" t="str">
        <f t="shared" si="52"/>
        <v/>
      </c>
      <c r="DB9" s="1039"/>
      <c r="DC9" s="1035">
        <f>'ORDER SENT'!DF9</f>
        <v>0</v>
      </c>
      <c r="DD9" s="1035">
        <f t="shared" si="53"/>
        <v>0</v>
      </c>
      <c r="DE9" s="1044"/>
      <c r="DF9" s="1045">
        <f t="shared" si="54"/>
        <v>0</v>
      </c>
      <c r="DG9" s="1038" t="str">
        <f t="shared" si="55"/>
        <v/>
      </c>
      <c r="DH9" s="1039"/>
      <c r="DI9" s="1035">
        <f>'ORDER SENT'!DL9</f>
        <v>0</v>
      </c>
      <c r="DJ9" s="1035">
        <f t="shared" si="56"/>
        <v>0</v>
      </c>
      <c r="DK9" s="1044"/>
      <c r="DL9" s="1045">
        <f t="shared" si="57"/>
        <v>0</v>
      </c>
      <c r="DM9" s="1038" t="str">
        <f t="shared" si="58"/>
        <v/>
      </c>
      <c r="DN9" s="1039"/>
      <c r="DO9" s="1035">
        <f>'ORDER SENT'!DR9</f>
        <v>0</v>
      </c>
      <c r="DP9" s="1035">
        <f t="shared" si="59"/>
        <v>0</v>
      </c>
      <c r="DQ9" s="1044"/>
      <c r="DR9" s="1045">
        <f t="shared" si="60"/>
        <v>0</v>
      </c>
      <c r="DS9" s="1038" t="str">
        <f t="shared" si="61"/>
        <v/>
      </c>
      <c r="DT9" s="1039"/>
      <c r="DU9" s="1035">
        <f>'ORDER SENT'!DX9</f>
        <v>0</v>
      </c>
      <c r="DV9" s="1035">
        <f t="shared" si="62"/>
        <v>0</v>
      </c>
      <c r="DW9" s="1044"/>
      <c r="DX9" s="1045">
        <f t="shared" si="63"/>
        <v>0</v>
      </c>
      <c r="DY9" s="1038" t="str">
        <f t="shared" si="64"/>
        <v/>
      </c>
      <c r="DZ9" s="1039"/>
      <c r="EA9" s="1035">
        <f>'ORDER SENT'!ED9</f>
        <v>0</v>
      </c>
      <c r="EB9" s="1035">
        <f t="shared" si="65"/>
        <v>0</v>
      </c>
      <c r="EC9" s="1044"/>
      <c r="ED9" s="1045">
        <f t="shared" si="66"/>
        <v>0</v>
      </c>
      <c r="EE9" s="1038" t="str">
        <f t="shared" si="67"/>
        <v/>
      </c>
      <c r="EF9" s="1039"/>
      <c r="EG9" s="1035">
        <f>'ORDER SENT'!EJ9</f>
        <v>0</v>
      </c>
      <c r="EH9" s="1035">
        <f t="shared" si="68"/>
        <v>0</v>
      </c>
      <c r="EI9" s="1044"/>
      <c r="EJ9" s="1045">
        <f t="shared" si="69"/>
        <v>0</v>
      </c>
      <c r="EK9" s="1038" t="str">
        <f t="shared" si="70"/>
        <v/>
      </c>
      <c r="EL9" s="1039"/>
      <c r="EM9" s="1035">
        <f>'ORDER SENT'!EP9</f>
        <v>0</v>
      </c>
      <c r="EN9" s="1035">
        <f t="shared" si="71"/>
        <v>0</v>
      </c>
      <c r="EO9" s="1044"/>
      <c r="EP9" s="1045">
        <f t="shared" si="72"/>
        <v>0</v>
      </c>
      <c r="EQ9" s="1038" t="str">
        <f t="shared" si="73"/>
        <v/>
      </c>
      <c r="ER9" s="1039"/>
      <c r="ES9" s="1035">
        <f>'ORDER SENT'!EV9</f>
        <v>0</v>
      </c>
      <c r="ET9" s="1035">
        <f t="shared" si="74"/>
        <v>0</v>
      </c>
      <c r="EU9" s="1044"/>
      <c r="EV9" s="1045">
        <f t="shared" si="75"/>
        <v>0</v>
      </c>
      <c r="EW9" s="1038" t="str">
        <f t="shared" si="76"/>
        <v/>
      </c>
      <c r="EX9" s="1039"/>
      <c r="EY9" s="1035">
        <f>'ORDER SENT'!FB9</f>
        <v>0</v>
      </c>
      <c r="EZ9" s="1035">
        <f t="shared" si="77"/>
        <v>0</v>
      </c>
      <c r="FA9" s="1044"/>
      <c r="FB9" s="1045">
        <f t="shared" si="78"/>
        <v>0</v>
      </c>
      <c r="FC9" s="1038" t="str">
        <f t="shared" si="79"/>
        <v/>
      </c>
      <c r="FD9" s="1039"/>
      <c r="FE9" s="1035">
        <f>'ORDER SENT'!FH9</f>
        <v>0</v>
      </c>
      <c r="FF9" s="1035">
        <f t="shared" si="80"/>
        <v>0</v>
      </c>
      <c r="FG9" s="1044"/>
      <c r="FH9" s="1045">
        <f t="shared" si="81"/>
        <v>0</v>
      </c>
      <c r="FI9" s="1038" t="str">
        <f t="shared" si="82"/>
        <v/>
      </c>
      <c r="FJ9" s="1039"/>
      <c r="FK9" s="1035">
        <f>'ORDER SENT'!FN9</f>
        <v>0</v>
      </c>
      <c r="FL9" s="1035">
        <f t="shared" si="83"/>
        <v>0</v>
      </c>
      <c r="FM9" s="1044"/>
      <c r="FN9" s="1045">
        <f t="shared" si="84"/>
        <v>0</v>
      </c>
      <c r="FO9" s="1038" t="str">
        <f t="shared" si="85"/>
        <v/>
      </c>
      <c r="FP9" s="1039"/>
      <c r="FQ9" s="1035">
        <f>'ORDER SENT'!FT9</f>
        <v>0</v>
      </c>
      <c r="FR9" s="1035">
        <f t="shared" si="86"/>
        <v>0</v>
      </c>
      <c r="FS9" s="1044"/>
      <c r="FT9" s="1045">
        <f t="shared" si="87"/>
        <v>0</v>
      </c>
      <c r="FU9" s="1038" t="str">
        <f t="shared" si="88"/>
        <v/>
      </c>
      <c r="FV9" s="1039"/>
      <c r="FW9" s="1035">
        <f>'ORDER SENT'!FZ9</f>
        <v>0</v>
      </c>
      <c r="FX9" s="1035">
        <f t="shared" si="89"/>
        <v>0</v>
      </c>
      <c r="FY9" s="1044"/>
      <c r="FZ9" s="1045">
        <f t="shared" si="90"/>
        <v>0</v>
      </c>
      <c r="GA9" s="1038" t="str">
        <f t="shared" si="91"/>
        <v/>
      </c>
      <c r="GB9" s="1039"/>
      <c r="GC9" s="1035">
        <f>'ORDER SENT'!GF9</f>
        <v>0</v>
      </c>
      <c r="GD9" s="1035">
        <f t="shared" si="92"/>
        <v>0</v>
      </c>
      <c r="GE9" s="1044"/>
      <c r="GF9" s="1045">
        <f t="shared" si="93"/>
        <v>0</v>
      </c>
      <c r="GG9" s="1046" t="str">
        <f t="shared" si="94"/>
        <v/>
      </c>
      <c r="GH9" s="1047">
        <f t="shared" ref="GH9:GL9" si="99">+GB9+FV9+FP9+FJ9+FD9+EX9+ER9+EL9+EF9+DZ9+DT9+DN9+DH9+DB9+CV9+CP9+CJ9+CD9+BX9+BR9+BL9+BF9++AZ9+AT9+AN9+AH9+AB9+V9+P9+J9+D9</f>
        <v>0</v>
      </c>
      <c r="GI9" s="1047">
        <f t="shared" si="99"/>
        <v>0</v>
      </c>
      <c r="GJ9" s="1047">
        <f t="shared" si="99"/>
        <v>0</v>
      </c>
      <c r="GK9" s="1048">
        <f t="shared" si="99"/>
        <v>0</v>
      </c>
      <c r="GL9" s="1045">
        <f t="shared" si="99"/>
        <v>0</v>
      </c>
      <c r="GM9" s="1049">
        <f t="shared" si="96"/>
        <v>0</v>
      </c>
    </row>
    <row r="10">
      <c r="B10" s="1042" t="s">
        <v>635</v>
      </c>
      <c r="C10" s="1043"/>
      <c r="D10" s="1039"/>
      <c r="E10" s="1035">
        <f>'ORDER SENT'!H10</f>
        <v>0</v>
      </c>
      <c r="F10" s="1035">
        <f t="shared" si="2"/>
        <v>0</v>
      </c>
      <c r="G10" s="1044"/>
      <c r="H10" s="1045">
        <f t="shared" si="3"/>
        <v>0</v>
      </c>
      <c r="I10" s="1038" t="str">
        <f t="shared" si="4"/>
        <v/>
      </c>
      <c r="J10" s="1039"/>
      <c r="K10" s="1035">
        <f>'ORDER SENT'!N10</f>
        <v>0</v>
      </c>
      <c r="L10" s="1035">
        <f t="shared" si="5"/>
        <v>0</v>
      </c>
      <c r="M10" s="1044"/>
      <c r="N10" s="1045">
        <f t="shared" si="6"/>
        <v>0</v>
      </c>
      <c r="O10" s="1038" t="str">
        <f t="shared" si="7"/>
        <v/>
      </c>
      <c r="P10" s="1039"/>
      <c r="Q10" s="1035">
        <f>'ORDER SENT'!T10</f>
        <v>0</v>
      </c>
      <c r="R10" s="1035">
        <f t="shared" si="8"/>
        <v>0</v>
      </c>
      <c r="S10" s="1044"/>
      <c r="T10" s="1045">
        <f t="shared" si="9"/>
        <v>0</v>
      </c>
      <c r="U10" s="1038" t="str">
        <f t="shared" si="10"/>
        <v/>
      </c>
      <c r="V10" s="1039"/>
      <c r="W10" s="1035">
        <f>'ORDER SENT'!Z10</f>
        <v>0</v>
      </c>
      <c r="X10" s="1035">
        <f t="shared" si="11"/>
        <v>0</v>
      </c>
      <c r="Y10" s="1044"/>
      <c r="Z10" s="1045">
        <f t="shared" si="12"/>
        <v>0</v>
      </c>
      <c r="AA10" s="1038" t="str">
        <f t="shared" si="13"/>
        <v/>
      </c>
      <c r="AB10" s="1039"/>
      <c r="AC10" s="1035">
        <f>'ORDER SENT'!AF10</f>
        <v>0</v>
      </c>
      <c r="AD10" s="1035">
        <f t="shared" si="14"/>
        <v>0</v>
      </c>
      <c r="AE10" s="1044"/>
      <c r="AF10" s="1045">
        <f t="shared" si="15"/>
        <v>0</v>
      </c>
      <c r="AG10" s="1038" t="str">
        <f t="shared" si="16"/>
        <v/>
      </c>
      <c r="AH10" s="1039"/>
      <c r="AI10" s="1035">
        <f>'ORDER SENT'!AL10</f>
        <v>0</v>
      </c>
      <c r="AJ10" s="1035">
        <f t="shared" si="17"/>
        <v>0</v>
      </c>
      <c r="AK10" s="1044"/>
      <c r="AL10" s="1045">
        <f t="shared" si="18"/>
        <v>0</v>
      </c>
      <c r="AM10" s="1038" t="str">
        <f t="shared" si="19"/>
        <v/>
      </c>
      <c r="AN10" s="1039"/>
      <c r="AO10" s="1035">
        <f>'ORDER SENT'!AR10</f>
        <v>0</v>
      </c>
      <c r="AP10" s="1035">
        <f t="shared" si="20"/>
        <v>0</v>
      </c>
      <c r="AQ10" s="1044"/>
      <c r="AR10" s="1045">
        <f t="shared" si="21"/>
        <v>0</v>
      </c>
      <c r="AS10" s="1038" t="str">
        <f t="shared" si="22"/>
        <v/>
      </c>
      <c r="AT10" s="1039"/>
      <c r="AU10" s="1035">
        <f>'ORDER SENT'!AX10</f>
        <v>0</v>
      </c>
      <c r="AV10" s="1035">
        <f t="shared" si="23"/>
        <v>0</v>
      </c>
      <c r="AW10" s="1044"/>
      <c r="AX10" s="1045">
        <f t="shared" si="24"/>
        <v>0</v>
      </c>
      <c r="AY10" s="1038" t="str">
        <f t="shared" si="25"/>
        <v/>
      </c>
      <c r="AZ10" s="1039"/>
      <c r="BA10" s="1035">
        <f>'ORDER SENT'!BD10</f>
        <v>0</v>
      </c>
      <c r="BB10" s="1035">
        <f t="shared" si="26"/>
        <v>0</v>
      </c>
      <c r="BC10" s="1044"/>
      <c r="BD10" s="1045">
        <f t="shared" si="27"/>
        <v>0</v>
      </c>
      <c r="BE10" s="1038" t="str">
        <f t="shared" si="28"/>
        <v/>
      </c>
      <c r="BF10" s="1039"/>
      <c r="BG10" s="1035">
        <f>'ORDER SENT'!BJ10</f>
        <v>0</v>
      </c>
      <c r="BH10" s="1035">
        <f t="shared" si="29"/>
        <v>0</v>
      </c>
      <c r="BI10" s="1044"/>
      <c r="BJ10" s="1045">
        <f t="shared" si="30"/>
        <v>0</v>
      </c>
      <c r="BK10" s="1038" t="str">
        <f t="shared" si="31"/>
        <v/>
      </c>
      <c r="BL10" s="1039"/>
      <c r="BM10" s="1035">
        <f>'ORDER SENT'!BP10</f>
        <v>0</v>
      </c>
      <c r="BN10" s="1035">
        <f t="shared" si="32"/>
        <v>0</v>
      </c>
      <c r="BO10" s="1044"/>
      <c r="BP10" s="1045">
        <f t="shared" si="33"/>
        <v>0</v>
      </c>
      <c r="BQ10" s="1038" t="str">
        <f t="shared" si="34"/>
        <v/>
      </c>
      <c r="BR10" s="1039"/>
      <c r="BS10" s="1035">
        <f>'ORDER SENT'!BV10</f>
        <v>0</v>
      </c>
      <c r="BT10" s="1035">
        <f t="shared" si="35"/>
        <v>0</v>
      </c>
      <c r="BU10" s="1044"/>
      <c r="BV10" s="1045">
        <f t="shared" si="36"/>
        <v>0</v>
      </c>
      <c r="BW10" s="1038" t="str">
        <f t="shared" si="37"/>
        <v/>
      </c>
      <c r="BX10" s="1039"/>
      <c r="BY10" s="1035">
        <f>'ORDER SENT'!CB10</f>
        <v>0</v>
      </c>
      <c r="BZ10" s="1035">
        <f t="shared" si="38"/>
        <v>0</v>
      </c>
      <c r="CA10" s="1044"/>
      <c r="CB10" s="1045">
        <f t="shared" si="39"/>
        <v>0</v>
      </c>
      <c r="CC10" s="1038" t="str">
        <f t="shared" si="40"/>
        <v/>
      </c>
      <c r="CD10" s="1039"/>
      <c r="CE10" s="1035">
        <f>'ORDER SENT'!CH10</f>
        <v>0</v>
      </c>
      <c r="CF10" s="1035">
        <f t="shared" si="41"/>
        <v>0</v>
      </c>
      <c r="CG10" s="1044"/>
      <c r="CH10" s="1045">
        <f t="shared" si="42"/>
        <v>0</v>
      </c>
      <c r="CI10" s="1038" t="str">
        <f t="shared" si="43"/>
        <v/>
      </c>
      <c r="CJ10" s="1039"/>
      <c r="CK10" s="1035">
        <f>'ORDER SENT'!CN10</f>
        <v>0</v>
      </c>
      <c r="CL10" s="1035">
        <f t="shared" si="44"/>
        <v>0</v>
      </c>
      <c r="CM10" s="1044"/>
      <c r="CN10" s="1045">
        <f t="shared" si="45"/>
        <v>0</v>
      </c>
      <c r="CO10" s="1038" t="str">
        <f t="shared" si="46"/>
        <v/>
      </c>
      <c r="CP10" s="1039"/>
      <c r="CQ10" s="1035">
        <f>'ORDER SENT'!CT10</f>
        <v>0</v>
      </c>
      <c r="CR10" s="1035">
        <f t="shared" si="47"/>
        <v>0</v>
      </c>
      <c r="CS10" s="1044"/>
      <c r="CT10" s="1045">
        <f t="shared" si="48"/>
        <v>0</v>
      </c>
      <c r="CU10" s="1038" t="str">
        <f t="shared" si="49"/>
        <v/>
      </c>
      <c r="CV10" s="1039"/>
      <c r="CW10" s="1035">
        <f>'ORDER SENT'!CZ10</f>
        <v>0</v>
      </c>
      <c r="CX10" s="1035">
        <f t="shared" si="50"/>
        <v>0</v>
      </c>
      <c r="CY10" s="1044"/>
      <c r="CZ10" s="1045">
        <f t="shared" si="51"/>
        <v>0</v>
      </c>
      <c r="DA10" s="1038" t="str">
        <f t="shared" si="52"/>
        <v/>
      </c>
      <c r="DB10" s="1039"/>
      <c r="DC10" s="1035">
        <f>'ORDER SENT'!DF10</f>
        <v>0</v>
      </c>
      <c r="DD10" s="1035">
        <f t="shared" si="53"/>
        <v>0</v>
      </c>
      <c r="DE10" s="1044"/>
      <c r="DF10" s="1045">
        <f t="shared" si="54"/>
        <v>0</v>
      </c>
      <c r="DG10" s="1038" t="str">
        <f t="shared" si="55"/>
        <v/>
      </c>
      <c r="DH10" s="1039"/>
      <c r="DI10" s="1035">
        <f>'ORDER SENT'!DL10</f>
        <v>0</v>
      </c>
      <c r="DJ10" s="1035">
        <f t="shared" si="56"/>
        <v>0</v>
      </c>
      <c r="DK10" s="1044"/>
      <c r="DL10" s="1045">
        <f t="shared" si="57"/>
        <v>0</v>
      </c>
      <c r="DM10" s="1038" t="str">
        <f t="shared" si="58"/>
        <v/>
      </c>
      <c r="DN10" s="1039"/>
      <c r="DO10" s="1035">
        <f>'ORDER SENT'!DR10</f>
        <v>0</v>
      </c>
      <c r="DP10" s="1035">
        <f t="shared" si="59"/>
        <v>0</v>
      </c>
      <c r="DQ10" s="1044"/>
      <c r="DR10" s="1045">
        <f t="shared" si="60"/>
        <v>0</v>
      </c>
      <c r="DS10" s="1038" t="str">
        <f t="shared" si="61"/>
        <v/>
      </c>
      <c r="DT10" s="1039"/>
      <c r="DU10" s="1035">
        <f>'ORDER SENT'!DX10</f>
        <v>0</v>
      </c>
      <c r="DV10" s="1035">
        <f t="shared" si="62"/>
        <v>0</v>
      </c>
      <c r="DW10" s="1044"/>
      <c r="DX10" s="1045">
        <f t="shared" si="63"/>
        <v>0</v>
      </c>
      <c r="DY10" s="1038" t="str">
        <f t="shared" si="64"/>
        <v/>
      </c>
      <c r="DZ10" s="1039"/>
      <c r="EA10" s="1035">
        <f>'ORDER SENT'!ED10</f>
        <v>0</v>
      </c>
      <c r="EB10" s="1035">
        <f t="shared" si="65"/>
        <v>0</v>
      </c>
      <c r="EC10" s="1044"/>
      <c r="ED10" s="1045">
        <f t="shared" si="66"/>
        <v>0</v>
      </c>
      <c r="EE10" s="1038" t="str">
        <f t="shared" si="67"/>
        <v/>
      </c>
      <c r="EF10" s="1039"/>
      <c r="EG10" s="1035">
        <f>'ORDER SENT'!EJ10</f>
        <v>0</v>
      </c>
      <c r="EH10" s="1035">
        <f t="shared" si="68"/>
        <v>0</v>
      </c>
      <c r="EI10" s="1044"/>
      <c r="EJ10" s="1045">
        <f t="shared" si="69"/>
        <v>0</v>
      </c>
      <c r="EK10" s="1038" t="str">
        <f t="shared" si="70"/>
        <v/>
      </c>
      <c r="EL10" s="1039"/>
      <c r="EM10" s="1035">
        <f>'ORDER SENT'!EP10</f>
        <v>0</v>
      </c>
      <c r="EN10" s="1035">
        <f t="shared" si="71"/>
        <v>0</v>
      </c>
      <c r="EO10" s="1044"/>
      <c r="EP10" s="1045">
        <f t="shared" si="72"/>
        <v>0</v>
      </c>
      <c r="EQ10" s="1038" t="str">
        <f t="shared" si="73"/>
        <v/>
      </c>
      <c r="ER10" s="1039"/>
      <c r="ES10" s="1035">
        <f>'ORDER SENT'!EV10</f>
        <v>0</v>
      </c>
      <c r="ET10" s="1035">
        <f t="shared" si="74"/>
        <v>0</v>
      </c>
      <c r="EU10" s="1044"/>
      <c r="EV10" s="1045">
        <f t="shared" si="75"/>
        <v>0</v>
      </c>
      <c r="EW10" s="1038" t="str">
        <f t="shared" si="76"/>
        <v/>
      </c>
      <c r="EX10" s="1039"/>
      <c r="EY10" s="1035">
        <f>'ORDER SENT'!FB10</f>
        <v>0</v>
      </c>
      <c r="EZ10" s="1035">
        <f t="shared" si="77"/>
        <v>0</v>
      </c>
      <c r="FA10" s="1044"/>
      <c r="FB10" s="1045">
        <f t="shared" si="78"/>
        <v>0</v>
      </c>
      <c r="FC10" s="1038" t="str">
        <f t="shared" si="79"/>
        <v/>
      </c>
      <c r="FD10" s="1039"/>
      <c r="FE10" s="1035">
        <f>'ORDER SENT'!FH10</f>
        <v>0</v>
      </c>
      <c r="FF10" s="1035">
        <f t="shared" si="80"/>
        <v>0</v>
      </c>
      <c r="FG10" s="1044"/>
      <c r="FH10" s="1045">
        <f t="shared" si="81"/>
        <v>0</v>
      </c>
      <c r="FI10" s="1038" t="str">
        <f t="shared" si="82"/>
        <v/>
      </c>
      <c r="FJ10" s="1039"/>
      <c r="FK10" s="1035">
        <f>'ORDER SENT'!FN10</f>
        <v>0</v>
      </c>
      <c r="FL10" s="1035">
        <f t="shared" si="83"/>
        <v>0</v>
      </c>
      <c r="FM10" s="1044"/>
      <c r="FN10" s="1045">
        <f t="shared" si="84"/>
        <v>0</v>
      </c>
      <c r="FO10" s="1038" t="str">
        <f t="shared" si="85"/>
        <v/>
      </c>
      <c r="FP10" s="1039"/>
      <c r="FQ10" s="1035">
        <f>'ORDER SENT'!FT10</f>
        <v>0</v>
      </c>
      <c r="FR10" s="1035">
        <f t="shared" si="86"/>
        <v>0</v>
      </c>
      <c r="FS10" s="1044"/>
      <c r="FT10" s="1045">
        <f t="shared" si="87"/>
        <v>0</v>
      </c>
      <c r="FU10" s="1038" t="str">
        <f t="shared" si="88"/>
        <v/>
      </c>
      <c r="FV10" s="1039"/>
      <c r="FW10" s="1035">
        <f>'ORDER SENT'!FZ10</f>
        <v>0</v>
      </c>
      <c r="FX10" s="1035">
        <f t="shared" si="89"/>
        <v>0</v>
      </c>
      <c r="FY10" s="1044"/>
      <c r="FZ10" s="1045">
        <f t="shared" si="90"/>
        <v>0</v>
      </c>
      <c r="GA10" s="1038" t="str">
        <f t="shared" si="91"/>
        <v/>
      </c>
      <c r="GB10" s="1039"/>
      <c r="GC10" s="1035">
        <f>'ORDER SENT'!GF10</f>
        <v>0</v>
      </c>
      <c r="GD10" s="1035">
        <f t="shared" si="92"/>
        <v>0</v>
      </c>
      <c r="GE10" s="1044"/>
      <c r="GF10" s="1045">
        <f t="shared" si="93"/>
        <v>0</v>
      </c>
      <c r="GG10" s="1046" t="str">
        <f t="shared" si="94"/>
        <v/>
      </c>
      <c r="GH10" s="1047">
        <f t="shared" ref="GH10:GL10" si="100">+GB10+FV10+FP10+FJ10+FD10+EX10+ER10+EL10+EF10+DZ10+DT10+DN10+DH10+DB10+CV10+CP10+CJ10+CD10+BX10+BR10+BL10+BF10++AZ10+AT10+AN10+AH10+AB10+V10+P10+J10+D10</f>
        <v>0</v>
      </c>
      <c r="GI10" s="1047">
        <f t="shared" si="100"/>
        <v>0</v>
      </c>
      <c r="GJ10" s="1047">
        <f t="shared" si="100"/>
        <v>0</v>
      </c>
      <c r="GK10" s="1048">
        <f t="shared" si="100"/>
        <v>0</v>
      </c>
      <c r="GL10" s="1045">
        <f t="shared" si="100"/>
        <v>0</v>
      </c>
      <c r="GM10" s="1049">
        <f t="shared" si="96"/>
        <v>0</v>
      </c>
    </row>
    <row r="11">
      <c r="B11" s="1042" t="s">
        <v>636</v>
      </c>
      <c r="C11" s="1043"/>
      <c r="D11" s="1039"/>
      <c r="E11" s="1035">
        <f>'ORDER SENT'!H11</f>
        <v>0</v>
      </c>
      <c r="F11" s="1035">
        <f t="shared" si="2"/>
        <v>0</v>
      </c>
      <c r="G11" s="1044"/>
      <c r="H11" s="1045">
        <f t="shared" si="3"/>
        <v>0</v>
      </c>
      <c r="I11" s="1038" t="str">
        <f t="shared" si="4"/>
        <v/>
      </c>
      <c r="J11" s="1039"/>
      <c r="K11" s="1035">
        <f>'ORDER SENT'!N11</f>
        <v>0</v>
      </c>
      <c r="L11" s="1035">
        <f t="shared" si="5"/>
        <v>0</v>
      </c>
      <c r="M11" s="1044"/>
      <c r="N11" s="1045">
        <f t="shared" si="6"/>
        <v>0</v>
      </c>
      <c r="O11" s="1038" t="str">
        <f t="shared" si="7"/>
        <v/>
      </c>
      <c r="P11" s="1039"/>
      <c r="Q11" s="1035">
        <f>'ORDER SENT'!T11</f>
        <v>0</v>
      </c>
      <c r="R11" s="1035">
        <f t="shared" si="8"/>
        <v>0</v>
      </c>
      <c r="S11" s="1044"/>
      <c r="T11" s="1045">
        <f t="shared" si="9"/>
        <v>0</v>
      </c>
      <c r="U11" s="1038" t="str">
        <f t="shared" si="10"/>
        <v/>
      </c>
      <c r="V11" s="1039"/>
      <c r="W11" s="1035">
        <f>'ORDER SENT'!Z11</f>
        <v>0</v>
      </c>
      <c r="X11" s="1035">
        <f t="shared" si="11"/>
        <v>0</v>
      </c>
      <c r="Y11" s="1044"/>
      <c r="Z11" s="1045">
        <f t="shared" si="12"/>
        <v>0</v>
      </c>
      <c r="AA11" s="1038" t="str">
        <f t="shared" si="13"/>
        <v/>
      </c>
      <c r="AB11" s="1039"/>
      <c r="AC11" s="1035">
        <f>'ORDER SENT'!AF11</f>
        <v>0</v>
      </c>
      <c r="AD11" s="1035">
        <f t="shared" si="14"/>
        <v>0</v>
      </c>
      <c r="AE11" s="1044"/>
      <c r="AF11" s="1045">
        <f t="shared" si="15"/>
        <v>0</v>
      </c>
      <c r="AG11" s="1038" t="str">
        <f t="shared" si="16"/>
        <v/>
      </c>
      <c r="AH11" s="1039"/>
      <c r="AI11" s="1035">
        <f>'ORDER SENT'!AL11</f>
        <v>0</v>
      </c>
      <c r="AJ11" s="1035">
        <f t="shared" si="17"/>
        <v>0</v>
      </c>
      <c r="AK11" s="1044"/>
      <c r="AL11" s="1045">
        <f t="shared" si="18"/>
        <v>0</v>
      </c>
      <c r="AM11" s="1038" t="str">
        <f t="shared" si="19"/>
        <v/>
      </c>
      <c r="AN11" s="1039"/>
      <c r="AO11" s="1035">
        <f>'ORDER SENT'!AR11</f>
        <v>0</v>
      </c>
      <c r="AP11" s="1035">
        <f t="shared" si="20"/>
        <v>0</v>
      </c>
      <c r="AQ11" s="1044"/>
      <c r="AR11" s="1045">
        <f t="shared" si="21"/>
        <v>0</v>
      </c>
      <c r="AS11" s="1038" t="str">
        <f t="shared" si="22"/>
        <v/>
      </c>
      <c r="AT11" s="1039"/>
      <c r="AU11" s="1035">
        <f>'ORDER SENT'!AX11</f>
        <v>0</v>
      </c>
      <c r="AV11" s="1035">
        <f t="shared" si="23"/>
        <v>0</v>
      </c>
      <c r="AW11" s="1044"/>
      <c r="AX11" s="1045">
        <f t="shared" si="24"/>
        <v>0</v>
      </c>
      <c r="AY11" s="1038" t="str">
        <f t="shared" si="25"/>
        <v/>
      </c>
      <c r="AZ11" s="1039"/>
      <c r="BA11" s="1035">
        <f>'ORDER SENT'!BD11</f>
        <v>0</v>
      </c>
      <c r="BB11" s="1035">
        <f t="shared" si="26"/>
        <v>0</v>
      </c>
      <c r="BC11" s="1044"/>
      <c r="BD11" s="1045">
        <f t="shared" si="27"/>
        <v>0</v>
      </c>
      <c r="BE11" s="1038" t="str">
        <f t="shared" si="28"/>
        <v/>
      </c>
      <c r="BF11" s="1039"/>
      <c r="BG11" s="1035">
        <f>'ORDER SENT'!BJ11</f>
        <v>0</v>
      </c>
      <c r="BH11" s="1035">
        <f t="shared" si="29"/>
        <v>0</v>
      </c>
      <c r="BI11" s="1044"/>
      <c r="BJ11" s="1045">
        <f t="shared" si="30"/>
        <v>0</v>
      </c>
      <c r="BK11" s="1038" t="str">
        <f t="shared" si="31"/>
        <v/>
      </c>
      <c r="BL11" s="1039"/>
      <c r="BM11" s="1035">
        <f>'ORDER SENT'!BP11</f>
        <v>0</v>
      </c>
      <c r="BN11" s="1035">
        <f t="shared" si="32"/>
        <v>0</v>
      </c>
      <c r="BO11" s="1044"/>
      <c r="BP11" s="1045">
        <f t="shared" si="33"/>
        <v>0</v>
      </c>
      <c r="BQ11" s="1038" t="str">
        <f t="shared" si="34"/>
        <v/>
      </c>
      <c r="BR11" s="1039"/>
      <c r="BS11" s="1035">
        <f>'ORDER SENT'!BV11</f>
        <v>0</v>
      </c>
      <c r="BT11" s="1035">
        <f t="shared" si="35"/>
        <v>0</v>
      </c>
      <c r="BU11" s="1044"/>
      <c r="BV11" s="1045">
        <f t="shared" si="36"/>
        <v>0</v>
      </c>
      <c r="BW11" s="1038" t="str">
        <f t="shared" si="37"/>
        <v/>
      </c>
      <c r="BX11" s="1039"/>
      <c r="BY11" s="1035">
        <f>'ORDER SENT'!CB11</f>
        <v>0</v>
      </c>
      <c r="BZ11" s="1035">
        <f t="shared" si="38"/>
        <v>0</v>
      </c>
      <c r="CA11" s="1044"/>
      <c r="CB11" s="1045">
        <f t="shared" si="39"/>
        <v>0</v>
      </c>
      <c r="CC11" s="1038" t="str">
        <f t="shared" si="40"/>
        <v/>
      </c>
      <c r="CD11" s="1039"/>
      <c r="CE11" s="1035">
        <f>'ORDER SENT'!CH11</f>
        <v>0</v>
      </c>
      <c r="CF11" s="1035">
        <f t="shared" si="41"/>
        <v>0</v>
      </c>
      <c r="CG11" s="1044"/>
      <c r="CH11" s="1045">
        <f t="shared" si="42"/>
        <v>0</v>
      </c>
      <c r="CI11" s="1038" t="str">
        <f t="shared" si="43"/>
        <v/>
      </c>
      <c r="CJ11" s="1039"/>
      <c r="CK11" s="1035">
        <f>'ORDER SENT'!CN11</f>
        <v>0</v>
      </c>
      <c r="CL11" s="1035">
        <f t="shared" si="44"/>
        <v>0</v>
      </c>
      <c r="CM11" s="1044"/>
      <c r="CN11" s="1045">
        <f t="shared" si="45"/>
        <v>0</v>
      </c>
      <c r="CO11" s="1038" t="str">
        <f t="shared" si="46"/>
        <v/>
      </c>
      <c r="CP11" s="1039"/>
      <c r="CQ11" s="1035">
        <f>'ORDER SENT'!CT11</f>
        <v>0</v>
      </c>
      <c r="CR11" s="1035">
        <f t="shared" si="47"/>
        <v>0</v>
      </c>
      <c r="CS11" s="1044"/>
      <c r="CT11" s="1045">
        <f t="shared" si="48"/>
        <v>0</v>
      </c>
      <c r="CU11" s="1038" t="str">
        <f t="shared" si="49"/>
        <v/>
      </c>
      <c r="CV11" s="1039"/>
      <c r="CW11" s="1035">
        <f>'ORDER SENT'!CZ11</f>
        <v>0</v>
      </c>
      <c r="CX11" s="1035">
        <f t="shared" si="50"/>
        <v>0</v>
      </c>
      <c r="CY11" s="1044"/>
      <c r="CZ11" s="1045">
        <f t="shared" si="51"/>
        <v>0</v>
      </c>
      <c r="DA11" s="1038" t="str">
        <f t="shared" si="52"/>
        <v/>
      </c>
      <c r="DB11" s="1039"/>
      <c r="DC11" s="1035">
        <f>'ORDER SENT'!DF11</f>
        <v>0</v>
      </c>
      <c r="DD11" s="1035">
        <f t="shared" si="53"/>
        <v>0</v>
      </c>
      <c r="DE11" s="1044"/>
      <c r="DF11" s="1045">
        <f t="shared" si="54"/>
        <v>0</v>
      </c>
      <c r="DG11" s="1038" t="str">
        <f t="shared" si="55"/>
        <v/>
      </c>
      <c r="DH11" s="1039"/>
      <c r="DI11" s="1035">
        <f>'ORDER SENT'!DL11</f>
        <v>0</v>
      </c>
      <c r="DJ11" s="1035">
        <f t="shared" si="56"/>
        <v>0</v>
      </c>
      <c r="DK11" s="1044"/>
      <c r="DL11" s="1045">
        <f t="shared" si="57"/>
        <v>0</v>
      </c>
      <c r="DM11" s="1038" t="str">
        <f t="shared" si="58"/>
        <v/>
      </c>
      <c r="DN11" s="1039"/>
      <c r="DO11" s="1035">
        <f>'ORDER SENT'!DR11</f>
        <v>0</v>
      </c>
      <c r="DP11" s="1035">
        <f t="shared" si="59"/>
        <v>0</v>
      </c>
      <c r="DQ11" s="1044"/>
      <c r="DR11" s="1045">
        <f t="shared" si="60"/>
        <v>0</v>
      </c>
      <c r="DS11" s="1038" t="str">
        <f t="shared" si="61"/>
        <v/>
      </c>
      <c r="DT11" s="1039"/>
      <c r="DU11" s="1035">
        <f>'ORDER SENT'!DX11</f>
        <v>0</v>
      </c>
      <c r="DV11" s="1035">
        <f t="shared" si="62"/>
        <v>0</v>
      </c>
      <c r="DW11" s="1044"/>
      <c r="DX11" s="1045">
        <f t="shared" si="63"/>
        <v>0</v>
      </c>
      <c r="DY11" s="1038" t="str">
        <f t="shared" si="64"/>
        <v/>
      </c>
      <c r="DZ11" s="1039"/>
      <c r="EA11" s="1035">
        <f>'ORDER SENT'!ED11</f>
        <v>0</v>
      </c>
      <c r="EB11" s="1035">
        <f t="shared" si="65"/>
        <v>0</v>
      </c>
      <c r="EC11" s="1044"/>
      <c r="ED11" s="1045">
        <f t="shared" si="66"/>
        <v>0</v>
      </c>
      <c r="EE11" s="1038" t="str">
        <f t="shared" si="67"/>
        <v/>
      </c>
      <c r="EF11" s="1039"/>
      <c r="EG11" s="1035">
        <f>'ORDER SENT'!EJ11</f>
        <v>0</v>
      </c>
      <c r="EH11" s="1035">
        <f t="shared" si="68"/>
        <v>0</v>
      </c>
      <c r="EI11" s="1044"/>
      <c r="EJ11" s="1045">
        <f t="shared" si="69"/>
        <v>0</v>
      </c>
      <c r="EK11" s="1038" t="str">
        <f t="shared" si="70"/>
        <v/>
      </c>
      <c r="EL11" s="1039"/>
      <c r="EM11" s="1035">
        <f>'ORDER SENT'!EP11</f>
        <v>0</v>
      </c>
      <c r="EN11" s="1035">
        <f t="shared" si="71"/>
        <v>0</v>
      </c>
      <c r="EO11" s="1044"/>
      <c r="EP11" s="1045">
        <f t="shared" si="72"/>
        <v>0</v>
      </c>
      <c r="EQ11" s="1038" t="str">
        <f t="shared" si="73"/>
        <v/>
      </c>
      <c r="ER11" s="1039"/>
      <c r="ES11" s="1035">
        <f>'ORDER SENT'!EV11</f>
        <v>0</v>
      </c>
      <c r="ET11" s="1035">
        <f t="shared" si="74"/>
        <v>0</v>
      </c>
      <c r="EU11" s="1044"/>
      <c r="EV11" s="1045">
        <f t="shared" si="75"/>
        <v>0</v>
      </c>
      <c r="EW11" s="1038" t="str">
        <f t="shared" si="76"/>
        <v/>
      </c>
      <c r="EX11" s="1039"/>
      <c r="EY11" s="1035">
        <f>'ORDER SENT'!FB11</f>
        <v>0</v>
      </c>
      <c r="EZ11" s="1035">
        <f t="shared" si="77"/>
        <v>0</v>
      </c>
      <c r="FA11" s="1044"/>
      <c r="FB11" s="1045">
        <f t="shared" si="78"/>
        <v>0</v>
      </c>
      <c r="FC11" s="1038" t="str">
        <f t="shared" si="79"/>
        <v/>
      </c>
      <c r="FD11" s="1039"/>
      <c r="FE11" s="1035">
        <f>'ORDER SENT'!FH11</f>
        <v>0</v>
      </c>
      <c r="FF11" s="1035">
        <f t="shared" si="80"/>
        <v>0</v>
      </c>
      <c r="FG11" s="1044"/>
      <c r="FH11" s="1045">
        <f t="shared" si="81"/>
        <v>0</v>
      </c>
      <c r="FI11" s="1038" t="str">
        <f t="shared" si="82"/>
        <v/>
      </c>
      <c r="FJ11" s="1039"/>
      <c r="FK11" s="1035">
        <f>'ORDER SENT'!FN11</f>
        <v>0</v>
      </c>
      <c r="FL11" s="1035">
        <f t="shared" si="83"/>
        <v>0</v>
      </c>
      <c r="FM11" s="1044"/>
      <c r="FN11" s="1045">
        <f t="shared" si="84"/>
        <v>0</v>
      </c>
      <c r="FO11" s="1038" t="str">
        <f t="shared" si="85"/>
        <v/>
      </c>
      <c r="FP11" s="1039"/>
      <c r="FQ11" s="1035">
        <f>'ORDER SENT'!FT11</f>
        <v>0</v>
      </c>
      <c r="FR11" s="1035">
        <f t="shared" si="86"/>
        <v>0</v>
      </c>
      <c r="FS11" s="1044"/>
      <c r="FT11" s="1045">
        <f t="shared" si="87"/>
        <v>0</v>
      </c>
      <c r="FU11" s="1038" t="str">
        <f t="shared" si="88"/>
        <v/>
      </c>
      <c r="FV11" s="1039"/>
      <c r="FW11" s="1035">
        <f>'ORDER SENT'!FZ11</f>
        <v>0</v>
      </c>
      <c r="FX11" s="1035">
        <f t="shared" si="89"/>
        <v>0</v>
      </c>
      <c r="FY11" s="1044"/>
      <c r="FZ11" s="1045">
        <f t="shared" si="90"/>
        <v>0</v>
      </c>
      <c r="GA11" s="1038" t="str">
        <f t="shared" si="91"/>
        <v/>
      </c>
      <c r="GB11" s="1039"/>
      <c r="GC11" s="1035">
        <f>'ORDER SENT'!GF11</f>
        <v>0</v>
      </c>
      <c r="GD11" s="1035">
        <f t="shared" si="92"/>
        <v>0</v>
      </c>
      <c r="GE11" s="1044"/>
      <c r="GF11" s="1045">
        <f t="shared" si="93"/>
        <v>0</v>
      </c>
      <c r="GG11" s="1046" t="str">
        <f t="shared" si="94"/>
        <v/>
      </c>
      <c r="GH11" s="1047">
        <f t="shared" ref="GH11:GL11" si="101">+GB11+FV11+FP11+FJ11+FD11+EX11+ER11+EL11+EF11+DZ11+DT11+DN11+DH11+DB11+CV11+CP11+CJ11+CD11+BX11+BR11+BL11+BF11++AZ11+AT11+AN11+AH11+AB11+V11+P11+J11+D11</f>
        <v>0</v>
      </c>
      <c r="GI11" s="1047">
        <f t="shared" si="101"/>
        <v>0</v>
      </c>
      <c r="GJ11" s="1047">
        <f t="shared" si="101"/>
        <v>0</v>
      </c>
      <c r="GK11" s="1048">
        <f t="shared" si="101"/>
        <v>0</v>
      </c>
      <c r="GL11" s="1045">
        <f t="shared" si="101"/>
        <v>0</v>
      </c>
      <c r="GM11" s="1049">
        <f t="shared" si="96"/>
        <v>0</v>
      </c>
    </row>
    <row r="12">
      <c r="B12" s="1042" t="s">
        <v>637</v>
      </c>
      <c r="C12" s="1043"/>
      <c r="D12" s="1039"/>
      <c r="E12" s="1035">
        <f>'ORDER SENT'!H12</f>
        <v>0</v>
      </c>
      <c r="F12" s="1035">
        <f t="shared" si="2"/>
        <v>0</v>
      </c>
      <c r="G12" s="1044"/>
      <c r="H12" s="1045">
        <f t="shared" si="3"/>
        <v>0</v>
      </c>
      <c r="I12" s="1038" t="str">
        <f t="shared" si="4"/>
        <v/>
      </c>
      <c r="J12" s="1039"/>
      <c r="K12" s="1035">
        <f>'ORDER SENT'!N12</f>
        <v>0</v>
      </c>
      <c r="L12" s="1035">
        <f t="shared" si="5"/>
        <v>0</v>
      </c>
      <c r="M12" s="1044"/>
      <c r="N12" s="1045">
        <f t="shared" si="6"/>
        <v>0</v>
      </c>
      <c r="O12" s="1038" t="str">
        <f t="shared" si="7"/>
        <v/>
      </c>
      <c r="P12" s="1039"/>
      <c r="Q12" s="1035">
        <f>'ORDER SENT'!T12</f>
        <v>0</v>
      </c>
      <c r="R12" s="1035">
        <f t="shared" si="8"/>
        <v>0</v>
      </c>
      <c r="S12" s="1044"/>
      <c r="T12" s="1045">
        <f t="shared" si="9"/>
        <v>0</v>
      </c>
      <c r="U12" s="1038" t="str">
        <f t="shared" si="10"/>
        <v/>
      </c>
      <c r="V12" s="1039"/>
      <c r="W12" s="1035">
        <f>'ORDER SENT'!Z12</f>
        <v>0</v>
      </c>
      <c r="X12" s="1035">
        <f t="shared" si="11"/>
        <v>0</v>
      </c>
      <c r="Y12" s="1044"/>
      <c r="Z12" s="1045">
        <f t="shared" si="12"/>
        <v>0</v>
      </c>
      <c r="AA12" s="1038" t="str">
        <f t="shared" si="13"/>
        <v/>
      </c>
      <c r="AB12" s="1039"/>
      <c r="AC12" s="1035">
        <f>'ORDER SENT'!AF12</f>
        <v>0</v>
      </c>
      <c r="AD12" s="1035">
        <f t="shared" si="14"/>
        <v>0</v>
      </c>
      <c r="AE12" s="1044"/>
      <c r="AF12" s="1045">
        <f t="shared" si="15"/>
        <v>0</v>
      </c>
      <c r="AG12" s="1038" t="str">
        <f t="shared" si="16"/>
        <v/>
      </c>
      <c r="AH12" s="1039"/>
      <c r="AI12" s="1035">
        <f>'ORDER SENT'!AL12</f>
        <v>0</v>
      </c>
      <c r="AJ12" s="1035">
        <f t="shared" si="17"/>
        <v>0</v>
      </c>
      <c r="AK12" s="1044"/>
      <c r="AL12" s="1045">
        <f t="shared" si="18"/>
        <v>0</v>
      </c>
      <c r="AM12" s="1038" t="str">
        <f t="shared" si="19"/>
        <v/>
      </c>
      <c r="AN12" s="1039"/>
      <c r="AO12" s="1035">
        <f>'ORDER SENT'!AR12</f>
        <v>0</v>
      </c>
      <c r="AP12" s="1035">
        <f t="shared" si="20"/>
        <v>0</v>
      </c>
      <c r="AQ12" s="1044"/>
      <c r="AR12" s="1045">
        <f t="shared" si="21"/>
        <v>0</v>
      </c>
      <c r="AS12" s="1038" t="str">
        <f t="shared" si="22"/>
        <v/>
      </c>
      <c r="AT12" s="1039"/>
      <c r="AU12" s="1035">
        <f>'ORDER SENT'!AX12</f>
        <v>0</v>
      </c>
      <c r="AV12" s="1035">
        <f t="shared" si="23"/>
        <v>0</v>
      </c>
      <c r="AW12" s="1044"/>
      <c r="AX12" s="1045">
        <f t="shared" si="24"/>
        <v>0</v>
      </c>
      <c r="AY12" s="1038" t="str">
        <f t="shared" si="25"/>
        <v/>
      </c>
      <c r="AZ12" s="1039"/>
      <c r="BA12" s="1035">
        <f>'ORDER SENT'!BD12</f>
        <v>0</v>
      </c>
      <c r="BB12" s="1035">
        <f t="shared" si="26"/>
        <v>0</v>
      </c>
      <c r="BC12" s="1044"/>
      <c r="BD12" s="1045">
        <f t="shared" si="27"/>
        <v>0</v>
      </c>
      <c r="BE12" s="1038" t="str">
        <f t="shared" si="28"/>
        <v/>
      </c>
      <c r="BF12" s="1039"/>
      <c r="BG12" s="1035">
        <f>'ORDER SENT'!BJ12</f>
        <v>0</v>
      </c>
      <c r="BH12" s="1035">
        <f t="shared" si="29"/>
        <v>0</v>
      </c>
      <c r="BI12" s="1044"/>
      <c r="BJ12" s="1045">
        <f t="shared" si="30"/>
        <v>0</v>
      </c>
      <c r="BK12" s="1038" t="str">
        <f t="shared" si="31"/>
        <v/>
      </c>
      <c r="BL12" s="1039"/>
      <c r="BM12" s="1035">
        <f>'ORDER SENT'!BP12</f>
        <v>0</v>
      </c>
      <c r="BN12" s="1035">
        <f t="shared" si="32"/>
        <v>0</v>
      </c>
      <c r="BO12" s="1044"/>
      <c r="BP12" s="1045">
        <f t="shared" si="33"/>
        <v>0</v>
      </c>
      <c r="BQ12" s="1038" t="str">
        <f t="shared" si="34"/>
        <v/>
      </c>
      <c r="BR12" s="1039"/>
      <c r="BS12" s="1035">
        <f>'ORDER SENT'!BV12</f>
        <v>0</v>
      </c>
      <c r="BT12" s="1035">
        <f t="shared" si="35"/>
        <v>0</v>
      </c>
      <c r="BU12" s="1044"/>
      <c r="BV12" s="1045">
        <f t="shared" si="36"/>
        <v>0</v>
      </c>
      <c r="BW12" s="1038" t="str">
        <f t="shared" si="37"/>
        <v/>
      </c>
      <c r="BX12" s="1039"/>
      <c r="BY12" s="1035">
        <f>'ORDER SENT'!CB12</f>
        <v>0</v>
      </c>
      <c r="BZ12" s="1035">
        <f t="shared" si="38"/>
        <v>0</v>
      </c>
      <c r="CA12" s="1044"/>
      <c r="CB12" s="1045">
        <f t="shared" si="39"/>
        <v>0</v>
      </c>
      <c r="CC12" s="1038" t="str">
        <f t="shared" si="40"/>
        <v/>
      </c>
      <c r="CD12" s="1039"/>
      <c r="CE12" s="1035">
        <f>'ORDER SENT'!CH12</f>
        <v>0</v>
      </c>
      <c r="CF12" s="1035">
        <f t="shared" si="41"/>
        <v>0</v>
      </c>
      <c r="CG12" s="1044"/>
      <c r="CH12" s="1045">
        <f t="shared" si="42"/>
        <v>0</v>
      </c>
      <c r="CI12" s="1038" t="str">
        <f t="shared" si="43"/>
        <v/>
      </c>
      <c r="CJ12" s="1039"/>
      <c r="CK12" s="1035">
        <f>'ORDER SENT'!CN12</f>
        <v>0</v>
      </c>
      <c r="CL12" s="1035">
        <f t="shared" si="44"/>
        <v>0</v>
      </c>
      <c r="CM12" s="1044"/>
      <c r="CN12" s="1045">
        <f t="shared" si="45"/>
        <v>0</v>
      </c>
      <c r="CO12" s="1038" t="str">
        <f t="shared" si="46"/>
        <v/>
      </c>
      <c r="CP12" s="1039"/>
      <c r="CQ12" s="1035">
        <f>'ORDER SENT'!CT12</f>
        <v>0</v>
      </c>
      <c r="CR12" s="1035">
        <f t="shared" si="47"/>
        <v>0</v>
      </c>
      <c r="CS12" s="1044"/>
      <c r="CT12" s="1045">
        <f t="shared" si="48"/>
        <v>0</v>
      </c>
      <c r="CU12" s="1038" t="str">
        <f t="shared" si="49"/>
        <v/>
      </c>
      <c r="CV12" s="1039"/>
      <c r="CW12" s="1035">
        <f>'ORDER SENT'!CZ12</f>
        <v>0</v>
      </c>
      <c r="CX12" s="1035">
        <f t="shared" si="50"/>
        <v>0</v>
      </c>
      <c r="CY12" s="1044"/>
      <c r="CZ12" s="1045">
        <f t="shared" si="51"/>
        <v>0</v>
      </c>
      <c r="DA12" s="1038" t="str">
        <f t="shared" si="52"/>
        <v/>
      </c>
      <c r="DB12" s="1039"/>
      <c r="DC12" s="1035">
        <f>'ORDER SENT'!DF12</f>
        <v>0</v>
      </c>
      <c r="DD12" s="1035">
        <f t="shared" si="53"/>
        <v>0</v>
      </c>
      <c r="DE12" s="1044"/>
      <c r="DF12" s="1045">
        <f t="shared" si="54"/>
        <v>0</v>
      </c>
      <c r="DG12" s="1038" t="str">
        <f t="shared" si="55"/>
        <v/>
      </c>
      <c r="DH12" s="1039"/>
      <c r="DI12" s="1035">
        <f>'ORDER SENT'!DL12</f>
        <v>0</v>
      </c>
      <c r="DJ12" s="1035">
        <f t="shared" si="56"/>
        <v>0</v>
      </c>
      <c r="DK12" s="1044"/>
      <c r="DL12" s="1045">
        <f t="shared" si="57"/>
        <v>0</v>
      </c>
      <c r="DM12" s="1038" t="str">
        <f t="shared" si="58"/>
        <v/>
      </c>
      <c r="DN12" s="1039"/>
      <c r="DO12" s="1035">
        <f>'ORDER SENT'!DR12</f>
        <v>0</v>
      </c>
      <c r="DP12" s="1035">
        <f t="shared" si="59"/>
        <v>0</v>
      </c>
      <c r="DQ12" s="1044"/>
      <c r="DR12" s="1045">
        <f t="shared" si="60"/>
        <v>0</v>
      </c>
      <c r="DS12" s="1038" t="str">
        <f t="shared" si="61"/>
        <v/>
      </c>
      <c r="DT12" s="1039"/>
      <c r="DU12" s="1035">
        <f>'ORDER SENT'!DX12</f>
        <v>0</v>
      </c>
      <c r="DV12" s="1035">
        <f t="shared" si="62"/>
        <v>0</v>
      </c>
      <c r="DW12" s="1044"/>
      <c r="DX12" s="1045">
        <f t="shared" si="63"/>
        <v>0</v>
      </c>
      <c r="DY12" s="1038" t="str">
        <f t="shared" si="64"/>
        <v/>
      </c>
      <c r="DZ12" s="1039"/>
      <c r="EA12" s="1035">
        <f>'ORDER SENT'!ED12</f>
        <v>0</v>
      </c>
      <c r="EB12" s="1035">
        <f t="shared" si="65"/>
        <v>0</v>
      </c>
      <c r="EC12" s="1044"/>
      <c r="ED12" s="1045">
        <f t="shared" si="66"/>
        <v>0</v>
      </c>
      <c r="EE12" s="1038" t="str">
        <f t="shared" si="67"/>
        <v/>
      </c>
      <c r="EF12" s="1039"/>
      <c r="EG12" s="1035">
        <f>'ORDER SENT'!EJ12</f>
        <v>0</v>
      </c>
      <c r="EH12" s="1035">
        <f t="shared" si="68"/>
        <v>0</v>
      </c>
      <c r="EI12" s="1044"/>
      <c r="EJ12" s="1045">
        <f t="shared" si="69"/>
        <v>0</v>
      </c>
      <c r="EK12" s="1038" t="str">
        <f t="shared" si="70"/>
        <v/>
      </c>
      <c r="EL12" s="1039"/>
      <c r="EM12" s="1035">
        <f>'ORDER SENT'!EP12</f>
        <v>0</v>
      </c>
      <c r="EN12" s="1035">
        <f t="shared" si="71"/>
        <v>0</v>
      </c>
      <c r="EO12" s="1044"/>
      <c r="EP12" s="1045">
        <f t="shared" si="72"/>
        <v>0</v>
      </c>
      <c r="EQ12" s="1038" t="str">
        <f t="shared" si="73"/>
        <v/>
      </c>
      <c r="ER12" s="1039"/>
      <c r="ES12" s="1035">
        <f>'ORDER SENT'!EV12</f>
        <v>0</v>
      </c>
      <c r="ET12" s="1035">
        <f t="shared" si="74"/>
        <v>0</v>
      </c>
      <c r="EU12" s="1044"/>
      <c r="EV12" s="1045">
        <f t="shared" si="75"/>
        <v>0</v>
      </c>
      <c r="EW12" s="1038" t="str">
        <f t="shared" si="76"/>
        <v/>
      </c>
      <c r="EX12" s="1039"/>
      <c r="EY12" s="1035">
        <f>'ORDER SENT'!FB12</f>
        <v>0</v>
      </c>
      <c r="EZ12" s="1035">
        <f t="shared" si="77"/>
        <v>0</v>
      </c>
      <c r="FA12" s="1044"/>
      <c r="FB12" s="1045">
        <f t="shared" si="78"/>
        <v>0</v>
      </c>
      <c r="FC12" s="1038" t="str">
        <f t="shared" si="79"/>
        <v/>
      </c>
      <c r="FD12" s="1039"/>
      <c r="FE12" s="1035">
        <f>'ORDER SENT'!FH12</f>
        <v>0</v>
      </c>
      <c r="FF12" s="1035">
        <f t="shared" si="80"/>
        <v>0</v>
      </c>
      <c r="FG12" s="1044"/>
      <c r="FH12" s="1045">
        <f t="shared" si="81"/>
        <v>0</v>
      </c>
      <c r="FI12" s="1038" t="str">
        <f t="shared" si="82"/>
        <v/>
      </c>
      <c r="FJ12" s="1039"/>
      <c r="FK12" s="1035">
        <f>'ORDER SENT'!FN12</f>
        <v>0</v>
      </c>
      <c r="FL12" s="1035">
        <f t="shared" si="83"/>
        <v>0</v>
      </c>
      <c r="FM12" s="1044"/>
      <c r="FN12" s="1045">
        <f t="shared" si="84"/>
        <v>0</v>
      </c>
      <c r="FO12" s="1038" t="str">
        <f t="shared" si="85"/>
        <v/>
      </c>
      <c r="FP12" s="1039"/>
      <c r="FQ12" s="1035">
        <f>'ORDER SENT'!FT12</f>
        <v>0</v>
      </c>
      <c r="FR12" s="1035">
        <f t="shared" si="86"/>
        <v>0</v>
      </c>
      <c r="FS12" s="1044"/>
      <c r="FT12" s="1045">
        <f t="shared" si="87"/>
        <v>0</v>
      </c>
      <c r="FU12" s="1038" t="str">
        <f t="shared" si="88"/>
        <v/>
      </c>
      <c r="FV12" s="1039"/>
      <c r="FW12" s="1035">
        <f>'ORDER SENT'!FZ12</f>
        <v>0</v>
      </c>
      <c r="FX12" s="1035">
        <f t="shared" si="89"/>
        <v>0</v>
      </c>
      <c r="FY12" s="1044"/>
      <c r="FZ12" s="1045">
        <f t="shared" si="90"/>
        <v>0</v>
      </c>
      <c r="GA12" s="1038" t="str">
        <f t="shared" si="91"/>
        <v/>
      </c>
      <c r="GB12" s="1039"/>
      <c r="GC12" s="1035">
        <f>'ORDER SENT'!GF12</f>
        <v>0</v>
      </c>
      <c r="GD12" s="1035">
        <f t="shared" si="92"/>
        <v>0</v>
      </c>
      <c r="GE12" s="1044"/>
      <c r="GF12" s="1045">
        <f t="shared" si="93"/>
        <v>0</v>
      </c>
      <c r="GG12" s="1046" t="str">
        <f t="shared" si="94"/>
        <v/>
      </c>
      <c r="GH12" s="1047">
        <f t="shared" ref="GH12:GL12" si="102">+GB12+FV12+FP12+FJ12+FD12+EX12+ER12+EL12+EF12+DZ12+DT12+DN12+DH12+DB12+CV12+CP12+CJ12+CD12+BX12+BR12+BL12+BF12++AZ12+AT12+AN12+AH12+AB12+V12+P12+J12+D12</f>
        <v>0</v>
      </c>
      <c r="GI12" s="1047">
        <f t="shared" si="102"/>
        <v>0</v>
      </c>
      <c r="GJ12" s="1047">
        <f t="shared" si="102"/>
        <v>0</v>
      </c>
      <c r="GK12" s="1048">
        <f t="shared" si="102"/>
        <v>0</v>
      </c>
      <c r="GL12" s="1045">
        <f t="shared" si="102"/>
        <v>0</v>
      </c>
      <c r="GM12" s="1049">
        <f t="shared" si="96"/>
        <v>0</v>
      </c>
    </row>
    <row r="13">
      <c r="B13" s="1042" t="s">
        <v>638</v>
      </c>
      <c r="C13" s="1043"/>
      <c r="D13" s="1039"/>
      <c r="E13" s="1035">
        <f>'ORDER SENT'!H13</f>
        <v>0</v>
      </c>
      <c r="F13" s="1035">
        <f t="shared" si="2"/>
        <v>0</v>
      </c>
      <c r="G13" s="1044"/>
      <c r="H13" s="1045">
        <f t="shared" si="3"/>
        <v>0</v>
      </c>
      <c r="I13" s="1038" t="str">
        <f t="shared" si="4"/>
        <v/>
      </c>
      <c r="J13" s="1039"/>
      <c r="K13" s="1035">
        <f>'ORDER SENT'!N13</f>
        <v>0</v>
      </c>
      <c r="L13" s="1035">
        <f t="shared" si="5"/>
        <v>0</v>
      </c>
      <c r="M13" s="1044"/>
      <c r="N13" s="1045">
        <f t="shared" si="6"/>
        <v>0</v>
      </c>
      <c r="O13" s="1038" t="str">
        <f t="shared" si="7"/>
        <v/>
      </c>
      <c r="P13" s="1039"/>
      <c r="Q13" s="1035">
        <f>'ORDER SENT'!T13</f>
        <v>0</v>
      </c>
      <c r="R13" s="1035">
        <f t="shared" si="8"/>
        <v>0</v>
      </c>
      <c r="S13" s="1044"/>
      <c r="T13" s="1045">
        <f t="shared" si="9"/>
        <v>0</v>
      </c>
      <c r="U13" s="1038" t="str">
        <f t="shared" si="10"/>
        <v/>
      </c>
      <c r="V13" s="1039"/>
      <c r="W13" s="1035">
        <f>'ORDER SENT'!Z13</f>
        <v>0</v>
      </c>
      <c r="X13" s="1035">
        <f t="shared" si="11"/>
        <v>0</v>
      </c>
      <c r="Y13" s="1044"/>
      <c r="Z13" s="1045">
        <f t="shared" si="12"/>
        <v>0</v>
      </c>
      <c r="AA13" s="1038" t="str">
        <f t="shared" si="13"/>
        <v/>
      </c>
      <c r="AB13" s="1039"/>
      <c r="AC13" s="1035">
        <f>'ORDER SENT'!AF13</f>
        <v>0</v>
      </c>
      <c r="AD13" s="1035">
        <f t="shared" si="14"/>
        <v>0</v>
      </c>
      <c r="AE13" s="1044"/>
      <c r="AF13" s="1045">
        <f t="shared" si="15"/>
        <v>0</v>
      </c>
      <c r="AG13" s="1038" t="str">
        <f t="shared" si="16"/>
        <v/>
      </c>
      <c r="AH13" s="1039"/>
      <c r="AI13" s="1035">
        <f>'ORDER SENT'!AL13</f>
        <v>0</v>
      </c>
      <c r="AJ13" s="1035">
        <f t="shared" si="17"/>
        <v>0</v>
      </c>
      <c r="AK13" s="1044"/>
      <c r="AL13" s="1045">
        <f t="shared" si="18"/>
        <v>0</v>
      </c>
      <c r="AM13" s="1038" t="str">
        <f t="shared" si="19"/>
        <v/>
      </c>
      <c r="AN13" s="1039"/>
      <c r="AO13" s="1035">
        <f>'ORDER SENT'!AR13</f>
        <v>0</v>
      </c>
      <c r="AP13" s="1035">
        <f t="shared" si="20"/>
        <v>0</v>
      </c>
      <c r="AQ13" s="1044"/>
      <c r="AR13" s="1045">
        <f t="shared" si="21"/>
        <v>0</v>
      </c>
      <c r="AS13" s="1038" t="str">
        <f t="shared" si="22"/>
        <v/>
      </c>
      <c r="AT13" s="1039"/>
      <c r="AU13" s="1035">
        <f>'ORDER SENT'!AX13</f>
        <v>0</v>
      </c>
      <c r="AV13" s="1035">
        <f t="shared" si="23"/>
        <v>0</v>
      </c>
      <c r="AW13" s="1044"/>
      <c r="AX13" s="1045">
        <f t="shared" si="24"/>
        <v>0</v>
      </c>
      <c r="AY13" s="1038" t="str">
        <f t="shared" si="25"/>
        <v/>
      </c>
      <c r="AZ13" s="1039"/>
      <c r="BA13" s="1035">
        <f>'ORDER SENT'!BD13</f>
        <v>0</v>
      </c>
      <c r="BB13" s="1035">
        <f t="shared" si="26"/>
        <v>0</v>
      </c>
      <c r="BC13" s="1044"/>
      <c r="BD13" s="1045">
        <f t="shared" si="27"/>
        <v>0</v>
      </c>
      <c r="BE13" s="1038" t="str">
        <f t="shared" si="28"/>
        <v/>
      </c>
      <c r="BF13" s="1039"/>
      <c r="BG13" s="1035">
        <f>'ORDER SENT'!BJ13</f>
        <v>0</v>
      </c>
      <c r="BH13" s="1035">
        <f t="shared" si="29"/>
        <v>0</v>
      </c>
      <c r="BI13" s="1044"/>
      <c r="BJ13" s="1045">
        <f t="shared" si="30"/>
        <v>0</v>
      </c>
      <c r="BK13" s="1038" t="str">
        <f t="shared" si="31"/>
        <v/>
      </c>
      <c r="BL13" s="1039"/>
      <c r="BM13" s="1035">
        <f>'ORDER SENT'!BP13</f>
        <v>0</v>
      </c>
      <c r="BN13" s="1035">
        <f t="shared" si="32"/>
        <v>0</v>
      </c>
      <c r="BO13" s="1044"/>
      <c r="BP13" s="1045">
        <f t="shared" si="33"/>
        <v>0</v>
      </c>
      <c r="BQ13" s="1038" t="str">
        <f t="shared" si="34"/>
        <v/>
      </c>
      <c r="BR13" s="1039"/>
      <c r="BS13" s="1035">
        <f>'ORDER SENT'!BV13</f>
        <v>0</v>
      </c>
      <c r="BT13" s="1035">
        <f t="shared" si="35"/>
        <v>0</v>
      </c>
      <c r="BU13" s="1044"/>
      <c r="BV13" s="1045">
        <f t="shared" si="36"/>
        <v>0</v>
      </c>
      <c r="BW13" s="1038" t="str">
        <f t="shared" si="37"/>
        <v/>
      </c>
      <c r="BX13" s="1039"/>
      <c r="BY13" s="1035">
        <f>'ORDER SENT'!CB13</f>
        <v>0</v>
      </c>
      <c r="BZ13" s="1035">
        <f t="shared" si="38"/>
        <v>0</v>
      </c>
      <c r="CA13" s="1044"/>
      <c r="CB13" s="1045">
        <f t="shared" si="39"/>
        <v>0</v>
      </c>
      <c r="CC13" s="1038" t="str">
        <f t="shared" si="40"/>
        <v/>
      </c>
      <c r="CD13" s="1039"/>
      <c r="CE13" s="1035">
        <f>'ORDER SENT'!CH13</f>
        <v>0</v>
      </c>
      <c r="CF13" s="1035">
        <f t="shared" si="41"/>
        <v>0</v>
      </c>
      <c r="CG13" s="1044"/>
      <c r="CH13" s="1045">
        <f t="shared" si="42"/>
        <v>0</v>
      </c>
      <c r="CI13" s="1038" t="str">
        <f t="shared" si="43"/>
        <v/>
      </c>
      <c r="CJ13" s="1039"/>
      <c r="CK13" s="1035">
        <f>'ORDER SENT'!CN13</f>
        <v>0</v>
      </c>
      <c r="CL13" s="1035">
        <f t="shared" si="44"/>
        <v>0</v>
      </c>
      <c r="CM13" s="1044"/>
      <c r="CN13" s="1045">
        <f t="shared" si="45"/>
        <v>0</v>
      </c>
      <c r="CO13" s="1038" t="str">
        <f t="shared" si="46"/>
        <v/>
      </c>
      <c r="CP13" s="1039"/>
      <c r="CQ13" s="1035">
        <f>'ORDER SENT'!CT13</f>
        <v>0</v>
      </c>
      <c r="CR13" s="1035">
        <f t="shared" si="47"/>
        <v>0</v>
      </c>
      <c r="CS13" s="1044"/>
      <c r="CT13" s="1045">
        <f t="shared" si="48"/>
        <v>0</v>
      </c>
      <c r="CU13" s="1038" t="str">
        <f t="shared" si="49"/>
        <v/>
      </c>
      <c r="CV13" s="1039"/>
      <c r="CW13" s="1035">
        <f>'ORDER SENT'!CZ13</f>
        <v>0</v>
      </c>
      <c r="CX13" s="1035">
        <f t="shared" si="50"/>
        <v>0</v>
      </c>
      <c r="CY13" s="1044"/>
      <c r="CZ13" s="1045">
        <f t="shared" si="51"/>
        <v>0</v>
      </c>
      <c r="DA13" s="1038" t="str">
        <f t="shared" si="52"/>
        <v/>
      </c>
      <c r="DB13" s="1039"/>
      <c r="DC13" s="1035">
        <f>'ORDER SENT'!DF13</f>
        <v>0</v>
      </c>
      <c r="DD13" s="1035">
        <f t="shared" si="53"/>
        <v>0</v>
      </c>
      <c r="DE13" s="1044"/>
      <c r="DF13" s="1045">
        <f t="shared" si="54"/>
        <v>0</v>
      </c>
      <c r="DG13" s="1038" t="str">
        <f t="shared" si="55"/>
        <v/>
      </c>
      <c r="DH13" s="1039"/>
      <c r="DI13" s="1035">
        <f>'ORDER SENT'!DL13</f>
        <v>0</v>
      </c>
      <c r="DJ13" s="1035">
        <f t="shared" si="56"/>
        <v>0</v>
      </c>
      <c r="DK13" s="1044"/>
      <c r="DL13" s="1045">
        <f t="shared" si="57"/>
        <v>0</v>
      </c>
      <c r="DM13" s="1038" t="str">
        <f t="shared" si="58"/>
        <v/>
      </c>
      <c r="DN13" s="1039"/>
      <c r="DO13" s="1035">
        <f>'ORDER SENT'!DR13</f>
        <v>0</v>
      </c>
      <c r="DP13" s="1035">
        <f t="shared" si="59"/>
        <v>0</v>
      </c>
      <c r="DQ13" s="1044"/>
      <c r="DR13" s="1045">
        <f t="shared" si="60"/>
        <v>0</v>
      </c>
      <c r="DS13" s="1038" t="str">
        <f t="shared" si="61"/>
        <v/>
      </c>
      <c r="DT13" s="1039"/>
      <c r="DU13" s="1035">
        <f>'ORDER SENT'!DX13</f>
        <v>0</v>
      </c>
      <c r="DV13" s="1035">
        <f t="shared" si="62"/>
        <v>0</v>
      </c>
      <c r="DW13" s="1044"/>
      <c r="DX13" s="1045">
        <f t="shared" si="63"/>
        <v>0</v>
      </c>
      <c r="DY13" s="1038" t="str">
        <f t="shared" si="64"/>
        <v/>
      </c>
      <c r="DZ13" s="1039"/>
      <c r="EA13" s="1035">
        <f>'ORDER SENT'!ED13</f>
        <v>0</v>
      </c>
      <c r="EB13" s="1035">
        <f t="shared" si="65"/>
        <v>0</v>
      </c>
      <c r="EC13" s="1044"/>
      <c r="ED13" s="1045">
        <f t="shared" si="66"/>
        <v>0</v>
      </c>
      <c r="EE13" s="1038" t="str">
        <f t="shared" si="67"/>
        <v/>
      </c>
      <c r="EF13" s="1039"/>
      <c r="EG13" s="1035">
        <f>'ORDER SENT'!EJ13</f>
        <v>0</v>
      </c>
      <c r="EH13" s="1035">
        <f t="shared" si="68"/>
        <v>0</v>
      </c>
      <c r="EI13" s="1044"/>
      <c r="EJ13" s="1045">
        <f t="shared" si="69"/>
        <v>0</v>
      </c>
      <c r="EK13" s="1038" t="str">
        <f t="shared" si="70"/>
        <v/>
      </c>
      <c r="EL13" s="1039"/>
      <c r="EM13" s="1035">
        <f>'ORDER SENT'!EP13</f>
        <v>0</v>
      </c>
      <c r="EN13" s="1035">
        <f t="shared" si="71"/>
        <v>0</v>
      </c>
      <c r="EO13" s="1044"/>
      <c r="EP13" s="1045">
        <f t="shared" si="72"/>
        <v>0</v>
      </c>
      <c r="EQ13" s="1038" t="str">
        <f t="shared" si="73"/>
        <v/>
      </c>
      <c r="ER13" s="1039"/>
      <c r="ES13" s="1035">
        <f>'ORDER SENT'!EV13</f>
        <v>0</v>
      </c>
      <c r="ET13" s="1035">
        <f t="shared" si="74"/>
        <v>0</v>
      </c>
      <c r="EU13" s="1044"/>
      <c r="EV13" s="1045">
        <f t="shared" si="75"/>
        <v>0</v>
      </c>
      <c r="EW13" s="1038" t="str">
        <f t="shared" si="76"/>
        <v/>
      </c>
      <c r="EX13" s="1039"/>
      <c r="EY13" s="1035">
        <f>'ORDER SENT'!FB13</f>
        <v>0</v>
      </c>
      <c r="EZ13" s="1035">
        <f t="shared" si="77"/>
        <v>0</v>
      </c>
      <c r="FA13" s="1044"/>
      <c r="FB13" s="1045">
        <f t="shared" si="78"/>
        <v>0</v>
      </c>
      <c r="FC13" s="1038" t="str">
        <f t="shared" si="79"/>
        <v/>
      </c>
      <c r="FD13" s="1039"/>
      <c r="FE13" s="1035">
        <f>'ORDER SENT'!FH13</f>
        <v>0</v>
      </c>
      <c r="FF13" s="1035">
        <f t="shared" si="80"/>
        <v>0</v>
      </c>
      <c r="FG13" s="1044"/>
      <c r="FH13" s="1045">
        <f t="shared" si="81"/>
        <v>0</v>
      </c>
      <c r="FI13" s="1038" t="str">
        <f t="shared" si="82"/>
        <v/>
      </c>
      <c r="FJ13" s="1039"/>
      <c r="FK13" s="1035">
        <f>'ORDER SENT'!FN13</f>
        <v>0</v>
      </c>
      <c r="FL13" s="1035">
        <f t="shared" si="83"/>
        <v>0</v>
      </c>
      <c r="FM13" s="1044"/>
      <c r="FN13" s="1045">
        <f t="shared" si="84"/>
        <v>0</v>
      </c>
      <c r="FO13" s="1038" t="str">
        <f t="shared" si="85"/>
        <v/>
      </c>
      <c r="FP13" s="1039"/>
      <c r="FQ13" s="1035">
        <f>'ORDER SENT'!FT13</f>
        <v>0</v>
      </c>
      <c r="FR13" s="1035">
        <f t="shared" si="86"/>
        <v>0</v>
      </c>
      <c r="FS13" s="1044"/>
      <c r="FT13" s="1045">
        <f t="shared" si="87"/>
        <v>0</v>
      </c>
      <c r="FU13" s="1038" t="str">
        <f t="shared" si="88"/>
        <v/>
      </c>
      <c r="FV13" s="1039"/>
      <c r="FW13" s="1035">
        <f>'ORDER SENT'!FZ13</f>
        <v>0</v>
      </c>
      <c r="FX13" s="1035">
        <f t="shared" si="89"/>
        <v>0</v>
      </c>
      <c r="FY13" s="1044"/>
      <c r="FZ13" s="1045">
        <f t="shared" si="90"/>
        <v>0</v>
      </c>
      <c r="GA13" s="1038" t="str">
        <f t="shared" si="91"/>
        <v/>
      </c>
      <c r="GB13" s="1039"/>
      <c r="GC13" s="1035">
        <f>'ORDER SENT'!GF13</f>
        <v>0</v>
      </c>
      <c r="GD13" s="1035">
        <f t="shared" si="92"/>
        <v>0</v>
      </c>
      <c r="GE13" s="1044"/>
      <c r="GF13" s="1045">
        <f t="shared" si="93"/>
        <v>0</v>
      </c>
      <c r="GG13" s="1046" t="str">
        <f t="shared" si="94"/>
        <v/>
      </c>
      <c r="GH13" s="1047">
        <f t="shared" ref="GH13:GL13" si="103">+GB13+FV13+FP13+FJ13+FD13+EX13+ER13+EL13+EF13+DZ13+DT13+DN13+DH13+DB13+CV13+CP13+CJ13+CD13+BX13+BR13+BL13+BF13++AZ13+AT13+AN13+AH13+AB13+V13+P13+J13+D13</f>
        <v>0</v>
      </c>
      <c r="GI13" s="1047">
        <f t="shared" si="103"/>
        <v>0</v>
      </c>
      <c r="GJ13" s="1047">
        <f t="shared" si="103"/>
        <v>0</v>
      </c>
      <c r="GK13" s="1048">
        <f t="shared" si="103"/>
        <v>0</v>
      </c>
      <c r="GL13" s="1045">
        <f t="shared" si="103"/>
        <v>0</v>
      </c>
      <c r="GM13" s="1049">
        <f t="shared" si="96"/>
        <v>0</v>
      </c>
    </row>
    <row r="14">
      <c r="B14" s="1042" t="s">
        <v>639</v>
      </c>
      <c r="C14" s="1043"/>
      <c r="D14" s="1039"/>
      <c r="E14" s="1035">
        <f>'ORDER SENT'!H14</f>
        <v>0</v>
      </c>
      <c r="F14" s="1035">
        <f t="shared" si="2"/>
        <v>0</v>
      </c>
      <c r="G14" s="1044"/>
      <c r="H14" s="1045">
        <f t="shared" si="3"/>
        <v>0</v>
      </c>
      <c r="I14" s="1038" t="str">
        <f t="shared" si="4"/>
        <v/>
      </c>
      <c r="J14" s="1039"/>
      <c r="K14" s="1035">
        <f>'ORDER SENT'!N14</f>
        <v>0</v>
      </c>
      <c r="L14" s="1035">
        <f t="shared" si="5"/>
        <v>0</v>
      </c>
      <c r="M14" s="1044"/>
      <c r="N14" s="1045">
        <f t="shared" si="6"/>
        <v>0</v>
      </c>
      <c r="O14" s="1038" t="str">
        <f t="shared" si="7"/>
        <v/>
      </c>
      <c r="P14" s="1039"/>
      <c r="Q14" s="1035">
        <f>'ORDER SENT'!T14</f>
        <v>0</v>
      </c>
      <c r="R14" s="1035">
        <f t="shared" si="8"/>
        <v>0</v>
      </c>
      <c r="S14" s="1044"/>
      <c r="T14" s="1045">
        <f t="shared" si="9"/>
        <v>0</v>
      </c>
      <c r="U14" s="1038" t="str">
        <f t="shared" si="10"/>
        <v/>
      </c>
      <c r="V14" s="1039"/>
      <c r="W14" s="1035">
        <f>'ORDER SENT'!Z14</f>
        <v>0</v>
      </c>
      <c r="X14" s="1035">
        <f t="shared" si="11"/>
        <v>0</v>
      </c>
      <c r="Y14" s="1044"/>
      <c r="Z14" s="1045">
        <f t="shared" si="12"/>
        <v>0</v>
      </c>
      <c r="AA14" s="1038" t="str">
        <f t="shared" si="13"/>
        <v/>
      </c>
      <c r="AB14" s="1039"/>
      <c r="AC14" s="1035">
        <f>'ORDER SENT'!AF14</f>
        <v>0</v>
      </c>
      <c r="AD14" s="1035">
        <f t="shared" si="14"/>
        <v>0</v>
      </c>
      <c r="AE14" s="1044"/>
      <c r="AF14" s="1045">
        <f t="shared" si="15"/>
        <v>0</v>
      </c>
      <c r="AG14" s="1038" t="str">
        <f t="shared" si="16"/>
        <v/>
      </c>
      <c r="AH14" s="1039"/>
      <c r="AI14" s="1035">
        <f>'ORDER SENT'!AL14</f>
        <v>0</v>
      </c>
      <c r="AJ14" s="1035">
        <f t="shared" si="17"/>
        <v>0</v>
      </c>
      <c r="AK14" s="1044"/>
      <c r="AL14" s="1045">
        <f t="shared" si="18"/>
        <v>0</v>
      </c>
      <c r="AM14" s="1038" t="str">
        <f t="shared" si="19"/>
        <v/>
      </c>
      <c r="AN14" s="1039"/>
      <c r="AO14" s="1035">
        <f>'ORDER SENT'!AR14</f>
        <v>0</v>
      </c>
      <c r="AP14" s="1035">
        <f t="shared" si="20"/>
        <v>0</v>
      </c>
      <c r="AQ14" s="1044"/>
      <c r="AR14" s="1045">
        <f t="shared" si="21"/>
        <v>0</v>
      </c>
      <c r="AS14" s="1038" t="str">
        <f t="shared" si="22"/>
        <v/>
      </c>
      <c r="AT14" s="1039"/>
      <c r="AU14" s="1035">
        <f>'ORDER SENT'!AX14</f>
        <v>0</v>
      </c>
      <c r="AV14" s="1035">
        <f t="shared" si="23"/>
        <v>0</v>
      </c>
      <c r="AW14" s="1044"/>
      <c r="AX14" s="1045">
        <f t="shared" si="24"/>
        <v>0</v>
      </c>
      <c r="AY14" s="1038" t="str">
        <f t="shared" si="25"/>
        <v/>
      </c>
      <c r="AZ14" s="1039"/>
      <c r="BA14" s="1035">
        <f>'ORDER SENT'!BD14</f>
        <v>0</v>
      </c>
      <c r="BB14" s="1035">
        <f t="shared" si="26"/>
        <v>0</v>
      </c>
      <c r="BC14" s="1044"/>
      <c r="BD14" s="1045">
        <f t="shared" si="27"/>
        <v>0</v>
      </c>
      <c r="BE14" s="1038" t="str">
        <f t="shared" si="28"/>
        <v/>
      </c>
      <c r="BF14" s="1039"/>
      <c r="BG14" s="1035">
        <f>'ORDER SENT'!BJ14</f>
        <v>0</v>
      </c>
      <c r="BH14" s="1035">
        <f t="shared" si="29"/>
        <v>0</v>
      </c>
      <c r="BI14" s="1044"/>
      <c r="BJ14" s="1045">
        <f t="shared" si="30"/>
        <v>0</v>
      </c>
      <c r="BK14" s="1038" t="str">
        <f t="shared" si="31"/>
        <v/>
      </c>
      <c r="BL14" s="1039"/>
      <c r="BM14" s="1035">
        <f>'ORDER SENT'!BP14</f>
        <v>0</v>
      </c>
      <c r="BN14" s="1035">
        <f t="shared" si="32"/>
        <v>0</v>
      </c>
      <c r="BO14" s="1044"/>
      <c r="BP14" s="1045">
        <f t="shared" si="33"/>
        <v>0</v>
      </c>
      <c r="BQ14" s="1038" t="str">
        <f t="shared" si="34"/>
        <v/>
      </c>
      <c r="BR14" s="1039"/>
      <c r="BS14" s="1035">
        <f>'ORDER SENT'!BV14</f>
        <v>0</v>
      </c>
      <c r="BT14" s="1035">
        <f t="shared" si="35"/>
        <v>0</v>
      </c>
      <c r="BU14" s="1044"/>
      <c r="BV14" s="1045">
        <f t="shared" si="36"/>
        <v>0</v>
      </c>
      <c r="BW14" s="1038" t="str">
        <f t="shared" si="37"/>
        <v/>
      </c>
      <c r="BX14" s="1039"/>
      <c r="BY14" s="1035">
        <f>'ORDER SENT'!CB14</f>
        <v>0</v>
      </c>
      <c r="BZ14" s="1035">
        <f t="shared" si="38"/>
        <v>0</v>
      </c>
      <c r="CA14" s="1044"/>
      <c r="CB14" s="1045">
        <f t="shared" si="39"/>
        <v>0</v>
      </c>
      <c r="CC14" s="1038" t="str">
        <f t="shared" si="40"/>
        <v/>
      </c>
      <c r="CD14" s="1039"/>
      <c r="CE14" s="1035">
        <f>'ORDER SENT'!CH14</f>
        <v>0</v>
      </c>
      <c r="CF14" s="1035">
        <f t="shared" si="41"/>
        <v>0</v>
      </c>
      <c r="CG14" s="1044"/>
      <c r="CH14" s="1045">
        <f t="shared" si="42"/>
        <v>0</v>
      </c>
      <c r="CI14" s="1038" t="str">
        <f t="shared" si="43"/>
        <v/>
      </c>
      <c r="CJ14" s="1039"/>
      <c r="CK14" s="1035">
        <f>'ORDER SENT'!CN14</f>
        <v>0</v>
      </c>
      <c r="CL14" s="1035">
        <f t="shared" si="44"/>
        <v>0</v>
      </c>
      <c r="CM14" s="1044"/>
      <c r="CN14" s="1045">
        <f t="shared" si="45"/>
        <v>0</v>
      </c>
      <c r="CO14" s="1038" t="str">
        <f t="shared" si="46"/>
        <v/>
      </c>
      <c r="CP14" s="1039"/>
      <c r="CQ14" s="1035">
        <f>'ORDER SENT'!CT14</f>
        <v>0</v>
      </c>
      <c r="CR14" s="1035">
        <f t="shared" si="47"/>
        <v>0</v>
      </c>
      <c r="CS14" s="1044"/>
      <c r="CT14" s="1045">
        <f t="shared" si="48"/>
        <v>0</v>
      </c>
      <c r="CU14" s="1038" t="str">
        <f t="shared" si="49"/>
        <v/>
      </c>
      <c r="CV14" s="1039"/>
      <c r="CW14" s="1035">
        <f>'ORDER SENT'!CZ14</f>
        <v>0</v>
      </c>
      <c r="CX14" s="1035">
        <f t="shared" si="50"/>
        <v>0</v>
      </c>
      <c r="CY14" s="1044"/>
      <c r="CZ14" s="1045">
        <f t="shared" si="51"/>
        <v>0</v>
      </c>
      <c r="DA14" s="1038" t="str">
        <f t="shared" si="52"/>
        <v/>
      </c>
      <c r="DB14" s="1039"/>
      <c r="DC14" s="1035">
        <f>'ORDER SENT'!DF14</f>
        <v>0</v>
      </c>
      <c r="DD14" s="1035">
        <f t="shared" si="53"/>
        <v>0</v>
      </c>
      <c r="DE14" s="1044"/>
      <c r="DF14" s="1045">
        <f t="shared" si="54"/>
        <v>0</v>
      </c>
      <c r="DG14" s="1038" t="str">
        <f t="shared" si="55"/>
        <v/>
      </c>
      <c r="DH14" s="1039"/>
      <c r="DI14" s="1035">
        <f>'ORDER SENT'!DL14</f>
        <v>0</v>
      </c>
      <c r="DJ14" s="1035">
        <f t="shared" si="56"/>
        <v>0</v>
      </c>
      <c r="DK14" s="1044"/>
      <c r="DL14" s="1045">
        <f t="shared" si="57"/>
        <v>0</v>
      </c>
      <c r="DM14" s="1038" t="str">
        <f t="shared" si="58"/>
        <v/>
      </c>
      <c r="DN14" s="1039"/>
      <c r="DO14" s="1035">
        <f>'ORDER SENT'!DR14</f>
        <v>0</v>
      </c>
      <c r="DP14" s="1035">
        <f t="shared" si="59"/>
        <v>0</v>
      </c>
      <c r="DQ14" s="1044"/>
      <c r="DR14" s="1045">
        <f t="shared" si="60"/>
        <v>0</v>
      </c>
      <c r="DS14" s="1038" t="str">
        <f t="shared" si="61"/>
        <v/>
      </c>
      <c r="DT14" s="1039"/>
      <c r="DU14" s="1035">
        <f>'ORDER SENT'!DX14</f>
        <v>0</v>
      </c>
      <c r="DV14" s="1035">
        <f t="shared" si="62"/>
        <v>0</v>
      </c>
      <c r="DW14" s="1044"/>
      <c r="DX14" s="1045">
        <f t="shared" si="63"/>
        <v>0</v>
      </c>
      <c r="DY14" s="1038" t="str">
        <f t="shared" si="64"/>
        <v/>
      </c>
      <c r="DZ14" s="1039"/>
      <c r="EA14" s="1035">
        <f>'ORDER SENT'!ED14</f>
        <v>0</v>
      </c>
      <c r="EB14" s="1035">
        <f t="shared" si="65"/>
        <v>0</v>
      </c>
      <c r="EC14" s="1044"/>
      <c r="ED14" s="1045">
        <f t="shared" si="66"/>
        <v>0</v>
      </c>
      <c r="EE14" s="1038" t="str">
        <f t="shared" si="67"/>
        <v/>
      </c>
      <c r="EF14" s="1039"/>
      <c r="EG14" s="1035">
        <f>'ORDER SENT'!EJ14</f>
        <v>0</v>
      </c>
      <c r="EH14" s="1035">
        <f t="shared" si="68"/>
        <v>0</v>
      </c>
      <c r="EI14" s="1044"/>
      <c r="EJ14" s="1045">
        <f t="shared" si="69"/>
        <v>0</v>
      </c>
      <c r="EK14" s="1038" t="str">
        <f t="shared" si="70"/>
        <v/>
      </c>
      <c r="EL14" s="1039"/>
      <c r="EM14" s="1035">
        <f>'ORDER SENT'!EP14</f>
        <v>0</v>
      </c>
      <c r="EN14" s="1035">
        <f t="shared" si="71"/>
        <v>0</v>
      </c>
      <c r="EO14" s="1044"/>
      <c r="EP14" s="1045">
        <f t="shared" si="72"/>
        <v>0</v>
      </c>
      <c r="EQ14" s="1038" t="str">
        <f t="shared" si="73"/>
        <v/>
      </c>
      <c r="ER14" s="1039"/>
      <c r="ES14" s="1035">
        <f>'ORDER SENT'!EV14</f>
        <v>0</v>
      </c>
      <c r="ET14" s="1035">
        <f t="shared" si="74"/>
        <v>0</v>
      </c>
      <c r="EU14" s="1044"/>
      <c r="EV14" s="1045">
        <f t="shared" si="75"/>
        <v>0</v>
      </c>
      <c r="EW14" s="1038" t="str">
        <f t="shared" si="76"/>
        <v/>
      </c>
      <c r="EX14" s="1039"/>
      <c r="EY14" s="1035">
        <f>'ORDER SENT'!FB14</f>
        <v>0</v>
      </c>
      <c r="EZ14" s="1035">
        <f t="shared" si="77"/>
        <v>0</v>
      </c>
      <c r="FA14" s="1044"/>
      <c r="FB14" s="1045">
        <f t="shared" si="78"/>
        <v>0</v>
      </c>
      <c r="FC14" s="1038" t="str">
        <f t="shared" si="79"/>
        <v/>
      </c>
      <c r="FD14" s="1039"/>
      <c r="FE14" s="1035">
        <f>'ORDER SENT'!FH14</f>
        <v>0</v>
      </c>
      <c r="FF14" s="1035">
        <f t="shared" si="80"/>
        <v>0</v>
      </c>
      <c r="FG14" s="1044"/>
      <c r="FH14" s="1045">
        <f t="shared" si="81"/>
        <v>0</v>
      </c>
      <c r="FI14" s="1038" t="str">
        <f t="shared" si="82"/>
        <v/>
      </c>
      <c r="FJ14" s="1039"/>
      <c r="FK14" s="1035">
        <f>'ORDER SENT'!FN14</f>
        <v>0</v>
      </c>
      <c r="FL14" s="1035">
        <f t="shared" si="83"/>
        <v>0</v>
      </c>
      <c r="FM14" s="1044"/>
      <c r="FN14" s="1045">
        <f t="shared" si="84"/>
        <v>0</v>
      </c>
      <c r="FO14" s="1038" t="str">
        <f t="shared" si="85"/>
        <v/>
      </c>
      <c r="FP14" s="1039"/>
      <c r="FQ14" s="1035">
        <f>'ORDER SENT'!FT14</f>
        <v>0</v>
      </c>
      <c r="FR14" s="1035">
        <f t="shared" si="86"/>
        <v>0</v>
      </c>
      <c r="FS14" s="1044"/>
      <c r="FT14" s="1045">
        <f t="shared" si="87"/>
        <v>0</v>
      </c>
      <c r="FU14" s="1038" t="str">
        <f t="shared" si="88"/>
        <v/>
      </c>
      <c r="FV14" s="1039"/>
      <c r="FW14" s="1035">
        <f>'ORDER SENT'!FZ14</f>
        <v>0</v>
      </c>
      <c r="FX14" s="1035">
        <f t="shared" si="89"/>
        <v>0</v>
      </c>
      <c r="FY14" s="1044"/>
      <c r="FZ14" s="1045">
        <f t="shared" si="90"/>
        <v>0</v>
      </c>
      <c r="GA14" s="1038" t="str">
        <f t="shared" si="91"/>
        <v/>
      </c>
      <c r="GB14" s="1039"/>
      <c r="GC14" s="1035">
        <f>'ORDER SENT'!GF14</f>
        <v>0</v>
      </c>
      <c r="GD14" s="1035">
        <f t="shared" si="92"/>
        <v>0</v>
      </c>
      <c r="GE14" s="1044"/>
      <c r="GF14" s="1045">
        <f t="shared" si="93"/>
        <v>0</v>
      </c>
      <c r="GG14" s="1046" t="str">
        <f t="shared" si="94"/>
        <v/>
      </c>
      <c r="GH14" s="1047">
        <f t="shared" ref="GH14:GL14" si="104">+GB14+FV14+FP14+FJ14+FD14+EX14+ER14+EL14+EF14+DZ14+DT14+DN14+DH14+DB14+CV14+CP14+CJ14+CD14+BX14+BR14+BL14+BF14++AZ14+AT14+AN14+AH14+AB14+V14+P14+J14+D14</f>
        <v>0</v>
      </c>
      <c r="GI14" s="1047">
        <f t="shared" si="104"/>
        <v>0</v>
      </c>
      <c r="GJ14" s="1047">
        <f t="shared" si="104"/>
        <v>0</v>
      </c>
      <c r="GK14" s="1048">
        <f t="shared" si="104"/>
        <v>0</v>
      </c>
      <c r="GL14" s="1045">
        <f t="shared" si="104"/>
        <v>0</v>
      </c>
      <c r="GM14" s="1049">
        <f t="shared" si="96"/>
        <v>0</v>
      </c>
    </row>
    <row r="15">
      <c r="B15" s="1042" t="s">
        <v>640</v>
      </c>
      <c r="C15" s="1043"/>
      <c r="D15" s="1039"/>
      <c r="E15" s="1035">
        <f>'ORDER SENT'!H15</f>
        <v>0</v>
      </c>
      <c r="F15" s="1035">
        <f t="shared" si="2"/>
        <v>0</v>
      </c>
      <c r="G15" s="1044"/>
      <c r="H15" s="1045">
        <f t="shared" si="3"/>
        <v>0</v>
      </c>
      <c r="I15" s="1038" t="str">
        <f t="shared" si="4"/>
        <v/>
      </c>
      <c r="J15" s="1039"/>
      <c r="K15" s="1035">
        <f>'ORDER SENT'!N15</f>
        <v>0</v>
      </c>
      <c r="L15" s="1035">
        <f t="shared" si="5"/>
        <v>0</v>
      </c>
      <c r="M15" s="1044"/>
      <c r="N15" s="1045">
        <f t="shared" si="6"/>
        <v>0</v>
      </c>
      <c r="O15" s="1038" t="str">
        <f t="shared" si="7"/>
        <v/>
      </c>
      <c r="P15" s="1039"/>
      <c r="Q15" s="1035">
        <f>'ORDER SENT'!T15</f>
        <v>0</v>
      </c>
      <c r="R15" s="1035">
        <f t="shared" si="8"/>
        <v>0</v>
      </c>
      <c r="S15" s="1044"/>
      <c r="T15" s="1045">
        <f t="shared" si="9"/>
        <v>0</v>
      </c>
      <c r="U15" s="1038" t="str">
        <f t="shared" si="10"/>
        <v/>
      </c>
      <c r="V15" s="1039"/>
      <c r="W15" s="1035">
        <f>'ORDER SENT'!Z15</f>
        <v>0</v>
      </c>
      <c r="X15" s="1035">
        <f t="shared" si="11"/>
        <v>0</v>
      </c>
      <c r="Y15" s="1044"/>
      <c r="Z15" s="1045">
        <f t="shared" si="12"/>
        <v>0</v>
      </c>
      <c r="AA15" s="1038" t="str">
        <f t="shared" si="13"/>
        <v/>
      </c>
      <c r="AB15" s="1039"/>
      <c r="AC15" s="1035">
        <f>'ORDER SENT'!AF15</f>
        <v>0</v>
      </c>
      <c r="AD15" s="1035">
        <f t="shared" si="14"/>
        <v>0</v>
      </c>
      <c r="AE15" s="1044"/>
      <c r="AF15" s="1045">
        <f t="shared" si="15"/>
        <v>0</v>
      </c>
      <c r="AG15" s="1038" t="str">
        <f t="shared" si="16"/>
        <v/>
      </c>
      <c r="AH15" s="1039"/>
      <c r="AI15" s="1035">
        <f>'ORDER SENT'!AL15</f>
        <v>0</v>
      </c>
      <c r="AJ15" s="1035">
        <f t="shared" si="17"/>
        <v>0</v>
      </c>
      <c r="AK15" s="1044"/>
      <c r="AL15" s="1045">
        <f t="shared" si="18"/>
        <v>0</v>
      </c>
      <c r="AM15" s="1038" t="str">
        <f t="shared" si="19"/>
        <v/>
      </c>
      <c r="AN15" s="1039"/>
      <c r="AO15" s="1035">
        <f>'ORDER SENT'!AR15</f>
        <v>0</v>
      </c>
      <c r="AP15" s="1035">
        <f t="shared" si="20"/>
        <v>0</v>
      </c>
      <c r="AQ15" s="1044"/>
      <c r="AR15" s="1045">
        <f t="shared" si="21"/>
        <v>0</v>
      </c>
      <c r="AS15" s="1038" t="str">
        <f t="shared" si="22"/>
        <v/>
      </c>
      <c r="AT15" s="1039"/>
      <c r="AU15" s="1035">
        <f>'ORDER SENT'!AX15</f>
        <v>0</v>
      </c>
      <c r="AV15" s="1035">
        <f t="shared" si="23"/>
        <v>0</v>
      </c>
      <c r="AW15" s="1044"/>
      <c r="AX15" s="1045">
        <f t="shared" si="24"/>
        <v>0</v>
      </c>
      <c r="AY15" s="1038" t="str">
        <f t="shared" si="25"/>
        <v/>
      </c>
      <c r="AZ15" s="1039"/>
      <c r="BA15" s="1035">
        <f>'ORDER SENT'!BD15</f>
        <v>0</v>
      </c>
      <c r="BB15" s="1035">
        <f t="shared" si="26"/>
        <v>0</v>
      </c>
      <c r="BC15" s="1044"/>
      <c r="BD15" s="1045">
        <f t="shared" si="27"/>
        <v>0</v>
      </c>
      <c r="BE15" s="1038" t="str">
        <f t="shared" si="28"/>
        <v/>
      </c>
      <c r="BF15" s="1039"/>
      <c r="BG15" s="1035">
        <f>'ORDER SENT'!BJ15</f>
        <v>0</v>
      </c>
      <c r="BH15" s="1035">
        <f t="shared" si="29"/>
        <v>0</v>
      </c>
      <c r="BI15" s="1044"/>
      <c r="BJ15" s="1045">
        <f t="shared" si="30"/>
        <v>0</v>
      </c>
      <c r="BK15" s="1038" t="str">
        <f t="shared" si="31"/>
        <v/>
      </c>
      <c r="BL15" s="1039"/>
      <c r="BM15" s="1035">
        <f>'ORDER SENT'!BP15</f>
        <v>0</v>
      </c>
      <c r="BN15" s="1035">
        <f t="shared" si="32"/>
        <v>0</v>
      </c>
      <c r="BO15" s="1044"/>
      <c r="BP15" s="1045">
        <f t="shared" si="33"/>
        <v>0</v>
      </c>
      <c r="BQ15" s="1038" t="str">
        <f t="shared" si="34"/>
        <v/>
      </c>
      <c r="BR15" s="1039"/>
      <c r="BS15" s="1035">
        <f>'ORDER SENT'!BV15</f>
        <v>0</v>
      </c>
      <c r="BT15" s="1035">
        <f t="shared" si="35"/>
        <v>0</v>
      </c>
      <c r="BU15" s="1044"/>
      <c r="BV15" s="1045">
        <f t="shared" si="36"/>
        <v>0</v>
      </c>
      <c r="BW15" s="1038" t="str">
        <f t="shared" si="37"/>
        <v/>
      </c>
      <c r="BX15" s="1039"/>
      <c r="BY15" s="1035">
        <f>'ORDER SENT'!CB15</f>
        <v>0</v>
      </c>
      <c r="BZ15" s="1035">
        <f t="shared" si="38"/>
        <v>0</v>
      </c>
      <c r="CA15" s="1044"/>
      <c r="CB15" s="1045">
        <f t="shared" si="39"/>
        <v>0</v>
      </c>
      <c r="CC15" s="1038" t="str">
        <f t="shared" si="40"/>
        <v/>
      </c>
      <c r="CD15" s="1039"/>
      <c r="CE15" s="1035">
        <f>'ORDER SENT'!CH15</f>
        <v>0</v>
      </c>
      <c r="CF15" s="1035">
        <f t="shared" si="41"/>
        <v>0</v>
      </c>
      <c r="CG15" s="1044"/>
      <c r="CH15" s="1045">
        <f t="shared" si="42"/>
        <v>0</v>
      </c>
      <c r="CI15" s="1038" t="str">
        <f t="shared" si="43"/>
        <v/>
      </c>
      <c r="CJ15" s="1039"/>
      <c r="CK15" s="1035">
        <f>'ORDER SENT'!CN15</f>
        <v>0</v>
      </c>
      <c r="CL15" s="1035">
        <f t="shared" si="44"/>
        <v>0</v>
      </c>
      <c r="CM15" s="1044"/>
      <c r="CN15" s="1045">
        <f t="shared" si="45"/>
        <v>0</v>
      </c>
      <c r="CO15" s="1038" t="str">
        <f t="shared" si="46"/>
        <v/>
      </c>
      <c r="CP15" s="1039"/>
      <c r="CQ15" s="1035">
        <f>'ORDER SENT'!CT15</f>
        <v>0</v>
      </c>
      <c r="CR15" s="1035">
        <f t="shared" si="47"/>
        <v>0</v>
      </c>
      <c r="CS15" s="1044"/>
      <c r="CT15" s="1045">
        <f t="shared" si="48"/>
        <v>0</v>
      </c>
      <c r="CU15" s="1038" t="str">
        <f t="shared" si="49"/>
        <v/>
      </c>
      <c r="CV15" s="1039"/>
      <c r="CW15" s="1035">
        <f>'ORDER SENT'!CZ15</f>
        <v>0</v>
      </c>
      <c r="CX15" s="1035">
        <f t="shared" si="50"/>
        <v>0</v>
      </c>
      <c r="CY15" s="1044"/>
      <c r="CZ15" s="1045">
        <f t="shared" si="51"/>
        <v>0</v>
      </c>
      <c r="DA15" s="1038" t="str">
        <f t="shared" si="52"/>
        <v/>
      </c>
      <c r="DB15" s="1039"/>
      <c r="DC15" s="1035">
        <f>'ORDER SENT'!DF15</f>
        <v>0</v>
      </c>
      <c r="DD15" s="1035">
        <f t="shared" si="53"/>
        <v>0</v>
      </c>
      <c r="DE15" s="1044"/>
      <c r="DF15" s="1045">
        <f t="shared" si="54"/>
        <v>0</v>
      </c>
      <c r="DG15" s="1038" t="str">
        <f t="shared" si="55"/>
        <v/>
      </c>
      <c r="DH15" s="1039"/>
      <c r="DI15" s="1035">
        <f>'ORDER SENT'!DL15</f>
        <v>0</v>
      </c>
      <c r="DJ15" s="1035">
        <f t="shared" si="56"/>
        <v>0</v>
      </c>
      <c r="DK15" s="1044"/>
      <c r="DL15" s="1045">
        <f t="shared" si="57"/>
        <v>0</v>
      </c>
      <c r="DM15" s="1038" t="str">
        <f t="shared" si="58"/>
        <v/>
      </c>
      <c r="DN15" s="1039"/>
      <c r="DO15" s="1035">
        <f>'ORDER SENT'!DR15</f>
        <v>0</v>
      </c>
      <c r="DP15" s="1035">
        <f t="shared" si="59"/>
        <v>0</v>
      </c>
      <c r="DQ15" s="1044"/>
      <c r="DR15" s="1045">
        <f t="shared" si="60"/>
        <v>0</v>
      </c>
      <c r="DS15" s="1038" t="str">
        <f t="shared" si="61"/>
        <v/>
      </c>
      <c r="DT15" s="1039"/>
      <c r="DU15" s="1035">
        <f>'ORDER SENT'!DX15</f>
        <v>0</v>
      </c>
      <c r="DV15" s="1035">
        <f t="shared" si="62"/>
        <v>0</v>
      </c>
      <c r="DW15" s="1044"/>
      <c r="DX15" s="1045">
        <f t="shared" si="63"/>
        <v>0</v>
      </c>
      <c r="DY15" s="1038" t="str">
        <f t="shared" si="64"/>
        <v/>
      </c>
      <c r="DZ15" s="1039"/>
      <c r="EA15" s="1035">
        <f>'ORDER SENT'!ED15</f>
        <v>0</v>
      </c>
      <c r="EB15" s="1035">
        <f t="shared" si="65"/>
        <v>0</v>
      </c>
      <c r="EC15" s="1044"/>
      <c r="ED15" s="1045">
        <f t="shared" si="66"/>
        <v>0</v>
      </c>
      <c r="EE15" s="1038" t="str">
        <f t="shared" si="67"/>
        <v/>
      </c>
      <c r="EF15" s="1039"/>
      <c r="EG15" s="1035">
        <f>'ORDER SENT'!EJ15</f>
        <v>0</v>
      </c>
      <c r="EH15" s="1035">
        <f t="shared" si="68"/>
        <v>0</v>
      </c>
      <c r="EI15" s="1044"/>
      <c r="EJ15" s="1045">
        <f t="shared" si="69"/>
        <v>0</v>
      </c>
      <c r="EK15" s="1038" t="str">
        <f t="shared" si="70"/>
        <v/>
      </c>
      <c r="EL15" s="1039"/>
      <c r="EM15" s="1035">
        <f>'ORDER SENT'!EP15</f>
        <v>0</v>
      </c>
      <c r="EN15" s="1035">
        <f t="shared" si="71"/>
        <v>0</v>
      </c>
      <c r="EO15" s="1044"/>
      <c r="EP15" s="1045">
        <f t="shared" si="72"/>
        <v>0</v>
      </c>
      <c r="EQ15" s="1038" t="str">
        <f t="shared" si="73"/>
        <v/>
      </c>
      <c r="ER15" s="1039"/>
      <c r="ES15" s="1035">
        <f>'ORDER SENT'!EV15</f>
        <v>0</v>
      </c>
      <c r="ET15" s="1035">
        <f t="shared" si="74"/>
        <v>0</v>
      </c>
      <c r="EU15" s="1044"/>
      <c r="EV15" s="1045">
        <f t="shared" si="75"/>
        <v>0</v>
      </c>
      <c r="EW15" s="1038" t="str">
        <f t="shared" si="76"/>
        <v/>
      </c>
      <c r="EX15" s="1039"/>
      <c r="EY15" s="1035">
        <f>'ORDER SENT'!FB15</f>
        <v>0</v>
      </c>
      <c r="EZ15" s="1035">
        <f t="shared" si="77"/>
        <v>0</v>
      </c>
      <c r="FA15" s="1044"/>
      <c r="FB15" s="1045">
        <f t="shared" si="78"/>
        <v>0</v>
      </c>
      <c r="FC15" s="1038" t="str">
        <f t="shared" si="79"/>
        <v/>
      </c>
      <c r="FD15" s="1039"/>
      <c r="FE15" s="1035">
        <f>'ORDER SENT'!FH15</f>
        <v>0</v>
      </c>
      <c r="FF15" s="1035">
        <f t="shared" si="80"/>
        <v>0</v>
      </c>
      <c r="FG15" s="1044"/>
      <c r="FH15" s="1045">
        <f t="shared" si="81"/>
        <v>0</v>
      </c>
      <c r="FI15" s="1038" t="str">
        <f t="shared" si="82"/>
        <v/>
      </c>
      <c r="FJ15" s="1039"/>
      <c r="FK15" s="1035">
        <f>'ORDER SENT'!FN15</f>
        <v>0</v>
      </c>
      <c r="FL15" s="1035">
        <f t="shared" si="83"/>
        <v>0</v>
      </c>
      <c r="FM15" s="1044"/>
      <c r="FN15" s="1045">
        <f t="shared" si="84"/>
        <v>0</v>
      </c>
      <c r="FO15" s="1038" t="str">
        <f t="shared" si="85"/>
        <v/>
      </c>
      <c r="FP15" s="1039"/>
      <c r="FQ15" s="1035">
        <f>'ORDER SENT'!FT15</f>
        <v>0</v>
      </c>
      <c r="FR15" s="1035">
        <f t="shared" si="86"/>
        <v>0</v>
      </c>
      <c r="FS15" s="1044"/>
      <c r="FT15" s="1045">
        <f t="shared" si="87"/>
        <v>0</v>
      </c>
      <c r="FU15" s="1038" t="str">
        <f t="shared" si="88"/>
        <v/>
      </c>
      <c r="FV15" s="1039"/>
      <c r="FW15" s="1035">
        <f>'ORDER SENT'!FZ15</f>
        <v>0</v>
      </c>
      <c r="FX15" s="1035">
        <f t="shared" si="89"/>
        <v>0</v>
      </c>
      <c r="FY15" s="1044"/>
      <c r="FZ15" s="1045">
        <f t="shared" si="90"/>
        <v>0</v>
      </c>
      <c r="GA15" s="1038" t="str">
        <f t="shared" si="91"/>
        <v/>
      </c>
      <c r="GB15" s="1039"/>
      <c r="GC15" s="1035">
        <f>'ORDER SENT'!GF15</f>
        <v>0</v>
      </c>
      <c r="GD15" s="1035">
        <f t="shared" si="92"/>
        <v>0</v>
      </c>
      <c r="GE15" s="1044"/>
      <c r="GF15" s="1045">
        <f t="shared" si="93"/>
        <v>0</v>
      </c>
      <c r="GG15" s="1046" t="str">
        <f t="shared" si="94"/>
        <v/>
      </c>
      <c r="GH15" s="1047">
        <f t="shared" ref="GH15:GL15" si="105">+GB15+FV15+FP15+FJ15+FD15+EX15+ER15+EL15+EF15+DZ15+DT15+DN15+DH15+DB15+CV15+CP15+CJ15+CD15+BX15+BR15+BL15+BF15++AZ15+AT15+AN15+AH15+AB15+V15+P15+J15+D15</f>
        <v>0</v>
      </c>
      <c r="GI15" s="1047">
        <f t="shared" si="105"/>
        <v>0</v>
      </c>
      <c r="GJ15" s="1047">
        <f t="shared" si="105"/>
        <v>0</v>
      </c>
      <c r="GK15" s="1048">
        <f t="shared" si="105"/>
        <v>0</v>
      </c>
      <c r="GL15" s="1045">
        <f t="shared" si="105"/>
        <v>0</v>
      </c>
      <c r="GM15" s="1049">
        <f t="shared" si="96"/>
        <v>0</v>
      </c>
    </row>
    <row r="16">
      <c r="B16" s="1042" t="s">
        <v>641</v>
      </c>
      <c r="C16" s="1043"/>
      <c r="D16" s="1039"/>
      <c r="E16" s="1035">
        <f>'ORDER SENT'!H16</f>
        <v>0</v>
      </c>
      <c r="F16" s="1035">
        <f t="shared" si="2"/>
        <v>0</v>
      </c>
      <c r="G16" s="1044"/>
      <c r="H16" s="1045">
        <f t="shared" si="3"/>
        <v>0</v>
      </c>
      <c r="I16" s="1038" t="str">
        <f t="shared" si="4"/>
        <v/>
      </c>
      <c r="J16" s="1039"/>
      <c r="K16" s="1035">
        <f>'ORDER SENT'!N16</f>
        <v>0</v>
      </c>
      <c r="L16" s="1035">
        <f t="shared" si="5"/>
        <v>0</v>
      </c>
      <c r="M16" s="1044"/>
      <c r="N16" s="1045">
        <f t="shared" si="6"/>
        <v>0</v>
      </c>
      <c r="O16" s="1038" t="str">
        <f t="shared" si="7"/>
        <v/>
      </c>
      <c r="P16" s="1039"/>
      <c r="Q16" s="1035">
        <f>'ORDER SENT'!T16</f>
        <v>0</v>
      </c>
      <c r="R16" s="1035">
        <f t="shared" si="8"/>
        <v>0</v>
      </c>
      <c r="S16" s="1044"/>
      <c r="T16" s="1045">
        <f t="shared" si="9"/>
        <v>0</v>
      </c>
      <c r="U16" s="1038" t="str">
        <f t="shared" si="10"/>
        <v/>
      </c>
      <c r="V16" s="1039"/>
      <c r="W16" s="1035">
        <f>'ORDER SENT'!Z16</f>
        <v>0</v>
      </c>
      <c r="X16" s="1035">
        <f t="shared" si="11"/>
        <v>0</v>
      </c>
      <c r="Y16" s="1044"/>
      <c r="Z16" s="1045">
        <f t="shared" si="12"/>
        <v>0</v>
      </c>
      <c r="AA16" s="1038" t="str">
        <f t="shared" si="13"/>
        <v/>
      </c>
      <c r="AB16" s="1039"/>
      <c r="AC16" s="1035">
        <f>'ORDER SENT'!AF16</f>
        <v>0</v>
      </c>
      <c r="AD16" s="1035">
        <f t="shared" si="14"/>
        <v>0</v>
      </c>
      <c r="AE16" s="1044"/>
      <c r="AF16" s="1045">
        <f t="shared" si="15"/>
        <v>0</v>
      </c>
      <c r="AG16" s="1038" t="str">
        <f t="shared" si="16"/>
        <v/>
      </c>
      <c r="AH16" s="1039"/>
      <c r="AI16" s="1035">
        <f>'ORDER SENT'!AL16</f>
        <v>0</v>
      </c>
      <c r="AJ16" s="1035">
        <f t="shared" si="17"/>
        <v>0</v>
      </c>
      <c r="AK16" s="1044"/>
      <c r="AL16" s="1045">
        <f t="shared" si="18"/>
        <v>0</v>
      </c>
      <c r="AM16" s="1038" t="str">
        <f t="shared" si="19"/>
        <v/>
      </c>
      <c r="AN16" s="1039"/>
      <c r="AO16" s="1035">
        <f>'ORDER SENT'!AR16</f>
        <v>0</v>
      </c>
      <c r="AP16" s="1035">
        <f t="shared" si="20"/>
        <v>0</v>
      </c>
      <c r="AQ16" s="1044"/>
      <c r="AR16" s="1045">
        <f t="shared" si="21"/>
        <v>0</v>
      </c>
      <c r="AS16" s="1038" t="str">
        <f t="shared" si="22"/>
        <v/>
      </c>
      <c r="AT16" s="1039"/>
      <c r="AU16" s="1035">
        <f>'ORDER SENT'!AX16</f>
        <v>0</v>
      </c>
      <c r="AV16" s="1035">
        <f t="shared" si="23"/>
        <v>0</v>
      </c>
      <c r="AW16" s="1044"/>
      <c r="AX16" s="1045">
        <f t="shared" si="24"/>
        <v>0</v>
      </c>
      <c r="AY16" s="1038" t="str">
        <f t="shared" si="25"/>
        <v/>
      </c>
      <c r="AZ16" s="1039"/>
      <c r="BA16" s="1035">
        <f>'ORDER SENT'!BD16</f>
        <v>0</v>
      </c>
      <c r="BB16" s="1035">
        <f t="shared" si="26"/>
        <v>0</v>
      </c>
      <c r="BC16" s="1044"/>
      <c r="BD16" s="1045">
        <f t="shared" si="27"/>
        <v>0</v>
      </c>
      <c r="BE16" s="1038" t="str">
        <f t="shared" si="28"/>
        <v/>
      </c>
      <c r="BF16" s="1039"/>
      <c r="BG16" s="1035">
        <f>'ORDER SENT'!BJ16</f>
        <v>0</v>
      </c>
      <c r="BH16" s="1035">
        <f t="shared" si="29"/>
        <v>0</v>
      </c>
      <c r="BI16" s="1044"/>
      <c r="BJ16" s="1045">
        <f t="shared" si="30"/>
        <v>0</v>
      </c>
      <c r="BK16" s="1038" t="str">
        <f t="shared" si="31"/>
        <v/>
      </c>
      <c r="BL16" s="1039"/>
      <c r="BM16" s="1035">
        <f>'ORDER SENT'!BP16</f>
        <v>0</v>
      </c>
      <c r="BN16" s="1035">
        <f t="shared" si="32"/>
        <v>0</v>
      </c>
      <c r="BO16" s="1044"/>
      <c r="BP16" s="1045">
        <f t="shared" si="33"/>
        <v>0</v>
      </c>
      <c r="BQ16" s="1038" t="str">
        <f t="shared" si="34"/>
        <v/>
      </c>
      <c r="BR16" s="1039"/>
      <c r="BS16" s="1035">
        <f>'ORDER SENT'!BV16</f>
        <v>0</v>
      </c>
      <c r="BT16" s="1035">
        <f t="shared" si="35"/>
        <v>0</v>
      </c>
      <c r="BU16" s="1044"/>
      <c r="BV16" s="1045">
        <f t="shared" si="36"/>
        <v>0</v>
      </c>
      <c r="BW16" s="1038" t="str">
        <f t="shared" si="37"/>
        <v/>
      </c>
      <c r="BX16" s="1039"/>
      <c r="BY16" s="1035">
        <f>'ORDER SENT'!CB16</f>
        <v>0</v>
      </c>
      <c r="BZ16" s="1035">
        <f t="shared" si="38"/>
        <v>0</v>
      </c>
      <c r="CA16" s="1044"/>
      <c r="CB16" s="1045">
        <f t="shared" si="39"/>
        <v>0</v>
      </c>
      <c r="CC16" s="1038" t="str">
        <f t="shared" si="40"/>
        <v/>
      </c>
      <c r="CD16" s="1039"/>
      <c r="CE16" s="1035">
        <f>'ORDER SENT'!CH16</f>
        <v>0</v>
      </c>
      <c r="CF16" s="1035">
        <f t="shared" si="41"/>
        <v>0</v>
      </c>
      <c r="CG16" s="1044"/>
      <c r="CH16" s="1045">
        <f t="shared" si="42"/>
        <v>0</v>
      </c>
      <c r="CI16" s="1038" t="str">
        <f t="shared" si="43"/>
        <v/>
      </c>
      <c r="CJ16" s="1039"/>
      <c r="CK16" s="1035">
        <f>'ORDER SENT'!CN16</f>
        <v>0</v>
      </c>
      <c r="CL16" s="1035">
        <f t="shared" si="44"/>
        <v>0</v>
      </c>
      <c r="CM16" s="1044"/>
      <c r="CN16" s="1045">
        <f t="shared" si="45"/>
        <v>0</v>
      </c>
      <c r="CO16" s="1038" t="str">
        <f t="shared" si="46"/>
        <v/>
      </c>
      <c r="CP16" s="1039"/>
      <c r="CQ16" s="1035">
        <f>'ORDER SENT'!CT16</f>
        <v>0</v>
      </c>
      <c r="CR16" s="1035">
        <f t="shared" si="47"/>
        <v>0</v>
      </c>
      <c r="CS16" s="1044"/>
      <c r="CT16" s="1045">
        <f t="shared" si="48"/>
        <v>0</v>
      </c>
      <c r="CU16" s="1038" t="str">
        <f t="shared" si="49"/>
        <v/>
      </c>
      <c r="CV16" s="1039"/>
      <c r="CW16" s="1035">
        <f>'ORDER SENT'!CZ16</f>
        <v>0</v>
      </c>
      <c r="CX16" s="1035">
        <f t="shared" si="50"/>
        <v>0</v>
      </c>
      <c r="CY16" s="1044"/>
      <c r="CZ16" s="1045">
        <f t="shared" si="51"/>
        <v>0</v>
      </c>
      <c r="DA16" s="1038" t="str">
        <f t="shared" si="52"/>
        <v/>
      </c>
      <c r="DB16" s="1039"/>
      <c r="DC16" s="1035">
        <f>'ORDER SENT'!DF16</f>
        <v>0</v>
      </c>
      <c r="DD16" s="1035">
        <f t="shared" si="53"/>
        <v>0</v>
      </c>
      <c r="DE16" s="1044"/>
      <c r="DF16" s="1045">
        <f t="shared" si="54"/>
        <v>0</v>
      </c>
      <c r="DG16" s="1038" t="str">
        <f t="shared" si="55"/>
        <v/>
      </c>
      <c r="DH16" s="1039"/>
      <c r="DI16" s="1035">
        <f>'ORDER SENT'!DL16</f>
        <v>0</v>
      </c>
      <c r="DJ16" s="1035">
        <f t="shared" si="56"/>
        <v>0</v>
      </c>
      <c r="DK16" s="1044"/>
      <c r="DL16" s="1045">
        <f t="shared" si="57"/>
        <v>0</v>
      </c>
      <c r="DM16" s="1038" t="str">
        <f t="shared" si="58"/>
        <v/>
      </c>
      <c r="DN16" s="1039"/>
      <c r="DO16" s="1035">
        <f>'ORDER SENT'!DR16</f>
        <v>0</v>
      </c>
      <c r="DP16" s="1035">
        <f t="shared" si="59"/>
        <v>0</v>
      </c>
      <c r="DQ16" s="1044"/>
      <c r="DR16" s="1045">
        <f t="shared" si="60"/>
        <v>0</v>
      </c>
      <c r="DS16" s="1038" t="str">
        <f t="shared" si="61"/>
        <v/>
      </c>
      <c r="DT16" s="1039"/>
      <c r="DU16" s="1035">
        <f>'ORDER SENT'!DX16</f>
        <v>0</v>
      </c>
      <c r="DV16" s="1035">
        <f t="shared" si="62"/>
        <v>0</v>
      </c>
      <c r="DW16" s="1044"/>
      <c r="DX16" s="1045">
        <f t="shared" si="63"/>
        <v>0</v>
      </c>
      <c r="DY16" s="1038" t="str">
        <f t="shared" si="64"/>
        <v/>
      </c>
      <c r="DZ16" s="1039"/>
      <c r="EA16" s="1035">
        <f>'ORDER SENT'!ED16</f>
        <v>0</v>
      </c>
      <c r="EB16" s="1035">
        <f t="shared" si="65"/>
        <v>0</v>
      </c>
      <c r="EC16" s="1044"/>
      <c r="ED16" s="1045">
        <f t="shared" si="66"/>
        <v>0</v>
      </c>
      <c r="EE16" s="1038" t="str">
        <f t="shared" si="67"/>
        <v/>
      </c>
      <c r="EF16" s="1039"/>
      <c r="EG16" s="1035">
        <f>'ORDER SENT'!EJ16</f>
        <v>0</v>
      </c>
      <c r="EH16" s="1035">
        <f t="shared" si="68"/>
        <v>0</v>
      </c>
      <c r="EI16" s="1044"/>
      <c r="EJ16" s="1045">
        <f t="shared" si="69"/>
        <v>0</v>
      </c>
      <c r="EK16" s="1038" t="str">
        <f t="shared" si="70"/>
        <v/>
      </c>
      <c r="EL16" s="1039"/>
      <c r="EM16" s="1035">
        <f>'ORDER SENT'!EP16</f>
        <v>0</v>
      </c>
      <c r="EN16" s="1035">
        <f t="shared" si="71"/>
        <v>0</v>
      </c>
      <c r="EO16" s="1044"/>
      <c r="EP16" s="1045">
        <f t="shared" si="72"/>
        <v>0</v>
      </c>
      <c r="EQ16" s="1038" t="str">
        <f t="shared" si="73"/>
        <v/>
      </c>
      <c r="ER16" s="1039"/>
      <c r="ES16" s="1035">
        <f>'ORDER SENT'!EV16</f>
        <v>0</v>
      </c>
      <c r="ET16" s="1035">
        <f t="shared" si="74"/>
        <v>0</v>
      </c>
      <c r="EU16" s="1044"/>
      <c r="EV16" s="1045">
        <f t="shared" si="75"/>
        <v>0</v>
      </c>
      <c r="EW16" s="1038" t="str">
        <f t="shared" si="76"/>
        <v/>
      </c>
      <c r="EX16" s="1039"/>
      <c r="EY16" s="1035">
        <f>'ORDER SENT'!FB16</f>
        <v>0</v>
      </c>
      <c r="EZ16" s="1035">
        <f t="shared" si="77"/>
        <v>0</v>
      </c>
      <c r="FA16" s="1044"/>
      <c r="FB16" s="1045">
        <f t="shared" si="78"/>
        <v>0</v>
      </c>
      <c r="FC16" s="1038" t="str">
        <f t="shared" si="79"/>
        <v/>
      </c>
      <c r="FD16" s="1039"/>
      <c r="FE16" s="1035">
        <f>'ORDER SENT'!FH16</f>
        <v>0</v>
      </c>
      <c r="FF16" s="1035">
        <f t="shared" si="80"/>
        <v>0</v>
      </c>
      <c r="FG16" s="1044"/>
      <c r="FH16" s="1045">
        <f t="shared" si="81"/>
        <v>0</v>
      </c>
      <c r="FI16" s="1038" t="str">
        <f t="shared" si="82"/>
        <v/>
      </c>
      <c r="FJ16" s="1039"/>
      <c r="FK16" s="1035">
        <f>'ORDER SENT'!FN16</f>
        <v>0</v>
      </c>
      <c r="FL16" s="1035">
        <f t="shared" si="83"/>
        <v>0</v>
      </c>
      <c r="FM16" s="1044"/>
      <c r="FN16" s="1045">
        <f t="shared" si="84"/>
        <v>0</v>
      </c>
      <c r="FO16" s="1038" t="str">
        <f t="shared" si="85"/>
        <v/>
      </c>
      <c r="FP16" s="1039"/>
      <c r="FQ16" s="1035">
        <f>'ORDER SENT'!FT16</f>
        <v>0</v>
      </c>
      <c r="FR16" s="1035">
        <f t="shared" si="86"/>
        <v>0</v>
      </c>
      <c r="FS16" s="1044"/>
      <c r="FT16" s="1045">
        <f t="shared" si="87"/>
        <v>0</v>
      </c>
      <c r="FU16" s="1038" t="str">
        <f t="shared" si="88"/>
        <v/>
      </c>
      <c r="FV16" s="1039"/>
      <c r="FW16" s="1035">
        <f>'ORDER SENT'!FZ16</f>
        <v>0</v>
      </c>
      <c r="FX16" s="1035">
        <f t="shared" si="89"/>
        <v>0</v>
      </c>
      <c r="FY16" s="1044"/>
      <c r="FZ16" s="1045">
        <f t="shared" si="90"/>
        <v>0</v>
      </c>
      <c r="GA16" s="1038" t="str">
        <f t="shared" si="91"/>
        <v/>
      </c>
      <c r="GB16" s="1039"/>
      <c r="GC16" s="1035">
        <f>'ORDER SENT'!GF16</f>
        <v>0</v>
      </c>
      <c r="GD16" s="1035">
        <f t="shared" si="92"/>
        <v>0</v>
      </c>
      <c r="GE16" s="1044"/>
      <c r="GF16" s="1045">
        <f t="shared" si="93"/>
        <v>0</v>
      </c>
      <c r="GG16" s="1046" t="str">
        <f t="shared" si="94"/>
        <v/>
      </c>
      <c r="GH16" s="1047">
        <f t="shared" ref="GH16:GL16" si="106">+GB16+FV16+FP16+FJ16+FD16+EX16+ER16+EL16+EF16+DZ16+DT16+DN16+DH16+DB16+CV16+CP16+CJ16+CD16+BX16+BR16+BL16+BF16++AZ16+AT16+AN16+AH16+AB16+V16+P16+J16+D16</f>
        <v>0</v>
      </c>
      <c r="GI16" s="1047">
        <f t="shared" si="106"/>
        <v>0</v>
      </c>
      <c r="GJ16" s="1047">
        <f t="shared" si="106"/>
        <v>0</v>
      </c>
      <c r="GK16" s="1048">
        <f t="shared" si="106"/>
        <v>0</v>
      </c>
      <c r="GL16" s="1045">
        <f t="shared" si="106"/>
        <v>0</v>
      </c>
      <c r="GM16" s="1049">
        <f t="shared" si="96"/>
        <v>0</v>
      </c>
    </row>
    <row r="17">
      <c r="B17" s="1050"/>
      <c r="C17" s="1051"/>
      <c r="D17" s="1052"/>
      <c r="E17" s="1035" t="str">
        <f>'ORDER SENT'!H17</f>
        <v/>
      </c>
      <c r="F17" s="1035">
        <f t="shared" si="2"/>
        <v>0</v>
      </c>
      <c r="G17" s="1053"/>
      <c r="H17" s="1045">
        <f t="shared" si="3"/>
        <v>0</v>
      </c>
      <c r="I17" s="1038" t="str">
        <f t="shared" si="4"/>
        <v/>
      </c>
      <c r="J17" s="1052"/>
      <c r="K17" s="1035" t="str">
        <f>'ORDER SENT'!N17</f>
        <v/>
      </c>
      <c r="L17" s="1035">
        <f t="shared" si="5"/>
        <v>0</v>
      </c>
      <c r="M17" s="1053"/>
      <c r="N17" s="1045">
        <f t="shared" si="6"/>
        <v>0</v>
      </c>
      <c r="O17" s="1038" t="str">
        <f t="shared" si="7"/>
        <v/>
      </c>
      <c r="P17" s="1052"/>
      <c r="Q17" s="1035" t="str">
        <f>'ORDER SENT'!T17</f>
        <v/>
      </c>
      <c r="R17" s="1035">
        <f t="shared" si="8"/>
        <v>0</v>
      </c>
      <c r="S17" s="1053"/>
      <c r="T17" s="1045">
        <f t="shared" si="9"/>
        <v>0</v>
      </c>
      <c r="U17" s="1038" t="str">
        <f t="shared" si="10"/>
        <v/>
      </c>
      <c r="V17" s="1052"/>
      <c r="W17" s="1035" t="str">
        <f>'ORDER SENT'!Z17</f>
        <v/>
      </c>
      <c r="X17" s="1035">
        <f t="shared" si="11"/>
        <v>0</v>
      </c>
      <c r="Y17" s="1053"/>
      <c r="Z17" s="1045">
        <f t="shared" si="12"/>
        <v>0</v>
      </c>
      <c r="AA17" s="1038" t="str">
        <f t="shared" si="13"/>
        <v/>
      </c>
      <c r="AB17" s="1052"/>
      <c r="AC17" s="1035" t="str">
        <f>'ORDER SENT'!AF17</f>
        <v/>
      </c>
      <c r="AD17" s="1035">
        <f t="shared" si="14"/>
        <v>0</v>
      </c>
      <c r="AE17" s="1053"/>
      <c r="AF17" s="1045">
        <f t="shared" si="15"/>
        <v>0</v>
      </c>
      <c r="AG17" s="1038" t="str">
        <f t="shared" si="16"/>
        <v/>
      </c>
      <c r="AH17" s="1052"/>
      <c r="AI17" s="1035" t="str">
        <f>'ORDER SENT'!AL17</f>
        <v/>
      </c>
      <c r="AJ17" s="1035">
        <f t="shared" si="17"/>
        <v>0</v>
      </c>
      <c r="AK17" s="1053"/>
      <c r="AL17" s="1045">
        <f t="shared" si="18"/>
        <v>0</v>
      </c>
      <c r="AM17" s="1038" t="str">
        <f t="shared" si="19"/>
        <v/>
      </c>
      <c r="AN17" s="1052"/>
      <c r="AO17" s="1035" t="str">
        <f>'ORDER SENT'!AR17</f>
        <v/>
      </c>
      <c r="AP17" s="1035">
        <f t="shared" si="20"/>
        <v>0</v>
      </c>
      <c r="AQ17" s="1053"/>
      <c r="AR17" s="1045">
        <f t="shared" si="21"/>
        <v>0</v>
      </c>
      <c r="AS17" s="1038" t="str">
        <f t="shared" si="22"/>
        <v/>
      </c>
      <c r="AT17" s="1052"/>
      <c r="AU17" s="1035" t="str">
        <f>'ORDER SENT'!AX17</f>
        <v/>
      </c>
      <c r="AV17" s="1035">
        <f t="shared" si="23"/>
        <v>0</v>
      </c>
      <c r="AW17" s="1053"/>
      <c r="AX17" s="1045">
        <f t="shared" si="24"/>
        <v>0</v>
      </c>
      <c r="AY17" s="1038" t="str">
        <f t="shared" si="25"/>
        <v/>
      </c>
      <c r="AZ17" s="1052"/>
      <c r="BA17" s="1035" t="str">
        <f>'ORDER SENT'!BD17</f>
        <v/>
      </c>
      <c r="BB17" s="1035">
        <f t="shared" si="26"/>
        <v>0</v>
      </c>
      <c r="BC17" s="1053"/>
      <c r="BD17" s="1054"/>
      <c r="BE17" s="1038" t="str">
        <f t="shared" si="28"/>
        <v/>
      </c>
      <c r="BF17" s="1052"/>
      <c r="BG17" s="1035" t="str">
        <f>'ORDER SENT'!BJ17</f>
        <v/>
      </c>
      <c r="BH17" s="1035">
        <f t="shared" si="29"/>
        <v>0</v>
      </c>
      <c r="BI17" s="1053"/>
      <c r="BJ17" s="1054"/>
      <c r="BK17" s="1038" t="str">
        <f t="shared" si="31"/>
        <v/>
      </c>
      <c r="BL17" s="1052"/>
      <c r="BM17" s="1035" t="str">
        <f>'ORDER SENT'!BP17</f>
        <v/>
      </c>
      <c r="BN17" s="1035">
        <f t="shared" si="32"/>
        <v>0</v>
      </c>
      <c r="BO17" s="1053"/>
      <c r="BP17" s="1045">
        <f t="shared" si="33"/>
        <v>0</v>
      </c>
      <c r="BQ17" s="1038" t="str">
        <f t="shared" si="34"/>
        <v/>
      </c>
      <c r="BR17" s="1052"/>
      <c r="BS17" s="1035" t="str">
        <f>'ORDER SENT'!BV17</f>
        <v/>
      </c>
      <c r="BT17" s="1035">
        <f t="shared" si="35"/>
        <v>0</v>
      </c>
      <c r="BU17" s="1053"/>
      <c r="BV17" s="1054"/>
      <c r="BW17" s="1038" t="str">
        <f t="shared" si="37"/>
        <v/>
      </c>
      <c r="BX17" s="1052"/>
      <c r="BY17" s="1035" t="str">
        <f>'ORDER SENT'!CB17</f>
        <v/>
      </c>
      <c r="BZ17" s="1035">
        <f t="shared" si="38"/>
        <v>0</v>
      </c>
      <c r="CA17" s="1053"/>
      <c r="CB17" s="1054"/>
      <c r="CC17" s="1038" t="str">
        <f t="shared" si="40"/>
        <v/>
      </c>
      <c r="CD17" s="1052"/>
      <c r="CE17" s="1035" t="str">
        <f>'ORDER SENT'!CH17</f>
        <v/>
      </c>
      <c r="CF17" s="1035">
        <f t="shared" si="41"/>
        <v>0</v>
      </c>
      <c r="CG17" s="1053"/>
      <c r="CH17" s="1054"/>
      <c r="CI17" s="1038" t="str">
        <f t="shared" si="43"/>
        <v/>
      </c>
      <c r="CJ17" s="1052"/>
      <c r="CK17" s="1035" t="str">
        <f>'ORDER SENT'!CN17</f>
        <v/>
      </c>
      <c r="CL17" s="1035">
        <f t="shared" si="44"/>
        <v>0</v>
      </c>
      <c r="CM17" s="1053"/>
      <c r="CN17" s="1054"/>
      <c r="CO17" s="1038" t="str">
        <f t="shared" si="46"/>
        <v/>
      </c>
      <c r="CP17" s="1052"/>
      <c r="CQ17" s="1035" t="str">
        <f>'ORDER SENT'!CT17</f>
        <v/>
      </c>
      <c r="CR17" s="1035">
        <f t="shared" si="47"/>
        <v>0</v>
      </c>
      <c r="CS17" s="1053"/>
      <c r="CT17" s="1054"/>
      <c r="CU17" s="1038" t="str">
        <f t="shared" si="49"/>
        <v/>
      </c>
      <c r="CV17" s="1052"/>
      <c r="CW17" s="1035" t="str">
        <f>'ORDER SENT'!CZ17</f>
        <v/>
      </c>
      <c r="CX17" s="1035">
        <f t="shared" si="50"/>
        <v>0</v>
      </c>
      <c r="CY17" s="1053"/>
      <c r="CZ17" s="1054"/>
      <c r="DA17" s="1038" t="str">
        <f t="shared" si="52"/>
        <v/>
      </c>
      <c r="DB17" s="1052"/>
      <c r="DC17" s="1035" t="str">
        <f>'ORDER SENT'!DF17</f>
        <v/>
      </c>
      <c r="DD17" s="1035">
        <f t="shared" si="53"/>
        <v>0</v>
      </c>
      <c r="DE17" s="1053"/>
      <c r="DF17" s="1054"/>
      <c r="DG17" s="1038" t="str">
        <f t="shared" si="55"/>
        <v/>
      </c>
      <c r="DH17" s="1052"/>
      <c r="DI17" s="1035" t="str">
        <f>'ORDER SENT'!DL17</f>
        <v/>
      </c>
      <c r="DJ17" s="1035">
        <f t="shared" si="56"/>
        <v>0</v>
      </c>
      <c r="DK17" s="1053"/>
      <c r="DL17" s="1054"/>
      <c r="DM17" s="1038" t="str">
        <f t="shared" si="58"/>
        <v/>
      </c>
      <c r="DN17" s="1052"/>
      <c r="DO17" s="1035" t="str">
        <f>'ORDER SENT'!DR17</f>
        <v/>
      </c>
      <c r="DP17" s="1035">
        <f t="shared" si="59"/>
        <v>0</v>
      </c>
      <c r="DQ17" s="1053"/>
      <c r="DR17" s="1054"/>
      <c r="DS17" s="1038" t="str">
        <f t="shared" si="61"/>
        <v/>
      </c>
      <c r="DT17" s="1052"/>
      <c r="DU17" s="1035" t="str">
        <f>'ORDER SENT'!DX17</f>
        <v/>
      </c>
      <c r="DV17" s="1035">
        <f t="shared" si="62"/>
        <v>0</v>
      </c>
      <c r="DW17" s="1053"/>
      <c r="DX17" s="1054"/>
      <c r="DY17" s="1038" t="str">
        <f t="shared" si="64"/>
        <v/>
      </c>
      <c r="DZ17" s="1052"/>
      <c r="EA17" s="1035" t="str">
        <f>'ORDER SENT'!ED17</f>
        <v/>
      </c>
      <c r="EB17" s="1035">
        <f t="shared" si="65"/>
        <v>0</v>
      </c>
      <c r="EC17" s="1053"/>
      <c r="ED17" s="1054"/>
      <c r="EE17" s="1038" t="str">
        <f t="shared" si="67"/>
        <v/>
      </c>
      <c r="EF17" s="1052"/>
      <c r="EG17" s="1035" t="str">
        <f>'ORDER SENT'!EJ17</f>
        <v/>
      </c>
      <c r="EH17" s="1035">
        <f t="shared" si="68"/>
        <v>0</v>
      </c>
      <c r="EI17" s="1053"/>
      <c r="EJ17" s="1054"/>
      <c r="EK17" s="1038" t="str">
        <f t="shared" si="70"/>
        <v/>
      </c>
      <c r="EL17" s="1052"/>
      <c r="EM17" s="1035" t="str">
        <f>'ORDER SENT'!EP17</f>
        <v/>
      </c>
      <c r="EN17" s="1035">
        <f t="shared" si="71"/>
        <v>0</v>
      </c>
      <c r="EO17" s="1053"/>
      <c r="EP17" s="1054"/>
      <c r="EQ17" s="1038" t="str">
        <f t="shared" si="73"/>
        <v/>
      </c>
      <c r="ER17" s="1052"/>
      <c r="ES17" s="1035" t="str">
        <f>'ORDER SENT'!EV17</f>
        <v/>
      </c>
      <c r="ET17" s="1035">
        <f t="shared" si="74"/>
        <v>0</v>
      </c>
      <c r="EU17" s="1053"/>
      <c r="EV17" s="1054"/>
      <c r="EW17" s="1038" t="str">
        <f t="shared" si="76"/>
        <v/>
      </c>
      <c r="EX17" s="1052"/>
      <c r="EY17" s="1035" t="str">
        <f>'ORDER SENT'!FB17</f>
        <v/>
      </c>
      <c r="EZ17" s="1035">
        <f t="shared" si="77"/>
        <v>0</v>
      </c>
      <c r="FA17" s="1053"/>
      <c r="FB17" s="1054"/>
      <c r="FC17" s="1038" t="str">
        <f t="shared" si="79"/>
        <v/>
      </c>
      <c r="FD17" s="1052"/>
      <c r="FE17" s="1035" t="str">
        <f>'ORDER SENT'!FH17</f>
        <v/>
      </c>
      <c r="FF17" s="1035">
        <f t="shared" si="80"/>
        <v>0</v>
      </c>
      <c r="FG17" s="1053"/>
      <c r="FH17" s="1054"/>
      <c r="FI17" s="1038" t="str">
        <f t="shared" si="82"/>
        <v/>
      </c>
      <c r="FJ17" s="1052"/>
      <c r="FK17" s="1035" t="str">
        <f>'ORDER SENT'!FN17</f>
        <v/>
      </c>
      <c r="FL17" s="1035">
        <f t="shared" si="83"/>
        <v>0</v>
      </c>
      <c r="FM17" s="1053"/>
      <c r="FN17" s="1054"/>
      <c r="FO17" s="1038" t="str">
        <f t="shared" si="85"/>
        <v/>
      </c>
      <c r="FP17" s="1052"/>
      <c r="FQ17" s="1035" t="str">
        <f>'ORDER SENT'!FT17</f>
        <v/>
      </c>
      <c r="FR17" s="1035">
        <f t="shared" si="86"/>
        <v>0</v>
      </c>
      <c r="FS17" s="1053"/>
      <c r="FT17" s="1054"/>
      <c r="FU17" s="1038" t="str">
        <f t="shared" si="88"/>
        <v/>
      </c>
      <c r="FV17" s="1052"/>
      <c r="FW17" s="1035" t="str">
        <f>'ORDER SENT'!FZ17</f>
        <v/>
      </c>
      <c r="FX17" s="1035">
        <f t="shared" si="89"/>
        <v>0</v>
      </c>
      <c r="FY17" s="1053"/>
      <c r="FZ17" s="1054"/>
      <c r="GA17" s="1038" t="str">
        <f t="shared" si="91"/>
        <v/>
      </c>
      <c r="GB17" s="1052"/>
      <c r="GC17" s="1035" t="str">
        <f>'ORDER SENT'!GF17</f>
        <v/>
      </c>
      <c r="GD17" s="1035">
        <f t="shared" si="92"/>
        <v>0</v>
      </c>
      <c r="GE17" s="1053"/>
      <c r="GF17" s="1054"/>
      <c r="GG17" s="1055" t="str">
        <f t="shared" si="94"/>
        <v/>
      </c>
      <c r="GH17" s="1056"/>
      <c r="GI17" s="1056"/>
      <c r="GJ17" s="1056"/>
      <c r="GK17" s="1057"/>
      <c r="GL17" s="1054"/>
      <c r="GM17" s="1058"/>
    </row>
    <row r="18">
      <c r="B18" s="1059" t="s">
        <v>642</v>
      </c>
      <c r="C18" s="1027">
        <f t="shared" ref="C18:GF18" si="107">SUM(C5:C17)</f>
        <v>0</v>
      </c>
      <c r="D18" s="1028">
        <f t="shared" si="107"/>
        <v>0</v>
      </c>
      <c r="E18" s="1028">
        <f t="shared" si="107"/>
        <v>0</v>
      </c>
      <c r="F18" s="1028">
        <f t="shared" si="107"/>
        <v>0</v>
      </c>
      <c r="G18" s="1029">
        <f t="shared" si="107"/>
        <v>0</v>
      </c>
      <c r="H18" s="1030">
        <f t="shared" si="107"/>
        <v>0</v>
      </c>
      <c r="I18" s="1027">
        <f t="shared" si="107"/>
        <v>0</v>
      </c>
      <c r="J18" s="1028">
        <f t="shared" si="107"/>
        <v>0</v>
      </c>
      <c r="K18" s="1028">
        <f t="shared" si="107"/>
        <v>0</v>
      </c>
      <c r="L18" s="1028">
        <f t="shared" si="107"/>
        <v>0</v>
      </c>
      <c r="M18" s="1029">
        <f t="shared" si="107"/>
        <v>0</v>
      </c>
      <c r="N18" s="1030">
        <f t="shared" si="107"/>
        <v>0</v>
      </c>
      <c r="O18" s="1027">
        <f t="shared" si="107"/>
        <v>0</v>
      </c>
      <c r="P18" s="1028">
        <f t="shared" si="107"/>
        <v>0</v>
      </c>
      <c r="Q18" s="1028">
        <f t="shared" si="107"/>
        <v>0</v>
      </c>
      <c r="R18" s="1028">
        <f t="shared" si="107"/>
        <v>0</v>
      </c>
      <c r="S18" s="1029">
        <f t="shared" si="107"/>
        <v>0</v>
      </c>
      <c r="T18" s="1030">
        <f t="shared" si="107"/>
        <v>0</v>
      </c>
      <c r="U18" s="1027">
        <f t="shared" si="107"/>
        <v>0</v>
      </c>
      <c r="V18" s="1028">
        <f t="shared" si="107"/>
        <v>0</v>
      </c>
      <c r="W18" s="1028">
        <f t="shared" si="107"/>
        <v>0</v>
      </c>
      <c r="X18" s="1028">
        <f t="shared" si="107"/>
        <v>0</v>
      </c>
      <c r="Y18" s="1029">
        <f t="shared" si="107"/>
        <v>0</v>
      </c>
      <c r="Z18" s="1030">
        <f t="shared" si="107"/>
        <v>0</v>
      </c>
      <c r="AA18" s="1027">
        <f t="shared" si="107"/>
        <v>0</v>
      </c>
      <c r="AB18" s="1028">
        <f t="shared" si="107"/>
        <v>0</v>
      </c>
      <c r="AC18" s="1028">
        <f t="shared" si="107"/>
        <v>0</v>
      </c>
      <c r="AD18" s="1028">
        <f t="shared" si="107"/>
        <v>0</v>
      </c>
      <c r="AE18" s="1029">
        <f t="shared" si="107"/>
        <v>0</v>
      </c>
      <c r="AF18" s="1030">
        <f t="shared" si="107"/>
        <v>0</v>
      </c>
      <c r="AG18" s="1027">
        <f t="shared" si="107"/>
        <v>0</v>
      </c>
      <c r="AH18" s="1028">
        <f t="shared" si="107"/>
        <v>0</v>
      </c>
      <c r="AI18" s="1028">
        <f t="shared" si="107"/>
        <v>0</v>
      </c>
      <c r="AJ18" s="1028">
        <f t="shared" si="107"/>
        <v>0</v>
      </c>
      <c r="AK18" s="1029">
        <f t="shared" si="107"/>
        <v>0</v>
      </c>
      <c r="AL18" s="1030">
        <f t="shared" si="107"/>
        <v>0</v>
      </c>
      <c r="AM18" s="1027">
        <f t="shared" si="107"/>
        <v>0</v>
      </c>
      <c r="AN18" s="1028">
        <f t="shared" si="107"/>
        <v>0</v>
      </c>
      <c r="AO18" s="1028">
        <f t="shared" si="107"/>
        <v>0</v>
      </c>
      <c r="AP18" s="1028">
        <f t="shared" si="107"/>
        <v>0</v>
      </c>
      <c r="AQ18" s="1029">
        <f t="shared" si="107"/>
        <v>0</v>
      </c>
      <c r="AR18" s="1030">
        <f t="shared" si="107"/>
        <v>0</v>
      </c>
      <c r="AS18" s="1027">
        <f t="shared" si="107"/>
        <v>0</v>
      </c>
      <c r="AT18" s="1028">
        <f t="shared" si="107"/>
        <v>0</v>
      </c>
      <c r="AU18" s="1028">
        <f t="shared" si="107"/>
        <v>0</v>
      </c>
      <c r="AV18" s="1028">
        <f t="shared" si="107"/>
        <v>0</v>
      </c>
      <c r="AW18" s="1029">
        <f t="shared" si="107"/>
        <v>0</v>
      </c>
      <c r="AX18" s="1030">
        <f t="shared" si="107"/>
        <v>0</v>
      </c>
      <c r="AY18" s="1027">
        <f t="shared" si="107"/>
        <v>0</v>
      </c>
      <c r="AZ18" s="1028">
        <f t="shared" si="107"/>
        <v>0</v>
      </c>
      <c r="BA18" s="1028">
        <f t="shared" si="107"/>
        <v>0</v>
      </c>
      <c r="BB18" s="1028">
        <f t="shared" si="107"/>
        <v>0</v>
      </c>
      <c r="BC18" s="1029">
        <f t="shared" si="107"/>
        <v>0</v>
      </c>
      <c r="BD18" s="1030">
        <f t="shared" si="107"/>
        <v>0</v>
      </c>
      <c r="BE18" s="1027">
        <f t="shared" si="107"/>
        <v>0</v>
      </c>
      <c r="BF18" s="1028">
        <f t="shared" si="107"/>
        <v>0</v>
      </c>
      <c r="BG18" s="1028">
        <f t="shared" si="107"/>
        <v>0</v>
      </c>
      <c r="BH18" s="1028">
        <f t="shared" si="107"/>
        <v>0</v>
      </c>
      <c r="BI18" s="1029">
        <f t="shared" si="107"/>
        <v>0</v>
      </c>
      <c r="BJ18" s="1030">
        <f t="shared" si="107"/>
        <v>0</v>
      </c>
      <c r="BK18" s="1027">
        <f t="shared" si="107"/>
        <v>0</v>
      </c>
      <c r="BL18" s="1028">
        <f t="shared" si="107"/>
        <v>0</v>
      </c>
      <c r="BM18" s="1028">
        <f t="shared" si="107"/>
        <v>0</v>
      </c>
      <c r="BN18" s="1028">
        <f t="shared" si="107"/>
        <v>0</v>
      </c>
      <c r="BO18" s="1029">
        <f t="shared" si="107"/>
        <v>0</v>
      </c>
      <c r="BP18" s="1030">
        <f t="shared" si="107"/>
        <v>0</v>
      </c>
      <c r="BQ18" s="1027">
        <f t="shared" si="107"/>
        <v>0</v>
      </c>
      <c r="BR18" s="1028">
        <f t="shared" si="107"/>
        <v>0</v>
      </c>
      <c r="BS18" s="1028">
        <f t="shared" si="107"/>
        <v>0</v>
      </c>
      <c r="BT18" s="1028">
        <f t="shared" si="107"/>
        <v>0</v>
      </c>
      <c r="BU18" s="1029">
        <f t="shared" si="107"/>
        <v>0</v>
      </c>
      <c r="BV18" s="1030">
        <f t="shared" si="107"/>
        <v>0</v>
      </c>
      <c r="BW18" s="1027">
        <f t="shared" si="107"/>
        <v>0</v>
      </c>
      <c r="BX18" s="1028">
        <f t="shared" si="107"/>
        <v>0</v>
      </c>
      <c r="BY18" s="1028">
        <f t="shared" si="107"/>
        <v>0</v>
      </c>
      <c r="BZ18" s="1028">
        <f t="shared" si="107"/>
        <v>0</v>
      </c>
      <c r="CA18" s="1029">
        <f t="shared" si="107"/>
        <v>0</v>
      </c>
      <c r="CB18" s="1030">
        <f t="shared" si="107"/>
        <v>0</v>
      </c>
      <c r="CC18" s="1027">
        <f t="shared" si="107"/>
        <v>0</v>
      </c>
      <c r="CD18" s="1028">
        <f t="shared" si="107"/>
        <v>0</v>
      </c>
      <c r="CE18" s="1028">
        <f t="shared" si="107"/>
        <v>0</v>
      </c>
      <c r="CF18" s="1028">
        <f t="shared" si="107"/>
        <v>0</v>
      </c>
      <c r="CG18" s="1029">
        <f t="shared" si="107"/>
        <v>0</v>
      </c>
      <c r="CH18" s="1030">
        <f t="shared" si="107"/>
        <v>0</v>
      </c>
      <c r="CI18" s="1027">
        <f t="shared" si="107"/>
        <v>0</v>
      </c>
      <c r="CJ18" s="1028">
        <f t="shared" si="107"/>
        <v>0</v>
      </c>
      <c r="CK18" s="1028">
        <f t="shared" si="107"/>
        <v>0</v>
      </c>
      <c r="CL18" s="1028">
        <f t="shared" si="107"/>
        <v>0</v>
      </c>
      <c r="CM18" s="1029">
        <f t="shared" si="107"/>
        <v>0</v>
      </c>
      <c r="CN18" s="1030">
        <f t="shared" si="107"/>
        <v>0</v>
      </c>
      <c r="CO18" s="1027">
        <f t="shared" si="107"/>
        <v>0</v>
      </c>
      <c r="CP18" s="1028">
        <f t="shared" si="107"/>
        <v>0</v>
      </c>
      <c r="CQ18" s="1028">
        <f t="shared" si="107"/>
        <v>0</v>
      </c>
      <c r="CR18" s="1028">
        <f t="shared" si="107"/>
        <v>0</v>
      </c>
      <c r="CS18" s="1029">
        <f t="shared" si="107"/>
        <v>0</v>
      </c>
      <c r="CT18" s="1030">
        <f t="shared" si="107"/>
        <v>0</v>
      </c>
      <c r="CU18" s="1027">
        <f t="shared" si="107"/>
        <v>0</v>
      </c>
      <c r="CV18" s="1028">
        <f t="shared" si="107"/>
        <v>0</v>
      </c>
      <c r="CW18" s="1028">
        <f t="shared" si="107"/>
        <v>0</v>
      </c>
      <c r="CX18" s="1028">
        <f t="shared" si="107"/>
        <v>0</v>
      </c>
      <c r="CY18" s="1029">
        <f t="shared" si="107"/>
        <v>0</v>
      </c>
      <c r="CZ18" s="1030">
        <f t="shared" si="107"/>
        <v>0</v>
      </c>
      <c r="DA18" s="1027">
        <f t="shared" si="107"/>
        <v>0</v>
      </c>
      <c r="DB18" s="1028">
        <f t="shared" si="107"/>
        <v>0</v>
      </c>
      <c r="DC18" s="1028">
        <f t="shared" si="107"/>
        <v>0</v>
      </c>
      <c r="DD18" s="1028">
        <f t="shared" si="107"/>
        <v>0</v>
      </c>
      <c r="DE18" s="1029">
        <f t="shared" si="107"/>
        <v>0</v>
      </c>
      <c r="DF18" s="1030">
        <f t="shared" si="107"/>
        <v>0</v>
      </c>
      <c r="DG18" s="1027">
        <f t="shared" si="107"/>
        <v>0</v>
      </c>
      <c r="DH18" s="1028">
        <f t="shared" si="107"/>
        <v>0</v>
      </c>
      <c r="DI18" s="1028">
        <f t="shared" si="107"/>
        <v>0</v>
      </c>
      <c r="DJ18" s="1028">
        <f t="shared" si="107"/>
        <v>0</v>
      </c>
      <c r="DK18" s="1029">
        <f t="shared" si="107"/>
        <v>0</v>
      </c>
      <c r="DL18" s="1030">
        <f t="shared" si="107"/>
        <v>0</v>
      </c>
      <c r="DM18" s="1027">
        <f t="shared" si="107"/>
        <v>0</v>
      </c>
      <c r="DN18" s="1028">
        <f t="shared" si="107"/>
        <v>0</v>
      </c>
      <c r="DO18" s="1028">
        <f t="shared" si="107"/>
        <v>0</v>
      </c>
      <c r="DP18" s="1028">
        <f t="shared" si="107"/>
        <v>0</v>
      </c>
      <c r="DQ18" s="1029">
        <f t="shared" si="107"/>
        <v>0</v>
      </c>
      <c r="DR18" s="1030">
        <f t="shared" si="107"/>
        <v>0</v>
      </c>
      <c r="DS18" s="1027">
        <f t="shared" si="107"/>
        <v>0</v>
      </c>
      <c r="DT18" s="1028">
        <f t="shared" si="107"/>
        <v>0</v>
      </c>
      <c r="DU18" s="1028">
        <f t="shared" si="107"/>
        <v>0</v>
      </c>
      <c r="DV18" s="1028">
        <f t="shared" si="107"/>
        <v>0</v>
      </c>
      <c r="DW18" s="1029">
        <f t="shared" si="107"/>
        <v>0</v>
      </c>
      <c r="DX18" s="1030">
        <f t="shared" si="107"/>
        <v>0</v>
      </c>
      <c r="DY18" s="1027">
        <f t="shared" si="107"/>
        <v>0</v>
      </c>
      <c r="DZ18" s="1028">
        <f t="shared" si="107"/>
        <v>0</v>
      </c>
      <c r="EA18" s="1028">
        <f t="shared" si="107"/>
        <v>0</v>
      </c>
      <c r="EB18" s="1028">
        <f t="shared" si="107"/>
        <v>0</v>
      </c>
      <c r="EC18" s="1029">
        <f t="shared" si="107"/>
        <v>0</v>
      </c>
      <c r="ED18" s="1030">
        <f t="shared" si="107"/>
        <v>0</v>
      </c>
      <c r="EE18" s="1027">
        <f t="shared" si="107"/>
        <v>0</v>
      </c>
      <c r="EF18" s="1028">
        <f t="shared" si="107"/>
        <v>0</v>
      </c>
      <c r="EG18" s="1028">
        <f t="shared" si="107"/>
        <v>0</v>
      </c>
      <c r="EH18" s="1028">
        <f t="shared" si="107"/>
        <v>0</v>
      </c>
      <c r="EI18" s="1029">
        <f t="shared" si="107"/>
        <v>0</v>
      </c>
      <c r="EJ18" s="1030">
        <f t="shared" si="107"/>
        <v>0</v>
      </c>
      <c r="EK18" s="1027">
        <f t="shared" si="107"/>
        <v>0</v>
      </c>
      <c r="EL18" s="1028">
        <f t="shared" si="107"/>
        <v>0</v>
      </c>
      <c r="EM18" s="1028">
        <f t="shared" si="107"/>
        <v>0</v>
      </c>
      <c r="EN18" s="1028">
        <f t="shared" si="107"/>
        <v>0</v>
      </c>
      <c r="EO18" s="1029">
        <f t="shared" si="107"/>
        <v>0</v>
      </c>
      <c r="EP18" s="1030">
        <f t="shared" si="107"/>
        <v>0</v>
      </c>
      <c r="EQ18" s="1027">
        <f t="shared" si="107"/>
        <v>0</v>
      </c>
      <c r="ER18" s="1028">
        <f t="shared" si="107"/>
        <v>0</v>
      </c>
      <c r="ES18" s="1028">
        <f t="shared" si="107"/>
        <v>0</v>
      </c>
      <c r="ET18" s="1028">
        <f t="shared" si="107"/>
        <v>0</v>
      </c>
      <c r="EU18" s="1029">
        <f t="shared" si="107"/>
        <v>0</v>
      </c>
      <c r="EV18" s="1030">
        <f t="shared" si="107"/>
        <v>0</v>
      </c>
      <c r="EW18" s="1027">
        <f t="shared" si="107"/>
        <v>0</v>
      </c>
      <c r="EX18" s="1028">
        <f t="shared" si="107"/>
        <v>0</v>
      </c>
      <c r="EY18" s="1028">
        <f t="shared" si="107"/>
        <v>0</v>
      </c>
      <c r="EZ18" s="1028">
        <f t="shared" si="107"/>
        <v>0</v>
      </c>
      <c r="FA18" s="1029">
        <f t="shared" si="107"/>
        <v>0</v>
      </c>
      <c r="FB18" s="1030">
        <f t="shared" si="107"/>
        <v>0</v>
      </c>
      <c r="FC18" s="1027">
        <f t="shared" si="107"/>
        <v>0</v>
      </c>
      <c r="FD18" s="1028">
        <f t="shared" si="107"/>
        <v>0</v>
      </c>
      <c r="FE18" s="1028">
        <f t="shared" si="107"/>
        <v>0</v>
      </c>
      <c r="FF18" s="1028">
        <f t="shared" si="107"/>
        <v>0</v>
      </c>
      <c r="FG18" s="1029">
        <f t="shared" si="107"/>
        <v>0</v>
      </c>
      <c r="FH18" s="1030">
        <f t="shared" si="107"/>
        <v>0</v>
      </c>
      <c r="FI18" s="1027">
        <f t="shared" si="107"/>
        <v>0</v>
      </c>
      <c r="FJ18" s="1028">
        <f t="shared" si="107"/>
        <v>0</v>
      </c>
      <c r="FK18" s="1028">
        <f t="shared" si="107"/>
        <v>0</v>
      </c>
      <c r="FL18" s="1028">
        <f t="shared" si="107"/>
        <v>0</v>
      </c>
      <c r="FM18" s="1029">
        <f t="shared" si="107"/>
        <v>0</v>
      </c>
      <c r="FN18" s="1030">
        <f t="shared" si="107"/>
        <v>0</v>
      </c>
      <c r="FO18" s="1027">
        <f t="shared" si="107"/>
        <v>0</v>
      </c>
      <c r="FP18" s="1028">
        <f t="shared" si="107"/>
        <v>0</v>
      </c>
      <c r="FQ18" s="1028">
        <f t="shared" si="107"/>
        <v>0</v>
      </c>
      <c r="FR18" s="1028">
        <f t="shared" si="107"/>
        <v>0</v>
      </c>
      <c r="FS18" s="1029">
        <f t="shared" si="107"/>
        <v>0</v>
      </c>
      <c r="FT18" s="1030">
        <f t="shared" si="107"/>
        <v>0</v>
      </c>
      <c r="FU18" s="1027">
        <f t="shared" si="107"/>
        <v>0</v>
      </c>
      <c r="FV18" s="1028">
        <f t="shared" si="107"/>
        <v>0</v>
      </c>
      <c r="FW18" s="1028">
        <f t="shared" si="107"/>
        <v>0</v>
      </c>
      <c r="FX18" s="1028">
        <f t="shared" si="107"/>
        <v>0</v>
      </c>
      <c r="FY18" s="1029">
        <f t="shared" si="107"/>
        <v>0</v>
      </c>
      <c r="FZ18" s="1030">
        <f t="shared" si="107"/>
        <v>0</v>
      </c>
      <c r="GA18" s="1027">
        <f t="shared" si="107"/>
        <v>0</v>
      </c>
      <c r="GB18" s="1028">
        <f t="shared" si="107"/>
        <v>0</v>
      </c>
      <c r="GC18" s="1028">
        <f t="shared" si="107"/>
        <v>0</v>
      </c>
      <c r="GD18" s="1028">
        <f t="shared" si="107"/>
        <v>0</v>
      </c>
      <c r="GE18" s="1029">
        <f t="shared" si="107"/>
        <v>0</v>
      </c>
      <c r="GF18" s="1030">
        <f t="shared" si="107"/>
        <v>0</v>
      </c>
      <c r="GG18" s="1027">
        <f t="shared" si="94"/>
        <v>0</v>
      </c>
      <c r="GH18" s="1028">
        <f t="shared" ref="GH18:GM18" si="108">SUM(GH5:GH17)</f>
        <v>0</v>
      </c>
      <c r="GI18" s="1028">
        <f t="shared" si="108"/>
        <v>0</v>
      </c>
      <c r="GJ18" s="1028">
        <f t="shared" si="108"/>
        <v>0</v>
      </c>
      <c r="GK18" s="1029">
        <f t="shared" si="108"/>
        <v>0</v>
      </c>
      <c r="GL18" s="1030">
        <f t="shared" si="108"/>
        <v>0</v>
      </c>
      <c r="GM18" s="1031">
        <f t="shared" si="108"/>
        <v>0</v>
      </c>
    </row>
    <row r="19">
      <c r="B19" s="1060"/>
      <c r="C19" s="1027"/>
      <c r="D19" s="1028"/>
      <c r="E19" s="1028"/>
      <c r="F19" s="1028"/>
      <c r="G19" s="1029"/>
      <c r="H19" s="1030"/>
      <c r="I19" s="1027"/>
      <c r="J19" s="1028"/>
      <c r="K19" s="1028"/>
      <c r="L19" s="1028"/>
      <c r="M19" s="1029"/>
      <c r="N19" s="1030"/>
      <c r="O19" s="1027"/>
      <c r="P19" s="1028"/>
      <c r="Q19" s="1028"/>
      <c r="R19" s="1028"/>
      <c r="S19" s="1029"/>
      <c r="T19" s="1030"/>
      <c r="U19" s="1027"/>
      <c r="V19" s="1028"/>
      <c r="W19" s="1028"/>
      <c r="X19" s="1028"/>
      <c r="Y19" s="1029"/>
      <c r="Z19" s="1030"/>
      <c r="AA19" s="1027"/>
      <c r="AB19" s="1028"/>
      <c r="AC19" s="1028"/>
      <c r="AD19" s="1028"/>
      <c r="AE19" s="1029"/>
      <c r="AF19" s="1030"/>
      <c r="AG19" s="1027"/>
      <c r="AH19" s="1028"/>
      <c r="AI19" s="1028"/>
      <c r="AJ19" s="1028"/>
      <c r="AK19" s="1029"/>
      <c r="AL19" s="1030"/>
      <c r="AM19" s="1027"/>
      <c r="AN19" s="1028"/>
      <c r="AO19" s="1028"/>
      <c r="AP19" s="1028"/>
      <c r="AQ19" s="1029"/>
      <c r="AR19" s="1030"/>
      <c r="AS19" s="1027"/>
      <c r="AT19" s="1028"/>
      <c r="AU19" s="1028"/>
      <c r="AV19" s="1028"/>
      <c r="AW19" s="1029"/>
      <c r="AX19" s="1030"/>
      <c r="AY19" s="1027"/>
      <c r="AZ19" s="1028"/>
      <c r="BA19" s="1028"/>
      <c r="BB19" s="1028"/>
      <c r="BC19" s="1029"/>
      <c r="BD19" s="1030"/>
      <c r="BE19" s="1027"/>
      <c r="BF19" s="1028"/>
      <c r="BG19" s="1028"/>
      <c r="BH19" s="1028"/>
      <c r="BI19" s="1029"/>
      <c r="BJ19" s="1030"/>
      <c r="BK19" s="1027"/>
      <c r="BL19" s="1028"/>
      <c r="BM19" s="1028"/>
      <c r="BN19" s="1028"/>
      <c r="BO19" s="1029"/>
      <c r="BP19" s="1030"/>
      <c r="BQ19" s="1027"/>
      <c r="BR19" s="1028"/>
      <c r="BS19" s="1028"/>
      <c r="BT19" s="1028"/>
      <c r="BU19" s="1029"/>
      <c r="BV19" s="1030"/>
      <c r="BW19" s="1027"/>
      <c r="BX19" s="1028"/>
      <c r="BY19" s="1028"/>
      <c r="BZ19" s="1028"/>
      <c r="CA19" s="1029"/>
      <c r="CB19" s="1030"/>
      <c r="CC19" s="1027"/>
      <c r="CD19" s="1028"/>
      <c r="CE19" s="1028"/>
      <c r="CF19" s="1028"/>
      <c r="CG19" s="1029"/>
      <c r="CH19" s="1030"/>
      <c r="CI19" s="1027"/>
      <c r="CJ19" s="1028"/>
      <c r="CK19" s="1028"/>
      <c r="CL19" s="1028"/>
      <c r="CM19" s="1029"/>
      <c r="CN19" s="1030"/>
      <c r="CO19" s="1027"/>
      <c r="CP19" s="1028"/>
      <c r="CQ19" s="1028"/>
      <c r="CR19" s="1028"/>
      <c r="CS19" s="1029"/>
      <c r="CT19" s="1030"/>
      <c r="CU19" s="1027"/>
      <c r="CV19" s="1028"/>
      <c r="CW19" s="1028"/>
      <c r="CX19" s="1028"/>
      <c r="CY19" s="1029"/>
      <c r="CZ19" s="1030"/>
      <c r="DA19" s="1027"/>
      <c r="DB19" s="1028"/>
      <c r="DC19" s="1028"/>
      <c r="DD19" s="1028"/>
      <c r="DE19" s="1029"/>
      <c r="DF19" s="1030"/>
      <c r="DG19" s="1027"/>
      <c r="DH19" s="1028"/>
      <c r="DI19" s="1028"/>
      <c r="DJ19" s="1028"/>
      <c r="DK19" s="1029"/>
      <c r="DL19" s="1030"/>
      <c r="DM19" s="1027"/>
      <c r="DN19" s="1028"/>
      <c r="DO19" s="1028"/>
      <c r="DP19" s="1028"/>
      <c r="DQ19" s="1029"/>
      <c r="DR19" s="1030"/>
      <c r="DS19" s="1027"/>
      <c r="DT19" s="1028"/>
      <c r="DU19" s="1028"/>
      <c r="DV19" s="1028"/>
      <c r="DW19" s="1029"/>
      <c r="DX19" s="1030"/>
      <c r="DY19" s="1027"/>
      <c r="DZ19" s="1028"/>
      <c r="EA19" s="1028"/>
      <c r="EB19" s="1028"/>
      <c r="EC19" s="1029"/>
      <c r="ED19" s="1030"/>
      <c r="EE19" s="1027"/>
      <c r="EF19" s="1028"/>
      <c r="EG19" s="1028"/>
      <c r="EH19" s="1028"/>
      <c r="EI19" s="1029"/>
      <c r="EJ19" s="1030"/>
      <c r="EK19" s="1027"/>
      <c r="EL19" s="1028"/>
      <c r="EM19" s="1028"/>
      <c r="EN19" s="1028"/>
      <c r="EO19" s="1029"/>
      <c r="EP19" s="1030"/>
      <c r="EQ19" s="1027"/>
      <c r="ER19" s="1028"/>
      <c r="ES19" s="1028"/>
      <c r="ET19" s="1028"/>
      <c r="EU19" s="1029"/>
      <c r="EV19" s="1030"/>
      <c r="EW19" s="1027"/>
      <c r="EX19" s="1028"/>
      <c r="EY19" s="1028"/>
      <c r="EZ19" s="1028"/>
      <c r="FA19" s="1029"/>
      <c r="FB19" s="1030"/>
      <c r="FC19" s="1027"/>
      <c r="FD19" s="1028"/>
      <c r="FE19" s="1028"/>
      <c r="FF19" s="1028"/>
      <c r="FG19" s="1029"/>
      <c r="FH19" s="1030"/>
      <c r="FI19" s="1027"/>
      <c r="FJ19" s="1028"/>
      <c r="FK19" s="1028"/>
      <c r="FL19" s="1028"/>
      <c r="FM19" s="1029"/>
      <c r="FN19" s="1030"/>
      <c r="FO19" s="1027"/>
      <c r="FP19" s="1028"/>
      <c r="FQ19" s="1028"/>
      <c r="FR19" s="1028"/>
      <c r="FS19" s="1029"/>
      <c r="FT19" s="1030"/>
      <c r="FU19" s="1027"/>
      <c r="FV19" s="1028"/>
      <c r="FW19" s="1028"/>
      <c r="FX19" s="1028"/>
      <c r="FY19" s="1029"/>
      <c r="FZ19" s="1030"/>
      <c r="GA19" s="1027"/>
      <c r="GB19" s="1028"/>
      <c r="GC19" s="1028"/>
      <c r="GD19" s="1028"/>
      <c r="GE19" s="1029"/>
      <c r="GF19" s="1030"/>
      <c r="GG19" s="1027" t="str">
        <f t="shared" si="94"/>
        <v/>
      </c>
      <c r="GH19" s="1028"/>
      <c r="GI19" s="1028"/>
      <c r="GJ19" s="1028"/>
      <c r="GK19" s="1029"/>
      <c r="GL19" s="1030"/>
      <c r="GM19" s="1031"/>
    </row>
    <row r="20">
      <c r="B20" s="1059" t="s">
        <v>643</v>
      </c>
      <c r="C20" s="1027"/>
      <c r="D20" s="1028"/>
      <c r="E20" s="1028"/>
      <c r="F20" s="1028"/>
      <c r="G20" s="1029"/>
      <c r="H20" s="1030">
        <f t="shared" ref="H20:H24" si="110">SUM(C20:G20)</f>
        <v>0</v>
      </c>
      <c r="I20" s="1027"/>
      <c r="J20" s="1028"/>
      <c r="K20" s="1028"/>
      <c r="L20" s="1028"/>
      <c r="M20" s="1029"/>
      <c r="N20" s="1030">
        <f t="shared" ref="N20:N24" si="111">SUM(I20:M20)</f>
        <v>0</v>
      </c>
      <c r="O20" s="1027"/>
      <c r="P20" s="1028"/>
      <c r="Q20" s="1028"/>
      <c r="R20" s="1028"/>
      <c r="S20" s="1029"/>
      <c r="T20" s="1030">
        <f t="shared" ref="T20:T24" si="112">SUM(O20:S20)</f>
        <v>0</v>
      </c>
      <c r="U20" s="1027"/>
      <c r="V20" s="1028"/>
      <c r="W20" s="1028"/>
      <c r="X20" s="1028"/>
      <c r="Y20" s="1029"/>
      <c r="Z20" s="1030">
        <f t="shared" ref="Z20:Z24" si="113">SUM(U20:Y20)</f>
        <v>0</v>
      </c>
      <c r="AA20" s="1027"/>
      <c r="AB20" s="1028"/>
      <c r="AC20" s="1028"/>
      <c r="AD20" s="1028"/>
      <c r="AE20" s="1029"/>
      <c r="AF20" s="1030">
        <f t="shared" ref="AF20:AF24" si="114">SUM(AA20:AE20)</f>
        <v>0</v>
      </c>
      <c r="AG20" s="1027"/>
      <c r="AH20" s="1028"/>
      <c r="AI20" s="1028"/>
      <c r="AJ20" s="1028"/>
      <c r="AK20" s="1029"/>
      <c r="AL20" s="1030">
        <f t="shared" ref="AL20:AL24" si="115">SUM(AG20:AK20)</f>
        <v>0</v>
      </c>
      <c r="AM20" s="1027"/>
      <c r="AN20" s="1028"/>
      <c r="AO20" s="1028"/>
      <c r="AP20" s="1028"/>
      <c r="AQ20" s="1029"/>
      <c r="AR20" s="1030">
        <f t="shared" ref="AR20:AR24" si="116">SUM(AM20:AQ20)</f>
        <v>0</v>
      </c>
      <c r="AS20" s="1027"/>
      <c r="AT20" s="1028"/>
      <c r="AU20" s="1028"/>
      <c r="AV20" s="1028"/>
      <c r="AW20" s="1029"/>
      <c r="AX20" s="1030">
        <f t="shared" ref="AX20:AX24" si="117">SUM(AS20:AW20)</f>
        <v>0</v>
      </c>
      <c r="AY20" s="1027"/>
      <c r="AZ20" s="1028"/>
      <c r="BA20" s="1028"/>
      <c r="BB20" s="1028"/>
      <c r="BC20" s="1029"/>
      <c r="BD20" s="1030">
        <f t="shared" ref="BD20:BD24" si="118">SUM(AY20:BC20)</f>
        <v>0</v>
      </c>
      <c r="BE20" s="1027"/>
      <c r="BF20" s="1028"/>
      <c r="BG20" s="1028"/>
      <c r="BH20" s="1028"/>
      <c r="BI20" s="1029"/>
      <c r="BJ20" s="1030">
        <f t="shared" ref="BJ20:BJ24" si="119">SUM(BE20:BI20)</f>
        <v>0</v>
      </c>
      <c r="BK20" s="1027"/>
      <c r="BL20" s="1028"/>
      <c r="BM20" s="1028"/>
      <c r="BN20" s="1028"/>
      <c r="BO20" s="1029"/>
      <c r="BP20" s="1030">
        <f t="shared" ref="BP20:BP24" si="120">SUM(BK20:BO20)</f>
        <v>0</v>
      </c>
      <c r="BQ20" s="1027"/>
      <c r="BR20" s="1028"/>
      <c r="BS20" s="1028"/>
      <c r="BT20" s="1028"/>
      <c r="BU20" s="1029"/>
      <c r="BV20" s="1030">
        <f t="shared" ref="BV20:BV24" si="121">SUM(BQ20:BU20)</f>
        <v>0</v>
      </c>
      <c r="BW20" s="1027"/>
      <c r="BX20" s="1028"/>
      <c r="BY20" s="1028"/>
      <c r="BZ20" s="1028"/>
      <c r="CA20" s="1029"/>
      <c r="CB20" s="1030">
        <f t="shared" ref="CB20:CB24" si="122">SUM(BW20:CA20)</f>
        <v>0</v>
      </c>
      <c r="CC20" s="1027"/>
      <c r="CD20" s="1028"/>
      <c r="CE20" s="1028"/>
      <c r="CF20" s="1028"/>
      <c r="CG20" s="1029"/>
      <c r="CH20" s="1030">
        <f t="shared" ref="CH20:CH24" si="123">SUM(CC20:CG20)</f>
        <v>0</v>
      </c>
      <c r="CI20" s="1027"/>
      <c r="CJ20" s="1028"/>
      <c r="CK20" s="1028"/>
      <c r="CL20" s="1028"/>
      <c r="CM20" s="1029"/>
      <c r="CN20" s="1030">
        <f t="shared" ref="CN20:CN24" si="124">SUM(CI20:CM20)</f>
        <v>0</v>
      </c>
      <c r="CO20" s="1027"/>
      <c r="CP20" s="1028"/>
      <c r="CQ20" s="1028"/>
      <c r="CR20" s="1028"/>
      <c r="CS20" s="1029"/>
      <c r="CT20" s="1030">
        <f t="shared" ref="CT20:CT24" si="125">SUM(CO20:CS20)</f>
        <v>0</v>
      </c>
      <c r="CU20" s="1027"/>
      <c r="CV20" s="1028"/>
      <c r="CW20" s="1028"/>
      <c r="CX20" s="1028"/>
      <c r="CY20" s="1029"/>
      <c r="CZ20" s="1030">
        <f t="shared" ref="CZ20:CZ24" si="126">SUM(CU20:CY20)</f>
        <v>0</v>
      </c>
      <c r="DA20" s="1027"/>
      <c r="DB20" s="1028"/>
      <c r="DC20" s="1028"/>
      <c r="DD20" s="1028"/>
      <c r="DE20" s="1029"/>
      <c r="DF20" s="1030">
        <f t="shared" ref="DF20:DF24" si="127">SUM(DA20:DE20)</f>
        <v>0</v>
      </c>
      <c r="DG20" s="1027"/>
      <c r="DH20" s="1028"/>
      <c r="DI20" s="1028"/>
      <c r="DJ20" s="1028"/>
      <c r="DK20" s="1029"/>
      <c r="DL20" s="1030">
        <f t="shared" ref="DL20:DL24" si="128">SUM(DG20:DK20)</f>
        <v>0</v>
      </c>
      <c r="DM20" s="1027"/>
      <c r="DN20" s="1028"/>
      <c r="DO20" s="1028"/>
      <c r="DP20" s="1028"/>
      <c r="DQ20" s="1029"/>
      <c r="DR20" s="1030">
        <f t="shared" ref="DR20:DR24" si="129">SUM(DM20:DQ20)</f>
        <v>0</v>
      </c>
      <c r="DS20" s="1027"/>
      <c r="DT20" s="1028"/>
      <c r="DU20" s="1028"/>
      <c r="DV20" s="1028"/>
      <c r="DW20" s="1029"/>
      <c r="DX20" s="1030">
        <f t="shared" ref="DX20:DX24" si="130">SUM(DS20:DW20)</f>
        <v>0</v>
      </c>
      <c r="DY20" s="1027"/>
      <c r="DZ20" s="1028"/>
      <c r="EA20" s="1028"/>
      <c r="EB20" s="1028"/>
      <c r="EC20" s="1029"/>
      <c r="ED20" s="1030">
        <f t="shared" ref="ED20:ED24" si="131">SUM(DY20:EC20)</f>
        <v>0</v>
      </c>
      <c r="EE20" s="1027"/>
      <c r="EF20" s="1028"/>
      <c r="EG20" s="1028"/>
      <c r="EH20" s="1028"/>
      <c r="EI20" s="1029"/>
      <c r="EJ20" s="1030">
        <f t="shared" ref="EJ20:EJ24" si="132">SUM(EE20:EI20)</f>
        <v>0</v>
      </c>
      <c r="EK20" s="1027"/>
      <c r="EL20" s="1028"/>
      <c r="EM20" s="1028"/>
      <c r="EN20" s="1028"/>
      <c r="EO20" s="1029"/>
      <c r="EP20" s="1030">
        <f t="shared" ref="EP20:EP24" si="133">SUM(EK20:EO20)</f>
        <v>0</v>
      </c>
      <c r="EQ20" s="1027"/>
      <c r="ER20" s="1028"/>
      <c r="ES20" s="1028"/>
      <c r="ET20" s="1028"/>
      <c r="EU20" s="1029"/>
      <c r="EV20" s="1030">
        <f t="shared" ref="EV20:EV24" si="134">SUM(EQ20:EU20)</f>
        <v>0</v>
      </c>
      <c r="EW20" s="1027"/>
      <c r="EX20" s="1028"/>
      <c r="EY20" s="1028"/>
      <c r="EZ20" s="1028"/>
      <c r="FA20" s="1029"/>
      <c r="FB20" s="1030">
        <f t="shared" ref="FB20:FB24" si="135">SUM(EW20:FA20)</f>
        <v>0</v>
      </c>
      <c r="FC20" s="1027"/>
      <c r="FD20" s="1028"/>
      <c r="FE20" s="1028"/>
      <c r="FF20" s="1028"/>
      <c r="FG20" s="1029"/>
      <c r="FH20" s="1030">
        <f t="shared" ref="FH20:FH24" si="136">SUM(FC20:FG20)</f>
        <v>0</v>
      </c>
      <c r="FI20" s="1027"/>
      <c r="FJ20" s="1028"/>
      <c r="FK20" s="1028"/>
      <c r="FL20" s="1028"/>
      <c r="FM20" s="1029"/>
      <c r="FN20" s="1030">
        <f t="shared" ref="FN20:FN24" si="137">SUM(FI20:FM20)</f>
        <v>0</v>
      </c>
      <c r="FO20" s="1027"/>
      <c r="FP20" s="1028"/>
      <c r="FQ20" s="1028"/>
      <c r="FR20" s="1028"/>
      <c r="FS20" s="1029"/>
      <c r="FT20" s="1030">
        <f t="shared" ref="FT20:FT24" si="138">SUM(FO20:FS20)</f>
        <v>0</v>
      </c>
      <c r="FU20" s="1027"/>
      <c r="FV20" s="1028"/>
      <c r="FW20" s="1028"/>
      <c r="FX20" s="1028"/>
      <c r="FY20" s="1029"/>
      <c r="FZ20" s="1030">
        <f t="shared" ref="FZ20:FZ24" si="139">SUM(FU20:FY20)</f>
        <v>0</v>
      </c>
      <c r="GA20" s="1027"/>
      <c r="GB20" s="1028"/>
      <c r="GC20" s="1028"/>
      <c r="GD20" s="1028"/>
      <c r="GE20" s="1029"/>
      <c r="GF20" s="1030">
        <f t="shared" ref="GF20:GF24" si="140">SUM(GA20:GE20)</f>
        <v>0</v>
      </c>
      <c r="GG20" s="1027" t="str">
        <f t="shared" si="94"/>
        <v/>
      </c>
      <c r="GH20" s="1028">
        <f t="shared" ref="GH20:GL20" si="109">+GB20+FV20+FP20+FJ20+FD20+EX20+ER20+EL20+EF20+DZ20+DT20+DN20+DH20+DB20+CV20+CP20+CJ20+CD20+BX20+BR20+BL20+BF20++AZ20+AT20+AN20+AH20+AB20+V20+P20+J20+D20</f>
        <v>0</v>
      </c>
      <c r="GI20" s="1028">
        <f t="shared" si="109"/>
        <v>0</v>
      </c>
      <c r="GJ20" s="1028">
        <f t="shared" si="109"/>
        <v>0</v>
      </c>
      <c r="GK20" s="1029">
        <f t="shared" si="109"/>
        <v>0</v>
      </c>
      <c r="GL20" s="1030">
        <f t="shared" si="109"/>
        <v>0</v>
      </c>
      <c r="GM20" s="1031">
        <f t="shared" ref="GM20:GM23" si="142">+GK20+GJ20+GI20+GH20+GG20</f>
        <v>0</v>
      </c>
    </row>
    <row r="21" ht="15.75" customHeight="1">
      <c r="B21" s="1032" t="s">
        <v>630</v>
      </c>
      <c r="C21" s="1033"/>
      <c r="D21" s="1034"/>
      <c r="E21" s="1035">
        <f>'ORDER SENT'!H21</f>
        <v>0</v>
      </c>
      <c r="F21" s="1035">
        <f t="shared" ref="F21:F24" si="143">+C21+D21-E21</f>
        <v>0</v>
      </c>
      <c r="G21" s="1036"/>
      <c r="H21" s="1037">
        <f t="shared" si="110"/>
        <v>0</v>
      </c>
      <c r="I21" s="1038" t="str">
        <f t="shared" ref="I21:I24" si="144">G21</f>
        <v/>
      </c>
      <c r="J21" s="1034"/>
      <c r="K21" s="1035">
        <f>'ORDER SENT'!N21</f>
        <v>0</v>
      </c>
      <c r="L21" s="1035">
        <f t="shared" ref="L21:L24" si="145">+I21+J21-K21</f>
        <v>0</v>
      </c>
      <c r="M21" s="1036"/>
      <c r="N21" s="1037">
        <f t="shared" si="111"/>
        <v>0</v>
      </c>
      <c r="O21" s="1038" t="str">
        <f t="shared" ref="O21:O24" si="146">M21</f>
        <v/>
      </c>
      <c r="P21" s="1034"/>
      <c r="Q21" s="1035">
        <f>'ORDER SENT'!T21</f>
        <v>0</v>
      </c>
      <c r="R21" s="1035">
        <f t="shared" ref="R21:R24" si="147">+O21+P21-Q21</f>
        <v>0</v>
      </c>
      <c r="S21" s="1036"/>
      <c r="T21" s="1037">
        <f t="shared" si="112"/>
        <v>0</v>
      </c>
      <c r="U21" s="1038" t="str">
        <f t="shared" ref="U21:U24" si="148">S21</f>
        <v/>
      </c>
      <c r="V21" s="1034"/>
      <c r="W21" s="1035">
        <f>'ORDER SENT'!Z21</f>
        <v>0</v>
      </c>
      <c r="X21" s="1035">
        <f t="shared" ref="X21:X24" si="149">+U21+V21-W21</f>
        <v>0</v>
      </c>
      <c r="Y21" s="1036"/>
      <c r="Z21" s="1037">
        <f t="shared" si="113"/>
        <v>0</v>
      </c>
      <c r="AA21" s="1038" t="str">
        <f t="shared" ref="AA21:AA24" si="150">Y21</f>
        <v/>
      </c>
      <c r="AB21" s="1034"/>
      <c r="AC21" s="1035">
        <f>'ORDER SENT'!AF21</f>
        <v>0</v>
      </c>
      <c r="AD21" s="1035">
        <f t="shared" ref="AD21:AD24" si="151">+AA21+AB21-AC21</f>
        <v>0</v>
      </c>
      <c r="AE21" s="1036"/>
      <c r="AF21" s="1037">
        <f t="shared" si="114"/>
        <v>0</v>
      </c>
      <c r="AG21" s="1038" t="str">
        <f t="shared" ref="AG21:AG24" si="152">AE21</f>
        <v/>
      </c>
      <c r="AH21" s="1034"/>
      <c r="AI21" s="1035">
        <f>'ORDER SENT'!AL21</f>
        <v>0</v>
      </c>
      <c r="AJ21" s="1035">
        <f t="shared" ref="AJ21:AJ24" si="153">+AG21+AH21-AI21</f>
        <v>0</v>
      </c>
      <c r="AK21" s="1036"/>
      <c r="AL21" s="1037">
        <f t="shared" si="115"/>
        <v>0</v>
      </c>
      <c r="AM21" s="1038" t="str">
        <f t="shared" ref="AM21:AM24" si="154">AK21</f>
        <v/>
      </c>
      <c r="AN21" s="1034"/>
      <c r="AO21" s="1035">
        <f>'ORDER SENT'!AR21</f>
        <v>0</v>
      </c>
      <c r="AP21" s="1035">
        <f t="shared" ref="AP21:AP24" si="155">+AM21+AN21-AO21</f>
        <v>0</v>
      </c>
      <c r="AQ21" s="1036"/>
      <c r="AR21" s="1037">
        <f t="shared" si="116"/>
        <v>0</v>
      </c>
      <c r="AS21" s="1038" t="str">
        <f t="shared" ref="AS21:AS24" si="156">AQ21</f>
        <v/>
      </c>
      <c r="AT21" s="1034"/>
      <c r="AU21" s="1035">
        <f>'ORDER SENT'!AX21</f>
        <v>0</v>
      </c>
      <c r="AV21" s="1035">
        <f t="shared" ref="AV21:AV24" si="157">+AS21+AT21-AU21</f>
        <v>0</v>
      </c>
      <c r="AW21" s="1036"/>
      <c r="AX21" s="1037">
        <f t="shared" si="117"/>
        <v>0</v>
      </c>
      <c r="AY21" s="1038" t="str">
        <f t="shared" ref="AY21:AY24" si="158">AW21</f>
        <v/>
      </c>
      <c r="AZ21" s="1034"/>
      <c r="BA21" s="1035">
        <f>'ORDER SENT'!BD21</f>
        <v>0</v>
      </c>
      <c r="BB21" s="1035">
        <f t="shared" ref="BB21:BB24" si="159">+AY21+AZ21-BA21</f>
        <v>0</v>
      </c>
      <c r="BC21" s="1036"/>
      <c r="BD21" s="1037">
        <f t="shared" si="118"/>
        <v>0</v>
      </c>
      <c r="BE21" s="1038" t="str">
        <f t="shared" ref="BE21:BE24" si="160">BC21</f>
        <v/>
      </c>
      <c r="BF21" s="1034"/>
      <c r="BG21" s="1035">
        <f>'ORDER SENT'!BJ21</f>
        <v>0</v>
      </c>
      <c r="BH21" s="1035">
        <f t="shared" ref="BH21:BH24" si="161">+BE21+BF21-BG21</f>
        <v>0</v>
      </c>
      <c r="BI21" s="1036"/>
      <c r="BJ21" s="1037">
        <f t="shared" si="119"/>
        <v>0</v>
      </c>
      <c r="BK21" s="1038" t="str">
        <f t="shared" ref="BK21:BK24" si="162">BI21</f>
        <v/>
      </c>
      <c r="BL21" s="1034"/>
      <c r="BM21" s="1035">
        <f>'ORDER SENT'!BP21</f>
        <v>0</v>
      </c>
      <c r="BN21" s="1035">
        <f t="shared" ref="BN21:BN24" si="163">+BK21+BL21-BM21</f>
        <v>0</v>
      </c>
      <c r="BO21" s="1036"/>
      <c r="BP21" s="1037">
        <f t="shared" si="120"/>
        <v>0</v>
      </c>
      <c r="BQ21" s="1038" t="str">
        <f t="shared" ref="BQ21:BQ24" si="164">BO21</f>
        <v/>
      </c>
      <c r="BR21" s="1034"/>
      <c r="BS21" s="1035">
        <f>'ORDER SENT'!BV21</f>
        <v>0</v>
      </c>
      <c r="BT21" s="1035">
        <f t="shared" ref="BT21:BT24" si="165">+BQ21+BR21-BS21</f>
        <v>0</v>
      </c>
      <c r="BU21" s="1036"/>
      <c r="BV21" s="1037">
        <f t="shared" si="121"/>
        <v>0</v>
      </c>
      <c r="BW21" s="1038" t="str">
        <f t="shared" ref="BW21:BW24" si="166">BU21</f>
        <v/>
      </c>
      <c r="BX21" s="1034"/>
      <c r="BY21" s="1035">
        <f>'ORDER SENT'!CB21</f>
        <v>0</v>
      </c>
      <c r="BZ21" s="1035">
        <f t="shared" ref="BZ21:BZ24" si="167">+BW21+BX21-BY21</f>
        <v>0</v>
      </c>
      <c r="CA21" s="1036"/>
      <c r="CB21" s="1037">
        <f t="shared" si="122"/>
        <v>0</v>
      </c>
      <c r="CC21" s="1038" t="str">
        <f t="shared" ref="CC21:CC24" si="168">CA21</f>
        <v/>
      </c>
      <c r="CD21" s="1034"/>
      <c r="CE21" s="1035">
        <f>'ORDER SENT'!CH21</f>
        <v>0</v>
      </c>
      <c r="CF21" s="1035">
        <f t="shared" ref="CF21:CF24" si="169">+CC21+CD21-CE21</f>
        <v>0</v>
      </c>
      <c r="CG21" s="1036"/>
      <c r="CH21" s="1037">
        <f t="shared" si="123"/>
        <v>0</v>
      </c>
      <c r="CI21" s="1038" t="str">
        <f t="shared" ref="CI21:CI24" si="170">CG21</f>
        <v/>
      </c>
      <c r="CJ21" s="1034"/>
      <c r="CK21" s="1035">
        <f>'ORDER SENT'!CN21</f>
        <v>0</v>
      </c>
      <c r="CL21" s="1035">
        <f t="shared" ref="CL21:CL24" si="171">+CI21+CJ21-CK21</f>
        <v>0</v>
      </c>
      <c r="CM21" s="1036"/>
      <c r="CN21" s="1037">
        <f t="shared" si="124"/>
        <v>0</v>
      </c>
      <c r="CO21" s="1038" t="str">
        <f t="shared" ref="CO21:CO24" si="172">CM21</f>
        <v/>
      </c>
      <c r="CP21" s="1034"/>
      <c r="CQ21" s="1035">
        <f>'ORDER SENT'!CT21</f>
        <v>0</v>
      </c>
      <c r="CR21" s="1035">
        <f t="shared" ref="CR21:CR24" si="173">+CO21+CP21-CQ21</f>
        <v>0</v>
      </c>
      <c r="CS21" s="1036"/>
      <c r="CT21" s="1037">
        <f t="shared" si="125"/>
        <v>0</v>
      </c>
      <c r="CU21" s="1038" t="str">
        <f t="shared" ref="CU21:CU24" si="174">CS21</f>
        <v/>
      </c>
      <c r="CV21" s="1034"/>
      <c r="CW21" s="1035">
        <f>'ORDER SENT'!CZ21</f>
        <v>0</v>
      </c>
      <c r="CX21" s="1035">
        <f t="shared" ref="CX21:CX24" si="175">+CU21+CV21-CW21</f>
        <v>0</v>
      </c>
      <c r="CY21" s="1036"/>
      <c r="CZ21" s="1037">
        <f t="shared" si="126"/>
        <v>0</v>
      </c>
      <c r="DA21" s="1038" t="str">
        <f t="shared" ref="DA21:DA24" si="176">CY21</f>
        <v/>
      </c>
      <c r="DB21" s="1034"/>
      <c r="DC21" s="1035">
        <f>'ORDER SENT'!DF21</f>
        <v>0</v>
      </c>
      <c r="DD21" s="1035">
        <f t="shared" ref="DD21:DD24" si="177">+DA21+DB21-DC21</f>
        <v>0</v>
      </c>
      <c r="DE21" s="1036"/>
      <c r="DF21" s="1037">
        <f t="shared" si="127"/>
        <v>0</v>
      </c>
      <c r="DG21" s="1038" t="str">
        <f t="shared" ref="DG21:DG24" si="178">DE21</f>
        <v/>
      </c>
      <c r="DH21" s="1034"/>
      <c r="DI21" s="1035">
        <f>'ORDER SENT'!DL21</f>
        <v>0</v>
      </c>
      <c r="DJ21" s="1035">
        <f t="shared" ref="DJ21:DJ24" si="179">+DG21+DH21-DI21</f>
        <v>0</v>
      </c>
      <c r="DK21" s="1036"/>
      <c r="DL21" s="1037">
        <f t="shared" si="128"/>
        <v>0</v>
      </c>
      <c r="DM21" s="1038" t="str">
        <f t="shared" ref="DM21:DM24" si="180">DK21</f>
        <v/>
      </c>
      <c r="DN21" s="1034"/>
      <c r="DO21" s="1035">
        <f>'ORDER SENT'!DR21</f>
        <v>0</v>
      </c>
      <c r="DP21" s="1035">
        <f t="shared" ref="DP21:DP24" si="181">+DM21+DN21-DO21</f>
        <v>0</v>
      </c>
      <c r="DQ21" s="1036"/>
      <c r="DR21" s="1037">
        <f t="shared" si="129"/>
        <v>0</v>
      </c>
      <c r="DS21" s="1038" t="str">
        <f t="shared" ref="DS21:DS24" si="182">DQ21</f>
        <v/>
      </c>
      <c r="DT21" s="1034"/>
      <c r="DU21" s="1035">
        <f>'ORDER SENT'!DX21</f>
        <v>0</v>
      </c>
      <c r="DV21" s="1035">
        <f t="shared" ref="DV21:DV24" si="183">+DS21+DT21-DU21</f>
        <v>0</v>
      </c>
      <c r="DW21" s="1036"/>
      <c r="DX21" s="1037">
        <f t="shared" si="130"/>
        <v>0</v>
      </c>
      <c r="DY21" s="1038" t="str">
        <f t="shared" ref="DY21:DY24" si="184">DW21</f>
        <v/>
      </c>
      <c r="DZ21" s="1034"/>
      <c r="EA21" s="1035">
        <f>'ORDER SENT'!ED21</f>
        <v>0</v>
      </c>
      <c r="EB21" s="1035">
        <f t="shared" ref="EB21:EB24" si="185">+DY21+DZ21-EA21</f>
        <v>0</v>
      </c>
      <c r="EC21" s="1036"/>
      <c r="ED21" s="1037">
        <f t="shared" si="131"/>
        <v>0</v>
      </c>
      <c r="EE21" s="1038" t="str">
        <f t="shared" ref="EE21:EE24" si="186">EC21</f>
        <v/>
      </c>
      <c r="EF21" s="1034"/>
      <c r="EG21" s="1035">
        <f>'ORDER SENT'!EJ21</f>
        <v>0</v>
      </c>
      <c r="EH21" s="1035">
        <f t="shared" ref="EH21:EH24" si="187">+EE21+EF21-EG21</f>
        <v>0</v>
      </c>
      <c r="EI21" s="1036"/>
      <c r="EJ21" s="1037">
        <f t="shared" si="132"/>
        <v>0</v>
      </c>
      <c r="EK21" s="1038" t="str">
        <f t="shared" ref="EK21:EK24" si="188">EI21</f>
        <v/>
      </c>
      <c r="EL21" s="1034"/>
      <c r="EM21" s="1035">
        <f>'ORDER SENT'!EP21</f>
        <v>0</v>
      </c>
      <c r="EN21" s="1035">
        <f t="shared" ref="EN21:EN24" si="189">+EK21+EL21-EM21</f>
        <v>0</v>
      </c>
      <c r="EO21" s="1036"/>
      <c r="EP21" s="1037">
        <f t="shared" si="133"/>
        <v>0</v>
      </c>
      <c r="EQ21" s="1038" t="str">
        <f t="shared" ref="EQ21:EQ24" si="190">EO21</f>
        <v/>
      </c>
      <c r="ER21" s="1034"/>
      <c r="ES21" s="1035">
        <f>'ORDER SENT'!EV21</f>
        <v>0</v>
      </c>
      <c r="ET21" s="1035">
        <f t="shared" ref="ET21:ET24" si="191">+EQ21+ER21-ES21</f>
        <v>0</v>
      </c>
      <c r="EU21" s="1036"/>
      <c r="EV21" s="1037">
        <f t="shared" si="134"/>
        <v>0</v>
      </c>
      <c r="EW21" s="1038" t="str">
        <f t="shared" ref="EW21:EW24" si="192">EU21</f>
        <v/>
      </c>
      <c r="EX21" s="1034"/>
      <c r="EY21" s="1035">
        <f>'ORDER SENT'!FB21</f>
        <v>0</v>
      </c>
      <c r="EZ21" s="1035">
        <f t="shared" ref="EZ21:EZ24" si="193">+EW21+EX21-EY21</f>
        <v>0</v>
      </c>
      <c r="FA21" s="1036"/>
      <c r="FB21" s="1037">
        <f t="shared" si="135"/>
        <v>0</v>
      </c>
      <c r="FC21" s="1038" t="str">
        <f t="shared" ref="FC21:FC24" si="194">FA21</f>
        <v/>
      </c>
      <c r="FD21" s="1034"/>
      <c r="FE21" s="1035">
        <f>'ORDER SENT'!FH21</f>
        <v>0</v>
      </c>
      <c r="FF21" s="1035">
        <f t="shared" ref="FF21:FF24" si="195">+FC21+FD21-FE21</f>
        <v>0</v>
      </c>
      <c r="FG21" s="1036"/>
      <c r="FH21" s="1037">
        <f t="shared" si="136"/>
        <v>0</v>
      </c>
      <c r="FI21" s="1038" t="str">
        <f t="shared" ref="FI21:FI24" si="196">FG21</f>
        <v/>
      </c>
      <c r="FJ21" s="1034"/>
      <c r="FK21" s="1035">
        <f>'ORDER SENT'!FN21</f>
        <v>0</v>
      </c>
      <c r="FL21" s="1035">
        <f t="shared" ref="FL21:FL24" si="197">+FI21+FJ21-FK21</f>
        <v>0</v>
      </c>
      <c r="FM21" s="1036"/>
      <c r="FN21" s="1037">
        <f t="shared" si="137"/>
        <v>0</v>
      </c>
      <c r="FO21" s="1038" t="str">
        <f t="shared" ref="FO21:FO24" si="198">FM21</f>
        <v/>
      </c>
      <c r="FP21" s="1034"/>
      <c r="FQ21" s="1035">
        <f>'ORDER SENT'!FT21</f>
        <v>0</v>
      </c>
      <c r="FR21" s="1035">
        <f t="shared" ref="FR21:FR24" si="199">+FO21+FP21-FQ21</f>
        <v>0</v>
      </c>
      <c r="FS21" s="1036"/>
      <c r="FT21" s="1037">
        <f t="shared" si="138"/>
        <v>0</v>
      </c>
      <c r="FU21" s="1038" t="str">
        <f t="shared" ref="FU21:FU24" si="200">FS21</f>
        <v/>
      </c>
      <c r="FV21" s="1034"/>
      <c r="FW21" s="1035">
        <f>'ORDER SENT'!FZ21</f>
        <v>0</v>
      </c>
      <c r="FX21" s="1035">
        <f t="shared" ref="FX21:FX24" si="201">+FU21+FV21-FW21</f>
        <v>0</v>
      </c>
      <c r="FY21" s="1036"/>
      <c r="FZ21" s="1037">
        <f t="shared" si="139"/>
        <v>0</v>
      </c>
      <c r="GA21" s="1038" t="str">
        <f t="shared" ref="GA21:GA24" si="202">FY21</f>
        <v/>
      </c>
      <c r="GB21" s="1034"/>
      <c r="GC21" s="1035">
        <f>'ORDER SENT'!GF21</f>
        <v>0</v>
      </c>
      <c r="GD21" s="1035">
        <f t="shared" ref="GD21:GD24" si="203">+GA21+GB21-GC21</f>
        <v>0</v>
      </c>
      <c r="GE21" s="1036"/>
      <c r="GF21" s="1037">
        <f t="shared" si="140"/>
        <v>0</v>
      </c>
      <c r="GG21" s="1038" t="str">
        <f t="shared" si="94"/>
        <v/>
      </c>
      <c r="GH21" s="1035">
        <f t="shared" ref="GH21:GL21" si="141">+GB21+FV21+FP21+FJ21+FD21+EX21+ER21+EL21+EF21+DZ21+DT21+DN21+DH21+DB21+CV21+CP21+CJ21+CD21+BX21+BR21+BL21+BF21++AZ21+AT21+AN21+AH21+AB21+V21+P21+J21+D21</f>
        <v>0</v>
      </c>
      <c r="GI21" s="1035">
        <f t="shared" si="141"/>
        <v>0</v>
      </c>
      <c r="GJ21" s="1035">
        <f t="shared" si="141"/>
        <v>0</v>
      </c>
      <c r="GK21" s="1040">
        <f t="shared" si="141"/>
        <v>0</v>
      </c>
      <c r="GL21" s="1037">
        <f t="shared" si="141"/>
        <v>0</v>
      </c>
      <c r="GM21" s="1041">
        <f t="shared" si="142"/>
        <v>0</v>
      </c>
    </row>
    <row r="22" ht="15.75" customHeight="1">
      <c r="B22" s="1042" t="s">
        <v>637</v>
      </c>
      <c r="C22" s="1043"/>
      <c r="D22" s="1039"/>
      <c r="E22" s="1047">
        <f>'ORDER SENT'!H22</f>
        <v>0</v>
      </c>
      <c r="F22" s="1047">
        <f t="shared" si="143"/>
        <v>0</v>
      </c>
      <c r="G22" s="1044"/>
      <c r="H22" s="1045">
        <f t="shared" si="110"/>
        <v>0</v>
      </c>
      <c r="I22" s="1038" t="str">
        <f t="shared" si="144"/>
        <v/>
      </c>
      <c r="J22" s="1034"/>
      <c r="K22" s="1035">
        <f>'ORDER SENT'!N22</f>
        <v>0</v>
      </c>
      <c r="L22" s="1035">
        <f t="shared" si="145"/>
        <v>0</v>
      </c>
      <c r="M22" s="1036"/>
      <c r="N22" s="1037">
        <f t="shared" si="111"/>
        <v>0</v>
      </c>
      <c r="O22" s="1038" t="str">
        <f t="shared" si="146"/>
        <v/>
      </c>
      <c r="P22" s="1034"/>
      <c r="Q22" s="1035">
        <f>'ORDER SENT'!T22</f>
        <v>0</v>
      </c>
      <c r="R22" s="1035">
        <f t="shared" si="147"/>
        <v>0</v>
      </c>
      <c r="S22" s="1036"/>
      <c r="T22" s="1037">
        <f t="shared" si="112"/>
        <v>0</v>
      </c>
      <c r="U22" s="1038" t="str">
        <f t="shared" si="148"/>
        <v/>
      </c>
      <c r="V22" s="1034"/>
      <c r="W22" s="1035">
        <f>'ORDER SENT'!Z22</f>
        <v>0</v>
      </c>
      <c r="X22" s="1035">
        <f t="shared" si="149"/>
        <v>0</v>
      </c>
      <c r="Y22" s="1036"/>
      <c r="Z22" s="1037">
        <f t="shared" si="113"/>
        <v>0</v>
      </c>
      <c r="AA22" s="1038" t="str">
        <f t="shared" si="150"/>
        <v/>
      </c>
      <c r="AB22" s="1034"/>
      <c r="AC22" s="1035">
        <f>'ORDER SENT'!AF22</f>
        <v>0</v>
      </c>
      <c r="AD22" s="1035">
        <f t="shared" si="151"/>
        <v>0</v>
      </c>
      <c r="AE22" s="1036"/>
      <c r="AF22" s="1037">
        <f t="shared" si="114"/>
        <v>0</v>
      </c>
      <c r="AG22" s="1038" t="str">
        <f t="shared" si="152"/>
        <v/>
      </c>
      <c r="AH22" s="1034"/>
      <c r="AI22" s="1035">
        <f>'ORDER SENT'!AL22</f>
        <v>0</v>
      </c>
      <c r="AJ22" s="1035">
        <f t="shared" si="153"/>
        <v>0</v>
      </c>
      <c r="AK22" s="1036"/>
      <c r="AL22" s="1037">
        <f t="shared" si="115"/>
        <v>0</v>
      </c>
      <c r="AM22" s="1038" t="str">
        <f t="shared" si="154"/>
        <v/>
      </c>
      <c r="AN22" s="1034"/>
      <c r="AO22" s="1035">
        <f>'ORDER SENT'!AR22</f>
        <v>0</v>
      </c>
      <c r="AP22" s="1035">
        <f t="shared" si="155"/>
        <v>0</v>
      </c>
      <c r="AQ22" s="1036"/>
      <c r="AR22" s="1037">
        <f t="shared" si="116"/>
        <v>0</v>
      </c>
      <c r="AS22" s="1038" t="str">
        <f t="shared" si="156"/>
        <v/>
      </c>
      <c r="AT22" s="1034"/>
      <c r="AU22" s="1035">
        <f>'ORDER SENT'!AX22</f>
        <v>0</v>
      </c>
      <c r="AV22" s="1035">
        <f t="shared" si="157"/>
        <v>0</v>
      </c>
      <c r="AW22" s="1036"/>
      <c r="AX22" s="1037">
        <f t="shared" si="117"/>
        <v>0</v>
      </c>
      <c r="AY22" s="1038" t="str">
        <f t="shared" si="158"/>
        <v/>
      </c>
      <c r="AZ22" s="1034"/>
      <c r="BA22" s="1035">
        <f>'ORDER SENT'!BD22</f>
        <v>0</v>
      </c>
      <c r="BB22" s="1035">
        <f t="shared" si="159"/>
        <v>0</v>
      </c>
      <c r="BC22" s="1036"/>
      <c r="BD22" s="1037">
        <f t="shared" si="118"/>
        <v>0</v>
      </c>
      <c r="BE22" s="1038" t="str">
        <f t="shared" si="160"/>
        <v/>
      </c>
      <c r="BF22" s="1034"/>
      <c r="BG22" s="1035">
        <f>'ORDER SENT'!BJ22</f>
        <v>0</v>
      </c>
      <c r="BH22" s="1035">
        <f t="shared" si="161"/>
        <v>0</v>
      </c>
      <c r="BI22" s="1036"/>
      <c r="BJ22" s="1037">
        <f t="shared" si="119"/>
        <v>0</v>
      </c>
      <c r="BK22" s="1038" t="str">
        <f t="shared" si="162"/>
        <v/>
      </c>
      <c r="BL22" s="1034"/>
      <c r="BM22" s="1035">
        <f>'ORDER SENT'!BP22</f>
        <v>0</v>
      </c>
      <c r="BN22" s="1035">
        <f t="shared" si="163"/>
        <v>0</v>
      </c>
      <c r="BO22" s="1036"/>
      <c r="BP22" s="1037">
        <f t="shared" si="120"/>
        <v>0</v>
      </c>
      <c r="BQ22" s="1038" t="str">
        <f t="shared" si="164"/>
        <v/>
      </c>
      <c r="BR22" s="1034"/>
      <c r="BS22" s="1035">
        <f>'ORDER SENT'!BV22</f>
        <v>0</v>
      </c>
      <c r="BT22" s="1035">
        <f t="shared" si="165"/>
        <v>0</v>
      </c>
      <c r="BU22" s="1036"/>
      <c r="BV22" s="1037">
        <f t="shared" si="121"/>
        <v>0</v>
      </c>
      <c r="BW22" s="1038" t="str">
        <f t="shared" si="166"/>
        <v/>
      </c>
      <c r="BX22" s="1034"/>
      <c r="BY22" s="1035">
        <f>'ORDER SENT'!CB22</f>
        <v>0</v>
      </c>
      <c r="BZ22" s="1035">
        <f t="shared" si="167"/>
        <v>0</v>
      </c>
      <c r="CA22" s="1036"/>
      <c r="CB22" s="1037">
        <f t="shared" si="122"/>
        <v>0</v>
      </c>
      <c r="CC22" s="1038" t="str">
        <f t="shared" si="168"/>
        <v/>
      </c>
      <c r="CD22" s="1034"/>
      <c r="CE22" s="1035">
        <f>'ORDER SENT'!CH22</f>
        <v>0</v>
      </c>
      <c r="CF22" s="1035">
        <f t="shared" si="169"/>
        <v>0</v>
      </c>
      <c r="CG22" s="1036"/>
      <c r="CH22" s="1037">
        <f t="shared" si="123"/>
        <v>0</v>
      </c>
      <c r="CI22" s="1038" t="str">
        <f t="shared" si="170"/>
        <v/>
      </c>
      <c r="CJ22" s="1034"/>
      <c r="CK22" s="1035">
        <f>'ORDER SENT'!CN22</f>
        <v>0</v>
      </c>
      <c r="CL22" s="1035">
        <f t="shared" si="171"/>
        <v>0</v>
      </c>
      <c r="CM22" s="1036"/>
      <c r="CN22" s="1037">
        <f t="shared" si="124"/>
        <v>0</v>
      </c>
      <c r="CO22" s="1038" t="str">
        <f t="shared" si="172"/>
        <v/>
      </c>
      <c r="CP22" s="1034"/>
      <c r="CQ22" s="1035">
        <f>'ORDER SENT'!CT22</f>
        <v>0</v>
      </c>
      <c r="CR22" s="1035">
        <f t="shared" si="173"/>
        <v>0</v>
      </c>
      <c r="CS22" s="1036"/>
      <c r="CT22" s="1037">
        <f t="shared" si="125"/>
        <v>0</v>
      </c>
      <c r="CU22" s="1038" t="str">
        <f t="shared" si="174"/>
        <v/>
      </c>
      <c r="CV22" s="1034"/>
      <c r="CW22" s="1035">
        <f>'ORDER SENT'!CZ22</f>
        <v>0</v>
      </c>
      <c r="CX22" s="1035">
        <f t="shared" si="175"/>
        <v>0</v>
      </c>
      <c r="CY22" s="1036"/>
      <c r="CZ22" s="1037">
        <f t="shared" si="126"/>
        <v>0</v>
      </c>
      <c r="DA22" s="1038" t="str">
        <f t="shared" si="176"/>
        <v/>
      </c>
      <c r="DB22" s="1034"/>
      <c r="DC22" s="1035">
        <f>'ORDER SENT'!DF22</f>
        <v>0</v>
      </c>
      <c r="DD22" s="1035">
        <f t="shared" si="177"/>
        <v>0</v>
      </c>
      <c r="DE22" s="1036"/>
      <c r="DF22" s="1037">
        <f t="shared" si="127"/>
        <v>0</v>
      </c>
      <c r="DG22" s="1038" t="str">
        <f t="shared" si="178"/>
        <v/>
      </c>
      <c r="DH22" s="1034"/>
      <c r="DI22" s="1035">
        <f>'ORDER SENT'!DL22</f>
        <v>0</v>
      </c>
      <c r="DJ22" s="1035">
        <f t="shared" si="179"/>
        <v>0</v>
      </c>
      <c r="DK22" s="1036"/>
      <c r="DL22" s="1037">
        <f t="shared" si="128"/>
        <v>0</v>
      </c>
      <c r="DM22" s="1038" t="str">
        <f t="shared" si="180"/>
        <v/>
      </c>
      <c r="DN22" s="1034"/>
      <c r="DO22" s="1035">
        <f>'ORDER SENT'!DR22</f>
        <v>0</v>
      </c>
      <c r="DP22" s="1035">
        <f t="shared" si="181"/>
        <v>0</v>
      </c>
      <c r="DQ22" s="1036"/>
      <c r="DR22" s="1037">
        <f t="shared" si="129"/>
        <v>0</v>
      </c>
      <c r="DS22" s="1038" t="str">
        <f t="shared" si="182"/>
        <v/>
      </c>
      <c r="DT22" s="1034"/>
      <c r="DU22" s="1035">
        <f>'ORDER SENT'!DX22</f>
        <v>0</v>
      </c>
      <c r="DV22" s="1035">
        <f t="shared" si="183"/>
        <v>0</v>
      </c>
      <c r="DW22" s="1036"/>
      <c r="DX22" s="1037">
        <f t="shared" si="130"/>
        <v>0</v>
      </c>
      <c r="DY22" s="1038" t="str">
        <f t="shared" si="184"/>
        <v/>
      </c>
      <c r="DZ22" s="1034"/>
      <c r="EA22" s="1035">
        <f>'ORDER SENT'!ED22</f>
        <v>0</v>
      </c>
      <c r="EB22" s="1035">
        <f t="shared" si="185"/>
        <v>0</v>
      </c>
      <c r="EC22" s="1036"/>
      <c r="ED22" s="1037">
        <f t="shared" si="131"/>
        <v>0</v>
      </c>
      <c r="EE22" s="1038" t="str">
        <f t="shared" si="186"/>
        <v/>
      </c>
      <c r="EF22" s="1034"/>
      <c r="EG22" s="1035">
        <f>'ORDER SENT'!EJ22</f>
        <v>0</v>
      </c>
      <c r="EH22" s="1035">
        <f t="shared" si="187"/>
        <v>0</v>
      </c>
      <c r="EI22" s="1036"/>
      <c r="EJ22" s="1037">
        <f t="shared" si="132"/>
        <v>0</v>
      </c>
      <c r="EK22" s="1038" t="str">
        <f t="shared" si="188"/>
        <v/>
      </c>
      <c r="EL22" s="1034"/>
      <c r="EM22" s="1035">
        <f>'ORDER SENT'!EP22</f>
        <v>0</v>
      </c>
      <c r="EN22" s="1035">
        <f t="shared" si="189"/>
        <v>0</v>
      </c>
      <c r="EO22" s="1036"/>
      <c r="EP22" s="1037">
        <f t="shared" si="133"/>
        <v>0</v>
      </c>
      <c r="EQ22" s="1038" t="str">
        <f t="shared" si="190"/>
        <v/>
      </c>
      <c r="ER22" s="1034"/>
      <c r="ES22" s="1035">
        <f>'ORDER SENT'!EV22</f>
        <v>0</v>
      </c>
      <c r="ET22" s="1035">
        <f t="shared" si="191"/>
        <v>0</v>
      </c>
      <c r="EU22" s="1036"/>
      <c r="EV22" s="1037">
        <f t="shared" si="134"/>
        <v>0</v>
      </c>
      <c r="EW22" s="1038" t="str">
        <f t="shared" si="192"/>
        <v/>
      </c>
      <c r="EX22" s="1034"/>
      <c r="EY22" s="1035">
        <f>'ORDER SENT'!FB22</f>
        <v>0</v>
      </c>
      <c r="EZ22" s="1035">
        <f t="shared" si="193"/>
        <v>0</v>
      </c>
      <c r="FA22" s="1036"/>
      <c r="FB22" s="1037">
        <f t="shared" si="135"/>
        <v>0</v>
      </c>
      <c r="FC22" s="1038" t="str">
        <f t="shared" si="194"/>
        <v/>
      </c>
      <c r="FD22" s="1034"/>
      <c r="FE22" s="1035">
        <f>'ORDER SENT'!FH22</f>
        <v>0</v>
      </c>
      <c r="FF22" s="1035">
        <f t="shared" si="195"/>
        <v>0</v>
      </c>
      <c r="FG22" s="1036"/>
      <c r="FH22" s="1037">
        <f t="shared" si="136"/>
        <v>0</v>
      </c>
      <c r="FI22" s="1038" t="str">
        <f t="shared" si="196"/>
        <v/>
      </c>
      <c r="FJ22" s="1034"/>
      <c r="FK22" s="1035">
        <f>'ORDER SENT'!FN22</f>
        <v>0</v>
      </c>
      <c r="FL22" s="1035">
        <f t="shared" si="197"/>
        <v>0</v>
      </c>
      <c r="FM22" s="1036"/>
      <c r="FN22" s="1037">
        <f t="shared" si="137"/>
        <v>0</v>
      </c>
      <c r="FO22" s="1038" t="str">
        <f t="shared" si="198"/>
        <v/>
      </c>
      <c r="FP22" s="1034"/>
      <c r="FQ22" s="1035">
        <f>'ORDER SENT'!FT22</f>
        <v>0</v>
      </c>
      <c r="FR22" s="1035">
        <f t="shared" si="199"/>
        <v>0</v>
      </c>
      <c r="FS22" s="1036"/>
      <c r="FT22" s="1037">
        <f t="shared" si="138"/>
        <v>0</v>
      </c>
      <c r="FU22" s="1038" t="str">
        <f t="shared" si="200"/>
        <v/>
      </c>
      <c r="FV22" s="1034"/>
      <c r="FW22" s="1035">
        <f>'ORDER SENT'!FZ22</f>
        <v>0</v>
      </c>
      <c r="FX22" s="1035">
        <f t="shared" si="201"/>
        <v>0</v>
      </c>
      <c r="FY22" s="1036"/>
      <c r="FZ22" s="1037">
        <f t="shared" si="139"/>
        <v>0</v>
      </c>
      <c r="GA22" s="1038" t="str">
        <f t="shared" si="202"/>
        <v/>
      </c>
      <c r="GB22" s="1034"/>
      <c r="GC22" s="1035">
        <f>'ORDER SENT'!GF22</f>
        <v>0</v>
      </c>
      <c r="GD22" s="1035">
        <f t="shared" si="203"/>
        <v>0</v>
      </c>
      <c r="GE22" s="1036"/>
      <c r="GF22" s="1037">
        <f t="shared" si="140"/>
        <v>0</v>
      </c>
      <c r="GG22" s="1046" t="str">
        <f t="shared" si="94"/>
        <v/>
      </c>
      <c r="GH22" s="1047">
        <f t="shared" ref="GH22:GL22" si="204">+GB22+FV22+FP22+FJ22+FD22+EX22+ER22+EL22+EF22+DZ22+DT22+DN22+DH22+DB22+CV22+CP22+CJ22+CD22+BX22+BR22+BL22+BF22++AZ22+AT22+AN22+AH22+AB22+V22+P22+J22+D22</f>
        <v>0</v>
      </c>
      <c r="GI22" s="1047">
        <f t="shared" si="204"/>
        <v>0</v>
      </c>
      <c r="GJ22" s="1047">
        <f t="shared" si="204"/>
        <v>0</v>
      </c>
      <c r="GK22" s="1048">
        <f t="shared" si="204"/>
        <v>0</v>
      </c>
      <c r="GL22" s="1045">
        <f t="shared" si="204"/>
        <v>0</v>
      </c>
      <c r="GM22" s="1049">
        <f t="shared" si="142"/>
        <v>0</v>
      </c>
    </row>
    <row r="23" ht="15.75" customHeight="1">
      <c r="B23" s="1042" t="s">
        <v>635</v>
      </c>
      <c r="C23" s="1043"/>
      <c r="D23" s="1039"/>
      <c r="E23" s="1047">
        <f>'ORDER SENT'!H23</f>
        <v>0</v>
      </c>
      <c r="F23" s="1047">
        <f t="shared" si="143"/>
        <v>0</v>
      </c>
      <c r="G23" s="1044"/>
      <c r="H23" s="1045">
        <f t="shared" si="110"/>
        <v>0</v>
      </c>
      <c r="I23" s="1038" t="str">
        <f t="shared" si="144"/>
        <v/>
      </c>
      <c r="J23" s="1034"/>
      <c r="K23" s="1035">
        <f>'ORDER SENT'!N23</f>
        <v>0</v>
      </c>
      <c r="L23" s="1035">
        <f t="shared" si="145"/>
        <v>0</v>
      </c>
      <c r="M23" s="1036"/>
      <c r="N23" s="1037">
        <f t="shared" si="111"/>
        <v>0</v>
      </c>
      <c r="O23" s="1038" t="str">
        <f t="shared" si="146"/>
        <v/>
      </c>
      <c r="P23" s="1034"/>
      <c r="Q23" s="1035">
        <f>'ORDER SENT'!T23</f>
        <v>0</v>
      </c>
      <c r="R23" s="1035">
        <f t="shared" si="147"/>
        <v>0</v>
      </c>
      <c r="S23" s="1036"/>
      <c r="T23" s="1037">
        <f t="shared" si="112"/>
        <v>0</v>
      </c>
      <c r="U23" s="1038" t="str">
        <f t="shared" si="148"/>
        <v/>
      </c>
      <c r="V23" s="1034"/>
      <c r="W23" s="1035">
        <f>'ORDER SENT'!Z23</f>
        <v>0</v>
      </c>
      <c r="X23" s="1035">
        <f t="shared" si="149"/>
        <v>0</v>
      </c>
      <c r="Y23" s="1036"/>
      <c r="Z23" s="1037">
        <f t="shared" si="113"/>
        <v>0</v>
      </c>
      <c r="AA23" s="1038" t="str">
        <f t="shared" si="150"/>
        <v/>
      </c>
      <c r="AB23" s="1034"/>
      <c r="AC23" s="1035">
        <f>'ORDER SENT'!AF23</f>
        <v>0</v>
      </c>
      <c r="AD23" s="1035">
        <f t="shared" si="151"/>
        <v>0</v>
      </c>
      <c r="AE23" s="1036"/>
      <c r="AF23" s="1037">
        <f t="shared" si="114"/>
        <v>0</v>
      </c>
      <c r="AG23" s="1038" t="str">
        <f t="shared" si="152"/>
        <v/>
      </c>
      <c r="AH23" s="1034"/>
      <c r="AI23" s="1035">
        <f>'ORDER SENT'!AL23</f>
        <v>0</v>
      </c>
      <c r="AJ23" s="1035">
        <f t="shared" si="153"/>
        <v>0</v>
      </c>
      <c r="AK23" s="1036"/>
      <c r="AL23" s="1037">
        <f t="shared" si="115"/>
        <v>0</v>
      </c>
      <c r="AM23" s="1038" t="str">
        <f t="shared" si="154"/>
        <v/>
      </c>
      <c r="AN23" s="1034"/>
      <c r="AO23" s="1035">
        <f>'ORDER SENT'!AR23</f>
        <v>0</v>
      </c>
      <c r="AP23" s="1035">
        <f t="shared" si="155"/>
        <v>0</v>
      </c>
      <c r="AQ23" s="1036"/>
      <c r="AR23" s="1037">
        <f t="shared" si="116"/>
        <v>0</v>
      </c>
      <c r="AS23" s="1038" t="str">
        <f t="shared" si="156"/>
        <v/>
      </c>
      <c r="AT23" s="1034"/>
      <c r="AU23" s="1035">
        <f>'ORDER SENT'!AX23</f>
        <v>0</v>
      </c>
      <c r="AV23" s="1035">
        <f t="shared" si="157"/>
        <v>0</v>
      </c>
      <c r="AW23" s="1036"/>
      <c r="AX23" s="1037">
        <f t="shared" si="117"/>
        <v>0</v>
      </c>
      <c r="AY23" s="1038" t="str">
        <f t="shared" si="158"/>
        <v/>
      </c>
      <c r="AZ23" s="1034"/>
      <c r="BA23" s="1035">
        <f>'ORDER SENT'!BD23</f>
        <v>0</v>
      </c>
      <c r="BB23" s="1035">
        <f t="shared" si="159"/>
        <v>0</v>
      </c>
      <c r="BC23" s="1036"/>
      <c r="BD23" s="1037">
        <f t="shared" si="118"/>
        <v>0</v>
      </c>
      <c r="BE23" s="1038" t="str">
        <f t="shared" si="160"/>
        <v/>
      </c>
      <c r="BF23" s="1034"/>
      <c r="BG23" s="1035">
        <f>'ORDER SENT'!BJ23</f>
        <v>0</v>
      </c>
      <c r="BH23" s="1035">
        <f t="shared" si="161"/>
        <v>0</v>
      </c>
      <c r="BI23" s="1036"/>
      <c r="BJ23" s="1037">
        <f t="shared" si="119"/>
        <v>0</v>
      </c>
      <c r="BK23" s="1038" t="str">
        <f t="shared" si="162"/>
        <v/>
      </c>
      <c r="BL23" s="1034"/>
      <c r="BM23" s="1035">
        <f>'ORDER SENT'!BP23</f>
        <v>0</v>
      </c>
      <c r="BN23" s="1035">
        <f t="shared" si="163"/>
        <v>0</v>
      </c>
      <c r="BO23" s="1036"/>
      <c r="BP23" s="1037">
        <f t="shared" si="120"/>
        <v>0</v>
      </c>
      <c r="BQ23" s="1038" t="str">
        <f t="shared" si="164"/>
        <v/>
      </c>
      <c r="BR23" s="1034"/>
      <c r="BS23" s="1035">
        <f>'ORDER SENT'!BV23</f>
        <v>0</v>
      </c>
      <c r="BT23" s="1035">
        <f t="shared" si="165"/>
        <v>0</v>
      </c>
      <c r="BU23" s="1036"/>
      <c r="BV23" s="1037">
        <f t="shared" si="121"/>
        <v>0</v>
      </c>
      <c r="BW23" s="1038" t="str">
        <f t="shared" si="166"/>
        <v/>
      </c>
      <c r="BX23" s="1034"/>
      <c r="BY23" s="1035">
        <f>'ORDER SENT'!CB23</f>
        <v>0</v>
      </c>
      <c r="BZ23" s="1035">
        <f t="shared" si="167"/>
        <v>0</v>
      </c>
      <c r="CA23" s="1036"/>
      <c r="CB23" s="1037">
        <f t="shared" si="122"/>
        <v>0</v>
      </c>
      <c r="CC23" s="1038" t="str">
        <f t="shared" si="168"/>
        <v/>
      </c>
      <c r="CD23" s="1034"/>
      <c r="CE23" s="1035">
        <f>'ORDER SENT'!CH23</f>
        <v>0</v>
      </c>
      <c r="CF23" s="1035">
        <f t="shared" si="169"/>
        <v>0</v>
      </c>
      <c r="CG23" s="1036"/>
      <c r="CH23" s="1037">
        <f t="shared" si="123"/>
        <v>0</v>
      </c>
      <c r="CI23" s="1038" t="str">
        <f t="shared" si="170"/>
        <v/>
      </c>
      <c r="CJ23" s="1034"/>
      <c r="CK23" s="1035">
        <f>'ORDER SENT'!CN23</f>
        <v>0</v>
      </c>
      <c r="CL23" s="1035">
        <f t="shared" si="171"/>
        <v>0</v>
      </c>
      <c r="CM23" s="1036"/>
      <c r="CN23" s="1037">
        <f t="shared" si="124"/>
        <v>0</v>
      </c>
      <c r="CO23" s="1038" t="str">
        <f t="shared" si="172"/>
        <v/>
      </c>
      <c r="CP23" s="1034"/>
      <c r="CQ23" s="1035">
        <f>'ORDER SENT'!CT23</f>
        <v>0</v>
      </c>
      <c r="CR23" s="1035">
        <f t="shared" si="173"/>
        <v>0</v>
      </c>
      <c r="CS23" s="1036"/>
      <c r="CT23" s="1037">
        <f t="shared" si="125"/>
        <v>0</v>
      </c>
      <c r="CU23" s="1038" t="str">
        <f t="shared" si="174"/>
        <v/>
      </c>
      <c r="CV23" s="1034"/>
      <c r="CW23" s="1035">
        <f>'ORDER SENT'!CZ23</f>
        <v>0</v>
      </c>
      <c r="CX23" s="1035">
        <f t="shared" si="175"/>
        <v>0</v>
      </c>
      <c r="CY23" s="1036"/>
      <c r="CZ23" s="1037">
        <f t="shared" si="126"/>
        <v>0</v>
      </c>
      <c r="DA23" s="1038" t="str">
        <f t="shared" si="176"/>
        <v/>
      </c>
      <c r="DB23" s="1034"/>
      <c r="DC23" s="1035">
        <f>'ORDER SENT'!DF23</f>
        <v>0</v>
      </c>
      <c r="DD23" s="1035">
        <f t="shared" si="177"/>
        <v>0</v>
      </c>
      <c r="DE23" s="1036"/>
      <c r="DF23" s="1037">
        <f t="shared" si="127"/>
        <v>0</v>
      </c>
      <c r="DG23" s="1038" t="str">
        <f t="shared" si="178"/>
        <v/>
      </c>
      <c r="DH23" s="1034"/>
      <c r="DI23" s="1035">
        <f>'ORDER SENT'!DL23</f>
        <v>0</v>
      </c>
      <c r="DJ23" s="1035">
        <f t="shared" si="179"/>
        <v>0</v>
      </c>
      <c r="DK23" s="1036"/>
      <c r="DL23" s="1037">
        <f t="shared" si="128"/>
        <v>0</v>
      </c>
      <c r="DM23" s="1038" t="str">
        <f t="shared" si="180"/>
        <v/>
      </c>
      <c r="DN23" s="1034"/>
      <c r="DO23" s="1035">
        <f>'ORDER SENT'!DR23</f>
        <v>0</v>
      </c>
      <c r="DP23" s="1035">
        <f t="shared" si="181"/>
        <v>0</v>
      </c>
      <c r="DQ23" s="1036"/>
      <c r="DR23" s="1037">
        <f t="shared" si="129"/>
        <v>0</v>
      </c>
      <c r="DS23" s="1038" t="str">
        <f t="shared" si="182"/>
        <v/>
      </c>
      <c r="DT23" s="1034"/>
      <c r="DU23" s="1035">
        <f>'ORDER SENT'!DX23</f>
        <v>0</v>
      </c>
      <c r="DV23" s="1035">
        <f t="shared" si="183"/>
        <v>0</v>
      </c>
      <c r="DW23" s="1036"/>
      <c r="DX23" s="1037">
        <f t="shared" si="130"/>
        <v>0</v>
      </c>
      <c r="DY23" s="1038" t="str">
        <f t="shared" si="184"/>
        <v/>
      </c>
      <c r="DZ23" s="1034"/>
      <c r="EA23" s="1035">
        <f>'ORDER SENT'!ED23</f>
        <v>0</v>
      </c>
      <c r="EB23" s="1035">
        <f t="shared" si="185"/>
        <v>0</v>
      </c>
      <c r="EC23" s="1036"/>
      <c r="ED23" s="1037">
        <f t="shared" si="131"/>
        <v>0</v>
      </c>
      <c r="EE23" s="1038" t="str">
        <f t="shared" si="186"/>
        <v/>
      </c>
      <c r="EF23" s="1034"/>
      <c r="EG23" s="1035">
        <f>'ORDER SENT'!EJ23</f>
        <v>0</v>
      </c>
      <c r="EH23" s="1035">
        <f t="shared" si="187"/>
        <v>0</v>
      </c>
      <c r="EI23" s="1036"/>
      <c r="EJ23" s="1037">
        <f t="shared" si="132"/>
        <v>0</v>
      </c>
      <c r="EK23" s="1038" t="str">
        <f t="shared" si="188"/>
        <v/>
      </c>
      <c r="EL23" s="1034"/>
      <c r="EM23" s="1035">
        <f>'ORDER SENT'!EP23</f>
        <v>0</v>
      </c>
      <c r="EN23" s="1035">
        <f t="shared" si="189"/>
        <v>0</v>
      </c>
      <c r="EO23" s="1036"/>
      <c r="EP23" s="1037">
        <f t="shared" si="133"/>
        <v>0</v>
      </c>
      <c r="EQ23" s="1038" t="str">
        <f t="shared" si="190"/>
        <v/>
      </c>
      <c r="ER23" s="1034"/>
      <c r="ES23" s="1035">
        <f>'ORDER SENT'!EV23</f>
        <v>0</v>
      </c>
      <c r="ET23" s="1035">
        <f t="shared" si="191"/>
        <v>0</v>
      </c>
      <c r="EU23" s="1036"/>
      <c r="EV23" s="1037">
        <f t="shared" si="134"/>
        <v>0</v>
      </c>
      <c r="EW23" s="1038" t="str">
        <f t="shared" si="192"/>
        <v/>
      </c>
      <c r="EX23" s="1034"/>
      <c r="EY23" s="1035">
        <f>'ORDER SENT'!FB23</f>
        <v>0</v>
      </c>
      <c r="EZ23" s="1035">
        <f t="shared" si="193"/>
        <v>0</v>
      </c>
      <c r="FA23" s="1036"/>
      <c r="FB23" s="1037">
        <f t="shared" si="135"/>
        <v>0</v>
      </c>
      <c r="FC23" s="1038" t="str">
        <f t="shared" si="194"/>
        <v/>
      </c>
      <c r="FD23" s="1034"/>
      <c r="FE23" s="1035">
        <f>'ORDER SENT'!FH23</f>
        <v>0</v>
      </c>
      <c r="FF23" s="1035">
        <f t="shared" si="195"/>
        <v>0</v>
      </c>
      <c r="FG23" s="1036"/>
      <c r="FH23" s="1037">
        <f t="shared" si="136"/>
        <v>0</v>
      </c>
      <c r="FI23" s="1038" t="str">
        <f t="shared" si="196"/>
        <v/>
      </c>
      <c r="FJ23" s="1034"/>
      <c r="FK23" s="1035">
        <f>'ORDER SENT'!FN23</f>
        <v>0</v>
      </c>
      <c r="FL23" s="1035">
        <f t="shared" si="197"/>
        <v>0</v>
      </c>
      <c r="FM23" s="1036"/>
      <c r="FN23" s="1037">
        <f t="shared" si="137"/>
        <v>0</v>
      </c>
      <c r="FO23" s="1038" t="str">
        <f t="shared" si="198"/>
        <v/>
      </c>
      <c r="FP23" s="1034"/>
      <c r="FQ23" s="1035">
        <f>'ORDER SENT'!FT23</f>
        <v>0</v>
      </c>
      <c r="FR23" s="1035">
        <f t="shared" si="199"/>
        <v>0</v>
      </c>
      <c r="FS23" s="1036"/>
      <c r="FT23" s="1037">
        <f t="shared" si="138"/>
        <v>0</v>
      </c>
      <c r="FU23" s="1038" t="str">
        <f t="shared" si="200"/>
        <v/>
      </c>
      <c r="FV23" s="1034"/>
      <c r="FW23" s="1035">
        <f>'ORDER SENT'!FZ23</f>
        <v>0</v>
      </c>
      <c r="FX23" s="1035">
        <f t="shared" si="201"/>
        <v>0</v>
      </c>
      <c r="FY23" s="1036"/>
      <c r="FZ23" s="1037">
        <f t="shared" si="139"/>
        <v>0</v>
      </c>
      <c r="GA23" s="1038" t="str">
        <f t="shared" si="202"/>
        <v/>
      </c>
      <c r="GB23" s="1034"/>
      <c r="GC23" s="1035">
        <f>'ORDER SENT'!GF23</f>
        <v>0</v>
      </c>
      <c r="GD23" s="1035">
        <f t="shared" si="203"/>
        <v>0</v>
      </c>
      <c r="GE23" s="1036"/>
      <c r="GF23" s="1037">
        <f t="shared" si="140"/>
        <v>0</v>
      </c>
      <c r="GG23" s="1046" t="str">
        <f t="shared" si="94"/>
        <v/>
      </c>
      <c r="GH23" s="1047">
        <f t="shared" ref="GH23:GL23" si="205">+GB23+FV23+FP23+FJ23+FD23+EX23+ER23+EL23+EF23+DZ23+DT23+DN23+DH23+DB23+CV23+CP23+CJ23+CD23+BX23+BR23+BL23+BF23++AZ23+AT23+AN23+AH23+AB23+V23+P23+J23+D23</f>
        <v>0</v>
      </c>
      <c r="GI23" s="1047">
        <f t="shared" si="205"/>
        <v>0</v>
      </c>
      <c r="GJ23" s="1047">
        <f t="shared" si="205"/>
        <v>0</v>
      </c>
      <c r="GK23" s="1048">
        <f t="shared" si="205"/>
        <v>0</v>
      </c>
      <c r="GL23" s="1045">
        <f t="shared" si="205"/>
        <v>0</v>
      </c>
      <c r="GM23" s="1049">
        <f t="shared" si="142"/>
        <v>0</v>
      </c>
    </row>
    <row r="24" ht="15.75" customHeight="1">
      <c r="B24" s="1050"/>
      <c r="C24" s="1051"/>
      <c r="D24" s="1052"/>
      <c r="E24" s="1056" t="str">
        <f>'ORDER SENT'!H24</f>
        <v/>
      </c>
      <c r="F24" s="1056">
        <f t="shared" si="143"/>
        <v>0</v>
      </c>
      <c r="G24" s="1053"/>
      <c r="H24" s="1054">
        <f t="shared" si="110"/>
        <v>0</v>
      </c>
      <c r="I24" s="1038" t="str">
        <f t="shared" si="144"/>
        <v/>
      </c>
      <c r="J24" s="1034"/>
      <c r="K24" s="1035" t="str">
        <f>'ORDER SENT'!N24</f>
        <v/>
      </c>
      <c r="L24" s="1035">
        <f t="shared" si="145"/>
        <v>0</v>
      </c>
      <c r="M24" s="1036"/>
      <c r="N24" s="1037">
        <f t="shared" si="111"/>
        <v>0</v>
      </c>
      <c r="O24" s="1038" t="str">
        <f t="shared" si="146"/>
        <v/>
      </c>
      <c r="P24" s="1034"/>
      <c r="Q24" s="1035" t="str">
        <f>'ORDER SENT'!T24</f>
        <v/>
      </c>
      <c r="R24" s="1035">
        <f t="shared" si="147"/>
        <v>0</v>
      </c>
      <c r="S24" s="1036"/>
      <c r="T24" s="1037">
        <f t="shared" si="112"/>
        <v>0</v>
      </c>
      <c r="U24" s="1038" t="str">
        <f t="shared" si="148"/>
        <v/>
      </c>
      <c r="V24" s="1034"/>
      <c r="W24" s="1035" t="str">
        <f>'ORDER SENT'!Z24</f>
        <v/>
      </c>
      <c r="X24" s="1035">
        <f t="shared" si="149"/>
        <v>0</v>
      </c>
      <c r="Y24" s="1036"/>
      <c r="Z24" s="1037">
        <f t="shared" si="113"/>
        <v>0</v>
      </c>
      <c r="AA24" s="1038" t="str">
        <f t="shared" si="150"/>
        <v/>
      </c>
      <c r="AB24" s="1034"/>
      <c r="AC24" s="1035" t="str">
        <f>'ORDER SENT'!AF24</f>
        <v/>
      </c>
      <c r="AD24" s="1035">
        <f t="shared" si="151"/>
        <v>0</v>
      </c>
      <c r="AE24" s="1036"/>
      <c r="AF24" s="1037">
        <f t="shared" si="114"/>
        <v>0</v>
      </c>
      <c r="AG24" s="1038" t="str">
        <f t="shared" si="152"/>
        <v/>
      </c>
      <c r="AH24" s="1034"/>
      <c r="AI24" s="1035" t="str">
        <f>'ORDER SENT'!AL24</f>
        <v/>
      </c>
      <c r="AJ24" s="1035">
        <f t="shared" si="153"/>
        <v>0</v>
      </c>
      <c r="AK24" s="1036"/>
      <c r="AL24" s="1037">
        <f t="shared" si="115"/>
        <v>0</v>
      </c>
      <c r="AM24" s="1038" t="str">
        <f t="shared" si="154"/>
        <v/>
      </c>
      <c r="AN24" s="1034"/>
      <c r="AO24" s="1035" t="str">
        <f>'ORDER SENT'!AR24</f>
        <v/>
      </c>
      <c r="AP24" s="1035">
        <f t="shared" si="155"/>
        <v>0</v>
      </c>
      <c r="AQ24" s="1036"/>
      <c r="AR24" s="1037">
        <f t="shared" si="116"/>
        <v>0</v>
      </c>
      <c r="AS24" s="1038" t="str">
        <f t="shared" si="156"/>
        <v/>
      </c>
      <c r="AT24" s="1034"/>
      <c r="AU24" s="1035" t="str">
        <f>'ORDER SENT'!AX24</f>
        <v/>
      </c>
      <c r="AV24" s="1035">
        <f t="shared" si="157"/>
        <v>0</v>
      </c>
      <c r="AW24" s="1036"/>
      <c r="AX24" s="1037">
        <f t="shared" si="117"/>
        <v>0</v>
      </c>
      <c r="AY24" s="1038" t="str">
        <f t="shared" si="158"/>
        <v/>
      </c>
      <c r="AZ24" s="1034"/>
      <c r="BA24" s="1035" t="str">
        <f>'ORDER SENT'!BD24</f>
        <v/>
      </c>
      <c r="BB24" s="1035">
        <f t="shared" si="159"/>
        <v>0</v>
      </c>
      <c r="BC24" s="1036"/>
      <c r="BD24" s="1037">
        <f t="shared" si="118"/>
        <v>0</v>
      </c>
      <c r="BE24" s="1038" t="str">
        <f t="shared" si="160"/>
        <v/>
      </c>
      <c r="BF24" s="1034"/>
      <c r="BG24" s="1035" t="str">
        <f>'ORDER SENT'!BJ24</f>
        <v/>
      </c>
      <c r="BH24" s="1035">
        <f t="shared" si="161"/>
        <v>0</v>
      </c>
      <c r="BI24" s="1036"/>
      <c r="BJ24" s="1037">
        <f t="shared" si="119"/>
        <v>0</v>
      </c>
      <c r="BK24" s="1038" t="str">
        <f t="shared" si="162"/>
        <v/>
      </c>
      <c r="BL24" s="1034"/>
      <c r="BM24" s="1035" t="str">
        <f>'ORDER SENT'!BP24</f>
        <v/>
      </c>
      <c r="BN24" s="1035">
        <f t="shared" si="163"/>
        <v>0</v>
      </c>
      <c r="BO24" s="1036"/>
      <c r="BP24" s="1037">
        <f t="shared" si="120"/>
        <v>0</v>
      </c>
      <c r="BQ24" s="1038" t="str">
        <f t="shared" si="164"/>
        <v/>
      </c>
      <c r="BR24" s="1034"/>
      <c r="BS24" s="1035" t="str">
        <f>'ORDER SENT'!BV24</f>
        <v/>
      </c>
      <c r="BT24" s="1035">
        <f t="shared" si="165"/>
        <v>0</v>
      </c>
      <c r="BU24" s="1036"/>
      <c r="BV24" s="1037">
        <f t="shared" si="121"/>
        <v>0</v>
      </c>
      <c r="BW24" s="1038" t="str">
        <f t="shared" si="166"/>
        <v/>
      </c>
      <c r="BX24" s="1034"/>
      <c r="BY24" s="1035" t="str">
        <f>'ORDER SENT'!CB24</f>
        <v/>
      </c>
      <c r="BZ24" s="1035">
        <f t="shared" si="167"/>
        <v>0</v>
      </c>
      <c r="CA24" s="1036"/>
      <c r="CB24" s="1037">
        <f t="shared" si="122"/>
        <v>0</v>
      </c>
      <c r="CC24" s="1038" t="str">
        <f t="shared" si="168"/>
        <v/>
      </c>
      <c r="CD24" s="1034"/>
      <c r="CE24" s="1035" t="str">
        <f>'ORDER SENT'!CH24</f>
        <v/>
      </c>
      <c r="CF24" s="1035">
        <f t="shared" si="169"/>
        <v>0</v>
      </c>
      <c r="CG24" s="1036"/>
      <c r="CH24" s="1037">
        <f t="shared" si="123"/>
        <v>0</v>
      </c>
      <c r="CI24" s="1038" t="str">
        <f t="shared" si="170"/>
        <v/>
      </c>
      <c r="CJ24" s="1034"/>
      <c r="CK24" s="1035" t="str">
        <f>'ORDER SENT'!CN24</f>
        <v/>
      </c>
      <c r="CL24" s="1035">
        <f t="shared" si="171"/>
        <v>0</v>
      </c>
      <c r="CM24" s="1036"/>
      <c r="CN24" s="1037">
        <f t="shared" si="124"/>
        <v>0</v>
      </c>
      <c r="CO24" s="1038" t="str">
        <f t="shared" si="172"/>
        <v/>
      </c>
      <c r="CP24" s="1034"/>
      <c r="CQ24" s="1035" t="str">
        <f>'ORDER SENT'!CT24</f>
        <v/>
      </c>
      <c r="CR24" s="1035">
        <f t="shared" si="173"/>
        <v>0</v>
      </c>
      <c r="CS24" s="1036"/>
      <c r="CT24" s="1037">
        <f t="shared" si="125"/>
        <v>0</v>
      </c>
      <c r="CU24" s="1038" t="str">
        <f t="shared" si="174"/>
        <v/>
      </c>
      <c r="CV24" s="1034"/>
      <c r="CW24" s="1035" t="str">
        <f>'ORDER SENT'!CZ24</f>
        <v/>
      </c>
      <c r="CX24" s="1035">
        <f t="shared" si="175"/>
        <v>0</v>
      </c>
      <c r="CY24" s="1036"/>
      <c r="CZ24" s="1037">
        <f t="shared" si="126"/>
        <v>0</v>
      </c>
      <c r="DA24" s="1038" t="str">
        <f t="shared" si="176"/>
        <v/>
      </c>
      <c r="DB24" s="1034"/>
      <c r="DC24" s="1035" t="str">
        <f>'ORDER SENT'!DF24</f>
        <v/>
      </c>
      <c r="DD24" s="1035">
        <f t="shared" si="177"/>
        <v>0</v>
      </c>
      <c r="DE24" s="1036"/>
      <c r="DF24" s="1037">
        <f t="shared" si="127"/>
        <v>0</v>
      </c>
      <c r="DG24" s="1038" t="str">
        <f t="shared" si="178"/>
        <v/>
      </c>
      <c r="DH24" s="1034"/>
      <c r="DI24" s="1035" t="str">
        <f>'ORDER SENT'!DL24</f>
        <v/>
      </c>
      <c r="DJ24" s="1035">
        <f t="shared" si="179"/>
        <v>0</v>
      </c>
      <c r="DK24" s="1036"/>
      <c r="DL24" s="1037">
        <f t="shared" si="128"/>
        <v>0</v>
      </c>
      <c r="DM24" s="1038" t="str">
        <f t="shared" si="180"/>
        <v/>
      </c>
      <c r="DN24" s="1034"/>
      <c r="DO24" s="1035" t="str">
        <f>'ORDER SENT'!DR24</f>
        <v/>
      </c>
      <c r="DP24" s="1035">
        <f t="shared" si="181"/>
        <v>0</v>
      </c>
      <c r="DQ24" s="1036"/>
      <c r="DR24" s="1037">
        <f t="shared" si="129"/>
        <v>0</v>
      </c>
      <c r="DS24" s="1038" t="str">
        <f t="shared" si="182"/>
        <v/>
      </c>
      <c r="DT24" s="1034"/>
      <c r="DU24" s="1035" t="str">
        <f>'ORDER SENT'!DX24</f>
        <v/>
      </c>
      <c r="DV24" s="1035">
        <f t="shared" si="183"/>
        <v>0</v>
      </c>
      <c r="DW24" s="1036"/>
      <c r="DX24" s="1037">
        <f t="shared" si="130"/>
        <v>0</v>
      </c>
      <c r="DY24" s="1038" t="str">
        <f t="shared" si="184"/>
        <v/>
      </c>
      <c r="DZ24" s="1034"/>
      <c r="EA24" s="1035" t="str">
        <f>'ORDER SENT'!ED24</f>
        <v/>
      </c>
      <c r="EB24" s="1035">
        <f t="shared" si="185"/>
        <v>0</v>
      </c>
      <c r="EC24" s="1036"/>
      <c r="ED24" s="1037">
        <f t="shared" si="131"/>
        <v>0</v>
      </c>
      <c r="EE24" s="1038" t="str">
        <f t="shared" si="186"/>
        <v/>
      </c>
      <c r="EF24" s="1034"/>
      <c r="EG24" s="1035" t="str">
        <f>'ORDER SENT'!EJ24</f>
        <v/>
      </c>
      <c r="EH24" s="1035">
        <f t="shared" si="187"/>
        <v>0</v>
      </c>
      <c r="EI24" s="1036"/>
      <c r="EJ24" s="1037">
        <f t="shared" si="132"/>
        <v>0</v>
      </c>
      <c r="EK24" s="1038" t="str">
        <f t="shared" si="188"/>
        <v/>
      </c>
      <c r="EL24" s="1034"/>
      <c r="EM24" s="1035" t="str">
        <f>'ORDER SENT'!EP24</f>
        <v/>
      </c>
      <c r="EN24" s="1035">
        <f t="shared" si="189"/>
        <v>0</v>
      </c>
      <c r="EO24" s="1036"/>
      <c r="EP24" s="1037">
        <f t="shared" si="133"/>
        <v>0</v>
      </c>
      <c r="EQ24" s="1038" t="str">
        <f t="shared" si="190"/>
        <v/>
      </c>
      <c r="ER24" s="1034"/>
      <c r="ES24" s="1035" t="str">
        <f>'ORDER SENT'!EV24</f>
        <v/>
      </c>
      <c r="ET24" s="1035">
        <f t="shared" si="191"/>
        <v>0</v>
      </c>
      <c r="EU24" s="1036"/>
      <c r="EV24" s="1037">
        <f t="shared" si="134"/>
        <v>0</v>
      </c>
      <c r="EW24" s="1038" t="str">
        <f t="shared" si="192"/>
        <v/>
      </c>
      <c r="EX24" s="1034"/>
      <c r="EY24" s="1035" t="str">
        <f>'ORDER SENT'!FB24</f>
        <v/>
      </c>
      <c r="EZ24" s="1035">
        <f t="shared" si="193"/>
        <v>0</v>
      </c>
      <c r="FA24" s="1036"/>
      <c r="FB24" s="1037">
        <f t="shared" si="135"/>
        <v>0</v>
      </c>
      <c r="FC24" s="1038" t="str">
        <f t="shared" si="194"/>
        <v/>
      </c>
      <c r="FD24" s="1034"/>
      <c r="FE24" s="1035" t="str">
        <f>'ORDER SENT'!FH24</f>
        <v/>
      </c>
      <c r="FF24" s="1035">
        <f t="shared" si="195"/>
        <v>0</v>
      </c>
      <c r="FG24" s="1036"/>
      <c r="FH24" s="1037">
        <f t="shared" si="136"/>
        <v>0</v>
      </c>
      <c r="FI24" s="1038" t="str">
        <f t="shared" si="196"/>
        <v/>
      </c>
      <c r="FJ24" s="1034"/>
      <c r="FK24" s="1035" t="str">
        <f>'ORDER SENT'!FN24</f>
        <v/>
      </c>
      <c r="FL24" s="1035">
        <f t="shared" si="197"/>
        <v>0</v>
      </c>
      <c r="FM24" s="1036"/>
      <c r="FN24" s="1037">
        <f t="shared" si="137"/>
        <v>0</v>
      </c>
      <c r="FO24" s="1038" t="str">
        <f t="shared" si="198"/>
        <v/>
      </c>
      <c r="FP24" s="1034"/>
      <c r="FQ24" s="1035" t="str">
        <f>'ORDER SENT'!FT24</f>
        <v/>
      </c>
      <c r="FR24" s="1035">
        <f t="shared" si="199"/>
        <v>0</v>
      </c>
      <c r="FS24" s="1036"/>
      <c r="FT24" s="1037">
        <f t="shared" si="138"/>
        <v>0</v>
      </c>
      <c r="FU24" s="1038" t="str">
        <f t="shared" si="200"/>
        <v/>
      </c>
      <c r="FV24" s="1034"/>
      <c r="FW24" s="1035" t="str">
        <f>'ORDER SENT'!FZ24</f>
        <v/>
      </c>
      <c r="FX24" s="1035">
        <f t="shared" si="201"/>
        <v>0</v>
      </c>
      <c r="FY24" s="1036"/>
      <c r="FZ24" s="1037">
        <f t="shared" si="139"/>
        <v>0</v>
      </c>
      <c r="GA24" s="1038" t="str">
        <f t="shared" si="202"/>
        <v/>
      </c>
      <c r="GB24" s="1034"/>
      <c r="GC24" s="1035" t="str">
        <f>'ORDER SENT'!GF24</f>
        <v/>
      </c>
      <c r="GD24" s="1035">
        <f t="shared" si="203"/>
        <v>0</v>
      </c>
      <c r="GE24" s="1036"/>
      <c r="GF24" s="1037">
        <f t="shared" si="140"/>
        <v>0</v>
      </c>
      <c r="GG24" s="1055" t="str">
        <f t="shared" si="94"/>
        <v/>
      </c>
      <c r="GH24" s="1056"/>
      <c r="GI24" s="1056"/>
      <c r="GJ24" s="1056"/>
      <c r="GK24" s="1057"/>
      <c r="GL24" s="1054"/>
      <c r="GM24" s="1058"/>
    </row>
    <row r="25" ht="15.75" customHeight="1">
      <c r="B25" s="1059" t="s">
        <v>644</v>
      </c>
      <c r="C25" s="1027">
        <f t="shared" ref="C25:GF25" si="206">SUM(C21:C24)</f>
        <v>0</v>
      </c>
      <c r="D25" s="1028">
        <f t="shared" si="206"/>
        <v>0</v>
      </c>
      <c r="E25" s="1028">
        <f t="shared" si="206"/>
        <v>0</v>
      </c>
      <c r="F25" s="1028">
        <f t="shared" si="206"/>
        <v>0</v>
      </c>
      <c r="G25" s="1029">
        <f t="shared" si="206"/>
        <v>0</v>
      </c>
      <c r="H25" s="1030">
        <f t="shared" si="206"/>
        <v>0</v>
      </c>
      <c r="I25" s="1027">
        <f t="shared" si="206"/>
        <v>0</v>
      </c>
      <c r="J25" s="1028">
        <f t="shared" si="206"/>
        <v>0</v>
      </c>
      <c r="K25" s="1028">
        <f t="shared" si="206"/>
        <v>0</v>
      </c>
      <c r="L25" s="1028">
        <f t="shared" si="206"/>
        <v>0</v>
      </c>
      <c r="M25" s="1029">
        <f t="shared" si="206"/>
        <v>0</v>
      </c>
      <c r="N25" s="1030">
        <f t="shared" si="206"/>
        <v>0</v>
      </c>
      <c r="O25" s="1027">
        <f t="shared" si="206"/>
        <v>0</v>
      </c>
      <c r="P25" s="1028">
        <f t="shared" si="206"/>
        <v>0</v>
      </c>
      <c r="Q25" s="1028">
        <f t="shared" si="206"/>
        <v>0</v>
      </c>
      <c r="R25" s="1028">
        <f t="shared" si="206"/>
        <v>0</v>
      </c>
      <c r="S25" s="1029">
        <f t="shared" si="206"/>
        <v>0</v>
      </c>
      <c r="T25" s="1030">
        <f t="shared" si="206"/>
        <v>0</v>
      </c>
      <c r="U25" s="1027">
        <f t="shared" si="206"/>
        <v>0</v>
      </c>
      <c r="V25" s="1028">
        <f t="shared" si="206"/>
        <v>0</v>
      </c>
      <c r="W25" s="1028">
        <f t="shared" si="206"/>
        <v>0</v>
      </c>
      <c r="X25" s="1028">
        <f t="shared" si="206"/>
        <v>0</v>
      </c>
      <c r="Y25" s="1029">
        <f t="shared" si="206"/>
        <v>0</v>
      </c>
      <c r="Z25" s="1030">
        <f t="shared" si="206"/>
        <v>0</v>
      </c>
      <c r="AA25" s="1027">
        <f t="shared" si="206"/>
        <v>0</v>
      </c>
      <c r="AB25" s="1028">
        <f t="shared" si="206"/>
        <v>0</v>
      </c>
      <c r="AC25" s="1028">
        <f t="shared" si="206"/>
        <v>0</v>
      </c>
      <c r="AD25" s="1028">
        <f t="shared" si="206"/>
        <v>0</v>
      </c>
      <c r="AE25" s="1029">
        <f t="shared" si="206"/>
        <v>0</v>
      </c>
      <c r="AF25" s="1030">
        <f t="shared" si="206"/>
        <v>0</v>
      </c>
      <c r="AG25" s="1027">
        <f t="shared" si="206"/>
        <v>0</v>
      </c>
      <c r="AH25" s="1028">
        <f t="shared" si="206"/>
        <v>0</v>
      </c>
      <c r="AI25" s="1028">
        <f t="shared" si="206"/>
        <v>0</v>
      </c>
      <c r="AJ25" s="1028">
        <f t="shared" si="206"/>
        <v>0</v>
      </c>
      <c r="AK25" s="1029">
        <f t="shared" si="206"/>
        <v>0</v>
      </c>
      <c r="AL25" s="1030">
        <f t="shared" si="206"/>
        <v>0</v>
      </c>
      <c r="AM25" s="1027">
        <f t="shared" si="206"/>
        <v>0</v>
      </c>
      <c r="AN25" s="1028">
        <f t="shared" si="206"/>
        <v>0</v>
      </c>
      <c r="AO25" s="1028">
        <f t="shared" si="206"/>
        <v>0</v>
      </c>
      <c r="AP25" s="1028">
        <f t="shared" si="206"/>
        <v>0</v>
      </c>
      <c r="AQ25" s="1029">
        <f t="shared" si="206"/>
        <v>0</v>
      </c>
      <c r="AR25" s="1030">
        <f t="shared" si="206"/>
        <v>0</v>
      </c>
      <c r="AS25" s="1027">
        <f t="shared" si="206"/>
        <v>0</v>
      </c>
      <c r="AT25" s="1028">
        <f t="shared" si="206"/>
        <v>0</v>
      </c>
      <c r="AU25" s="1028">
        <f t="shared" si="206"/>
        <v>0</v>
      </c>
      <c r="AV25" s="1028">
        <f t="shared" si="206"/>
        <v>0</v>
      </c>
      <c r="AW25" s="1029">
        <f t="shared" si="206"/>
        <v>0</v>
      </c>
      <c r="AX25" s="1030">
        <f t="shared" si="206"/>
        <v>0</v>
      </c>
      <c r="AY25" s="1027">
        <f t="shared" si="206"/>
        <v>0</v>
      </c>
      <c r="AZ25" s="1028">
        <f t="shared" si="206"/>
        <v>0</v>
      </c>
      <c r="BA25" s="1028">
        <f t="shared" si="206"/>
        <v>0</v>
      </c>
      <c r="BB25" s="1028">
        <f t="shared" si="206"/>
        <v>0</v>
      </c>
      <c r="BC25" s="1029">
        <f t="shared" si="206"/>
        <v>0</v>
      </c>
      <c r="BD25" s="1030">
        <f t="shared" si="206"/>
        <v>0</v>
      </c>
      <c r="BE25" s="1027">
        <f t="shared" si="206"/>
        <v>0</v>
      </c>
      <c r="BF25" s="1028">
        <f t="shared" si="206"/>
        <v>0</v>
      </c>
      <c r="BG25" s="1028">
        <f t="shared" si="206"/>
        <v>0</v>
      </c>
      <c r="BH25" s="1028">
        <f t="shared" si="206"/>
        <v>0</v>
      </c>
      <c r="BI25" s="1029">
        <f t="shared" si="206"/>
        <v>0</v>
      </c>
      <c r="BJ25" s="1030">
        <f t="shared" si="206"/>
        <v>0</v>
      </c>
      <c r="BK25" s="1027">
        <f t="shared" si="206"/>
        <v>0</v>
      </c>
      <c r="BL25" s="1028">
        <f t="shared" si="206"/>
        <v>0</v>
      </c>
      <c r="BM25" s="1028">
        <f t="shared" si="206"/>
        <v>0</v>
      </c>
      <c r="BN25" s="1028">
        <f t="shared" si="206"/>
        <v>0</v>
      </c>
      <c r="BO25" s="1029">
        <f t="shared" si="206"/>
        <v>0</v>
      </c>
      <c r="BP25" s="1030">
        <f t="shared" si="206"/>
        <v>0</v>
      </c>
      <c r="BQ25" s="1027">
        <f t="shared" si="206"/>
        <v>0</v>
      </c>
      <c r="BR25" s="1028">
        <f t="shared" si="206"/>
        <v>0</v>
      </c>
      <c r="BS25" s="1028">
        <f t="shared" si="206"/>
        <v>0</v>
      </c>
      <c r="BT25" s="1028">
        <f t="shared" si="206"/>
        <v>0</v>
      </c>
      <c r="BU25" s="1029">
        <f t="shared" si="206"/>
        <v>0</v>
      </c>
      <c r="BV25" s="1030">
        <f t="shared" si="206"/>
        <v>0</v>
      </c>
      <c r="BW25" s="1027">
        <f t="shared" si="206"/>
        <v>0</v>
      </c>
      <c r="BX25" s="1028">
        <f t="shared" si="206"/>
        <v>0</v>
      </c>
      <c r="BY25" s="1028">
        <f t="shared" si="206"/>
        <v>0</v>
      </c>
      <c r="BZ25" s="1028">
        <f t="shared" si="206"/>
        <v>0</v>
      </c>
      <c r="CA25" s="1029">
        <f t="shared" si="206"/>
        <v>0</v>
      </c>
      <c r="CB25" s="1030">
        <f t="shared" si="206"/>
        <v>0</v>
      </c>
      <c r="CC25" s="1027">
        <f t="shared" si="206"/>
        <v>0</v>
      </c>
      <c r="CD25" s="1028">
        <f t="shared" si="206"/>
        <v>0</v>
      </c>
      <c r="CE25" s="1028">
        <f t="shared" si="206"/>
        <v>0</v>
      </c>
      <c r="CF25" s="1028">
        <f t="shared" si="206"/>
        <v>0</v>
      </c>
      <c r="CG25" s="1029">
        <f t="shared" si="206"/>
        <v>0</v>
      </c>
      <c r="CH25" s="1030">
        <f t="shared" si="206"/>
        <v>0</v>
      </c>
      <c r="CI25" s="1027">
        <f t="shared" si="206"/>
        <v>0</v>
      </c>
      <c r="CJ25" s="1028">
        <f t="shared" si="206"/>
        <v>0</v>
      </c>
      <c r="CK25" s="1028">
        <f t="shared" si="206"/>
        <v>0</v>
      </c>
      <c r="CL25" s="1028">
        <f t="shared" si="206"/>
        <v>0</v>
      </c>
      <c r="CM25" s="1029">
        <f t="shared" si="206"/>
        <v>0</v>
      </c>
      <c r="CN25" s="1030">
        <f t="shared" si="206"/>
        <v>0</v>
      </c>
      <c r="CO25" s="1027">
        <f t="shared" si="206"/>
        <v>0</v>
      </c>
      <c r="CP25" s="1028">
        <f t="shared" si="206"/>
        <v>0</v>
      </c>
      <c r="CQ25" s="1028">
        <f t="shared" si="206"/>
        <v>0</v>
      </c>
      <c r="CR25" s="1028">
        <f t="shared" si="206"/>
        <v>0</v>
      </c>
      <c r="CS25" s="1029">
        <f t="shared" si="206"/>
        <v>0</v>
      </c>
      <c r="CT25" s="1030">
        <f t="shared" si="206"/>
        <v>0</v>
      </c>
      <c r="CU25" s="1027">
        <f t="shared" si="206"/>
        <v>0</v>
      </c>
      <c r="CV25" s="1028">
        <f t="shared" si="206"/>
        <v>0</v>
      </c>
      <c r="CW25" s="1028">
        <f t="shared" si="206"/>
        <v>0</v>
      </c>
      <c r="CX25" s="1028">
        <f t="shared" si="206"/>
        <v>0</v>
      </c>
      <c r="CY25" s="1029">
        <f t="shared" si="206"/>
        <v>0</v>
      </c>
      <c r="CZ25" s="1030">
        <f t="shared" si="206"/>
        <v>0</v>
      </c>
      <c r="DA25" s="1027">
        <f t="shared" si="206"/>
        <v>0</v>
      </c>
      <c r="DB25" s="1028">
        <f t="shared" si="206"/>
        <v>0</v>
      </c>
      <c r="DC25" s="1028">
        <f t="shared" si="206"/>
        <v>0</v>
      </c>
      <c r="DD25" s="1028">
        <f t="shared" si="206"/>
        <v>0</v>
      </c>
      <c r="DE25" s="1029">
        <f t="shared" si="206"/>
        <v>0</v>
      </c>
      <c r="DF25" s="1030">
        <f t="shared" si="206"/>
        <v>0</v>
      </c>
      <c r="DG25" s="1027">
        <f t="shared" si="206"/>
        <v>0</v>
      </c>
      <c r="DH25" s="1028">
        <f t="shared" si="206"/>
        <v>0</v>
      </c>
      <c r="DI25" s="1028">
        <f t="shared" si="206"/>
        <v>0</v>
      </c>
      <c r="DJ25" s="1028">
        <f t="shared" si="206"/>
        <v>0</v>
      </c>
      <c r="DK25" s="1029">
        <f t="shared" si="206"/>
        <v>0</v>
      </c>
      <c r="DL25" s="1030">
        <f t="shared" si="206"/>
        <v>0</v>
      </c>
      <c r="DM25" s="1027">
        <f t="shared" si="206"/>
        <v>0</v>
      </c>
      <c r="DN25" s="1028">
        <f t="shared" si="206"/>
        <v>0</v>
      </c>
      <c r="DO25" s="1028">
        <f t="shared" si="206"/>
        <v>0</v>
      </c>
      <c r="DP25" s="1028">
        <f t="shared" si="206"/>
        <v>0</v>
      </c>
      <c r="DQ25" s="1029">
        <f t="shared" si="206"/>
        <v>0</v>
      </c>
      <c r="DR25" s="1030">
        <f t="shared" si="206"/>
        <v>0</v>
      </c>
      <c r="DS25" s="1027">
        <f t="shared" si="206"/>
        <v>0</v>
      </c>
      <c r="DT25" s="1028">
        <f t="shared" si="206"/>
        <v>0</v>
      </c>
      <c r="DU25" s="1028">
        <f t="shared" si="206"/>
        <v>0</v>
      </c>
      <c r="DV25" s="1028">
        <f t="shared" si="206"/>
        <v>0</v>
      </c>
      <c r="DW25" s="1029">
        <f t="shared" si="206"/>
        <v>0</v>
      </c>
      <c r="DX25" s="1030">
        <f t="shared" si="206"/>
        <v>0</v>
      </c>
      <c r="DY25" s="1027">
        <f t="shared" si="206"/>
        <v>0</v>
      </c>
      <c r="DZ25" s="1028">
        <f t="shared" si="206"/>
        <v>0</v>
      </c>
      <c r="EA25" s="1028">
        <f t="shared" si="206"/>
        <v>0</v>
      </c>
      <c r="EB25" s="1028">
        <f t="shared" si="206"/>
        <v>0</v>
      </c>
      <c r="EC25" s="1029">
        <f t="shared" si="206"/>
        <v>0</v>
      </c>
      <c r="ED25" s="1030">
        <f t="shared" si="206"/>
        <v>0</v>
      </c>
      <c r="EE25" s="1027">
        <f t="shared" si="206"/>
        <v>0</v>
      </c>
      <c r="EF25" s="1028">
        <f t="shared" si="206"/>
        <v>0</v>
      </c>
      <c r="EG25" s="1028">
        <f t="shared" si="206"/>
        <v>0</v>
      </c>
      <c r="EH25" s="1028">
        <f t="shared" si="206"/>
        <v>0</v>
      </c>
      <c r="EI25" s="1029">
        <f t="shared" si="206"/>
        <v>0</v>
      </c>
      <c r="EJ25" s="1030">
        <f t="shared" si="206"/>
        <v>0</v>
      </c>
      <c r="EK25" s="1027">
        <f t="shared" si="206"/>
        <v>0</v>
      </c>
      <c r="EL25" s="1028">
        <f t="shared" si="206"/>
        <v>0</v>
      </c>
      <c r="EM25" s="1028">
        <f t="shared" si="206"/>
        <v>0</v>
      </c>
      <c r="EN25" s="1028">
        <f t="shared" si="206"/>
        <v>0</v>
      </c>
      <c r="EO25" s="1029">
        <f t="shared" si="206"/>
        <v>0</v>
      </c>
      <c r="EP25" s="1030">
        <f t="shared" si="206"/>
        <v>0</v>
      </c>
      <c r="EQ25" s="1027">
        <f t="shared" si="206"/>
        <v>0</v>
      </c>
      <c r="ER25" s="1028">
        <f t="shared" si="206"/>
        <v>0</v>
      </c>
      <c r="ES25" s="1028">
        <f t="shared" si="206"/>
        <v>0</v>
      </c>
      <c r="ET25" s="1028">
        <f t="shared" si="206"/>
        <v>0</v>
      </c>
      <c r="EU25" s="1029">
        <f t="shared" si="206"/>
        <v>0</v>
      </c>
      <c r="EV25" s="1030">
        <f t="shared" si="206"/>
        <v>0</v>
      </c>
      <c r="EW25" s="1027">
        <f t="shared" si="206"/>
        <v>0</v>
      </c>
      <c r="EX25" s="1028">
        <f t="shared" si="206"/>
        <v>0</v>
      </c>
      <c r="EY25" s="1028">
        <f t="shared" si="206"/>
        <v>0</v>
      </c>
      <c r="EZ25" s="1028">
        <f t="shared" si="206"/>
        <v>0</v>
      </c>
      <c r="FA25" s="1029">
        <f t="shared" si="206"/>
        <v>0</v>
      </c>
      <c r="FB25" s="1030">
        <f t="shared" si="206"/>
        <v>0</v>
      </c>
      <c r="FC25" s="1027">
        <f t="shared" si="206"/>
        <v>0</v>
      </c>
      <c r="FD25" s="1028">
        <f t="shared" si="206"/>
        <v>0</v>
      </c>
      <c r="FE25" s="1028">
        <f t="shared" si="206"/>
        <v>0</v>
      </c>
      <c r="FF25" s="1028">
        <f t="shared" si="206"/>
        <v>0</v>
      </c>
      <c r="FG25" s="1029">
        <f t="shared" si="206"/>
        <v>0</v>
      </c>
      <c r="FH25" s="1030">
        <f t="shared" si="206"/>
        <v>0</v>
      </c>
      <c r="FI25" s="1027">
        <f t="shared" si="206"/>
        <v>0</v>
      </c>
      <c r="FJ25" s="1028">
        <f t="shared" si="206"/>
        <v>0</v>
      </c>
      <c r="FK25" s="1028">
        <f t="shared" si="206"/>
        <v>0</v>
      </c>
      <c r="FL25" s="1028">
        <f t="shared" si="206"/>
        <v>0</v>
      </c>
      <c r="FM25" s="1029">
        <f t="shared" si="206"/>
        <v>0</v>
      </c>
      <c r="FN25" s="1030">
        <f t="shared" si="206"/>
        <v>0</v>
      </c>
      <c r="FO25" s="1027">
        <f t="shared" si="206"/>
        <v>0</v>
      </c>
      <c r="FP25" s="1028">
        <f t="shared" si="206"/>
        <v>0</v>
      </c>
      <c r="FQ25" s="1028">
        <f t="shared" si="206"/>
        <v>0</v>
      </c>
      <c r="FR25" s="1028">
        <f t="shared" si="206"/>
        <v>0</v>
      </c>
      <c r="FS25" s="1029">
        <f t="shared" si="206"/>
        <v>0</v>
      </c>
      <c r="FT25" s="1030">
        <f t="shared" si="206"/>
        <v>0</v>
      </c>
      <c r="FU25" s="1027">
        <f t="shared" si="206"/>
        <v>0</v>
      </c>
      <c r="FV25" s="1028">
        <f t="shared" si="206"/>
        <v>0</v>
      </c>
      <c r="FW25" s="1028">
        <f t="shared" si="206"/>
        <v>0</v>
      </c>
      <c r="FX25" s="1028">
        <f t="shared" si="206"/>
        <v>0</v>
      </c>
      <c r="FY25" s="1029">
        <f t="shared" si="206"/>
        <v>0</v>
      </c>
      <c r="FZ25" s="1030">
        <f t="shared" si="206"/>
        <v>0</v>
      </c>
      <c r="GA25" s="1027">
        <f t="shared" si="206"/>
        <v>0</v>
      </c>
      <c r="GB25" s="1028">
        <f t="shared" si="206"/>
        <v>0</v>
      </c>
      <c r="GC25" s="1028">
        <f t="shared" si="206"/>
        <v>0</v>
      </c>
      <c r="GD25" s="1028">
        <f t="shared" si="206"/>
        <v>0</v>
      </c>
      <c r="GE25" s="1029">
        <f t="shared" si="206"/>
        <v>0</v>
      </c>
      <c r="GF25" s="1030">
        <f t="shared" si="206"/>
        <v>0</v>
      </c>
      <c r="GG25" s="1027">
        <f t="shared" si="94"/>
        <v>0</v>
      </c>
      <c r="GH25" s="1028">
        <f t="shared" ref="GH25:GM25" si="207">SUM(GH21:GH24)</f>
        <v>0</v>
      </c>
      <c r="GI25" s="1028">
        <f t="shared" si="207"/>
        <v>0</v>
      </c>
      <c r="GJ25" s="1028">
        <f t="shared" si="207"/>
        <v>0</v>
      </c>
      <c r="GK25" s="1029">
        <f t="shared" si="207"/>
        <v>0</v>
      </c>
      <c r="GL25" s="1030">
        <f t="shared" si="207"/>
        <v>0</v>
      </c>
      <c r="GM25" s="1031">
        <f t="shared" si="207"/>
        <v>0</v>
      </c>
    </row>
    <row r="26" ht="15.75" customHeight="1">
      <c r="B26" s="1059" t="s">
        <v>504</v>
      </c>
      <c r="C26" s="1027"/>
      <c r="D26" s="1028"/>
      <c r="E26" s="1028"/>
      <c r="F26" s="1028"/>
      <c r="G26" s="1029"/>
      <c r="H26" s="1030">
        <f t="shared" ref="H26:H30" si="209">SUM(C26:G26)</f>
        <v>0</v>
      </c>
      <c r="I26" s="1027"/>
      <c r="J26" s="1028"/>
      <c r="K26" s="1028"/>
      <c r="L26" s="1028"/>
      <c r="M26" s="1029"/>
      <c r="N26" s="1030">
        <f t="shared" ref="N26:N30" si="210">SUM(I26:M26)</f>
        <v>0</v>
      </c>
      <c r="O26" s="1027"/>
      <c r="P26" s="1028"/>
      <c r="Q26" s="1028"/>
      <c r="R26" s="1028"/>
      <c r="S26" s="1029"/>
      <c r="T26" s="1030">
        <f t="shared" ref="T26:T30" si="211">SUM(O26:S26)</f>
        <v>0</v>
      </c>
      <c r="U26" s="1027"/>
      <c r="V26" s="1028"/>
      <c r="W26" s="1028"/>
      <c r="X26" s="1028"/>
      <c r="Y26" s="1029"/>
      <c r="Z26" s="1030">
        <f t="shared" ref="Z26:Z30" si="212">SUM(U26:Y26)</f>
        <v>0</v>
      </c>
      <c r="AA26" s="1027"/>
      <c r="AB26" s="1028"/>
      <c r="AC26" s="1028"/>
      <c r="AD26" s="1028"/>
      <c r="AE26" s="1029"/>
      <c r="AF26" s="1030">
        <f t="shared" ref="AF26:AF30" si="213">SUM(AA26:AE26)</f>
        <v>0</v>
      </c>
      <c r="AG26" s="1027"/>
      <c r="AH26" s="1028"/>
      <c r="AI26" s="1028"/>
      <c r="AJ26" s="1028"/>
      <c r="AK26" s="1029"/>
      <c r="AL26" s="1030">
        <f t="shared" ref="AL26:AL30" si="214">SUM(AG26:AK26)</f>
        <v>0</v>
      </c>
      <c r="AM26" s="1027"/>
      <c r="AN26" s="1028"/>
      <c r="AO26" s="1028"/>
      <c r="AP26" s="1028"/>
      <c r="AQ26" s="1029"/>
      <c r="AR26" s="1030">
        <f t="shared" ref="AR26:AR30" si="215">SUM(AM26:AQ26)</f>
        <v>0</v>
      </c>
      <c r="AS26" s="1027"/>
      <c r="AT26" s="1028"/>
      <c r="AU26" s="1028"/>
      <c r="AV26" s="1028"/>
      <c r="AW26" s="1029"/>
      <c r="AX26" s="1030">
        <f t="shared" ref="AX26:AX30" si="216">SUM(AS26:AW26)</f>
        <v>0</v>
      </c>
      <c r="AY26" s="1027"/>
      <c r="AZ26" s="1028"/>
      <c r="BA26" s="1028"/>
      <c r="BB26" s="1028"/>
      <c r="BC26" s="1029"/>
      <c r="BD26" s="1030">
        <f t="shared" ref="BD26:BD30" si="217">SUM(AY26:BC26)</f>
        <v>0</v>
      </c>
      <c r="BE26" s="1027"/>
      <c r="BF26" s="1028"/>
      <c r="BG26" s="1028"/>
      <c r="BH26" s="1028"/>
      <c r="BI26" s="1029"/>
      <c r="BJ26" s="1030">
        <f t="shared" ref="BJ26:BJ30" si="218">SUM(BE26:BI26)</f>
        <v>0</v>
      </c>
      <c r="BK26" s="1027"/>
      <c r="BL26" s="1028"/>
      <c r="BM26" s="1028"/>
      <c r="BN26" s="1028"/>
      <c r="BO26" s="1029"/>
      <c r="BP26" s="1030">
        <f t="shared" ref="BP26:BP30" si="219">SUM(BK26:BO26)</f>
        <v>0</v>
      </c>
      <c r="BQ26" s="1027"/>
      <c r="BR26" s="1028"/>
      <c r="BS26" s="1028"/>
      <c r="BT26" s="1028"/>
      <c r="BU26" s="1029"/>
      <c r="BV26" s="1030">
        <f t="shared" ref="BV26:BV30" si="220">SUM(BQ26:BU26)</f>
        <v>0</v>
      </c>
      <c r="BW26" s="1027"/>
      <c r="BX26" s="1028"/>
      <c r="BY26" s="1028"/>
      <c r="BZ26" s="1028"/>
      <c r="CA26" s="1029"/>
      <c r="CB26" s="1030">
        <f t="shared" ref="CB26:CB30" si="221">SUM(BW26:CA26)</f>
        <v>0</v>
      </c>
      <c r="CC26" s="1027"/>
      <c r="CD26" s="1028"/>
      <c r="CE26" s="1028"/>
      <c r="CF26" s="1028"/>
      <c r="CG26" s="1029"/>
      <c r="CH26" s="1030">
        <f t="shared" ref="CH26:CH30" si="222">SUM(CC26:CG26)</f>
        <v>0</v>
      </c>
      <c r="CI26" s="1027"/>
      <c r="CJ26" s="1028"/>
      <c r="CK26" s="1028"/>
      <c r="CL26" s="1028"/>
      <c r="CM26" s="1029"/>
      <c r="CN26" s="1030">
        <f t="shared" ref="CN26:CN30" si="223">SUM(CI26:CM26)</f>
        <v>0</v>
      </c>
      <c r="CO26" s="1027"/>
      <c r="CP26" s="1028"/>
      <c r="CQ26" s="1028"/>
      <c r="CR26" s="1028"/>
      <c r="CS26" s="1029"/>
      <c r="CT26" s="1030">
        <f t="shared" ref="CT26:CT30" si="224">SUM(CO26:CS26)</f>
        <v>0</v>
      </c>
      <c r="CU26" s="1027"/>
      <c r="CV26" s="1028"/>
      <c r="CW26" s="1028"/>
      <c r="CX26" s="1028"/>
      <c r="CY26" s="1029"/>
      <c r="CZ26" s="1030">
        <f t="shared" ref="CZ26:CZ30" si="225">SUM(CU26:CY26)</f>
        <v>0</v>
      </c>
      <c r="DA26" s="1027"/>
      <c r="DB26" s="1028"/>
      <c r="DC26" s="1028"/>
      <c r="DD26" s="1028"/>
      <c r="DE26" s="1029"/>
      <c r="DF26" s="1030">
        <f t="shared" ref="DF26:DF30" si="226">SUM(DA26:DE26)</f>
        <v>0</v>
      </c>
      <c r="DG26" s="1027"/>
      <c r="DH26" s="1028"/>
      <c r="DI26" s="1028"/>
      <c r="DJ26" s="1028"/>
      <c r="DK26" s="1029"/>
      <c r="DL26" s="1030">
        <f t="shared" ref="DL26:DL30" si="227">SUM(DG26:DK26)</f>
        <v>0</v>
      </c>
      <c r="DM26" s="1027"/>
      <c r="DN26" s="1028"/>
      <c r="DO26" s="1028"/>
      <c r="DP26" s="1028"/>
      <c r="DQ26" s="1029"/>
      <c r="DR26" s="1030">
        <f t="shared" ref="DR26:DR30" si="228">SUM(DM26:DQ26)</f>
        <v>0</v>
      </c>
      <c r="DS26" s="1027"/>
      <c r="DT26" s="1028"/>
      <c r="DU26" s="1028"/>
      <c r="DV26" s="1028"/>
      <c r="DW26" s="1029"/>
      <c r="DX26" s="1030">
        <f t="shared" ref="DX26:DX30" si="229">SUM(DS26:DW26)</f>
        <v>0</v>
      </c>
      <c r="DY26" s="1027"/>
      <c r="DZ26" s="1028"/>
      <c r="EA26" s="1028"/>
      <c r="EB26" s="1028"/>
      <c r="EC26" s="1029"/>
      <c r="ED26" s="1030">
        <f t="shared" ref="ED26:ED30" si="230">SUM(DY26:EC26)</f>
        <v>0</v>
      </c>
      <c r="EE26" s="1027"/>
      <c r="EF26" s="1028"/>
      <c r="EG26" s="1028"/>
      <c r="EH26" s="1028"/>
      <c r="EI26" s="1029"/>
      <c r="EJ26" s="1030">
        <f t="shared" ref="EJ26:EJ30" si="231">SUM(EE26:EI26)</f>
        <v>0</v>
      </c>
      <c r="EK26" s="1027"/>
      <c r="EL26" s="1028"/>
      <c r="EM26" s="1028"/>
      <c r="EN26" s="1028"/>
      <c r="EO26" s="1029"/>
      <c r="EP26" s="1030">
        <f t="shared" ref="EP26:EP30" si="232">SUM(EK26:EO26)</f>
        <v>0</v>
      </c>
      <c r="EQ26" s="1027"/>
      <c r="ER26" s="1028"/>
      <c r="ES26" s="1028"/>
      <c r="ET26" s="1028"/>
      <c r="EU26" s="1029"/>
      <c r="EV26" s="1030">
        <f t="shared" ref="EV26:EV30" si="233">SUM(EQ26:EU26)</f>
        <v>0</v>
      </c>
      <c r="EW26" s="1027"/>
      <c r="EX26" s="1028"/>
      <c r="EY26" s="1028"/>
      <c r="EZ26" s="1028"/>
      <c r="FA26" s="1029"/>
      <c r="FB26" s="1030">
        <f t="shared" ref="FB26:FB30" si="234">SUM(EW26:FA26)</f>
        <v>0</v>
      </c>
      <c r="FC26" s="1027"/>
      <c r="FD26" s="1028"/>
      <c r="FE26" s="1028"/>
      <c r="FF26" s="1028"/>
      <c r="FG26" s="1029"/>
      <c r="FH26" s="1030">
        <f t="shared" ref="FH26:FH30" si="235">SUM(FC26:FG26)</f>
        <v>0</v>
      </c>
      <c r="FI26" s="1027"/>
      <c r="FJ26" s="1028"/>
      <c r="FK26" s="1028"/>
      <c r="FL26" s="1028"/>
      <c r="FM26" s="1029"/>
      <c r="FN26" s="1030">
        <f t="shared" ref="FN26:FN30" si="236">SUM(FI26:FM26)</f>
        <v>0</v>
      </c>
      <c r="FO26" s="1027"/>
      <c r="FP26" s="1028"/>
      <c r="FQ26" s="1028"/>
      <c r="FR26" s="1028"/>
      <c r="FS26" s="1029"/>
      <c r="FT26" s="1030">
        <f t="shared" ref="FT26:FT30" si="237">SUM(FO26:FS26)</f>
        <v>0</v>
      </c>
      <c r="FU26" s="1027"/>
      <c r="FV26" s="1028"/>
      <c r="FW26" s="1028"/>
      <c r="FX26" s="1028"/>
      <c r="FY26" s="1029"/>
      <c r="FZ26" s="1030">
        <f t="shared" ref="FZ26:FZ30" si="238">SUM(FU26:FY26)</f>
        <v>0</v>
      </c>
      <c r="GA26" s="1027"/>
      <c r="GB26" s="1028"/>
      <c r="GC26" s="1028"/>
      <c r="GD26" s="1028"/>
      <c r="GE26" s="1029"/>
      <c r="GF26" s="1030">
        <f t="shared" ref="GF26:GF30" si="239">SUM(GA26:GE26)</f>
        <v>0</v>
      </c>
      <c r="GG26" s="1027" t="str">
        <f t="shared" si="94"/>
        <v/>
      </c>
      <c r="GH26" s="1028">
        <f t="shared" ref="GH26:GL26" si="208">+GB26+FV26+FP26+FJ26+FD26+EX26+ER26+EL26+EF26+DZ26+DT26+DN26+DH26+DB26+CV26+CP26+CJ26+CD26+BX26+BR26+BL26+BF26++AZ26+AT26+AN26+AH26+AB26+V26+P26+J26+D26</f>
        <v>0</v>
      </c>
      <c r="GI26" s="1028">
        <f t="shared" si="208"/>
        <v>0</v>
      </c>
      <c r="GJ26" s="1028">
        <f t="shared" si="208"/>
        <v>0</v>
      </c>
      <c r="GK26" s="1029">
        <f t="shared" si="208"/>
        <v>0</v>
      </c>
      <c r="GL26" s="1030">
        <f t="shared" si="208"/>
        <v>0</v>
      </c>
      <c r="GM26" s="1031">
        <f t="shared" ref="GM26:GM29" si="241">+GK26+GJ26+GI26+GH26+GG26</f>
        <v>0</v>
      </c>
    </row>
    <row r="27" ht="15.75" customHeight="1">
      <c r="B27" s="1032" t="s">
        <v>645</v>
      </c>
      <c r="C27" s="1033"/>
      <c r="D27" s="1034"/>
      <c r="E27" s="1035">
        <f>'ORDER SENT'!H27</f>
        <v>0</v>
      </c>
      <c r="F27" s="1035">
        <f t="shared" ref="F27:F30" si="242">+C27+D27-E27</f>
        <v>0</v>
      </c>
      <c r="G27" s="1036"/>
      <c r="H27" s="1037">
        <f t="shared" si="209"/>
        <v>0</v>
      </c>
      <c r="I27" s="1038" t="str">
        <f t="shared" ref="I27:I30" si="243">G27</f>
        <v/>
      </c>
      <c r="J27" s="1034"/>
      <c r="K27" s="1035">
        <f>'ORDER SENT'!N27</f>
        <v>0</v>
      </c>
      <c r="L27" s="1035">
        <f t="shared" ref="L27:L30" si="244">+I27+J27-K27</f>
        <v>0</v>
      </c>
      <c r="M27" s="1036"/>
      <c r="N27" s="1037">
        <f t="shared" si="210"/>
        <v>0</v>
      </c>
      <c r="O27" s="1038" t="str">
        <f t="shared" ref="O27:O30" si="245">M27</f>
        <v/>
      </c>
      <c r="P27" s="1034"/>
      <c r="Q27" s="1035">
        <f>'ORDER SENT'!T27</f>
        <v>0</v>
      </c>
      <c r="R27" s="1035">
        <f t="shared" ref="R27:R30" si="246">+O27+P27-Q27</f>
        <v>0</v>
      </c>
      <c r="S27" s="1036"/>
      <c r="T27" s="1037">
        <f t="shared" si="211"/>
        <v>0</v>
      </c>
      <c r="U27" s="1038" t="str">
        <f t="shared" ref="U27:U30" si="247">S27</f>
        <v/>
      </c>
      <c r="V27" s="1034"/>
      <c r="W27" s="1035">
        <f>'ORDER SENT'!Z27</f>
        <v>0</v>
      </c>
      <c r="X27" s="1035">
        <f t="shared" ref="X27:X30" si="248">+U27+V27-W27</f>
        <v>0</v>
      </c>
      <c r="Y27" s="1036"/>
      <c r="Z27" s="1037">
        <f t="shared" si="212"/>
        <v>0</v>
      </c>
      <c r="AA27" s="1038" t="str">
        <f t="shared" ref="AA27:AA30" si="249">Y27</f>
        <v/>
      </c>
      <c r="AB27" s="1034"/>
      <c r="AC27" s="1035">
        <f>'ORDER SENT'!AF27</f>
        <v>0</v>
      </c>
      <c r="AD27" s="1035">
        <f t="shared" ref="AD27:AD30" si="250">+AA27+AB27-AC27</f>
        <v>0</v>
      </c>
      <c r="AE27" s="1036"/>
      <c r="AF27" s="1037">
        <f t="shared" si="213"/>
        <v>0</v>
      </c>
      <c r="AG27" s="1038" t="str">
        <f t="shared" ref="AG27:AG30" si="251">AE27</f>
        <v/>
      </c>
      <c r="AH27" s="1034"/>
      <c r="AI27" s="1035">
        <f>'ORDER SENT'!AL27</f>
        <v>0</v>
      </c>
      <c r="AJ27" s="1035">
        <f t="shared" ref="AJ27:AJ30" si="252">+AG27+AH27-AI27</f>
        <v>0</v>
      </c>
      <c r="AK27" s="1036"/>
      <c r="AL27" s="1037">
        <f t="shared" si="214"/>
        <v>0</v>
      </c>
      <c r="AM27" s="1038" t="str">
        <f t="shared" ref="AM27:AM30" si="253">AK27</f>
        <v/>
      </c>
      <c r="AN27" s="1034"/>
      <c r="AO27" s="1035">
        <f>'ORDER SENT'!AR27</f>
        <v>0</v>
      </c>
      <c r="AP27" s="1035">
        <f t="shared" ref="AP27:AP30" si="254">+AM27+AN27-AO27</f>
        <v>0</v>
      </c>
      <c r="AQ27" s="1036"/>
      <c r="AR27" s="1037">
        <f t="shared" si="215"/>
        <v>0</v>
      </c>
      <c r="AS27" s="1038" t="str">
        <f t="shared" ref="AS27:AS30" si="255">AQ27</f>
        <v/>
      </c>
      <c r="AT27" s="1034"/>
      <c r="AU27" s="1035">
        <f>'ORDER SENT'!AX27</f>
        <v>0</v>
      </c>
      <c r="AV27" s="1035">
        <f t="shared" ref="AV27:AV30" si="256">+AS27+AT27-AU27</f>
        <v>0</v>
      </c>
      <c r="AW27" s="1036"/>
      <c r="AX27" s="1037">
        <f t="shared" si="216"/>
        <v>0</v>
      </c>
      <c r="AY27" s="1038" t="str">
        <f t="shared" ref="AY27:AY30" si="257">AW27</f>
        <v/>
      </c>
      <c r="AZ27" s="1034"/>
      <c r="BA27" s="1035">
        <f>'ORDER SENT'!BD27</f>
        <v>0</v>
      </c>
      <c r="BB27" s="1035">
        <f t="shared" ref="BB27:BB30" si="258">+AY27+AZ27-BA27</f>
        <v>0</v>
      </c>
      <c r="BC27" s="1036"/>
      <c r="BD27" s="1037">
        <f t="shared" si="217"/>
        <v>0</v>
      </c>
      <c r="BE27" s="1038" t="str">
        <f t="shared" ref="BE27:BE30" si="259">BC27</f>
        <v/>
      </c>
      <c r="BF27" s="1034"/>
      <c r="BG27" s="1035">
        <f>'ORDER SENT'!BJ27</f>
        <v>0</v>
      </c>
      <c r="BH27" s="1035">
        <f t="shared" ref="BH27:BH30" si="260">+BE27+BF27-BG27</f>
        <v>0</v>
      </c>
      <c r="BI27" s="1036"/>
      <c r="BJ27" s="1037">
        <f t="shared" si="218"/>
        <v>0</v>
      </c>
      <c r="BK27" s="1038" t="str">
        <f t="shared" ref="BK27:BK30" si="261">BI27</f>
        <v/>
      </c>
      <c r="BL27" s="1034"/>
      <c r="BM27" s="1035">
        <f>'ORDER SENT'!BP27</f>
        <v>0</v>
      </c>
      <c r="BN27" s="1035">
        <f t="shared" ref="BN27:BN30" si="262">+BK27+BL27-BM27</f>
        <v>0</v>
      </c>
      <c r="BO27" s="1036"/>
      <c r="BP27" s="1037">
        <f t="shared" si="219"/>
        <v>0</v>
      </c>
      <c r="BQ27" s="1038" t="str">
        <f t="shared" ref="BQ27:BQ30" si="263">BO27</f>
        <v/>
      </c>
      <c r="BR27" s="1034"/>
      <c r="BS27" s="1035">
        <f>'ORDER SENT'!BV27</f>
        <v>0</v>
      </c>
      <c r="BT27" s="1035">
        <f t="shared" ref="BT27:BT30" si="264">+BQ27+BR27-BS27</f>
        <v>0</v>
      </c>
      <c r="BU27" s="1036"/>
      <c r="BV27" s="1037">
        <f t="shared" si="220"/>
        <v>0</v>
      </c>
      <c r="BW27" s="1038" t="str">
        <f t="shared" ref="BW27:BW30" si="265">BU27</f>
        <v/>
      </c>
      <c r="BX27" s="1034"/>
      <c r="BY27" s="1035">
        <f>'ORDER SENT'!CB27</f>
        <v>0</v>
      </c>
      <c r="BZ27" s="1035">
        <f t="shared" ref="BZ27:BZ30" si="266">+BW27+BX27-BY27</f>
        <v>0</v>
      </c>
      <c r="CA27" s="1036"/>
      <c r="CB27" s="1037">
        <f t="shared" si="221"/>
        <v>0</v>
      </c>
      <c r="CC27" s="1038" t="str">
        <f t="shared" ref="CC27:CC30" si="267">CA27</f>
        <v/>
      </c>
      <c r="CD27" s="1034"/>
      <c r="CE27" s="1035">
        <f>'ORDER SENT'!CH27</f>
        <v>0</v>
      </c>
      <c r="CF27" s="1035">
        <f t="shared" ref="CF27:CF30" si="268">+CC27+CD27-CE27</f>
        <v>0</v>
      </c>
      <c r="CG27" s="1036"/>
      <c r="CH27" s="1037">
        <f t="shared" si="222"/>
        <v>0</v>
      </c>
      <c r="CI27" s="1038" t="str">
        <f t="shared" ref="CI27:CI30" si="269">CG27</f>
        <v/>
      </c>
      <c r="CJ27" s="1034"/>
      <c r="CK27" s="1035">
        <f>'ORDER SENT'!CN27</f>
        <v>0</v>
      </c>
      <c r="CL27" s="1035">
        <f t="shared" ref="CL27:CL30" si="270">+CI27+CJ27-CK27</f>
        <v>0</v>
      </c>
      <c r="CM27" s="1036"/>
      <c r="CN27" s="1037">
        <f t="shared" si="223"/>
        <v>0</v>
      </c>
      <c r="CO27" s="1038" t="str">
        <f t="shared" ref="CO27:CO30" si="271">CM27</f>
        <v/>
      </c>
      <c r="CP27" s="1034"/>
      <c r="CQ27" s="1035">
        <f>'ORDER SENT'!CT27</f>
        <v>0</v>
      </c>
      <c r="CR27" s="1035">
        <f t="shared" ref="CR27:CR30" si="272">+CO27+CP27-CQ27</f>
        <v>0</v>
      </c>
      <c r="CS27" s="1036"/>
      <c r="CT27" s="1037">
        <f t="shared" si="224"/>
        <v>0</v>
      </c>
      <c r="CU27" s="1038" t="str">
        <f t="shared" ref="CU27:CU30" si="273">CS27</f>
        <v/>
      </c>
      <c r="CV27" s="1034"/>
      <c r="CW27" s="1035">
        <f>'ORDER SENT'!CZ27</f>
        <v>0</v>
      </c>
      <c r="CX27" s="1035">
        <f t="shared" ref="CX27:CX30" si="274">+CU27+CV27-CW27</f>
        <v>0</v>
      </c>
      <c r="CY27" s="1036"/>
      <c r="CZ27" s="1037">
        <f t="shared" si="225"/>
        <v>0</v>
      </c>
      <c r="DA27" s="1038" t="str">
        <f t="shared" ref="DA27:DA30" si="275">CY27</f>
        <v/>
      </c>
      <c r="DB27" s="1034"/>
      <c r="DC27" s="1035">
        <f>'ORDER SENT'!DF27</f>
        <v>0</v>
      </c>
      <c r="DD27" s="1035">
        <f t="shared" ref="DD27:DD30" si="276">+DA27+DB27-DC27</f>
        <v>0</v>
      </c>
      <c r="DE27" s="1036"/>
      <c r="DF27" s="1037">
        <f t="shared" si="226"/>
        <v>0</v>
      </c>
      <c r="DG27" s="1038" t="str">
        <f t="shared" ref="DG27:DG30" si="277">DE27</f>
        <v/>
      </c>
      <c r="DH27" s="1034"/>
      <c r="DI27" s="1035">
        <f>'ORDER SENT'!DL27</f>
        <v>0</v>
      </c>
      <c r="DJ27" s="1035">
        <f t="shared" ref="DJ27:DJ30" si="278">+DG27+DH27-DI27</f>
        <v>0</v>
      </c>
      <c r="DK27" s="1036"/>
      <c r="DL27" s="1037">
        <f t="shared" si="227"/>
        <v>0</v>
      </c>
      <c r="DM27" s="1038" t="str">
        <f t="shared" ref="DM27:DM30" si="279">DK27</f>
        <v/>
      </c>
      <c r="DN27" s="1034"/>
      <c r="DO27" s="1035">
        <f>'ORDER SENT'!DR27</f>
        <v>0</v>
      </c>
      <c r="DP27" s="1035">
        <f t="shared" ref="DP27:DP30" si="280">+DM27+DN27-DO27</f>
        <v>0</v>
      </c>
      <c r="DQ27" s="1036"/>
      <c r="DR27" s="1037">
        <f t="shared" si="228"/>
        <v>0</v>
      </c>
      <c r="DS27" s="1038" t="str">
        <f t="shared" ref="DS27:DS30" si="281">DQ27</f>
        <v/>
      </c>
      <c r="DT27" s="1034"/>
      <c r="DU27" s="1035">
        <f>'ORDER SENT'!DX27</f>
        <v>0</v>
      </c>
      <c r="DV27" s="1035">
        <f t="shared" ref="DV27:DV30" si="282">+DS27+DT27-DU27</f>
        <v>0</v>
      </c>
      <c r="DW27" s="1036"/>
      <c r="DX27" s="1037">
        <f t="shared" si="229"/>
        <v>0</v>
      </c>
      <c r="DY27" s="1038" t="str">
        <f t="shared" ref="DY27:DY30" si="283">DW27</f>
        <v/>
      </c>
      <c r="DZ27" s="1034"/>
      <c r="EA27" s="1035">
        <f>'ORDER SENT'!ED27</f>
        <v>0</v>
      </c>
      <c r="EB27" s="1035">
        <f t="shared" ref="EB27:EB30" si="284">+DY27+DZ27-EA27</f>
        <v>0</v>
      </c>
      <c r="EC27" s="1036"/>
      <c r="ED27" s="1037">
        <f t="shared" si="230"/>
        <v>0</v>
      </c>
      <c r="EE27" s="1038" t="str">
        <f t="shared" ref="EE27:EE30" si="285">EC27</f>
        <v/>
      </c>
      <c r="EF27" s="1034"/>
      <c r="EG27" s="1035">
        <f>'ORDER SENT'!EJ27</f>
        <v>0</v>
      </c>
      <c r="EH27" s="1035">
        <f t="shared" ref="EH27:EH30" si="286">+EE27+EF27-EG27</f>
        <v>0</v>
      </c>
      <c r="EI27" s="1036"/>
      <c r="EJ27" s="1037">
        <f t="shared" si="231"/>
        <v>0</v>
      </c>
      <c r="EK27" s="1038" t="str">
        <f t="shared" ref="EK27:EK30" si="287">EI27</f>
        <v/>
      </c>
      <c r="EL27" s="1034"/>
      <c r="EM27" s="1035">
        <f>'ORDER SENT'!EP27</f>
        <v>0</v>
      </c>
      <c r="EN27" s="1035">
        <f t="shared" ref="EN27:EN30" si="288">+EK27+EL27-EM27</f>
        <v>0</v>
      </c>
      <c r="EO27" s="1036"/>
      <c r="EP27" s="1037">
        <f t="shared" si="232"/>
        <v>0</v>
      </c>
      <c r="EQ27" s="1038" t="str">
        <f t="shared" ref="EQ27:EQ30" si="289">EO27</f>
        <v/>
      </c>
      <c r="ER27" s="1034"/>
      <c r="ES27" s="1035">
        <f>'ORDER SENT'!EV27</f>
        <v>0</v>
      </c>
      <c r="ET27" s="1035">
        <f t="shared" ref="ET27:ET30" si="290">+EQ27+ER27-ES27</f>
        <v>0</v>
      </c>
      <c r="EU27" s="1036"/>
      <c r="EV27" s="1037">
        <f t="shared" si="233"/>
        <v>0</v>
      </c>
      <c r="EW27" s="1038" t="str">
        <f t="shared" ref="EW27:EW30" si="291">EU27</f>
        <v/>
      </c>
      <c r="EX27" s="1034"/>
      <c r="EY27" s="1035">
        <f>'ORDER SENT'!FB27</f>
        <v>0</v>
      </c>
      <c r="EZ27" s="1035">
        <f t="shared" ref="EZ27:EZ30" si="292">+EW27+EX27-EY27</f>
        <v>0</v>
      </c>
      <c r="FA27" s="1036"/>
      <c r="FB27" s="1037">
        <f t="shared" si="234"/>
        <v>0</v>
      </c>
      <c r="FC27" s="1038" t="str">
        <f t="shared" ref="FC27:FC30" si="293">FA27</f>
        <v/>
      </c>
      <c r="FD27" s="1034"/>
      <c r="FE27" s="1035">
        <f>'ORDER SENT'!FH27</f>
        <v>0</v>
      </c>
      <c r="FF27" s="1035">
        <f t="shared" ref="FF27:FF30" si="294">+FC27+FD27-FE27</f>
        <v>0</v>
      </c>
      <c r="FG27" s="1036"/>
      <c r="FH27" s="1037">
        <f t="shared" si="235"/>
        <v>0</v>
      </c>
      <c r="FI27" s="1038" t="str">
        <f t="shared" ref="FI27:FI30" si="295">FG27</f>
        <v/>
      </c>
      <c r="FJ27" s="1034"/>
      <c r="FK27" s="1035">
        <f>'ORDER SENT'!FN27</f>
        <v>0</v>
      </c>
      <c r="FL27" s="1035">
        <f t="shared" ref="FL27:FL30" si="296">+FI27+FJ27-FK27</f>
        <v>0</v>
      </c>
      <c r="FM27" s="1036"/>
      <c r="FN27" s="1037">
        <f t="shared" si="236"/>
        <v>0</v>
      </c>
      <c r="FO27" s="1038" t="str">
        <f t="shared" ref="FO27:FO30" si="297">FM27</f>
        <v/>
      </c>
      <c r="FP27" s="1034"/>
      <c r="FQ27" s="1035">
        <f>'ORDER SENT'!FT27</f>
        <v>0</v>
      </c>
      <c r="FR27" s="1035">
        <f t="shared" ref="FR27:FR30" si="298">+FO27+FP27-FQ27</f>
        <v>0</v>
      </c>
      <c r="FS27" s="1036"/>
      <c r="FT27" s="1037">
        <f t="shared" si="237"/>
        <v>0</v>
      </c>
      <c r="FU27" s="1038" t="str">
        <f t="shared" ref="FU27:FU30" si="299">FS27</f>
        <v/>
      </c>
      <c r="FV27" s="1034"/>
      <c r="FW27" s="1035">
        <f>'ORDER SENT'!FZ27</f>
        <v>0</v>
      </c>
      <c r="FX27" s="1035">
        <f t="shared" ref="FX27:FX30" si="300">+FU27+FV27-FW27</f>
        <v>0</v>
      </c>
      <c r="FY27" s="1036"/>
      <c r="FZ27" s="1037">
        <f t="shared" si="238"/>
        <v>0</v>
      </c>
      <c r="GA27" s="1038" t="str">
        <f t="shared" ref="GA27:GA30" si="301">FY27</f>
        <v/>
      </c>
      <c r="GB27" s="1034"/>
      <c r="GC27" s="1035">
        <f>'ORDER SENT'!GF27</f>
        <v>0</v>
      </c>
      <c r="GD27" s="1035">
        <f t="shared" ref="GD27:GD30" si="302">+GA27+GB27-GC27</f>
        <v>0</v>
      </c>
      <c r="GE27" s="1036"/>
      <c r="GF27" s="1037">
        <f t="shared" si="239"/>
        <v>0</v>
      </c>
      <c r="GG27" s="1038" t="str">
        <f t="shared" si="94"/>
        <v/>
      </c>
      <c r="GH27" s="1035">
        <f t="shared" ref="GH27:GL27" si="240">+GB27+FV27+FP27+FJ27+FD27+EX27+ER27+EL27+EF27+DZ27+DT27+DN27+DH27+DB27+CV27+CP27+CJ27+CD27+BX27+BR27+BL27+BF27++AZ27+AT27+AN27+AH27+AB27+V27+P27+J27+D27</f>
        <v>0</v>
      </c>
      <c r="GI27" s="1035">
        <f t="shared" si="240"/>
        <v>0</v>
      </c>
      <c r="GJ27" s="1035">
        <f t="shared" si="240"/>
        <v>0</v>
      </c>
      <c r="GK27" s="1040">
        <f t="shared" si="240"/>
        <v>0</v>
      </c>
      <c r="GL27" s="1037">
        <f t="shared" si="240"/>
        <v>0</v>
      </c>
      <c r="GM27" s="1041">
        <f t="shared" si="241"/>
        <v>0</v>
      </c>
    </row>
    <row r="28" ht="15.75" customHeight="1">
      <c r="B28" s="1042" t="s">
        <v>635</v>
      </c>
      <c r="C28" s="1043"/>
      <c r="D28" s="1039"/>
      <c r="E28" s="1047">
        <f>'ORDER SENT'!H28</f>
        <v>0</v>
      </c>
      <c r="F28" s="1047">
        <f t="shared" si="242"/>
        <v>0</v>
      </c>
      <c r="G28" s="1044"/>
      <c r="H28" s="1045">
        <f t="shared" si="209"/>
        <v>0</v>
      </c>
      <c r="I28" s="1038" t="str">
        <f t="shared" si="243"/>
        <v/>
      </c>
      <c r="J28" s="1034"/>
      <c r="K28" s="1035">
        <f>'ORDER SENT'!N28</f>
        <v>0</v>
      </c>
      <c r="L28" s="1035">
        <f t="shared" si="244"/>
        <v>0</v>
      </c>
      <c r="M28" s="1036"/>
      <c r="N28" s="1037">
        <f t="shared" si="210"/>
        <v>0</v>
      </c>
      <c r="O28" s="1038" t="str">
        <f t="shared" si="245"/>
        <v/>
      </c>
      <c r="P28" s="1034"/>
      <c r="Q28" s="1035">
        <f>'ORDER SENT'!T28</f>
        <v>0</v>
      </c>
      <c r="R28" s="1035">
        <f t="shared" si="246"/>
        <v>0</v>
      </c>
      <c r="S28" s="1036"/>
      <c r="T28" s="1037">
        <f t="shared" si="211"/>
        <v>0</v>
      </c>
      <c r="U28" s="1038" t="str">
        <f t="shared" si="247"/>
        <v/>
      </c>
      <c r="V28" s="1034"/>
      <c r="W28" s="1035">
        <f>'ORDER SENT'!Z28</f>
        <v>0</v>
      </c>
      <c r="X28" s="1035">
        <f t="shared" si="248"/>
        <v>0</v>
      </c>
      <c r="Y28" s="1036"/>
      <c r="Z28" s="1037">
        <f t="shared" si="212"/>
        <v>0</v>
      </c>
      <c r="AA28" s="1038" t="str">
        <f t="shared" si="249"/>
        <v/>
      </c>
      <c r="AB28" s="1034"/>
      <c r="AC28" s="1035">
        <f>'ORDER SENT'!AF28</f>
        <v>0</v>
      </c>
      <c r="AD28" s="1035">
        <f t="shared" si="250"/>
        <v>0</v>
      </c>
      <c r="AE28" s="1036"/>
      <c r="AF28" s="1037">
        <f t="shared" si="213"/>
        <v>0</v>
      </c>
      <c r="AG28" s="1038" t="str">
        <f t="shared" si="251"/>
        <v/>
      </c>
      <c r="AH28" s="1034"/>
      <c r="AI28" s="1035">
        <f>'ORDER SENT'!AL28</f>
        <v>0</v>
      </c>
      <c r="AJ28" s="1035">
        <f t="shared" si="252"/>
        <v>0</v>
      </c>
      <c r="AK28" s="1036"/>
      <c r="AL28" s="1037">
        <f t="shared" si="214"/>
        <v>0</v>
      </c>
      <c r="AM28" s="1038" t="str">
        <f t="shared" si="253"/>
        <v/>
      </c>
      <c r="AN28" s="1034"/>
      <c r="AO28" s="1035">
        <f>'ORDER SENT'!AR28</f>
        <v>0</v>
      </c>
      <c r="AP28" s="1035">
        <f t="shared" si="254"/>
        <v>0</v>
      </c>
      <c r="AQ28" s="1036"/>
      <c r="AR28" s="1037">
        <f t="shared" si="215"/>
        <v>0</v>
      </c>
      <c r="AS28" s="1038" t="str">
        <f t="shared" si="255"/>
        <v/>
      </c>
      <c r="AT28" s="1034"/>
      <c r="AU28" s="1035">
        <f>'ORDER SENT'!AX28</f>
        <v>0</v>
      </c>
      <c r="AV28" s="1035">
        <f t="shared" si="256"/>
        <v>0</v>
      </c>
      <c r="AW28" s="1036"/>
      <c r="AX28" s="1037">
        <f t="shared" si="216"/>
        <v>0</v>
      </c>
      <c r="AY28" s="1038" t="str">
        <f t="shared" si="257"/>
        <v/>
      </c>
      <c r="AZ28" s="1034"/>
      <c r="BA28" s="1035">
        <f>'ORDER SENT'!BD28</f>
        <v>0</v>
      </c>
      <c r="BB28" s="1035">
        <f t="shared" si="258"/>
        <v>0</v>
      </c>
      <c r="BC28" s="1036"/>
      <c r="BD28" s="1037">
        <f t="shared" si="217"/>
        <v>0</v>
      </c>
      <c r="BE28" s="1038" t="str">
        <f t="shared" si="259"/>
        <v/>
      </c>
      <c r="BF28" s="1034"/>
      <c r="BG28" s="1035">
        <f>'ORDER SENT'!BJ28</f>
        <v>0</v>
      </c>
      <c r="BH28" s="1035">
        <f t="shared" si="260"/>
        <v>0</v>
      </c>
      <c r="BI28" s="1036"/>
      <c r="BJ28" s="1037">
        <f t="shared" si="218"/>
        <v>0</v>
      </c>
      <c r="BK28" s="1038" t="str">
        <f t="shared" si="261"/>
        <v/>
      </c>
      <c r="BL28" s="1034"/>
      <c r="BM28" s="1035">
        <f>'ORDER SENT'!BP28</f>
        <v>0</v>
      </c>
      <c r="BN28" s="1035">
        <f t="shared" si="262"/>
        <v>0</v>
      </c>
      <c r="BO28" s="1036"/>
      <c r="BP28" s="1037">
        <f t="shared" si="219"/>
        <v>0</v>
      </c>
      <c r="BQ28" s="1038" t="str">
        <f t="shared" si="263"/>
        <v/>
      </c>
      <c r="BR28" s="1034"/>
      <c r="BS28" s="1035">
        <f>'ORDER SENT'!BV28</f>
        <v>0</v>
      </c>
      <c r="BT28" s="1035">
        <f t="shared" si="264"/>
        <v>0</v>
      </c>
      <c r="BU28" s="1036"/>
      <c r="BV28" s="1037">
        <f t="shared" si="220"/>
        <v>0</v>
      </c>
      <c r="BW28" s="1038" t="str">
        <f t="shared" si="265"/>
        <v/>
      </c>
      <c r="BX28" s="1034"/>
      <c r="BY28" s="1035">
        <f>'ORDER SENT'!CB28</f>
        <v>0</v>
      </c>
      <c r="BZ28" s="1035">
        <f t="shared" si="266"/>
        <v>0</v>
      </c>
      <c r="CA28" s="1036"/>
      <c r="CB28" s="1037">
        <f t="shared" si="221"/>
        <v>0</v>
      </c>
      <c r="CC28" s="1038" t="str">
        <f t="shared" si="267"/>
        <v/>
      </c>
      <c r="CD28" s="1034"/>
      <c r="CE28" s="1035">
        <f>'ORDER SENT'!CH28</f>
        <v>0</v>
      </c>
      <c r="CF28" s="1035">
        <f t="shared" si="268"/>
        <v>0</v>
      </c>
      <c r="CG28" s="1036"/>
      <c r="CH28" s="1037">
        <f t="shared" si="222"/>
        <v>0</v>
      </c>
      <c r="CI28" s="1038" t="str">
        <f t="shared" si="269"/>
        <v/>
      </c>
      <c r="CJ28" s="1034"/>
      <c r="CK28" s="1035">
        <f>'ORDER SENT'!CN28</f>
        <v>0</v>
      </c>
      <c r="CL28" s="1035">
        <f t="shared" si="270"/>
        <v>0</v>
      </c>
      <c r="CM28" s="1036"/>
      <c r="CN28" s="1037">
        <f t="shared" si="223"/>
        <v>0</v>
      </c>
      <c r="CO28" s="1038" t="str">
        <f t="shared" si="271"/>
        <v/>
      </c>
      <c r="CP28" s="1034"/>
      <c r="CQ28" s="1035">
        <f>'ORDER SENT'!CT28</f>
        <v>0</v>
      </c>
      <c r="CR28" s="1035">
        <f t="shared" si="272"/>
        <v>0</v>
      </c>
      <c r="CS28" s="1036"/>
      <c r="CT28" s="1037">
        <f t="shared" si="224"/>
        <v>0</v>
      </c>
      <c r="CU28" s="1038" t="str">
        <f t="shared" si="273"/>
        <v/>
      </c>
      <c r="CV28" s="1034"/>
      <c r="CW28" s="1035">
        <f>'ORDER SENT'!CZ28</f>
        <v>0</v>
      </c>
      <c r="CX28" s="1035">
        <f t="shared" si="274"/>
        <v>0</v>
      </c>
      <c r="CY28" s="1036"/>
      <c r="CZ28" s="1037">
        <f t="shared" si="225"/>
        <v>0</v>
      </c>
      <c r="DA28" s="1038" t="str">
        <f t="shared" si="275"/>
        <v/>
      </c>
      <c r="DB28" s="1034"/>
      <c r="DC28" s="1035">
        <f>'ORDER SENT'!DF28</f>
        <v>0</v>
      </c>
      <c r="DD28" s="1035">
        <f t="shared" si="276"/>
        <v>0</v>
      </c>
      <c r="DE28" s="1036"/>
      <c r="DF28" s="1037">
        <f t="shared" si="226"/>
        <v>0</v>
      </c>
      <c r="DG28" s="1038" t="str">
        <f t="shared" si="277"/>
        <v/>
      </c>
      <c r="DH28" s="1034"/>
      <c r="DI28" s="1035">
        <f>'ORDER SENT'!DL28</f>
        <v>0</v>
      </c>
      <c r="DJ28" s="1035">
        <f t="shared" si="278"/>
        <v>0</v>
      </c>
      <c r="DK28" s="1036"/>
      <c r="DL28" s="1037">
        <f t="shared" si="227"/>
        <v>0</v>
      </c>
      <c r="DM28" s="1038" t="str">
        <f t="shared" si="279"/>
        <v/>
      </c>
      <c r="DN28" s="1034"/>
      <c r="DO28" s="1035">
        <f>'ORDER SENT'!DR28</f>
        <v>0</v>
      </c>
      <c r="DP28" s="1035">
        <f t="shared" si="280"/>
        <v>0</v>
      </c>
      <c r="DQ28" s="1036"/>
      <c r="DR28" s="1037">
        <f t="shared" si="228"/>
        <v>0</v>
      </c>
      <c r="DS28" s="1038" t="str">
        <f t="shared" si="281"/>
        <v/>
      </c>
      <c r="DT28" s="1034"/>
      <c r="DU28" s="1035">
        <f>'ORDER SENT'!DX28</f>
        <v>0</v>
      </c>
      <c r="DV28" s="1035">
        <f t="shared" si="282"/>
        <v>0</v>
      </c>
      <c r="DW28" s="1036"/>
      <c r="DX28" s="1037">
        <f t="shared" si="229"/>
        <v>0</v>
      </c>
      <c r="DY28" s="1038" t="str">
        <f t="shared" si="283"/>
        <v/>
      </c>
      <c r="DZ28" s="1034"/>
      <c r="EA28" s="1035">
        <f>'ORDER SENT'!ED28</f>
        <v>0</v>
      </c>
      <c r="EB28" s="1035">
        <f t="shared" si="284"/>
        <v>0</v>
      </c>
      <c r="EC28" s="1036"/>
      <c r="ED28" s="1037">
        <f t="shared" si="230"/>
        <v>0</v>
      </c>
      <c r="EE28" s="1038" t="str">
        <f t="shared" si="285"/>
        <v/>
      </c>
      <c r="EF28" s="1034"/>
      <c r="EG28" s="1035">
        <f>'ORDER SENT'!EJ28</f>
        <v>0</v>
      </c>
      <c r="EH28" s="1035">
        <f t="shared" si="286"/>
        <v>0</v>
      </c>
      <c r="EI28" s="1036"/>
      <c r="EJ28" s="1037">
        <f t="shared" si="231"/>
        <v>0</v>
      </c>
      <c r="EK28" s="1038" t="str">
        <f t="shared" si="287"/>
        <v/>
      </c>
      <c r="EL28" s="1034"/>
      <c r="EM28" s="1035">
        <f>'ORDER SENT'!EP28</f>
        <v>0</v>
      </c>
      <c r="EN28" s="1035">
        <f t="shared" si="288"/>
        <v>0</v>
      </c>
      <c r="EO28" s="1036"/>
      <c r="EP28" s="1037">
        <f t="shared" si="232"/>
        <v>0</v>
      </c>
      <c r="EQ28" s="1038" t="str">
        <f t="shared" si="289"/>
        <v/>
      </c>
      <c r="ER28" s="1034"/>
      <c r="ES28" s="1035">
        <f>'ORDER SENT'!EV28</f>
        <v>0</v>
      </c>
      <c r="ET28" s="1035">
        <f t="shared" si="290"/>
        <v>0</v>
      </c>
      <c r="EU28" s="1036"/>
      <c r="EV28" s="1037">
        <f t="shared" si="233"/>
        <v>0</v>
      </c>
      <c r="EW28" s="1038" t="str">
        <f t="shared" si="291"/>
        <v/>
      </c>
      <c r="EX28" s="1034"/>
      <c r="EY28" s="1035">
        <f>'ORDER SENT'!FB28</f>
        <v>0</v>
      </c>
      <c r="EZ28" s="1035">
        <f t="shared" si="292"/>
        <v>0</v>
      </c>
      <c r="FA28" s="1036"/>
      <c r="FB28" s="1037">
        <f t="shared" si="234"/>
        <v>0</v>
      </c>
      <c r="FC28" s="1038" t="str">
        <f t="shared" si="293"/>
        <v/>
      </c>
      <c r="FD28" s="1034"/>
      <c r="FE28" s="1035">
        <f>'ORDER SENT'!FH28</f>
        <v>0</v>
      </c>
      <c r="FF28" s="1035">
        <f t="shared" si="294"/>
        <v>0</v>
      </c>
      <c r="FG28" s="1036"/>
      <c r="FH28" s="1037">
        <f t="shared" si="235"/>
        <v>0</v>
      </c>
      <c r="FI28" s="1038" t="str">
        <f t="shared" si="295"/>
        <v/>
      </c>
      <c r="FJ28" s="1034"/>
      <c r="FK28" s="1035">
        <f>'ORDER SENT'!FN28</f>
        <v>0</v>
      </c>
      <c r="FL28" s="1035">
        <f t="shared" si="296"/>
        <v>0</v>
      </c>
      <c r="FM28" s="1036"/>
      <c r="FN28" s="1037">
        <f t="shared" si="236"/>
        <v>0</v>
      </c>
      <c r="FO28" s="1038" t="str">
        <f t="shared" si="297"/>
        <v/>
      </c>
      <c r="FP28" s="1034"/>
      <c r="FQ28" s="1035">
        <f>'ORDER SENT'!FT28</f>
        <v>0</v>
      </c>
      <c r="FR28" s="1035">
        <f t="shared" si="298"/>
        <v>0</v>
      </c>
      <c r="FS28" s="1036"/>
      <c r="FT28" s="1037">
        <f t="shared" si="237"/>
        <v>0</v>
      </c>
      <c r="FU28" s="1038" t="str">
        <f t="shared" si="299"/>
        <v/>
      </c>
      <c r="FV28" s="1034"/>
      <c r="FW28" s="1035">
        <f>'ORDER SENT'!FZ28</f>
        <v>0</v>
      </c>
      <c r="FX28" s="1035">
        <f t="shared" si="300"/>
        <v>0</v>
      </c>
      <c r="FY28" s="1036"/>
      <c r="FZ28" s="1037">
        <f t="shared" si="238"/>
        <v>0</v>
      </c>
      <c r="GA28" s="1038" t="str">
        <f t="shared" si="301"/>
        <v/>
      </c>
      <c r="GB28" s="1034"/>
      <c r="GC28" s="1035">
        <f>'ORDER SENT'!GF28</f>
        <v>0</v>
      </c>
      <c r="GD28" s="1035">
        <f t="shared" si="302"/>
        <v>0</v>
      </c>
      <c r="GE28" s="1036"/>
      <c r="GF28" s="1037">
        <f t="shared" si="239"/>
        <v>0</v>
      </c>
      <c r="GG28" s="1046" t="str">
        <f t="shared" si="94"/>
        <v/>
      </c>
      <c r="GH28" s="1047">
        <f t="shared" ref="GH28:GL28" si="303">+GB28+FV28+FP28+FJ28+FD28+EX28+ER28+EL28+EF28+DZ28+DT28+DN28+DH28+DB28+CV28+CP28+CJ28+CD28+BX28+BR28+BL28+BF28++AZ28+AT28+AN28+AH28+AB28+V28+P28+J28+D28</f>
        <v>0</v>
      </c>
      <c r="GI28" s="1047">
        <f t="shared" si="303"/>
        <v>0</v>
      </c>
      <c r="GJ28" s="1047">
        <f t="shared" si="303"/>
        <v>0</v>
      </c>
      <c r="GK28" s="1048">
        <f t="shared" si="303"/>
        <v>0</v>
      </c>
      <c r="GL28" s="1045">
        <f t="shared" si="303"/>
        <v>0</v>
      </c>
      <c r="GM28" s="1049">
        <f t="shared" si="241"/>
        <v>0</v>
      </c>
    </row>
    <row r="29" ht="15.75" customHeight="1">
      <c r="B29" s="1042" t="s">
        <v>636</v>
      </c>
      <c r="C29" s="1043"/>
      <c r="D29" s="1039"/>
      <c r="E29" s="1047">
        <f>'ORDER SENT'!H29</f>
        <v>0</v>
      </c>
      <c r="F29" s="1047">
        <f t="shared" si="242"/>
        <v>0</v>
      </c>
      <c r="G29" s="1044"/>
      <c r="H29" s="1045">
        <f t="shared" si="209"/>
        <v>0</v>
      </c>
      <c r="I29" s="1038" t="str">
        <f t="shared" si="243"/>
        <v/>
      </c>
      <c r="J29" s="1034"/>
      <c r="K29" s="1035">
        <f>'ORDER SENT'!N29</f>
        <v>0</v>
      </c>
      <c r="L29" s="1035">
        <f t="shared" si="244"/>
        <v>0</v>
      </c>
      <c r="M29" s="1036"/>
      <c r="N29" s="1037">
        <f t="shared" si="210"/>
        <v>0</v>
      </c>
      <c r="O29" s="1038" t="str">
        <f t="shared" si="245"/>
        <v/>
      </c>
      <c r="P29" s="1034"/>
      <c r="Q29" s="1035">
        <f>'ORDER SENT'!T29</f>
        <v>0</v>
      </c>
      <c r="R29" s="1035">
        <f t="shared" si="246"/>
        <v>0</v>
      </c>
      <c r="S29" s="1036"/>
      <c r="T29" s="1037">
        <f t="shared" si="211"/>
        <v>0</v>
      </c>
      <c r="U29" s="1038" t="str">
        <f t="shared" si="247"/>
        <v/>
      </c>
      <c r="V29" s="1034"/>
      <c r="W29" s="1035">
        <f>'ORDER SENT'!Z29</f>
        <v>0</v>
      </c>
      <c r="X29" s="1035">
        <f t="shared" si="248"/>
        <v>0</v>
      </c>
      <c r="Y29" s="1036"/>
      <c r="Z29" s="1037">
        <f t="shared" si="212"/>
        <v>0</v>
      </c>
      <c r="AA29" s="1038" t="str">
        <f t="shared" si="249"/>
        <v/>
      </c>
      <c r="AB29" s="1034"/>
      <c r="AC29" s="1035">
        <f>'ORDER SENT'!AF29</f>
        <v>0</v>
      </c>
      <c r="AD29" s="1035">
        <f t="shared" si="250"/>
        <v>0</v>
      </c>
      <c r="AE29" s="1036"/>
      <c r="AF29" s="1037">
        <f t="shared" si="213"/>
        <v>0</v>
      </c>
      <c r="AG29" s="1038" t="str">
        <f t="shared" si="251"/>
        <v/>
      </c>
      <c r="AH29" s="1034"/>
      <c r="AI29" s="1035">
        <f>'ORDER SENT'!AL29</f>
        <v>0</v>
      </c>
      <c r="AJ29" s="1035">
        <f t="shared" si="252"/>
        <v>0</v>
      </c>
      <c r="AK29" s="1036"/>
      <c r="AL29" s="1037">
        <f t="shared" si="214"/>
        <v>0</v>
      </c>
      <c r="AM29" s="1038" t="str">
        <f t="shared" si="253"/>
        <v/>
      </c>
      <c r="AN29" s="1034"/>
      <c r="AO29" s="1035">
        <f>'ORDER SENT'!AR29</f>
        <v>0</v>
      </c>
      <c r="AP29" s="1035">
        <f t="shared" si="254"/>
        <v>0</v>
      </c>
      <c r="AQ29" s="1036"/>
      <c r="AR29" s="1037">
        <f t="shared" si="215"/>
        <v>0</v>
      </c>
      <c r="AS29" s="1038" t="str">
        <f t="shared" si="255"/>
        <v/>
      </c>
      <c r="AT29" s="1034"/>
      <c r="AU29" s="1035">
        <f>'ORDER SENT'!AX29</f>
        <v>0</v>
      </c>
      <c r="AV29" s="1035">
        <f t="shared" si="256"/>
        <v>0</v>
      </c>
      <c r="AW29" s="1036"/>
      <c r="AX29" s="1037">
        <f t="shared" si="216"/>
        <v>0</v>
      </c>
      <c r="AY29" s="1038" t="str">
        <f t="shared" si="257"/>
        <v/>
      </c>
      <c r="AZ29" s="1034"/>
      <c r="BA29" s="1035">
        <f>'ORDER SENT'!BD29</f>
        <v>0</v>
      </c>
      <c r="BB29" s="1035">
        <f t="shared" si="258"/>
        <v>0</v>
      </c>
      <c r="BC29" s="1036"/>
      <c r="BD29" s="1037">
        <f t="shared" si="217"/>
        <v>0</v>
      </c>
      <c r="BE29" s="1038" t="str">
        <f t="shared" si="259"/>
        <v/>
      </c>
      <c r="BF29" s="1034"/>
      <c r="BG29" s="1035">
        <f>'ORDER SENT'!BJ29</f>
        <v>0</v>
      </c>
      <c r="BH29" s="1035">
        <f t="shared" si="260"/>
        <v>0</v>
      </c>
      <c r="BI29" s="1036"/>
      <c r="BJ29" s="1037">
        <f t="shared" si="218"/>
        <v>0</v>
      </c>
      <c r="BK29" s="1038" t="str">
        <f t="shared" si="261"/>
        <v/>
      </c>
      <c r="BL29" s="1034"/>
      <c r="BM29" s="1035">
        <f>'ORDER SENT'!BP29</f>
        <v>0</v>
      </c>
      <c r="BN29" s="1035">
        <f t="shared" si="262"/>
        <v>0</v>
      </c>
      <c r="BO29" s="1036"/>
      <c r="BP29" s="1037">
        <f t="shared" si="219"/>
        <v>0</v>
      </c>
      <c r="BQ29" s="1038" t="str">
        <f t="shared" si="263"/>
        <v/>
      </c>
      <c r="BR29" s="1034"/>
      <c r="BS29" s="1035">
        <f>'ORDER SENT'!BV29</f>
        <v>0</v>
      </c>
      <c r="BT29" s="1035">
        <f t="shared" si="264"/>
        <v>0</v>
      </c>
      <c r="BU29" s="1036"/>
      <c r="BV29" s="1037">
        <f t="shared" si="220"/>
        <v>0</v>
      </c>
      <c r="BW29" s="1038" t="str">
        <f t="shared" si="265"/>
        <v/>
      </c>
      <c r="BX29" s="1034"/>
      <c r="BY29" s="1035">
        <f>'ORDER SENT'!CB29</f>
        <v>0</v>
      </c>
      <c r="BZ29" s="1035">
        <f t="shared" si="266"/>
        <v>0</v>
      </c>
      <c r="CA29" s="1036"/>
      <c r="CB29" s="1037">
        <f t="shared" si="221"/>
        <v>0</v>
      </c>
      <c r="CC29" s="1038" t="str">
        <f t="shared" si="267"/>
        <v/>
      </c>
      <c r="CD29" s="1034"/>
      <c r="CE29" s="1035">
        <f>'ORDER SENT'!CH29</f>
        <v>0</v>
      </c>
      <c r="CF29" s="1035">
        <f t="shared" si="268"/>
        <v>0</v>
      </c>
      <c r="CG29" s="1036"/>
      <c r="CH29" s="1037">
        <f t="shared" si="222"/>
        <v>0</v>
      </c>
      <c r="CI29" s="1038" t="str">
        <f t="shared" si="269"/>
        <v/>
      </c>
      <c r="CJ29" s="1034"/>
      <c r="CK29" s="1035">
        <f>'ORDER SENT'!CN29</f>
        <v>0</v>
      </c>
      <c r="CL29" s="1035">
        <f t="shared" si="270"/>
        <v>0</v>
      </c>
      <c r="CM29" s="1036"/>
      <c r="CN29" s="1037">
        <f t="shared" si="223"/>
        <v>0</v>
      </c>
      <c r="CO29" s="1038" t="str">
        <f t="shared" si="271"/>
        <v/>
      </c>
      <c r="CP29" s="1034"/>
      <c r="CQ29" s="1035">
        <f>'ORDER SENT'!CT29</f>
        <v>0</v>
      </c>
      <c r="CR29" s="1035">
        <f t="shared" si="272"/>
        <v>0</v>
      </c>
      <c r="CS29" s="1036"/>
      <c r="CT29" s="1037">
        <f t="shared" si="224"/>
        <v>0</v>
      </c>
      <c r="CU29" s="1038" t="str">
        <f t="shared" si="273"/>
        <v/>
      </c>
      <c r="CV29" s="1034"/>
      <c r="CW29" s="1035">
        <f>'ORDER SENT'!CZ29</f>
        <v>0</v>
      </c>
      <c r="CX29" s="1035">
        <f t="shared" si="274"/>
        <v>0</v>
      </c>
      <c r="CY29" s="1036"/>
      <c r="CZ29" s="1037">
        <f t="shared" si="225"/>
        <v>0</v>
      </c>
      <c r="DA29" s="1038" t="str">
        <f t="shared" si="275"/>
        <v/>
      </c>
      <c r="DB29" s="1034"/>
      <c r="DC29" s="1035">
        <f>'ORDER SENT'!DF29</f>
        <v>0</v>
      </c>
      <c r="DD29" s="1035">
        <f t="shared" si="276"/>
        <v>0</v>
      </c>
      <c r="DE29" s="1036"/>
      <c r="DF29" s="1037">
        <f t="shared" si="226"/>
        <v>0</v>
      </c>
      <c r="DG29" s="1038" t="str">
        <f t="shared" si="277"/>
        <v/>
      </c>
      <c r="DH29" s="1034"/>
      <c r="DI29" s="1035">
        <f>'ORDER SENT'!DL29</f>
        <v>0</v>
      </c>
      <c r="DJ29" s="1035">
        <f t="shared" si="278"/>
        <v>0</v>
      </c>
      <c r="DK29" s="1036"/>
      <c r="DL29" s="1037">
        <f t="shared" si="227"/>
        <v>0</v>
      </c>
      <c r="DM29" s="1038" t="str">
        <f t="shared" si="279"/>
        <v/>
      </c>
      <c r="DN29" s="1034"/>
      <c r="DO29" s="1035">
        <f>'ORDER SENT'!DR29</f>
        <v>0</v>
      </c>
      <c r="DP29" s="1035">
        <f t="shared" si="280"/>
        <v>0</v>
      </c>
      <c r="DQ29" s="1036"/>
      <c r="DR29" s="1037">
        <f t="shared" si="228"/>
        <v>0</v>
      </c>
      <c r="DS29" s="1038" t="str">
        <f t="shared" si="281"/>
        <v/>
      </c>
      <c r="DT29" s="1034"/>
      <c r="DU29" s="1035">
        <f>'ORDER SENT'!DX29</f>
        <v>0</v>
      </c>
      <c r="DV29" s="1035">
        <f t="shared" si="282"/>
        <v>0</v>
      </c>
      <c r="DW29" s="1036"/>
      <c r="DX29" s="1037">
        <f t="shared" si="229"/>
        <v>0</v>
      </c>
      <c r="DY29" s="1038" t="str">
        <f t="shared" si="283"/>
        <v/>
      </c>
      <c r="DZ29" s="1034"/>
      <c r="EA29" s="1035">
        <f>'ORDER SENT'!ED29</f>
        <v>0</v>
      </c>
      <c r="EB29" s="1035">
        <f t="shared" si="284"/>
        <v>0</v>
      </c>
      <c r="EC29" s="1036"/>
      <c r="ED29" s="1037">
        <f t="shared" si="230"/>
        <v>0</v>
      </c>
      <c r="EE29" s="1038" t="str">
        <f t="shared" si="285"/>
        <v/>
      </c>
      <c r="EF29" s="1034"/>
      <c r="EG29" s="1035">
        <f>'ORDER SENT'!EJ29</f>
        <v>0</v>
      </c>
      <c r="EH29" s="1035">
        <f t="shared" si="286"/>
        <v>0</v>
      </c>
      <c r="EI29" s="1036"/>
      <c r="EJ29" s="1037">
        <f t="shared" si="231"/>
        <v>0</v>
      </c>
      <c r="EK29" s="1038" t="str">
        <f t="shared" si="287"/>
        <v/>
      </c>
      <c r="EL29" s="1034"/>
      <c r="EM29" s="1035">
        <f>'ORDER SENT'!EP29</f>
        <v>0</v>
      </c>
      <c r="EN29" s="1035">
        <f t="shared" si="288"/>
        <v>0</v>
      </c>
      <c r="EO29" s="1036"/>
      <c r="EP29" s="1037">
        <f t="shared" si="232"/>
        <v>0</v>
      </c>
      <c r="EQ29" s="1038" t="str">
        <f t="shared" si="289"/>
        <v/>
      </c>
      <c r="ER29" s="1034"/>
      <c r="ES29" s="1035">
        <f>'ORDER SENT'!EV29</f>
        <v>0</v>
      </c>
      <c r="ET29" s="1035">
        <f t="shared" si="290"/>
        <v>0</v>
      </c>
      <c r="EU29" s="1036"/>
      <c r="EV29" s="1037">
        <f t="shared" si="233"/>
        <v>0</v>
      </c>
      <c r="EW29" s="1038" t="str">
        <f t="shared" si="291"/>
        <v/>
      </c>
      <c r="EX29" s="1034"/>
      <c r="EY29" s="1035">
        <f>'ORDER SENT'!FB29</f>
        <v>0</v>
      </c>
      <c r="EZ29" s="1035">
        <f t="shared" si="292"/>
        <v>0</v>
      </c>
      <c r="FA29" s="1036"/>
      <c r="FB29" s="1037">
        <f t="shared" si="234"/>
        <v>0</v>
      </c>
      <c r="FC29" s="1038" t="str">
        <f t="shared" si="293"/>
        <v/>
      </c>
      <c r="FD29" s="1034"/>
      <c r="FE29" s="1035">
        <f>'ORDER SENT'!FH29</f>
        <v>0</v>
      </c>
      <c r="FF29" s="1035">
        <f t="shared" si="294"/>
        <v>0</v>
      </c>
      <c r="FG29" s="1036"/>
      <c r="FH29" s="1037">
        <f t="shared" si="235"/>
        <v>0</v>
      </c>
      <c r="FI29" s="1038" t="str">
        <f t="shared" si="295"/>
        <v/>
      </c>
      <c r="FJ29" s="1034"/>
      <c r="FK29" s="1035">
        <f>'ORDER SENT'!FN29</f>
        <v>0</v>
      </c>
      <c r="FL29" s="1035">
        <f t="shared" si="296"/>
        <v>0</v>
      </c>
      <c r="FM29" s="1036"/>
      <c r="FN29" s="1037">
        <f t="shared" si="236"/>
        <v>0</v>
      </c>
      <c r="FO29" s="1038" t="str">
        <f t="shared" si="297"/>
        <v/>
      </c>
      <c r="FP29" s="1034"/>
      <c r="FQ29" s="1035">
        <f>'ORDER SENT'!FT29</f>
        <v>0</v>
      </c>
      <c r="FR29" s="1035">
        <f t="shared" si="298"/>
        <v>0</v>
      </c>
      <c r="FS29" s="1036"/>
      <c r="FT29" s="1037">
        <f t="shared" si="237"/>
        <v>0</v>
      </c>
      <c r="FU29" s="1038" t="str">
        <f t="shared" si="299"/>
        <v/>
      </c>
      <c r="FV29" s="1034"/>
      <c r="FW29" s="1035">
        <f>'ORDER SENT'!FZ29</f>
        <v>0</v>
      </c>
      <c r="FX29" s="1035">
        <f t="shared" si="300"/>
        <v>0</v>
      </c>
      <c r="FY29" s="1036"/>
      <c r="FZ29" s="1037">
        <f t="shared" si="238"/>
        <v>0</v>
      </c>
      <c r="GA29" s="1038" t="str">
        <f t="shared" si="301"/>
        <v/>
      </c>
      <c r="GB29" s="1034"/>
      <c r="GC29" s="1035">
        <f>'ORDER SENT'!GF29</f>
        <v>0</v>
      </c>
      <c r="GD29" s="1035">
        <f t="shared" si="302"/>
        <v>0</v>
      </c>
      <c r="GE29" s="1036"/>
      <c r="GF29" s="1037">
        <f t="shared" si="239"/>
        <v>0</v>
      </c>
      <c r="GG29" s="1046" t="str">
        <f t="shared" si="94"/>
        <v/>
      </c>
      <c r="GH29" s="1047">
        <f t="shared" ref="GH29:GL29" si="304">+GB29+FV29+FP29+FJ29+FD29+EX29+ER29+EL29+EF29+DZ29+DT29+DN29+DH29+DB29+CV29+CP29+CJ29+CD29+BX29+BR29+BL29+BF29++AZ29+AT29+AN29+AH29+AB29+V29+P29+J29+D29</f>
        <v>0</v>
      </c>
      <c r="GI29" s="1047">
        <f t="shared" si="304"/>
        <v>0</v>
      </c>
      <c r="GJ29" s="1047">
        <f t="shared" si="304"/>
        <v>0</v>
      </c>
      <c r="GK29" s="1048">
        <f t="shared" si="304"/>
        <v>0</v>
      </c>
      <c r="GL29" s="1045">
        <f t="shared" si="304"/>
        <v>0</v>
      </c>
      <c r="GM29" s="1049">
        <f t="shared" si="241"/>
        <v>0</v>
      </c>
    </row>
    <row r="30" ht="15.75" customHeight="1">
      <c r="B30" s="1042"/>
      <c r="C30" s="1043"/>
      <c r="D30" s="1039"/>
      <c r="E30" s="1056" t="str">
        <f>'ORDER SENT'!H30</f>
        <v/>
      </c>
      <c r="F30" s="1056">
        <f t="shared" si="242"/>
        <v>0</v>
      </c>
      <c r="G30" s="1053"/>
      <c r="H30" s="1054">
        <f t="shared" si="209"/>
        <v>0</v>
      </c>
      <c r="I30" s="1038" t="str">
        <f t="shared" si="243"/>
        <v/>
      </c>
      <c r="J30" s="1034"/>
      <c r="K30" s="1035" t="str">
        <f>'ORDER SENT'!N30</f>
        <v/>
      </c>
      <c r="L30" s="1035">
        <f t="shared" si="244"/>
        <v>0</v>
      </c>
      <c r="M30" s="1036"/>
      <c r="N30" s="1037">
        <f t="shared" si="210"/>
        <v>0</v>
      </c>
      <c r="O30" s="1038" t="str">
        <f t="shared" si="245"/>
        <v/>
      </c>
      <c r="P30" s="1034"/>
      <c r="Q30" s="1035" t="str">
        <f>'ORDER SENT'!T30</f>
        <v/>
      </c>
      <c r="R30" s="1035">
        <f t="shared" si="246"/>
        <v>0</v>
      </c>
      <c r="S30" s="1036"/>
      <c r="T30" s="1037">
        <f t="shared" si="211"/>
        <v>0</v>
      </c>
      <c r="U30" s="1038" t="str">
        <f t="shared" si="247"/>
        <v/>
      </c>
      <c r="V30" s="1034"/>
      <c r="W30" s="1035" t="str">
        <f>'ORDER SENT'!Z30</f>
        <v/>
      </c>
      <c r="X30" s="1035">
        <f t="shared" si="248"/>
        <v>0</v>
      </c>
      <c r="Y30" s="1036"/>
      <c r="Z30" s="1037">
        <f t="shared" si="212"/>
        <v>0</v>
      </c>
      <c r="AA30" s="1038" t="str">
        <f t="shared" si="249"/>
        <v/>
      </c>
      <c r="AB30" s="1034"/>
      <c r="AC30" s="1035" t="str">
        <f>'ORDER SENT'!AF30</f>
        <v/>
      </c>
      <c r="AD30" s="1035">
        <f t="shared" si="250"/>
        <v>0</v>
      </c>
      <c r="AE30" s="1036"/>
      <c r="AF30" s="1037">
        <f t="shared" si="213"/>
        <v>0</v>
      </c>
      <c r="AG30" s="1038" t="str">
        <f t="shared" si="251"/>
        <v/>
      </c>
      <c r="AH30" s="1034"/>
      <c r="AI30" s="1035" t="str">
        <f>'ORDER SENT'!AL30</f>
        <v/>
      </c>
      <c r="AJ30" s="1035">
        <f t="shared" si="252"/>
        <v>0</v>
      </c>
      <c r="AK30" s="1036"/>
      <c r="AL30" s="1037">
        <f t="shared" si="214"/>
        <v>0</v>
      </c>
      <c r="AM30" s="1038" t="str">
        <f t="shared" si="253"/>
        <v/>
      </c>
      <c r="AN30" s="1034"/>
      <c r="AO30" s="1035" t="str">
        <f>'ORDER SENT'!AR30</f>
        <v/>
      </c>
      <c r="AP30" s="1035">
        <f t="shared" si="254"/>
        <v>0</v>
      </c>
      <c r="AQ30" s="1036"/>
      <c r="AR30" s="1037">
        <f t="shared" si="215"/>
        <v>0</v>
      </c>
      <c r="AS30" s="1038" t="str">
        <f t="shared" si="255"/>
        <v/>
      </c>
      <c r="AT30" s="1034"/>
      <c r="AU30" s="1035" t="str">
        <f>'ORDER SENT'!AX30</f>
        <v/>
      </c>
      <c r="AV30" s="1035">
        <f t="shared" si="256"/>
        <v>0</v>
      </c>
      <c r="AW30" s="1036"/>
      <c r="AX30" s="1037">
        <f t="shared" si="216"/>
        <v>0</v>
      </c>
      <c r="AY30" s="1038" t="str">
        <f t="shared" si="257"/>
        <v/>
      </c>
      <c r="AZ30" s="1034"/>
      <c r="BA30" s="1035" t="str">
        <f>'ORDER SENT'!BD30</f>
        <v/>
      </c>
      <c r="BB30" s="1035">
        <f t="shared" si="258"/>
        <v>0</v>
      </c>
      <c r="BC30" s="1036"/>
      <c r="BD30" s="1037">
        <f t="shared" si="217"/>
        <v>0</v>
      </c>
      <c r="BE30" s="1038" t="str">
        <f t="shared" si="259"/>
        <v/>
      </c>
      <c r="BF30" s="1034"/>
      <c r="BG30" s="1035" t="str">
        <f>'ORDER SENT'!BJ30</f>
        <v/>
      </c>
      <c r="BH30" s="1035">
        <f t="shared" si="260"/>
        <v>0</v>
      </c>
      <c r="BI30" s="1036"/>
      <c r="BJ30" s="1037">
        <f t="shared" si="218"/>
        <v>0</v>
      </c>
      <c r="BK30" s="1038" t="str">
        <f t="shared" si="261"/>
        <v/>
      </c>
      <c r="BL30" s="1034"/>
      <c r="BM30" s="1035" t="str">
        <f>'ORDER SENT'!BP30</f>
        <v/>
      </c>
      <c r="BN30" s="1035">
        <f t="shared" si="262"/>
        <v>0</v>
      </c>
      <c r="BO30" s="1036"/>
      <c r="BP30" s="1037">
        <f t="shared" si="219"/>
        <v>0</v>
      </c>
      <c r="BQ30" s="1038" t="str">
        <f t="shared" si="263"/>
        <v/>
      </c>
      <c r="BR30" s="1034"/>
      <c r="BS30" s="1035" t="str">
        <f>'ORDER SENT'!BV30</f>
        <v/>
      </c>
      <c r="BT30" s="1035">
        <f t="shared" si="264"/>
        <v>0</v>
      </c>
      <c r="BU30" s="1036"/>
      <c r="BV30" s="1037">
        <f t="shared" si="220"/>
        <v>0</v>
      </c>
      <c r="BW30" s="1038" t="str">
        <f t="shared" si="265"/>
        <v/>
      </c>
      <c r="BX30" s="1034"/>
      <c r="BY30" s="1035" t="str">
        <f>'ORDER SENT'!CB30</f>
        <v/>
      </c>
      <c r="BZ30" s="1035">
        <f t="shared" si="266"/>
        <v>0</v>
      </c>
      <c r="CA30" s="1036"/>
      <c r="CB30" s="1037">
        <f t="shared" si="221"/>
        <v>0</v>
      </c>
      <c r="CC30" s="1038" t="str">
        <f t="shared" si="267"/>
        <v/>
      </c>
      <c r="CD30" s="1034"/>
      <c r="CE30" s="1035" t="str">
        <f>'ORDER SENT'!CH30</f>
        <v/>
      </c>
      <c r="CF30" s="1035">
        <f t="shared" si="268"/>
        <v>0</v>
      </c>
      <c r="CG30" s="1036"/>
      <c r="CH30" s="1037">
        <f t="shared" si="222"/>
        <v>0</v>
      </c>
      <c r="CI30" s="1038" t="str">
        <f t="shared" si="269"/>
        <v/>
      </c>
      <c r="CJ30" s="1034"/>
      <c r="CK30" s="1035" t="str">
        <f>'ORDER SENT'!CN30</f>
        <v/>
      </c>
      <c r="CL30" s="1035">
        <f t="shared" si="270"/>
        <v>0</v>
      </c>
      <c r="CM30" s="1036"/>
      <c r="CN30" s="1037">
        <f t="shared" si="223"/>
        <v>0</v>
      </c>
      <c r="CO30" s="1038" t="str">
        <f t="shared" si="271"/>
        <v/>
      </c>
      <c r="CP30" s="1034"/>
      <c r="CQ30" s="1035" t="str">
        <f>'ORDER SENT'!CT30</f>
        <v/>
      </c>
      <c r="CR30" s="1035">
        <f t="shared" si="272"/>
        <v>0</v>
      </c>
      <c r="CS30" s="1036"/>
      <c r="CT30" s="1037">
        <f t="shared" si="224"/>
        <v>0</v>
      </c>
      <c r="CU30" s="1038" t="str">
        <f t="shared" si="273"/>
        <v/>
      </c>
      <c r="CV30" s="1034"/>
      <c r="CW30" s="1035" t="str">
        <f>'ORDER SENT'!CZ30</f>
        <v/>
      </c>
      <c r="CX30" s="1035">
        <f t="shared" si="274"/>
        <v>0</v>
      </c>
      <c r="CY30" s="1036"/>
      <c r="CZ30" s="1037">
        <f t="shared" si="225"/>
        <v>0</v>
      </c>
      <c r="DA30" s="1038" t="str">
        <f t="shared" si="275"/>
        <v/>
      </c>
      <c r="DB30" s="1034"/>
      <c r="DC30" s="1035" t="str">
        <f>'ORDER SENT'!DF30</f>
        <v/>
      </c>
      <c r="DD30" s="1035">
        <f t="shared" si="276"/>
        <v>0</v>
      </c>
      <c r="DE30" s="1036"/>
      <c r="DF30" s="1037">
        <f t="shared" si="226"/>
        <v>0</v>
      </c>
      <c r="DG30" s="1038" t="str">
        <f t="shared" si="277"/>
        <v/>
      </c>
      <c r="DH30" s="1034"/>
      <c r="DI30" s="1035" t="str">
        <f>'ORDER SENT'!DL30</f>
        <v/>
      </c>
      <c r="DJ30" s="1035">
        <f t="shared" si="278"/>
        <v>0</v>
      </c>
      <c r="DK30" s="1036"/>
      <c r="DL30" s="1037">
        <f t="shared" si="227"/>
        <v>0</v>
      </c>
      <c r="DM30" s="1038" t="str">
        <f t="shared" si="279"/>
        <v/>
      </c>
      <c r="DN30" s="1034"/>
      <c r="DO30" s="1035" t="str">
        <f>'ORDER SENT'!DR30</f>
        <v/>
      </c>
      <c r="DP30" s="1035">
        <f t="shared" si="280"/>
        <v>0</v>
      </c>
      <c r="DQ30" s="1036"/>
      <c r="DR30" s="1037">
        <f t="shared" si="228"/>
        <v>0</v>
      </c>
      <c r="DS30" s="1038" t="str">
        <f t="shared" si="281"/>
        <v/>
      </c>
      <c r="DT30" s="1034"/>
      <c r="DU30" s="1035" t="str">
        <f>'ORDER SENT'!DX30</f>
        <v/>
      </c>
      <c r="DV30" s="1035">
        <f t="shared" si="282"/>
        <v>0</v>
      </c>
      <c r="DW30" s="1036"/>
      <c r="DX30" s="1037">
        <f t="shared" si="229"/>
        <v>0</v>
      </c>
      <c r="DY30" s="1038" t="str">
        <f t="shared" si="283"/>
        <v/>
      </c>
      <c r="DZ30" s="1034"/>
      <c r="EA30" s="1035" t="str">
        <f>'ORDER SENT'!ED30</f>
        <v/>
      </c>
      <c r="EB30" s="1035">
        <f t="shared" si="284"/>
        <v>0</v>
      </c>
      <c r="EC30" s="1036"/>
      <c r="ED30" s="1037">
        <f t="shared" si="230"/>
        <v>0</v>
      </c>
      <c r="EE30" s="1038" t="str">
        <f t="shared" si="285"/>
        <v/>
      </c>
      <c r="EF30" s="1034"/>
      <c r="EG30" s="1035" t="str">
        <f>'ORDER SENT'!EJ30</f>
        <v/>
      </c>
      <c r="EH30" s="1035">
        <f t="shared" si="286"/>
        <v>0</v>
      </c>
      <c r="EI30" s="1036"/>
      <c r="EJ30" s="1037">
        <f t="shared" si="231"/>
        <v>0</v>
      </c>
      <c r="EK30" s="1038" t="str">
        <f t="shared" si="287"/>
        <v/>
      </c>
      <c r="EL30" s="1034"/>
      <c r="EM30" s="1035" t="str">
        <f>'ORDER SENT'!EP30</f>
        <v/>
      </c>
      <c r="EN30" s="1035">
        <f t="shared" si="288"/>
        <v>0</v>
      </c>
      <c r="EO30" s="1036"/>
      <c r="EP30" s="1037">
        <f t="shared" si="232"/>
        <v>0</v>
      </c>
      <c r="EQ30" s="1038" t="str">
        <f t="shared" si="289"/>
        <v/>
      </c>
      <c r="ER30" s="1034"/>
      <c r="ES30" s="1035" t="str">
        <f>'ORDER SENT'!EV30</f>
        <v/>
      </c>
      <c r="ET30" s="1035">
        <f t="shared" si="290"/>
        <v>0</v>
      </c>
      <c r="EU30" s="1036"/>
      <c r="EV30" s="1037">
        <f t="shared" si="233"/>
        <v>0</v>
      </c>
      <c r="EW30" s="1038" t="str">
        <f t="shared" si="291"/>
        <v/>
      </c>
      <c r="EX30" s="1034"/>
      <c r="EY30" s="1035" t="str">
        <f>'ORDER SENT'!FB30</f>
        <v/>
      </c>
      <c r="EZ30" s="1035">
        <f t="shared" si="292"/>
        <v>0</v>
      </c>
      <c r="FA30" s="1036"/>
      <c r="FB30" s="1037">
        <f t="shared" si="234"/>
        <v>0</v>
      </c>
      <c r="FC30" s="1038" t="str">
        <f t="shared" si="293"/>
        <v/>
      </c>
      <c r="FD30" s="1034"/>
      <c r="FE30" s="1035" t="str">
        <f>'ORDER SENT'!FH30</f>
        <v/>
      </c>
      <c r="FF30" s="1035">
        <f t="shared" si="294"/>
        <v>0</v>
      </c>
      <c r="FG30" s="1036"/>
      <c r="FH30" s="1037">
        <f t="shared" si="235"/>
        <v>0</v>
      </c>
      <c r="FI30" s="1038" t="str">
        <f t="shared" si="295"/>
        <v/>
      </c>
      <c r="FJ30" s="1034"/>
      <c r="FK30" s="1035" t="str">
        <f>'ORDER SENT'!FN30</f>
        <v/>
      </c>
      <c r="FL30" s="1035">
        <f t="shared" si="296"/>
        <v>0</v>
      </c>
      <c r="FM30" s="1036"/>
      <c r="FN30" s="1037">
        <f t="shared" si="236"/>
        <v>0</v>
      </c>
      <c r="FO30" s="1038" t="str">
        <f t="shared" si="297"/>
        <v/>
      </c>
      <c r="FP30" s="1034"/>
      <c r="FQ30" s="1035" t="str">
        <f>'ORDER SENT'!FT30</f>
        <v/>
      </c>
      <c r="FR30" s="1035">
        <f t="shared" si="298"/>
        <v>0</v>
      </c>
      <c r="FS30" s="1036"/>
      <c r="FT30" s="1037">
        <f t="shared" si="237"/>
        <v>0</v>
      </c>
      <c r="FU30" s="1038" t="str">
        <f t="shared" si="299"/>
        <v/>
      </c>
      <c r="FV30" s="1034"/>
      <c r="FW30" s="1035" t="str">
        <f>'ORDER SENT'!FZ30</f>
        <v/>
      </c>
      <c r="FX30" s="1035">
        <f t="shared" si="300"/>
        <v>0</v>
      </c>
      <c r="FY30" s="1036"/>
      <c r="FZ30" s="1037">
        <f t="shared" si="238"/>
        <v>0</v>
      </c>
      <c r="GA30" s="1038" t="str">
        <f t="shared" si="301"/>
        <v/>
      </c>
      <c r="GB30" s="1034"/>
      <c r="GC30" s="1035" t="str">
        <f>'ORDER SENT'!GF30</f>
        <v/>
      </c>
      <c r="GD30" s="1035">
        <f t="shared" si="302"/>
        <v>0</v>
      </c>
      <c r="GE30" s="1036"/>
      <c r="GF30" s="1037">
        <f t="shared" si="239"/>
        <v>0</v>
      </c>
      <c r="GG30" s="1046" t="str">
        <f t="shared" si="94"/>
        <v/>
      </c>
      <c r="GH30" s="1047"/>
      <c r="GI30" s="1047"/>
      <c r="GJ30" s="1047"/>
      <c r="GK30" s="1048"/>
      <c r="GL30" s="1045"/>
      <c r="GM30" s="1049"/>
    </row>
    <row r="31" ht="15.75" customHeight="1">
      <c r="B31" s="1059" t="s">
        <v>646</v>
      </c>
      <c r="C31" s="1027">
        <f t="shared" ref="C31:GF31" si="305">SUM(C27:C30)</f>
        <v>0</v>
      </c>
      <c r="D31" s="1028">
        <f t="shared" si="305"/>
        <v>0</v>
      </c>
      <c r="E31" s="1028">
        <f t="shared" si="305"/>
        <v>0</v>
      </c>
      <c r="F31" s="1028">
        <f t="shared" si="305"/>
        <v>0</v>
      </c>
      <c r="G31" s="1029">
        <f t="shared" si="305"/>
        <v>0</v>
      </c>
      <c r="H31" s="1030">
        <f t="shared" si="305"/>
        <v>0</v>
      </c>
      <c r="I31" s="1027">
        <f t="shared" si="305"/>
        <v>0</v>
      </c>
      <c r="J31" s="1028">
        <f t="shared" si="305"/>
        <v>0</v>
      </c>
      <c r="K31" s="1028">
        <f t="shared" si="305"/>
        <v>0</v>
      </c>
      <c r="L31" s="1028">
        <f t="shared" si="305"/>
        <v>0</v>
      </c>
      <c r="M31" s="1029">
        <f t="shared" si="305"/>
        <v>0</v>
      </c>
      <c r="N31" s="1030">
        <f t="shared" si="305"/>
        <v>0</v>
      </c>
      <c r="O31" s="1027">
        <f t="shared" si="305"/>
        <v>0</v>
      </c>
      <c r="P31" s="1028">
        <f t="shared" si="305"/>
        <v>0</v>
      </c>
      <c r="Q31" s="1028">
        <f t="shared" si="305"/>
        <v>0</v>
      </c>
      <c r="R31" s="1028">
        <f t="shared" si="305"/>
        <v>0</v>
      </c>
      <c r="S31" s="1029">
        <f t="shared" si="305"/>
        <v>0</v>
      </c>
      <c r="T31" s="1030">
        <f t="shared" si="305"/>
        <v>0</v>
      </c>
      <c r="U31" s="1027">
        <f t="shared" si="305"/>
        <v>0</v>
      </c>
      <c r="V31" s="1028">
        <f t="shared" si="305"/>
        <v>0</v>
      </c>
      <c r="W31" s="1028">
        <f t="shared" si="305"/>
        <v>0</v>
      </c>
      <c r="X31" s="1028">
        <f t="shared" si="305"/>
        <v>0</v>
      </c>
      <c r="Y31" s="1029">
        <f t="shared" si="305"/>
        <v>0</v>
      </c>
      <c r="Z31" s="1030">
        <f t="shared" si="305"/>
        <v>0</v>
      </c>
      <c r="AA31" s="1027">
        <f t="shared" si="305"/>
        <v>0</v>
      </c>
      <c r="AB31" s="1028">
        <f t="shared" si="305"/>
        <v>0</v>
      </c>
      <c r="AC31" s="1028">
        <f t="shared" si="305"/>
        <v>0</v>
      </c>
      <c r="AD31" s="1028">
        <f t="shared" si="305"/>
        <v>0</v>
      </c>
      <c r="AE31" s="1029">
        <f t="shared" si="305"/>
        <v>0</v>
      </c>
      <c r="AF31" s="1030">
        <f t="shared" si="305"/>
        <v>0</v>
      </c>
      <c r="AG31" s="1027">
        <f t="shared" si="305"/>
        <v>0</v>
      </c>
      <c r="AH31" s="1028">
        <f t="shared" si="305"/>
        <v>0</v>
      </c>
      <c r="AI31" s="1028">
        <f t="shared" si="305"/>
        <v>0</v>
      </c>
      <c r="AJ31" s="1028">
        <f t="shared" si="305"/>
        <v>0</v>
      </c>
      <c r="AK31" s="1029">
        <f t="shared" si="305"/>
        <v>0</v>
      </c>
      <c r="AL31" s="1030">
        <f t="shared" si="305"/>
        <v>0</v>
      </c>
      <c r="AM31" s="1027">
        <f t="shared" si="305"/>
        <v>0</v>
      </c>
      <c r="AN31" s="1028">
        <f t="shared" si="305"/>
        <v>0</v>
      </c>
      <c r="AO31" s="1028">
        <f t="shared" si="305"/>
        <v>0</v>
      </c>
      <c r="AP31" s="1028">
        <f t="shared" si="305"/>
        <v>0</v>
      </c>
      <c r="AQ31" s="1029">
        <f t="shared" si="305"/>
        <v>0</v>
      </c>
      <c r="AR31" s="1030">
        <f t="shared" si="305"/>
        <v>0</v>
      </c>
      <c r="AS31" s="1027">
        <f t="shared" si="305"/>
        <v>0</v>
      </c>
      <c r="AT31" s="1028">
        <f t="shared" si="305"/>
        <v>0</v>
      </c>
      <c r="AU31" s="1028">
        <f t="shared" si="305"/>
        <v>0</v>
      </c>
      <c r="AV31" s="1028">
        <f t="shared" si="305"/>
        <v>0</v>
      </c>
      <c r="AW31" s="1029">
        <f t="shared" si="305"/>
        <v>0</v>
      </c>
      <c r="AX31" s="1030">
        <f t="shared" si="305"/>
        <v>0</v>
      </c>
      <c r="AY31" s="1027">
        <f t="shared" si="305"/>
        <v>0</v>
      </c>
      <c r="AZ31" s="1028">
        <f t="shared" si="305"/>
        <v>0</v>
      </c>
      <c r="BA31" s="1028">
        <f t="shared" si="305"/>
        <v>0</v>
      </c>
      <c r="BB31" s="1028">
        <f t="shared" si="305"/>
        <v>0</v>
      </c>
      <c r="BC31" s="1029">
        <f t="shared" si="305"/>
        <v>0</v>
      </c>
      <c r="BD31" s="1030">
        <f t="shared" si="305"/>
        <v>0</v>
      </c>
      <c r="BE31" s="1027">
        <f t="shared" si="305"/>
        <v>0</v>
      </c>
      <c r="BF31" s="1028">
        <f t="shared" si="305"/>
        <v>0</v>
      </c>
      <c r="BG31" s="1028">
        <f t="shared" si="305"/>
        <v>0</v>
      </c>
      <c r="BH31" s="1028">
        <f t="shared" si="305"/>
        <v>0</v>
      </c>
      <c r="BI31" s="1029">
        <f t="shared" si="305"/>
        <v>0</v>
      </c>
      <c r="BJ31" s="1030">
        <f t="shared" si="305"/>
        <v>0</v>
      </c>
      <c r="BK31" s="1027">
        <f t="shared" si="305"/>
        <v>0</v>
      </c>
      <c r="BL31" s="1028">
        <f t="shared" si="305"/>
        <v>0</v>
      </c>
      <c r="BM31" s="1028">
        <f t="shared" si="305"/>
        <v>0</v>
      </c>
      <c r="BN31" s="1028">
        <f t="shared" si="305"/>
        <v>0</v>
      </c>
      <c r="BO31" s="1029">
        <f t="shared" si="305"/>
        <v>0</v>
      </c>
      <c r="BP31" s="1030">
        <f t="shared" si="305"/>
        <v>0</v>
      </c>
      <c r="BQ31" s="1027">
        <f t="shared" si="305"/>
        <v>0</v>
      </c>
      <c r="BR31" s="1028">
        <f t="shared" si="305"/>
        <v>0</v>
      </c>
      <c r="BS31" s="1028">
        <f t="shared" si="305"/>
        <v>0</v>
      </c>
      <c r="BT31" s="1028">
        <f t="shared" si="305"/>
        <v>0</v>
      </c>
      <c r="BU31" s="1029">
        <f t="shared" si="305"/>
        <v>0</v>
      </c>
      <c r="BV31" s="1030">
        <f t="shared" si="305"/>
        <v>0</v>
      </c>
      <c r="BW31" s="1027">
        <f t="shared" si="305"/>
        <v>0</v>
      </c>
      <c r="BX31" s="1028">
        <f t="shared" si="305"/>
        <v>0</v>
      </c>
      <c r="BY31" s="1028">
        <f t="shared" si="305"/>
        <v>0</v>
      </c>
      <c r="BZ31" s="1028">
        <f t="shared" si="305"/>
        <v>0</v>
      </c>
      <c r="CA31" s="1029">
        <f t="shared" si="305"/>
        <v>0</v>
      </c>
      <c r="CB31" s="1030">
        <f t="shared" si="305"/>
        <v>0</v>
      </c>
      <c r="CC31" s="1027">
        <f t="shared" si="305"/>
        <v>0</v>
      </c>
      <c r="CD31" s="1028">
        <f t="shared" si="305"/>
        <v>0</v>
      </c>
      <c r="CE31" s="1028">
        <f t="shared" si="305"/>
        <v>0</v>
      </c>
      <c r="CF31" s="1028">
        <f t="shared" si="305"/>
        <v>0</v>
      </c>
      <c r="CG31" s="1029">
        <f t="shared" si="305"/>
        <v>0</v>
      </c>
      <c r="CH31" s="1030">
        <f t="shared" si="305"/>
        <v>0</v>
      </c>
      <c r="CI31" s="1027">
        <f t="shared" si="305"/>
        <v>0</v>
      </c>
      <c r="CJ31" s="1028">
        <f t="shared" si="305"/>
        <v>0</v>
      </c>
      <c r="CK31" s="1028">
        <f t="shared" si="305"/>
        <v>0</v>
      </c>
      <c r="CL31" s="1028">
        <f t="shared" si="305"/>
        <v>0</v>
      </c>
      <c r="CM31" s="1029">
        <f t="shared" si="305"/>
        <v>0</v>
      </c>
      <c r="CN31" s="1030">
        <f t="shared" si="305"/>
        <v>0</v>
      </c>
      <c r="CO31" s="1027">
        <f t="shared" si="305"/>
        <v>0</v>
      </c>
      <c r="CP31" s="1028">
        <f t="shared" si="305"/>
        <v>0</v>
      </c>
      <c r="CQ31" s="1028">
        <f t="shared" si="305"/>
        <v>0</v>
      </c>
      <c r="CR31" s="1028">
        <f t="shared" si="305"/>
        <v>0</v>
      </c>
      <c r="CS31" s="1029">
        <f t="shared" si="305"/>
        <v>0</v>
      </c>
      <c r="CT31" s="1030">
        <f t="shared" si="305"/>
        <v>0</v>
      </c>
      <c r="CU31" s="1027">
        <f t="shared" si="305"/>
        <v>0</v>
      </c>
      <c r="CV31" s="1028">
        <f t="shared" si="305"/>
        <v>0</v>
      </c>
      <c r="CW31" s="1028">
        <f t="shared" si="305"/>
        <v>0</v>
      </c>
      <c r="CX31" s="1028">
        <f t="shared" si="305"/>
        <v>0</v>
      </c>
      <c r="CY31" s="1029">
        <f t="shared" si="305"/>
        <v>0</v>
      </c>
      <c r="CZ31" s="1030">
        <f t="shared" si="305"/>
        <v>0</v>
      </c>
      <c r="DA31" s="1027">
        <f t="shared" si="305"/>
        <v>0</v>
      </c>
      <c r="DB31" s="1028">
        <f t="shared" si="305"/>
        <v>0</v>
      </c>
      <c r="DC31" s="1028">
        <f t="shared" si="305"/>
        <v>0</v>
      </c>
      <c r="DD31" s="1028">
        <f t="shared" si="305"/>
        <v>0</v>
      </c>
      <c r="DE31" s="1029">
        <f t="shared" si="305"/>
        <v>0</v>
      </c>
      <c r="DF31" s="1030">
        <f t="shared" si="305"/>
        <v>0</v>
      </c>
      <c r="DG31" s="1027">
        <f t="shared" si="305"/>
        <v>0</v>
      </c>
      <c r="DH31" s="1028">
        <f t="shared" si="305"/>
        <v>0</v>
      </c>
      <c r="DI31" s="1028">
        <f t="shared" si="305"/>
        <v>0</v>
      </c>
      <c r="DJ31" s="1028">
        <f t="shared" si="305"/>
        <v>0</v>
      </c>
      <c r="DK31" s="1029">
        <f t="shared" si="305"/>
        <v>0</v>
      </c>
      <c r="DL31" s="1030">
        <f t="shared" si="305"/>
        <v>0</v>
      </c>
      <c r="DM31" s="1027">
        <f t="shared" si="305"/>
        <v>0</v>
      </c>
      <c r="DN31" s="1028">
        <f t="shared" si="305"/>
        <v>0</v>
      </c>
      <c r="DO31" s="1028">
        <f t="shared" si="305"/>
        <v>0</v>
      </c>
      <c r="DP31" s="1028">
        <f t="shared" si="305"/>
        <v>0</v>
      </c>
      <c r="DQ31" s="1029">
        <f t="shared" si="305"/>
        <v>0</v>
      </c>
      <c r="DR31" s="1030">
        <f t="shared" si="305"/>
        <v>0</v>
      </c>
      <c r="DS31" s="1027">
        <f t="shared" si="305"/>
        <v>0</v>
      </c>
      <c r="DT31" s="1028">
        <f t="shared" si="305"/>
        <v>0</v>
      </c>
      <c r="DU31" s="1028">
        <f t="shared" si="305"/>
        <v>0</v>
      </c>
      <c r="DV31" s="1028">
        <f t="shared" si="305"/>
        <v>0</v>
      </c>
      <c r="DW31" s="1029">
        <f t="shared" si="305"/>
        <v>0</v>
      </c>
      <c r="DX31" s="1030">
        <f t="shared" si="305"/>
        <v>0</v>
      </c>
      <c r="DY31" s="1027">
        <f t="shared" si="305"/>
        <v>0</v>
      </c>
      <c r="DZ31" s="1028">
        <f t="shared" si="305"/>
        <v>0</v>
      </c>
      <c r="EA31" s="1028">
        <f t="shared" si="305"/>
        <v>0</v>
      </c>
      <c r="EB31" s="1028">
        <f t="shared" si="305"/>
        <v>0</v>
      </c>
      <c r="EC31" s="1029">
        <f t="shared" si="305"/>
        <v>0</v>
      </c>
      <c r="ED31" s="1030">
        <f t="shared" si="305"/>
        <v>0</v>
      </c>
      <c r="EE31" s="1027">
        <f t="shared" si="305"/>
        <v>0</v>
      </c>
      <c r="EF31" s="1028">
        <f t="shared" si="305"/>
        <v>0</v>
      </c>
      <c r="EG31" s="1028">
        <f t="shared" si="305"/>
        <v>0</v>
      </c>
      <c r="EH31" s="1028">
        <f t="shared" si="305"/>
        <v>0</v>
      </c>
      <c r="EI31" s="1029">
        <f t="shared" si="305"/>
        <v>0</v>
      </c>
      <c r="EJ31" s="1030">
        <f t="shared" si="305"/>
        <v>0</v>
      </c>
      <c r="EK31" s="1027">
        <f t="shared" si="305"/>
        <v>0</v>
      </c>
      <c r="EL31" s="1028">
        <f t="shared" si="305"/>
        <v>0</v>
      </c>
      <c r="EM31" s="1028">
        <f t="shared" si="305"/>
        <v>0</v>
      </c>
      <c r="EN31" s="1028">
        <f t="shared" si="305"/>
        <v>0</v>
      </c>
      <c r="EO31" s="1029">
        <f t="shared" si="305"/>
        <v>0</v>
      </c>
      <c r="EP31" s="1030">
        <f t="shared" si="305"/>
        <v>0</v>
      </c>
      <c r="EQ31" s="1027">
        <f t="shared" si="305"/>
        <v>0</v>
      </c>
      <c r="ER31" s="1028">
        <f t="shared" si="305"/>
        <v>0</v>
      </c>
      <c r="ES31" s="1028">
        <f t="shared" si="305"/>
        <v>0</v>
      </c>
      <c r="ET31" s="1028">
        <f t="shared" si="305"/>
        <v>0</v>
      </c>
      <c r="EU31" s="1029">
        <f t="shared" si="305"/>
        <v>0</v>
      </c>
      <c r="EV31" s="1030">
        <f t="shared" si="305"/>
        <v>0</v>
      </c>
      <c r="EW31" s="1027">
        <f t="shared" si="305"/>
        <v>0</v>
      </c>
      <c r="EX31" s="1028">
        <f t="shared" si="305"/>
        <v>0</v>
      </c>
      <c r="EY31" s="1028">
        <f t="shared" si="305"/>
        <v>0</v>
      </c>
      <c r="EZ31" s="1028">
        <f t="shared" si="305"/>
        <v>0</v>
      </c>
      <c r="FA31" s="1029">
        <f t="shared" si="305"/>
        <v>0</v>
      </c>
      <c r="FB31" s="1030">
        <f t="shared" si="305"/>
        <v>0</v>
      </c>
      <c r="FC31" s="1027">
        <f t="shared" si="305"/>
        <v>0</v>
      </c>
      <c r="FD31" s="1028">
        <f t="shared" si="305"/>
        <v>0</v>
      </c>
      <c r="FE31" s="1028">
        <f t="shared" si="305"/>
        <v>0</v>
      </c>
      <c r="FF31" s="1028">
        <f t="shared" si="305"/>
        <v>0</v>
      </c>
      <c r="FG31" s="1029">
        <f t="shared" si="305"/>
        <v>0</v>
      </c>
      <c r="FH31" s="1030">
        <f t="shared" si="305"/>
        <v>0</v>
      </c>
      <c r="FI31" s="1027">
        <f t="shared" si="305"/>
        <v>0</v>
      </c>
      <c r="FJ31" s="1028">
        <f t="shared" si="305"/>
        <v>0</v>
      </c>
      <c r="FK31" s="1028">
        <f t="shared" si="305"/>
        <v>0</v>
      </c>
      <c r="FL31" s="1028">
        <f t="shared" si="305"/>
        <v>0</v>
      </c>
      <c r="FM31" s="1029">
        <f t="shared" si="305"/>
        <v>0</v>
      </c>
      <c r="FN31" s="1030">
        <f t="shared" si="305"/>
        <v>0</v>
      </c>
      <c r="FO31" s="1027">
        <f t="shared" si="305"/>
        <v>0</v>
      </c>
      <c r="FP31" s="1028">
        <f t="shared" si="305"/>
        <v>0</v>
      </c>
      <c r="FQ31" s="1028">
        <f t="shared" si="305"/>
        <v>0</v>
      </c>
      <c r="FR31" s="1028">
        <f t="shared" si="305"/>
        <v>0</v>
      </c>
      <c r="FS31" s="1029">
        <f t="shared" si="305"/>
        <v>0</v>
      </c>
      <c r="FT31" s="1030">
        <f t="shared" si="305"/>
        <v>0</v>
      </c>
      <c r="FU31" s="1027">
        <f t="shared" si="305"/>
        <v>0</v>
      </c>
      <c r="FV31" s="1028">
        <f t="shared" si="305"/>
        <v>0</v>
      </c>
      <c r="FW31" s="1028">
        <f t="shared" si="305"/>
        <v>0</v>
      </c>
      <c r="FX31" s="1028">
        <f t="shared" si="305"/>
        <v>0</v>
      </c>
      <c r="FY31" s="1029">
        <f t="shared" si="305"/>
        <v>0</v>
      </c>
      <c r="FZ31" s="1030">
        <f t="shared" si="305"/>
        <v>0</v>
      </c>
      <c r="GA31" s="1027">
        <f t="shared" si="305"/>
        <v>0</v>
      </c>
      <c r="GB31" s="1028">
        <f t="shared" si="305"/>
        <v>0</v>
      </c>
      <c r="GC31" s="1028">
        <f t="shared" si="305"/>
        <v>0</v>
      </c>
      <c r="GD31" s="1028">
        <f t="shared" si="305"/>
        <v>0</v>
      </c>
      <c r="GE31" s="1029">
        <f t="shared" si="305"/>
        <v>0</v>
      </c>
      <c r="GF31" s="1030">
        <f t="shared" si="305"/>
        <v>0</v>
      </c>
      <c r="GG31" s="1027">
        <f t="shared" si="94"/>
        <v>0</v>
      </c>
      <c r="GH31" s="1028">
        <f t="shared" ref="GH31:GM31" si="306">SUM(GH27:GH30)</f>
        <v>0</v>
      </c>
      <c r="GI31" s="1028">
        <f t="shared" si="306"/>
        <v>0</v>
      </c>
      <c r="GJ31" s="1028">
        <f t="shared" si="306"/>
        <v>0</v>
      </c>
      <c r="GK31" s="1029">
        <f t="shared" si="306"/>
        <v>0</v>
      </c>
      <c r="GL31" s="1030">
        <f t="shared" si="306"/>
        <v>0</v>
      </c>
      <c r="GM31" s="1031">
        <f t="shared" si="306"/>
        <v>0</v>
      </c>
    </row>
    <row r="32" ht="15.75" customHeight="1">
      <c r="B32" s="1061" t="s">
        <v>647</v>
      </c>
      <c r="C32" s="1043"/>
      <c r="D32" s="1039"/>
      <c r="E32" s="1035">
        <f>'ORDER SENT'!H32</f>
        <v>0</v>
      </c>
      <c r="F32" s="1035">
        <f t="shared" ref="F32:F36" si="308">+C32+D32-E32</f>
        <v>0</v>
      </c>
      <c r="G32" s="1036"/>
      <c r="H32" s="1037">
        <f t="shared" ref="H32:H36" si="309">SUM(C32:G32)</f>
        <v>0</v>
      </c>
      <c r="I32" s="1038" t="str">
        <f t="shared" ref="I32:I36" si="310">G32</f>
        <v/>
      </c>
      <c r="J32" s="1034"/>
      <c r="K32" s="1035">
        <f>'ORDER SENT'!N32</f>
        <v>0</v>
      </c>
      <c r="L32" s="1035">
        <f t="shared" ref="L32:L36" si="311">+I32+J32-K32</f>
        <v>0</v>
      </c>
      <c r="M32" s="1036"/>
      <c r="N32" s="1037">
        <f t="shared" ref="N32:N36" si="312">SUM(I32:M32)</f>
        <v>0</v>
      </c>
      <c r="O32" s="1038" t="str">
        <f t="shared" ref="O32:O36" si="313">M32</f>
        <v/>
      </c>
      <c r="P32" s="1034"/>
      <c r="Q32" s="1035">
        <f>'ORDER SENT'!T32</f>
        <v>0</v>
      </c>
      <c r="R32" s="1035">
        <f t="shared" ref="R32:R36" si="314">+O32+P32-Q32</f>
        <v>0</v>
      </c>
      <c r="S32" s="1036"/>
      <c r="T32" s="1037">
        <f t="shared" ref="T32:T36" si="315">SUM(O32:S32)</f>
        <v>0</v>
      </c>
      <c r="U32" s="1038" t="str">
        <f t="shared" ref="U32:U36" si="316">S32</f>
        <v/>
      </c>
      <c r="V32" s="1034"/>
      <c r="W32" s="1035">
        <f>'ORDER SENT'!Z32</f>
        <v>0</v>
      </c>
      <c r="X32" s="1035">
        <f t="shared" ref="X32:X36" si="317">+U32+V32-W32</f>
        <v>0</v>
      </c>
      <c r="Y32" s="1036"/>
      <c r="Z32" s="1037">
        <f t="shared" ref="Z32:Z36" si="318">SUM(U32:Y32)</f>
        <v>0</v>
      </c>
      <c r="AA32" s="1038" t="str">
        <f t="shared" ref="AA32:AA36" si="319">Y32</f>
        <v/>
      </c>
      <c r="AB32" s="1034"/>
      <c r="AC32" s="1035">
        <f>'ORDER SENT'!AF32</f>
        <v>0</v>
      </c>
      <c r="AD32" s="1035">
        <f t="shared" ref="AD32:AD36" si="320">+AA32+AB32-AC32</f>
        <v>0</v>
      </c>
      <c r="AE32" s="1036"/>
      <c r="AF32" s="1037">
        <f t="shared" ref="AF32:AF36" si="321">SUM(AA32:AE32)</f>
        <v>0</v>
      </c>
      <c r="AG32" s="1038" t="str">
        <f t="shared" ref="AG32:AG36" si="322">AE32</f>
        <v/>
      </c>
      <c r="AH32" s="1034"/>
      <c r="AI32" s="1035">
        <f>'ORDER SENT'!AL32</f>
        <v>0</v>
      </c>
      <c r="AJ32" s="1035">
        <f t="shared" ref="AJ32:AJ36" si="323">+AG32+AH32-AI32</f>
        <v>0</v>
      </c>
      <c r="AK32" s="1036"/>
      <c r="AL32" s="1037">
        <f t="shared" ref="AL32:AL36" si="324">SUM(AG32:AK32)</f>
        <v>0</v>
      </c>
      <c r="AM32" s="1038" t="str">
        <f t="shared" ref="AM32:AM36" si="325">AK32</f>
        <v/>
      </c>
      <c r="AN32" s="1034"/>
      <c r="AO32" s="1035">
        <f>'ORDER SENT'!AR32</f>
        <v>0</v>
      </c>
      <c r="AP32" s="1035">
        <f t="shared" ref="AP32:AP36" si="326">+AM32+AN32-AO32</f>
        <v>0</v>
      </c>
      <c r="AQ32" s="1036"/>
      <c r="AR32" s="1037">
        <f t="shared" ref="AR32:AR36" si="327">SUM(AM32:AQ32)</f>
        <v>0</v>
      </c>
      <c r="AS32" s="1038" t="str">
        <f t="shared" ref="AS32:AS36" si="328">AQ32</f>
        <v/>
      </c>
      <c r="AT32" s="1034"/>
      <c r="AU32" s="1035">
        <f>'ORDER SENT'!AX32</f>
        <v>0</v>
      </c>
      <c r="AV32" s="1035">
        <f t="shared" ref="AV32:AV36" si="329">+AS32+AT32-AU32</f>
        <v>0</v>
      </c>
      <c r="AW32" s="1036"/>
      <c r="AX32" s="1037">
        <f t="shared" ref="AX32:AX36" si="330">SUM(AS32:AW32)</f>
        <v>0</v>
      </c>
      <c r="AY32" s="1038" t="str">
        <f t="shared" ref="AY32:AY36" si="331">AW32</f>
        <v/>
      </c>
      <c r="AZ32" s="1034"/>
      <c r="BA32" s="1035">
        <f>'ORDER SENT'!BD32</f>
        <v>0</v>
      </c>
      <c r="BB32" s="1035">
        <f t="shared" ref="BB32:BB36" si="332">+AY32+AZ32-BA32</f>
        <v>0</v>
      </c>
      <c r="BC32" s="1036"/>
      <c r="BD32" s="1037">
        <f t="shared" ref="BD32:BD36" si="333">SUM(AY32:BC32)</f>
        <v>0</v>
      </c>
      <c r="BE32" s="1038" t="str">
        <f t="shared" ref="BE32:BE36" si="334">BC32</f>
        <v/>
      </c>
      <c r="BF32" s="1034"/>
      <c r="BG32" s="1035">
        <f>'ORDER SENT'!BJ32</f>
        <v>0</v>
      </c>
      <c r="BH32" s="1035">
        <f t="shared" ref="BH32:BH36" si="335">+BE32+BF32-BG32</f>
        <v>0</v>
      </c>
      <c r="BI32" s="1036"/>
      <c r="BJ32" s="1037">
        <f t="shared" ref="BJ32:BJ36" si="336">SUM(BE32:BI32)</f>
        <v>0</v>
      </c>
      <c r="BK32" s="1038" t="str">
        <f t="shared" ref="BK32:BK36" si="337">BI32</f>
        <v/>
      </c>
      <c r="BL32" s="1034"/>
      <c r="BM32" s="1035">
        <f>'ORDER SENT'!BP32</f>
        <v>0</v>
      </c>
      <c r="BN32" s="1035">
        <f t="shared" ref="BN32:BN36" si="338">+BK32+BL32-BM32</f>
        <v>0</v>
      </c>
      <c r="BO32" s="1036"/>
      <c r="BP32" s="1037">
        <f t="shared" ref="BP32:BP36" si="339">SUM(BK32:BO32)</f>
        <v>0</v>
      </c>
      <c r="BQ32" s="1038" t="str">
        <f t="shared" ref="BQ32:BQ36" si="340">BO32</f>
        <v/>
      </c>
      <c r="BR32" s="1034"/>
      <c r="BS32" s="1035">
        <f>'ORDER SENT'!BV32</f>
        <v>0</v>
      </c>
      <c r="BT32" s="1035">
        <f t="shared" ref="BT32:BT36" si="341">+BQ32+BR32-BS32</f>
        <v>0</v>
      </c>
      <c r="BU32" s="1036"/>
      <c r="BV32" s="1037">
        <f t="shared" ref="BV32:BV36" si="342">SUM(BQ32:BU32)</f>
        <v>0</v>
      </c>
      <c r="BW32" s="1038" t="str">
        <f t="shared" ref="BW32:BW36" si="343">BU32</f>
        <v/>
      </c>
      <c r="BX32" s="1034"/>
      <c r="BY32" s="1035">
        <f>'ORDER SENT'!CB32</f>
        <v>0</v>
      </c>
      <c r="BZ32" s="1035">
        <f t="shared" ref="BZ32:BZ36" si="344">+BW32+BX32-BY32</f>
        <v>0</v>
      </c>
      <c r="CA32" s="1036"/>
      <c r="CB32" s="1037">
        <f t="shared" ref="CB32:CB36" si="345">SUM(BW32:CA32)</f>
        <v>0</v>
      </c>
      <c r="CC32" s="1038" t="str">
        <f t="shared" ref="CC32:CC36" si="346">CA32</f>
        <v/>
      </c>
      <c r="CD32" s="1034"/>
      <c r="CE32" s="1035">
        <f>'ORDER SENT'!CH32</f>
        <v>0</v>
      </c>
      <c r="CF32" s="1035">
        <f t="shared" ref="CF32:CF36" si="347">+CC32+CD32-CE32</f>
        <v>0</v>
      </c>
      <c r="CG32" s="1036"/>
      <c r="CH32" s="1037">
        <f t="shared" ref="CH32:CH36" si="348">SUM(CC32:CG32)</f>
        <v>0</v>
      </c>
      <c r="CI32" s="1038" t="str">
        <f t="shared" ref="CI32:CI36" si="349">CG32</f>
        <v/>
      </c>
      <c r="CJ32" s="1034"/>
      <c r="CK32" s="1035">
        <f>'ORDER SENT'!CN32</f>
        <v>0</v>
      </c>
      <c r="CL32" s="1035">
        <f t="shared" ref="CL32:CL36" si="350">+CI32+CJ32-CK32</f>
        <v>0</v>
      </c>
      <c r="CM32" s="1036"/>
      <c r="CN32" s="1037">
        <f t="shared" ref="CN32:CN36" si="351">SUM(CI32:CM32)</f>
        <v>0</v>
      </c>
      <c r="CO32" s="1038" t="str">
        <f t="shared" ref="CO32:CO36" si="352">CM32</f>
        <v/>
      </c>
      <c r="CP32" s="1034"/>
      <c r="CQ32" s="1035">
        <f>'ORDER SENT'!CT32</f>
        <v>0</v>
      </c>
      <c r="CR32" s="1035">
        <f t="shared" ref="CR32:CR36" si="353">+CO32+CP32-CQ32</f>
        <v>0</v>
      </c>
      <c r="CS32" s="1036"/>
      <c r="CT32" s="1037">
        <f t="shared" ref="CT32:CT36" si="354">SUM(CO32:CS32)</f>
        <v>0</v>
      </c>
      <c r="CU32" s="1038" t="str">
        <f t="shared" ref="CU32:CU36" si="355">CS32</f>
        <v/>
      </c>
      <c r="CV32" s="1034"/>
      <c r="CW32" s="1035">
        <f>'ORDER SENT'!CZ32</f>
        <v>0</v>
      </c>
      <c r="CX32" s="1035">
        <f t="shared" ref="CX32:CX36" si="356">+CU32+CV32-CW32</f>
        <v>0</v>
      </c>
      <c r="CY32" s="1036"/>
      <c r="CZ32" s="1037">
        <f t="shared" ref="CZ32:CZ36" si="357">SUM(CU32:CY32)</f>
        <v>0</v>
      </c>
      <c r="DA32" s="1038" t="str">
        <f t="shared" ref="DA32:DA36" si="358">CY32</f>
        <v/>
      </c>
      <c r="DB32" s="1034"/>
      <c r="DC32" s="1035">
        <f>'ORDER SENT'!DF32</f>
        <v>0</v>
      </c>
      <c r="DD32" s="1035">
        <f t="shared" ref="DD32:DD36" si="359">+DA32+DB32-DC32</f>
        <v>0</v>
      </c>
      <c r="DE32" s="1036"/>
      <c r="DF32" s="1037">
        <f t="shared" ref="DF32:DF36" si="360">SUM(DA32:DE32)</f>
        <v>0</v>
      </c>
      <c r="DG32" s="1038" t="str">
        <f t="shared" ref="DG32:DG36" si="361">DE32</f>
        <v/>
      </c>
      <c r="DH32" s="1034"/>
      <c r="DI32" s="1035">
        <f>'ORDER SENT'!DL32</f>
        <v>0</v>
      </c>
      <c r="DJ32" s="1035">
        <f t="shared" ref="DJ32:DJ36" si="362">+DG32+DH32-DI32</f>
        <v>0</v>
      </c>
      <c r="DK32" s="1036"/>
      <c r="DL32" s="1037">
        <f t="shared" ref="DL32:DL36" si="363">SUM(DG32:DK32)</f>
        <v>0</v>
      </c>
      <c r="DM32" s="1038" t="str">
        <f t="shared" ref="DM32:DM36" si="364">DK32</f>
        <v/>
      </c>
      <c r="DN32" s="1034"/>
      <c r="DO32" s="1035">
        <f>'ORDER SENT'!DR32</f>
        <v>0</v>
      </c>
      <c r="DP32" s="1035">
        <f t="shared" ref="DP32:DP36" si="365">+DM32+DN32-DO32</f>
        <v>0</v>
      </c>
      <c r="DQ32" s="1036"/>
      <c r="DR32" s="1037">
        <f t="shared" ref="DR32:DR36" si="366">SUM(DM32:DQ32)</f>
        <v>0</v>
      </c>
      <c r="DS32" s="1038" t="str">
        <f t="shared" ref="DS32:DS36" si="367">DQ32</f>
        <v/>
      </c>
      <c r="DT32" s="1034"/>
      <c r="DU32" s="1035">
        <f>'ORDER SENT'!DX32</f>
        <v>0</v>
      </c>
      <c r="DV32" s="1035">
        <f t="shared" ref="DV32:DV36" si="368">+DS32+DT32-DU32</f>
        <v>0</v>
      </c>
      <c r="DW32" s="1036"/>
      <c r="DX32" s="1037">
        <f t="shared" ref="DX32:DX36" si="369">SUM(DS32:DW32)</f>
        <v>0</v>
      </c>
      <c r="DY32" s="1038" t="str">
        <f t="shared" ref="DY32:DY36" si="370">DW32</f>
        <v/>
      </c>
      <c r="DZ32" s="1034"/>
      <c r="EA32" s="1035">
        <f>'ORDER SENT'!ED32</f>
        <v>0</v>
      </c>
      <c r="EB32" s="1035">
        <f t="shared" ref="EB32:EB36" si="371">+DY32+DZ32-EA32</f>
        <v>0</v>
      </c>
      <c r="EC32" s="1036"/>
      <c r="ED32" s="1037">
        <f t="shared" ref="ED32:ED36" si="372">SUM(DY32:EC32)</f>
        <v>0</v>
      </c>
      <c r="EE32" s="1038" t="str">
        <f t="shared" ref="EE32:EE36" si="373">EC32</f>
        <v/>
      </c>
      <c r="EF32" s="1034"/>
      <c r="EG32" s="1035">
        <f>'ORDER SENT'!EJ32</f>
        <v>0</v>
      </c>
      <c r="EH32" s="1035">
        <f t="shared" ref="EH32:EH36" si="374">+EE32+EF32-EG32</f>
        <v>0</v>
      </c>
      <c r="EI32" s="1036"/>
      <c r="EJ32" s="1037">
        <f t="shared" ref="EJ32:EJ36" si="375">SUM(EE32:EI32)</f>
        <v>0</v>
      </c>
      <c r="EK32" s="1038" t="str">
        <f t="shared" ref="EK32:EK36" si="376">EI32</f>
        <v/>
      </c>
      <c r="EL32" s="1034"/>
      <c r="EM32" s="1035">
        <f>'ORDER SENT'!EP32</f>
        <v>0</v>
      </c>
      <c r="EN32" s="1035">
        <f t="shared" ref="EN32:EN36" si="377">+EK32+EL32-EM32</f>
        <v>0</v>
      </c>
      <c r="EO32" s="1036"/>
      <c r="EP32" s="1037">
        <f t="shared" ref="EP32:EP36" si="378">SUM(EK32:EO32)</f>
        <v>0</v>
      </c>
      <c r="EQ32" s="1038" t="str">
        <f t="shared" ref="EQ32:EQ36" si="379">EO32</f>
        <v/>
      </c>
      <c r="ER32" s="1034"/>
      <c r="ES32" s="1035">
        <f>'ORDER SENT'!EV32</f>
        <v>0</v>
      </c>
      <c r="ET32" s="1035">
        <f t="shared" ref="ET32:ET36" si="380">+EQ32+ER32-ES32</f>
        <v>0</v>
      </c>
      <c r="EU32" s="1036"/>
      <c r="EV32" s="1037">
        <f t="shared" ref="EV32:EV36" si="381">SUM(EQ32:EU32)</f>
        <v>0</v>
      </c>
      <c r="EW32" s="1038" t="str">
        <f t="shared" ref="EW32:EW36" si="382">EU32</f>
        <v/>
      </c>
      <c r="EX32" s="1034"/>
      <c r="EY32" s="1035">
        <f>'ORDER SENT'!FB32</f>
        <v>0</v>
      </c>
      <c r="EZ32" s="1035">
        <f t="shared" ref="EZ32:EZ36" si="383">+EW32+EX32-EY32</f>
        <v>0</v>
      </c>
      <c r="FA32" s="1036"/>
      <c r="FB32" s="1037">
        <f t="shared" ref="FB32:FB36" si="384">SUM(EW32:FA32)</f>
        <v>0</v>
      </c>
      <c r="FC32" s="1038" t="str">
        <f t="shared" ref="FC32:FC36" si="385">FA32</f>
        <v/>
      </c>
      <c r="FD32" s="1034"/>
      <c r="FE32" s="1035">
        <f>'ORDER SENT'!FH32</f>
        <v>0</v>
      </c>
      <c r="FF32" s="1035">
        <f t="shared" ref="FF32:FF36" si="386">+FC32+FD32-FE32</f>
        <v>0</v>
      </c>
      <c r="FG32" s="1036"/>
      <c r="FH32" s="1037">
        <f t="shared" ref="FH32:FH36" si="387">SUM(FC32:FG32)</f>
        <v>0</v>
      </c>
      <c r="FI32" s="1038" t="str">
        <f t="shared" ref="FI32:FI36" si="388">FG32</f>
        <v/>
      </c>
      <c r="FJ32" s="1034"/>
      <c r="FK32" s="1035">
        <f>'ORDER SENT'!FN32</f>
        <v>0</v>
      </c>
      <c r="FL32" s="1035">
        <f t="shared" ref="FL32:FL36" si="389">+FI32+FJ32-FK32</f>
        <v>0</v>
      </c>
      <c r="FM32" s="1036"/>
      <c r="FN32" s="1037">
        <f t="shared" ref="FN32:FN36" si="390">SUM(FI32:FM32)</f>
        <v>0</v>
      </c>
      <c r="FO32" s="1038" t="str">
        <f t="shared" ref="FO32:FO36" si="391">FM32</f>
        <v/>
      </c>
      <c r="FP32" s="1034"/>
      <c r="FQ32" s="1035">
        <f>'ORDER SENT'!FT32</f>
        <v>0</v>
      </c>
      <c r="FR32" s="1035">
        <f t="shared" ref="FR32:FR36" si="392">+FO32+FP32-FQ32</f>
        <v>0</v>
      </c>
      <c r="FS32" s="1036"/>
      <c r="FT32" s="1037">
        <f t="shared" ref="FT32:FT36" si="393">SUM(FO32:FS32)</f>
        <v>0</v>
      </c>
      <c r="FU32" s="1038" t="str">
        <f t="shared" ref="FU32:FU36" si="394">FS32</f>
        <v/>
      </c>
      <c r="FV32" s="1034"/>
      <c r="FW32" s="1035">
        <f>'ORDER SENT'!FZ32</f>
        <v>0</v>
      </c>
      <c r="FX32" s="1035">
        <f t="shared" ref="FX32:FX36" si="395">+FU32+FV32-FW32</f>
        <v>0</v>
      </c>
      <c r="FY32" s="1036"/>
      <c r="FZ32" s="1037">
        <f t="shared" ref="FZ32:FZ36" si="396">SUM(FU32:FY32)</f>
        <v>0</v>
      </c>
      <c r="GA32" s="1038" t="str">
        <f t="shared" ref="GA32:GA36" si="397">FY32</f>
        <v/>
      </c>
      <c r="GB32" s="1034"/>
      <c r="GC32" s="1035">
        <f>'ORDER SENT'!GF32</f>
        <v>0</v>
      </c>
      <c r="GD32" s="1035">
        <f t="shared" ref="GD32:GD36" si="398">+GA32+GB32-GC32</f>
        <v>0</v>
      </c>
      <c r="GE32" s="1036"/>
      <c r="GF32" s="1037">
        <f t="shared" ref="GF32:GF36" si="399">SUM(GA32:GE32)</f>
        <v>0</v>
      </c>
      <c r="GG32" s="1046" t="str">
        <f t="shared" si="94"/>
        <v/>
      </c>
      <c r="GH32" s="1047">
        <f t="shared" ref="GH32:GL32" si="307">+GB32+FV32+FP32+FJ32+FD32+EX32+ER32+EL32+EF32+DZ32+DT32+DN32+DH32+DB32+CV32+CP32+CJ32+CD32+BX32+BR32+BL32+BF32++AZ32+AT32+AN32+AH32+AB32+V32+P32+J32+D32</f>
        <v>0</v>
      </c>
      <c r="GI32" s="1047">
        <f t="shared" si="307"/>
        <v>0</v>
      </c>
      <c r="GJ32" s="1047">
        <f t="shared" si="307"/>
        <v>0</v>
      </c>
      <c r="GK32" s="1048">
        <f t="shared" si="307"/>
        <v>0</v>
      </c>
      <c r="GL32" s="1045">
        <f t="shared" si="307"/>
        <v>0</v>
      </c>
      <c r="GM32" s="1049">
        <f t="shared" ref="GM32:GM36" si="401">+GK32+GJ32+GI32+GH32+GG32</f>
        <v>0</v>
      </c>
    </row>
    <row r="33" ht="15.75" customHeight="1">
      <c r="B33" s="1042" t="s">
        <v>633</v>
      </c>
      <c r="C33" s="1043"/>
      <c r="D33" s="1039"/>
      <c r="E33" s="1035">
        <f>'ORDER SENT'!H33</f>
        <v>0</v>
      </c>
      <c r="F33" s="1035">
        <f t="shared" si="308"/>
        <v>0</v>
      </c>
      <c r="G33" s="1036"/>
      <c r="H33" s="1037">
        <f t="shared" si="309"/>
        <v>0</v>
      </c>
      <c r="I33" s="1038" t="str">
        <f t="shared" si="310"/>
        <v/>
      </c>
      <c r="J33" s="1034"/>
      <c r="K33" s="1035">
        <f>'ORDER SENT'!N33</f>
        <v>0</v>
      </c>
      <c r="L33" s="1035">
        <f t="shared" si="311"/>
        <v>0</v>
      </c>
      <c r="M33" s="1036"/>
      <c r="N33" s="1037">
        <f t="shared" si="312"/>
        <v>0</v>
      </c>
      <c r="O33" s="1038" t="str">
        <f t="shared" si="313"/>
        <v/>
      </c>
      <c r="P33" s="1034"/>
      <c r="Q33" s="1035">
        <f>'ORDER SENT'!T33</f>
        <v>0</v>
      </c>
      <c r="R33" s="1035">
        <f t="shared" si="314"/>
        <v>0</v>
      </c>
      <c r="S33" s="1036"/>
      <c r="T33" s="1037">
        <f t="shared" si="315"/>
        <v>0</v>
      </c>
      <c r="U33" s="1038" t="str">
        <f t="shared" si="316"/>
        <v/>
      </c>
      <c r="V33" s="1034"/>
      <c r="W33" s="1035">
        <f>'ORDER SENT'!Z33</f>
        <v>0</v>
      </c>
      <c r="X33" s="1035">
        <f t="shared" si="317"/>
        <v>0</v>
      </c>
      <c r="Y33" s="1036"/>
      <c r="Z33" s="1037">
        <f t="shared" si="318"/>
        <v>0</v>
      </c>
      <c r="AA33" s="1038" t="str">
        <f t="shared" si="319"/>
        <v/>
      </c>
      <c r="AB33" s="1034"/>
      <c r="AC33" s="1035">
        <f>'ORDER SENT'!AF33</f>
        <v>0</v>
      </c>
      <c r="AD33" s="1035">
        <f t="shared" si="320"/>
        <v>0</v>
      </c>
      <c r="AE33" s="1036"/>
      <c r="AF33" s="1037">
        <f t="shared" si="321"/>
        <v>0</v>
      </c>
      <c r="AG33" s="1038" t="str">
        <f t="shared" si="322"/>
        <v/>
      </c>
      <c r="AH33" s="1034"/>
      <c r="AI33" s="1035">
        <f>'ORDER SENT'!AL33</f>
        <v>0</v>
      </c>
      <c r="AJ33" s="1035">
        <f t="shared" si="323"/>
        <v>0</v>
      </c>
      <c r="AK33" s="1036"/>
      <c r="AL33" s="1037">
        <f t="shared" si="324"/>
        <v>0</v>
      </c>
      <c r="AM33" s="1038" t="str">
        <f t="shared" si="325"/>
        <v/>
      </c>
      <c r="AN33" s="1034"/>
      <c r="AO33" s="1035">
        <f>'ORDER SENT'!AR33</f>
        <v>0</v>
      </c>
      <c r="AP33" s="1035">
        <f t="shared" si="326"/>
        <v>0</v>
      </c>
      <c r="AQ33" s="1036"/>
      <c r="AR33" s="1037">
        <f t="shared" si="327"/>
        <v>0</v>
      </c>
      <c r="AS33" s="1038" t="str">
        <f t="shared" si="328"/>
        <v/>
      </c>
      <c r="AT33" s="1034"/>
      <c r="AU33" s="1035">
        <f>'ORDER SENT'!AX33</f>
        <v>0</v>
      </c>
      <c r="AV33" s="1035">
        <f t="shared" si="329"/>
        <v>0</v>
      </c>
      <c r="AW33" s="1036"/>
      <c r="AX33" s="1037">
        <f t="shared" si="330"/>
        <v>0</v>
      </c>
      <c r="AY33" s="1038" t="str">
        <f t="shared" si="331"/>
        <v/>
      </c>
      <c r="AZ33" s="1034"/>
      <c r="BA33" s="1035">
        <f>'ORDER SENT'!BD33</f>
        <v>0</v>
      </c>
      <c r="BB33" s="1035">
        <f t="shared" si="332"/>
        <v>0</v>
      </c>
      <c r="BC33" s="1036"/>
      <c r="BD33" s="1037">
        <f t="shared" si="333"/>
        <v>0</v>
      </c>
      <c r="BE33" s="1038" t="str">
        <f t="shared" si="334"/>
        <v/>
      </c>
      <c r="BF33" s="1034"/>
      <c r="BG33" s="1035">
        <f>'ORDER SENT'!BJ33</f>
        <v>0</v>
      </c>
      <c r="BH33" s="1035">
        <f t="shared" si="335"/>
        <v>0</v>
      </c>
      <c r="BI33" s="1036"/>
      <c r="BJ33" s="1037">
        <f t="shared" si="336"/>
        <v>0</v>
      </c>
      <c r="BK33" s="1038" t="str">
        <f t="shared" si="337"/>
        <v/>
      </c>
      <c r="BL33" s="1034"/>
      <c r="BM33" s="1035">
        <f>'ORDER SENT'!BP33</f>
        <v>0</v>
      </c>
      <c r="BN33" s="1035">
        <f t="shared" si="338"/>
        <v>0</v>
      </c>
      <c r="BO33" s="1036"/>
      <c r="BP33" s="1037">
        <f t="shared" si="339"/>
        <v>0</v>
      </c>
      <c r="BQ33" s="1038" t="str">
        <f t="shared" si="340"/>
        <v/>
      </c>
      <c r="BR33" s="1034"/>
      <c r="BS33" s="1035">
        <f>'ORDER SENT'!BV33</f>
        <v>0</v>
      </c>
      <c r="BT33" s="1035">
        <f t="shared" si="341"/>
        <v>0</v>
      </c>
      <c r="BU33" s="1036"/>
      <c r="BV33" s="1037">
        <f t="shared" si="342"/>
        <v>0</v>
      </c>
      <c r="BW33" s="1038" t="str">
        <f t="shared" si="343"/>
        <v/>
      </c>
      <c r="BX33" s="1034"/>
      <c r="BY33" s="1035">
        <f>'ORDER SENT'!CB33</f>
        <v>0</v>
      </c>
      <c r="BZ33" s="1035">
        <f t="shared" si="344"/>
        <v>0</v>
      </c>
      <c r="CA33" s="1036"/>
      <c r="CB33" s="1037">
        <f t="shared" si="345"/>
        <v>0</v>
      </c>
      <c r="CC33" s="1038" t="str">
        <f t="shared" si="346"/>
        <v/>
      </c>
      <c r="CD33" s="1034"/>
      <c r="CE33" s="1035">
        <f>'ORDER SENT'!CH33</f>
        <v>0</v>
      </c>
      <c r="CF33" s="1035">
        <f t="shared" si="347"/>
        <v>0</v>
      </c>
      <c r="CG33" s="1036"/>
      <c r="CH33" s="1037">
        <f t="shared" si="348"/>
        <v>0</v>
      </c>
      <c r="CI33" s="1038" t="str">
        <f t="shared" si="349"/>
        <v/>
      </c>
      <c r="CJ33" s="1034"/>
      <c r="CK33" s="1035">
        <f>'ORDER SENT'!CN33</f>
        <v>0</v>
      </c>
      <c r="CL33" s="1035">
        <f t="shared" si="350"/>
        <v>0</v>
      </c>
      <c r="CM33" s="1036"/>
      <c r="CN33" s="1037">
        <f t="shared" si="351"/>
        <v>0</v>
      </c>
      <c r="CO33" s="1038" t="str">
        <f t="shared" si="352"/>
        <v/>
      </c>
      <c r="CP33" s="1034"/>
      <c r="CQ33" s="1035">
        <f>'ORDER SENT'!CT33</f>
        <v>0</v>
      </c>
      <c r="CR33" s="1035">
        <f t="shared" si="353"/>
        <v>0</v>
      </c>
      <c r="CS33" s="1036"/>
      <c r="CT33" s="1037">
        <f t="shared" si="354"/>
        <v>0</v>
      </c>
      <c r="CU33" s="1038" t="str">
        <f t="shared" si="355"/>
        <v/>
      </c>
      <c r="CV33" s="1034"/>
      <c r="CW33" s="1035">
        <f>'ORDER SENT'!CZ33</f>
        <v>0</v>
      </c>
      <c r="CX33" s="1035">
        <f t="shared" si="356"/>
        <v>0</v>
      </c>
      <c r="CY33" s="1036"/>
      <c r="CZ33" s="1037">
        <f t="shared" si="357"/>
        <v>0</v>
      </c>
      <c r="DA33" s="1038" t="str">
        <f t="shared" si="358"/>
        <v/>
      </c>
      <c r="DB33" s="1034"/>
      <c r="DC33" s="1035">
        <f>'ORDER SENT'!DF33</f>
        <v>0</v>
      </c>
      <c r="DD33" s="1035">
        <f t="shared" si="359"/>
        <v>0</v>
      </c>
      <c r="DE33" s="1036"/>
      <c r="DF33" s="1037">
        <f t="shared" si="360"/>
        <v>0</v>
      </c>
      <c r="DG33" s="1038" t="str">
        <f t="shared" si="361"/>
        <v/>
      </c>
      <c r="DH33" s="1034"/>
      <c r="DI33" s="1035">
        <f>'ORDER SENT'!DL33</f>
        <v>0</v>
      </c>
      <c r="DJ33" s="1035">
        <f t="shared" si="362"/>
        <v>0</v>
      </c>
      <c r="DK33" s="1036"/>
      <c r="DL33" s="1037">
        <f t="shared" si="363"/>
        <v>0</v>
      </c>
      <c r="DM33" s="1038" t="str">
        <f t="shared" si="364"/>
        <v/>
      </c>
      <c r="DN33" s="1034"/>
      <c r="DO33" s="1035">
        <f>'ORDER SENT'!DR33</f>
        <v>0</v>
      </c>
      <c r="DP33" s="1035">
        <f t="shared" si="365"/>
        <v>0</v>
      </c>
      <c r="DQ33" s="1036"/>
      <c r="DR33" s="1037">
        <f t="shared" si="366"/>
        <v>0</v>
      </c>
      <c r="DS33" s="1038" t="str">
        <f t="shared" si="367"/>
        <v/>
      </c>
      <c r="DT33" s="1034"/>
      <c r="DU33" s="1035">
        <f>'ORDER SENT'!DX33</f>
        <v>0</v>
      </c>
      <c r="DV33" s="1035">
        <f t="shared" si="368"/>
        <v>0</v>
      </c>
      <c r="DW33" s="1036"/>
      <c r="DX33" s="1037">
        <f t="shared" si="369"/>
        <v>0</v>
      </c>
      <c r="DY33" s="1038" t="str">
        <f t="shared" si="370"/>
        <v/>
      </c>
      <c r="DZ33" s="1034"/>
      <c r="EA33" s="1035">
        <f>'ORDER SENT'!ED33</f>
        <v>0</v>
      </c>
      <c r="EB33" s="1035">
        <f t="shared" si="371"/>
        <v>0</v>
      </c>
      <c r="EC33" s="1036"/>
      <c r="ED33" s="1037">
        <f t="shared" si="372"/>
        <v>0</v>
      </c>
      <c r="EE33" s="1038" t="str">
        <f t="shared" si="373"/>
        <v/>
      </c>
      <c r="EF33" s="1034"/>
      <c r="EG33" s="1035">
        <f>'ORDER SENT'!EJ33</f>
        <v>0</v>
      </c>
      <c r="EH33" s="1035">
        <f t="shared" si="374"/>
        <v>0</v>
      </c>
      <c r="EI33" s="1036"/>
      <c r="EJ33" s="1037">
        <f t="shared" si="375"/>
        <v>0</v>
      </c>
      <c r="EK33" s="1038" t="str">
        <f t="shared" si="376"/>
        <v/>
      </c>
      <c r="EL33" s="1034"/>
      <c r="EM33" s="1035">
        <f>'ORDER SENT'!EP33</f>
        <v>0</v>
      </c>
      <c r="EN33" s="1035">
        <f t="shared" si="377"/>
        <v>0</v>
      </c>
      <c r="EO33" s="1036"/>
      <c r="EP33" s="1037">
        <f t="shared" si="378"/>
        <v>0</v>
      </c>
      <c r="EQ33" s="1038" t="str">
        <f t="shared" si="379"/>
        <v/>
      </c>
      <c r="ER33" s="1034"/>
      <c r="ES33" s="1035">
        <f>'ORDER SENT'!EV33</f>
        <v>0</v>
      </c>
      <c r="ET33" s="1035">
        <f t="shared" si="380"/>
        <v>0</v>
      </c>
      <c r="EU33" s="1036"/>
      <c r="EV33" s="1037">
        <f t="shared" si="381"/>
        <v>0</v>
      </c>
      <c r="EW33" s="1038" t="str">
        <f t="shared" si="382"/>
        <v/>
      </c>
      <c r="EX33" s="1034"/>
      <c r="EY33" s="1035">
        <f>'ORDER SENT'!FB33</f>
        <v>0</v>
      </c>
      <c r="EZ33" s="1035">
        <f t="shared" si="383"/>
        <v>0</v>
      </c>
      <c r="FA33" s="1036"/>
      <c r="FB33" s="1037">
        <f t="shared" si="384"/>
        <v>0</v>
      </c>
      <c r="FC33" s="1038" t="str">
        <f t="shared" si="385"/>
        <v/>
      </c>
      <c r="FD33" s="1034"/>
      <c r="FE33" s="1035">
        <f>'ORDER SENT'!FH33</f>
        <v>0</v>
      </c>
      <c r="FF33" s="1035">
        <f t="shared" si="386"/>
        <v>0</v>
      </c>
      <c r="FG33" s="1036"/>
      <c r="FH33" s="1037">
        <f t="shared" si="387"/>
        <v>0</v>
      </c>
      <c r="FI33" s="1038" t="str">
        <f t="shared" si="388"/>
        <v/>
      </c>
      <c r="FJ33" s="1034"/>
      <c r="FK33" s="1035">
        <f>'ORDER SENT'!FN33</f>
        <v>0</v>
      </c>
      <c r="FL33" s="1035">
        <f t="shared" si="389"/>
        <v>0</v>
      </c>
      <c r="FM33" s="1036"/>
      <c r="FN33" s="1037">
        <f t="shared" si="390"/>
        <v>0</v>
      </c>
      <c r="FO33" s="1038" t="str">
        <f t="shared" si="391"/>
        <v/>
      </c>
      <c r="FP33" s="1034"/>
      <c r="FQ33" s="1035">
        <f>'ORDER SENT'!FT33</f>
        <v>0</v>
      </c>
      <c r="FR33" s="1035">
        <f t="shared" si="392"/>
        <v>0</v>
      </c>
      <c r="FS33" s="1036"/>
      <c r="FT33" s="1037">
        <f t="shared" si="393"/>
        <v>0</v>
      </c>
      <c r="FU33" s="1038" t="str">
        <f t="shared" si="394"/>
        <v/>
      </c>
      <c r="FV33" s="1034"/>
      <c r="FW33" s="1035">
        <f>'ORDER SENT'!FZ33</f>
        <v>0</v>
      </c>
      <c r="FX33" s="1035">
        <f t="shared" si="395"/>
        <v>0</v>
      </c>
      <c r="FY33" s="1036"/>
      <c r="FZ33" s="1037">
        <f t="shared" si="396"/>
        <v>0</v>
      </c>
      <c r="GA33" s="1038" t="str">
        <f t="shared" si="397"/>
        <v/>
      </c>
      <c r="GB33" s="1034"/>
      <c r="GC33" s="1035">
        <f>'ORDER SENT'!GF33</f>
        <v>0</v>
      </c>
      <c r="GD33" s="1035">
        <f t="shared" si="398"/>
        <v>0</v>
      </c>
      <c r="GE33" s="1036"/>
      <c r="GF33" s="1037">
        <f t="shared" si="399"/>
        <v>0</v>
      </c>
      <c r="GG33" s="1046" t="str">
        <f t="shared" si="94"/>
        <v/>
      </c>
      <c r="GH33" s="1047">
        <f t="shared" ref="GH33:GL33" si="400">+GB33+FV33+FP33+FJ33+FD33+EX33+ER33+EL33+EF33+DZ33+DT33+DN33+DH33+DB33+CV33+CP33+CJ33+CD33+BX33+BR33+BL33+BF33++AZ33+AT33+AN33+AH33+AB33+V33+P33+J33+D33</f>
        <v>0</v>
      </c>
      <c r="GI33" s="1047">
        <f t="shared" si="400"/>
        <v>0</v>
      </c>
      <c r="GJ33" s="1047">
        <f t="shared" si="400"/>
        <v>0</v>
      </c>
      <c r="GK33" s="1048">
        <f t="shared" si="400"/>
        <v>0</v>
      </c>
      <c r="GL33" s="1045">
        <f t="shared" si="400"/>
        <v>0</v>
      </c>
      <c r="GM33" s="1049">
        <f t="shared" si="401"/>
        <v>0</v>
      </c>
    </row>
    <row r="34" ht="15.75" customHeight="1">
      <c r="B34" s="1042" t="s">
        <v>648</v>
      </c>
      <c r="C34" s="1043"/>
      <c r="D34" s="1039"/>
      <c r="E34" s="1035">
        <f>'ORDER SENT'!H34</f>
        <v>0</v>
      </c>
      <c r="F34" s="1035">
        <f t="shared" si="308"/>
        <v>0</v>
      </c>
      <c r="G34" s="1036"/>
      <c r="H34" s="1037">
        <f t="shared" si="309"/>
        <v>0</v>
      </c>
      <c r="I34" s="1038" t="str">
        <f t="shared" si="310"/>
        <v/>
      </c>
      <c r="J34" s="1034"/>
      <c r="K34" s="1035">
        <f>'ORDER SENT'!N34</f>
        <v>0</v>
      </c>
      <c r="L34" s="1035">
        <f t="shared" si="311"/>
        <v>0</v>
      </c>
      <c r="M34" s="1036"/>
      <c r="N34" s="1037">
        <f t="shared" si="312"/>
        <v>0</v>
      </c>
      <c r="O34" s="1038" t="str">
        <f t="shared" si="313"/>
        <v/>
      </c>
      <c r="P34" s="1034"/>
      <c r="Q34" s="1035">
        <f>'ORDER SENT'!T34</f>
        <v>0</v>
      </c>
      <c r="R34" s="1035">
        <f t="shared" si="314"/>
        <v>0</v>
      </c>
      <c r="S34" s="1036"/>
      <c r="T34" s="1037">
        <f t="shared" si="315"/>
        <v>0</v>
      </c>
      <c r="U34" s="1038" t="str">
        <f t="shared" si="316"/>
        <v/>
      </c>
      <c r="V34" s="1034"/>
      <c r="W34" s="1035">
        <f>'ORDER SENT'!Z34</f>
        <v>0</v>
      </c>
      <c r="X34" s="1035">
        <f t="shared" si="317"/>
        <v>0</v>
      </c>
      <c r="Y34" s="1036"/>
      <c r="Z34" s="1037">
        <f t="shared" si="318"/>
        <v>0</v>
      </c>
      <c r="AA34" s="1038" t="str">
        <f t="shared" si="319"/>
        <v/>
      </c>
      <c r="AB34" s="1034"/>
      <c r="AC34" s="1035">
        <f>'ORDER SENT'!AF34</f>
        <v>0</v>
      </c>
      <c r="AD34" s="1035">
        <f t="shared" si="320"/>
        <v>0</v>
      </c>
      <c r="AE34" s="1036"/>
      <c r="AF34" s="1037">
        <f t="shared" si="321"/>
        <v>0</v>
      </c>
      <c r="AG34" s="1038" t="str">
        <f t="shared" si="322"/>
        <v/>
      </c>
      <c r="AH34" s="1034"/>
      <c r="AI34" s="1035">
        <f>'ORDER SENT'!AL34</f>
        <v>0</v>
      </c>
      <c r="AJ34" s="1035">
        <f t="shared" si="323"/>
        <v>0</v>
      </c>
      <c r="AK34" s="1036"/>
      <c r="AL34" s="1037">
        <f t="shared" si="324"/>
        <v>0</v>
      </c>
      <c r="AM34" s="1038" t="str">
        <f t="shared" si="325"/>
        <v/>
      </c>
      <c r="AN34" s="1034"/>
      <c r="AO34" s="1035">
        <f>'ORDER SENT'!AR34</f>
        <v>0</v>
      </c>
      <c r="AP34" s="1035">
        <f t="shared" si="326"/>
        <v>0</v>
      </c>
      <c r="AQ34" s="1036"/>
      <c r="AR34" s="1037">
        <f t="shared" si="327"/>
        <v>0</v>
      </c>
      <c r="AS34" s="1038" t="str">
        <f t="shared" si="328"/>
        <v/>
      </c>
      <c r="AT34" s="1034"/>
      <c r="AU34" s="1035">
        <f>'ORDER SENT'!AX34</f>
        <v>0</v>
      </c>
      <c r="AV34" s="1035">
        <f t="shared" si="329"/>
        <v>0</v>
      </c>
      <c r="AW34" s="1036"/>
      <c r="AX34" s="1037">
        <f t="shared" si="330"/>
        <v>0</v>
      </c>
      <c r="AY34" s="1038" t="str">
        <f t="shared" si="331"/>
        <v/>
      </c>
      <c r="AZ34" s="1034"/>
      <c r="BA34" s="1035">
        <f>'ORDER SENT'!BD34</f>
        <v>0</v>
      </c>
      <c r="BB34" s="1035">
        <f t="shared" si="332"/>
        <v>0</v>
      </c>
      <c r="BC34" s="1036"/>
      <c r="BD34" s="1037">
        <f t="shared" si="333"/>
        <v>0</v>
      </c>
      <c r="BE34" s="1038" t="str">
        <f t="shared" si="334"/>
        <v/>
      </c>
      <c r="BF34" s="1034"/>
      <c r="BG34" s="1035">
        <f>'ORDER SENT'!BJ34</f>
        <v>0</v>
      </c>
      <c r="BH34" s="1035">
        <f t="shared" si="335"/>
        <v>0</v>
      </c>
      <c r="BI34" s="1036"/>
      <c r="BJ34" s="1037">
        <f t="shared" si="336"/>
        <v>0</v>
      </c>
      <c r="BK34" s="1038" t="str">
        <f t="shared" si="337"/>
        <v/>
      </c>
      <c r="BL34" s="1034"/>
      <c r="BM34" s="1035">
        <f>'ORDER SENT'!BP34</f>
        <v>0</v>
      </c>
      <c r="BN34" s="1035">
        <f t="shared" si="338"/>
        <v>0</v>
      </c>
      <c r="BO34" s="1036"/>
      <c r="BP34" s="1037">
        <f t="shared" si="339"/>
        <v>0</v>
      </c>
      <c r="BQ34" s="1038" t="str">
        <f t="shared" si="340"/>
        <v/>
      </c>
      <c r="BR34" s="1034"/>
      <c r="BS34" s="1035">
        <f>'ORDER SENT'!BV34</f>
        <v>0</v>
      </c>
      <c r="BT34" s="1035">
        <f t="shared" si="341"/>
        <v>0</v>
      </c>
      <c r="BU34" s="1036"/>
      <c r="BV34" s="1037">
        <f t="shared" si="342"/>
        <v>0</v>
      </c>
      <c r="BW34" s="1038" t="str">
        <f t="shared" si="343"/>
        <v/>
      </c>
      <c r="BX34" s="1034"/>
      <c r="BY34" s="1035">
        <f>'ORDER SENT'!CB34</f>
        <v>0</v>
      </c>
      <c r="BZ34" s="1035">
        <f t="shared" si="344"/>
        <v>0</v>
      </c>
      <c r="CA34" s="1036"/>
      <c r="CB34" s="1037">
        <f t="shared" si="345"/>
        <v>0</v>
      </c>
      <c r="CC34" s="1038" t="str">
        <f t="shared" si="346"/>
        <v/>
      </c>
      <c r="CD34" s="1034"/>
      <c r="CE34" s="1035">
        <f>'ORDER SENT'!CH34</f>
        <v>0</v>
      </c>
      <c r="CF34" s="1035">
        <f t="shared" si="347"/>
        <v>0</v>
      </c>
      <c r="CG34" s="1036"/>
      <c r="CH34" s="1037">
        <f t="shared" si="348"/>
        <v>0</v>
      </c>
      <c r="CI34" s="1038" t="str">
        <f t="shared" si="349"/>
        <v/>
      </c>
      <c r="CJ34" s="1034"/>
      <c r="CK34" s="1035">
        <f>'ORDER SENT'!CN34</f>
        <v>0</v>
      </c>
      <c r="CL34" s="1035">
        <f t="shared" si="350"/>
        <v>0</v>
      </c>
      <c r="CM34" s="1036"/>
      <c r="CN34" s="1037">
        <f t="shared" si="351"/>
        <v>0</v>
      </c>
      <c r="CO34" s="1038" t="str">
        <f t="shared" si="352"/>
        <v/>
      </c>
      <c r="CP34" s="1034"/>
      <c r="CQ34" s="1035">
        <f>'ORDER SENT'!CT34</f>
        <v>0</v>
      </c>
      <c r="CR34" s="1035">
        <f t="shared" si="353"/>
        <v>0</v>
      </c>
      <c r="CS34" s="1036"/>
      <c r="CT34" s="1037">
        <f t="shared" si="354"/>
        <v>0</v>
      </c>
      <c r="CU34" s="1038" t="str">
        <f t="shared" si="355"/>
        <v/>
      </c>
      <c r="CV34" s="1034"/>
      <c r="CW34" s="1035">
        <f>'ORDER SENT'!CZ34</f>
        <v>0</v>
      </c>
      <c r="CX34" s="1035">
        <f t="shared" si="356"/>
        <v>0</v>
      </c>
      <c r="CY34" s="1036"/>
      <c r="CZ34" s="1037">
        <f t="shared" si="357"/>
        <v>0</v>
      </c>
      <c r="DA34" s="1038" t="str">
        <f t="shared" si="358"/>
        <v/>
      </c>
      <c r="DB34" s="1034"/>
      <c r="DC34" s="1035">
        <f>'ORDER SENT'!DF34</f>
        <v>0</v>
      </c>
      <c r="DD34" s="1035">
        <f t="shared" si="359"/>
        <v>0</v>
      </c>
      <c r="DE34" s="1036"/>
      <c r="DF34" s="1037">
        <f t="shared" si="360"/>
        <v>0</v>
      </c>
      <c r="DG34" s="1038" t="str">
        <f t="shared" si="361"/>
        <v/>
      </c>
      <c r="DH34" s="1034"/>
      <c r="DI34" s="1035">
        <f>'ORDER SENT'!DL34</f>
        <v>0</v>
      </c>
      <c r="DJ34" s="1035">
        <f t="shared" si="362"/>
        <v>0</v>
      </c>
      <c r="DK34" s="1036"/>
      <c r="DL34" s="1037">
        <f t="shared" si="363"/>
        <v>0</v>
      </c>
      <c r="DM34" s="1038" t="str">
        <f t="shared" si="364"/>
        <v/>
      </c>
      <c r="DN34" s="1034"/>
      <c r="DO34" s="1035">
        <f>'ORDER SENT'!DR34</f>
        <v>0</v>
      </c>
      <c r="DP34" s="1035">
        <f t="shared" si="365"/>
        <v>0</v>
      </c>
      <c r="DQ34" s="1036"/>
      <c r="DR34" s="1037">
        <f t="shared" si="366"/>
        <v>0</v>
      </c>
      <c r="DS34" s="1038" t="str">
        <f t="shared" si="367"/>
        <v/>
      </c>
      <c r="DT34" s="1034"/>
      <c r="DU34" s="1035">
        <f>'ORDER SENT'!DX34</f>
        <v>0</v>
      </c>
      <c r="DV34" s="1035">
        <f t="shared" si="368"/>
        <v>0</v>
      </c>
      <c r="DW34" s="1036"/>
      <c r="DX34" s="1037">
        <f t="shared" si="369"/>
        <v>0</v>
      </c>
      <c r="DY34" s="1038" t="str">
        <f t="shared" si="370"/>
        <v/>
      </c>
      <c r="DZ34" s="1034"/>
      <c r="EA34" s="1035">
        <f>'ORDER SENT'!ED34</f>
        <v>0</v>
      </c>
      <c r="EB34" s="1035">
        <f t="shared" si="371"/>
        <v>0</v>
      </c>
      <c r="EC34" s="1036"/>
      <c r="ED34" s="1037">
        <f t="shared" si="372"/>
        <v>0</v>
      </c>
      <c r="EE34" s="1038" t="str">
        <f t="shared" si="373"/>
        <v/>
      </c>
      <c r="EF34" s="1034"/>
      <c r="EG34" s="1035">
        <f>'ORDER SENT'!EJ34</f>
        <v>0</v>
      </c>
      <c r="EH34" s="1035">
        <f t="shared" si="374"/>
        <v>0</v>
      </c>
      <c r="EI34" s="1036"/>
      <c r="EJ34" s="1037">
        <f t="shared" si="375"/>
        <v>0</v>
      </c>
      <c r="EK34" s="1038" t="str">
        <f t="shared" si="376"/>
        <v/>
      </c>
      <c r="EL34" s="1034"/>
      <c r="EM34" s="1035">
        <f>'ORDER SENT'!EP34</f>
        <v>0</v>
      </c>
      <c r="EN34" s="1035">
        <f t="shared" si="377"/>
        <v>0</v>
      </c>
      <c r="EO34" s="1036"/>
      <c r="EP34" s="1037">
        <f t="shared" si="378"/>
        <v>0</v>
      </c>
      <c r="EQ34" s="1038" t="str">
        <f t="shared" si="379"/>
        <v/>
      </c>
      <c r="ER34" s="1034"/>
      <c r="ES34" s="1035">
        <f>'ORDER SENT'!EV34</f>
        <v>0</v>
      </c>
      <c r="ET34" s="1035">
        <f t="shared" si="380"/>
        <v>0</v>
      </c>
      <c r="EU34" s="1036"/>
      <c r="EV34" s="1037">
        <f t="shared" si="381"/>
        <v>0</v>
      </c>
      <c r="EW34" s="1038" t="str">
        <f t="shared" si="382"/>
        <v/>
      </c>
      <c r="EX34" s="1034"/>
      <c r="EY34" s="1035">
        <f>'ORDER SENT'!FB34</f>
        <v>0</v>
      </c>
      <c r="EZ34" s="1035">
        <f t="shared" si="383"/>
        <v>0</v>
      </c>
      <c r="FA34" s="1036"/>
      <c r="FB34" s="1037">
        <f t="shared" si="384"/>
        <v>0</v>
      </c>
      <c r="FC34" s="1038" t="str">
        <f t="shared" si="385"/>
        <v/>
      </c>
      <c r="FD34" s="1034"/>
      <c r="FE34" s="1035">
        <f>'ORDER SENT'!FH34</f>
        <v>0</v>
      </c>
      <c r="FF34" s="1035">
        <f t="shared" si="386"/>
        <v>0</v>
      </c>
      <c r="FG34" s="1036"/>
      <c r="FH34" s="1037">
        <f t="shared" si="387"/>
        <v>0</v>
      </c>
      <c r="FI34" s="1038" t="str">
        <f t="shared" si="388"/>
        <v/>
      </c>
      <c r="FJ34" s="1034"/>
      <c r="FK34" s="1035">
        <f>'ORDER SENT'!FN34</f>
        <v>0</v>
      </c>
      <c r="FL34" s="1035">
        <f t="shared" si="389"/>
        <v>0</v>
      </c>
      <c r="FM34" s="1036"/>
      <c r="FN34" s="1037">
        <f t="shared" si="390"/>
        <v>0</v>
      </c>
      <c r="FO34" s="1038" t="str">
        <f t="shared" si="391"/>
        <v/>
      </c>
      <c r="FP34" s="1034"/>
      <c r="FQ34" s="1035">
        <f>'ORDER SENT'!FT34</f>
        <v>0</v>
      </c>
      <c r="FR34" s="1035">
        <f t="shared" si="392"/>
        <v>0</v>
      </c>
      <c r="FS34" s="1036"/>
      <c r="FT34" s="1037">
        <f t="shared" si="393"/>
        <v>0</v>
      </c>
      <c r="FU34" s="1038" t="str">
        <f t="shared" si="394"/>
        <v/>
      </c>
      <c r="FV34" s="1034"/>
      <c r="FW34" s="1035">
        <f>'ORDER SENT'!FZ34</f>
        <v>0</v>
      </c>
      <c r="FX34" s="1035">
        <f t="shared" si="395"/>
        <v>0</v>
      </c>
      <c r="FY34" s="1036"/>
      <c r="FZ34" s="1037">
        <f t="shared" si="396"/>
        <v>0</v>
      </c>
      <c r="GA34" s="1038" t="str">
        <f t="shared" si="397"/>
        <v/>
      </c>
      <c r="GB34" s="1034"/>
      <c r="GC34" s="1035">
        <f>'ORDER SENT'!GF34</f>
        <v>0</v>
      </c>
      <c r="GD34" s="1035">
        <f t="shared" si="398"/>
        <v>0</v>
      </c>
      <c r="GE34" s="1036"/>
      <c r="GF34" s="1037">
        <f t="shared" si="399"/>
        <v>0</v>
      </c>
      <c r="GG34" s="1046" t="str">
        <f t="shared" si="94"/>
        <v/>
      </c>
      <c r="GH34" s="1047">
        <f t="shared" ref="GH34:GL34" si="402">+GB34+FV34+FP34+FJ34+FD34+EX34+ER34+EL34+EF34+DZ34+DT34+DN34+DH34+DB34+CV34+CP34+CJ34+CD34+BX34+BR34+BL34+BF34++AZ34+AT34+AN34+AH34+AB34+V34+P34+J34+D34</f>
        <v>0</v>
      </c>
      <c r="GI34" s="1047">
        <f t="shared" si="402"/>
        <v>0</v>
      </c>
      <c r="GJ34" s="1047">
        <f t="shared" si="402"/>
        <v>0</v>
      </c>
      <c r="GK34" s="1048">
        <f t="shared" si="402"/>
        <v>0</v>
      </c>
      <c r="GL34" s="1045">
        <f t="shared" si="402"/>
        <v>0</v>
      </c>
      <c r="GM34" s="1049">
        <f t="shared" si="401"/>
        <v>0</v>
      </c>
    </row>
    <row r="35" ht="15.75" customHeight="1">
      <c r="B35" s="1042" t="s">
        <v>645</v>
      </c>
      <c r="C35" s="1043"/>
      <c r="D35" s="1039"/>
      <c r="E35" s="1035">
        <f>'ORDER SENT'!H35</f>
        <v>0</v>
      </c>
      <c r="F35" s="1035">
        <f t="shared" si="308"/>
        <v>0</v>
      </c>
      <c r="G35" s="1036"/>
      <c r="H35" s="1037">
        <f t="shared" si="309"/>
        <v>0</v>
      </c>
      <c r="I35" s="1038" t="str">
        <f t="shared" si="310"/>
        <v/>
      </c>
      <c r="J35" s="1034"/>
      <c r="K35" s="1035">
        <f>'ORDER SENT'!N35</f>
        <v>0</v>
      </c>
      <c r="L35" s="1035">
        <f t="shared" si="311"/>
        <v>0</v>
      </c>
      <c r="M35" s="1036"/>
      <c r="N35" s="1037">
        <f t="shared" si="312"/>
        <v>0</v>
      </c>
      <c r="O35" s="1038" t="str">
        <f t="shared" si="313"/>
        <v/>
      </c>
      <c r="P35" s="1034"/>
      <c r="Q35" s="1035">
        <f>'ORDER SENT'!T35</f>
        <v>0</v>
      </c>
      <c r="R35" s="1035">
        <f t="shared" si="314"/>
        <v>0</v>
      </c>
      <c r="S35" s="1036"/>
      <c r="T35" s="1037">
        <f t="shared" si="315"/>
        <v>0</v>
      </c>
      <c r="U35" s="1038" t="str">
        <f t="shared" si="316"/>
        <v/>
      </c>
      <c r="V35" s="1034"/>
      <c r="W35" s="1035">
        <f>'ORDER SENT'!Z35</f>
        <v>0</v>
      </c>
      <c r="X35" s="1035">
        <f t="shared" si="317"/>
        <v>0</v>
      </c>
      <c r="Y35" s="1036"/>
      <c r="Z35" s="1037">
        <f t="shared" si="318"/>
        <v>0</v>
      </c>
      <c r="AA35" s="1038" t="str">
        <f t="shared" si="319"/>
        <v/>
      </c>
      <c r="AB35" s="1034"/>
      <c r="AC35" s="1035">
        <f>'ORDER SENT'!AF35</f>
        <v>0</v>
      </c>
      <c r="AD35" s="1035">
        <f t="shared" si="320"/>
        <v>0</v>
      </c>
      <c r="AE35" s="1036"/>
      <c r="AF35" s="1037">
        <f t="shared" si="321"/>
        <v>0</v>
      </c>
      <c r="AG35" s="1038" t="str">
        <f t="shared" si="322"/>
        <v/>
      </c>
      <c r="AH35" s="1034"/>
      <c r="AI35" s="1035">
        <f>'ORDER SENT'!AL35</f>
        <v>0</v>
      </c>
      <c r="AJ35" s="1035">
        <f t="shared" si="323"/>
        <v>0</v>
      </c>
      <c r="AK35" s="1036"/>
      <c r="AL35" s="1037">
        <f t="shared" si="324"/>
        <v>0</v>
      </c>
      <c r="AM35" s="1038" t="str">
        <f t="shared" si="325"/>
        <v/>
      </c>
      <c r="AN35" s="1034"/>
      <c r="AO35" s="1035">
        <f>'ORDER SENT'!AR35</f>
        <v>0</v>
      </c>
      <c r="AP35" s="1035">
        <f t="shared" si="326"/>
        <v>0</v>
      </c>
      <c r="AQ35" s="1036"/>
      <c r="AR35" s="1037">
        <f t="shared" si="327"/>
        <v>0</v>
      </c>
      <c r="AS35" s="1038" t="str">
        <f t="shared" si="328"/>
        <v/>
      </c>
      <c r="AT35" s="1034"/>
      <c r="AU35" s="1035">
        <f>'ORDER SENT'!AX35</f>
        <v>0</v>
      </c>
      <c r="AV35" s="1035">
        <f t="shared" si="329"/>
        <v>0</v>
      </c>
      <c r="AW35" s="1036"/>
      <c r="AX35" s="1037">
        <f t="shared" si="330"/>
        <v>0</v>
      </c>
      <c r="AY35" s="1038" t="str">
        <f t="shared" si="331"/>
        <v/>
      </c>
      <c r="AZ35" s="1034"/>
      <c r="BA35" s="1035">
        <f>'ORDER SENT'!BD35</f>
        <v>0</v>
      </c>
      <c r="BB35" s="1035">
        <f t="shared" si="332"/>
        <v>0</v>
      </c>
      <c r="BC35" s="1036"/>
      <c r="BD35" s="1037">
        <f t="shared" si="333"/>
        <v>0</v>
      </c>
      <c r="BE35" s="1038" t="str">
        <f t="shared" si="334"/>
        <v/>
      </c>
      <c r="BF35" s="1034"/>
      <c r="BG35" s="1035">
        <f>'ORDER SENT'!BJ35</f>
        <v>0</v>
      </c>
      <c r="BH35" s="1035">
        <f t="shared" si="335"/>
        <v>0</v>
      </c>
      <c r="BI35" s="1036"/>
      <c r="BJ35" s="1037">
        <f t="shared" si="336"/>
        <v>0</v>
      </c>
      <c r="BK35" s="1038" t="str">
        <f t="shared" si="337"/>
        <v/>
      </c>
      <c r="BL35" s="1034"/>
      <c r="BM35" s="1035">
        <f>'ORDER SENT'!BP35</f>
        <v>0</v>
      </c>
      <c r="BN35" s="1035">
        <f t="shared" si="338"/>
        <v>0</v>
      </c>
      <c r="BO35" s="1036"/>
      <c r="BP35" s="1037">
        <f t="shared" si="339"/>
        <v>0</v>
      </c>
      <c r="BQ35" s="1038" t="str">
        <f t="shared" si="340"/>
        <v/>
      </c>
      <c r="BR35" s="1034"/>
      <c r="BS35" s="1035">
        <f>'ORDER SENT'!BV35</f>
        <v>0</v>
      </c>
      <c r="BT35" s="1035">
        <f t="shared" si="341"/>
        <v>0</v>
      </c>
      <c r="BU35" s="1036"/>
      <c r="BV35" s="1037">
        <f t="shared" si="342"/>
        <v>0</v>
      </c>
      <c r="BW35" s="1038" t="str">
        <f t="shared" si="343"/>
        <v/>
      </c>
      <c r="BX35" s="1034"/>
      <c r="BY35" s="1035">
        <f>'ORDER SENT'!CB35</f>
        <v>0</v>
      </c>
      <c r="BZ35" s="1035">
        <f t="shared" si="344"/>
        <v>0</v>
      </c>
      <c r="CA35" s="1036"/>
      <c r="CB35" s="1037">
        <f t="shared" si="345"/>
        <v>0</v>
      </c>
      <c r="CC35" s="1038" t="str">
        <f t="shared" si="346"/>
        <v/>
      </c>
      <c r="CD35" s="1034"/>
      <c r="CE35" s="1035">
        <f>'ORDER SENT'!CH35</f>
        <v>0</v>
      </c>
      <c r="CF35" s="1035">
        <f t="shared" si="347"/>
        <v>0</v>
      </c>
      <c r="CG35" s="1036"/>
      <c r="CH35" s="1037">
        <f t="shared" si="348"/>
        <v>0</v>
      </c>
      <c r="CI35" s="1038" t="str">
        <f t="shared" si="349"/>
        <v/>
      </c>
      <c r="CJ35" s="1034"/>
      <c r="CK35" s="1035">
        <f>'ORDER SENT'!CN35</f>
        <v>0</v>
      </c>
      <c r="CL35" s="1035">
        <f t="shared" si="350"/>
        <v>0</v>
      </c>
      <c r="CM35" s="1036"/>
      <c r="CN35" s="1037">
        <f t="shared" si="351"/>
        <v>0</v>
      </c>
      <c r="CO35" s="1038" t="str">
        <f t="shared" si="352"/>
        <v/>
      </c>
      <c r="CP35" s="1034"/>
      <c r="CQ35" s="1035">
        <f>'ORDER SENT'!CT35</f>
        <v>0</v>
      </c>
      <c r="CR35" s="1035">
        <f t="shared" si="353"/>
        <v>0</v>
      </c>
      <c r="CS35" s="1036"/>
      <c r="CT35" s="1037">
        <f t="shared" si="354"/>
        <v>0</v>
      </c>
      <c r="CU35" s="1038" t="str">
        <f t="shared" si="355"/>
        <v/>
      </c>
      <c r="CV35" s="1034"/>
      <c r="CW35" s="1035">
        <f>'ORDER SENT'!CZ35</f>
        <v>0</v>
      </c>
      <c r="CX35" s="1035">
        <f t="shared" si="356"/>
        <v>0</v>
      </c>
      <c r="CY35" s="1036"/>
      <c r="CZ35" s="1037">
        <f t="shared" si="357"/>
        <v>0</v>
      </c>
      <c r="DA35" s="1038" t="str">
        <f t="shared" si="358"/>
        <v/>
      </c>
      <c r="DB35" s="1034"/>
      <c r="DC35" s="1035">
        <f>'ORDER SENT'!DF35</f>
        <v>0</v>
      </c>
      <c r="DD35" s="1035">
        <f t="shared" si="359"/>
        <v>0</v>
      </c>
      <c r="DE35" s="1036"/>
      <c r="DF35" s="1037">
        <f t="shared" si="360"/>
        <v>0</v>
      </c>
      <c r="DG35" s="1038" t="str">
        <f t="shared" si="361"/>
        <v/>
      </c>
      <c r="DH35" s="1034"/>
      <c r="DI35" s="1035">
        <f>'ORDER SENT'!DL35</f>
        <v>0</v>
      </c>
      <c r="DJ35" s="1035">
        <f t="shared" si="362"/>
        <v>0</v>
      </c>
      <c r="DK35" s="1036"/>
      <c r="DL35" s="1037">
        <f t="shared" si="363"/>
        <v>0</v>
      </c>
      <c r="DM35" s="1038" t="str">
        <f t="shared" si="364"/>
        <v/>
      </c>
      <c r="DN35" s="1034"/>
      <c r="DO35" s="1035">
        <f>'ORDER SENT'!DR35</f>
        <v>0</v>
      </c>
      <c r="DP35" s="1035">
        <f t="shared" si="365"/>
        <v>0</v>
      </c>
      <c r="DQ35" s="1036"/>
      <c r="DR35" s="1037">
        <f t="shared" si="366"/>
        <v>0</v>
      </c>
      <c r="DS35" s="1038" t="str">
        <f t="shared" si="367"/>
        <v/>
      </c>
      <c r="DT35" s="1034"/>
      <c r="DU35" s="1035">
        <f>'ORDER SENT'!DX35</f>
        <v>0</v>
      </c>
      <c r="DV35" s="1035">
        <f t="shared" si="368"/>
        <v>0</v>
      </c>
      <c r="DW35" s="1036"/>
      <c r="DX35" s="1037">
        <f t="shared" si="369"/>
        <v>0</v>
      </c>
      <c r="DY35" s="1038" t="str">
        <f t="shared" si="370"/>
        <v/>
      </c>
      <c r="DZ35" s="1034"/>
      <c r="EA35" s="1035">
        <f>'ORDER SENT'!ED35</f>
        <v>0</v>
      </c>
      <c r="EB35" s="1035">
        <f t="shared" si="371"/>
        <v>0</v>
      </c>
      <c r="EC35" s="1036"/>
      <c r="ED35" s="1037">
        <f t="shared" si="372"/>
        <v>0</v>
      </c>
      <c r="EE35" s="1038" t="str">
        <f t="shared" si="373"/>
        <v/>
      </c>
      <c r="EF35" s="1034"/>
      <c r="EG35" s="1035">
        <f>'ORDER SENT'!EJ35</f>
        <v>0</v>
      </c>
      <c r="EH35" s="1035">
        <f t="shared" si="374"/>
        <v>0</v>
      </c>
      <c r="EI35" s="1036"/>
      <c r="EJ35" s="1037">
        <f t="shared" si="375"/>
        <v>0</v>
      </c>
      <c r="EK35" s="1038" t="str">
        <f t="shared" si="376"/>
        <v/>
      </c>
      <c r="EL35" s="1034"/>
      <c r="EM35" s="1035">
        <f>'ORDER SENT'!EP35</f>
        <v>0</v>
      </c>
      <c r="EN35" s="1035">
        <f t="shared" si="377"/>
        <v>0</v>
      </c>
      <c r="EO35" s="1036"/>
      <c r="EP35" s="1037">
        <f t="shared" si="378"/>
        <v>0</v>
      </c>
      <c r="EQ35" s="1038" t="str">
        <f t="shared" si="379"/>
        <v/>
      </c>
      <c r="ER35" s="1034"/>
      <c r="ES35" s="1035">
        <f>'ORDER SENT'!EV35</f>
        <v>0</v>
      </c>
      <c r="ET35" s="1035">
        <f t="shared" si="380"/>
        <v>0</v>
      </c>
      <c r="EU35" s="1036"/>
      <c r="EV35" s="1037">
        <f t="shared" si="381"/>
        <v>0</v>
      </c>
      <c r="EW35" s="1038" t="str">
        <f t="shared" si="382"/>
        <v/>
      </c>
      <c r="EX35" s="1034"/>
      <c r="EY35" s="1035">
        <f>'ORDER SENT'!FB35</f>
        <v>0</v>
      </c>
      <c r="EZ35" s="1035">
        <f t="shared" si="383"/>
        <v>0</v>
      </c>
      <c r="FA35" s="1036"/>
      <c r="FB35" s="1037">
        <f t="shared" si="384"/>
        <v>0</v>
      </c>
      <c r="FC35" s="1038" t="str">
        <f t="shared" si="385"/>
        <v/>
      </c>
      <c r="FD35" s="1034"/>
      <c r="FE35" s="1035">
        <f>'ORDER SENT'!FH35</f>
        <v>0</v>
      </c>
      <c r="FF35" s="1035">
        <f t="shared" si="386"/>
        <v>0</v>
      </c>
      <c r="FG35" s="1036"/>
      <c r="FH35" s="1037">
        <f t="shared" si="387"/>
        <v>0</v>
      </c>
      <c r="FI35" s="1038" t="str">
        <f t="shared" si="388"/>
        <v/>
      </c>
      <c r="FJ35" s="1034"/>
      <c r="FK35" s="1035">
        <f>'ORDER SENT'!FN35</f>
        <v>0</v>
      </c>
      <c r="FL35" s="1035">
        <f t="shared" si="389"/>
        <v>0</v>
      </c>
      <c r="FM35" s="1036"/>
      <c r="FN35" s="1037">
        <f t="shared" si="390"/>
        <v>0</v>
      </c>
      <c r="FO35" s="1038" t="str">
        <f t="shared" si="391"/>
        <v/>
      </c>
      <c r="FP35" s="1034"/>
      <c r="FQ35" s="1035">
        <f>'ORDER SENT'!FT35</f>
        <v>0</v>
      </c>
      <c r="FR35" s="1035">
        <f t="shared" si="392"/>
        <v>0</v>
      </c>
      <c r="FS35" s="1036"/>
      <c r="FT35" s="1037">
        <f t="shared" si="393"/>
        <v>0</v>
      </c>
      <c r="FU35" s="1038" t="str">
        <f t="shared" si="394"/>
        <v/>
      </c>
      <c r="FV35" s="1034"/>
      <c r="FW35" s="1035">
        <f>'ORDER SENT'!FZ35</f>
        <v>0</v>
      </c>
      <c r="FX35" s="1035">
        <f t="shared" si="395"/>
        <v>0</v>
      </c>
      <c r="FY35" s="1036"/>
      <c r="FZ35" s="1037">
        <f t="shared" si="396"/>
        <v>0</v>
      </c>
      <c r="GA35" s="1038" t="str">
        <f t="shared" si="397"/>
        <v/>
      </c>
      <c r="GB35" s="1034"/>
      <c r="GC35" s="1035">
        <f>'ORDER SENT'!GF35</f>
        <v>0</v>
      </c>
      <c r="GD35" s="1035">
        <f t="shared" si="398"/>
        <v>0</v>
      </c>
      <c r="GE35" s="1036"/>
      <c r="GF35" s="1037">
        <f t="shared" si="399"/>
        <v>0</v>
      </c>
      <c r="GG35" s="1046" t="str">
        <f t="shared" si="94"/>
        <v/>
      </c>
      <c r="GH35" s="1047">
        <f t="shared" ref="GH35:GL35" si="403">+GB35+FV35+FP35+FJ35+FD35+EX35+ER35+EL35+EF35+DZ35+DT35+DN35+DH35+DB35+CV35+CP35+CJ35+CD35+BX35+BR35+BL35+BF35++AZ35+AT35+AN35+AH35+AB35+V35+P35+J35+D35</f>
        <v>0</v>
      </c>
      <c r="GI35" s="1047">
        <f t="shared" si="403"/>
        <v>0</v>
      </c>
      <c r="GJ35" s="1047">
        <f t="shared" si="403"/>
        <v>0</v>
      </c>
      <c r="GK35" s="1048">
        <f t="shared" si="403"/>
        <v>0</v>
      </c>
      <c r="GL35" s="1045">
        <f t="shared" si="403"/>
        <v>0</v>
      </c>
      <c r="GM35" s="1049">
        <f t="shared" si="401"/>
        <v>0</v>
      </c>
    </row>
    <row r="36" ht="15.75" customHeight="1">
      <c r="B36" s="1062"/>
      <c r="C36" s="1043"/>
      <c r="D36" s="1039"/>
      <c r="E36" s="1035">
        <f>'ORDER SENT'!H36</f>
        <v>0</v>
      </c>
      <c r="F36" s="1035">
        <f t="shared" si="308"/>
        <v>0</v>
      </c>
      <c r="G36" s="1036"/>
      <c r="H36" s="1037">
        <f t="shared" si="309"/>
        <v>0</v>
      </c>
      <c r="I36" s="1038" t="str">
        <f t="shared" si="310"/>
        <v/>
      </c>
      <c r="J36" s="1034"/>
      <c r="K36" s="1035">
        <f>'ORDER SENT'!N36</f>
        <v>0</v>
      </c>
      <c r="L36" s="1035">
        <f t="shared" si="311"/>
        <v>0</v>
      </c>
      <c r="M36" s="1036"/>
      <c r="N36" s="1037">
        <f t="shared" si="312"/>
        <v>0</v>
      </c>
      <c r="O36" s="1038" t="str">
        <f t="shared" si="313"/>
        <v/>
      </c>
      <c r="P36" s="1034"/>
      <c r="Q36" s="1035">
        <f>'ORDER SENT'!T36</f>
        <v>0</v>
      </c>
      <c r="R36" s="1035">
        <f t="shared" si="314"/>
        <v>0</v>
      </c>
      <c r="S36" s="1036"/>
      <c r="T36" s="1037">
        <f t="shared" si="315"/>
        <v>0</v>
      </c>
      <c r="U36" s="1038" t="str">
        <f t="shared" si="316"/>
        <v/>
      </c>
      <c r="V36" s="1034"/>
      <c r="W36" s="1035">
        <f>'ORDER SENT'!Z36</f>
        <v>0</v>
      </c>
      <c r="X36" s="1035">
        <f t="shared" si="317"/>
        <v>0</v>
      </c>
      <c r="Y36" s="1036"/>
      <c r="Z36" s="1037">
        <f t="shared" si="318"/>
        <v>0</v>
      </c>
      <c r="AA36" s="1038" t="str">
        <f t="shared" si="319"/>
        <v/>
      </c>
      <c r="AB36" s="1034"/>
      <c r="AC36" s="1035">
        <f>'ORDER SENT'!AF36</f>
        <v>0</v>
      </c>
      <c r="AD36" s="1035">
        <f t="shared" si="320"/>
        <v>0</v>
      </c>
      <c r="AE36" s="1036"/>
      <c r="AF36" s="1037">
        <f t="shared" si="321"/>
        <v>0</v>
      </c>
      <c r="AG36" s="1038" t="str">
        <f t="shared" si="322"/>
        <v/>
      </c>
      <c r="AH36" s="1034"/>
      <c r="AI36" s="1035">
        <f>'ORDER SENT'!AL36</f>
        <v>0</v>
      </c>
      <c r="AJ36" s="1035">
        <f t="shared" si="323"/>
        <v>0</v>
      </c>
      <c r="AK36" s="1036"/>
      <c r="AL36" s="1037">
        <f t="shared" si="324"/>
        <v>0</v>
      </c>
      <c r="AM36" s="1038" t="str">
        <f t="shared" si="325"/>
        <v/>
      </c>
      <c r="AN36" s="1034"/>
      <c r="AO36" s="1035">
        <f>'ORDER SENT'!AR36</f>
        <v>0</v>
      </c>
      <c r="AP36" s="1035">
        <f t="shared" si="326"/>
        <v>0</v>
      </c>
      <c r="AQ36" s="1036"/>
      <c r="AR36" s="1037">
        <f t="shared" si="327"/>
        <v>0</v>
      </c>
      <c r="AS36" s="1038" t="str">
        <f t="shared" si="328"/>
        <v/>
      </c>
      <c r="AT36" s="1034"/>
      <c r="AU36" s="1035">
        <f>'ORDER SENT'!AX36</f>
        <v>0</v>
      </c>
      <c r="AV36" s="1035">
        <f t="shared" si="329"/>
        <v>0</v>
      </c>
      <c r="AW36" s="1036"/>
      <c r="AX36" s="1037">
        <f t="shared" si="330"/>
        <v>0</v>
      </c>
      <c r="AY36" s="1038" t="str">
        <f t="shared" si="331"/>
        <v/>
      </c>
      <c r="AZ36" s="1034"/>
      <c r="BA36" s="1035">
        <f>'ORDER SENT'!BD36</f>
        <v>0</v>
      </c>
      <c r="BB36" s="1035">
        <f t="shared" si="332"/>
        <v>0</v>
      </c>
      <c r="BC36" s="1036"/>
      <c r="BD36" s="1037">
        <f t="shared" si="333"/>
        <v>0</v>
      </c>
      <c r="BE36" s="1038" t="str">
        <f t="shared" si="334"/>
        <v/>
      </c>
      <c r="BF36" s="1034"/>
      <c r="BG36" s="1035">
        <f>'ORDER SENT'!BJ36</f>
        <v>0</v>
      </c>
      <c r="BH36" s="1035">
        <f t="shared" si="335"/>
        <v>0</v>
      </c>
      <c r="BI36" s="1036"/>
      <c r="BJ36" s="1037">
        <f t="shared" si="336"/>
        <v>0</v>
      </c>
      <c r="BK36" s="1038" t="str">
        <f t="shared" si="337"/>
        <v/>
      </c>
      <c r="BL36" s="1034"/>
      <c r="BM36" s="1035">
        <f>'ORDER SENT'!BP36</f>
        <v>0</v>
      </c>
      <c r="BN36" s="1035">
        <f t="shared" si="338"/>
        <v>0</v>
      </c>
      <c r="BO36" s="1036"/>
      <c r="BP36" s="1037">
        <f t="shared" si="339"/>
        <v>0</v>
      </c>
      <c r="BQ36" s="1038" t="str">
        <f t="shared" si="340"/>
        <v/>
      </c>
      <c r="BR36" s="1034"/>
      <c r="BS36" s="1035">
        <f>'ORDER SENT'!BV36</f>
        <v>0</v>
      </c>
      <c r="BT36" s="1035">
        <f t="shared" si="341"/>
        <v>0</v>
      </c>
      <c r="BU36" s="1036"/>
      <c r="BV36" s="1037">
        <f t="shared" si="342"/>
        <v>0</v>
      </c>
      <c r="BW36" s="1038" t="str">
        <f t="shared" si="343"/>
        <v/>
      </c>
      <c r="BX36" s="1034"/>
      <c r="BY36" s="1035">
        <f>'ORDER SENT'!CB36</f>
        <v>0</v>
      </c>
      <c r="BZ36" s="1035">
        <f t="shared" si="344"/>
        <v>0</v>
      </c>
      <c r="CA36" s="1036"/>
      <c r="CB36" s="1037">
        <f t="shared" si="345"/>
        <v>0</v>
      </c>
      <c r="CC36" s="1038" t="str">
        <f t="shared" si="346"/>
        <v/>
      </c>
      <c r="CD36" s="1034"/>
      <c r="CE36" s="1035">
        <f>'ORDER SENT'!CH36</f>
        <v>0</v>
      </c>
      <c r="CF36" s="1035">
        <f t="shared" si="347"/>
        <v>0</v>
      </c>
      <c r="CG36" s="1036"/>
      <c r="CH36" s="1037">
        <f t="shared" si="348"/>
        <v>0</v>
      </c>
      <c r="CI36" s="1038" t="str">
        <f t="shared" si="349"/>
        <v/>
      </c>
      <c r="CJ36" s="1034"/>
      <c r="CK36" s="1035">
        <f>'ORDER SENT'!CN36</f>
        <v>0</v>
      </c>
      <c r="CL36" s="1035">
        <f t="shared" si="350"/>
        <v>0</v>
      </c>
      <c r="CM36" s="1036"/>
      <c r="CN36" s="1037">
        <f t="shared" si="351"/>
        <v>0</v>
      </c>
      <c r="CO36" s="1038" t="str">
        <f t="shared" si="352"/>
        <v/>
      </c>
      <c r="CP36" s="1034"/>
      <c r="CQ36" s="1035">
        <f>'ORDER SENT'!CT36</f>
        <v>0</v>
      </c>
      <c r="CR36" s="1035">
        <f t="shared" si="353"/>
        <v>0</v>
      </c>
      <c r="CS36" s="1036"/>
      <c r="CT36" s="1037">
        <f t="shared" si="354"/>
        <v>0</v>
      </c>
      <c r="CU36" s="1038" t="str">
        <f t="shared" si="355"/>
        <v/>
      </c>
      <c r="CV36" s="1034"/>
      <c r="CW36" s="1035">
        <f>'ORDER SENT'!CZ36</f>
        <v>0</v>
      </c>
      <c r="CX36" s="1035">
        <f t="shared" si="356"/>
        <v>0</v>
      </c>
      <c r="CY36" s="1036"/>
      <c r="CZ36" s="1037">
        <f t="shared" si="357"/>
        <v>0</v>
      </c>
      <c r="DA36" s="1038" t="str">
        <f t="shared" si="358"/>
        <v/>
      </c>
      <c r="DB36" s="1034"/>
      <c r="DC36" s="1035">
        <f>'ORDER SENT'!DF36</f>
        <v>0</v>
      </c>
      <c r="DD36" s="1035">
        <f t="shared" si="359"/>
        <v>0</v>
      </c>
      <c r="DE36" s="1036"/>
      <c r="DF36" s="1037">
        <f t="shared" si="360"/>
        <v>0</v>
      </c>
      <c r="DG36" s="1038" t="str">
        <f t="shared" si="361"/>
        <v/>
      </c>
      <c r="DH36" s="1034"/>
      <c r="DI36" s="1035">
        <f>'ORDER SENT'!DL36</f>
        <v>0</v>
      </c>
      <c r="DJ36" s="1035">
        <f t="shared" si="362"/>
        <v>0</v>
      </c>
      <c r="DK36" s="1036"/>
      <c r="DL36" s="1037">
        <f t="shared" si="363"/>
        <v>0</v>
      </c>
      <c r="DM36" s="1038" t="str">
        <f t="shared" si="364"/>
        <v/>
      </c>
      <c r="DN36" s="1034"/>
      <c r="DO36" s="1035">
        <f>'ORDER SENT'!DR36</f>
        <v>0</v>
      </c>
      <c r="DP36" s="1035">
        <f t="shared" si="365"/>
        <v>0</v>
      </c>
      <c r="DQ36" s="1036"/>
      <c r="DR36" s="1037">
        <f t="shared" si="366"/>
        <v>0</v>
      </c>
      <c r="DS36" s="1038" t="str">
        <f t="shared" si="367"/>
        <v/>
      </c>
      <c r="DT36" s="1034"/>
      <c r="DU36" s="1035">
        <f>'ORDER SENT'!DX36</f>
        <v>0</v>
      </c>
      <c r="DV36" s="1035">
        <f t="shared" si="368"/>
        <v>0</v>
      </c>
      <c r="DW36" s="1036"/>
      <c r="DX36" s="1037">
        <f t="shared" si="369"/>
        <v>0</v>
      </c>
      <c r="DY36" s="1038" t="str">
        <f t="shared" si="370"/>
        <v/>
      </c>
      <c r="DZ36" s="1034"/>
      <c r="EA36" s="1035">
        <f>'ORDER SENT'!ED36</f>
        <v>0</v>
      </c>
      <c r="EB36" s="1035">
        <f t="shared" si="371"/>
        <v>0</v>
      </c>
      <c r="EC36" s="1036"/>
      <c r="ED36" s="1037">
        <f t="shared" si="372"/>
        <v>0</v>
      </c>
      <c r="EE36" s="1038" t="str">
        <f t="shared" si="373"/>
        <v/>
      </c>
      <c r="EF36" s="1034"/>
      <c r="EG36" s="1035">
        <f>'ORDER SENT'!EJ36</f>
        <v>0</v>
      </c>
      <c r="EH36" s="1035">
        <f t="shared" si="374"/>
        <v>0</v>
      </c>
      <c r="EI36" s="1036"/>
      <c r="EJ36" s="1037">
        <f t="shared" si="375"/>
        <v>0</v>
      </c>
      <c r="EK36" s="1038" t="str">
        <f t="shared" si="376"/>
        <v/>
      </c>
      <c r="EL36" s="1034"/>
      <c r="EM36" s="1035">
        <f>'ORDER SENT'!EP36</f>
        <v>0</v>
      </c>
      <c r="EN36" s="1035">
        <f t="shared" si="377"/>
        <v>0</v>
      </c>
      <c r="EO36" s="1036"/>
      <c r="EP36" s="1037">
        <f t="shared" si="378"/>
        <v>0</v>
      </c>
      <c r="EQ36" s="1038" t="str">
        <f t="shared" si="379"/>
        <v/>
      </c>
      <c r="ER36" s="1034"/>
      <c r="ES36" s="1035">
        <f>'ORDER SENT'!EV36</f>
        <v>0</v>
      </c>
      <c r="ET36" s="1035">
        <f t="shared" si="380"/>
        <v>0</v>
      </c>
      <c r="EU36" s="1036"/>
      <c r="EV36" s="1037">
        <f t="shared" si="381"/>
        <v>0</v>
      </c>
      <c r="EW36" s="1038" t="str">
        <f t="shared" si="382"/>
        <v/>
      </c>
      <c r="EX36" s="1034"/>
      <c r="EY36" s="1035">
        <f>'ORDER SENT'!FB36</f>
        <v>0</v>
      </c>
      <c r="EZ36" s="1035">
        <f t="shared" si="383"/>
        <v>0</v>
      </c>
      <c r="FA36" s="1036"/>
      <c r="FB36" s="1037">
        <f t="shared" si="384"/>
        <v>0</v>
      </c>
      <c r="FC36" s="1038" t="str">
        <f t="shared" si="385"/>
        <v/>
      </c>
      <c r="FD36" s="1034"/>
      <c r="FE36" s="1035">
        <f>'ORDER SENT'!FH36</f>
        <v>0</v>
      </c>
      <c r="FF36" s="1035">
        <f t="shared" si="386"/>
        <v>0</v>
      </c>
      <c r="FG36" s="1036"/>
      <c r="FH36" s="1037">
        <f t="shared" si="387"/>
        <v>0</v>
      </c>
      <c r="FI36" s="1038" t="str">
        <f t="shared" si="388"/>
        <v/>
      </c>
      <c r="FJ36" s="1034"/>
      <c r="FK36" s="1035">
        <f>'ORDER SENT'!FN36</f>
        <v>0</v>
      </c>
      <c r="FL36" s="1035">
        <f t="shared" si="389"/>
        <v>0</v>
      </c>
      <c r="FM36" s="1036"/>
      <c r="FN36" s="1037">
        <f t="shared" si="390"/>
        <v>0</v>
      </c>
      <c r="FO36" s="1038" t="str">
        <f t="shared" si="391"/>
        <v/>
      </c>
      <c r="FP36" s="1034"/>
      <c r="FQ36" s="1035">
        <f>'ORDER SENT'!FT36</f>
        <v>0</v>
      </c>
      <c r="FR36" s="1035">
        <f t="shared" si="392"/>
        <v>0</v>
      </c>
      <c r="FS36" s="1036"/>
      <c r="FT36" s="1037">
        <f t="shared" si="393"/>
        <v>0</v>
      </c>
      <c r="FU36" s="1038" t="str">
        <f t="shared" si="394"/>
        <v/>
      </c>
      <c r="FV36" s="1034"/>
      <c r="FW36" s="1035">
        <f>'ORDER SENT'!FZ36</f>
        <v>0</v>
      </c>
      <c r="FX36" s="1035">
        <f t="shared" si="395"/>
        <v>0</v>
      </c>
      <c r="FY36" s="1036"/>
      <c r="FZ36" s="1037">
        <f t="shared" si="396"/>
        <v>0</v>
      </c>
      <c r="GA36" s="1038" t="str">
        <f t="shared" si="397"/>
        <v/>
      </c>
      <c r="GB36" s="1034"/>
      <c r="GC36" s="1035">
        <f>'ORDER SENT'!GF36</f>
        <v>0</v>
      </c>
      <c r="GD36" s="1035">
        <f t="shared" si="398"/>
        <v>0</v>
      </c>
      <c r="GE36" s="1036"/>
      <c r="GF36" s="1037">
        <f t="shared" si="399"/>
        <v>0</v>
      </c>
      <c r="GG36" s="1046" t="str">
        <f t="shared" si="94"/>
        <v/>
      </c>
      <c r="GH36" s="1047">
        <f t="shared" ref="GH36:GL36" si="404">+GB36+FV36+FP36+FJ36+FD36+EX36+ER36+EL36+EF36+DZ36+DT36+DN36+DH36+DB36+CV36+CP36+CJ36+CD36+BX36+BR36+BL36+BF36++AZ36+AT36+AN36+AH36+AB36+V36+P36+J36+D36</f>
        <v>0</v>
      </c>
      <c r="GI36" s="1047">
        <f t="shared" si="404"/>
        <v>0</v>
      </c>
      <c r="GJ36" s="1047">
        <f t="shared" si="404"/>
        <v>0</v>
      </c>
      <c r="GK36" s="1048">
        <f t="shared" si="404"/>
        <v>0</v>
      </c>
      <c r="GL36" s="1045">
        <f t="shared" si="404"/>
        <v>0</v>
      </c>
      <c r="GM36" s="1049">
        <f t="shared" si="401"/>
        <v>0</v>
      </c>
    </row>
    <row r="37" ht="15.75" customHeight="1">
      <c r="B37" s="1059" t="s">
        <v>649</v>
      </c>
      <c r="C37" s="1027">
        <f t="shared" ref="C37:GF37" si="405">SUM(C33:C36)</f>
        <v>0</v>
      </c>
      <c r="D37" s="1028">
        <f t="shared" si="405"/>
        <v>0</v>
      </c>
      <c r="E37" s="1028">
        <f t="shared" si="405"/>
        <v>0</v>
      </c>
      <c r="F37" s="1028">
        <f t="shared" si="405"/>
        <v>0</v>
      </c>
      <c r="G37" s="1029">
        <f t="shared" si="405"/>
        <v>0</v>
      </c>
      <c r="H37" s="1030">
        <f t="shared" si="405"/>
        <v>0</v>
      </c>
      <c r="I37" s="1027">
        <f t="shared" si="405"/>
        <v>0</v>
      </c>
      <c r="J37" s="1028">
        <f t="shared" si="405"/>
        <v>0</v>
      </c>
      <c r="K37" s="1028">
        <f t="shared" si="405"/>
        <v>0</v>
      </c>
      <c r="L37" s="1028">
        <f t="shared" si="405"/>
        <v>0</v>
      </c>
      <c r="M37" s="1029">
        <f t="shared" si="405"/>
        <v>0</v>
      </c>
      <c r="N37" s="1030">
        <f t="shared" si="405"/>
        <v>0</v>
      </c>
      <c r="O37" s="1027">
        <f t="shared" si="405"/>
        <v>0</v>
      </c>
      <c r="P37" s="1028">
        <f t="shared" si="405"/>
        <v>0</v>
      </c>
      <c r="Q37" s="1028">
        <f t="shared" si="405"/>
        <v>0</v>
      </c>
      <c r="R37" s="1028">
        <f t="shared" si="405"/>
        <v>0</v>
      </c>
      <c r="S37" s="1029">
        <f t="shared" si="405"/>
        <v>0</v>
      </c>
      <c r="T37" s="1030">
        <f t="shared" si="405"/>
        <v>0</v>
      </c>
      <c r="U37" s="1027">
        <f t="shared" si="405"/>
        <v>0</v>
      </c>
      <c r="V37" s="1028">
        <f t="shared" si="405"/>
        <v>0</v>
      </c>
      <c r="W37" s="1028">
        <f t="shared" si="405"/>
        <v>0</v>
      </c>
      <c r="X37" s="1028">
        <f t="shared" si="405"/>
        <v>0</v>
      </c>
      <c r="Y37" s="1029">
        <f t="shared" si="405"/>
        <v>0</v>
      </c>
      <c r="Z37" s="1030">
        <f t="shared" si="405"/>
        <v>0</v>
      </c>
      <c r="AA37" s="1027">
        <f t="shared" si="405"/>
        <v>0</v>
      </c>
      <c r="AB37" s="1028">
        <f t="shared" si="405"/>
        <v>0</v>
      </c>
      <c r="AC37" s="1028">
        <f t="shared" si="405"/>
        <v>0</v>
      </c>
      <c r="AD37" s="1028">
        <f t="shared" si="405"/>
        <v>0</v>
      </c>
      <c r="AE37" s="1029">
        <f t="shared" si="405"/>
        <v>0</v>
      </c>
      <c r="AF37" s="1030">
        <f t="shared" si="405"/>
        <v>0</v>
      </c>
      <c r="AG37" s="1027">
        <f t="shared" si="405"/>
        <v>0</v>
      </c>
      <c r="AH37" s="1028">
        <f t="shared" si="405"/>
        <v>0</v>
      </c>
      <c r="AI37" s="1028">
        <f t="shared" si="405"/>
        <v>0</v>
      </c>
      <c r="AJ37" s="1028">
        <f t="shared" si="405"/>
        <v>0</v>
      </c>
      <c r="AK37" s="1029">
        <f t="shared" si="405"/>
        <v>0</v>
      </c>
      <c r="AL37" s="1030">
        <f t="shared" si="405"/>
        <v>0</v>
      </c>
      <c r="AM37" s="1027">
        <f t="shared" si="405"/>
        <v>0</v>
      </c>
      <c r="AN37" s="1028">
        <f t="shared" si="405"/>
        <v>0</v>
      </c>
      <c r="AO37" s="1028">
        <f t="shared" si="405"/>
        <v>0</v>
      </c>
      <c r="AP37" s="1028">
        <f t="shared" si="405"/>
        <v>0</v>
      </c>
      <c r="AQ37" s="1029">
        <f t="shared" si="405"/>
        <v>0</v>
      </c>
      <c r="AR37" s="1030">
        <f t="shared" si="405"/>
        <v>0</v>
      </c>
      <c r="AS37" s="1027">
        <f t="shared" si="405"/>
        <v>0</v>
      </c>
      <c r="AT37" s="1028">
        <f t="shared" si="405"/>
        <v>0</v>
      </c>
      <c r="AU37" s="1028">
        <f t="shared" si="405"/>
        <v>0</v>
      </c>
      <c r="AV37" s="1028">
        <f t="shared" si="405"/>
        <v>0</v>
      </c>
      <c r="AW37" s="1029">
        <f t="shared" si="405"/>
        <v>0</v>
      </c>
      <c r="AX37" s="1030">
        <f t="shared" si="405"/>
        <v>0</v>
      </c>
      <c r="AY37" s="1027">
        <f t="shared" si="405"/>
        <v>0</v>
      </c>
      <c r="AZ37" s="1028">
        <f t="shared" si="405"/>
        <v>0</v>
      </c>
      <c r="BA37" s="1028">
        <f t="shared" si="405"/>
        <v>0</v>
      </c>
      <c r="BB37" s="1028">
        <f t="shared" si="405"/>
        <v>0</v>
      </c>
      <c r="BC37" s="1029">
        <f t="shared" si="405"/>
        <v>0</v>
      </c>
      <c r="BD37" s="1030">
        <f t="shared" si="405"/>
        <v>0</v>
      </c>
      <c r="BE37" s="1027">
        <f t="shared" si="405"/>
        <v>0</v>
      </c>
      <c r="BF37" s="1028">
        <f t="shared" si="405"/>
        <v>0</v>
      </c>
      <c r="BG37" s="1028">
        <f t="shared" si="405"/>
        <v>0</v>
      </c>
      <c r="BH37" s="1028">
        <f t="shared" si="405"/>
        <v>0</v>
      </c>
      <c r="BI37" s="1029">
        <f t="shared" si="405"/>
        <v>0</v>
      </c>
      <c r="BJ37" s="1030">
        <f t="shared" si="405"/>
        <v>0</v>
      </c>
      <c r="BK37" s="1027">
        <f t="shared" si="405"/>
        <v>0</v>
      </c>
      <c r="BL37" s="1028">
        <f t="shared" si="405"/>
        <v>0</v>
      </c>
      <c r="BM37" s="1028">
        <f t="shared" si="405"/>
        <v>0</v>
      </c>
      <c r="BN37" s="1028">
        <f t="shared" si="405"/>
        <v>0</v>
      </c>
      <c r="BO37" s="1029">
        <f t="shared" si="405"/>
        <v>0</v>
      </c>
      <c r="BP37" s="1030">
        <f t="shared" si="405"/>
        <v>0</v>
      </c>
      <c r="BQ37" s="1027">
        <f t="shared" si="405"/>
        <v>0</v>
      </c>
      <c r="BR37" s="1028">
        <f t="shared" si="405"/>
        <v>0</v>
      </c>
      <c r="BS37" s="1028">
        <f t="shared" si="405"/>
        <v>0</v>
      </c>
      <c r="BT37" s="1028">
        <f t="shared" si="405"/>
        <v>0</v>
      </c>
      <c r="BU37" s="1029">
        <f t="shared" si="405"/>
        <v>0</v>
      </c>
      <c r="BV37" s="1030">
        <f t="shared" si="405"/>
        <v>0</v>
      </c>
      <c r="BW37" s="1027">
        <f t="shared" si="405"/>
        <v>0</v>
      </c>
      <c r="BX37" s="1028">
        <f t="shared" si="405"/>
        <v>0</v>
      </c>
      <c r="BY37" s="1028">
        <f t="shared" si="405"/>
        <v>0</v>
      </c>
      <c r="BZ37" s="1028">
        <f t="shared" si="405"/>
        <v>0</v>
      </c>
      <c r="CA37" s="1029">
        <f t="shared" si="405"/>
        <v>0</v>
      </c>
      <c r="CB37" s="1030">
        <f t="shared" si="405"/>
        <v>0</v>
      </c>
      <c r="CC37" s="1027">
        <f t="shared" si="405"/>
        <v>0</v>
      </c>
      <c r="CD37" s="1028">
        <f t="shared" si="405"/>
        <v>0</v>
      </c>
      <c r="CE37" s="1028">
        <f t="shared" si="405"/>
        <v>0</v>
      </c>
      <c r="CF37" s="1028">
        <f t="shared" si="405"/>
        <v>0</v>
      </c>
      <c r="CG37" s="1029">
        <f t="shared" si="405"/>
        <v>0</v>
      </c>
      <c r="CH37" s="1030">
        <f t="shared" si="405"/>
        <v>0</v>
      </c>
      <c r="CI37" s="1027">
        <f t="shared" si="405"/>
        <v>0</v>
      </c>
      <c r="CJ37" s="1028">
        <f t="shared" si="405"/>
        <v>0</v>
      </c>
      <c r="CK37" s="1028">
        <f t="shared" si="405"/>
        <v>0</v>
      </c>
      <c r="CL37" s="1028">
        <f t="shared" si="405"/>
        <v>0</v>
      </c>
      <c r="CM37" s="1029">
        <f t="shared" si="405"/>
        <v>0</v>
      </c>
      <c r="CN37" s="1030">
        <f t="shared" si="405"/>
        <v>0</v>
      </c>
      <c r="CO37" s="1027">
        <f t="shared" si="405"/>
        <v>0</v>
      </c>
      <c r="CP37" s="1028">
        <f t="shared" si="405"/>
        <v>0</v>
      </c>
      <c r="CQ37" s="1028">
        <f t="shared" si="405"/>
        <v>0</v>
      </c>
      <c r="CR37" s="1028">
        <f t="shared" si="405"/>
        <v>0</v>
      </c>
      <c r="CS37" s="1029">
        <f t="shared" si="405"/>
        <v>0</v>
      </c>
      <c r="CT37" s="1030">
        <f t="shared" si="405"/>
        <v>0</v>
      </c>
      <c r="CU37" s="1027">
        <f t="shared" si="405"/>
        <v>0</v>
      </c>
      <c r="CV37" s="1028">
        <f t="shared" si="405"/>
        <v>0</v>
      </c>
      <c r="CW37" s="1028">
        <f t="shared" si="405"/>
        <v>0</v>
      </c>
      <c r="CX37" s="1028">
        <f t="shared" si="405"/>
        <v>0</v>
      </c>
      <c r="CY37" s="1029">
        <f t="shared" si="405"/>
        <v>0</v>
      </c>
      <c r="CZ37" s="1030">
        <f t="shared" si="405"/>
        <v>0</v>
      </c>
      <c r="DA37" s="1027">
        <f t="shared" si="405"/>
        <v>0</v>
      </c>
      <c r="DB37" s="1028">
        <f t="shared" si="405"/>
        <v>0</v>
      </c>
      <c r="DC37" s="1028">
        <f t="shared" si="405"/>
        <v>0</v>
      </c>
      <c r="DD37" s="1028">
        <f t="shared" si="405"/>
        <v>0</v>
      </c>
      <c r="DE37" s="1029">
        <f t="shared" si="405"/>
        <v>0</v>
      </c>
      <c r="DF37" s="1030">
        <f t="shared" si="405"/>
        <v>0</v>
      </c>
      <c r="DG37" s="1027">
        <f t="shared" si="405"/>
        <v>0</v>
      </c>
      <c r="DH37" s="1028">
        <f t="shared" si="405"/>
        <v>0</v>
      </c>
      <c r="DI37" s="1028">
        <f t="shared" si="405"/>
        <v>0</v>
      </c>
      <c r="DJ37" s="1028">
        <f t="shared" si="405"/>
        <v>0</v>
      </c>
      <c r="DK37" s="1029">
        <f t="shared" si="405"/>
        <v>0</v>
      </c>
      <c r="DL37" s="1030">
        <f t="shared" si="405"/>
        <v>0</v>
      </c>
      <c r="DM37" s="1027">
        <f t="shared" si="405"/>
        <v>0</v>
      </c>
      <c r="DN37" s="1028">
        <f t="shared" si="405"/>
        <v>0</v>
      </c>
      <c r="DO37" s="1028">
        <f t="shared" si="405"/>
        <v>0</v>
      </c>
      <c r="DP37" s="1028">
        <f t="shared" si="405"/>
        <v>0</v>
      </c>
      <c r="DQ37" s="1029">
        <f t="shared" si="405"/>
        <v>0</v>
      </c>
      <c r="DR37" s="1030">
        <f t="shared" si="405"/>
        <v>0</v>
      </c>
      <c r="DS37" s="1027">
        <f t="shared" si="405"/>
        <v>0</v>
      </c>
      <c r="DT37" s="1028">
        <f t="shared" si="405"/>
        <v>0</v>
      </c>
      <c r="DU37" s="1028">
        <f t="shared" si="405"/>
        <v>0</v>
      </c>
      <c r="DV37" s="1028">
        <f t="shared" si="405"/>
        <v>0</v>
      </c>
      <c r="DW37" s="1029">
        <f t="shared" si="405"/>
        <v>0</v>
      </c>
      <c r="DX37" s="1030">
        <f t="shared" si="405"/>
        <v>0</v>
      </c>
      <c r="DY37" s="1027">
        <f t="shared" si="405"/>
        <v>0</v>
      </c>
      <c r="DZ37" s="1028">
        <f t="shared" si="405"/>
        <v>0</v>
      </c>
      <c r="EA37" s="1028">
        <f t="shared" si="405"/>
        <v>0</v>
      </c>
      <c r="EB37" s="1028">
        <f t="shared" si="405"/>
        <v>0</v>
      </c>
      <c r="EC37" s="1029">
        <f t="shared" si="405"/>
        <v>0</v>
      </c>
      <c r="ED37" s="1030">
        <f t="shared" si="405"/>
        <v>0</v>
      </c>
      <c r="EE37" s="1027">
        <f t="shared" si="405"/>
        <v>0</v>
      </c>
      <c r="EF37" s="1028">
        <f t="shared" si="405"/>
        <v>0</v>
      </c>
      <c r="EG37" s="1028">
        <f t="shared" si="405"/>
        <v>0</v>
      </c>
      <c r="EH37" s="1028">
        <f t="shared" si="405"/>
        <v>0</v>
      </c>
      <c r="EI37" s="1029">
        <f t="shared" si="405"/>
        <v>0</v>
      </c>
      <c r="EJ37" s="1030">
        <f t="shared" si="405"/>
        <v>0</v>
      </c>
      <c r="EK37" s="1027">
        <f t="shared" si="405"/>
        <v>0</v>
      </c>
      <c r="EL37" s="1028">
        <f t="shared" si="405"/>
        <v>0</v>
      </c>
      <c r="EM37" s="1028">
        <f t="shared" si="405"/>
        <v>0</v>
      </c>
      <c r="EN37" s="1028">
        <f t="shared" si="405"/>
        <v>0</v>
      </c>
      <c r="EO37" s="1029">
        <f t="shared" si="405"/>
        <v>0</v>
      </c>
      <c r="EP37" s="1030">
        <f t="shared" si="405"/>
        <v>0</v>
      </c>
      <c r="EQ37" s="1027">
        <f t="shared" si="405"/>
        <v>0</v>
      </c>
      <c r="ER37" s="1028">
        <f t="shared" si="405"/>
        <v>0</v>
      </c>
      <c r="ES37" s="1028">
        <f t="shared" si="405"/>
        <v>0</v>
      </c>
      <c r="ET37" s="1028">
        <f t="shared" si="405"/>
        <v>0</v>
      </c>
      <c r="EU37" s="1029">
        <f t="shared" si="405"/>
        <v>0</v>
      </c>
      <c r="EV37" s="1030">
        <f t="shared" si="405"/>
        <v>0</v>
      </c>
      <c r="EW37" s="1027">
        <f t="shared" si="405"/>
        <v>0</v>
      </c>
      <c r="EX37" s="1028">
        <f t="shared" si="405"/>
        <v>0</v>
      </c>
      <c r="EY37" s="1028">
        <f t="shared" si="405"/>
        <v>0</v>
      </c>
      <c r="EZ37" s="1028">
        <f t="shared" si="405"/>
        <v>0</v>
      </c>
      <c r="FA37" s="1029">
        <f t="shared" si="405"/>
        <v>0</v>
      </c>
      <c r="FB37" s="1030">
        <f t="shared" si="405"/>
        <v>0</v>
      </c>
      <c r="FC37" s="1027">
        <f t="shared" si="405"/>
        <v>0</v>
      </c>
      <c r="FD37" s="1028">
        <f t="shared" si="405"/>
        <v>0</v>
      </c>
      <c r="FE37" s="1028">
        <f t="shared" si="405"/>
        <v>0</v>
      </c>
      <c r="FF37" s="1028">
        <f t="shared" si="405"/>
        <v>0</v>
      </c>
      <c r="FG37" s="1029">
        <f t="shared" si="405"/>
        <v>0</v>
      </c>
      <c r="FH37" s="1030">
        <f t="shared" si="405"/>
        <v>0</v>
      </c>
      <c r="FI37" s="1027">
        <f t="shared" si="405"/>
        <v>0</v>
      </c>
      <c r="FJ37" s="1028">
        <f t="shared" si="405"/>
        <v>0</v>
      </c>
      <c r="FK37" s="1028">
        <f t="shared" si="405"/>
        <v>0</v>
      </c>
      <c r="FL37" s="1028">
        <f t="shared" si="405"/>
        <v>0</v>
      </c>
      <c r="FM37" s="1029">
        <f t="shared" si="405"/>
        <v>0</v>
      </c>
      <c r="FN37" s="1030">
        <f t="shared" si="405"/>
        <v>0</v>
      </c>
      <c r="FO37" s="1027">
        <f t="shared" si="405"/>
        <v>0</v>
      </c>
      <c r="FP37" s="1028">
        <f t="shared" si="405"/>
        <v>0</v>
      </c>
      <c r="FQ37" s="1028">
        <f t="shared" si="405"/>
        <v>0</v>
      </c>
      <c r="FR37" s="1028">
        <f t="shared" si="405"/>
        <v>0</v>
      </c>
      <c r="FS37" s="1029">
        <f t="shared" si="405"/>
        <v>0</v>
      </c>
      <c r="FT37" s="1030">
        <f t="shared" si="405"/>
        <v>0</v>
      </c>
      <c r="FU37" s="1027">
        <f t="shared" si="405"/>
        <v>0</v>
      </c>
      <c r="FV37" s="1028">
        <f t="shared" si="405"/>
        <v>0</v>
      </c>
      <c r="FW37" s="1028">
        <f t="shared" si="405"/>
        <v>0</v>
      </c>
      <c r="FX37" s="1028">
        <f t="shared" si="405"/>
        <v>0</v>
      </c>
      <c r="FY37" s="1029">
        <f t="shared" si="405"/>
        <v>0</v>
      </c>
      <c r="FZ37" s="1030">
        <f t="shared" si="405"/>
        <v>0</v>
      </c>
      <c r="GA37" s="1027">
        <f t="shared" si="405"/>
        <v>0</v>
      </c>
      <c r="GB37" s="1028">
        <f t="shared" si="405"/>
        <v>0</v>
      </c>
      <c r="GC37" s="1028">
        <f t="shared" si="405"/>
        <v>0</v>
      </c>
      <c r="GD37" s="1028">
        <f t="shared" si="405"/>
        <v>0</v>
      </c>
      <c r="GE37" s="1029">
        <f t="shared" si="405"/>
        <v>0</v>
      </c>
      <c r="GF37" s="1030">
        <f t="shared" si="405"/>
        <v>0</v>
      </c>
      <c r="GG37" s="1027">
        <f t="shared" si="94"/>
        <v>0</v>
      </c>
      <c r="GH37" s="1028">
        <f t="shared" ref="GH37:GM37" si="406">SUM(GH33:GH36)</f>
        <v>0</v>
      </c>
      <c r="GI37" s="1028">
        <f t="shared" si="406"/>
        <v>0</v>
      </c>
      <c r="GJ37" s="1028">
        <f t="shared" si="406"/>
        <v>0</v>
      </c>
      <c r="GK37" s="1029">
        <f t="shared" si="406"/>
        <v>0</v>
      </c>
      <c r="GL37" s="1030">
        <f t="shared" si="406"/>
        <v>0</v>
      </c>
      <c r="GM37" s="1031">
        <f t="shared" si="406"/>
        <v>0</v>
      </c>
    </row>
    <row r="38" ht="15.75" customHeight="1">
      <c r="B38" s="1042"/>
      <c r="C38" s="1043"/>
      <c r="D38" s="1039"/>
      <c r="E38" s="1035">
        <f>'ORDER SENT'!H38</f>
        <v>0</v>
      </c>
      <c r="F38" s="1035">
        <f t="shared" ref="F38:F51" si="408">+C38+D38-E38</f>
        <v>0</v>
      </c>
      <c r="G38" s="1036"/>
      <c r="H38" s="1037">
        <f t="shared" ref="H38:H51" si="409">SUM(C38:G38)</f>
        <v>0</v>
      </c>
      <c r="I38" s="1038" t="str">
        <f t="shared" ref="I38:I51" si="410">G38</f>
        <v/>
      </c>
      <c r="J38" s="1034"/>
      <c r="K38" s="1035">
        <f>'ORDER SENT'!N38</f>
        <v>0</v>
      </c>
      <c r="L38" s="1035">
        <f t="shared" ref="L38:L51" si="411">+I38+J38-K38</f>
        <v>0</v>
      </c>
      <c r="M38" s="1036"/>
      <c r="N38" s="1037">
        <f t="shared" ref="N38:N51" si="412">SUM(I38:M38)</f>
        <v>0</v>
      </c>
      <c r="O38" s="1038" t="str">
        <f t="shared" ref="O38:O51" si="413">M38</f>
        <v/>
      </c>
      <c r="P38" s="1034"/>
      <c r="Q38" s="1035">
        <f>'ORDER SENT'!T38</f>
        <v>0</v>
      </c>
      <c r="R38" s="1035">
        <f t="shared" ref="R38:R51" si="414">+O38+P38-Q38</f>
        <v>0</v>
      </c>
      <c r="S38" s="1036"/>
      <c r="T38" s="1037">
        <f t="shared" ref="T38:T51" si="415">SUM(O38:S38)</f>
        <v>0</v>
      </c>
      <c r="U38" s="1038" t="str">
        <f t="shared" ref="U38:U51" si="416">S38</f>
        <v/>
      </c>
      <c r="V38" s="1034"/>
      <c r="W38" s="1035">
        <f>'ORDER SENT'!Z38</f>
        <v>0</v>
      </c>
      <c r="X38" s="1035">
        <f t="shared" ref="X38:X51" si="417">+U38+V38-W38</f>
        <v>0</v>
      </c>
      <c r="Y38" s="1036"/>
      <c r="Z38" s="1037">
        <f t="shared" ref="Z38:Z51" si="418">SUM(U38:Y38)</f>
        <v>0</v>
      </c>
      <c r="AA38" s="1038" t="str">
        <f t="shared" ref="AA38:AA51" si="419">Y38</f>
        <v/>
      </c>
      <c r="AB38" s="1034"/>
      <c r="AC38" s="1035">
        <f>'ORDER SENT'!AF38</f>
        <v>0</v>
      </c>
      <c r="AD38" s="1035">
        <f t="shared" ref="AD38:AD51" si="420">+AA38+AB38-AC38</f>
        <v>0</v>
      </c>
      <c r="AE38" s="1036"/>
      <c r="AF38" s="1037">
        <f t="shared" ref="AF38:AF51" si="421">SUM(AA38:AE38)</f>
        <v>0</v>
      </c>
      <c r="AG38" s="1038" t="str">
        <f t="shared" ref="AG38:AG51" si="422">AE38</f>
        <v/>
      </c>
      <c r="AH38" s="1034"/>
      <c r="AI38" s="1035">
        <f>'ORDER SENT'!AL38</f>
        <v>0</v>
      </c>
      <c r="AJ38" s="1035">
        <f t="shared" ref="AJ38:AJ51" si="423">+AG38+AH38-AI38</f>
        <v>0</v>
      </c>
      <c r="AK38" s="1036"/>
      <c r="AL38" s="1037">
        <f t="shared" ref="AL38:AL51" si="424">SUM(AG38:AK38)</f>
        <v>0</v>
      </c>
      <c r="AM38" s="1038" t="str">
        <f t="shared" ref="AM38:AM51" si="425">AK38</f>
        <v/>
      </c>
      <c r="AN38" s="1034"/>
      <c r="AO38" s="1035">
        <f>'ORDER SENT'!AR38</f>
        <v>0</v>
      </c>
      <c r="AP38" s="1035">
        <f t="shared" ref="AP38:AP51" si="426">+AM38+AN38-AO38</f>
        <v>0</v>
      </c>
      <c r="AQ38" s="1036"/>
      <c r="AR38" s="1037">
        <f t="shared" ref="AR38:AR51" si="427">SUM(AM38:AQ38)</f>
        <v>0</v>
      </c>
      <c r="AS38" s="1038" t="str">
        <f t="shared" ref="AS38:AS51" si="428">AQ38</f>
        <v/>
      </c>
      <c r="AT38" s="1034"/>
      <c r="AU38" s="1035">
        <f>'ORDER SENT'!AX38</f>
        <v>0</v>
      </c>
      <c r="AV38" s="1035">
        <f t="shared" ref="AV38:AV51" si="429">+AS38+AT38-AU38</f>
        <v>0</v>
      </c>
      <c r="AW38" s="1036"/>
      <c r="AX38" s="1037">
        <f t="shared" ref="AX38:AX51" si="430">SUM(AS38:AW38)</f>
        <v>0</v>
      </c>
      <c r="AY38" s="1038" t="str">
        <f t="shared" ref="AY38:AY51" si="431">AW38</f>
        <v/>
      </c>
      <c r="AZ38" s="1034"/>
      <c r="BA38" s="1035">
        <f>'ORDER SENT'!BD38</f>
        <v>0</v>
      </c>
      <c r="BB38" s="1035">
        <f t="shared" ref="BB38:BB51" si="432">+AY38+AZ38-BA38</f>
        <v>0</v>
      </c>
      <c r="BC38" s="1036"/>
      <c r="BD38" s="1037">
        <f t="shared" ref="BD38:BD51" si="433">SUM(AY38:BC38)</f>
        <v>0</v>
      </c>
      <c r="BE38" s="1038" t="str">
        <f t="shared" ref="BE38:BE51" si="434">BC38</f>
        <v/>
      </c>
      <c r="BF38" s="1034"/>
      <c r="BG38" s="1035">
        <f>'ORDER SENT'!BJ38</f>
        <v>0</v>
      </c>
      <c r="BH38" s="1035">
        <f t="shared" ref="BH38:BH51" si="435">+BE38+BF38-BG38</f>
        <v>0</v>
      </c>
      <c r="BI38" s="1036"/>
      <c r="BJ38" s="1037">
        <f t="shared" ref="BJ38:BJ51" si="436">SUM(BE38:BI38)</f>
        <v>0</v>
      </c>
      <c r="BK38" s="1038" t="str">
        <f t="shared" ref="BK38:BK51" si="437">BI38</f>
        <v/>
      </c>
      <c r="BL38" s="1034"/>
      <c r="BM38" s="1035">
        <f>'ORDER SENT'!BP38</f>
        <v>0</v>
      </c>
      <c r="BN38" s="1035">
        <f t="shared" ref="BN38:BN51" si="438">+BK38+BL38-BM38</f>
        <v>0</v>
      </c>
      <c r="BO38" s="1036"/>
      <c r="BP38" s="1037">
        <f t="shared" ref="BP38:BP51" si="439">SUM(BK38:BO38)</f>
        <v>0</v>
      </c>
      <c r="BQ38" s="1038" t="str">
        <f t="shared" ref="BQ38:BQ51" si="440">BO38</f>
        <v/>
      </c>
      <c r="BR38" s="1034"/>
      <c r="BS38" s="1035">
        <f>'ORDER SENT'!BV38</f>
        <v>0</v>
      </c>
      <c r="BT38" s="1035">
        <f t="shared" ref="BT38:BT51" si="441">+BQ38+BR38-BS38</f>
        <v>0</v>
      </c>
      <c r="BU38" s="1036"/>
      <c r="BV38" s="1037">
        <f t="shared" ref="BV38:BV51" si="442">SUM(BQ38:BU38)</f>
        <v>0</v>
      </c>
      <c r="BW38" s="1038" t="str">
        <f t="shared" ref="BW38:BW51" si="443">BU38</f>
        <v/>
      </c>
      <c r="BX38" s="1034"/>
      <c r="BY38" s="1035">
        <f>'ORDER SENT'!CB38</f>
        <v>0</v>
      </c>
      <c r="BZ38" s="1035">
        <f t="shared" ref="BZ38:BZ51" si="444">+BW38+BX38-BY38</f>
        <v>0</v>
      </c>
      <c r="CA38" s="1036"/>
      <c r="CB38" s="1037">
        <f t="shared" ref="CB38:CB51" si="445">SUM(BW38:CA38)</f>
        <v>0</v>
      </c>
      <c r="CC38" s="1038" t="str">
        <f t="shared" ref="CC38:CC51" si="446">CA38</f>
        <v/>
      </c>
      <c r="CD38" s="1034"/>
      <c r="CE38" s="1035">
        <f>'ORDER SENT'!CH38</f>
        <v>0</v>
      </c>
      <c r="CF38" s="1035">
        <f t="shared" ref="CF38:CF51" si="447">+CC38+CD38-CE38</f>
        <v>0</v>
      </c>
      <c r="CG38" s="1036"/>
      <c r="CH38" s="1037">
        <f t="shared" ref="CH38:CH51" si="448">SUM(CC38:CG38)</f>
        <v>0</v>
      </c>
      <c r="CI38" s="1038" t="str">
        <f t="shared" ref="CI38:CI51" si="449">CG38</f>
        <v/>
      </c>
      <c r="CJ38" s="1034"/>
      <c r="CK38" s="1035">
        <f>'ORDER SENT'!CN38</f>
        <v>0</v>
      </c>
      <c r="CL38" s="1035">
        <f t="shared" ref="CL38:CL51" si="450">+CI38+CJ38-CK38</f>
        <v>0</v>
      </c>
      <c r="CM38" s="1036"/>
      <c r="CN38" s="1037">
        <f t="shared" ref="CN38:CN51" si="451">SUM(CI38:CM38)</f>
        <v>0</v>
      </c>
      <c r="CO38" s="1038" t="str">
        <f t="shared" ref="CO38:CO51" si="452">CM38</f>
        <v/>
      </c>
      <c r="CP38" s="1034"/>
      <c r="CQ38" s="1035">
        <f>'ORDER SENT'!CT38</f>
        <v>0</v>
      </c>
      <c r="CR38" s="1035">
        <f t="shared" ref="CR38:CR51" si="453">+CO38+CP38-CQ38</f>
        <v>0</v>
      </c>
      <c r="CS38" s="1036"/>
      <c r="CT38" s="1037">
        <f t="shared" ref="CT38:CT51" si="454">SUM(CO38:CS38)</f>
        <v>0</v>
      </c>
      <c r="CU38" s="1038" t="str">
        <f t="shared" ref="CU38:CU51" si="455">CS38</f>
        <v/>
      </c>
      <c r="CV38" s="1034"/>
      <c r="CW38" s="1035">
        <f>'ORDER SENT'!CZ38</f>
        <v>0</v>
      </c>
      <c r="CX38" s="1035">
        <f t="shared" ref="CX38:CX51" si="456">+CU38+CV38-CW38</f>
        <v>0</v>
      </c>
      <c r="CY38" s="1036"/>
      <c r="CZ38" s="1037">
        <f t="shared" ref="CZ38:CZ51" si="457">SUM(CU38:CY38)</f>
        <v>0</v>
      </c>
      <c r="DA38" s="1038" t="str">
        <f t="shared" ref="DA38:DA51" si="458">CY38</f>
        <v/>
      </c>
      <c r="DB38" s="1034"/>
      <c r="DC38" s="1035">
        <f>'ORDER SENT'!DF38</f>
        <v>0</v>
      </c>
      <c r="DD38" s="1035">
        <f t="shared" ref="DD38:DD51" si="459">+DA38+DB38-DC38</f>
        <v>0</v>
      </c>
      <c r="DE38" s="1036"/>
      <c r="DF38" s="1037">
        <f t="shared" ref="DF38:DF51" si="460">SUM(DA38:DE38)</f>
        <v>0</v>
      </c>
      <c r="DG38" s="1038" t="str">
        <f t="shared" ref="DG38:DG51" si="461">DE38</f>
        <v/>
      </c>
      <c r="DH38" s="1034"/>
      <c r="DI38" s="1035">
        <f>'ORDER SENT'!DL38</f>
        <v>0</v>
      </c>
      <c r="DJ38" s="1035">
        <f t="shared" ref="DJ38:DJ51" si="462">+DG38+DH38-DI38</f>
        <v>0</v>
      </c>
      <c r="DK38" s="1036"/>
      <c r="DL38" s="1037">
        <f t="shared" ref="DL38:DL51" si="463">SUM(DG38:DK38)</f>
        <v>0</v>
      </c>
      <c r="DM38" s="1038" t="str">
        <f t="shared" ref="DM38:DM51" si="464">DK38</f>
        <v/>
      </c>
      <c r="DN38" s="1034"/>
      <c r="DO38" s="1035">
        <f>'ORDER SENT'!DR38</f>
        <v>0</v>
      </c>
      <c r="DP38" s="1035">
        <f t="shared" ref="DP38:DP51" si="465">+DM38+DN38-DO38</f>
        <v>0</v>
      </c>
      <c r="DQ38" s="1036"/>
      <c r="DR38" s="1037">
        <f t="shared" ref="DR38:DR51" si="466">SUM(DM38:DQ38)</f>
        <v>0</v>
      </c>
      <c r="DS38" s="1038" t="str">
        <f t="shared" ref="DS38:DS51" si="467">DQ38</f>
        <v/>
      </c>
      <c r="DT38" s="1034"/>
      <c r="DU38" s="1035">
        <f>'ORDER SENT'!DX38</f>
        <v>0</v>
      </c>
      <c r="DV38" s="1035">
        <f t="shared" ref="DV38:DV51" si="468">+DS38+DT38-DU38</f>
        <v>0</v>
      </c>
      <c r="DW38" s="1036"/>
      <c r="DX38" s="1037">
        <f t="shared" ref="DX38:DX51" si="469">SUM(DS38:DW38)</f>
        <v>0</v>
      </c>
      <c r="DY38" s="1038" t="str">
        <f t="shared" ref="DY38:DY51" si="470">DW38</f>
        <v/>
      </c>
      <c r="DZ38" s="1034"/>
      <c r="EA38" s="1035">
        <f>'ORDER SENT'!ED38</f>
        <v>0</v>
      </c>
      <c r="EB38" s="1035">
        <f t="shared" ref="EB38:EB51" si="471">+DY38+DZ38-EA38</f>
        <v>0</v>
      </c>
      <c r="EC38" s="1036"/>
      <c r="ED38" s="1037">
        <f t="shared" ref="ED38:ED51" si="472">SUM(DY38:EC38)</f>
        <v>0</v>
      </c>
      <c r="EE38" s="1038" t="str">
        <f t="shared" ref="EE38:EE51" si="473">EC38</f>
        <v/>
      </c>
      <c r="EF38" s="1034"/>
      <c r="EG38" s="1035">
        <f>'ORDER SENT'!EJ38</f>
        <v>0</v>
      </c>
      <c r="EH38" s="1035">
        <f t="shared" ref="EH38:EH51" si="474">+EE38+EF38-EG38</f>
        <v>0</v>
      </c>
      <c r="EI38" s="1036"/>
      <c r="EJ38" s="1037">
        <f t="shared" ref="EJ38:EJ51" si="475">SUM(EE38:EI38)</f>
        <v>0</v>
      </c>
      <c r="EK38" s="1038" t="str">
        <f t="shared" ref="EK38:EK51" si="476">EI38</f>
        <v/>
      </c>
      <c r="EL38" s="1034"/>
      <c r="EM38" s="1035">
        <f>'ORDER SENT'!EP38</f>
        <v>0</v>
      </c>
      <c r="EN38" s="1035">
        <f t="shared" ref="EN38:EN51" si="477">+EK38+EL38-EM38</f>
        <v>0</v>
      </c>
      <c r="EO38" s="1036"/>
      <c r="EP38" s="1037">
        <f t="shared" ref="EP38:EP51" si="478">SUM(EK38:EO38)</f>
        <v>0</v>
      </c>
      <c r="EQ38" s="1038" t="str">
        <f t="shared" ref="EQ38:EQ51" si="479">EO38</f>
        <v/>
      </c>
      <c r="ER38" s="1034"/>
      <c r="ES38" s="1035">
        <f>'ORDER SENT'!EV38</f>
        <v>0</v>
      </c>
      <c r="ET38" s="1035">
        <f t="shared" ref="ET38:ET51" si="480">+EQ38+ER38-ES38</f>
        <v>0</v>
      </c>
      <c r="EU38" s="1036"/>
      <c r="EV38" s="1037">
        <f t="shared" ref="EV38:EV51" si="481">SUM(EQ38:EU38)</f>
        <v>0</v>
      </c>
      <c r="EW38" s="1038" t="str">
        <f t="shared" ref="EW38:EW51" si="482">EU38</f>
        <v/>
      </c>
      <c r="EX38" s="1034"/>
      <c r="EY38" s="1035">
        <f>'ORDER SENT'!FB38</f>
        <v>0</v>
      </c>
      <c r="EZ38" s="1035">
        <f t="shared" ref="EZ38:EZ51" si="483">+EW38+EX38-EY38</f>
        <v>0</v>
      </c>
      <c r="FA38" s="1036"/>
      <c r="FB38" s="1037">
        <f t="shared" ref="FB38:FB51" si="484">SUM(EW38:FA38)</f>
        <v>0</v>
      </c>
      <c r="FC38" s="1038" t="str">
        <f t="shared" ref="FC38:FC51" si="485">FA38</f>
        <v/>
      </c>
      <c r="FD38" s="1034"/>
      <c r="FE38" s="1035">
        <f>'ORDER SENT'!FH38</f>
        <v>0</v>
      </c>
      <c r="FF38" s="1035">
        <f t="shared" ref="FF38:FF51" si="486">+FC38+FD38-FE38</f>
        <v>0</v>
      </c>
      <c r="FG38" s="1036"/>
      <c r="FH38" s="1037">
        <f t="shared" ref="FH38:FH51" si="487">SUM(FC38:FG38)</f>
        <v>0</v>
      </c>
      <c r="FI38" s="1038" t="str">
        <f t="shared" ref="FI38:FI51" si="488">FG38</f>
        <v/>
      </c>
      <c r="FJ38" s="1034"/>
      <c r="FK38" s="1035">
        <f>'ORDER SENT'!FN38</f>
        <v>0</v>
      </c>
      <c r="FL38" s="1035">
        <f t="shared" ref="FL38:FL51" si="489">+FI38+FJ38-FK38</f>
        <v>0</v>
      </c>
      <c r="FM38" s="1036"/>
      <c r="FN38" s="1037">
        <f t="shared" ref="FN38:FN51" si="490">SUM(FI38:FM38)</f>
        <v>0</v>
      </c>
      <c r="FO38" s="1038" t="str">
        <f t="shared" ref="FO38:FO51" si="491">FM38</f>
        <v/>
      </c>
      <c r="FP38" s="1034"/>
      <c r="FQ38" s="1035">
        <f>'ORDER SENT'!FT38</f>
        <v>0</v>
      </c>
      <c r="FR38" s="1035">
        <f t="shared" ref="FR38:FR51" si="492">+FO38+FP38-FQ38</f>
        <v>0</v>
      </c>
      <c r="FS38" s="1036"/>
      <c r="FT38" s="1037">
        <f t="shared" ref="FT38:FT51" si="493">SUM(FO38:FS38)</f>
        <v>0</v>
      </c>
      <c r="FU38" s="1038" t="str">
        <f t="shared" ref="FU38:FU51" si="494">FS38</f>
        <v/>
      </c>
      <c r="FV38" s="1034"/>
      <c r="FW38" s="1035">
        <f>'ORDER SENT'!FZ38</f>
        <v>0</v>
      </c>
      <c r="FX38" s="1035">
        <f t="shared" ref="FX38:FX51" si="495">+FU38+FV38-FW38</f>
        <v>0</v>
      </c>
      <c r="FY38" s="1036"/>
      <c r="FZ38" s="1037">
        <f t="shared" ref="FZ38:FZ51" si="496">SUM(FU38:FY38)</f>
        <v>0</v>
      </c>
      <c r="GA38" s="1038" t="str">
        <f t="shared" ref="GA38:GA51" si="497">FY38</f>
        <v/>
      </c>
      <c r="GB38" s="1034"/>
      <c r="GC38" s="1035">
        <f>'ORDER SENT'!GF38</f>
        <v>0</v>
      </c>
      <c r="GD38" s="1035">
        <f t="shared" ref="GD38:GD51" si="498">+GA38+GB38-GC38</f>
        <v>0</v>
      </c>
      <c r="GE38" s="1036"/>
      <c r="GF38" s="1037">
        <f t="shared" ref="GF38:GF51" si="499">SUM(GA38:GE38)</f>
        <v>0</v>
      </c>
      <c r="GG38" s="1046" t="str">
        <f t="shared" si="94"/>
        <v/>
      </c>
      <c r="GH38" s="1047">
        <f t="shared" ref="GH38:GL38" si="407">+GB38+FV38+FP38+FJ38+FD38+EX38+ER38+EL38+EF38+DZ38+DT38+DN38+DH38+DB38+CV38+CP38+CJ38+CD38+BX38+BR38+BL38+BF38++AZ38+AT38+AN38+AH38+AB38+V38+P38+J38+D38</f>
        <v>0</v>
      </c>
      <c r="GI38" s="1047">
        <f t="shared" si="407"/>
        <v>0</v>
      </c>
      <c r="GJ38" s="1047">
        <f t="shared" si="407"/>
        <v>0</v>
      </c>
      <c r="GK38" s="1048">
        <f t="shared" si="407"/>
        <v>0</v>
      </c>
      <c r="GL38" s="1045">
        <f t="shared" si="407"/>
        <v>0</v>
      </c>
      <c r="GM38" s="1049">
        <f t="shared" ref="GM38:GM51" si="501">+GK38+GJ38+GI38+GH38+GG38</f>
        <v>0</v>
      </c>
    </row>
    <row r="39" ht="15.75" customHeight="1">
      <c r="B39" s="1061" t="s">
        <v>650</v>
      </c>
      <c r="C39" s="1043"/>
      <c r="D39" s="1039"/>
      <c r="E39" s="1035">
        <f>'ORDER SENT'!H39</f>
        <v>0</v>
      </c>
      <c r="F39" s="1035">
        <f t="shared" si="408"/>
        <v>0</v>
      </c>
      <c r="G39" s="1036"/>
      <c r="H39" s="1037">
        <f t="shared" si="409"/>
        <v>0</v>
      </c>
      <c r="I39" s="1038" t="str">
        <f t="shared" si="410"/>
        <v/>
      </c>
      <c r="J39" s="1034"/>
      <c r="K39" s="1035">
        <f>'ORDER SENT'!N39</f>
        <v>0</v>
      </c>
      <c r="L39" s="1035">
        <f t="shared" si="411"/>
        <v>0</v>
      </c>
      <c r="M39" s="1036"/>
      <c r="N39" s="1037">
        <f t="shared" si="412"/>
        <v>0</v>
      </c>
      <c r="O39" s="1038" t="str">
        <f t="shared" si="413"/>
        <v/>
      </c>
      <c r="P39" s="1034"/>
      <c r="Q39" s="1035">
        <f>'ORDER SENT'!T39</f>
        <v>0</v>
      </c>
      <c r="R39" s="1035">
        <f t="shared" si="414"/>
        <v>0</v>
      </c>
      <c r="S39" s="1036"/>
      <c r="T39" s="1037">
        <f t="shared" si="415"/>
        <v>0</v>
      </c>
      <c r="U39" s="1038" t="str">
        <f t="shared" si="416"/>
        <v/>
      </c>
      <c r="V39" s="1034"/>
      <c r="W39" s="1035">
        <f>'ORDER SENT'!Z39</f>
        <v>0</v>
      </c>
      <c r="X39" s="1035">
        <f t="shared" si="417"/>
        <v>0</v>
      </c>
      <c r="Y39" s="1036"/>
      <c r="Z39" s="1037">
        <f t="shared" si="418"/>
        <v>0</v>
      </c>
      <c r="AA39" s="1038" t="str">
        <f t="shared" si="419"/>
        <v/>
      </c>
      <c r="AB39" s="1034"/>
      <c r="AC39" s="1035">
        <f>'ORDER SENT'!AF39</f>
        <v>0</v>
      </c>
      <c r="AD39" s="1035">
        <f t="shared" si="420"/>
        <v>0</v>
      </c>
      <c r="AE39" s="1036"/>
      <c r="AF39" s="1037">
        <f t="shared" si="421"/>
        <v>0</v>
      </c>
      <c r="AG39" s="1038" t="str">
        <f t="shared" si="422"/>
        <v/>
      </c>
      <c r="AH39" s="1034"/>
      <c r="AI39" s="1035">
        <f>'ORDER SENT'!AL39</f>
        <v>0</v>
      </c>
      <c r="AJ39" s="1035">
        <f t="shared" si="423"/>
        <v>0</v>
      </c>
      <c r="AK39" s="1036"/>
      <c r="AL39" s="1037">
        <f t="shared" si="424"/>
        <v>0</v>
      </c>
      <c r="AM39" s="1038" t="str">
        <f t="shared" si="425"/>
        <v/>
      </c>
      <c r="AN39" s="1034"/>
      <c r="AO39" s="1035">
        <f>'ORDER SENT'!AR39</f>
        <v>0</v>
      </c>
      <c r="AP39" s="1035">
        <f t="shared" si="426"/>
        <v>0</v>
      </c>
      <c r="AQ39" s="1036"/>
      <c r="AR39" s="1037">
        <f t="shared" si="427"/>
        <v>0</v>
      </c>
      <c r="AS39" s="1038" t="str">
        <f t="shared" si="428"/>
        <v/>
      </c>
      <c r="AT39" s="1034"/>
      <c r="AU39" s="1035">
        <f>'ORDER SENT'!AX39</f>
        <v>0</v>
      </c>
      <c r="AV39" s="1035">
        <f t="shared" si="429"/>
        <v>0</v>
      </c>
      <c r="AW39" s="1036"/>
      <c r="AX39" s="1037">
        <f t="shared" si="430"/>
        <v>0</v>
      </c>
      <c r="AY39" s="1038" t="str">
        <f t="shared" si="431"/>
        <v/>
      </c>
      <c r="AZ39" s="1034"/>
      <c r="BA39" s="1035">
        <f>'ORDER SENT'!BD39</f>
        <v>0</v>
      </c>
      <c r="BB39" s="1035">
        <f t="shared" si="432"/>
        <v>0</v>
      </c>
      <c r="BC39" s="1036"/>
      <c r="BD39" s="1037">
        <f t="shared" si="433"/>
        <v>0</v>
      </c>
      <c r="BE39" s="1038" t="str">
        <f t="shared" si="434"/>
        <v/>
      </c>
      <c r="BF39" s="1034"/>
      <c r="BG39" s="1035">
        <f>'ORDER SENT'!BJ39</f>
        <v>0</v>
      </c>
      <c r="BH39" s="1035">
        <f t="shared" si="435"/>
        <v>0</v>
      </c>
      <c r="BI39" s="1036"/>
      <c r="BJ39" s="1037">
        <f t="shared" si="436"/>
        <v>0</v>
      </c>
      <c r="BK39" s="1038" t="str">
        <f t="shared" si="437"/>
        <v/>
      </c>
      <c r="BL39" s="1034"/>
      <c r="BM39" s="1035">
        <f>'ORDER SENT'!BP39</f>
        <v>0</v>
      </c>
      <c r="BN39" s="1035">
        <f t="shared" si="438"/>
        <v>0</v>
      </c>
      <c r="BO39" s="1036"/>
      <c r="BP39" s="1037">
        <f t="shared" si="439"/>
        <v>0</v>
      </c>
      <c r="BQ39" s="1038" t="str">
        <f t="shared" si="440"/>
        <v/>
      </c>
      <c r="BR39" s="1034"/>
      <c r="BS39" s="1035">
        <f>'ORDER SENT'!BV39</f>
        <v>0</v>
      </c>
      <c r="BT39" s="1035">
        <f t="shared" si="441"/>
        <v>0</v>
      </c>
      <c r="BU39" s="1036"/>
      <c r="BV39" s="1037">
        <f t="shared" si="442"/>
        <v>0</v>
      </c>
      <c r="BW39" s="1038" t="str">
        <f t="shared" si="443"/>
        <v/>
      </c>
      <c r="BX39" s="1034"/>
      <c r="BY39" s="1035">
        <f>'ORDER SENT'!CB39</f>
        <v>0</v>
      </c>
      <c r="BZ39" s="1035">
        <f t="shared" si="444"/>
        <v>0</v>
      </c>
      <c r="CA39" s="1036"/>
      <c r="CB39" s="1037">
        <f t="shared" si="445"/>
        <v>0</v>
      </c>
      <c r="CC39" s="1038" t="str">
        <f t="shared" si="446"/>
        <v/>
      </c>
      <c r="CD39" s="1034"/>
      <c r="CE39" s="1035">
        <f>'ORDER SENT'!CH39</f>
        <v>0</v>
      </c>
      <c r="CF39" s="1035">
        <f t="shared" si="447"/>
        <v>0</v>
      </c>
      <c r="CG39" s="1036"/>
      <c r="CH39" s="1037">
        <f t="shared" si="448"/>
        <v>0</v>
      </c>
      <c r="CI39" s="1038" t="str">
        <f t="shared" si="449"/>
        <v/>
      </c>
      <c r="CJ39" s="1034"/>
      <c r="CK39" s="1035">
        <f>'ORDER SENT'!CN39</f>
        <v>0</v>
      </c>
      <c r="CL39" s="1035">
        <f t="shared" si="450"/>
        <v>0</v>
      </c>
      <c r="CM39" s="1036"/>
      <c r="CN39" s="1037">
        <f t="shared" si="451"/>
        <v>0</v>
      </c>
      <c r="CO39" s="1038" t="str">
        <f t="shared" si="452"/>
        <v/>
      </c>
      <c r="CP39" s="1034"/>
      <c r="CQ39" s="1035">
        <f>'ORDER SENT'!CT39</f>
        <v>0</v>
      </c>
      <c r="CR39" s="1035">
        <f t="shared" si="453"/>
        <v>0</v>
      </c>
      <c r="CS39" s="1036"/>
      <c r="CT39" s="1037">
        <f t="shared" si="454"/>
        <v>0</v>
      </c>
      <c r="CU39" s="1038" t="str">
        <f t="shared" si="455"/>
        <v/>
      </c>
      <c r="CV39" s="1034"/>
      <c r="CW39" s="1035">
        <f>'ORDER SENT'!CZ39</f>
        <v>0</v>
      </c>
      <c r="CX39" s="1035">
        <f t="shared" si="456"/>
        <v>0</v>
      </c>
      <c r="CY39" s="1036"/>
      <c r="CZ39" s="1037">
        <f t="shared" si="457"/>
        <v>0</v>
      </c>
      <c r="DA39" s="1038" t="str">
        <f t="shared" si="458"/>
        <v/>
      </c>
      <c r="DB39" s="1034"/>
      <c r="DC39" s="1035">
        <f>'ORDER SENT'!DF39</f>
        <v>0</v>
      </c>
      <c r="DD39" s="1035">
        <f t="shared" si="459"/>
        <v>0</v>
      </c>
      <c r="DE39" s="1036"/>
      <c r="DF39" s="1037">
        <f t="shared" si="460"/>
        <v>0</v>
      </c>
      <c r="DG39" s="1038" t="str">
        <f t="shared" si="461"/>
        <v/>
      </c>
      <c r="DH39" s="1034"/>
      <c r="DI39" s="1035">
        <f>'ORDER SENT'!DL39</f>
        <v>0</v>
      </c>
      <c r="DJ39" s="1035">
        <f t="shared" si="462"/>
        <v>0</v>
      </c>
      <c r="DK39" s="1036"/>
      <c r="DL39" s="1037">
        <f t="shared" si="463"/>
        <v>0</v>
      </c>
      <c r="DM39" s="1038" t="str">
        <f t="shared" si="464"/>
        <v/>
      </c>
      <c r="DN39" s="1034"/>
      <c r="DO39" s="1035">
        <f>'ORDER SENT'!DR39</f>
        <v>0</v>
      </c>
      <c r="DP39" s="1035">
        <f t="shared" si="465"/>
        <v>0</v>
      </c>
      <c r="DQ39" s="1036"/>
      <c r="DR39" s="1037">
        <f t="shared" si="466"/>
        <v>0</v>
      </c>
      <c r="DS39" s="1038" t="str">
        <f t="shared" si="467"/>
        <v/>
      </c>
      <c r="DT39" s="1034"/>
      <c r="DU39" s="1035">
        <f>'ORDER SENT'!DX39</f>
        <v>0</v>
      </c>
      <c r="DV39" s="1035">
        <f t="shared" si="468"/>
        <v>0</v>
      </c>
      <c r="DW39" s="1036"/>
      <c r="DX39" s="1037">
        <f t="shared" si="469"/>
        <v>0</v>
      </c>
      <c r="DY39" s="1038" t="str">
        <f t="shared" si="470"/>
        <v/>
      </c>
      <c r="DZ39" s="1034"/>
      <c r="EA39" s="1035">
        <f>'ORDER SENT'!ED39</f>
        <v>0</v>
      </c>
      <c r="EB39" s="1035">
        <f t="shared" si="471"/>
        <v>0</v>
      </c>
      <c r="EC39" s="1036"/>
      <c r="ED39" s="1037">
        <f t="shared" si="472"/>
        <v>0</v>
      </c>
      <c r="EE39" s="1038" t="str">
        <f t="shared" si="473"/>
        <v/>
      </c>
      <c r="EF39" s="1034"/>
      <c r="EG39" s="1035">
        <f>'ORDER SENT'!EJ39</f>
        <v>0</v>
      </c>
      <c r="EH39" s="1035">
        <f t="shared" si="474"/>
        <v>0</v>
      </c>
      <c r="EI39" s="1036"/>
      <c r="EJ39" s="1037">
        <f t="shared" si="475"/>
        <v>0</v>
      </c>
      <c r="EK39" s="1038" t="str">
        <f t="shared" si="476"/>
        <v/>
      </c>
      <c r="EL39" s="1034"/>
      <c r="EM39" s="1035">
        <f>'ORDER SENT'!EP39</f>
        <v>0</v>
      </c>
      <c r="EN39" s="1035">
        <f t="shared" si="477"/>
        <v>0</v>
      </c>
      <c r="EO39" s="1036"/>
      <c r="EP39" s="1037">
        <f t="shared" si="478"/>
        <v>0</v>
      </c>
      <c r="EQ39" s="1038" t="str">
        <f t="shared" si="479"/>
        <v/>
      </c>
      <c r="ER39" s="1034"/>
      <c r="ES39" s="1035">
        <f>'ORDER SENT'!EV39</f>
        <v>0</v>
      </c>
      <c r="ET39" s="1035">
        <f t="shared" si="480"/>
        <v>0</v>
      </c>
      <c r="EU39" s="1036"/>
      <c r="EV39" s="1037">
        <f t="shared" si="481"/>
        <v>0</v>
      </c>
      <c r="EW39" s="1038" t="str">
        <f t="shared" si="482"/>
        <v/>
      </c>
      <c r="EX39" s="1034"/>
      <c r="EY39" s="1035">
        <f>'ORDER SENT'!FB39</f>
        <v>0</v>
      </c>
      <c r="EZ39" s="1035">
        <f t="shared" si="483"/>
        <v>0</v>
      </c>
      <c r="FA39" s="1036"/>
      <c r="FB39" s="1037">
        <f t="shared" si="484"/>
        <v>0</v>
      </c>
      <c r="FC39" s="1038" t="str">
        <f t="shared" si="485"/>
        <v/>
      </c>
      <c r="FD39" s="1034"/>
      <c r="FE39" s="1035">
        <f>'ORDER SENT'!FH39</f>
        <v>0</v>
      </c>
      <c r="FF39" s="1035">
        <f t="shared" si="486"/>
        <v>0</v>
      </c>
      <c r="FG39" s="1036"/>
      <c r="FH39" s="1037">
        <f t="shared" si="487"/>
        <v>0</v>
      </c>
      <c r="FI39" s="1038" t="str">
        <f t="shared" si="488"/>
        <v/>
      </c>
      <c r="FJ39" s="1034"/>
      <c r="FK39" s="1035">
        <f>'ORDER SENT'!FN39</f>
        <v>0</v>
      </c>
      <c r="FL39" s="1035">
        <f t="shared" si="489"/>
        <v>0</v>
      </c>
      <c r="FM39" s="1036"/>
      <c r="FN39" s="1037">
        <f t="shared" si="490"/>
        <v>0</v>
      </c>
      <c r="FO39" s="1038" t="str">
        <f t="shared" si="491"/>
        <v/>
      </c>
      <c r="FP39" s="1034"/>
      <c r="FQ39" s="1035">
        <f>'ORDER SENT'!FT39</f>
        <v>0</v>
      </c>
      <c r="FR39" s="1035">
        <f t="shared" si="492"/>
        <v>0</v>
      </c>
      <c r="FS39" s="1036"/>
      <c r="FT39" s="1037">
        <f t="shared" si="493"/>
        <v>0</v>
      </c>
      <c r="FU39" s="1038" t="str">
        <f t="shared" si="494"/>
        <v/>
      </c>
      <c r="FV39" s="1034"/>
      <c r="FW39" s="1035">
        <f>'ORDER SENT'!FZ39</f>
        <v>0</v>
      </c>
      <c r="FX39" s="1035">
        <f t="shared" si="495"/>
        <v>0</v>
      </c>
      <c r="FY39" s="1036"/>
      <c r="FZ39" s="1037">
        <f t="shared" si="496"/>
        <v>0</v>
      </c>
      <c r="GA39" s="1038" t="str">
        <f t="shared" si="497"/>
        <v/>
      </c>
      <c r="GB39" s="1034"/>
      <c r="GC39" s="1035">
        <f>'ORDER SENT'!GF39</f>
        <v>0</v>
      </c>
      <c r="GD39" s="1035">
        <f t="shared" si="498"/>
        <v>0</v>
      </c>
      <c r="GE39" s="1036"/>
      <c r="GF39" s="1037">
        <f t="shared" si="499"/>
        <v>0</v>
      </c>
      <c r="GG39" s="1046" t="str">
        <f t="shared" si="94"/>
        <v/>
      </c>
      <c r="GH39" s="1047">
        <f t="shared" ref="GH39:GL39" si="500">+GB39+FV39+FP39+FJ39+FD39+EX39+ER39+EL39+EF39+DZ39+DT39+DN39+DH39+DB39+CV39+CP39+CJ39+CD39+BX39+BR39+BL39+BF39++AZ39+AT39+AN39+AH39+AB39+V39+P39+J39+D39</f>
        <v>0</v>
      </c>
      <c r="GI39" s="1047">
        <f t="shared" si="500"/>
        <v>0</v>
      </c>
      <c r="GJ39" s="1047">
        <f t="shared" si="500"/>
        <v>0</v>
      </c>
      <c r="GK39" s="1048">
        <f t="shared" si="500"/>
        <v>0</v>
      </c>
      <c r="GL39" s="1045">
        <f t="shared" si="500"/>
        <v>0</v>
      </c>
      <c r="GM39" s="1049">
        <f t="shared" si="501"/>
        <v>0</v>
      </c>
    </row>
    <row r="40" ht="15.75" customHeight="1">
      <c r="B40" s="1062"/>
      <c r="C40" s="1043"/>
      <c r="D40" s="1039"/>
      <c r="E40" s="1035">
        <f>'ORDER SENT'!H40</f>
        <v>0</v>
      </c>
      <c r="F40" s="1035">
        <f t="shared" si="408"/>
        <v>0</v>
      </c>
      <c r="G40" s="1036"/>
      <c r="H40" s="1037">
        <f t="shared" si="409"/>
        <v>0</v>
      </c>
      <c r="I40" s="1038" t="str">
        <f t="shared" si="410"/>
        <v/>
      </c>
      <c r="J40" s="1034"/>
      <c r="K40" s="1035">
        <f>'ORDER SENT'!N40</f>
        <v>0</v>
      </c>
      <c r="L40" s="1035">
        <f t="shared" si="411"/>
        <v>0</v>
      </c>
      <c r="M40" s="1036"/>
      <c r="N40" s="1037">
        <f t="shared" si="412"/>
        <v>0</v>
      </c>
      <c r="O40" s="1038" t="str">
        <f t="shared" si="413"/>
        <v/>
      </c>
      <c r="P40" s="1034"/>
      <c r="Q40" s="1035">
        <f>'ORDER SENT'!T40</f>
        <v>0</v>
      </c>
      <c r="R40" s="1035">
        <f t="shared" si="414"/>
        <v>0</v>
      </c>
      <c r="S40" s="1036"/>
      <c r="T40" s="1037">
        <f t="shared" si="415"/>
        <v>0</v>
      </c>
      <c r="U40" s="1038" t="str">
        <f t="shared" si="416"/>
        <v/>
      </c>
      <c r="V40" s="1034"/>
      <c r="W40" s="1035">
        <f>'ORDER SENT'!Z40</f>
        <v>0</v>
      </c>
      <c r="X40" s="1035">
        <f t="shared" si="417"/>
        <v>0</v>
      </c>
      <c r="Y40" s="1036"/>
      <c r="Z40" s="1037">
        <f t="shared" si="418"/>
        <v>0</v>
      </c>
      <c r="AA40" s="1038" t="str">
        <f t="shared" si="419"/>
        <v/>
      </c>
      <c r="AB40" s="1034"/>
      <c r="AC40" s="1035">
        <f>'ORDER SENT'!AF40</f>
        <v>0</v>
      </c>
      <c r="AD40" s="1035">
        <f t="shared" si="420"/>
        <v>0</v>
      </c>
      <c r="AE40" s="1036"/>
      <c r="AF40" s="1037">
        <f t="shared" si="421"/>
        <v>0</v>
      </c>
      <c r="AG40" s="1038" t="str">
        <f t="shared" si="422"/>
        <v/>
      </c>
      <c r="AH40" s="1034"/>
      <c r="AI40" s="1035">
        <f>'ORDER SENT'!AL40</f>
        <v>0</v>
      </c>
      <c r="AJ40" s="1035">
        <f t="shared" si="423"/>
        <v>0</v>
      </c>
      <c r="AK40" s="1036"/>
      <c r="AL40" s="1037">
        <f t="shared" si="424"/>
        <v>0</v>
      </c>
      <c r="AM40" s="1038" t="str">
        <f t="shared" si="425"/>
        <v/>
      </c>
      <c r="AN40" s="1034"/>
      <c r="AO40" s="1035">
        <f>'ORDER SENT'!AR40</f>
        <v>0</v>
      </c>
      <c r="AP40" s="1035">
        <f t="shared" si="426"/>
        <v>0</v>
      </c>
      <c r="AQ40" s="1036"/>
      <c r="AR40" s="1037">
        <f t="shared" si="427"/>
        <v>0</v>
      </c>
      <c r="AS40" s="1038" t="str">
        <f t="shared" si="428"/>
        <v/>
      </c>
      <c r="AT40" s="1034"/>
      <c r="AU40" s="1035">
        <f>'ORDER SENT'!AX40</f>
        <v>0</v>
      </c>
      <c r="AV40" s="1035">
        <f t="shared" si="429"/>
        <v>0</v>
      </c>
      <c r="AW40" s="1036"/>
      <c r="AX40" s="1037">
        <f t="shared" si="430"/>
        <v>0</v>
      </c>
      <c r="AY40" s="1038" t="str">
        <f t="shared" si="431"/>
        <v/>
      </c>
      <c r="AZ40" s="1034"/>
      <c r="BA40" s="1035">
        <f>'ORDER SENT'!BD40</f>
        <v>0</v>
      </c>
      <c r="BB40" s="1035">
        <f t="shared" si="432"/>
        <v>0</v>
      </c>
      <c r="BC40" s="1036"/>
      <c r="BD40" s="1037">
        <f t="shared" si="433"/>
        <v>0</v>
      </c>
      <c r="BE40" s="1038" t="str">
        <f t="shared" si="434"/>
        <v/>
      </c>
      <c r="BF40" s="1034"/>
      <c r="BG40" s="1035">
        <f>'ORDER SENT'!BJ40</f>
        <v>0</v>
      </c>
      <c r="BH40" s="1035">
        <f t="shared" si="435"/>
        <v>0</v>
      </c>
      <c r="BI40" s="1036"/>
      <c r="BJ40" s="1037">
        <f t="shared" si="436"/>
        <v>0</v>
      </c>
      <c r="BK40" s="1038" t="str">
        <f t="shared" si="437"/>
        <v/>
      </c>
      <c r="BL40" s="1034"/>
      <c r="BM40" s="1035">
        <f>'ORDER SENT'!BP40</f>
        <v>0</v>
      </c>
      <c r="BN40" s="1035">
        <f t="shared" si="438"/>
        <v>0</v>
      </c>
      <c r="BO40" s="1036"/>
      <c r="BP40" s="1037">
        <f t="shared" si="439"/>
        <v>0</v>
      </c>
      <c r="BQ40" s="1038" t="str">
        <f t="shared" si="440"/>
        <v/>
      </c>
      <c r="BR40" s="1034"/>
      <c r="BS40" s="1035">
        <f>'ORDER SENT'!BV40</f>
        <v>0</v>
      </c>
      <c r="BT40" s="1035">
        <f t="shared" si="441"/>
        <v>0</v>
      </c>
      <c r="BU40" s="1036"/>
      <c r="BV40" s="1037">
        <f t="shared" si="442"/>
        <v>0</v>
      </c>
      <c r="BW40" s="1038" t="str">
        <f t="shared" si="443"/>
        <v/>
      </c>
      <c r="BX40" s="1034"/>
      <c r="BY40" s="1035">
        <f>'ORDER SENT'!CB40</f>
        <v>0</v>
      </c>
      <c r="BZ40" s="1035">
        <f t="shared" si="444"/>
        <v>0</v>
      </c>
      <c r="CA40" s="1036"/>
      <c r="CB40" s="1037">
        <f t="shared" si="445"/>
        <v>0</v>
      </c>
      <c r="CC40" s="1038" t="str">
        <f t="shared" si="446"/>
        <v/>
      </c>
      <c r="CD40" s="1034"/>
      <c r="CE40" s="1035">
        <f>'ORDER SENT'!CH40</f>
        <v>0</v>
      </c>
      <c r="CF40" s="1035">
        <f t="shared" si="447"/>
        <v>0</v>
      </c>
      <c r="CG40" s="1036"/>
      <c r="CH40" s="1037">
        <f t="shared" si="448"/>
        <v>0</v>
      </c>
      <c r="CI40" s="1038" t="str">
        <f t="shared" si="449"/>
        <v/>
      </c>
      <c r="CJ40" s="1034"/>
      <c r="CK40" s="1035">
        <f>'ORDER SENT'!CN40</f>
        <v>0</v>
      </c>
      <c r="CL40" s="1035">
        <f t="shared" si="450"/>
        <v>0</v>
      </c>
      <c r="CM40" s="1036"/>
      <c r="CN40" s="1037">
        <f t="shared" si="451"/>
        <v>0</v>
      </c>
      <c r="CO40" s="1038" t="str">
        <f t="shared" si="452"/>
        <v/>
      </c>
      <c r="CP40" s="1034"/>
      <c r="CQ40" s="1035">
        <f>'ORDER SENT'!CT40</f>
        <v>0</v>
      </c>
      <c r="CR40" s="1035">
        <f t="shared" si="453"/>
        <v>0</v>
      </c>
      <c r="CS40" s="1036"/>
      <c r="CT40" s="1037">
        <f t="shared" si="454"/>
        <v>0</v>
      </c>
      <c r="CU40" s="1038" t="str">
        <f t="shared" si="455"/>
        <v/>
      </c>
      <c r="CV40" s="1034"/>
      <c r="CW40" s="1035">
        <f>'ORDER SENT'!CZ40</f>
        <v>0</v>
      </c>
      <c r="CX40" s="1035">
        <f t="shared" si="456"/>
        <v>0</v>
      </c>
      <c r="CY40" s="1036"/>
      <c r="CZ40" s="1037">
        <f t="shared" si="457"/>
        <v>0</v>
      </c>
      <c r="DA40" s="1038" t="str">
        <f t="shared" si="458"/>
        <v/>
      </c>
      <c r="DB40" s="1034"/>
      <c r="DC40" s="1035">
        <f>'ORDER SENT'!DF40</f>
        <v>0</v>
      </c>
      <c r="DD40" s="1035">
        <f t="shared" si="459"/>
        <v>0</v>
      </c>
      <c r="DE40" s="1036"/>
      <c r="DF40" s="1037">
        <f t="shared" si="460"/>
        <v>0</v>
      </c>
      <c r="DG40" s="1038" t="str">
        <f t="shared" si="461"/>
        <v/>
      </c>
      <c r="DH40" s="1034"/>
      <c r="DI40" s="1035">
        <f>'ORDER SENT'!DL40</f>
        <v>0</v>
      </c>
      <c r="DJ40" s="1035">
        <f t="shared" si="462"/>
        <v>0</v>
      </c>
      <c r="DK40" s="1036"/>
      <c r="DL40" s="1037">
        <f t="shared" si="463"/>
        <v>0</v>
      </c>
      <c r="DM40" s="1038" t="str">
        <f t="shared" si="464"/>
        <v/>
      </c>
      <c r="DN40" s="1034"/>
      <c r="DO40" s="1035">
        <f>'ORDER SENT'!DR40</f>
        <v>0</v>
      </c>
      <c r="DP40" s="1035">
        <f t="shared" si="465"/>
        <v>0</v>
      </c>
      <c r="DQ40" s="1036"/>
      <c r="DR40" s="1037">
        <f t="shared" si="466"/>
        <v>0</v>
      </c>
      <c r="DS40" s="1038" t="str">
        <f t="shared" si="467"/>
        <v/>
      </c>
      <c r="DT40" s="1034"/>
      <c r="DU40" s="1035">
        <f>'ORDER SENT'!DX40</f>
        <v>0</v>
      </c>
      <c r="DV40" s="1035">
        <f t="shared" si="468"/>
        <v>0</v>
      </c>
      <c r="DW40" s="1036"/>
      <c r="DX40" s="1037">
        <f t="shared" si="469"/>
        <v>0</v>
      </c>
      <c r="DY40" s="1038" t="str">
        <f t="shared" si="470"/>
        <v/>
      </c>
      <c r="DZ40" s="1034"/>
      <c r="EA40" s="1035">
        <f>'ORDER SENT'!ED40</f>
        <v>0</v>
      </c>
      <c r="EB40" s="1035">
        <f t="shared" si="471"/>
        <v>0</v>
      </c>
      <c r="EC40" s="1036"/>
      <c r="ED40" s="1037">
        <f t="shared" si="472"/>
        <v>0</v>
      </c>
      <c r="EE40" s="1038" t="str">
        <f t="shared" si="473"/>
        <v/>
      </c>
      <c r="EF40" s="1034"/>
      <c r="EG40" s="1035">
        <f>'ORDER SENT'!EJ40</f>
        <v>0</v>
      </c>
      <c r="EH40" s="1035">
        <f t="shared" si="474"/>
        <v>0</v>
      </c>
      <c r="EI40" s="1036"/>
      <c r="EJ40" s="1037">
        <f t="shared" si="475"/>
        <v>0</v>
      </c>
      <c r="EK40" s="1038" t="str">
        <f t="shared" si="476"/>
        <v/>
      </c>
      <c r="EL40" s="1034"/>
      <c r="EM40" s="1035">
        <f>'ORDER SENT'!EP40</f>
        <v>0</v>
      </c>
      <c r="EN40" s="1035">
        <f t="shared" si="477"/>
        <v>0</v>
      </c>
      <c r="EO40" s="1036"/>
      <c r="EP40" s="1037">
        <f t="shared" si="478"/>
        <v>0</v>
      </c>
      <c r="EQ40" s="1038" t="str">
        <f t="shared" si="479"/>
        <v/>
      </c>
      <c r="ER40" s="1034"/>
      <c r="ES40" s="1035">
        <f>'ORDER SENT'!EV40</f>
        <v>0</v>
      </c>
      <c r="ET40" s="1035">
        <f t="shared" si="480"/>
        <v>0</v>
      </c>
      <c r="EU40" s="1036"/>
      <c r="EV40" s="1037">
        <f t="shared" si="481"/>
        <v>0</v>
      </c>
      <c r="EW40" s="1038" t="str">
        <f t="shared" si="482"/>
        <v/>
      </c>
      <c r="EX40" s="1034"/>
      <c r="EY40" s="1035">
        <f>'ORDER SENT'!FB40</f>
        <v>0</v>
      </c>
      <c r="EZ40" s="1035">
        <f t="shared" si="483"/>
        <v>0</v>
      </c>
      <c r="FA40" s="1036"/>
      <c r="FB40" s="1037">
        <f t="shared" si="484"/>
        <v>0</v>
      </c>
      <c r="FC40" s="1038" t="str">
        <f t="shared" si="485"/>
        <v/>
      </c>
      <c r="FD40" s="1034"/>
      <c r="FE40" s="1035">
        <f>'ORDER SENT'!FH40</f>
        <v>0</v>
      </c>
      <c r="FF40" s="1035">
        <f t="shared" si="486"/>
        <v>0</v>
      </c>
      <c r="FG40" s="1036"/>
      <c r="FH40" s="1037">
        <f t="shared" si="487"/>
        <v>0</v>
      </c>
      <c r="FI40" s="1038" t="str">
        <f t="shared" si="488"/>
        <v/>
      </c>
      <c r="FJ40" s="1034"/>
      <c r="FK40" s="1035">
        <f>'ORDER SENT'!FN40</f>
        <v>0</v>
      </c>
      <c r="FL40" s="1035">
        <f t="shared" si="489"/>
        <v>0</v>
      </c>
      <c r="FM40" s="1036"/>
      <c r="FN40" s="1037">
        <f t="shared" si="490"/>
        <v>0</v>
      </c>
      <c r="FO40" s="1038" t="str">
        <f t="shared" si="491"/>
        <v/>
      </c>
      <c r="FP40" s="1034"/>
      <c r="FQ40" s="1035">
        <f>'ORDER SENT'!FT40</f>
        <v>0</v>
      </c>
      <c r="FR40" s="1035">
        <f t="shared" si="492"/>
        <v>0</v>
      </c>
      <c r="FS40" s="1036"/>
      <c r="FT40" s="1037">
        <f t="shared" si="493"/>
        <v>0</v>
      </c>
      <c r="FU40" s="1038" t="str">
        <f t="shared" si="494"/>
        <v/>
      </c>
      <c r="FV40" s="1034"/>
      <c r="FW40" s="1035">
        <f>'ORDER SENT'!FZ40</f>
        <v>0</v>
      </c>
      <c r="FX40" s="1035">
        <f t="shared" si="495"/>
        <v>0</v>
      </c>
      <c r="FY40" s="1036"/>
      <c r="FZ40" s="1037">
        <f t="shared" si="496"/>
        <v>0</v>
      </c>
      <c r="GA40" s="1038" t="str">
        <f t="shared" si="497"/>
        <v/>
      </c>
      <c r="GB40" s="1034"/>
      <c r="GC40" s="1035">
        <f>'ORDER SENT'!GF40</f>
        <v>0</v>
      </c>
      <c r="GD40" s="1035">
        <f t="shared" si="498"/>
        <v>0</v>
      </c>
      <c r="GE40" s="1036"/>
      <c r="GF40" s="1037">
        <f t="shared" si="499"/>
        <v>0</v>
      </c>
      <c r="GG40" s="1046" t="str">
        <f t="shared" si="94"/>
        <v/>
      </c>
      <c r="GH40" s="1047">
        <f t="shared" ref="GH40:GL40" si="502">+GB40+FV40+FP40+FJ40+FD40+EX40+ER40+EL40+EF40+DZ40+DT40+DN40+DH40+DB40+CV40+CP40+CJ40+CD40+BX40+BR40+BL40+BF40++AZ40+AT40+AN40+AH40+AB40+V40+P40+J40+D40</f>
        <v>0</v>
      </c>
      <c r="GI40" s="1047">
        <f t="shared" si="502"/>
        <v>0</v>
      </c>
      <c r="GJ40" s="1047">
        <f t="shared" si="502"/>
        <v>0</v>
      </c>
      <c r="GK40" s="1048">
        <f t="shared" si="502"/>
        <v>0</v>
      </c>
      <c r="GL40" s="1045">
        <f t="shared" si="502"/>
        <v>0</v>
      </c>
      <c r="GM40" s="1049">
        <f t="shared" si="501"/>
        <v>0</v>
      </c>
    </row>
    <row r="41" ht="15.75" customHeight="1">
      <c r="B41" s="1062"/>
      <c r="C41" s="1043"/>
      <c r="D41" s="1039"/>
      <c r="E41" s="1035">
        <f>'ORDER SENT'!H41</f>
        <v>0</v>
      </c>
      <c r="F41" s="1035">
        <f t="shared" si="408"/>
        <v>0</v>
      </c>
      <c r="G41" s="1036"/>
      <c r="H41" s="1037">
        <f t="shared" si="409"/>
        <v>0</v>
      </c>
      <c r="I41" s="1038" t="str">
        <f t="shared" si="410"/>
        <v/>
      </c>
      <c r="J41" s="1034"/>
      <c r="K41" s="1035">
        <f>'ORDER SENT'!N41</f>
        <v>0</v>
      </c>
      <c r="L41" s="1035">
        <f t="shared" si="411"/>
        <v>0</v>
      </c>
      <c r="M41" s="1036"/>
      <c r="N41" s="1037">
        <f t="shared" si="412"/>
        <v>0</v>
      </c>
      <c r="O41" s="1038" t="str">
        <f t="shared" si="413"/>
        <v/>
      </c>
      <c r="P41" s="1034"/>
      <c r="Q41" s="1035">
        <f>'ORDER SENT'!T41</f>
        <v>0</v>
      </c>
      <c r="R41" s="1035">
        <f t="shared" si="414"/>
        <v>0</v>
      </c>
      <c r="S41" s="1036"/>
      <c r="T41" s="1037">
        <f t="shared" si="415"/>
        <v>0</v>
      </c>
      <c r="U41" s="1038" t="str">
        <f t="shared" si="416"/>
        <v/>
      </c>
      <c r="V41" s="1034"/>
      <c r="W41" s="1035">
        <f>'ORDER SENT'!Z41</f>
        <v>0</v>
      </c>
      <c r="X41" s="1035">
        <f t="shared" si="417"/>
        <v>0</v>
      </c>
      <c r="Y41" s="1036"/>
      <c r="Z41" s="1037">
        <f t="shared" si="418"/>
        <v>0</v>
      </c>
      <c r="AA41" s="1038" t="str">
        <f t="shared" si="419"/>
        <v/>
      </c>
      <c r="AB41" s="1034"/>
      <c r="AC41" s="1035">
        <f>'ORDER SENT'!AF41</f>
        <v>0</v>
      </c>
      <c r="AD41" s="1035">
        <f t="shared" si="420"/>
        <v>0</v>
      </c>
      <c r="AE41" s="1036"/>
      <c r="AF41" s="1037">
        <f t="shared" si="421"/>
        <v>0</v>
      </c>
      <c r="AG41" s="1038" t="str">
        <f t="shared" si="422"/>
        <v/>
      </c>
      <c r="AH41" s="1034"/>
      <c r="AI41" s="1035">
        <f>'ORDER SENT'!AL41</f>
        <v>0</v>
      </c>
      <c r="AJ41" s="1035">
        <f t="shared" si="423"/>
        <v>0</v>
      </c>
      <c r="AK41" s="1036"/>
      <c r="AL41" s="1037">
        <f t="shared" si="424"/>
        <v>0</v>
      </c>
      <c r="AM41" s="1038" t="str">
        <f t="shared" si="425"/>
        <v/>
      </c>
      <c r="AN41" s="1034"/>
      <c r="AO41" s="1035">
        <f>'ORDER SENT'!AR41</f>
        <v>0</v>
      </c>
      <c r="AP41" s="1035">
        <f t="shared" si="426"/>
        <v>0</v>
      </c>
      <c r="AQ41" s="1036"/>
      <c r="AR41" s="1037">
        <f t="shared" si="427"/>
        <v>0</v>
      </c>
      <c r="AS41" s="1038" t="str">
        <f t="shared" si="428"/>
        <v/>
      </c>
      <c r="AT41" s="1034"/>
      <c r="AU41" s="1035">
        <f>'ORDER SENT'!AX41</f>
        <v>0</v>
      </c>
      <c r="AV41" s="1035">
        <f t="shared" si="429"/>
        <v>0</v>
      </c>
      <c r="AW41" s="1036"/>
      <c r="AX41" s="1037">
        <f t="shared" si="430"/>
        <v>0</v>
      </c>
      <c r="AY41" s="1038" t="str">
        <f t="shared" si="431"/>
        <v/>
      </c>
      <c r="AZ41" s="1034"/>
      <c r="BA41" s="1035">
        <f>'ORDER SENT'!BD41</f>
        <v>0</v>
      </c>
      <c r="BB41" s="1035">
        <f t="shared" si="432"/>
        <v>0</v>
      </c>
      <c r="BC41" s="1036"/>
      <c r="BD41" s="1037">
        <f t="shared" si="433"/>
        <v>0</v>
      </c>
      <c r="BE41" s="1038" t="str">
        <f t="shared" si="434"/>
        <v/>
      </c>
      <c r="BF41" s="1034"/>
      <c r="BG41" s="1035">
        <f>'ORDER SENT'!BJ41</f>
        <v>0</v>
      </c>
      <c r="BH41" s="1035">
        <f t="shared" si="435"/>
        <v>0</v>
      </c>
      <c r="BI41" s="1036"/>
      <c r="BJ41" s="1037">
        <f t="shared" si="436"/>
        <v>0</v>
      </c>
      <c r="BK41" s="1038" t="str">
        <f t="shared" si="437"/>
        <v/>
      </c>
      <c r="BL41" s="1034"/>
      <c r="BM41" s="1035">
        <f>'ORDER SENT'!BP41</f>
        <v>0</v>
      </c>
      <c r="BN41" s="1035">
        <f t="shared" si="438"/>
        <v>0</v>
      </c>
      <c r="BO41" s="1036"/>
      <c r="BP41" s="1037">
        <f t="shared" si="439"/>
        <v>0</v>
      </c>
      <c r="BQ41" s="1038" t="str">
        <f t="shared" si="440"/>
        <v/>
      </c>
      <c r="BR41" s="1034"/>
      <c r="BS41" s="1035">
        <f>'ORDER SENT'!BV41</f>
        <v>0</v>
      </c>
      <c r="BT41" s="1035">
        <f t="shared" si="441"/>
        <v>0</v>
      </c>
      <c r="BU41" s="1036"/>
      <c r="BV41" s="1037">
        <f t="shared" si="442"/>
        <v>0</v>
      </c>
      <c r="BW41" s="1038" t="str">
        <f t="shared" si="443"/>
        <v/>
      </c>
      <c r="BX41" s="1034"/>
      <c r="BY41" s="1035">
        <f>'ORDER SENT'!CB41</f>
        <v>0</v>
      </c>
      <c r="BZ41" s="1035">
        <f t="shared" si="444"/>
        <v>0</v>
      </c>
      <c r="CA41" s="1036"/>
      <c r="CB41" s="1037">
        <f t="shared" si="445"/>
        <v>0</v>
      </c>
      <c r="CC41" s="1038" t="str">
        <f t="shared" si="446"/>
        <v/>
      </c>
      <c r="CD41" s="1034"/>
      <c r="CE41" s="1035">
        <f>'ORDER SENT'!CH41</f>
        <v>0</v>
      </c>
      <c r="CF41" s="1035">
        <f t="shared" si="447"/>
        <v>0</v>
      </c>
      <c r="CG41" s="1036"/>
      <c r="CH41" s="1037">
        <f t="shared" si="448"/>
        <v>0</v>
      </c>
      <c r="CI41" s="1038" t="str">
        <f t="shared" si="449"/>
        <v/>
      </c>
      <c r="CJ41" s="1034"/>
      <c r="CK41" s="1035">
        <f>'ORDER SENT'!CN41</f>
        <v>0</v>
      </c>
      <c r="CL41" s="1035">
        <f t="shared" si="450"/>
        <v>0</v>
      </c>
      <c r="CM41" s="1036"/>
      <c r="CN41" s="1037">
        <f t="shared" si="451"/>
        <v>0</v>
      </c>
      <c r="CO41" s="1038" t="str">
        <f t="shared" si="452"/>
        <v/>
      </c>
      <c r="CP41" s="1034"/>
      <c r="CQ41" s="1035">
        <f>'ORDER SENT'!CT41</f>
        <v>0</v>
      </c>
      <c r="CR41" s="1035">
        <f t="shared" si="453"/>
        <v>0</v>
      </c>
      <c r="CS41" s="1036"/>
      <c r="CT41" s="1037">
        <f t="shared" si="454"/>
        <v>0</v>
      </c>
      <c r="CU41" s="1038" t="str">
        <f t="shared" si="455"/>
        <v/>
      </c>
      <c r="CV41" s="1034"/>
      <c r="CW41" s="1035">
        <f>'ORDER SENT'!CZ41</f>
        <v>0</v>
      </c>
      <c r="CX41" s="1035">
        <f t="shared" si="456"/>
        <v>0</v>
      </c>
      <c r="CY41" s="1036"/>
      <c r="CZ41" s="1037">
        <f t="shared" si="457"/>
        <v>0</v>
      </c>
      <c r="DA41" s="1038" t="str">
        <f t="shared" si="458"/>
        <v/>
      </c>
      <c r="DB41" s="1034"/>
      <c r="DC41" s="1035">
        <f>'ORDER SENT'!DF41</f>
        <v>0</v>
      </c>
      <c r="DD41" s="1035">
        <f t="shared" si="459"/>
        <v>0</v>
      </c>
      <c r="DE41" s="1036"/>
      <c r="DF41" s="1037">
        <f t="shared" si="460"/>
        <v>0</v>
      </c>
      <c r="DG41" s="1038" t="str">
        <f t="shared" si="461"/>
        <v/>
      </c>
      <c r="DH41" s="1034"/>
      <c r="DI41" s="1035">
        <f>'ORDER SENT'!DL41</f>
        <v>0</v>
      </c>
      <c r="DJ41" s="1035">
        <f t="shared" si="462"/>
        <v>0</v>
      </c>
      <c r="DK41" s="1036"/>
      <c r="DL41" s="1037">
        <f t="shared" si="463"/>
        <v>0</v>
      </c>
      <c r="DM41" s="1038" t="str">
        <f t="shared" si="464"/>
        <v/>
      </c>
      <c r="DN41" s="1034"/>
      <c r="DO41" s="1035">
        <f>'ORDER SENT'!DR41</f>
        <v>0</v>
      </c>
      <c r="DP41" s="1035">
        <f t="shared" si="465"/>
        <v>0</v>
      </c>
      <c r="DQ41" s="1036"/>
      <c r="DR41" s="1037">
        <f t="shared" si="466"/>
        <v>0</v>
      </c>
      <c r="DS41" s="1038" t="str">
        <f t="shared" si="467"/>
        <v/>
      </c>
      <c r="DT41" s="1034"/>
      <c r="DU41" s="1035">
        <f>'ORDER SENT'!DX41</f>
        <v>0</v>
      </c>
      <c r="DV41" s="1035">
        <f t="shared" si="468"/>
        <v>0</v>
      </c>
      <c r="DW41" s="1036"/>
      <c r="DX41" s="1037">
        <f t="shared" si="469"/>
        <v>0</v>
      </c>
      <c r="DY41" s="1038" t="str">
        <f t="shared" si="470"/>
        <v/>
      </c>
      <c r="DZ41" s="1034"/>
      <c r="EA41" s="1035">
        <f>'ORDER SENT'!ED41</f>
        <v>0</v>
      </c>
      <c r="EB41" s="1035">
        <f t="shared" si="471"/>
        <v>0</v>
      </c>
      <c r="EC41" s="1036"/>
      <c r="ED41" s="1037">
        <f t="shared" si="472"/>
        <v>0</v>
      </c>
      <c r="EE41" s="1038" t="str">
        <f t="shared" si="473"/>
        <v/>
      </c>
      <c r="EF41" s="1034"/>
      <c r="EG41" s="1035">
        <f>'ORDER SENT'!EJ41</f>
        <v>0</v>
      </c>
      <c r="EH41" s="1035">
        <f t="shared" si="474"/>
        <v>0</v>
      </c>
      <c r="EI41" s="1036"/>
      <c r="EJ41" s="1037">
        <f t="shared" si="475"/>
        <v>0</v>
      </c>
      <c r="EK41" s="1038" t="str">
        <f t="shared" si="476"/>
        <v/>
      </c>
      <c r="EL41" s="1034"/>
      <c r="EM41" s="1035">
        <f>'ORDER SENT'!EP41</f>
        <v>0</v>
      </c>
      <c r="EN41" s="1035">
        <f t="shared" si="477"/>
        <v>0</v>
      </c>
      <c r="EO41" s="1036"/>
      <c r="EP41" s="1037">
        <f t="shared" si="478"/>
        <v>0</v>
      </c>
      <c r="EQ41" s="1038" t="str">
        <f t="shared" si="479"/>
        <v/>
      </c>
      <c r="ER41" s="1034"/>
      <c r="ES41" s="1035">
        <f>'ORDER SENT'!EV41</f>
        <v>0</v>
      </c>
      <c r="ET41" s="1035">
        <f t="shared" si="480"/>
        <v>0</v>
      </c>
      <c r="EU41" s="1036"/>
      <c r="EV41" s="1037">
        <f t="shared" si="481"/>
        <v>0</v>
      </c>
      <c r="EW41" s="1038" t="str">
        <f t="shared" si="482"/>
        <v/>
      </c>
      <c r="EX41" s="1034"/>
      <c r="EY41" s="1035">
        <f>'ORDER SENT'!FB41</f>
        <v>0</v>
      </c>
      <c r="EZ41" s="1035">
        <f t="shared" si="483"/>
        <v>0</v>
      </c>
      <c r="FA41" s="1036"/>
      <c r="FB41" s="1037">
        <f t="shared" si="484"/>
        <v>0</v>
      </c>
      <c r="FC41" s="1038" t="str">
        <f t="shared" si="485"/>
        <v/>
      </c>
      <c r="FD41" s="1034"/>
      <c r="FE41" s="1035">
        <f>'ORDER SENT'!FH41</f>
        <v>0</v>
      </c>
      <c r="FF41" s="1035">
        <f t="shared" si="486"/>
        <v>0</v>
      </c>
      <c r="FG41" s="1036"/>
      <c r="FH41" s="1037">
        <f t="shared" si="487"/>
        <v>0</v>
      </c>
      <c r="FI41" s="1038" t="str">
        <f t="shared" si="488"/>
        <v/>
      </c>
      <c r="FJ41" s="1034"/>
      <c r="FK41" s="1035">
        <f>'ORDER SENT'!FN41</f>
        <v>0</v>
      </c>
      <c r="FL41" s="1035">
        <f t="shared" si="489"/>
        <v>0</v>
      </c>
      <c r="FM41" s="1036"/>
      <c r="FN41" s="1037">
        <f t="shared" si="490"/>
        <v>0</v>
      </c>
      <c r="FO41" s="1038" t="str">
        <f t="shared" si="491"/>
        <v/>
      </c>
      <c r="FP41" s="1034"/>
      <c r="FQ41" s="1035">
        <f>'ORDER SENT'!FT41</f>
        <v>0</v>
      </c>
      <c r="FR41" s="1035">
        <f t="shared" si="492"/>
        <v>0</v>
      </c>
      <c r="FS41" s="1036"/>
      <c r="FT41" s="1037">
        <f t="shared" si="493"/>
        <v>0</v>
      </c>
      <c r="FU41" s="1038" t="str">
        <f t="shared" si="494"/>
        <v/>
      </c>
      <c r="FV41" s="1034"/>
      <c r="FW41" s="1035">
        <f>'ORDER SENT'!FZ41</f>
        <v>0</v>
      </c>
      <c r="FX41" s="1035">
        <f t="shared" si="495"/>
        <v>0</v>
      </c>
      <c r="FY41" s="1036"/>
      <c r="FZ41" s="1037">
        <f t="shared" si="496"/>
        <v>0</v>
      </c>
      <c r="GA41" s="1038" t="str">
        <f t="shared" si="497"/>
        <v/>
      </c>
      <c r="GB41" s="1034"/>
      <c r="GC41" s="1035">
        <f>'ORDER SENT'!GF41</f>
        <v>0</v>
      </c>
      <c r="GD41" s="1035">
        <f t="shared" si="498"/>
        <v>0</v>
      </c>
      <c r="GE41" s="1036"/>
      <c r="GF41" s="1037">
        <f t="shared" si="499"/>
        <v>0</v>
      </c>
      <c r="GG41" s="1046" t="str">
        <f t="shared" si="94"/>
        <v/>
      </c>
      <c r="GH41" s="1047">
        <f t="shared" ref="GH41:GL41" si="503">+GB41+FV41+FP41+FJ41+FD41+EX41+ER41+EL41+EF41+DZ41+DT41+DN41+DH41+DB41+CV41+CP41+CJ41+CD41+BX41+BR41+BL41+BF41++AZ41+AT41+AN41+AH41+AB41+V41+P41+J41+D41</f>
        <v>0</v>
      </c>
      <c r="GI41" s="1047">
        <f t="shared" si="503"/>
        <v>0</v>
      </c>
      <c r="GJ41" s="1047">
        <f t="shared" si="503"/>
        <v>0</v>
      </c>
      <c r="GK41" s="1048">
        <f t="shared" si="503"/>
        <v>0</v>
      </c>
      <c r="GL41" s="1045">
        <f t="shared" si="503"/>
        <v>0</v>
      </c>
      <c r="GM41" s="1049">
        <f t="shared" si="501"/>
        <v>0</v>
      </c>
    </row>
    <row r="42" ht="15.75" customHeight="1">
      <c r="B42" s="1062"/>
      <c r="C42" s="1043"/>
      <c r="D42" s="1039"/>
      <c r="E42" s="1035">
        <f>'ORDER SENT'!H42</f>
        <v>0</v>
      </c>
      <c r="F42" s="1035">
        <f t="shared" si="408"/>
        <v>0</v>
      </c>
      <c r="G42" s="1036"/>
      <c r="H42" s="1037">
        <f t="shared" si="409"/>
        <v>0</v>
      </c>
      <c r="I42" s="1038" t="str">
        <f t="shared" si="410"/>
        <v/>
      </c>
      <c r="J42" s="1034"/>
      <c r="K42" s="1035">
        <f>'ORDER SENT'!N42</f>
        <v>0</v>
      </c>
      <c r="L42" s="1035">
        <f t="shared" si="411"/>
        <v>0</v>
      </c>
      <c r="M42" s="1036"/>
      <c r="N42" s="1037">
        <f t="shared" si="412"/>
        <v>0</v>
      </c>
      <c r="O42" s="1038" t="str">
        <f t="shared" si="413"/>
        <v/>
      </c>
      <c r="P42" s="1034"/>
      <c r="Q42" s="1035">
        <f>'ORDER SENT'!T42</f>
        <v>0</v>
      </c>
      <c r="R42" s="1035">
        <f t="shared" si="414"/>
        <v>0</v>
      </c>
      <c r="S42" s="1036"/>
      <c r="T42" s="1037">
        <f t="shared" si="415"/>
        <v>0</v>
      </c>
      <c r="U42" s="1038" t="str">
        <f t="shared" si="416"/>
        <v/>
      </c>
      <c r="V42" s="1034"/>
      <c r="W42" s="1035">
        <f>'ORDER SENT'!Z42</f>
        <v>0</v>
      </c>
      <c r="X42" s="1035">
        <f t="shared" si="417"/>
        <v>0</v>
      </c>
      <c r="Y42" s="1036"/>
      <c r="Z42" s="1037">
        <f t="shared" si="418"/>
        <v>0</v>
      </c>
      <c r="AA42" s="1038" t="str">
        <f t="shared" si="419"/>
        <v/>
      </c>
      <c r="AB42" s="1034"/>
      <c r="AC42" s="1035">
        <f>'ORDER SENT'!AF42</f>
        <v>0</v>
      </c>
      <c r="AD42" s="1035">
        <f t="shared" si="420"/>
        <v>0</v>
      </c>
      <c r="AE42" s="1036"/>
      <c r="AF42" s="1037">
        <f t="shared" si="421"/>
        <v>0</v>
      </c>
      <c r="AG42" s="1038" t="str">
        <f t="shared" si="422"/>
        <v/>
      </c>
      <c r="AH42" s="1034"/>
      <c r="AI42" s="1035">
        <f>'ORDER SENT'!AL42</f>
        <v>0</v>
      </c>
      <c r="AJ42" s="1035">
        <f t="shared" si="423"/>
        <v>0</v>
      </c>
      <c r="AK42" s="1036"/>
      <c r="AL42" s="1037">
        <f t="shared" si="424"/>
        <v>0</v>
      </c>
      <c r="AM42" s="1038" t="str">
        <f t="shared" si="425"/>
        <v/>
      </c>
      <c r="AN42" s="1034"/>
      <c r="AO42" s="1035">
        <f>'ORDER SENT'!AR42</f>
        <v>0</v>
      </c>
      <c r="AP42" s="1035">
        <f t="shared" si="426"/>
        <v>0</v>
      </c>
      <c r="AQ42" s="1036"/>
      <c r="AR42" s="1037">
        <f t="shared" si="427"/>
        <v>0</v>
      </c>
      <c r="AS42" s="1038" t="str">
        <f t="shared" si="428"/>
        <v/>
      </c>
      <c r="AT42" s="1034"/>
      <c r="AU42" s="1035">
        <f>'ORDER SENT'!AX42</f>
        <v>0</v>
      </c>
      <c r="AV42" s="1035">
        <f t="shared" si="429"/>
        <v>0</v>
      </c>
      <c r="AW42" s="1036"/>
      <c r="AX42" s="1037">
        <f t="shared" si="430"/>
        <v>0</v>
      </c>
      <c r="AY42" s="1038" t="str">
        <f t="shared" si="431"/>
        <v/>
      </c>
      <c r="AZ42" s="1034"/>
      <c r="BA42" s="1035">
        <f>'ORDER SENT'!BD42</f>
        <v>0</v>
      </c>
      <c r="BB42" s="1035">
        <f t="shared" si="432"/>
        <v>0</v>
      </c>
      <c r="BC42" s="1036"/>
      <c r="BD42" s="1037">
        <f t="shared" si="433"/>
        <v>0</v>
      </c>
      <c r="BE42" s="1038" t="str">
        <f t="shared" si="434"/>
        <v/>
      </c>
      <c r="BF42" s="1034"/>
      <c r="BG42" s="1035">
        <f>'ORDER SENT'!BJ42</f>
        <v>0</v>
      </c>
      <c r="BH42" s="1035">
        <f t="shared" si="435"/>
        <v>0</v>
      </c>
      <c r="BI42" s="1036"/>
      <c r="BJ42" s="1037">
        <f t="shared" si="436"/>
        <v>0</v>
      </c>
      <c r="BK42" s="1038" t="str">
        <f t="shared" si="437"/>
        <v/>
      </c>
      <c r="BL42" s="1034"/>
      <c r="BM42" s="1035">
        <f>'ORDER SENT'!BP42</f>
        <v>0</v>
      </c>
      <c r="BN42" s="1035">
        <f t="shared" si="438"/>
        <v>0</v>
      </c>
      <c r="BO42" s="1036"/>
      <c r="BP42" s="1037">
        <f t="shared" si="439"/>
        <v>0</v>
      </c>
      <c r="BQ42" s="1038" t="str">
        <f t="shared" si="440"/>
        <v/>
      </c>
      <c r="BR42" s="1034"/>
      <c r="BS42" s="1035">
        <f>'ORDER SENT'!BV42</f>
        <v>0</v>
      </c>
      <c r="BT42" s="1035">
        <f t="shared" si="441"/>
        <v>0</v>
      </c>
      <c r="BU42" s="1036"/>
      <c r="BV42" s="1037">
        <f t="shared" si="442"/>
        <v>0</v>
      </c>
      <c r="BW42" s="1038" t="str">
        <f t="shared" si="443"/>
        <v/>
      </c>
      <c r="BX42" s="1034"/>
      <c r="BY42" s="1035">
        <f>'ORDER SENT'!CB42</f>
        <v>0</v>
      </c>
      <c r="BZ42" s="1035">
        <f t="shared" si="444"/>
        <v>0</v>
      </c>
      <c r="CA42" s="1036"/>
      <c r="CB42" s="1037">
        <f t="shared" si="445"/>
        <v>0</v>
      </c>
      <c r="CC42" s="1038" t="str">
        <f t="shared" si="446"/>
        <v/>
      </c>
      <c r="CD42" s="1034"/>
      <c r="CE42" s="1035">
        <f>'ORDER SENT'!CH42</f>
        <v>0</v>
      </c>
      <c r="CF42" s="1035">
        <f t="shared" si="447"/>
        <v>0</v>
      </c>
      <c r="CG42" s="1036"/>
      <c r="CH42" s="1037">
        <f t="shared" si="448"/>
        <v>0</v>
      </c>
      <c r="CI42" s="1038" t="str">
        <f t="shared" si="449"/>
        <v/>
      </c>
      <c r="CJ42" s="1034"/>
      <c r="CK42" s="1035">
        <f>'ORDER SENT'!CN42</f>
        <v>0</v>
      </c>
      <c r="CL42" s="1035">
        <f t="shared" si="450"/>
        <v>0</v>
      </c>
      <c r="CM42" s="1036"/>
      <c r="CN42" s="1037">
        <f t="shared" si="451"/>
        <v>0</v>
      </c>
      <c r="CO42" s="1038" t="str">
        <f t="shared" si="452"/>
        <v/>
      </c>
      <c r="CP42" s="1034"/>
      <c r="CQ42" s="1035">
        <f>'ORDER SENT'!CT42</f>
        <v>0</v>
      </c>
      <c r="CR42" s="1035">
        <f t="shared" si="453"/>
        <v>0</v>
      </c>
      <c r="CS42" s="1036"/>
      <c r="CT42" s="1037">
        <f t="shared" si="454"/>
        <v>0</v>
      </c>
      <c r="CU42" s="1038" t="str">
        <f t="shared" si="455"/>
        <v/>
      </c>
      <c r="CV42" s="1034"/>
      <c r="CW42" s="1035">
        <f>'ORDER SENT'!CZ42</f>
        <v>0</v>
      </c>
      <c r="CX42" s="1035">
        <f t="shared" si="456"/>
        <v>0</v>
      </c>
      <c r="CY42" s="1036"/>
      <c r="CZ42" s="1037">
        <f t="shared" si="457"/>
        <v>0</v>
      </c>
      <c r="DA42" s="1038" t="str">
        <f t="shared" si="458"/>
        <v/>
      </c>
      <c r="DB42" s="1034"/>
      <c r="DC42" s="1035">
        <f>'ORDER SENT'!DF42</f>
        <v>0</v>
      </c>
      <c r="DD42" s="1035">
        <f t="shared" si="459"/>
        <v>0</v>
      </c>
      <c r="DE42" s="1036"/>
      <c r="DF42" s="1037">
        <f t="shared" si="460"/>
        <v>0</v>
      </c>
      <c r="DG42" s="1038" t="str">
        <f t="shared" si="461"/>
        <v/>
      </c>
      <c r="DH42" s="1034"/>
      <c r="DI42" s="1035">
        <f>'ORDER SENT'!DL42</f>
        <v>0</v>
      </c>
      <c r="DJ42" s="1035">
        <f t="shared" si="462"/>
        <v>0</v>
      </c>
      <c r="DK42" s="1036"/>
      <c r="DL42" s="1037">
        <f t="shared" si="463"/>
        <v>0</v>
      </c>
      <c r="DM42" s="1038" t="str">
        <f t="shared" si="464"/>
        <v/>
      </c>
      <c r="DN42" s="1034"/>
      <c r="DO42" s="1035">
        <f>'ORDER SENT'!DR42</f>
        <v>0</v>
      </c>
      <c r="DP42" s="1035">
        <f t="shared" si="465"/>
        <v>0</v>
      </c>
      <c r="DQ42" s="1036"/>
      <c r="DR42" s="1037">
        <f t="shared" si="466"/>
        <v>0</v>
      </c>
      <c r="DS42" s="1038" t="str">
        <f t="shared" si="467"/>
        <v/>
      </c>
      <c r="DT42" s="1034"/>
      <c r="DU42" s="1035">
        <f>'ORDER SENT'!DX42</f>
        <v>0</v>
      </c>
      <c r="DV42" s="1035">
        <f t="shared" si="468"/>
        <v>0</v>
      </c>
      <c r="DW42" s="1036"/>
      <c r="DX42" s="1037">
        <f t="shared" si="469"/>
        <v>0</v>
      </c>
      <c r="DY42" s="1038" t="str">
        <f t="shared" si="470"/>
        <v/>
      </c>
      <c r="DZ42" s="1034"/>
      <c r="EA42" s="1035">
        <f>'ORDER SENT'!ED42</f>
        <v>0</v>
      </c>
      <c r="EB42" s="1035">
        <f t="shared" si="471"/>
        <v>0</v>
      </c>
      <c r="EC42" s="1036"/>
      <c r="ED42" s="1037">
        <f t="shared" si="472"/>
        <v>0</v>
      </c>
      <c r="EE42" s="1038" t="str">
        <f t="shared" si="473"/>
        <v/>
      </c>
      <c r="EF42" s="1034"/>
      <c r="EG42" s="1035">
        <f>'ORDER SENT'!EJ42</f>
        <v>0</v>
      </c>
      <c r="EH42" s="1035">
        <f t="shared" si="474"/>
        <v>0</v>
      </c>
      <c r="EI42" s="1036"/>
      <c r="EJ42" s="1037">
        <f t="shared" si="475"/>
        <v>0</v>
      </c>
      <c r="EK42" s="1038" t="str">
        <f t="shared" si="476"/>
        <v/>
      </c>
      <c r="EL42" s="1034"/>
      <c r="EM42" s="1035">
        <f>'ORDER SENT'!EP42</f>
        <v>0</v>
      </c>
      <c r="EN42" s="1035">
        <f t="shared" si="477"/>
        <v>0</v>
      </c>
      <c r="EO42" s="1036"/>
      <c r="EP42" s="1037">
        <f t="shared" si="478"/>
        <v>0</v>
      </c>
      <c r="EQ42" s="1038" t="str">
        <f t="shared" si="479"/>
        <v/>
      </c>
      <c r="ER42" s="1034"/>
      <c r="ES42" s="1035">
        <f>'ORDER SENT'!EV42</f>
        <v>0</v>
      </c>
      <c r="ET42" s="1035">
        <f t="shared" si="480"/>
        <v>0</v>
      </c>
      <c r="EU42" s="1036"/>
      <c r="EV42" s="1037">
        <f t="shared" si="481"/>
        <v>0</v>
      </c>
      <c r="EW42" s="1038" t="str">
        <f t="shared" si="482"/>
        <v/>
      </c>
      <c r="EX42" s="1034"/>
      <c r="EY42" s="1035">
        <f>'ORDER SENT'!FB42</f>
        <v>0</v>
      </c>
      <c r="EZ42" s="1035">
        <f t="shared" si="483"/>
        <v>0</v>
      </c>
      <c r="FA42" s="1036"/>
      <c r="FB42" s="1037">
        <f t="shared" si="484"/>
        <v>0</v>
      </c>
      <c r="FC42" s="1038" t="str">
        <f t="shared" si="485"/>
        <v/>
      </c>
      <c r="FD42" s="1034"/>
      <c r="FE42" s="1035">
        <f>'ORDER SENT'!FH42</f>
        <v>0</v>
      </c>
      <c r="FF42" s="1035">
        <f t="shared" si="486"/>
        <v>0</v>
      </c>
      <c r="FG42" s="1036"/>
      <c r="FH42" s="1037">
        <f t="shared" si="487"/>
        <v>0</v>
      </c>
      <c r="FI42" s="1038" t="str">
        <f t="shared" si="488"/>
        <v/>
      </c>
      <c r="FJ42" s="1034"/>
      <c r="FK42" s="1035">
        <f>'ORDER SENT'!FN42</f>
        <v>0</v>
      </c>
      <c r="FL42" s="1035">
        <f t="shared" si="489"/>
        <v>0</v>
      </c>
      <c r="FM42" s="1036"/>
      <c r="FN42" s="1037">
        <f t="shared" si="490"/>
        <v>0</v>
      </c>
      <c r="FO42" s="1038" t="str">
        <f t="shared" si="491"/>
        <v/>
      </c>
      <c r="FP42" s="1034"/>
      <c r="FQ42" s="1035">
        <f>'ORDER SENT'!FT42</f>
        <v>0</v>
      </c>
      <c r="FR42" s="1035">
        <f t="shared" si="492"/>
        <v>0</v>
      </c>
      <c r="FS42" s="1036"/>
      <c r="FT42" s="1037">
        <f t="shared" si="493"/>
        <v>0</v>
      </c>
      <c r="FU42" s="1038" t="str">
        <f t="shared" si="494"/>
        <v/>
      </c>
      <c r="FV42" s="1034"/>
      <c r="FW42" s="1035">
        <f>'ORDER SENT'!FZ42</f>
        <v>0</v>
      </c>
      <c r="FX42" s="1035">
        <f t="shared" si="495"/>
        <v>0</v>
      </c>
      <c r="FY42" s="1036"/>
      <c r="FZ42" s="1037">
        <f t="shared" si="496"/>
        <v>0</v>
      </c>
      <c r="GA42" s="1038" t="str">
        <f t="shared" si="497"/>
        <v/>
      </c>
      <c r="GB42" s="1034"/>
      <c r="GC42" s="1035">
        <f>'ORDER SENT'!GF42</f>
        <v>0</v>
      </c>
      <c r="GD42" s="1035">
        <f t="shared" si="498"/>
        <v>0</v>
      </c>
      <c r="GE42" s="1036"/>
      <c r="GF42" s="1037">
        <f t="shared" si="499"/>
        <v>0</v>
      </c>
      <c r="GG42" s="1046" t="str">
        <f t="shared" si="94"/>
        <v/>
      </c>
      <c r="GH42" s="1047">
        <f t="shared" ref="GH42:GL42" si="504">+GB42+FV42+FP42+FJ42+FD42+EX42+ER42+EL42+EF42+DZ42+DT42+DN42+DH42+DB42+CV42+CP42+CJ42+CD42+BX42+BR42+BL42+BF42++AZ42+AT42+AN42+AH42+AB42+V42+P42+J42+D42</f>
        <v>0</v>
      </c>
      <c r="GI42" s="1047">
        <f t="shared" si="504"/>
        <v>0</v>
      </c>
      <c r="GJ42" s="1047">
        <f t="shared" si="504"/>
        <v>0</v>
      </c>
      <c r="GK42" s="1048">
        <f t="shared" si="504"/>
        <v>0</v>
      </c>
      <c r="GL42" s="1045">
        <f t="shared" si="504"/>
        <v>0</v>
      </c>
      <c r="GM42" s="1049">
        <f t="shared" si="501"/>
        <v>0</v>
      </c>
    </row>
    <row r="43" ht="15.75" customHeight="1">
      <c r="B43" s="1062"/>
      <c r="C43" s="1043"/>
      <c r="D43" s="1039"/>
      <c r="E43" s="1035">
        <f>'ORDER SENT'!H43</f>
        <v>0</v>
      </c>
      <c r="F43" s="1035">
        <f t="shared" si="408"/>
        <v>0</v>
      </c>
      <c r="G43" s="1036"/>
      <c r="H43" s="1037">
        <f t="shared" si="409"/>
        <v>0</v>
      </c>
      <c r="I43" s="1038" t="str">
        <f t="shared" si="410"/>
        <v/>
      </c>
      <c r="J43" s="1034"/>
      <c r="K43" s="1035">
        <f>'ORDER SENT'!N43</f>
        <v>0</v>
      </c>
      <c r="L43" s="1035">
        <f t="shared" si="411"/>
        <v>0</v>
      </c>
      <c r="M43" s="1036"/>
      <c r="N43" s="1037">
        <f t="shared" si="412"/>
        <v>0</v>
      </c>
      <c r="O43" s="1038" t="str">
        <f t="shared" si="413"/>
        <v/>
      </c>
      <c r="P43" s="1034"/>
      <c r="Q43" s="1035">
        <f>'ORDER SENT'!T43</f>
        <v>0</v>
      </c>
      <c r="R43" s="1035">
        <f t="shared" si="414"/>
        <v>0</v>
      </c>
      <c r="S43" s="1036"/>
      <c r="T43" s="1037">
        <f t="shared" si="415"/>
        <v>0</v>
      </c>
      <c r="U43" s="1038" t="str">
        <f t="shared" si="416"/>
        <v/>
      </c>
      <c r="V43" s="1034"/>
      <c r="W43" s="1035">
        <f>'ORDER SENT'!Z43</f>
        <v>0</v>
      </c>
      <c r="X43" s="1035">
        <f t="shared" si="417"/>
        <v>0</v>
      </c>
      <c r="Y43" s="1036"/>
      <c r="Z43" s="1037">
        <f t="shared" si="418"/>
        <v>0</v>
      </c>
      <c r="AA43" s="1038" t="str">
        <f t="shared" si="419"/>
        <v/>
      </c>
      <c r="AB43" s="1034"/>
      <c r="AC43" s="1035">
        <f>'ORDER SENT'!AF43</f>
        <v>0</v>
      </c>
      <c r="AD43" s="1035">
        <f t="shared" si="420"/>
        <v>0</v>
      </c>
      <c r="AE43" s="1036"/>
      <c r="AF43" s="1037">
        <f t="shared" si="421"/>
        <v>0</v>
      </c>
      <c r="AG43" s="1038" t="str">
        <f t="shared" si="422"/>
        <v/>
      </c>
      <c r="AH43" s="1034"/>
      <c r="AI43" s="1035">
        <f>'ORDER SENT'!AL43</f>
        <v>0</v>
      </c>
      <c r="AJ43" s="1035">
        <f t="shared" si="423"/>
        <v>0</v>
      </c>
      <c r="AK43" s="1036"/>
      <c r="AL43" s="1037">
        <f t="shared" si="424"/>
        <v>0</v>
      </c>
      <c r="AM43" s="1038" t="str">
        <f t="shared" si="425"/>
        <v/>
      </c>
      <c r="AN43" s="1034"/>
      <c r="AO43" s="1035">
        <f>'ORDER SENT'!AR43</f>
        <v>0</v>
      </c>
      <c r="AP43" s="1035">
        <f t="shared" si="426"/>
        <v>0</v>
      </c>
      <c r="AQ43" s="1036"/>
      <c r="AR43" s="1037">
        <f t="shared" si="427"/>
        <v>0</v>
      </c>
      <c r="AS43" s="1038" t="str">
        <f t="shared" si="428"/>
        <v/>
      </c>
      <c r="AT43" s="1034"/>
      <c r="AU43" s="1035">
        <f>'ORDER SENT'!AX43</f>
        <v>0</v>
      </c>
      <c r="AV43" s="1035">
        <f t="shared" si="429"/>
        <v>0</v>
      </c>
      <c r="AW43" s="1036"/>
      <c r="AX43" s="1037">
        <f t="shared" si="430"/>
        <v>0</v>
      </c>
      <c r="AY43" s="1038" t="str">
        <f t="shared" si="431"/>
        <v/>
      </c>
      <c r="AZ43" s="1034"/>
      <c r="BA43" s="1035">
        <f>'ORDER SENT'!BD43</f>
        <v>0</v>
      </c>
      <c r="BB43" s="1035">
        <f t="shared" si="432"/>
        <v>0</v>
      </c>
      <c r="BC43" s="1036"/>
      <c r="BD43" s="1037">
        <f t="shared" si="433"/>
        <v>0</v>
      </c>
      <c r="BE43" s="1038" t="str">
        <f t="shared" si="434"/>
        <v/>
      </c>
      <c r="BF43" s="1034"/>
      <c r="BG43" s="1035">
        <f>'ORDER SENT'!BJ43</f>
        <v>0</v>
      </c>
      <c r="BH43" s="1035">
        <f t="shared" si="435"/>
        <v>0</v>
      </c>
      <c r="BI43" s="1036"/>
      <c r="BJ43" s="1037">
        <f t="shared" si="436"/>
        <v>0</v>
      </c>
      <c r="BK43" s="1038" t="str">
        <f t="shared" si="437"/>
        <v/>
      </c>
      <c r="BL43" s="1034"/>
      <c r="BM43" s="1035">
        <f>'ORDER SENT'!BP43</f>
        <v>0</v>
      </c>
      <c r="BN43" s="1035">
        <f t="shared" si="438"/>
        <v>0</v>
      </c>
      <c r="BO43" s="1036"/>
      <c r="BP43" s="1037">
        <f t="shared" si="439"/>
        <v>0</v>
      </c>
      <c r="BQ43" s="1038" t="str">
        <f t="shared" si="440"/>
        <v/>
      </c>
      <c r="BR43" s="1034"/>
      <c r="BS43" s="1035">
        <f>'ORDER SENT'!BV43</f>
        <v>0</v>
      </c>
      <c r="BT43" s="1035">
        <f t="shared" si="441"/>
        <v>0</v>
      </c>
      <c r="BU43" s="1036"/>
      <c r="BV43" s="1037">
        <f t="shared" si="442"/>
        <v>0</v>
      </c>
      <c r="BW43" s="1038" t="str">
        <f t="shared" si="443"/>
        <v/>
      </c>
      <c r="BX43" s="1034"/>
      <c r="BY43" s="1035">
        <f>'ORDER SENT'!CB43</f>
        <v>0</v>
      </c>
      <c r="BZ43" s="1035">
        <f t="shared" si="444"/>
        <v>0</v>
      </c>
      <c r="CA43" s="1036"/>
      <c r="CB43" s="1037">
        <f t="shared" si="445"/>
        <v>0</v>
      </c>
      <c r="CC43" s="1038" t="str">
        <f t="shared" si="446"/>
        <v/>
      </c>
      <c r="CD43" s="1034"/>
      <c r="CE43" s="1035">
        <f>'ORDER SENT'!CH43</f>
        <v>0</v>
      </c>
      <c r="CF43" s="1035">
        <f t="shared" si="447"/>
        <v>0</v>
      </c>
      <c r="CG43" s="1036"/>
      <c r="CH43" s="1037">
        <f t="shared" si="448"/>
        <v>0</v>
      </c>
      <c r="CI43" s="1038" t="str">
        <f t="shared" si="449"/>
        <v/>
      </c>
      <c r="CJ43" s="1034"/>
      <c r="CK43" s="1035">
        <f>'ORDER SENT'!CN43</f>
        <v>0</v>
      </c>
      <c r="CL43" s="1035">
        <f t="shared" si="450"/>
        <v>0</v>
      </c>
      <c r="CM43" s="1036"/>
      <c r="CN43" s="1037">
        <f t="shared" si="451"/>
        <v>0</v>
      </c>
      <c r="CO43" s="1038" t="str">
        <f t="shared" si="452"/>
        <v/>
      </c>
      <c r="CP43" s="1034"/>
      <c r="CQ43" s="1035">
        <f>'ORDER SENT'!CT43</f>
        <v>0</v>
      </c>
      <c r="CR43" s="1035">
        <f t="shared" si="453"/>
        <v>0</v>
      </c>
      <c r="CS43" s="1036"/>
      <c r="CT43" s="1037">
        <f t="shared" si="454"/>
        <v>0</v>
      </c>
      <c r="CU43" s="1038" t="str">
        <f t="shared" si="455"/>
        <v/>
      </c>
      <c r="CV43" s="1034"/>
      <c r="CW43" s="1035">
        <f>'ORDER SENT'!CZ43</f>
        <v>0</v>
      </c>
      <c r="CX43" s="1035">
        <f t="shared" si="456"/>
        <v>0</v>
      </c>
      <c r="CY43" s="1036"/>
      <c r="CZ43" s="1037">
        <f t="shared" si="457"/>
        <v>0</v>
      </c>
      <c r="DA43" s="1038" t="str">
        <f t="shared" si="458"/>
        <v/>
      </c>
      <c r="DB43" s="1034"/>
      <c r="DC43" s="1035">
        <f>'ORDER SENT'!DF43</f>
        <v>0</v>
      </c>
      <c r="DD43" s="1035">
        <f t="shared" si="459"/>
        <v>0</v>
      </c>
      <c r="DE43" s="1036"/>
      <c r="DF43" s="1037">
        <f t="shared" si="460"/>
        <v>0</v>
      </c>
      <c r="DG43" s="1038" t="str">
        <f t="shared" si="461"/>
        <v/>
      </c>
      <c r="DH43" s="1034"/>
      <c r="DI43" s="1035">
        <f>'ORDER SENT'!DL43</f>
        <v>0</v>
      </c>
      <c r="DJ43" s="1035">
        <f t="shared" si="462"/>
        <v>0</v>
      </c>
      <c r="DK43" s="1036"/>
      <c r="DL43" s="1037">
        <f t="shared" si="463"/>
        <v>0</v>
      </c>
      <c r="DM43" s="1038" t="str">
        <f t="shared" si="464"/>
        <v/>
      </c>
      <c r="DN43" s="1034"/>
      <c r="DO43" s="1035">
        <f>'ORDER SENT'!DR43</f>
        <v>0</v>
      </c>
      <c r="DP43" s="1035">
        <f t="shared" si="465"/>
        <v>0</v>
      </c>
      <c r="DQ43" s="1036"/>
      <c r="DR43" s="1037">
        <f t="shared" si="466"/>
        <v>0</v>
      </c>
      <c r="DS43" s="1038" t="str">
        <f t="shared" si="467"/>
        <v/>
      </c>
      <c r="DT43" s="1034"/>
      <c r="DU43" s="1035">
        <f>'ORDER SENT'!DX43</f>
        <v>0</v>
      </c>
      <c r="DV43" s="1035">
        <f t="shared" si="468"/>
        <v>0</v>
      </c>
      <c r="DW43" s="1036"/>
      <c r="DX43" s="1037">
        <f t="shared" si="469"/>
        <v>0</v>
      </c>
      <c r="DY43" s="1038" t="str">
        <f t="shared" si="470"/>
        <v/>
      </c>
      <c r="DZ43" s="1034"/>
      <c r="EA43" s="1035">
        <f>'ORDER SENT'!ED43</f>
        <v>0</v>
      </c>
      <c r="EB43" s="1035">
        <f t="shared" si="471"/>
        <v>0</v>
      </c>
      <c r="EC43" s="1036"/>
      <c r="ED43" s="1037">
        <f t="shared" si="472"/>
        <v>0</v>
      </c>
      <c r="EE43" s="1038" t="str">
        <f t="shared" si="473"/>
        <v/>
      </c>
      <c r="EF43" s="1034"/>
      <c r="EG43" s="1035">
        <f>'ORDER SENT'!EJ43</f>
        <v>0</v>
      </c>
      <c r="EH43" s="1035">
        <f t="shared" si="474"/>
        <v>0</v>
      </c>
      <c r="EI43" s="1036"/>
      <c r="EJ43" s="1037">
        <f t="shared" si="475"/>
        <v>0</v>
      </c>
      <c r="EK43" s="1038" t="str">
        <f t="shared" si="476"/>
        <v/>
      </c>
      <c r="EL43" s="1034"/>
      <c r="EM43" s="1035">
        <f>'ORDER SENT'!EP43</f>
        <v>0</v>
      </c>
      <c r="EN43" s="1035">
        <f t="shared" si="477"/>
        <v>0</v>
      </c>
      <c r="EO43" s="1036"/>
      <c r="EP43" s="1037">
        <f t="shared" si="478"/>
        <v>0</v>
      </c>
      <c r="EQ43" s="1038" t="str">
        <f t="shared" si="479"/>
        <v/>
      </c>
      <c r="ER43" s="1034"/>
      <c r="ES43" s="1035">
        <f>'ORDER SENT'!EV43</f>
        <v>0</v>
      </c>
      <c r="ET43" s="1035">
        <f t="shared" si="480"/>
        <v>0</v>
      </c>
      <c r="EU43" s="1036"/>
      <c r="EV43" s="1037">
        <f t="shared" si="481"/>
        <v>0</v>
      </c>
      <c r="EW43" s="1038" t="str">
        <f t="shared" si="482"/>
        <v/>
      </c>
      <c r="EX43" s="1034"/>
      <c r="EY43" s="1035">
        <f>'ORDER SENT'!FB43</f>
        <v>0</v>
      </c>
      <c r="EZ43" s="1035">
        <f t="shared" si="483"/>
        <v>0</v>
      </c>
      <c r="FA43" s="1036"/>
      <c r="FB43" s="1037">
        <f t="shared" si="484"/>
        <v>0</v>
      </c>
      <c r="FC43" s="1038" t="str">
        <f t="shared" si="485"/>
        <v/>
      </c>
      <c r="FD43" s="1034"/>
      <c r="FE43" s="1035">
        <f>'ORDER SENT'!FH43</f>
        <v>0</v>
      </c>
      <c r="FF43" s="1035">
        <f t="shared" si="486"/>
        <v>0</v>
      </c>
      <c r="FG43" s="1036"/>
      <c r="FH43" s="1037">
        <f t="shared" si="487"/>
        <v>0</v>
      </c>
      <c r="FI43" s="1038" t="str">
        <f t="shared" si="488"/>
        <v/>
      </c>
      <c r="FJ43" s="1034"/>
      <c r="FK43" s="1035">
        <f>'ORDER SENT'!FN43</f>
        <v>0</v>
      </c>
      <c r="FL43" s="1035">
        <f t="shared" si="489"/>
        <v>0</v>
      </c>
      <c r="FM43" s="1036"/>
      <c r="FN43" s="1037">
        <f t="shared" si="490"/>
        <v>0</v>
      </c>
      <c r="FO43" s="1038" t="str">
        <f t="shared" si="491"/>
        <v/>
      </c>
      <c r="FP43" s="1034"/>
      <c r="FQ43" s="1035">
        <f>'ORDER SENT'!FT43</f>
        <v>0</v>
      </c>
      <c r="FR43" s="1035">
        <f t="shared" si="492"/>
        <v>0</v>
      </c>
      <c r="FS43" s="1036"/>
      <c r="FT43" s="1037">
        <f t="shared" si="493"/>
        <v>0</v>
      </c>
      <c r="FU43" s="1038" t="str">
        <f t="shared" si="494"/>
        <v/>
      </c>
      <c r="FV43" s="1034"/>
      <c r="FW43" s="1035">
        <f>'ORDER SENT'!FZ43</f>
        <v>0</v>
      </c>
      <c r="FX43" s="1035">
        <f t="shared" si="495"/>
        <v>0</v>
      </c>
      <c r="FY43" s="1036"/>
      <c r="FZ43" s="1037">
        <f t="shared" si="496"/>
        <v>0</v>
      </c>
      <c r="GA43" s="1038" t="str">
        <f t="shared" si="497"/>
        <v/>
      </c>
      <c r="GB43" s="1034"/>
      <c r="GC43" s="1035">
        <f>'ORDER SENT'!GF43</f>
        <v>0</v>
      </c>
      <c r="GD43" s="1035">
        <f t="shared" si="498"/>
        <v>0</v>
      </c>
      <c r="GE43" s="1036"/>
      <c r="GF43" s="1037">
        <f t="shared" si="499"/>
        <v>0</v>
      </c>
      <c r="GG43" s="1046" t="str">
        <f t="shared" si="94"/>
        <v/>
      </c>
      <c r="GH43" s="1047">
        <f t="shared" ref="GH43:GL43" si="505">+GB43+FV43+FP43+FJ43+FD43+EX43+ER43+EL43+EF43+DZ43+DT43+DN43+DH43+DB43+CV43+CP43+CJ43+CD43+BX43+BR43+BL43+BF43++AZ43+AT43+AN43+AH43+AB43+V43+P43+J43+D43</f>
        <v>0</v>
      </c>
      <c r="GI43" s="1047">
        <f t="shared" si="505"/>
        <v>0</v>
      </c>
      <c r="GJ43" s="1047">
        <f t="shared" si="505"/>
        <v>0</v>
      </c>
      <c r="GK43" s="1048">
        <f t="shared" si="505"/>
        <v>0</v>
      </c>
      <c r="GL43" s="1045">
        <f t="shared" si="505"/>
        <v>0</v>
      </c>
      <c r="GM43" s="1049">
        <f t="shared" si="501"/>
        <v>0</v>
      </c>
    </row>
    <row r="44" ht="15.75" customHeight="1">
      <c r="B44" s="1062"/>
      <c r="C44" s="1043"/>
      <c r="D44" s="1039"/>
      <c r="E44" s="1035">
        <f>'ORDER SENT'!H44</f>
        <v>0</v>
      </c>
      <c r="F44" s="1035">
        <f t="shared" si="408"/>
        <v>0</v>
      </c>
      <c r="G44" s="1036"/>
      <c r="H44" s="1037">
        <f t="shared" si="409"/>
        <v>0</v>
      </c>
      <c r="I44" s="1038" t="str">
        <f t="shared" si="410"/>
        <v/>
      </c>
      <c r="J44" s="1034"/>
      <c r="K44" s="1035">
        <f>'ORDER SENT'!N44</f>
        <v>0</v>
      </c>
      <c r="L44" s="1035">
        <f t="shared" si="411"/>
        <v>0</v>
      </c>
      <c r="M44" s="1036"/>
      <c r="N44" s="1037">
        <f t="shared" si="412"/>
        <v>0</v>
      </c>
      <c r="O44" s="1038" t="str">
        <f t="shared" si="413"/>
        <v/>
      </c>
      <c r="P44" s="1034"/>
      <c r="Q44" s="1035">
        <f>'ORDER SENT'!T44</f>
        <v>0</v>
      </c>
      <c r="R44" s="1035">
        <f t="shared" si="414"/>
        <v>0</v>
      </c>
      <c r="S44" s="1036"/>
      <c r="T44" s="1037">
        <f t="shared" si="415"/>
        <v>0</v>
      </c>
      <c r="U44" s="1038" t="str">
        <f t="shared" si="416"/>
        <v/>
      </c>
      <c r="V44" s="1034"/>
      <c r="W44" s="1035">
        <f>'ORDER SENT'!Z44</f>
        <v>0</v>
      </c>
      <c r="X44" s="1035">
        <f t="shared" si="417"/>
        <v>0</v>
      </c>
      <c r="Y44" s="1036"/>
      <c r="Z44" s="1037">
        <f t="shared" si="418"/>
        <v>0</v>
      </c>
      <c r="AA44" s="1038" t="str">
        <f t="shared" si="419"/>
        <v/>
      </c>
      <c r="AB44" s="1034"/>
      <c r="AC44" s="1035">
        <f>'ORDER SENT'!AF44</f>
        <v>0</v>
      </c>
      <c r="AD44" s="1035">
        <f t="shared" si="420"/>
        <v>0</v>
      </c>
      <c r="AE44" s="1036"/>
      <c r="AF44" s="1037">
        <f t="shared" si="421"/>
        <v>0</v>
      </c>
      <c r="AG44" s="1038" t="str">
        <f t="shared" si="422"/>
        <v/>
      </c>
      <c r="AH44" s="1034"/>
      <c r="AI44" s="1035">
        <f>'ORDER SENT'!AL44</f>
        <v>0</v>
      </c>
      <c r="AJ44" s="1035">
        <f t="shared" si="423"/>
        <v>0</v>
      </c>
      <c r="AK44" s="1036"/>
      <c r="AL44" s="1037">
        <f t="shared" si="424"/>
        <v>0</v>
      </c>
      <c r="AM44" s="1038" t="str">
        <f t="shared" si="425"/>
        <v/>
      </c>
      <c r="AN44" s="1034"/>
      <c r="AO44" s="1035">
        <f>'ORDER SENT'!AR44</f>
        <v>0</v>
      </c>
      <c r="AP44" s="1035">
        <f t="shared" si="426"/>
        <v>0</v>
      </c>
      <c r="AQ44" s="1036"/>
      <c r="AR44" s="1037">
        <f t="shared" si="427"/>
        <v>0</v>
      </c>
      <c r="AS44" s="1038" t="str">
        <f t="shared" si="428"/>
        <v/>
      </c>
      <c r="AT44" s="1034"/>
      <c r="AU44" s="1035">
        <f>'ORDER SENT'!AX44</f>
        <v>0</v>
      </c>
      <c r="AV44" s="1035">
        <f t="shared" si="429"/>
        <v>0</v>
      </c>
      <c r="AW44" s="1036"/>
      <c r="AX44" s="1037">
        <f t="shared" si="430"/>
        <v>0</v>
      </c>
      <c r="AY44" s="1038" t="str">
        <f t="shared" si="431"/>
        <v/>
      </c>
      <c r="AZ44" s="1034"/>
      <c r="BA44" s="1035">
        <f>'ORDER SENT'!BD44</f>
        <v>0</v>
      </c>
      <c r="BB44" s="1035">
        <f t="shared" si="432"/>
        <v>0</v>
      </c>
      <c r="BC44" s="1036"/>
      <c r="BD44" s="1037">
        <f t="shared" si="433"/>
        <v>0</v>
      </c>
      <c r="BE44" s="1038" t="str">
        <f t="shared" si="434"/>
        <v/>
      </c>
      <c r="BF44" s="1034"/>
      <c r="BG44" s="1035">
        <f>'ORDER SENT'!BJ44</f>
        <v>0</v>
      </c>
      <c r="BH44" s="1035">
        <f t="shared" si="435"/>
        <v>0</v>
      </c>
      <c r="BI44" s="1036"/>
      <c r="BJ44" s="1037">
        <f t="shared" si="436"/>
        <v>0</v>
      </c>
      <c r="BK44" s="1038" t="str">
        <f t="shared" si="437"/>
        <v/>
      </c>
      <c r="BL44" s="1034"/>
      <c r="BM44" s="1035">
        <f>'ORDER SENT'!BP44</f>
        <v>0</v>
      </c>
      <c r="BN44" s="1035">
        <f t="shared" si="438"/>
        <v>0</v>
      </c>
      <c r="BO44" s="1036"/>
      <c r="BP44" s="1037">
        <f t="shared" si="439"/>
        <v>0</v>
      </c>
      <c r="BQ44" s="1038" t="str">
        <f t="shared" si="440"/>
        <v/>
      </c>
      <c r="BR44" s="1034"/>
      <c r="BS44" s="1035">
        <f>'ORDER SENT'!BV44</f>
        <v>0</v>
      </c>
      <c r="BT44" s="1035">
        <f t="shared" si="441"/>
        <v>0</v>
      </c>
      <c r="BU44" s="1036"/>
      <c r="BV44" s="1037">
        <f t="shared" si="442"/>
        <v>0</v>
      </c>
      <c r="BW44" s="1038" t="str">
        <f t="shared" si="443"/>
        <v/>
      </c>
      <c r="BX44" s="1034"/>
      <c r="BY44" s="1035">
        <f>'ORDER SENT'!CB44</f>
        <v>0</v>
      </c>
      <c r="BZ44" s="1035">
        <f t="shared" si="444"/>
        <v>0</v>
      </c>
      <c r="CA44" s="1036"/>
      <c r="CB44" s="1037">
        <f t="shared" si="445"/>
        <v>0</v>
      </c>
      <c r="CC44" s="1038" t="str">
        <f t="shared" si="446"/>
        <v/>
      </c>
      <c r="CD44" s="1034"/>
      <c r="CE44" s="1035">
        <f>'ORDER SENT'!CH44</f>
        <v>0</v>
      </c>
      <c r="CF44" s="1035">
        <f t="shared" si="447"/>
        <v>0</v>
      </c>
      <c r="CG44" s="1036"/>
      <c r="CH44" s="1037">
        <f t="shared" si="448"/>
        <v>0</v>
      </c>
      <c r="CI44" s="1038" t="str">
        <f t="shared" si="449"/>
        <v/>
      </c>
      <c r="CJ44" s="1034"/>
      <c r="CK44" s="1035">
        <f>'ORDER SENT'!CN44</f>
        <v>0</v>
      </c>
      <c r="CL44" s="1035">
        <f t="shared" si="450"/>
        <v>0</v>
      </c>
      <c r="CM44" s="1036"/>
      <c r="CN44" s="1037">
        <f t="shared" si="451"/>
        <v>0</v>
      </c>
      <c r="CO44" s="1038" t="str">
        <f t="shared" si="452"/>
        <v/>
      </c>
      <c r="CP44" s="1034"/>
      <c r="CQ44" s="1035">
        <f>'ORDER SENT'!CT44</f>
        <v>0</v>
      </c>
      <c r="CR44" s="1035">
        <f t="shared" si="453"/>
        <v>0</v>
      </c>
      <c r="CS44" s="1036"/>
      <c r="CT44" s="1037">
        <f t="shared" si="454"/>
        <v>0</v>
      </c>
      <c r="CU44" s="1038" t="str">
        <f t="shared" si="455"/>
        <v/>
      </c>
      <c r="CV44" s="1034"/>
      <c r="CW44" s="1035">
        <f>'ORDER SENT'!CZ44</f>
        <v>0</v>
      </c>
      <c r="CX44" s="1035">
        <f t="shared" si="456"/>
        <v>0</v>
      </c>
      <c r="CY44" s="1036"/>
      <c r="CZ44" s="1037">
        <f t="shared" si="457"/>
        <v>0</v>
      </c>
      <c r="DA44" s="1038" t="str">
        <f t="shared" si="458"/>
        <v/>
      </c>
      <c r="DB44" s="1034"/>
      <c r="DC44" s="1035">
        <f>'ORDER SENT'!DF44</f>
        <v>0</v>
      </c>
      <c r="DD44" s="1035">
        <f t="shared" si="459"/>
        <v>0</v>
      </c>
      <c r="DE44" s="1036"/>
      <c r="DF44" s="1037">
        <f t="shared" si="460"/>
        <v>0</v>
      </c>
      <c r="DG44" s="1038" t="str">
        <f t="shared" si="461"/>
        <v/>
      </c>
      <c r="DH44" s="1034"/>
      <c r="DI44" s="1035">
        <f>'ORDER SENT'!DL44</f>
        <v>0</v>
      </c>
      <c r="DJ44" s="1035">
        <f t="shared" si="462"/>
        <v>0</v>
      </c>
      <c r="DK44" s="1036"/>
      <c r="DL44" s="1037">
        <f t="shared" si="463"/>
        <v>0</v>
      </c>
      <c r="DM44" s="1038" t="str">
        <f t="shared" si="464"/>
        <v/>
      </c>
      <c r="DN44" s="1034"/>
      <c r="DO44" s="1035">
        <f>'ORDER SENT'!DR44</f>
        <v>0</v>
      </c>
      <c r="DP44" s="1035">
        <f t="shared" si="465"/>
        <v>0</v>
      </c>
      <c r="DQ44" s="1036"/>
      <c r="DR44" s="1037">
        <f t="shared" si="466"/>
        <v>0</v>
      </c>
      <c r="DS44" s="1038" t="str">
        <f t="shared" si="467"/>
        <v/>
      </c>
      <c r="DT44" s="1034"/>
      <c r="DU44" s="1035">
        <f>'ORDER SENT'!DX44</f>
        <v>0</v>
      </c>
      <c r="DV44" s="1035">
        <f t="shared" si="468"/>
        <v>0</v>
      </c>
      <c r="DW44" s="1036"/>
      <c r="DX44" s="1037">
        <f t="shared" si="469"/>
        <v>0</v>
      </c>
      <c r="DY44" s="1038" t="str">
        <f t="shared" si="470"/>
        <v/>
      </c>
      <c r="DZ44" s="1034"/>
      <c r="EA44" s="1035">
        <f>'ORDER SENT'!ED44</f>
        <v>0</v>
      </c>
      <c r="EB44" s="1035">
        <f t="shared" si="471"/>
        <v>0</v>
      </c>
      <c r="EC44" s="1036"/>
      <c r="ED44" s="1037">
        <f t="shared" si="472"/>
        <v>0</v>
      </c>
      <c r="EE44" s="1038" t="str">
        <f t="shared" si="473"/>
        <v/>
      </c>
      <c r="EF44" s="1034"/>
      <c r="EG44" s="1035">
        <f>'ORDER SENT'!EJ44</f>
        <v>0</v>
      </c>
      <c r="EH44" s="1035">
        <f t="shared" si="474"/>
        <v>0</v>
      </c>
      <c r="EI44" s="1036"/>
      <c r="EJ44" s="1037">
        <f t="shared" si="475"/>
        <v>0</v>
      </c>
      <c r="EK44" s="1038" t="str">
        <f t="shared" si="476"/>
        <v/>
      </c>
      <c r="EL44" s="1034"/>
      <c r="EM44" s="1035">
        <f>'ORDER SENT'!EP44</f>
        <v>0</v>
      </c>
      <c r="EN44" s="1035">
        <f t="shared" si="477"/>
        <v>0</v>
      </c>
      <c r="EO44" s="1036"/>
      <c r="EP44" s="1037">
        <f t="shared" si="478"/>
        <v>0</v>
      </c>
      <c r="EQ44" s="1038" t="str">
        <f t="shared" si="479"/>
        <v/>
      </c>
      <c r="ER44" s="1034"/>
      <c r="ES44" s="1035">
        <f>'ORDER SENT'!EV44</f>
        <v>0</v>
      </c>
      <c r="ET44" s="1035">
        <f t="shared" si="480"/>
        <v>0</v>
      </c>
      <c r="EU44" s="1036"/>
      <c r="EV44" s="1037">
        <f t="shared" si="481"/>
        <v>0</v>
      </c>
      <c r="EW44" s="1038" t="str">
        <f t="shared" si="482"/>
        <v/>
      </c>
      <c r="EX44" s="1034"/>
      <c r="EY44" s="1035">
        <f>'ORDER SENT'!FB44</f>
        <v>0</v>
      </c>
      <c r="EZ44" s="1035">
        <f t="shared" si="483"/>
        <v>0</v>
      </c>
      <c r="FA44" s="1036"/>
      <c r="FB44" s="1037">
        <f t="shared" si="484"/>
        <v>0</v>
      </c>
      <c r="FC44" s="1038" t="str">
        <f t="shared" si="485"/>
        <v/>
      </c>
      <c r="FD44" s="1034"/>
      <c r="FE44" s="1035">
        <f>'ORDER SENT'!FH44</f>
        <v>0</v>
      </c>
      <c r="FF44" s="1035">
        <f t="shared" si="486"/>
        <v>0</v>
      </c>
      <c r="FG44" s="1036"/>
      <c r="FH44" s="1037">
        <f t="shared" si="487"/>
        <v>0</v>
      </c>
      <c r="FI44" s="1038" t="str">
        <f t="shared" si="488"/>
        <v/>
      </c>
      <c r="FJ44" s="1034"/>
      <c r="FK44" s="1035">
        <f>'ORDER SENT'!FN44</f>
        <v>0</v>
      </c>
      <c r="FL44" s="1035">
        <f t="shared" si="489"/>
        <v>0</v>
      </c>
      <c r="FM44" s="1036"/>
      <c r="FN44" s="1037">
        <f t="shared" si="490"/>
        <v>0</v>
      </c>
      <c r="FO44" s="1038" t="str">
        <f t="shared" si="491"/>
        <v/>
      </c>
      <c r="FP44" s="1034"/>
      <c r="FQ44" s="1035">
        <f>'ORDER SENT'!FT44</f>
        <v>0</v>
      </c>
      <c r="FR44" s="1035">
        <f t="shared" si="492"/>
        <v>0</v>
      </c>
      <c r="FS44" s="1036"/>
      <c r="FT44" s="1037">
        <f t="shared" si="493"/>
        <v>0</v>
      </c>
      <c r="FU44" s="1038" t="str">
        <f t="shared" si="494"/>
        <v/>
      </c>
      <c r="FV44" s="1034"/>
      <c r="FW44" s="1035">
        <f>'ORDER SENT'!FZ44</f>
        <v>0</v>
      </c>
      <c r="FX44" s="1035">
        <f t="shared" si="495"/>
        <v>0</v>
      </c>
      <c r="FY44" s="1036"/>
      <c r="FZ44" s="1037">
        <f t="shared" si="496"/>
        <v>0</v>
      </c>
      <c r="GA44" s="1038" t="str">
        <f t="shared" si="497"/>
        <v/>
      </c>
      <c r="GB44" s="1034"/>
      <c r="GC44" s="1035">
        <f>'ORDER SENT'!GF44</f>
        <v>0</v>
      </c>
      <c r="GD44" s="1035">
        <f t="shared" si="498"/>
        <v>0</v>
      </c>
      <c r="GE44" s="1036"/>
      <c r="GF44" s="1037">
        <f t="shared" si="499"/>
        <v>0</v>
      </c>
      <c r="GG44" s="1046" t="str">
        <f t="shared" si="94"/>
        <v/>
      </c>
      <c r="GH44" s="1047">
        <f t="shared" ref="GH44:GL44" si="506">+GB44+FV44+FP44+FJ44+FD44+EX44+ER44+EL44+EF44+DZ44+DT44+DN44+DH44+DB44+CV44+CP44+CJ44+CD44+BX44+BR44+BL44+BF44++AZ44+AT44+AN44+AH44+AB44+V44+P44+J44+D44</f>
        <v>0</v>
      </c>
      <c r="GI44" s="1047">
        <f t="shared" si="506"/>
        <v>0</v>
      </c>
      <c r="GJ44" s="1047">
        <f t="shared" si="506"/>
        <v>0</v>
      </c>
      <c r="GK44" s="1048">
        <f t="shared" si="506"/>
        <v>0</v>
      </c>
      <c r="GL44" s="1045">
        <f t="shared" si="506"/>
        <v>0</v>
      </c>
      <c r="GM44" s="1049">
        <f t="shared" si="501"/>
        <v>0</v>
      </c>
    </row>
    <row r="45" ht="15.75" customHeight="1">
      <c r="B45" s="1062"/>
      <c r="C45" s="1043"/>
      <c r="D45" s="1039"/>
      <c r="E45" s="1035">
        <f>'ORDER SENT'!H45</f>
        <v>0</v>
      </c>
      <c r="F45" s="1035">
        <f t="shared" si="408"/>
        <v>0</v>
      </c>
      <c r="G45" s="1036"/>
      <c r="H45" s="1037">
        <f t="shared" si="409"/>
        <v>0</v>
      </c>
      <c r="I45" s="1038" t="str">
        <f t="shared" si="410"/>
        <v/>
      </c>
      <c r="J45" s="1034"/>
      <c r="K45" s="1035">
        <f>'ORDER SENT'!N45</f>
        <v>0</v>
      </c>
      <c r="L45" s="1035">
        <f t="shared" si="411"/>
        <v>0</v>
      </c>
      <c r="M45" s="1036"/>
      <c r="N45" s="1037">
        <f t="shared" si="412"/>
        <v>0</v>
      </c>
      <c r="O45" s="1038" t="str">
        <f t="shared" si="413"/>
        <v/>
      </c>
      <c r="P45" s="1034"/>
      <c r="Q45" s="1035">
        <f>'ORDER SENT'!T45</f>
        <v>0</v>
      </c>
      <c r="R45" s="1035">
        <f t="shared" si="414"/>
        <v>0</v>
      </c>
      <c r="S45" s="1036"/>
      <c r="T45" s="1037">
        <f t="shared" si="415"/>
        <v>0</v>
      </c>
      <c r="U45" s="1038" t="str">
        <f t="shared" si="416"/>
        <v/>
      </c>
      <c r="V45" s="1034"/>
      <c r="W45" s="1035">
        <f>'ORDER SENT'!Z45</f>
        <v>0</v>
      </c>
      <c r="X45" s="1035">
        <f t="shared" si="417"/>
        <v>0</v>
      </c>
      <c r="Y45" s="1036"/>
      <c r="Z45" s="1037">
        <f t="shared" si="418"/>
        <v>0</v>
      </c>
      <c r="AA45" s="1038" t="str">
        <f t="shared" si="419"/>
        <v/>
      </c>
      <c r="AB45" s="1034"/>
      <c r="AC45" s="1035">
        <f>'ORDER SENT'!AF45</f>
        <v>0</v>
      </c>
      <c r="AD45" s="1035">
        <f t="shared" si="420"/>
        <v>0</v>
      </c>
      <c r="AE45" s="1036"/>
      <c r="AF45" s="1037">
        <f t="shared" si="421"/>
        <v>0</v>
      </c>
      <c r="AG45" s="1038" t="str">
        <f t="shared" si="422"/>
        <v/>
      </c>
      <c r="AH45" s="1034"/>
      <c r="AI45" s="1035">
        <f>'ORDER SENT'!AL45</f>
        <v>0</v>
      </c>
      <c r="AJ45" s="1035">
        <f t="shared" si="423"/>
        <v>0</v>
      </c>
      <c r="AK45" s="1036"/>
      <c r="AL45" s="1037">
        <f t="shared" si="424"/>
        <v>0</v>
      </c>
      <c r="AM45" s="1038" t="str">
        <f t="shared" si="425"/>
        <v/>
      </c>
      <c r="AN45" s="1034"/>
      <c r="AO45" s="1035">
        <f>'ORDER SENT'!AR45</f>
        <v>0</v>
      </c>
      <c r="AP45" s="1035">
        <f t="shared" si="426"/>
        <v>0</v>
      </c>
      <c r="AQ45" s="1036"/>
      <c r="AR45" s="1037">
        <f t="shared" si="427"/>
        <v>0</v>
      </c>
      <c r="AS45" s="1038" t="str">
        <f t="shared" si="428"/>
        <v/>
      </c>
      <c r="AT45" s="1034"/>
      <c r="AU45" s="1035">
        <f>'ORDER SENT'!AX45</f>
        <v>0</v>
      </c>
      <c r="AV45" s="1035">
        <f t="shared" si="429"/>
        <v>0</v>
      </c>
      <c r="AW45" s="1036"/>
      <c r="AX45" s="1037">
        <f t="shared" si="430"/>
        <v>0</v>
      </c>
      <c r="AY45" s="1038" t="str">
        <f t="shared" si="431"/>
        <v/>
      </c>
      <c r="AZ45" s="1034"/>
      <c r="BA45" s="1035">
        <f>'ORDER SENT'!BD45</f>
        <v>0</v>
      </c>
      <c r="BB45" s="1035">
        <f t="shared" si="432"/>
        <v>0</v>
      </c>
      <c r="BC45" s="1036"/>
      <c r="BD45" s="1037">
        <f t="shared" si="433"/>
        <v>0</v>
      </c>
      <c r="BE45" s="1038" t="str">
        <f t="shared" si="434"/>
        <v/>
      </c>
      <c r="BF45" s="1034"/>
      <c r="BG45" s="1035">
        <f>'ORDER SENT'!BJ45</f>
        <v>0</v>
      </c>
      <c r="BH45" s="1035">
        <f t="shared" si="435"/>
        <v>0</v>
      </c>
      <c r="BI45" s="1036"/>
      <c r="BJ45" s="1037">
        <f t="shared" si="436"/>
        <v>0</v>
      </c>
      <c r="BK45" s="1038" t="str">
        <f t="shared" si="437"/>
        <v/>
      </c>
      <c r="BL45" s="1034"/>
      <c r="BM45" s="1035">
        <f>'ORDER SENT'!BP45</f>
        <v>0</v>
      </c>
      <c r="BN45" s="1035">
        <f t="shared" si="438"/>
        <v>0</v>
      </c>
      <c r="BO45" s="1036"/>
      <c r="BP45" s="1037">
        <f t="shared" si="439"/>
        <v>0</v>
      </c>
      <c r="BQ45" s="1038" t="str">
        <f t="shared" si="440"/>
        <v/>
      </c>
      <c r="BR45" s="1034"/>
      <c r="BS45" s="1035">
        <f>'ORDER SENT'!BV45</f>
        <v>0</v>
      </c>
      <c r="BT45" s="1035">
        <f t="shared" si="441"/>
        <v>0</v>
      </c>
      <c r="BU45" s="1036"/>
      <c r="BV45" s="1037">
        <f t="shared" si="442"/>
        <v>0</v>
      </c>
      <c r="BW45" s="1038" t="str">
        <f t="shared" si="443"/>
        <v/>
      </c>
      <c r="BX45" s="1034"/>
      <c r="BY45" s="1035">
        <f>'ORDER SENT'!CB45</f>
        <v>0</v>
      </c>
      <c r="BZ45" s="1035">
        <f t="shared" si="444"/>
        <v>0</v>
      </c>
      <c r="CA45" s="1036"/>
      <c r="CB45" s="1037">
        <f t="shared" si="445"/>
        <v>0</v>
      </c>
      <c r="CC45" s="1038" t="str">
        <f t="shared" si="446"/>
        <v/>
      </c>
      <c r="CD45" s="1034"/>
      <c r="CE45" s="1035">
        <f>'ORDER SENT'!CH45</f>
        <v>0</v>
      </c>
      <c r="CF45" s="1035">
        <f t="shared" si="447"/>
        <v>0</v>
      </c>
      <c r="CG45" s="1036"/>
      <c r="CH45" s="1037">
        <f t="shared" si="448"/>
        <v>0</v>
      </c>
      <c r="CI45" s="1038" t="str">
        <f t="shared" si="449"/>
        <v/>
      </c>
      <c r="CJ45" s="1034"/>
      <c r="CK45" s="1035">
        <f>'ORDER SENT'!CN45</f>
        <v>0</v>
      </c>
      <c r="CL45" s="1035">
        <f t="shared" si="450"/>
        <v>0</v>
      </c>
      <c r="CM45" s="1036"/>
      <c r="CN45" s="1037">
        <f t="shared" si="451"/>
        <v>0</v>
      </c>
      <c r="CO45" s="1038" t="str">
        <f t="shared" si="452"/>
        <v/>
      </c>
      <c r="CP45" s="1034"/>
      <c r="CQ45" s="1035">
        <f>'ORDER SENT'!CT45</f>
        <v>0</v>
      </c>
      <c r="CR45" s="1035">
        <f t="shared" si="453"/>
        <v>0</v>
      </c>
      <c r="CS45" s="1036"/>
      <c r="CT45" s="1037">
        <f t="shared" si="454"/>
        <v>0</v>
      </c>
      <c r="CU45" s="1038" t="str">
        <f t="shared" si="455"/>
        <v/>
      </c>
      <c r="CV45" s="1034"/>
      <c r="CW45" s="1035">
        <f>'ORDER SENT'!CZ45</f>
        <v>0</v>
      </c>
      <c r="CX45" s="1035">
        <f t="shared" si="456"/>
        <v>0</v>
      </c>
      <c r="CY45" s="1036"/>
      <c r="CZ45" s="1037">
        <f t="shared" si="457"/>
        <v>0</v>
      </c>
      <c r="DA45" s="1038" t="str">
        <f t="shared" si="458"/>
        <v/>
      </c>
      <c r="DB45" s="1034"/>
      <c r="DC45" s="1035">
        <f>'ORDER SENT'!DF45</f>
        <v>0</v>
      </c>
      <c r="DD45" s="1035">
        <f t="shared" si="459"/>
        <v>0</v>
      </c>
      <c r="DE45" s="1036"/>
      <c r="DF45" s="1037">
        <f t="shared" si="460"/>
        <v>0</v>
      </c>
      <c r="DG45" s="1038" t="str">
        <f t="shared" si="461"/>
        <v/>
      </c>
      <c r="DH45" s="1034"/>
      <c r="DI45" s="1035">
        <f>'ORDER SENT'!DL45</f>
        <v>0</v>
      </c>
      <c r="DJ45" s="1035">
        <f t="shared" si="462"/>
        <v>0</v>
      </c>
      <c r="DK45" s="1036"/>
      <c r="DL45" s="1037">
        <f t="shared" si="463"/>
        <v>0</v>
      </c>
      <c r="DM45" s="1038" t="str">
        <f t="shared" si="464"/>
        <v/>
      </c>
      <c r="DN45" s="1034"/>
      <c r="DO45" s="1035">
        <f>'ORDER SENT'!DR45</f>
        <v>0</v>
      </c>
      <c r="DP45" s="1035">
        <f t="shared" si="465"/>
        <v>0</v>
      </c>
      <c r="DQ45" s="1036"/>
      <c r="DR45" s="1037">
        <f t="shared" si="466"/>
        <v>0</v>
      </c>
      <c r="DS45" s="1038" t="str">
        <f t="shared" si="467"/>
        <v/>
      </c>
      <c r="DT45" s="1034"/>
      <c r="DU45" s="1035">
        <f>'ORDER SENT'!DX45</f>
        <v>0</v>
      </c>
      <c r="DV45" s="1035">
        <f t="shared" si="468"/>
        <v>0</v>
      </c>
      <c r="DW45" s="1036"/>
      <c r="DX45" s="1037">
        <f t="shared" si="469"/>
        <v>0</v>
      </c>
      <c r="DY45" s="1038" t="str">
        <f t="shared" si="470"/>
        <v/>
      </c>
      <c r="DZ45" s="1034"/>
      <c r="EA45" s="1035">
        <f>'ORDER SENT'!ED45</f>
        <v>0</v>
      </c>
      <c r="EB45" s="1035">
        <f t="shared" si="471"/>
        <v>0</v>
      </c>
      <c r="EC45" s="1036"/>
      <c r="ED45" s="1037">
        <f t="shared" si="472"/>
        <v>0</v>
      </c>
      <c r="EE45" s="1038" t="str">
        <f t="shared" si="473"/>
        <v/>
      </c>
      <c r="EF45" s="1034"/>
      <c r="EG45" s="1035">
        <f>'ORDER SENT'!EJ45</f>
        <v>0</v>
      </c>
      <c r="EH45" s="1035">
        <f t="shared" si="474"/>
        <v>0</v>
      </c>
      <c r="EI45" s="1036"/>
      <c r="EJ45" s="1037">
        <f t="shared" si="475"/>
        <v>0</v>
      </c>
      <c r="EK45" s="1038" t="str">
        <f t="shared" si="476"/>
        <v/>
      </c>
      <c r="EL45" s="1034"/>
      <c r="EM45" s="1035">
        <f>'ORDER SENT'!EP45</f>
        <v>0</v>
      </c>
      <c r="EN45" s="1035">
        <f t="shared" si="477"/>
        <v>0</v>
      </c>
      <c r="EO45" s="1036"/>
      <c r="EP45" s="1037">
        <f t="shared" si="478"/>
        <v>0</v>
      </c>
      <c r="EQ45" s="1038" t="str">
        <f t="shared" si="479"/>
        <v/>
      </c>
      <c r="ER45" s="1034"/>
      <c r="ES45" s="1035">
        <f>'ORDER SENT'!EV45</f>
        <v>0</v>
      </c>
      <c r="ET45" s="1035">
        <f t="shared" si="480"/>
        <v>0</v>
      </c>
      <c r="EU45" s="1036"/>
      <c r="EV45" s="1037">
        <f t="shared" si="481"/>
        <v>0</v>
      </c>
      <c r="EW45" s="1038" t="str">
        <f t="shared" si="482"/>
        <v/>
      </c>
      <c r="EX45" s="1034"/>
      <c r="EY45" s="1035">
        <f>'ORDER SENT'!FB45</f>
        <v>0</v>
      </c>
      <c r="EZ45" s="1035">
        <f t="shared" si="483"/>
        <v>0</v>
      </c>
      <c r="FA45" s="1036"/>
      <c r="FB45" s="1037">
        <f t="shared" si="484"/>
        <v>0</v>
      </c>
      <c r="FC45" s="1038" t="str">
        <f t="shared" si="485"/>
        <v/>
      </c>
      <c r="FD45" s="1034"/>
      <c r="FE45" s="1035">
        <f>'ORDER SENT'!FH45</f>
        <v>0</v>
      </c>
      <c r="FF45" s="1035">
        <f t="shared" si="486"/>
        <v>0</v>
      </c>
      <c r="FG45" s="1036"/>
      <c r="FH45" s="1037">
        <f t="shared" si="487"/>
        <v>0</v>
      </c>
      <c r="FI45" s="1038" t="str">
        <f t="shared" si="488"/>
        <v/>
      </c>
      <c r="FJ45" s="1034"/>
      <c r="FK45" s="1035">
        <f>'ORDER SENT'!FN45</f>
        <v>0</v>
      </c>
      <c r="FL45" s="1035">
        <f t="shared" si="489"/>
        <v>0</v>
      </c>
      <c r="FM45" s="1036"/>
      <c r="FN45" s="1037">
        <f t="shared" si="490"/>
        <v>0</v>
      </c>
      <c r="FO45" s="1038" t="str">
        <f t="shared" si="491"/>
        <v/>
      </c>
      <c r="FP45" s="1034"/>
      <c r="FQ45" s="1035">
        <f>'ORDER SENT'!FT45</f>
        <v>0</v>
      </c>
      <c r="FR45" s="1035">
        <f t="shared" si="492"/>
        <v>0</v>
      </c>
      <c r="FS45" s="1036"/>
      <c r="FT45" s="1037">
        <f t="shared" si="493"/>
        <v>0</v>
      </c>
      <c r="FU45" s="1038" t="str">
        <f t="shared" si="494"/>
        <v/>
      </c>
      <c r="FV45" s="1034"/>
      <c r="FW45" s="1035">
        <f>'ORDER SENT'!FZ45</f>
        <v>0</v>
      </c>
      <c r="FX45" s="1035">
        <f t="shared" si="495"/>
        <v>0</v>
      </c>
      <c r="FY45" s="1036"/>
      <c r="FZ45" s="1037">
        <f t="shared" si="496"/>
        <v>0</v>
      </c>
      <c r="GA45" s="1038" t="str">
        <f t="shared" si="497"/>
        <v/>
      </c>
      <c r="GB45" s="1034"/>
      <c r="GC45" s="1035">
        <f>'ORDER SENT'!GF45</f>
        <v>0</v>
      </c>
      <c r="GD45" s="1035">
        <f t="shared" si="498"/>
        <v>0</v>
      </c>
      <c r="GE45" s="1036"/>
      <c r="GF45" s="1037">
        <f t="shared" si="499"/>
        <v>0</v>
      </c>
      <c r="GG45" s="1046" t="str">
        <f t="shared" si="94"/>
        <v/>
      </c>
      <c r="GH45" s="1047">
        <f t="shared" ref="GH45:GL45" si="507">+GB45+FV45+FP45+FJ45+FD45+EX45+ER45+EL45+EF45+DZ45+DT45+DN45+DH45+DB45+CV45+CP45+CJ45+CD45+BX45+BR45+BL45+BF45++AZ45+AT45+AN45+AH45+AB45+V45+P45+J45+D45</f>
        <v>0</v>
      </c>
      <c r="GI45" s="1047">
        <f t="shared" si="507"/>
        <v>0</v>
      </c>
      <c r="GJ45" s="1047">
        <f t="shared" si="507"/>
        <v>0</v>
      </c>
      <c r="GK45" s="1048">
        <f t="shared" si="507"/>
        <v>0</v>
      </c>
      <c r="GL45" s="1045">
        <f t="shared" si="507"/>
        <v>0</v>
      </c>
      <c r="GM45" s="1049">
        <f t="shared" si="501"/>
        <v>0</v>
      </c>
    </row>
    <row r="46" ht="15.75" customHeight="1">
      <c r="B46" s="1062"/>
      <c r="C46" s="1043"/>
      <c r="D46" s="1039"/>
      <c r="E46" s="1035">
        <f>'ORDER SENT'!H46</f>
        <v>0</v>
      </c>
      <c r="F46" s="1035">
        <f t="shared" si="408"/>
        <v>0</v>
      </c>
      <c r="G46" s="1036"/>
      <c r="H46" s="1037">
        <f t="shared" si="409"/>
        <v>0</v>
      </c>
      <c r="I46" s="1038" t="str">
        <f t="shared" si="410"/>
        <v/>
      </c>
      <c r="J46" s="1034"/>
      <c r="K46" s="1035">
        <f>'ORDER SENT'!N46</f>
        <v>0</v>
      </c>
      <c r="L46" s="1035">
        <f t="shared" si="411"/>
        <v>0</v>
      </c>
      <c r="M46" s="1036"/>
      <c r="N46" s="1037">
        <f t="shared" si="412"/>
        <v>0</v>
      </c>
      <c r="O46" s="1038" t="str">
        <f t="shared" si="413"/>
        <v/>
      </c>
      <c r="P46" s="1034"/>
      <c r="Q46" s="1035">
        <f>'ORDER SENT'!T46</f>
        <v>0</v>
      </c>
      <c r="R46" s="1035">
        <f t="shared" si="414"/>
        <v>0</v>
      </c>
      <c r="S46" s="1036"/>
      <c r="T46" s="1037">
        <f t="shared" si="415"/>
        <v>0</v>
      </c>
      <c r="U46" s="1038" t="str">
        <f t="shared" si="416"/>
        <v/>
      </c>
      <c r="V46" s="1034"/>
      <c r="W46" s="1035">
        <f>'ORDER SENT'!Z46</f>
        <v>0</v>
      </c>
      <c r="X46" s="1035">
        <f t="shared" si="417"/>
        <v>0</v>
      </c>
      <c r="Y46" s="1036"/>
      <c r="Z46" s="1037">
        <f t="shared" si="418"/>
        <v>0</v>
      </c>
      <c r="AA46" s="1038" t="str">
        <f t="shared" si="419"/>
        <v/>
      </c>
      <c r="AB46" s="1034"/>
      <c r="AC46" s="1035">
        <f>'ORDER SENT'!AF46</f>
        <v>0</v>
      </c>
      <c r="AD46" s="1035">
        <f t="shared" si="420"/>
        <v>0</v>
      </c>
      <c r="AE46" s="1036"/>
      <c r="AF46" s="1037">
        <f t="shared" si="421"/>
        <v>0</v>
      </c>
      <c r="AG46" s="1038" t="str">
        <f t="shared" si="422"/>
        <v/>
      </c>
      <c r="AH46" s="1034"/>
      <c r="AI46" s="1035">
        <f>'ORDER SENT'!AL46</f>
        <v>0</v>
      </c>
      <c r="AJ46" s="1035">
        <f t="shared" si="423"/>
        <v>0</v>
      </c>
      <c r="AK46" s="1036"/>
      <c r="AL46" s="1037">
        <f t="shared" si="424"/>
        <v>0</v>
      </c>
      <c r="AM46" s="1038" t="str">
        <f t="shared" si="425"/>
        <v/>
      </c>
      <c r="AN46" s="1034"/>
      <c r="AO46" s="1035">
        <f>'ORDER SENT'!AR46</f>
        <v>0</v>
      </c>
      <c r="AP46" s="1035">
        <f t="shared" si="426"/>
        <v>0</v>
      </c>
      <c r="AQ46" s="1036"/>
      <c r="AR46" s="1037">
        <f t="shared" si="427"/>
        <v>0</v>
      </c>
      <c r="AS46" s="1038" t="str">
        <f t="shared" si="428"/>
        <v/>
      </c>
      <c r="AT46" s="1034"/>
      <c r="AU46" s="1035">
        <f>'ORDER SENT'!AX46</f>
        <v>0</v>
      </c>
      <c r="AV46" s="1035">
        <f t="shared" si="429"/>
        <v>0</v>
      </c>
      <c r="AW46" s="1036"/>
      <c r="AX46" s="1037">
        <f t="shared" si="430"/>
        <v>0</v>
      </c>
      <c r="AY46" s="1038" t="str">
        <f t="shared" si="431"/>
        <v/>
      </c>
      <c r="AZ46" s="1034"/>
      <c r="BA46" s="1035">
        <f>'ORDER SENT'!BD46</f>
        <v>0</v>
      </c>
      <c r="BB46" s="1035">
        <f t="shared" si="432"/>
        <v>0</v>
      </c>
      <c r="BC46" s="1036"/>
      <c r="BD46" s="1037">
        <f t="shared" si="433"/>
        <v>0</v>
      </c>
      <c r="BE46" s="1038" t="str">
        <f t="shared" si="434"/>
        <v/>
      </c>
      <c r="BF46" s="1034"/>
      <c r="BG46" s="1035">
        <f>'ORDER SENT'!BJ46</f>
        <v>0</v>
      </c>
      <c r="BH46" s="1035">
        <f t="shared" si="435"/>
        <v>0</v>
      </c>
      <c r="BI46" s="1036"/>
      <c r="BJ46" s="1037">
        <f t="shared" si="436"/>
        <v>0</v>
      </c>
      <c r="BK46" s="1038" t="str">
        <f t="shared" si="437"/>
        <v/>
      </c>
      <c r="BL46" s="1034"/>
      <c r="BM46" s="1035">
        <f>'ORDER SENT'!BP46</f>
        <v>0</v>
      </c>
      <c r="BN46" s="1035">
        <f t="shared" si="438"/>
        <v>0</v>
      </c>
      <c r="BO46" s="1036"/>
      <c r="BP46" s="1037">
        <f t="shared" si="439"/>
        <v>0</v>
      </c>
      <c r="BQ46" s="1038" t="str">
        <f t="shared" si="440"/>
        <v/>
      </c>
      <c r="BR46" s="1034"/>
      <c r="BS46" s="1035">
        <f>'ORDER SENT'!BV46</f>
        <v>0</v>
      </c>
      <c r="BT46" s="1035">
        <f t="shared" si="441"/>
        <v>0</v>
      </c>
      <c r="BU46" s="1036"/>
      <c r="BV46" s="1037">
        <f t="shared" si="442"/>
        <v>0</v>
      </c>
      <c r="BW46" s="1038" t="str">
        <f t="shared" si="443"/>
        <v/>
      </c>
      <c r="BX46" s="1034"/>
      <c r="BY46" s="1035">
        <f>'ORDER SENT'!CB46</f>
        <v>0</v>
      </c>
      <c r="BZ46" s="1035">
        <f t="shared" si="444"/>
        <v>0</v>
      </c>
      <c r="CA46" s="1036"/>
      <c r="CB46" s="1037">
        <f t="shared" si="445"/>
        <v>0</v>
      </c>
      <c r="CC46" s="1038" t="str">
        <f t="shared" si="446"/>
        <v/>
      </c>
      <c r="CD46" s="1034"/>
      <c r="CE46" s="1035">
        <f>'ORDER SENT'!CH46</f>
        <v>0</v>
      </c>
      <c r="CF46" s="1035">
        <f t="shared" si="447"/>
        <v>0</v>
      </c>
      <c r="CG46" s="1036"/>
      <c r="CH46" s="1037">
        <f t="shared" si="448"/>
        <v>0</v>
      </c>
      <c r="CI46" s="1038" t="str">
        <f t="shared" si="449"/>
        <v/>
      </c>
      <c r="CJ46" s="1034"/>
      <c r="CK46" s="1035">
        <f>'ORDER SENT'!CN46</f>
        <v>0</v>
      </c>
      <c r="CL46" s="1035">
        <f t="shared" si="450"/>
        <v>0</v>
      </c>
      <c r="CM46" s="1036"/>
      <c r="CN46" s="1037">
        <f t="shared" si="451"/>
        <v>0</v>
      </c>
      <c r="CO46" s="1038" t="str">
        <f t="shared" si="452"/>
        <v/>
      </c>
      <c r="CP46" s="1034"/>
      <c r="CQ46" s="1035">
        <f>'ORDER SENT'!CT46</f>
        <v>0</v>
      </c>
      <c r="CR46" s="1035">
        <f t="shared" si="453"/>
        <v>0</v>
      </c>
      <c r="CS46" s="1036"/>
      <c r="CT46" s="1037">
        <f t="shared" si="454"/>
        <v>0</v>
      </c>
      <c r="CU46" s="1038" t="str">
        <f t="shared" si="455"/>
        <v/>
      </c>
      <c r="CV46" s="1034"/>
      <c r="CW46" s="1035">
        <f>'ORDER SENT'!CZ46</f>
        <v>0</v>
      </c>
      <c r="CX46" s="1035">
        <f t="shared" si="456"/>
        <v>0</v>
      </c>
      <c r="CY46" s="1036"/>
      <c r="CZ46" s="1037">
        <f t="shared" si="457"/>
        <v>0</v>
      </c>
      <c r="DA46" s="1038" t="str">
        <f t="shared" si="458"/>
        <v/>
      </c>
      <c r="DB46" s="1034"/>
      <c r="DC46" s="1035">
        <f>'ORDER SENT'!DF46</f>
        <v>0</v>
      </c>
      <c r="DD46" s="1035">
        <f t="shared" si="459"/>
        <v>0</v>
      </c>
      <c r="DE46" s="1036"/>
      <c r="DF46" s="1037">
        <f t="shared" si="460"/>
        <v>0</v>
      </c>
      <c r="DG46" s="1038" t="str">
        <f t="shared" si="461"/>
        <v/>
      </c>
      <c r="DH46" s="1034"/>
      <c r="DI46" s="1035">
        <f>'ORDER SENT'!DL46</f>
        <v>0</v>
      </c>
      <c r="DJ46" s="1035">
        <f t="shared" si="462"/>
        <v>0</v>
      </c>
      <c r="DK46" s="1036"/>
      <c r="DL46" s="1037">
        <f t="shared" si="463"/>
        <v>0</v>
      </c>
      <c r="DM46" s="1038" t="str">
        <f t="shared" si="464"/>
        <v/>
      </c>
      <c r="DN46" s="1034"/>
      <c r="DO46" s="1035">
        <f>'ORDER SENT'!DR46</f>
        <v>0</v>
      </c>
      <c r="DP46" s="1035">
        <f t="shared" si="465"/>
        <v>0</v>
      </c>
      <c r="DQ46" s="1036"/>
      <c r="DR46" s="1037">
        <f t="shared" si="466"/>
        <v>0</v>
      </c>
      <c r="DS46" s="1038" t="str">
        <f t="shared" si="467"/>
        <v/>
      </c>
      <c r="DT46" s="1034"/>
      <c r="DU46" s="1035">
        <f>'ORDER SENT'!DX46</f>
        <v>0</v>
      </c>
      <c r="DV46" s="1035">
        <f t="shared" si="468"/>
        <v>0</v>
      </c>
      <c r="DW46" s="1036"/>
      <c r="DX46" s="1037">
        <f t="shared" si="469"/>
        <v>0</v>
      </c>
      <c r="DY46" s="1038" t="str">
        <f t="shared" si="470"/>
        <v/>
      </c>
      <c r="DZ46" s="1034"/>
      <c r="EA46" s="1035">
        <f>'ORDER SENT'!ED46</f>
        <v>0</v>
      </c>
      <c r="EB46" s="1035">
        <f t="shared" si="471"/>
        <v>0</v>
      </c>
      <c r="EC46" s="1036"/>
      <c r="ED46" s="1037">
        <f t="shared" si="472"/>
        <v>0</v>
      </c>
      <c r="EE46" s="1038" t="str">
        <f t="shared" si="473"/>
        <v/>
      </c>
      <c r="EF46" s="1034"/>
      <c r="EG46" s="1035">
        <f>'ORDER SENT'!EJ46</f>
        <v>0</v>
      </c>
      <c r="EH46" s="1035">
        <f t="shared" si="474"/>
        <v>0</v>
      </c>
      <c r="EI46" s="1036"/>
      <c r="EJ46" s="1037">
        <f t="shared" si="475"/>
        <v>0</v>
      </c>
      <c r="EK46" s="1038" t="str">
        <f t="shared" si="476"/>
        <v/>
      </c>
      <c r="EL46" s="1034"/>
      <c r="EM46" s="1035">
        <f>'ORDER SENT'!EP46</f>
        <v>0</v>
      </c>
      <c r="EN46" s="1035">
        <f t="shared" si="477"/>
        <v>0</v>
      </c>
      <c r="EO46" s="1036"/>
      <c r="EP46" s="1037">
        <f t="shared" si="478"/>
        <v>0</v>
      </c>
      <c r="EQ46" s="1038" t="str">
        <f t="shared" si="479"/>
        <v/>
      </c>
      <c r="ER46" s="1034"/>
      <c r="ES46" s="1035">
        <f>'ORDER SENT'!EV46</f>
        <v>0</v>
      </c>
      <c r="ET46" s="1035">
        <f t="shared" si="480"/>
        <v>0</v>
      </c>
      <c r="EU46" s="1036"/>
      <c r="EV46" s="1037">
        <f t="shared" si="481"/>
        <v>0</v>
      </c>
      <c r="EW46" s="1038" t="str">
        <f t="shared" si="482"/>
        <v/>
      </c>
      <c r="EX46" s="1034"/>
      <c r="EY46" s="1035">
        <f>'ORDER SENT'!FB46</f>
        <v>0</v>
      </c>
      <c r="EZ46" s="1035">
        <f t="shared" si="483"/>
        <v>0</v>
      </c>
      <c r="FA46" s="1036"/>
      <c r="FB46" s="1037">
        <f t="shared" si="484"/>
        <v>0</v>
      </c>
      <c r="FC46" s="1038" t="str">
        <f t="shared" si="485"/>
        <v/>
      </c>
      <c r="FD46" s="1034"/>
      <c r="FE46" s="1035">
        <f>'ORDER SENT'!FH46</f>
        <v>0</v>
      </c>
      <c r="FF46" s="1035">
        <f t="shared" si="486"/>
        <v>0</v>
      </c>
      <c r="FG46" s="1036"/>
      <c r="FH46" s="1037">
        <f t="shared" si="487"/>
        <v>0</v>
      </c>
      <c r="FI46" s="1038" t="str">
        <f t="shared" si="488"/>
        <v/>
      </c>
      <c r="FJ46" s="1034"/>
      <c r="FK46" s="1035">
        <f>'ORDER SENT'!FN46</f>
        <v>0</v>
      </c>
      <c r="FL46" s="1035">
        <f t="shared" si="489"/>
        <v>0</v>
      </c>
      <c r="FM46" s="1036"/>
      <c r="FN46" s="1037">
        <f t="shared" si="490"/>
        <v>0</v>
      </c>
      <c r="FO46" s="1038" t="str">
        <f t="shared" si="491"/>
        <v/>
      </c>
      <c r="FP46" s="1034"/>
      <c r="FQ46" s="1035">
        <f>'ORDER SENT'!FT46</f>
        <v>0</v>
      </c>
      <c r="FR46" s="1035">
        <f t="shared" si="492"/>
        <v>0</v>
      </c>
      <c r="FS46" s="1036"/>
      <c r="FT46" s="1037">
        <f t="shared" si="493"/>
        <v>0</v>
      </c>
      <c r="FU46" s="1038" t="str">
        <f t="shared" si="494"/>
        <v/>
      </c>
      <c r="FV46" s="1034"/>
      <c r="FW46" s="1035">
        <f>'ORDER SENT'!FZ46</f>
        <v>0</v>
      </c>
      <c r="FX46" s="1035">
        <f t="shared" si="495"/>
        <v>0</v>
      </c>
      <c r="FY46" s="1036"/>
      <c r="FZ46" s="1037">
        <f t="shared" si="496"/>
        <v>0</v>
      </c>
      <c r="GA46" s="1038" t="str">
        <f t="shared" si="497"/>
        <v/>
      </c>
      <c r="GB46" s="1034"/>
      <c r="GC46" s="1035">
        <f>'ORDER SENT'!GF46</f>
        <v>0</v>
      </c>
      <c r="GD46" s="1035">
        <f t="shared" si="498"/>
        <v>0</v>
      </c>
      <c r="GE46" s="1036"/>
      <c r="GF46" s="1037">
        <f t="shared" si="499"/>
        <v>0</v>
      </c>
      <c r="GG46" s="1046" t="str">
        <f t="shared" si="94"/>
        <v/>
      </c>
      <c r="GH46" s="1047">
        <f t="shared" ref="GH46:GL46" si="508">+GB46+FV46+FP46+FJ46+FD46+EX46+ER46+EL46+EF46+DZ46+DT46+DN46+DH46+DB46+CV46+CP46+CJ46+CD46+BX46+BR46+BL46+BF46++AZ46+AT46+AN46+AH46+AB46+V46+P46+J46+D46</f>
        <v>0</v>
      </c>
      <c r="GI46" s="1047">
        <f t="shared" si="508"/>
        <v>0</v>
      </c>
      <c r="GJ46" s="1047">
        <f t="shared" si="508"/>
        <v>0</v>
      </c>
      <c r="GK46" s="1048">
        <f t="shared" si="508"/>
        <v>0</v>
      </c>
      <c r="GL46" s="1045">
        <f t="shared" si="508"/>
        <v>0</v>
      </c>
      <c r="GM46" s="1049">
        <f t="shared" si="501"/>
        <v>0</v>
      </c>
    </row>
    <row r="47" ht="15.75" customHeight="1">
      <c r="B47" s="1062"/>
      <c r="C47" s="1043"/>
      <c r="D47" s="1039"/>
      <c r="E47" s="1035">
        <f>'ORDER SENT'!H47</f>
        <v>0</v>
      </c>
      <c r="F47" s="1035">
        <f t="shared" si="408"/>
        <v>0</v>
      </c>
      <c r="G47" s="1036"/>
      <c r="H47" s="1037">
        <f t="shared" si="409"/>
        <v>0</v>
      </c>
      <c r="I47" s="1038" t="str">
        <f t="shared" si="410"/>
        <v/>
      </c>
      <c r="J47" s="1034"/>
      <c r="K47" s="1035">
        <f>'ORDER SENT'!N47</f>
        <v>0</v>
      </c>
      <c r="L47" s="1035">
        <f t="shared" si="411"/>
        <v>0</v>
      </c>
      <c r="M47" s="1036"/>
      <c r="N47" s="1037">
        <f t="shared" si="412"/>
        <v>0</v>
      </c>
      <c r="O47" s="1038" t="str">
        <f t="shared" si="413"/>
        <v/>
      </c>
      <c r="P47" s="1034"/>
      <c r="Q47" s="1035">
        <f>'ORDER SENT'!T47</f>
        <v>0</v>
      </c>
      <c r="R47" s="1035">
        <f t="shared" si="414"/>
        <v>0</v>
      </c>
      <c r="S47" s="1036"/>
      <c r="T47" s="1037">
        <f t="shared" si="415"/>
        <v>0</v>
      </c>
      <c r="U47" s="1038" t="str">
        <f t="shared" si="416"/>
        <v/>
      </c>
      <c r="V47" s="1034"/>
      <c r="W47" s="1035">
        <f>'ORDER SENT'!Z47</f>
        <v>0</v>
      </c>
      <c r="X47" s="1035">
        <f t="shared" si="417"/>
        <v>0</v>
      </c>
      <c r="Y47" s="1036"/>
      <c r="Z47" s="1037">
        <f t="shared" si="418"/>
        <v>0</v>
      </c>
      <c r="AA47" s="1038" t="str">
        <f t="shared" si="419"/>
        <v/>
      </c>
      <c r="AB47" s="1034"/>
      <c r="AC47" s="1035">
        <f>'ORDER SENT'!AF47</f>
        <v>0</v>
      </c>
      <c r="AD47" s="1035">
        <f t="shared" si="420"/>
        <v>0</v>
      </c>
      <c r="AE47" s="1036"/>
      <c r="AF47" s="1037">
        <f t="shared" si="421"/>
        <v>0</v>
      </c>
      <c r="AG47" s="1038" t="str">
        <f t="shared" si="422"/>
        <v/>
      </c>
      <c r="AH47" s="1034"/>
      <c r="AI47" s="1035">
        <f>'ORDER SENT'!AL47</f>
        <v>0</v>
      </c>
      <c r="AJ47" s="1035">
        <f t="shared" si="423"/>
        <v>0</v>
      </c>
      <c r="AK47" s="1036"/>
      <c r="AL47" s="1037">
        <f t="shared" si="424"/>
        <v>0</v>
      </c>
      <c r="AM47" s="1038" t="str">
        <f t="shared" si="425"/>
        <v/>
      </c>
      <c r="AN47" s="1034"/>
      <c r="AO47" s="1035">
        <f>'ORDER SENT'!AR47</f>
        <v>0</v>
      </c>
      <c r="AP47" s="1035">
        <f t="shared" si="426"/>
        <v>0</v>
      </c>
      <c r="AQ47" s="1036"/>
      <c r="AR47" s="1037">
        <f t="shared" si="427"/>
        <v>0</v>
      </c>
      <c r="AS47" s="1038" t="str">
        <f t="shared" si="428"/>
        <v/>
      </c>
      <c r="AT47" s="1034"/>
      <c r="AU47" s="1035">
        <f>'ORDER SENT'!AX47</f>
        <v>0</v>
      </c>
      <c r="AV47" s="1035">
        <f t="shared" si="429"/>
        <v>0</v>
      </c>
      <c r="AW47" s="1036"/>
      <c r="AX47" s="1037">
        <f t="shared" si="430"/>
        <v>0</v>
      </c>
      <c r="AY47" s="1038" t="str">
        <f t="shared" si="431"/>
        <v/>
      </c>
      <c r="AZ47" s="1034"/>
      <c r="BA47" s="1035">
        <f>'ORDER SENT'!BD47</f>
        <v>0</v>
      </c>
      <c r="BB47" s="1035">
        <f t="shared" si="432"/>
        <v>0</v>
      </c>
      <c r="BC47" s="1036"/>
      <c r="BD47" s="1037">
        <f t="shared" si="433"/>
        <v>0</v>
      </c>
      <c r="BE47" s="1038" t="str">
        <f t="shared" si="434"/>
        <v/>
      </c>
      <c r="BF47" s="1034"/>
      <c r="BG47" s="1035">
        <f>'ORDER SENT'!BJ47</f>
        <v>0</v>
      </c>
      <c r="BH47" s="1035">
        <f t="shared" si="435"/>
        <v>0</v>
      </c>
      <c r="BI47" s="1036"/>
      <c r="BJ47" s="1037">
        <f t="shared" si="436"/>
        <v>0</v>
      </c>
      <c r="BK47" s="1038" t="str">
        <f t="shared" si="437"/>
        <v/>
      </c>
      <c r="BL47" s="1034"/>
      <c r="BM47" s="1035">
        <f>'ORDER SENT'!BP47</f>
        <v>0</v>
      </c>
      <c r="BN47" s="1035">
        <f t="shared" si="438"/>
        <v>0</v>
      </c>
      <c r="BO47" s="1036"/>
      <c r="BP47" s="1037">
        <f t="shared" si="439"/>
        <v>0</v>
      </c>
      <c r="BQ47" s="1038" t="str">
        <f t="shared" si="440"/>
        <v/>
      </c>
      <c r="BR47" s="1034"/>
      <c r="BS47" s="1035">
        <f>'ORDER SENT'!BV47</f>
        <v>0</v>
      </c>
      <c r="BT47" s="1035">
        <f t="shared" si="441"/>
        <v>0</v>
      </c>
      <c r="BU47" s="1036"/>
      <c r="BV47" s="1037">
        <f t="shared" si="442"/>
        <v>0</v>
      </c>
      <c r="BW47" s="1038" t="str">
        <f t="shared" si="443"/>
        <v/>
      </c>
      <c r="BX47" s="1034"/>
      <c r="BY47" s="1035">
        <f>'ORDER SENT'!CB47</f>
        <v>0</v>
      </c>
      <c r="BZ47" s="1035">
        <f t="shared" si="444"/>
        <v>0</v>
      </c>
      <c r="CA47" s="1036"/>
      <c r="CB47" s="1037">
        <f t="shared" si="445"/>
        <v>0</v>
      </c>
      <c r="CC47" s="1038" t="str">
        <f t="shared" si="446"/>
        <v/>
      </c>
      <c r="CD47" s="1034"/>
      <c r="CE47" s="1035">
        <f>'ORDER SENT'!CH47</f>
        <v>0</v>
      </c>
      <c r="CF47" s="1035">
        <f t="shared" si="447"/>
        <v>0</v>
      </c>
      <c r="CG47" s="1036"/>
      <c r="CH47" s="1037">
        <f t="shared" si="448"/>
        <v>0</v>
      </c>
      <c r="CI47" s="1038" t="str">
        <f t="shared" si="449"/>
        <v/>
      </c>
      <c r="CJ47" s="1034"/>
      <c r="CK47" s="1035">
        <f>'ORDER SENT'!CN47</f>
        <v>0</v>
      </c>
      <c r="CL47" s="1035">
        <f t="shared" si="450"/>
        <v>0</v>
      </c>
      <c r="CM47" s="1036"/>
      <c r="CN47" s="1037">
        <f t="shared" si="451"/>
        <v>0</v>
      </c>
      <c r="CO47" s="1038" t="str">
        <f t="shared" si="452"/>
        <v/>
      </c>
      <c r="CP47" s="1034"/>
      <c r="CQ47" s="1035">
        <f>'ORDER SENT'!CT47</f>
        <v>0</v>
      </c>
      <c r="CR47" s="1035">
        <f t="shared" si="453"/>
        <v>0</v>
      </c>
      <c r="CS47" s="1036"/>
      <c r="CT47" s="1037">
        <f t="shared" si="454"/>
        <v>0</v>
      </c>
      <c r="CU47" s="1038" t="str">
        <f t="shared" si="455"/>
        <v/>
      </c>
      <c r="CV47" s="1034"/>
      <c r="CW47" s="1035">
        <f>'ORDER SENT'!CZ47</f>
        <v>0</v>
      </c>
      <c r="CX47" s="1035">
        <f t="shared" si="456"/>
        <v>0</v>
      </c>
      <c r="CY47" s="1036"/>
      <c r="CZ47" s="1037">
        <f t="shared" si="457"/>
        <v>0</v>
      </c>
      <c r="DA47" s="1038" t="str">
        <f t="shared" si="458"/>
        <v/>
      </c>
      <c r="DB47" s="1034"/>
      <c r="DC47" s="1035">
        <f>'ORDER SENT'!DF47</f>
        <v>0</v>
      </c>
      <c r="DD47" s="1035">
        <f t="shared" si="459"/>
        <v>0</v>
      </c>
      <c r="DE47" s="1036"/>
      <c r="DF47" s="1037">
        <f t="shared" si="460"/>
        <v>0</v>
      </c>
      <c r="DG47" s="1038" t="str">
        <f t="shared" si="461"/>
        <v/>
      </c>
      <c r="DH47" s="1034"/>
      <c r="DI47" s="1035">
        <f>'ORDER SENT'!DL47</f>
        <v>0</v>
      </c>
      <c r="DJ47" s="1035">
        <f t="shared" si="462"/>
        <v>0</v>
      </c>
      <c r="DK47" s="1036"/>
      <c r="DL47" s="1037">
        <f t="shared" si="463"/>
        <v>0</v>
      </c>
      <c r="DM47" s="1038" t="str">
        <f t="shared" si="464"/>
        <v/>
      </c>
      <c r="DN47" s="1034"/>
      <c r="DO47" s="1035">
        <f>'ORDER SENT'!DR47</f>
        <v>0</v>
      </c>
      <c r="DP47" s="1035">
        <f t="shared" si="465"/>
        <v>0</v>
      </c>
      <c r="DQ47" s="1036"/>
      <c r="DR47" s="1037">
        <f t="shared" si="466"/>
        <v>0</v>
      </c>
      <c r="DS47" s="1038" t="str">
        <f t="shared" si="467"/>
        <v/>
      </c>
      <c r="DT47" s="1034"/>
      <c r="DU47" s="1035">
        <f>'ORDER SENT'!DX47</f>
        <v>0</v>
      </c>
      <c r="DV47" s="1035">
        <f t="shared" si="468"/>
        <v>0</v>
      </c>
      <c r="DW47" s="1036"/>
      <c r="DX47" s="1037">
        <f t="shared" si="469"/>
        <v>0</v>
      </c>
      <c r="DY47" s="1038" t="str">
        <f t="shared" si="470"/>
        <v/>
      </c>
      <c r="DZ47" s="1034"/>
      <c r="EA47" s="1035">
        <f>'ORDER SENT'!ED47</f>
        <v>0</v>
      </c>
      <c r="EB47" s="1035">
        <f t="shared" si="471"/>
        <v>0</v>
      </c>
      <c r="EC47" s="1036"/>
      <c r="ED47" s="1037">
        <f t="shared" si="472"/>
        <v>0</v>
      </c>
      <c r="EE47" s="1038" t="str">
        <f t="shared" si="473"/>
        <v/>
      </c>
      <c r="EF47" s="1034"/>
      <c r="EG47" s="1035">
        <f>'ORDER SENT'!EJ47</f>
        <v>0</v>
      </c>
      <c r="EH47" s="1035">
        <f t="shared" si="474"/>
        <v>0</v>
      </c>
      <c r="EI47" s="1036"/>
      <c r="EJ47" s="1037">
        <f t="shared" si="475"/>
        <v>0</v>
      </c>
      <c r="EK47" s="1038" t="str">
        <f t="shared" si="476"/>
        <v/>
      </c>
      <c r="EL47" s="1034"/>
      <c r="EM47" s="1035">
        <f>'ORDER SENT'!EP47</f>
        <v>0</v>
      </c>
      <c r="EN47" s="1035">
        <f t="shared" si="477"/>
        <v>0</v>
      </c>
      <c r="EO47" s="1036"/>
      <c r="EP47" s="1037">
        <f t="shared" si="478"/>
        <v>0</v>
      </c>
      <c r="EQ47" s="1038" t="str">
        <f t="shared" si="479"/>
        <v/>
      </c>
      <c r="ER47" s="1034"/>
      <c r="ES47" s="1035">
        <f>'ORDER SENT'!EV47</f>
        <v>0</v>
      </c>
      <c r="ET47" s="1035">
        <f t="shared" si="480"/>
        <v>0</v>
      </c>
      <c r="EU47" s="1036"/>
      <c r="EV47" s="1037">
        <f t="shared" si="481"/>
        <v>0</v>
      </c>
      <c r="EW47" s="1038" t="str">
        <f t="shared" si="482"/>
        <v/>
      </c>
      <c r="EX47" s="1034"/>
      <c r="EY47" s="1035">
        <f>'ORDER SENT'!FB47</f>
        <v>0</v>
      </c>
      <c r="EZ47" s="1035">
        <f t="shared" si="483"/>
        <v>0</v>
      </c>
      <c r="FA47" s="1036"/>
      <c r="FB47" s="1037">
        <f t="shared" si="484"/>
        <v>0</v>
      </c>
      <c r="FC47" s="1038" t="str">
        <f t="shared" si="485"/>
        <v/>
      </c>
      <c r="FD47" s="1034"/>
      <c r="FE47" s="1035">
        <f>'ORDER SENT'!FH47</f>
        <v>0</v>
      </c>
      <c r="FF47" s="1035">
        <f t="shared" si="486"/>
        <v>0</v>
      </c>
      <c r="FG47" s="1036"/>
      <c r="FH47" s="1037">
        <f t="shared" si="487"/>
        <v>0</v>
      </c>
      <c r="FI47" s="1038" t="str">
        <f t="shared" si="488"/>
        <v/>
      </c>
      <c r="FJ47" s="1034"/>
      <c r="FK47" s="1035">
        <f>'ORDER SENT'!FN47</f>
        <v>0</v>
      </c>
      <c r="FL47" s="1035">
        <f t="shared" si="489"/>
        <v>0</v>
      </c>
      <c r="FM47" s="1036"/>
      <c r="FN47" s="1037">
        <f t="shared" si="490"/>
        <v>0</v>
      </c>
      <c r="FO47" s="1038" t="str">
        <f t="shared" si="491"/>
        <v/>
      </c>
      <c r="FP47" s="1034"/>
      <c r="FQ47" s="1035">
        <f>'ORDER SENT'!FT47</f>
        <v>0</v>
      </c>
      <c r="FR47" s="1035">
        <f t="shared" si="492"/>
        <v>0</v>
      </c>
      <c r="FS47" s="1036"/>
      <c r="FT47" s="1037">
        <f t="shared" si="493"/>
        <v>0</v>
      </c>
      <c r="FU47" s="1038" t="str">
        <f t="shared" si="494"/>
        <v/>
      </c>
      <c r="FV47" s="1034"/>
      <c r="FW47" s="1035">
        <f>'ORDER SENT'!FZ47</f>
        <v>0</v>
      </c>
      <c r="FX47" s="1035">
        <f t="shared" si="495"/>
        <v>0</v>
      </c>
      <c r="FY47" s="1036"/>
      <c r="FZ47" s="1037">
        <f t="shared" si="496"/>
        <v>0</v>
      </c>
      <c r="GA47" s="1038" t="str">
        <f t="shared" si="497"/>
        <v/>
      </c>
      <c r="GB47" s="1034"/>
      <c r="GC47" s="1035">
        <f>'ORDER SENT'!GF47</f>
        <v>0</v>
      </c>
      <c r="GD47" s="1035">
        <f t="shared" si="498"/>
        <v>0</v>
      </c>
      <c r="GE47" s="1036"/>
      <c r="GF47" s="1037">
        <f t="shared" si="499"/>
        <v>0</v>
      </c>
      <c r="GG47" s="1046" t="str">
        <f t="shared" si="94"/>
        <v/>
      </c>
      <c r="GH47" s="1047">
        <f t="shared" ref="GH47:GL47" si="509">+GB47+FV47+FP47+FJ47+FD47+EX47+ER47+EL47+EF47+DZ47+DT47+DN47+DH47+DB47+CV47+CP47+CJ47+CD47+BX47+BR47+BL47+BF47++AZ47+AT47+AN47+AH47+AB47+V47+P47+J47+D47</f>
        <v>0</v>
      </c>
      <c r="GI47" s="1047">
        <f t="shared" si="509"/>
        <v>0</v>
      </c>
      <c r="GJ47" s="1047">
        <f t="shared" si="509"/>
        <v>0</v>
      </c>
      <c r="GK47" s="1048">
        <f t="shared" si="509"/>
        <v>0</v>
      </c>
      <c r="GL47" s="1045">
        <f t="shared" si="509"/>
        <v>0</v>
      </c>
      <c r="GM47" s="1049">
        <f t="shared" si="501"/>
        <v>0</v>
      </c>
    </row>
    <row r="48" ht="15.75" customHeight="1">
      <c r="B48" s="1062"/>
      <c r="C48" s="1043"/>
      <c r="D48" s="1039"/>
      <c r="E48" s="1035">
        <f>'ORDER SENT'!H48</f>
        <v>0</v>
      </c>
      <c r="F48" s="1035">
        <f t="shared" si="408"/>
        <v>0</v>
      </c>
      <c r="G48" s="1036"/>
      <c r="H48" s="1037">
        <f t="shared" si="409"/>
        <v>0</v>
      </c>
      <c r="I48" s="1038" t="str">
        <f t="shared" si="410"/>
        <v/>
      </c>
      <c r="J48" s="1034"/>
      <c r="K48" s="1035">
        <f>'ORDER SENT'!N48</f>
        <v>0</v>
      </c>
      <c r="L48" s="1035">
        <f t="shared" si="411"/>
        <v>0</v>
      </c>
      <c r="M48" s="1036"/>
      <c r="N48" s="1037">
        <f t="shared" si="412"/>
        <v>0</v>
      </c>
      <c r="O48" s="1038" t="str">
        <f t="shared" si="413"/>
        <v/>
      </c>
      <c r="P48" s="1034"/>
      <c r="Q48" s="1035">
        <f>'ORDER SENT'!T48</f>
        <v>0</v>
      </c>
      <c r="R48" s="1035">
        <f t="shared" si="414"/>
        <v>0</v>
      </c>
      <c r="S48" s="1036"/>
      <c r="T48" s="1037">
        <f t="shared" si="415"/>
        <v>0</v>
      </c>
      <c r="U48" s="1038" t="str">
        <f t="shared" si="416"/>
        <v/>
      </c>
      <c r="V48" s="1034"/>
      <c r="W48" s="1035">
        <f>'ORDER SENT'!Z48</f>
        <v>0</v>
      </c>
      <c r="X48" s="1035">
        <f t="shared" si="417"/>
        <v>0</v>
      </c>
      <c r="Y48" s="1036"/>
      <c r="Z48" s="1037">
        <f t="shared" si="418"/>
        <v>0</v>
      </c>
      <c r="AA48" s="1038" t="str">
        <f t="shared" si="419"/>
        <v/>
      </c>
      <c r="AB48" s="1034"/>
      <c r="AC48" s="1035">
        <f>'ORDER SENT'!AF48</f>
        <v>0</v>
      </c>
      <c r="AD48" s="1035">
        <f t="shared" si="420"/>
        <v>0</v>
      </c>
      <c r="AE48" s="1036"/>
      <c r="AF48" s="1037">
        <f t="shared" si="421"/>
        <v>0</v>
      </c>
      <c r="AG48" s="1038" t="str">
        <f t="shared" si="422"/>
        <v/>
      </c>
      <c r="AH48" s="1034"/>
      <c r="AI48" s="1035">
        <f>'ORDER SENT'!AL48</f>
        <v>0</v>
      </c>
      <c r="AJ48" s="1035">
        <f t="shared" si="423"/>
        <v>0</v>
      </c>
      <c r="AK48" s="1036"/>
      <c r="AL48" s="1037">
        <f t="shared" si="424"/>
        <v>0</v>
      </c>
      <c r="AM48" s="1038" t="str">
        <f t="shared" si="425"/>
        <v/>
      </c>
      <c r="AN48" s="1034"/>
      <c r="AO48" s="1035">
        <f>'ORDER SENT'!AR48</f>
        <v>0</v>
      </c>
      <c r="AP48" s="1035">
        <f t="shared" si="426"/>
        <v>0</v>
      </c>
      <c r="AQ48" s="1036"/>
      <c r="AR48" s="1037">
        <f t="shared" si="427"/>
        <v>0</v>
      </c>
      <c r="AS48" s="1038" t="str">
        <f t="shared" si="428"/>
        <v/>
      </c>
      <c r="AT48" s="1034"/>
      <c r="AU48" s="1035">
        <f>'ORDER SENT'!AX48</f>
        <v>0</v>
      </c>
      <c r="AV48" s="1035">
        <f t="shared" si="429"/>
        <v>0</v>
      </c>
      <c r="AW48" s="1036"/>
      <c r="AX48" s="1037">
        <f t="shared" si="430"/>
        <v>0</v>
      </c>
      <c r="AY48" s="1038" t="str">
        <f t="shared" si="431"/>
        <v/>
      </c>
      <c r="AZ48" s="1034"/>
      <c r="BA48" s="1035">
        <f>'ORDER SENT'!BD48</f>
        <v>0</v>
      </c>
      <c r="BB48" s="1035">
        <f t="shared" si="432"/>
        <v>0</v>
      </c>
      <c r="BC48" s="1036"/>
      <c r="BD48" s="1037">
        <f t="shared" si="433"/>
        <v>0</v>
      </c>
      <c r="BE48" s="1038" t="str">
        <f t="shared" si="434"/>
        <v/>
      </c>
      <c r="BF48" s="1034"/>
      <c r="BG48" s="1035">
        <f>'ORDER SENT'!BJ48</f>
        <v>0</v>
      </c>
      <c r="BH48" s="1035">
        <f t="shared" si="435"/>
        <v>0</v>
      </c>
      <c r="BI48" s="1036"/>
      <c r="BJ48" s="1037">
        <f t="shared" si="436"/>
        <v>0</v>
      </c>
      <c r="BK48" s="1038" t="str">
        <f t="shared" si="437"/>
        <v/>
      </c>
      <c r="BL48" s="1034"/>
      <c r="BM48" s="1035">
        <f>'ORDER SENT'!BP48</f>
        <v>0</v>
      </c>
      <c r="BN48" s="1035">
        <f t="shared" si="438"/>
        <v>0</v>
      </c>
      <c r="BO48" s="1036"/>
      <c r="BP48" s="1037">
        <f t="shared" si="439"/>
        <v>0</v>
      </c>
      <c r="BQ48" s="1038" t="str">
        <f t="shared" si="440"/>
        <v/>
      </c>
      <c r="BR48" s="1034"/>
      <c r="BS48" s="1035">
        <f>'ORDER SENT'!BV48</f>
        <v>0</v>
      </c>
      <c r="BT48" s="1035">
        <f t="shared" si="441"/>
        <v>0</v>
      </c>
      <c r="BU48" s="1036"/>
      <c r="BV48" s="1037">
        <f t="shared" si="442"/>
        <v>0</v>
      </c>
      <c r="BW48" s="1038" t="str">
        <f t="shared" si="443"/>
        <v/>
      </c>
      <c r="BX48" s="1034"/>
      <c r="BY48" s="1035">
        <f>'ORDER SENT'!CB48</f>
        <v>0</v>
      </c>
      <c r="BZ48" s="1035">
        <f t="shared" si="444"/>
        <v>0</v>
      </c>
      <c r="CA48" s="1036"/>
      <c r="CB48" s="1037">
        <f t="shared" si="445"/>
        <v>0</v>
      </c>
      <c r="CC48" s="1038" t="str">
        <f t="shared" si="446"/>
        <v/>
      </c>
      <c r="CD48" s="1034"/>
      <c r="CE48" s="1035">
        <f>'ORDER SENT'!CH48</f>
        <v>0</v>
      </c>
      <c r="CF48" s="1035">
        <f t="shared" si="447"/>
        <v>0</v>
      </c>
      <c r="CG48" s="1036"/>
      <c r="CH48" s="1037">
        <f t="shared" si="448"/>
        <v>0</v>
      </c>
      <c r="CI48" s="1038" t="str">
        <f t="shared" si="449"/>
        <v/>
      </c>
      <c r="CJ48" s="1034"/>
      <c r="CK48" s="1035">
        <f>'ORDER SENT'!CN48</f>
        <v>0</v>
      </c>
      <c r="CL48" s="1035">
        <f t="shared" si="450"/>
        <v>0</v>
      </c>
      <c r="CM48" s="1036"/>
      <c r="CN48" s="1037">
        <f t="shared" si="451"/>
        <v>0</v>
      </c>
      <c r="CO48" s="1038" t="str">
        <f t="shared" si="452"/>
        <v/>
      </c>
      <c r="CP48" s="1034"/>
      <c r="CQ48" s="1035">
        <f>'ORDER SENT'!CT48</f>
        <v>0</v>
      </c>
      <c r="CR48" s="1035">
        <f t="shared" si="453"/>
        <v>0</v>
      </c>
      <c r="CS48" s="1036"/>
      <c r="CT48" s="1037">
        <f t="shared" si="454"/>
        <v>0</v>
      </c>
      <c r="CU48" s="1038" t="str">
        <f t="shared" si="455"/>
        <v/>
      </c>
      <c r="CV48" s="1034"/>
      <c r="CW48" s="1035">
        <f>'ORDER SENT'!CZ48</f>
        <v>0</v>
      </c>
      <c r="CX48" s="1035">
        <f t="shared" si="456"/>
        <v>0</v>
      </c>
      <c r="CY48" s="1036"/>
      <c r="CZ48" s="1037">
        <f t="shared" si="457"/>
        <v>0</v>
      </c>
      <c r="DA48" s="1038" t="str">
        <f t="shared" si="458"/>
        <v/>
      </c>
      <c r="DB48" s="1034"/>
      <c r="DC48" s="1035">
        <f>'ORDER SENT'!DF48</f>
        <v>0</v>
      </c>
      <c r="DD48" s="1035">
        <f t="shared" si="459"/>
        <v>0</v>
      </c>
      <c r="DE48" s="1036"/>
      <c r="DF48" s="1037">
        <f t="shared" si="460"/>
        <v>0</v>
      </c>
      <c r="DG48" s="1038" t="str">
        <f t="shared" si="461"/>
        <v/>
      </c>
      <c r="DH48" s="1034"/>
      <c r="DI48" s="1035">
        <f>'ORDER SENT'!DL48</f>
        <v>0</v>
      </c>
      <c r="DJ48" s="1035">
        <f t="shared" si="462"/>
        <v>0</v>
      </c>
      <c r="DK48" s="1036"/>
      <c r="DL48" s="1037">
        <f t="shared" si="463"/>
        <v>0</v>
      </c>
      <c r="DM48" s="1038" t="str">
        <f t="shared" si="464"/>
        <v/>
      </c>
      <c r="DN48" s="1034"/>
      <c r="DO48" s="1035">
        <f>'ORDER SENT'!DR48</f>
        <v>0</v>
      </c>
      <c r="DP48" s="1035">
        <f t="shared" si="465"/>
        <v>0</v>
      </c>
      <c r="DQ48" s="1036"/>
      <c r="DR48" s="1037">
        <f t="shared" si="466"/>
        <v>0</v>
      </c>
      <c r="DS48" s="1038" t="str">
        <f t="shared" si="467"/>
        <v/>
      </c>
      <c r="DT48" s="1034"/>
      <c r="DU48" s="1035">
        <f>'ORDER SENT'!DX48</f>
        <v>0</v>
      </c>
      <c r="DV48" s="1035">
        <f t="shared" si="468"/>
        <v>0</v>
      </c>
      <c r="DW48" s="1036"/>
      <c r="DX48" s="1037">
        <f t="shared" si="469"/>
        <v>0</v>
      </c>
      <c r="DY48" s="1038" t="str">
        <f t="shared" si="470"/>
        <v/>
      </c>
      <c r="DZ48" s="1034"/>
      <c r="EA48" s="1035">
        <f>'ORDER SENT'!ED48</f>
        <v>0</v>
      </c>
      <c r="EB48" s="1035">
        <f t="shared" si="471"/>
        <v>0</v>
      </c>
      <c r="EC48" s="1036"/>
      <c r="ED48" s="1037">
        <f t="shared" si="472"/>
        <v>0</v>
      </c>
      <c r="EE48" s="1038" t="str">
        <f t="shared" si="473"/>
        <v/>
      </c>
      <c r="EF48" s="1034"/>
      <c r="EG48" s="1035">
        <f>'ORDER SENT'!EJ48</f>
        <v>0</v>
      </c>
      <c r="EH48" s="1035">
        <f t="shared" si="474"/>
        <v>0</v>
      </c>
      <c r="EI48" s="1036"/>
      <c r="EJ48" s="1037">
        <f t="shared" si="475"/>
        <v>0</v>
      </c>
      <c r="EK48" s="1038" t="str">
        <f t="shared" si="476"/>
        <v/>
      </c>
      <c r="EL48" s="1034"/>
      <c r="EM48" s="1035">
        <f>'ORDER SENT'!EP48</f>
        <v>0</v>
      </c>
      <c r="EN48" s="1035">
        <f t="shared" si="477"/>
        <v>0</v>
      </c>
      <c r="EO48" s="1036"/>
      <c r="EP48" s="1037">
        <f t="shared" si="478"/>
        <v>0</v>
      </c>
      <c r="EQ48" s="1038" t="str">
        <f t="shared" si="479"/>
        <v/>
      </c>
      <c r="ER48" s="1034"/>
      <c r="ES48" s="1035">
        <f>'ORDER SENT'!EV48</f>
        <v>0</v>
      </c>
      <c r="ET48" s="1035">
        <f t="shared" si="480"/>
        <v>0</v>
      </c>
      <c r="EU48" s="1036"/>
      <c r="EV48" s="1037">
        <f t="shared" si="481"/>
        <v>0</v>
      </c>
      <c r="EW48" s="1038" t="str">
        <f t="shared" si="482"/>
        <v/>
      </c>
      <c r="EX48" s="1034"/>
      <c r="EY48" s="1035">
        <f>'ORDER SENT'!FB48</f>
        <v>0</v>
      </c>
      <c r="EZ48" s="1035">
        <f t="shared" si="483"/>
        <v>0</v>
      </c>
      <c r="FA48" s="1036"/>
      <c r="FB48" s="1037">
        <f t="shared" si="484"/>
        <v>0</v>
      </c>
      <c r="FC48" s="1038" t="str">
        <f t="shared" si="485"/>
        <v/>
      </c>
      <c r="FD48" s="1034"/>
      <c r="FE48" s="1035">
        <f>'ORDER SENT'!FH48</f>
        <v>0</v>
      </c>
      <c r="FF48" s="1035">
        <f t="shared" si="486"/>
        <v>0</v>
      </c>
      <c r="FG48" s="1036"/>
      <c r="FH48" s="1037">
        <f t="shared" si="487"/>
        <v>0</v>
      </c>
      <c r="FI48" s="1038" t="str">
        <f t="shared" si="488"/>
        <v/>
      </c>
      <c r="FJ48" s="1034"/>
      <c r="FK48" s="1035">
        <f>'ORDER SENT'!FN48</f>
        <v>0</v>
      </c>
      <c r="FL48" s="1035">
        <f t="shared" si="489"/>
        <v>0</v>
      </c>
      <c r="FM48" s="1036"/>
      <c r="FN48" s="1037">
        <f t="shared" si="490"/>
        <v>0</v>
      </c>
      <c r="FO48" s="1038" t="str">
        <f t="shared" si="491"/>
        <v/>
      </c>
      <c r="FP48" s="1034"/>
      <c r="FQ48" s="1035">
        <f>'ORDER SENT'!FT48</f>
        <v>0</v>
      </c>
      <c r="FR48" s="1035">
        <f t="shared" si="492"/>
        <v>0</v>
      </c>
      <c r="FS48" s="1036"/>
      <c r="FT48" s="1037">
        <f t="shared" si="493"/>
        <v>0</v>
      </c>
      <c r="FU48" s="1038" t="str">
        <f t="shared" si="494"/>
        <v/>
      </c>
      <c r="FV48" s="1034"/>
      <c r="FW48" s="1035">
        <f>'ORDER SENT'!FZ48</f>
        <v>0</v>
      </c>
      <c r="FX48" s="1035">
        <f t="shared" si="495"/>
        <v>0</v>
      </c>
      <c r="FY48" s="1036"/>
      <c r="FZ48" s="1037">
        <f t="shared" si="496"/>
        <v>0</v>
      </c>
      <c r="GA48" s="1038" t="str">
        <f t="shared" si="497"/>
        <v/>
      </c>
      <c r="GB48" s="1034"/>
      <c r="GC48" s="1035">
        <f>'ORDER SENT'!GF48</f>
        <v>0</v>
      </c>
      <c r="GD48" s="1035">
        <f t="shared" si="498"/>
        <v>0</v>
      </c>
      <c r="GE48" s="1036"/>
      <c r="GF48" s="1037">
        <f t="shared" si="499"/>
        <v>0</v>
      </c>
      <c r="GG48" s="1046" t="str">
        <f t="shared" si="94"/>
        <v/>
      </c>
      <c r="GH48" s="1047">
        <f t="shared" ref="GH48:GL48" si="510">+GB48+FV48+FP48+FJ48+FD48+EX48+ER48+EL48+EF48+DZ48+DT48+DN48+DH48+DB48+CV48+CP48+CJ48+CD48+BX48+BR48+BL48+BF48++AZ48+AT48+AN48+AH48+AB48+V48+P48+J48+D48</f>
        <v>0</v>
      </c>
      <c r="GI48" s="1047">
        <f t="shared" si="510"/>
        <v>0</v>
      </c>
      <c r="GJ48" s="1047">
        <f t="shared" si="510"/>
        <v>0</v>
      </c>
      <c r="GK48" s="1048">
        <f t="shared" si="510"/>
        <v>0</v>
      </c>
      <c r="GL48" s="1045">
        <f t="shared" si="510"/>
        <v>0</v>
      </c>
      <c r="GM48" s="1049">
        <f t="shared" si="501"/>
        <v>0</v>
      </c>
    </row>
    <row r="49" ht="15.75" customHeight="1">
      <c r="B49" s="1062"/>
      <c r="C49" s="1043"/>
      <c r="D49" s="1039"/>
      <c r="E49" s="1035">
        <f>'ORDER SENT'!H49</f>
        <v>0</v>
      </c>
      <c r="F49" s="1035">
        <f t="shared" si="408"/>
        <v>0</v>
      </c>
      <c r="G49" s="1036"/>
      <c r="H49" s="1037">
        <f t="shared" si="409"/>
        <v>0</v>
      </c>
      <c r="I49" s="1038" t="str">
        <f t="shared" si="410"/>
        <v/>
      </c>
      <c r="J49" s="1034"/>
      <c r="K49" s="1035">
        <f>'ORDER SENT'!N49</f>
        <v>0</v>
      </c>
      <c r="L49" s="1035">
        <f t="shared" si="411"/>
        <v>0</v>
      </c>
      <c r="M49" s="1036"/>
      <c r="N49" s="1037">
        <f t="shared" si="412"/>
        <v>0</v>
      </c>
      <c r="O49" s="1038" t="str">
        <f t="shared" si="413"/>
        <v/>
      </c>
      <c r="P49" s="1034"/>
      <c r="Q49" s="1035">
        <f>'ORDER SENT'!T49</f>
        <v>0</v>
      </c>
      <c r="R49" s="1035">
        <f t="shared" si="414"/>
        <v>0</v>
      </c>
      <c r="S49" s="1036"/>
      <c r="T49" s="1037">
        <f t="shared" si="415"/>
        <v>0</v>
      </c>
      <c r="U49" s="1038" t="str">
        <f t="shared" si="416"/>
        <v/>
      </c>
      <c r="V49" s="1034"/>
      <c r="W49" s="1035">
        <f>'ORDER SENT'!Z49</f>
        <v>0</v>
      </c>
      <c r="X49" s="1035">
        <f t="shared" si="417"/>
        <v>0</v>
      </c>
      <c r="Y49" s="1036"/>
      <c r="Z49" s="1037">
        <f t="shared" si="418"/>
        <v>0</v>
      </c>
      <c r="AA49" s="1038" t="str">
        <f t="shared" si="419"/>
        <v/>
      </c>
      <c r="AB49" s="1034"/>
      <c r="AC49" s="1035">
        <f>'ORDER SENT'!AF49</f>
        <v>0</v>
      </c>
      <c r="AD49" s="1035">
        <f t="shared" si="420"/>
        <v>0</v>
      </c>
      <c r="AE49" s="1036"/>
      <c r="AF49" s="1037">
        <f t="shared" si="421"/>
        <v>0</v>
      </c>
      <c r="AG49" s="1038" t="str">
        <f t="shared" si="422"/>
        <v/>
      </c>
      <c r="AH49" s="1034"/>
      <c r="AI49" s="1035">
        <f>'ORDER SENT'!AL49</f>
        <v>0</v>
      </c>
      <c r="AJ49" s="1035">
        <f t="shared" si="423"/>
        <v>0</v>
      </c>
      <c r="AK49" s="1036"/>
      <c r="AL49" s="1037">
        <f t="shared" si="424"/>
        <v>0</v>
      </c>
      <c r="AM49" s="1038" t="str">
        <f t="shared" si="425"/>
        <v/>
      </c>
      <c r="AN49" s="1034"/>
      <c r="AO49" s="1035">
        <f>'ORDER SENT'!AR49</f>
        <v>0</v>
      </c>
      <c r="AP49" s="1035">
        <f t="shared" si="426"/>
        <v>0</v>
      </c>
      <c r="AQ49" s="1036"/>
      <c r="AR49" s="1037">
        <f t="shared" si="427"/>
        <v>0</v>
      </c>
      <c r="AS49" s="1038" t="str">
        <f t="shared" si="428"/>
        <v/>
      </c>
      <c r="AT49" s="1034"/>
      <c r="AU49" s="1035">
        <f>'ORDER SENT'!AX49</f>
        <v>0</v>
      </c>
      <c r="AV49" s="1035">
        <f t="shared" si="429"/>
        <v>0</v>
      </c>
      <c r="AW49" s="1036"/>
      <c r="AX49" s="1037">
        <f t="shared" si="430"/>
        <v>0</v>
      </c>
      <c r="AY49" s="1038" t="str">
        <f t="shared" si="431"/>
        <v/>
      </c>
      <c r="AZ49" s="1034"/>
      <c r="BA49" s="1035">
        <f>'ORDER SENT'!BD49</f>
        <v>0</v>
      </c>
      <c r="BB49" s="1035">
        <f t="shared" si="432"/>
        <v>0</v>
      </c>
      <c r="BC49" s="1036"/>
      <c r="BD49" s="1037">
        <f t="shared" si="433"/>
        <v>0</v>
      </c>
      <c r="BE49" s="1038" t="str">
        <f t="shared" si="434"/>
        <v/>
      </c>
      <c r="BF49" s="1034"/>
      <c r="BG49" s="1035">
        <f>'ORDER SENT'!BJ49</f>
        <v>0</v>
      </c>
      <c r="BH49" s="1035">
        <f t="shared" si="435"/>
        <v>0</v>
      </c>
      <c r="BI49" s="1036"/>
      <c r="BJ49" s="1037">
        <f t="shared" si="436"/>
        <v>0</v>
      </c>
      <c r="BK49" s="1038" t="str">
        <f t="shared" si="437"/>
        <v/>
      </c>
      <c r="BL49" s="1034"/>
      <c r="BM49" s="1035">
        <f>'ORDER SENT'!BP49</f>
        <v>0</v>
      </c>
      <c r="BN49" s="1035">
        <f t="shared" si="438"/>
        <v>0</v>
      </c>
      <c r="BO49" s="1036"/>
      <c r="BP49" s="1037">
        <f t="shared" si="439"/>
        <v>0</v>
      </c>
      <c r="BQ49" s="1038" t="str">
        <f t="shared" si="440"/>
        <v/>
      </c>
      <c r="BR49" s="1034"/>
      <c r="BS49" s="1035">
        <f>'ORDER SENT'!BV49</f>
        <v>0</v>
      </c>
      <c r="BT49" s="1035">
        <f t="shared" si="441"/>
        <v>0</v>
      </c>
      <c r="BU49" s="1036"/>
      <c r="BV49" s="1037">
        <f t="shared" si="442"/>
        <v>0</v>
      </c>
      <c r="BW49" s="1038" t="str">
        <f t="shared" si="443"/>
        <v/>
      </c>
      <c r="BX49" s="1034"/>
      <c r="BY49" s="1035">
        <f>'ORDER SENT'!CB49</f>
        <v>0</v>
      </c>
      <c r="BZ49" s="1035">
        <f t="shared" si="444"/>
        <v>0</v>
      </c>
      <c r="CA49" s="1036"/>
      <c r="CB49" s="1037">
        <f t="shared" si="445"/>
        <v>0</v>
      </c>
      <c r="CC49" s="1038" t="str">
        <f t="shared" si="446"/>
        <v/>
      </c>
      <c r="CD49" s="1034"/>
      <c r="CE49" s="1035">
        <f>'ORDER SENT'!CH49</f>
        <v>0</v>
      </c>
      <c r="CF49" s="1035">
        <f t="shared" si="447"/>
        <v>0</v>
      </c>
      <c r="CG49" s="1036"/>
      <c r="CH49" s="1037">
        <f t="shared" si="448"/>
        <v>0</v>
      </c>
      <c r="CI49" s="1038" t="str">
        <f t="shared" si="449"/>
        <v/>
      </c>
      <c r="CJ49" s="1034"/>
      <c r="CK49" s="1035">
        <f>'ORDER SENT'!CN49</f>
        <v>0</v>
      </c>
      <c r="CL49" s="1035">
        <f t="shared" si="450"/>
        <v>0</v>
      </c>
      <c r="CM49" s="1036"/>
      <c r="CN49" s="1037">
        <f t="shared" si="451"/>
        <v>0</v>
      </c>
      <c r="CO49" s="1038" t="str">
        <f t="shared" si="452"/>
        <v/>
      </c>
      <c r="CP49" s="1034"/>
      <c r="CQ49" s="1035">
        <f>'ORDER SENT'!CT49</f>
        <v>0</v>
      </c>
      <c r="CR49" s="1035">
        <f t="shared" si="453"/>
        <v>0</v>
      </c>
      <c r="CS49" s="1036"/>
      <c r="CT49" s="1037">
        <f t="shared" si="454"/>
        <v>0</v>
      </c>
      <c r="CU49" s="1038" t="str">
        <f t="shared" si="455"/>
        <v/>
      </c>
      <c r="CV49" s="1034"/>
      <c r="CW49" s="1035">
        <f>'ORDER SENT'!CZ49</f>
        <v>0</v>
      </c>
      <c r="CX49" s="1035">
        <f t="shared" si="456"/>
        <v>0</v>
      </c>
      <c r="CY49" s="1036"/>
      <c r="CZ49" s="1037">
        <f t="shared" si="457"/>
        <v>0</v>
      </c>
      <c r="DA49" s="1038" t="str">
        <f t="shared" si="458"/>
        <v/>
      </c>
      <c r="DB49" s="1034"/>
      <c r="DC49" s="1035">
        <f>'ORDER SENT'!DF49</f>
        <v>0</v>
      </c>
      <c r="DD49" s="1035">
        <f t="shared" si="459"/>
        <v>0</v>
      </c>
      <c r="DE49" s="1036"/>
      <c r="DF49" s="1037">
        <f t="shared" si="460"/>
        <v>0</v>
      </c>
      <c r="DG49" s="1038" t="str">
        <f t="shared" si="461"/>
        <v/>
      </c>
      <c r="DH49" s="1034"/>
      <c r="DI49" s="1035">
        <f>'ORDER SENT'!DL49</f>
        <v>0</v>
      </c>
      <c r="DJ49" s="1035">
        <f t="shared" si="462"/>
        <v>0</v>
      </c>
      <c r="DK49" s="1036"/>
      <c r="DL49" s="1037">
        <f t="shared" si="463"/>
        <v>0</v>
      </c>
      <c r="DM49" s="1038" t="str">
        <f t="shared" si="464"/>
        <v/>
      </c>
      <c r="DN49" s="1034"/>
      <c r="DO49" s="1035">
        <f>'ORDER SENT'!DR49</f>
        <v>0</v>
      </c>
      <c r="DP49" s="1035">
        <f t="shared" si="465"/>
        <v>0</v>
      </c>
      <c r="DQ49" s="1036"/>
      <c r="DR49" s="1037">
        <f t="shared" si="466"/>
        <v>0</v>
      </c>
      <c r="DS49" s="1038" t="str">
        <f t="shared" si="467"/>
        <v/>
      </c>
      <c r="DT49" s="1034"/>
      <c r="DU49" s="1035">
        <f>'ORDER SENT'!DX49</f>
        <v>0</v>
      </c>
      <c r="DV49" s="1035">
        <f t="shared" si="468"/>
        <v>0</v>
      </c>
      <c r="DW49" s="1036"/>
      <c r="DX49" s="1037">
        <f t="shared" si="469"/>
        <v>0</v>
      </c>
      <c r="DY49" s="1038" t="str">
        <f t="shared" si="470"/>
        <v/>
      </c>
      <c r="DZ49" s="1034"/>
      <c r="EA49" s="1035">
        <f>'ORDER SENT'!ED49</f>
        <v>0</v>
      </c>
      <c r="EB49" s="1035">
        <f t="shared" si="471"/>
        <v>0</v>
      </c>
      <c r="EC49" s="1036"/>
      <c r="ED49" s="1037">
        <f t="shared" si="472"/>
        <v>0</v>
      </c>
      <c r="EE49" s="1038" t="str">
        <f t="shared" si="473"/>
        <v/>
      </c>
      <c r="EF49" s="1034"/>
      <c r="EG49" s="1035">
        <f>'ORDER SENT'!EJ49</f>
        <v>0</v>
      </c>
      <c r="EH49" s="1035">
        <f t="shared" si="474"/>
        <v>0</v>
      </c>
      <c r="EI49" s="1036"/>
      <c r="EJ49" s="1037">
        <f t="shared" si="475"/>
        <v>0</v>
      </c>
      <c r="EK49" s="1038" t="str">
        <f t="shared" si="476"/>
        <v/>
      </c>
      <c r="EL49" s="1034"/>
      <c r="EM49" s="1035">
        <f>'ORDER SENT'!EP49</f>
        <v>0</v>
      </c>
      <c r="EN49" s="1035">
        <f t="shared" si="477"/>
        <v>0</v>
      </c>
      <c r="EO49" s="1036"/>
      <c r="EP49" s="1037">
        <f t="shared" si="478"/>
        <v>0</v>
      </c>
      <c r="EQ49" s="1038" t="str">
        <f t="shared" si="479"/>
        <v/>
      </c>
      <c r="ER49" s="1034"/>
      <c r="ES49" s="1035">
        <f>'ORDER SENT'!EV49</f>
        <v>0</v>
      </c>
      <c r="ET49" s="1035">
        <f t="shared" si="480"/>
        <v>0</v>
      </c>
      <c r="EU49" s="1036"/>
      <c r="EV49" s="1037">
        <f t="shared" si="481"/>
        <v>0</v>
      </c>
      <c r="EW49" s="1038" t="str">
        <f t="shared" si="482"/>
        <v/>
      </c>
      <c r="EX49" s="1034"/>
      <c r="EY49" s="1035">
        <f>'ORDER SENT'!FB49</f>
        <v>0</v>
      </c>
      <c r="EZ49" s="1035">
        <f t="shared" si="483"/>
        <v>0</v>
      </c>
      <c r="FA49" s="1036"/>
      <c r="FB49" s="1037">
        <f t="shared" si="484"/>
        <v>0</v>
      </c>
      <c r="FC49" s="1038" t="str">
        <f t="shared" si="485"/>
        <v/>
      </c>
      <c r="FD49" s="1034"/>
      <c r="FE49" s="1035">
        <f>'ORDER SENT'!FH49</f>
        <v>0</v>
      </c>
      <c r="FF49" s="1035">
        <f t="shared" si="486"/>
        <v>0</v>
      </c>
      <c r="FG49" s="1036"/>
      <c r="FH49" s="1037">
        <f t="shared" si="487"/>
        <v>0</v>
      </c>
      <c r="FI49" s="1038" t="str">
        <f t="shared" si="488"/>
        <v/>
      </c>
      <c r="FJ49" s="1034"/>
      <c r="FK49" s="1035">
        <f>'ORDER SENT'!FN49</f>
        <v>0</v>
      </c>
      <c r="FL49" s="1035">
        <f t="shared" si="489"/>
        <v>0</v>
      </c>
      <c r="FM49" s="1036"/>
      <c r="FN49" s="1037">
        <f t="shared" si="490"/>
        <v>0</v>
      </c>
      <c r="FO49" s="1038" t="str">
        <f t="shared" si="491"/>
        <v/>
      </c>
      <c r="FP49" s="1034"/>
      <c r="FQ49" s="1035">
        <f>'ORDER SENT'!FT49</f>
        <v>0</v>
      </c>
      <c r="FR49" s="1035">
        <f t="shared" si="492"/>
        <v>0</v>
      </c>
      <c r="FS49" s="1036"/>
      <c r="FT49" s="1037">
        <f t="shared" si="493"/>
        <v>0</v>
      </c>
      <c r="FU49" s="1038" t="str">
        <f t="shared" si="494"/>
        <v/>
      </c>
      <c r="FV49" s="1034"/>
      <c r="FW49" s="1035">
        <f>'ORDER SENT'!FZ49</f>
        <v>0</v>
      </c>
      <c r="FX49" s="1035">
        <f t="shared" si="495"/>
        <v>0</v>
      </c>
      <c r="FY49" s="1036"/>
      <c r="FZ49" s="1037">
        <f t="shared" si="496"/>
        <v>0</v>
      </c>
      <c r="GA49" s="1038" t="str">
        <f t="shared" si="497"/>
        <v/>
      </c>
      <c r="GB49" s="1034"/>
      <c r="GC49" s="1035">
        <f>'ORDER SENT'!GF49</f>
        <v>0</v>
      </c>
      <c r="GD49" s="1035">
        <f t="shared" si="498"/>
        <v>0</v>
      </c>
      <c r="GE49" s="1036"/>
      <c r="GF49" s="1037">
        <f t="shared" si="499"/>
        <v>0</v>
      </c>
      <c r="GG49" s="1046" t="str">
        <f t="shared" si="94"/>
        <v/>
      </c>
      <c r="GH49" s="1047">
        <f t="shared" ref="GH49:GL49" si="511">+GB49+FV49+FP49+FJ49+FD49+EX49+ER49+EL49+EF49+DZ49+DT49+DN49+DH49+DB49+CV49+CP49+CJ49+CD49+BX49+BR49+BL49+BF49++AZ49+AT49+AN49+AH49+AB49+V49+P49+J49+D49</f>
        <v>0</v>
      </c>
      <c r="GI49" s="1047">
        <f t="shared" si="511"/>
        <v>0</v>
      </c>
      <c r="GJ49" s="1047">
        <f t="shared" si="511"/>
        <v>0</v>
      </c>
      <c r="GK49" s="1048">
        <f t="shared" si="511"/>
        <v>0</v>
      </c>
      <c r="GL49" s="1045">
        <f t="shared" si="511"/>
        <v>0</v>
      </c>
      <c r="GM49" s="1049">
        <f t="shared" si="501"/>
        <v>0</v>
      </c>
    </row>
    <row r="50" ht="15.75" customHeight="1">
      <c r="B50" s="1062"/>
      <c r="C50" s="1043"/>
      <c r="D50" s="1039"/>
      <c r="E50" s="1035">
        <f>'ORDER SENT'!H50</f>
        <v>0</v>
      </c>
      <c r="F50" s="1035">
        <f t="shared" si="408"/>
        <v>0</v>
      </c>
      <c r="G50" s="1036"/>
      <c r="H50" s="1037">
        <f t="shared" si="409"/>
        <v>0</v>
      </c>
      <c r="I50" s="1038" t="str">
        <f t="shared" si="410"/>
        <v/>
      </c>
      <c r="J50" s="1034"/>
      <c r="K50" s="1035">
        <f>'ORDER SENT'!N50</f>
        <v>0</v>
      </c>
      <c r="L50" s="1035">
        <f t="shared" si="411"/>
        <v>0</v>
      </c>
      <c r="M50" s="1036"/>
      <c r="N50" s="1037">
        <f t="shared" si="412"/>
        <v>0</v>
      </c>
      <c r="O50" s="1038" t="str">
        <f t="shared" si="413"/>
        <v/>
      </c>
      <c r="P50" s="1034"/>
      <c r="Q50" s="1035">
        <f>'ORDER SENT'!T50</f>
        <v>0</v>
      </c>
      <c r="R50" s="1035">
        <f t="shared" si="414"/>
        <v>0</v>
      </c>
      <c r="S50" s="1036"/>
      <c r="T50" s="1037">
        <f t="shared" si="415"/>
        <v>0</v>
      </c>
      <c r="U50" s="1038" t="str">
        <f t="shared" si="416"/>
        <v/>
      </c>
      <c r="V50" s="1034"/>
      <c r="W50" s="1035">
        <f>'ORDER SENT'!Z50</f>
        <v>0</v>
      </c>
      <c r="X50" s="1035">
        <f t="shared" si="417"/>
        <v>0</v>
      </c>
      <c r="Y50" s="1036"/>
      <c r="Z50" s="1037">
        <f t="shared" si="418"/>
        <v>0</v>
      </c>
      <c r="AA50" s="1038" t="str">
        <f t="shared" si="419"/>
        <v/>
      </c>
      <c r="AB50" s="1034"/>
      <c r="AC50" s="1035">
        <f>'ORDER SENT'!AF50</f>
        <v>0</v>
      </c>
      <c r="AD50" s="1035">
        <f t="shared" si="420"/>
        <v>0</v>
      </c>
      <c r="AE50" s="1036"/>
      <c r="AF50" s="1037">
        <f t="shared" si="421"/>
        <v>0</v>
      </c>
      <c r="AG50" s="1038" t="str">
        <f t="shared" si="422"/>
        <v/>
      </c>
      <c r="AH50" s="1034"/>
      <c r="AI50" s="1035">
        <f>'ORDER SENT'!AL50</f>
        <v>0</v>
      </c>
      <c r="AJ50" s="1035">
        <f t="shared" si="423"/>
        <v>0</v>
      </c>
      <c r="AK50" s="1036"/>
      <c r="AL50" s="1037">
        <f t="shared" si="424"/>
        <v>0</v>
      </c>
      <c r="AM50" s="1038" t="str">
        <f t="shared" si="425"/>
        <v/>
      </c>
      <c r="AN50" s="1034"/>
      <c r="AO50" s="1035">
        <f>'ORDER SENT'!AR50</f>
        <v>0</v>
      </c>
      <c r="AP50" s="1035">
        <f t="shared" si="426"/>
        <v>0</v>
      </c>
      <c r="AQ50" s="1036"/>
      <c r="AR50" s="1037">
        <f t="shared" si="427"/>
        <v>0</v>
      </c>
      <c r="AS50" s="1038" t="str">
        <f t="shared" si="428"/>
        <v/>
      </c>
      <c r="AT50" s="1034"/>
      <c r="AU50" s="1035">
        <f>'ORDER SENT'!AX50</f>
        <v>0</v>
      </c>
      <c r="AV50" s="1035">
        <f t="shared" si="429"/>
        <v>0</v>
      </c>
      <c r="AW50" s="1036"/>
      <c r="AX50" s="1037">
        <f t="shared" si="430"/>
        <v>0</v>
      </c>
      <c r="AY50" s="1038" t="str">
        <f t="shared" si="431"/>
        <v/>
      </c>
      <c r="AZ50" s="1034"/>
      <c r="BA50" s="1035">
        <f>'ORDER SENT'!BD50</f>
        <v>0</v>
      </c>
      <c r="BB50" s="1035">
        <f t="shared" si="432"/>
        <v>0</v>
      </c>
      <c r="BC50" s="1036"/>
      <c r="BD50" s="1037">
        <f t="shared" si="433"/>
        <v>0</v>
      </c>
      <c r="BE50" s="1038" t="str">
        <f t="shared" si="434"/>
        <v/>
      </c>
      <c r="BF50" s="1034"/>
      <c r="BG50" s="1035">
        <f>'ORDER SENT'!BJ50</f>
        <v>0</v>
      </c>
      <c r="BH50" s="1035">
        <f t="shared" si="435"/>
        <v>0</v>
      </c>
      <c r="BI50" s="1036"/>
      <c r="BJ50" s="1037">
        <f t="shared" si="436"/>
        <v>0</v>
      </c>
      <c r="BK50" s="1038" t="str">
        <f t="shared" si="437"/>
        <v/>
      </c>
      <c r="BL50" s="1034"/>
      <c r="BM50" s="1035">
        <f>'ORDER SENT'!BP50</f>
        <v>0</v>
      </c>
      <c r="BN50" s="1035">
        <f t="shared" si="438"/>
        <v>0</v>
      </c>
      <c r="BO50" s="1036"/>
      <c r="BP50" s="1037">
        <f t="shared" si="439"/>
        <v>0</v>
      </c>
      <c r="BQ50" s="1038" t="str">
        <f t="shared" si="440"/>
        <v/>
      </c>
      <c r="BR50" s="1034"/>
      <c r="BS50" s="1035">
        <f>'ORDER SENT'!BV50</f>
        <v>0</v>
      </c>
      <c r="BT50" s="1035">
        <f t="shared" si="441"/>
        <v>0</v>
      </c>
      <c r="BU50" s="1036"/>
      <c r="BV50" s="1037">
        <f t="shared" si="442"/>
        <v>0</v>
      </c>
      <c r="BW50" s="1038" t="str">
        <f t="shared" si="443"/>
        <v/>
      </c>
      <c r="BX50" s="1034"/>
      <c r="BY50" s="1035">
        <f>'ORDER SENT'!CB50</f>
        <v>0</v>
      </c>
      <c r="BZ50" s="1035">
        <f t="shared" si="444"/>
        <v>0</v>
      </c>
      <c r="CA50" s="1036"/>
      <c r="CB50" s="1037">
        <f t="shared" si="445"/>
        <v>0</v>
      </c>
      <c r="CC50" s="1038" t="str">
        <f t="shared" si="446"/>
        <v/>
      </c>
      <c r="CD50" s="1034"/>
      <c r="CE50" s="1035">
        <f>'ORDER SENT'!CH50</f>
        <v>0</v>
      </c>
      <c r="CF50" s="1035">
        <f t="shared" si="447"/>
        <v>0</v>
      </c>
      <c r="CG50" s="1036"/>
      <c r="CH50" s="1037">
        <f t="shared" si="448"/>
        <v>0</v>
      </c>
      <c r="CI50" s="1038" t="str">
        <f t="shared" si="449"/>
        <v/>
      </c>
      <c r="CJ50" s="1034"/>
      <c r="CK50" s="1035">
        <f>'ORDER SENT'!CN50</f>
        <v>0</v>
      </c>
      <c r="CL50" s="1035">
        <f t="shared" si="450"/>
        <v>0</v>
      </c>
      <c r="CM50" s="1036"/>
      <c r="CN50" s="1037">
        <f t="shared" si="451"/>
        <v>0</v>
      </c>
      <c r="CO50" s="1038" t="str">
        <f t="shared" si="452"/>
        <v/>
      </c>
      <c r="CP50" s="1034"/>
      <c r="CQ50" s="1035">
        <f>'ORDER SENT'!CT50</f>
        <v>0</v>
      </c>
      <c r="CR50" s="1035">
        <f t="shared" si="453"/>
        <v>0</v>
      </c>
      <c r="CS50" s="1036"/>
      <c r="CT50" s="1037">
        <f t="shared" si="454"/>
        <v>0</v>
      </c>
      <c r="CU50" s="1038" t="str">
        <f t="shared" si="455"/>
        <v/>
      </c>
      <c r="CV50" s="1034"/>
      <c r="CW50" s="1035">
        <f>'ORDER SENT'!CZ50</f>
        <v>0</v>
      </c>
      <c r="CX50" s="1035">
        <f t="shared" si="456"/>
        <v>0</v>
      </c>
      <c r="CY50" s="1036"/>
      <c r="CZ50" s="1037">
        <f t="shared" si="457"/>
        <v>0</v>
      </c>
      <c r="DA50" s="1038" t="str">
        <f t="shared" si="458"/>
        <v/>
      </c>
      <c r="DB50" s="1034"/>
      <c r="DC50" s="1035">
        <f>'ORDER SENT'!DF50</f>
        <v>0</v>
      </c>
      <c r="DD50" s="1035">
        <f t="shared" si="459"/>
        <v>0</v>
      </c>
      <c r="DE50" s="1036"/>
      <c r="DF50" s="1037">
        <f t="shared" si="460"/>
        <v>0</v>
      </c>
      <c r="DG50" s="1038" t="str">
        <f t="shared" si="461"/>
        <v/>
      </c>
      <c r="DH50" s="1034"/>
      <c r="DI50" s="1035">
        <f>'ORDER SENT'!DL50</f>
        <v>0</v>
      </c>
      <c r="DJ50" s="1035">
        <f t="shared" si="462"/>
        <v>0</v>
      </c>
      <c r="DK50" s="1036"/>
      <c r="DL50" s="1037">
        <f t="shared" si="463"/>
        <v>0</v>
      </c>
      <c r="DM50" s="1038" t="str">
        <f t="shared" si="464"/>
        <v/>
      </c>
      <c r="DN50" s="1034"/>
      <c r="DO50" s="1035">
        <f>'ORDER SENT'!DR50</f>
        <v>0</v>
      </c>
      <c r="DP50" s="1035">
        <f t="shared" si="465"/>
        <v>0</v>
      </c>
      <c r="DQ50" s="1036"/>
      <c r="DR50" s="1037">
        <f t="shared" si="466"/>
        <v>0</v>
      </c>
      <c r="DS50" s="1038" t="str">
        <f t="shared" si="467"/>
        <v/>
      </c>
      <c r="DT50" s="1034"/>
      <c r="DU50" s="1035">
        <f>'ORDER SENT'!DX50</f>
        <v>0</v>
      </c>
      <c r="DV50" s="1035">
        <f t="shared" si="468"/>
        <v>0</v>
      </c>
      <c r="DW50" s="1036"/>
      <c r="DX50" s="1037">
        <f t="shared" si="469"/>
        <v>0</v>
      </c>
      <c r="DY50" s="1038" t="str">
        <f t="shared" si="470"/>
        <v/>
      </c>
      <c r="DZ50" s="1034"/>
      <c r="EA50" s="1035">
        <f>'ORDER SENT'!ED50</f>
        <v>0</v>
      </c>
      <c r="EB50" s="1035">
        <f t="shared" si="471"/>
        <v>0</v>
      </c>
      <c r="EC50" s="1036"/>
      <c r="ED50" s="1037">
        <f t="shared" si="472"/>
        <v>0</v>
      </c>
      <c r="EE50" s="1038" t="str">
        <f t="shared" si="473"/>
        <v/>
      </c>
      <c r="EF50" s="1034"/>
      <c r="EG50" s="1035">
        <f>'ORDER SENT'!EJ50</f>
        <v>0</v>
      </c>
      <c r="EH50" s="1035">
        <f t="shared" si="474"/>
        <v>0</v>
      </c>
      <c r="EI50" s="1036"/>
      <c r="EJ50" s="1037">
        <f t="shared" si="475"/>
        <v>0</v>
      </c>
      <c r="EK50" s="1038" t="str">
        <f t="shared" si="476"/>
        <v/>
      </c>
      <c r="EL50" s="1034"/>
      <c r="EM50" s="1035">
        <f>'ORDER SENT'!EP50</f>
        <v>0</v>
      </c>
      <c r="EN50" s="1035">
        <f t="shared" si="477"/>
        <v>0</v>
      </c>
      <c r="EO50" s="1036"/>
      <c r="EP50" s="1037">
        <f t="shared" si="478"/>
        <v>0</v>
      </c>
      <c r="EQ50" s="1038" t="str">
        <f t="shared" si="479"/>
        <v/>
      </c>
      <c r="ER50" s="1034"/>
      <c r="ES50" s="1035">
        <f>'ORDER SENT'!EV50</f>
        <v>0</v>
      </c>
      <c r="ET50" s="1035">
        <f t="shared" si="480"/>
        <v>0</v>
      </c>
      <c r="EU50" s="1036"/>
      <c r="EV50" s="1037">
        <f t="shared" si="481"/>
        <v>0</v>
      </c>
      <c r="EW50" s="1038" t="str">
        <f t="shared" si="482"/>
        <v/>
      </c>
      <c r="EX50" s="1034"/>
      <c r="EY50" s="1035">
        <f>'ORDER SENT'!FB50</f>
        <v>0</v>
      </c>
      <c r="EZ50" s="1035">
        <f t="shared" si="483"/>
        <v>0</v>
      </c>
      <c r="FA50" s="1036"/>
      <c r="FB50" s="1037">
        <f t="shared" si="484"/>
        <v>0</v>
      </c>
      <c r="FC50" s="1038" t="str">
        <f t="shared" si="485"/>
        <v/>
      </c>
      <c r="FD50" s="1034"/>
      <c r="FE50" s="1035">
        <f>'ORDER SENT'!FH50</f>
        <v>0</v>
      </c>
      <c r="FF50" s="1035">
        <f t="shared" si="486"/>
        <v>0</v>
      </c>
      <c r="FG50" s="1036"/>
      <c r="FH50" s="1037">
        <f t="shared" si="487"/>
        <v>0</v>
      </c>
      <c r="FI50" s="1038" t="str">
        <f t="shared" si="488"/>
        <v/>
      </c>
      <c r="FJ50" s="1034"/>
      <c r="FK50" s="1035">
        <f>'ORDER SENT'!FN50</f>
        <v>0</v>
      </c>
      <c r="FL50" s="1035">
        <f t="shared" si="489"/>
        <v>0</v>
      </c>
      <c r="FM50" s="1036"/>
      <c r="FN50" s="1037">
        <f t="shared" si="490"/>
        <v>0</v>
      </c>
      <c r="FO50" s="1038" t="str">
        <f t="shared" si="491"/>
        <v/>
      </c>
      <c r="FP50" s="1034"/>
      <c r="FQ50" s="1035">
        <f>'ORDER SENT'!FT50</f>
        <v>0</v>
      </c>
      <c r="FR50" s="1035">
        <f t="shared" si="492"/>
        <v>0</v>
      </c>
      <c r="FS50" s="1036"/>
      <c r="FT50" s="1037">
        <f t="shared" si="493"/>
        <v>0</v>
      </c>
      <c r="FU50" s="1038" t="str">
        <f t="shared" si="494"/>
        <v/>
      </c>
      <c r="FV50" s="1034"/>
      <c r="FW50" s="1035">
        <f>'ORDER SENT'!FZ50</f>
        <v>0</v>
      </c>
      <c r="FX50" s="1035">
        <f t="shared" si="495"/>
        <v>0</v>
      </c>
      <c r="FY50" s="1036"/>
      <c r="FZ50" s="1037">
        <f t="shared" si="496"/>
        <v>0</v>
      </c>
      <c r="GA50" s="1038" t="str">
        <f t="shared" si="497"/>
        <v/>
      </c>
      <c r="GB50" s="1034"/>
      <c r="GC50" s="1035">
        <f>'ORDER SENT'!GF50</f>
        <v>0</v>
      </c>
      <c r="GD50" s="1035">
        <f t="shared" si="498"/>
        <v>0</v>
      </c>
      <c r="GE50" s="1036"/>
      <c r="GF50" s="1037">
        <f t="shared" si="499"/>
        <v>0</v>
      </c>
      <c r="GG50" s="1046" t="str">
        <f t="shared" si="94"/>
        <v/>
      </c>
      <c r="GH50" s="1047">
        <f t="shared" ref="GH50:GL50" si="512">+GB50+FV50+FP50+FJ50+FD50+EX50+ER50+EL50+EF50+DZ50+DT50+DN50+DH50+DB50+CV50+CP50+CJ50+CD50+BX50+BR50+BL50+BF50++AZ50+AT50+AN50+AH50+AB50+V50+P50+J50+D50</f>
        <v>0</v>
      </c>
      <c r="GI50" s="1047">
        <f t="shared" si="512"/>
        <v>0</v>
      </c>
      <c r="GJ50" s="1047">
        <f t="shared" si="512"/>
        <v>0</v>
      </c>
      <c r="GK50" s="1048">
        <f t="shared" si="512"/>
        <v>0</v>
      </c>
      <c r="GL50" s="1045">
        <f t="shared" si="512"/>
        <v>0</v>
      </c>
      <c r="GM50" s="1049">
        <f t="shared" si="501"/>
        <v>0</v>
      </c>
    </row>
    <row r="51" ht="15.75" customHeight="1">
      <c r="B51" s="1063"/>
      <c r="C51" s="1064"/>
      <c r="D51" s="1065"/>
      <c r="E51" s="1035">
        <f>'ORDER SENT'!H51</f>
        <v>0</v>
      </c>
      <c r="F51" s="1035">
        <f t="shared" si="408"/>
        <v>0</v>
      </c>
      <c r="G51" s="1036"/>
      <c r="H51" s="1037">
        <f t="shared" si="409"/>
        <v>0</v>
      </c>
      <c r="I51" s="1066" t="str">
        <f t="shared" si="410"/>
        <v/>
      </c>
      <c r="J51" s="1067"/>
      <c r="K51" s="1068">
        <f>'ORDER SENT'!N51</f>
        <v>0</v>
      </c>
      <c r="L51" s="1068">
        <f t="shared" si="411"/>
        <v>0</v>
      </c>
      <c r="M51" s="1069"/>
      <c r="N51" s="1070">
        <f t="shared" si="412"/>
        <v>0</v>
      </c>
      <c r="O51" s="1066" t="str">
        <f t="shared" si="413"/>
        <v/>
      </c>
      <c r="P51" s="1067"/>
      <c r="Q51" s="1068">
        <f>'ORDER SENT'!T51</f>
        <v>0</v>
      </c>
      <c r="R51" s="1068">
        <f t="shared" si="414"/>
        <v>0</v>
      </c>
      <c r="S51" s="1069"/>
      <c r="T51" s="1070">
        <f t="shared" si="415"/>
        <v>0</v>
      </c>
      <c r="U51" s="1066" t="str">
        <f t="shared" si="416"/>
        <v/>
      </c>
      <c r="V51" s="1067"/>
      <c r="W51" s="1068">
        <f>'ORDER SENT'!Z51</f>
        <v>0</v>
      </c>
      <c r="X51" s="1068">
        <f t="shared" si="417"/>
        <v>0</v>
      </c>
      <c r="Y51" s="1069"/>
      <c r="Z51" s="1070">
        <f t="shared" si="418"/>
        <v>0</v>
      </c>
      <c r="AA51" s="1066" t="str">
        <f t="shared" si="419"/>
        <v/>
      </c>
      <c r="AB51" s="1067"/>
      <c r="AC51" s="1068">
        <f>'ORDER SENT'!AF51</f>
        <v>0</v>
      </c>
      <c r="AD51" s="1068">
        <f t="shared" si="420"/>
        <v>0</v>
      </c>
      <c r="AE51" s="1069"/>
      <c r="AF51" s="1070">
        <f t="shared" si="421"/>
        <v>0</v>
      </c>
      <c r="AG51" s="1066" t="str">
        <f t="shared" si="422"/>
        <v/>
      </c>
      <c r="AH51" s="1067"/>
      <c r="AI51" s="1068">
        <f>'ORDER SENT'!AL51</f>
        <v>0</v>
      </c>
      <c r="AJ51" s="1068">
        <f t="shared" si="423"/>
        <v>0</v>
      </c>
      <c r="AK51" s="1069"/>
      <c r="AL51" s="1070">
        <f t="shared" si="424"/>
        <v>0</v>
      </c>
      <c r="AM51" s="1066" t="str">
        <f t="shared" si="425"/>
        <v/>
      </c>
      <c r="AN51" s="1067"/>
      <c r="AO51" s="1068">
        <f>'ORDER SENT'!AR51</f>
        <v>0</v>
      </c>
      <c r="AP51" s="1068">
        <f t="shared" si="426"/>
        <v>0</v>
      </c>
      <c r="AQ51" s="1069"/>
      <c r="AR51" s="1070">
        <f t="shared" si="427"/>
        <v>0</v>
      </c>
      <c r="AS51" s="1066" t="str">
        <f t="shared" si="428"/>
        <v/>
      </c>
      <c r="AT51" s="1067"/>
      <c r="AU51" s="1068">
        <f>'ORDER SENT'!AX51</f>
        <v>0</v>
      </c>
      <c r="AV51" s="1068">
        <f t="shared" si="429"/>
        <v>0</v>
      </c>
      <c r="AW51" s="1069"/>
      <c r="AX51" s="1070">
        <f t="shared" si="430"/>
        <v>0</v>
      </c>
      <c r="AY51" s="1066" t="str">
        <f t="shared" si="431"/>
        <v/>
      </c>
      <c r="AZ51" s="1067"/>
      <c r="BA51" s="1068">
        <f>'ORDER SENT'!BD51</f>
        <v>0</v>
      </c>
      <c r="BB51" s="1068">
        <f t="shared" si="432"/>
        <v>0</v>
      </c>
      <c r="BC51" s="1069"/>
      <c r="BD51" s="1070">
        <f t="shared" si="433"/>
        <v>0</v>
      </c>
      <c r="BE51" s="1066" t="str">
        <f t="shared" si="434"/>
        <v/>
      </c>
      <c r="BF51" s="1067"/>
      <c r="BG51" s="1068">
        <f>'ORDER SENT'!BJ51</f>
        <v>0</v>
      </c>
      <c r="BH51" s="1068">
        <f t="shared" si="435"/>
        <v>0</v>
      </c>
      <c r="BI51" s="1069"/>
      <c r="BJ51" s="1070">
        <f t="shared" si="436"/>
        <v>0</v>
      </c>
      <c r="BK51" s="1066" t="str">
        <f t="shared" si="437"/>
        <v/>
      </c>
      <c r="BL51" s="1067"/>
      <c r="BM51" s="1068">
        <f>'ORDER SENT'!BP51</f>
        <v>0</v>
      </c>
      <c r="BN51" s="1068">
        <f t="shared" si="438"/>
        <v>0</v>
      </c>
      <c r="BO51" s="1069"/>
      <c r="BP51" s="1070">
        <f t="shared" si="439"/>
        <v>0</v>
      </c>
      <c r="BQ51" s="1066" t="str">
        <f t="shared" si="440"/>
        <v/>
      </c>
      <c r="BR51" s="1067"/>
      <c r="BS51" s="1068">
        <f>'ORDER SENT'!BV51</f>
        <v>0</v>
      </c>
      <c r="BT51" s="1068">
        <f t="shared" si="441"/>
        <v>0</v>
      </c>
      <c r="BU51" s="1069"/>
      <c r="BV51" s="1070">
        <f t="shared" si="442"/>
        <v>0</v>
      </c>
      <c r="BW51" s="1066" t="str">
        <f t="shared" si="443"/>
        <v/>
      </c>
      <c r="BX51" s="1067"/>
      <c r="BY51" s="1068">
        <f>'ORDER SENT'!CB51</f>
        <v>0</v>
      </c>
      <c r="BZ51" s="1068">
        <f t="shared" si="444"/>
        <v>0</v>
      </c>
      <c r="CA51" s="1069"/>
      <c r="CB51" s="1070">
        <f t="shared" si="445"/>
        <v>0</v>
      </c>
      <c r="CC51" s="1066" t="str">
        <f t="shared" si="446"/>
        <v/>
      </c>
      <c r="CD51" s="1067"/>
      <c r="CE51" s="1068">
        <f>'ORDER SENT'!CH51</f>
        <v>0</v>
      </c>
      <c r="CF51" s="1068">
        <f t="shared" si="447"/>
        <v>0</v>
      </c>
      <c r="CG51" s="1069"/>
      <c r="CH51" s="1070">
        <f t="shared" si="448"/>
        <v>0</v>
      </c>
      <c r="CI51" s="1066" t="str">
        <f t="shared" si="449"/>
        <v/>
      </c>
      <c r="CJ51" s="1067"/>
      <c r="CK51" s="1068">
        <f>'ORDER SENT'!CN51</f>
        <v>0</v>
      </c>
      <c r="CL51" s="1068">
        <f t="shared" si="450"/>
        <v>0</v>
      </c>
      <c r="CM51" s="1069"/>
      <c r="CN51" s="1070">
        <f t="shared" si="451"/>
        <v>0</v>
      </c>
      <c r="CO51" s="1066" t="str">
        <f t="shared" si="452"/>
        <v/>
      </c>
      <c r="CP51" s="1067"/>
      <c r="CQ51" s="1068">
        <f>'ORDER SENT'!CT51</f>
        <v>0</v>
      </c>
      <c r="CR51" s="1068">
        <f t="shared" si="453"/>
        <v>0</v>
      </c>
      <c r="CS51" s="1069"/>
      <c r="CT51" s="1070">
        <f t="shared" si="454"/>
        <v>0</v>
      </c>
      <c r="CU51" s="1066" t="str">
        <f t="shared" si="455"/>
        <v/>
      </c>
      <c r="CV51" s="1067"/>
      <c r="CW51" s="1068">
        <f>'ORDER SENT'!CZ51</f>
        <v>0</v>
      </c>
      <c r="CX51" s="1068">
        <f t="shared" si="456"/>
        <v>0</v>
      </c>
      <c r="CY51" s="1069"/>
      <c r="CZ51" s="1070">
        <f t="shared" si="457"/>
        <v>0</v>
      </c>
      <c r="DA51" s="1066" t="str">
        <f t="shared" si="458"/>
        <v/>
      </c>
      <c r="DB51" s="1067"/>
      <c r="DC51" s="1068">
        <f>'ORDER SENT'!DF51</f>
        <v>0</v>
      </c>
      <c r="DD51" s="1068">
        <f t="shared" si="459"/>
        <v>0</v>
      </c>
      <c r="DE51" s="1069"/>
      <c r="DF51" s="1070">
        <f t="shared" si="460"/>
        <v>0</v>
      </c>
      <c r="DG51" s="1066" t="str">
        <f t="shared" si="461"/>
        <v/>
      </c>
      <c r="DH51" s="1067"/>
      <c r="DI51" s="1068">
        <f>'ORDER SENT'!DL51</f>
        <v>0</v>
      </c>
      <c r="DJ51" s="1068">
        <f t="shared" si="462"/>
        <v>0</v>
      </c>
      <c r="DK51" s="1069"/>
      <c r="DL51" s="1070">
        <f t="shared" si="463"/>
        <v>0</v>
      </c>
      <c r="DM51" s="1066" t="str">
        <f t="shared" si="464"/>
        <v/>
      </c>
      <c r="DN51" s="1067"/>
      <c r="DO51" s="1068">
        <f>'ORDER SENT'!DR51</f>
        <v>0</v>
      </c>
      <c r="DP51" s="1068">
        <f t="shared" si="465"/>
        <v>0</v>
      </c>
      <c r="DQ51" s="1069"/>
      <c r="DR51" s="1070">
        <f t="shared" si="466"/>
        <v>0</v>
      </c>
      <c r="DS51" s="1066" t="str">
        <f t="shared" si="467"/>
        <v/>
      </c>
      <c r="DT51" s="1067"/>
      <c r="DU51" s="1068">
        <f>'ORDER SENT'!DX51</f>
        <v>0</v>
      </c>
      <c r="DV51" s="1068">
        <f t="shared" si="468"/>
        <v>0</v>
      </c>
      <c r="DW51" s="1069"/>
      <c r="DX51" s="1070">
        <f t="shared" si="469"/>
        <v>0</v>
      </c>
      <c r="DY51" s="1066" t="str">
        <f t="shared" si="470"/>
        <v/>
      </c>
      <c r="DZ51" s="1067"/>
      <c r="EA51" s="1068">
        <f>'ORDER SENT'!ED51</f>
        <v>0</v>
      </c>
      <c r="EB51" s="1068">
        <f t="shared" si="471"/>
        <v>0</v>
      </c>
      <c r="EC51" s="1069"/>
      <c r="ED51" s="1070">
        <f t="shared" si="472"/>
        <v>0</v>
      </c>
      <c r="EE51" s="1066" t="str">
        <f t="shared" si="473"/>
        <v/>
      </c>
      <c r="EF51" s="1067"/>
      <c r="EG51" s="1068">
        <f>'ORDER SENT'!EJ51</f>
        <v>0</v>
      </c>
      <c r="EH51" s="1068">
        <f t="shared" si="474"/>
        <v>0</v>
      </c>
      <c r="EI51" s="1069"/>
      <c r="EJ51" s="1070">
        <f t="shared" si="475"/>
        <v>0</v>
      </c>
      <c r="EK51" s="1066" t="str">
        <f t="shared" si="476"/>
        <v/>
      </c>
      <c r="EL51" s="1067"/>
      <c r="EM51" s="1068">
        <f>'ORDER SENT'!EP51</f>
        <v>0</v>
      </c>
      <c r="EN51" s="1068">
        <f t="shared" si="477"/>
        <v>0</v>
      </c>
      <c r="EO51" s="1069"/>
      <c r="EP51" s="1070">
        <f t="shared" si="478"/>
        <v>0</v>
      </c>
      <c r="EQ51" s="1066" t="str">
        <f t="shared" si="479"/>
        <v/>
      </c>
      <c r="ER51" s="1067"/>
      <c r="ES51" s="1068">
        <f>'ORDER SENT'!EV51</f>
        <v>0</v>
      </c>
      <c r="ET51" s="1068">
        <f t="shared" si="480"/>
        <v>0</v>
      </c>
      <c r="EU51" s="1069"/>
      <c r="EV51" s="1070">
        <f t="shared" si="481"/>
        <v>0</v>
      </c>
      <c r="EW51" s="1066" t="str">
        <f t="shared" si="482"/>
        <v/>
      </c>
      <c r="EX51" s="1067"/>
      <c r="EY51" s="1068">
        <f>'ORDER SENT'!FB51</f>
        <v>0</v>
      </c>
      <c r="EZ51" s="1068">
        <f t="shared" si="483"/>
        <v>0</v>
      </c>
      <c r="FA51" s="1069"/>
      <c r="FB51" s="1070">
        <f t="shared" si="484"/>
        <v>0</v>
      </c>
      <c r="FC51" s="1066" t="str">
        <f t="shared" si="485"/>
        <v/>
      </c>
      <c r="FD51" s="1067"/>
      <c r="FE51" s="1068">
        <f>'ORDER SENT'!FH51</f>
        <v>0</v>
      </c>
      <c r="FF51" s="1068">
        <f t="shared" si="486"/>
        <v>0</v>
      </c>
      <c r="FG51" s="1069"/>
      <c r="FH51" s="1070">
        <f t="shared" si="487"/>
        <v>0</v>
      </c>
      <c r="FI51" s="1066" t="str">
        <f t="shared" si="488"/>
        <v/>
      </c>
      <c r="FJ51" s="1067"/>
      <c r="FK51" s="1068">
        <f>'ORDER SENT'!FN51</f>
        <v>0</v>
      </c>
      <c r="FL51" s="1068">
        <f t="shared" si="489"/>
        <v>0</v>
      </c>
      <c r="FM51" s="1069"/>
      <c r="FN51" s="1070">
        <f t="shared" si="490"/>
        <v>0</v>
      </c>
      <c r="FO51" s="1066" t="str">
        <f t="shared" si="491"/>
        <v/>
      </c>
      <c r="FP51" s="1067"/>
      <c r="FQ51" s="1068">
        <f>'ORDER SENT'!FT51</f>
        <v>0</v>
      </c>
      <c r="FR51" s="1068">
        <f t="shared" si="492"/>
        <v>0</v>
      </c>
      <c r="FS51" s="1069"/>
      <c r="FT51" s="1070">
        <f t="shared" si="493"/>
        <v>0</v>
      </c>
      <c r="FU51" s="1066" t="str">
        <f t="shared" si="494"/>
        <v/>
      </c>
      <c r="FV51" s="1067"/>
      <c r="FW51" s="1068">
        <f>'ORDER SENT'!FZ51</f>
        <v>0</v>
      </c>
      <c r="FX51" s="1068">
        <f t="shared" si="495"/>
        <v>0</v>
      </c>
      <c r="FY51" s="1069"/>
      <c r="FZ51" s="1070">
        <f t="shared" si="496"/>
        <v>0</v>
      </c>
      <c r="GA51" s="1066" t="str">
        <f t="shared" si="497"/>
        <v/>
      </c>
      <c r="GB51" s="1067"/>
      <c r="GC51" s="1068">
        <f>'ORDER SENT'!GF51</f>
        <v>0</v>
      </c>
      <c r="GD51" s="1068">
        <f t="shared" si="498"/>
        <v>0</v>
      </c>
      <c r="GE51" s="1069"/>
      <c r="GF51" s="1070">
        <f t="shared" si="499"/>
        <v>0</v>
      </c>
      <c r="GG51" s="1071" t="str">
        <f t="shared" si="94"/>
        <v/>
      </c>
      <c r="GH51" s="1072">
        <f t="shared" ref="GH51:GL51" si="513">+GB51+FV51+FP51+FJ51+FD51+EX51+ER51+EL51+EF51+DZ51+DT51+DN51+DH51+DB51+CV51+CP51+CJ51+CD51+BX51+BR51+BL51+BF51++AZ51+AT51+AN51+AH51+AB51+V51+P51+J51+D51</f>
        <v>0</v>
      </c>
      <c r="GI51" s="1072">
        <f t="shared" si="513"/>
        <v>0</v>
      </c>
      <c r="GJ51" s="1072">
        <f t="shared" si="513"/>
        <v>0</v>
      </c>
      <c r="GK51" s="1073">
        <f t="shared" si="513"/>
        <v>0</v>
      </c>
      <c r="GL51" s="1074">
        <f t="shared" si="513"/>
        <v>0</v>
      </c>
      <c r="GM51" s="1075">
        <f t="shared" si="50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</sheetData>
  <mergeCells count="32">
    <mergeCell ref="C2:H2"/>
    <mergeCell ref="I2:N2"/>
    <mergeCell ref="O2:T2"/>
    <mergeCell ref="U2:Z2"/>
    <mergeCell ref="AA2:AF2"/>
    <mergeCell ref="AG2:AL2"/>
    <mergeCell ref="AM2:AR2"/>
    <mergeCell ref="AS2:AX2"/>
    <mergeCell ref="AY2:BD2"/>
    <mergeCell ref="BE2:BJ2"/>
    <mergeCell ref="BK2:BP2"/>
    <mergeCell ref="BQ2:BV2"/>
    <mergeCell ref="BW2:CB2"/>
    <mergeCell ref="CC2:CH2"/>
    <mergeCell ref="CI2:CN2"/>
    <mergeCell ref="CO2:CT2"/>
    <mergeCell ref="CU2:CZ2"/>
    <mergeCell ref="DA2:DF2"/>
    <mergeCell ref="DG2:DL2"/>
    <mergeCell ref="DM2:DR2"/>
    <mergeCell ref="DS2:DX2"/>
    <mergeCell ref="FO2:FT2"/>
    <mergeCell ref="FU2:FZ2"/>
    <mergeCell ref="GA2:GF2"/>
    <mergeCell ref="GG2:GL2"/>
    <mergeCell ref="DY2:ED2"/>
    <mergeCell ref="EE2:EJ2"/>
    <mergeCell ref="EK2:EP2"/>
    <mergeCell ref="EQ2:EV2"/>
    <mergeCell ref="EW2:FB2"/>
    <mergeCell ref="FC2:FH2"/>
    <mergeCell ref="FI2:FN2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14"/>
    <col customWidth="1" min="2" max="2" width="14.86"/>
    <col customWidth="1" min="3" max="152" width="4.71"/>
    <col customWidth="1" min="153" max="188" width="4.86"/>
    <col customWidth="1" min="189" max="195" width="9.0"/>
  </cols>
  <sheetData>
    <row r="2">
      <c r="B2" s="1017"/>
      <c r="C2" s="1018">
        <v>44774.0</v>
      </c>
      <c r="D2" s="2"/>
      <c r="E2" s="2"/>
      <c r="F2" s="2"/>
      <c r="G2" s="2"/>
      <c r="H2" s="3"/>
      <c r="I2" s="1018">
        <f>1+C2</f>
        <v>44775</v>
      </c>
      <c r="J2" s="2"/>
      <c r="K2" s="2"/>
      <c r="L2" s="2"/>
      <c r="M2" s="2"/>
      <c r="N2" s="3"/>
      <c r="O2" s="1018">
        <f>1+I2</f>
        <v>44776</v>
      </c>
      <c r="P2" s="2"/>
      <c r="Q2" s="2"/>
      <c r="R2" s="2"/>
      <c r="S2" s="2"/>
      <c r="T2" s="3"/>
      <c r="U2" s="1019">
        <f>1+O2</f>
        <v>44777</v>
      </c>
      <c r="V2" s="2"/>
      <c r="W2" s="2"/>
      <c r="X2" s="2"/>
      <c r="Y2" s="2"/>
      <c r="Z2" s="727"/>
      <c r="AA2" s="1018">
        <f>1+U2</f>
        <v>44778</v>
      </c>
      <c r="AB2" s="2"/>
      <c r="AC2" s="2"/>
      <c r="AD2" s="2"/>
      <c r="AE2" s="2"/>
      <c r="AF2" s="3"/>
      <c r="AG2" s="1019">
        <f>1+AA2</f>
        <v>44779</v>
      </c>
      <c r="AH2" s="2"/>
      <c r="AI2" s="2"/>
      <c r="AJ2" s="2"/>
      <c r="AK2" s="2"/>
      <c r="AL2" s="727"/>
      <c r="AM2" s="1018">
        <f>1+AG2</f>
        <v>44780</v>
      </c>
      <c r="AN2" s="2"/>
      <c r="AO2" s="2"/>
      <c r="AP2" s="2"/>
      <c r="AQ2" s="2"/>
      <c r="AR2" s="3"/>
      <c r="AS2" s="1019">
        <f>1+AM2</f>
        <v>44781</v>
      </c>
      <c r="AT2" s="2"/>
      <c r="AU2" s="2"/>
      <c r="AV2" s="2"/>
      <c r="AW2" s="2"/>
      <c r="AX2" s="727"/>
      <c r="AY2" s="1018">
        <f>1+AS2</f>
        <v>44782</v>
      </c>
      <c r="AZ2" s="2"/>
      <c r="BA2" s="2"/>
      <c r="BB2" s="2"/>
      <c r="BC2" s="2"/>
      <c r="BD2" s="3"/>
      <c r="BE2" s="1019">
        <f>1+AY2</f>
        <v>44783</v>
      </c>
      <c r="BF2" s="2"/>
      <c r="BG2" s="2"/>
      <c r="BH2" s="2"/>
      <c r="BI2" s="2"/>
      <c r="BJ2" s="727"/>
      <c r="BK2" s="1018">
        <f>1+BE2</f>
        <v>44784</v>
      </c>
      <c r="BL2" s="2"/>
      <c r="BM2" s="2"/>
      <c r="BN2" s="2"/>
      <c r="BO2" s="2"/>
      <c r="BP2" s="3"/>
      <c r="BQ2" s="1019">
        <f>1+BK2</f>
        <v>44785</v>
      </c>
      <c r="BR2" s="2"/>
      <c r="BS2" s="2"/>
      <c r="BT2" s="2"/>
      <c r="BU2" s="2"/>
      <c r="BV2" s="727"/>
      <c r="BW2" s="1018">
        <f>1+BQ2</f>
        <v>44786</v>
      </c>
      <c r="BX2" s="2"/>
      <c r="BY2" s="2"/>
      <c r="BZ2" s="2"/>
      <c r="CA2" s="2"/>
      <c r="CB2" s="3"/>
      <c r="CC2" s="1019">
        <f>1+BW2</f>
        <v>44787</v>
      </c>
      <c r="CD2" s="2"/>
      <c r="CE2" s="2"/>
      <c r="CF2" s="2"/>
      <c r="CG2" s="2"/>
      <c r="CH2" s="727"/>
      <c r="CI2" s="1018">
        <f>1+CC2</f>
        <v>44788</v>
      </c>
      <c r="CJ2" s="2"/>
      <c r="CK2" s="2"/>
      <c r="CL2" s="2"/>
      <c r="CM2" s="2"/>
      <c r="CN2" s="3"/>
      <c r="CO2" s="1019">
        <f>1+CI2</f>
        <v>44789</v>
      </c>
      <c r="CP2" s="2"/>
      <c r="CQ2" s="2"/>
      <c r="CR2" s="2"/>
      <c r="CS2" s="2"/>
      <c r="CT2" s="727"/>
      <c r="CU2" s="1018">
        <f>1+CO2</f>
        <v>44790</v>
      </c>
      <c r="CV2" s="2"/>
      <c r="CW2" s="2"/>
      <c r="CX2" s="2"/>
      <c r="CY2" s="2"/>
      <c r="CZ2" s="3"/>
      <c r="DA2" s="1019">
        <f>1+CU2</f>
        <v>44791</v>
      </c>
      <c r="DB2" s="2"/>
      <c r="DC2" s="2"/>
      <c r="DD2" s="2"/>
      <c r="DE2" s="2"/>
      <c r="DF2" s="727"/>
      <c r="DG2" s="1018">
        <f>1+DA2</f>
        <v>44792</v>
      </c>
      <c r="DH2" s="2"/>
      <c r="DI2" s="2"/>
      <c r="DJ2" s="2"/>
      <c r="DK2" s="2"/>
      <c r="DL2" s="3"/>
      <c r="DM2" s="1019">
        <f>1+DG2</f>
        <v>44793</v>
      </c>
      <c r="DN2" s="2"/>
      <c r="DO2" s="2"/>
      <c r="DP2" s="2"/>
      <c r="DQ2" s="2"/>
      <c r="DR2" s="727"/>
      <c r="DS2" s="1018">
        <f>1+DM2</f>
        <v>44794</v>
      </c>
      <c r="DT2" s="2"/>
      <c r="DU2" s="2"/>
      <c r="DV2" s="2"/>
      <c r="DW2" s="2"/>
      <c r="DX2" s="3"/>
      <c r="DY2" s="1019">
        <f>1+DS2</f>
        <v>44795</v>
      </c>
      <c r="DZ2" s="2"/>
      <c r="EA2" s="2"/>
      <c r="EB2" s="2"/>
      <c r="EC2" s="2"/>
      <c r="ED2" s="727"/>
      <c r="EE2" s="1018">
        <f>1+DY2</f>
        <v>44796</v>
      </c>
      <c r="EF2" s="2"/>
      <c r="EG2" s="2"/>
      <c r="EH2" s="2"/>
      <c r="EI2" s="2"/>
      <c r="EJ2" s="3"/>
      <c r="EK2" s="1019">
        <f>1+EE2</f>
        <v>44797</v>
      </c>
      <c r="EL2" s="2"/>
      <c r="EM2" s="2"/>
      <c r="EN2" s="2"/>
      <c r="EO2" s="2"/>
      <c r="EP2" s="727"/>
      <c r="EQ2" s="1018">
        <f>1+EK2</f>
        <v>44798</v>
      </c>
      <c r="ER2" s="2"/>
      <c r="ES2" s="2"/>
      <c r="ET2" s="2"/>
      <c r="EU2" s="2"/>
      <c r="EV2" s="3"/>
      <c r="EW2" s="1019">
        <f>1+EQ2</f>
        <v>44799</v>
      </c>
      <c r="EX2" s="2"/>
      <c r="EY2" s="2"/>
      <c r="EZ2" s="2"/>
      <c r="FA2" s="2"/>
      <c r="FB2" s="727"/>
      <c r="FC2" s="1018">
        <f>1+EW2</f>
        <v>44800</v>
      </c>
      <c r="FD2" s="2"/>
      <c r="FE2" s="2"/>
      <c r="FF2" s="2"/>
      <c r="FG2" s="2"/>
      <c r="FH2" s="3"/>
      <c r="FI2" s="1019">
        <f>1+FC2</f>
        <v>44801</v>
      </c>
      <c r="FJ2" s="2"/>
      <c r="FK2" s="2"/>
      <c r="FL2" s="2"/>
      <c r="FM2" s="2"/>
      <c r="FN2" s="727"/>
      <c r="FO2" s="1018">
        <f>1+FI2</f>
        <v>44802</v>
      </c>
      <c r="FP2" s="2"/>
      <c r="FQ2" s="2"/>
      <c r="FR2" s="2"/>
      <c r="FS2" s="2"/>
      <c r="FT2" s="3"/>
      <c r="FU2" s="1019">
        <f>1+FO2</f>
        <v>44803</v>
      </c>
      <c r="FV2" s="2"/>
      <c r="FW2" s="2"/>
      <c r="FX2" s="2"/>
      <c r="FY2" s="2"/>
      <c r="FZ2" s="727"/>
      <c r="GA2" s="1018">
        <f>1+FU2</f>
        <v>44804</v>
      </c>
      <c r="GB2" s="2"/>
      <c r="GC2" s="2"/>
      <c r="GD2" s="2"/>
      <c r="GE2" s="2"/>
      <c r="GF2" s="3"/>
      <c r="GG2" s="1018" t="s">
        <v>62</v>
      </c>
      <c r="GH2" s="2"/>
      <c r="GI2" s="2"/>
      <c r="GJ2" s="2"/>
      <c r="GK2" s="2"/>
      <c r="GL2" s="3"/>
      <c r="GM2" s="1020" t="s">
        <v>620</v>
      </c>
    </row>
    <row r="3">
      <c r="B3" s="1021"/>
      <c r="C3" s="1022" t="s">
        <v>651</v>
      </c>
      <c r="D3" s="1023" t="s">
        <v>652</v>
      </c>
      <c r="E3" s="1023" t="s">
        <v>653</v>
      </c>
      <c r="F3" s="1023" t="s">
        <v>654</v>
      </c>
      <c r="G3" s="1024" t="s">
        <v>655</v>
      </c>
      <c r="H3" s="1025" t="s">
        <v>656</v>
      </c>
      <c r="I3" s="1022" t="s">
        <v>651</v>
      </c>
      <c r="J3" s="1023" t="s">
        <v>652</v>
      </c>
      <c r="K3" s="1023" t="s">
        <v>653</v>
      </c>
      <c r="L3" s="1023" t="s">
        <v>654</v>
      </c>
      <c r="M3" s="1024" t="s">
        <v>655</v>
      </c>
      <c r="N3" s="1025" t="s">
        <v>656</v>
      </c>
      <c r="O3" s="1022" t="s">
        <v>651</v>
      </c>
      <c r="P3" s="1023" t="s">
        <v>652</v>
      </c>
      <c r="Q3" s="1023" t="s">
        <v>653</v>
      </c>
      <c r="R3" s="1023" t="s">
        <v>654</v>
      </c>
      <c r="S3" s="1024" t="s">
        <v>655</v>
      </c>
      <c r="T3" s="1025" t="s">
        <v>656</v>
      </c>
      <c r="U3" s="1022" t="s">
        <v>651</v>
      </c>
      <c r="V3" s="1023" t="s">
        <v>652</v>
      </c>
      <c r="W3" s="1023" t="s">
        <v>653</v>
      </c>
      <c r="X3" s="1023" t="s">
        <v>654</v>
      </c>
      <c r="Y3" s="1024" t="s">
        <v>655</v>
      </c>
      <c r="Z3" s="1025" t="s">
        <v>656</v>
      </c>
      <c r="AA3" s="1022" t="s">
        <v>651</v>
      </c>
      <c r="AB3" s="1023" t="s">
        <v>652</v>
      </c>
      <c r="AC3" s="1023" t="s">
        <v>653</v>
      </c>
      <c r="AD3" s="1023" t="s">
        <v>654</v>
      </c>
      <c r="AE3" s="1024" t="s">
        <v>655</v>
      </c>
      <c r="AF3" s="1025" t="s">
        <v>656</v>
      </c>
      <c r="AG3" s="1022" t="s">
        <v>651</v>
      </c>
      <c r="AH3" s="1023" t="s">
        <v>652</v>
      </c>
      <c r="AI3" s="1023" t="s">
        <v>653</v>
      </c>
      <c r="AJ3" s="1023" t="s">
        <v>654</v>
      </c>
      <c r="AK3" s="1024" t="s">
        <v>655</v>
      </c>
      <c r="AL3" s="1025" t="s">
        <v>656</v>
      </c>
      <c r="AM3" s="1022" t="s">
        <v>651</v>
      </c>
      <c r="AN3" s="1023" t="s">
        <v>652</v>
      </c>
      <c r="AO3" s="1023" t="s">
        <v>653</v>
      </c>
      <c r="AP3" s="1023" t="s">
        <v>654</v>
      </c>
      <c r="AQ3" s="1024" t="s">
        <v>655</v>
      </c>
      <c r="AR3" s="1025" t="s">
        <v>656</v>
      </c>
      <c r="AS3" s="1022" t="s">
        <v>651</v>
      </c>
      <c r="AT3" s="1023" t="s">
        <v>652</v>
      </c>
      <c r="AU3" s="1023" t="s">
        <v>653</v>
      </c>
      <c r="AV3" s="1023" t="s">
        <v>654</v>
      </c>
      <c r="AW3" s="1024" t="s">
        <v>655</v>
      </c>
      <c r="AX3" s="1025" t="s">
        <v>656</v>
      </c>
      <c r="AY3" s="1022" t="s">
        <v>651</v>
      </c>
      <c r="AZ3" s="1023" t="s">
        <v>652</v>
      </c>
      <c r="BA3" s="1023" t="s">
        <v>653</v>
      </c>
      <c r="BB3" s="1023" t="s">
        <v>654</v>
      </c>
      <c r="BC3" s="1024" t="s">
        <v>655</v>
      </c>
      <c r="BD3" s="1025" t="s">
        <v>656</v>
      </c>
      <c r="BE3" s="1022" t="s">
        <v>651</v>
      </c>
      <c r="BF3" s="1023" t="s">
        <v>652</v>
      </c>
      <c r="BG3" s="1023" t="s">
        <v>653</v>
      </c>
      <c r="BH3" s="1023" t="s">
        <v>654</v>
      </c>
      <c r="BI3" s="1024" t="s">
        <v>655</v>
      </c>
      <c r="BJ3" s="1025" t="s">
        <v>656</v>
      </c>
      <c r="BK3" s="1022" t="s">
        <v>651</v>
      </c>
      <c r="BL3" s="1023" t="s">
        <v>652</v>
      </c>
      <c r="BM3" s="1023" t="s">
        <v>653</v>
      </c>
      <c r="BN3" s="1023" t="s">
        <v>654</v>
      </c>
      <c r="BO3" s="1024" t="s">
        <v>655</v>
      </c>
      <c r="BP3" s="1025" t="s">
        <v>656</v>
      </c>
      <c r="BQ3" s="1022" t="s">
        <v>651</v>
      </c>
      <c r="BR3" s="1023" t="s">
        <v>652</v>
      </c>
      <c r="BS3" s="1023" t="s">
        <v>653</v>
      </c>
      <c r="BT3" s="1023" t="s">
        <v>654</v>
      </c>
      <c r="BU3" s="1024" t="s">
        <v>655</v>
      </c>
      <c r="BV3" s="1025" t="s">
        <v>656</v>
      </c>
      <c r="BW3" s="1022" t="s">
        <v>651</v>
      </c>
      <c r="BX3" s="1023" t="s">
        <v>652</v>
      </c>
      <c r="BY3" s="1023" t="s">
        <v>653</v>
      </c>
      <c r="BZ3" s="1023" t="s">
        <v>654</v>
      </c>
      <c r="CA3" s="1024" t="s">
        <v>655</v>
      </c>
      <c r="CB3" s="1025" t="s">
        <v>656</v>
      </c>
      <c r="CC3" s="1022" t="s">
        <v>651</v>
      </c>
      <c r="CD3" s="1023" t="s">
        <v>652</v>
      </c>
      <c r="CE3" s="1023" t="s">
        <v>653</v>
      </c>
      <c r="CF3" s="1023" t="s">
        <v>654</v>
      </c>
      <c r="CG3" s="1024" t="s">
        <v>655</v>
      </c>
      <c r="CH3" s="1025" t="s">
        <v>656</v>
      </c>
      <c r="CI3" s="1022" t="s">
        <v>651</v>
      </c>
      <c r="CJ3" s="1023" t="s">
        <v>652</v>
      </c>
      <c r="CK3" s="1023" t="s">
        <v>653</v>
      </c>
      <c r="CL3" s="1023" t="s">
        <v>654</v>
      </c>
      <c r="CM3" s="1024" t="s">
        <v>655</v>
      </c>
      <c r="CN3" s="1025" t="s">
        <v>656</v>
      </c>
      <c r="CO3" s="1022" t="s">
        <v>651</v>
      </c>
      <c r="CP3" s="1023" t="s">
        <v>652</v>
      </c>
      <c r="CQ3" s="1023" t="s">
        <v>653</v>
      </c>
      <c r="CR3" s="1023" t="s">
        <v>654</v>
      </c>
      <c r="CS3" s="1024" t="s">
        <v>655</v>
      </c>
      <c r="CT3" s="1025" t="s">
        <v>656</v>
      </c>
      <c r="CU3" s="1022" t="s">
        <v>651</v>
      </c>
      <c r="CV3" s="1023" t="s">
        <v>652</v>
      </c>
      <c r="CW3" s="1023" t="s">
        <v>653</v>
      </c>
      <c r="CX3" s="1023" t="s">
        <v>654</v>
      </c>
      <c r="CY3" s="1024" t="s">
        <v>655</v>
      </c>
      <c r="CZ3" s="1025" t="s">
        <v>656</v>
      </c>
      <c r="DA3" s="1022" t="s">
        <v>651</v>
      </c>
      <c r="DB3" s="1023" t="s">
        <v>652</v>
      </c>
      <c r="DC3" s="1023" t="s">
        <v>653</v>
      </c>
      <c r="DD3" s="1023" t="s">
        <v>654</v>
      </c>
      <c r="DE3" s="1024" t="s">
        <v>655</v>
      </c>
      <c r="DF3" s="1025" t="s">
        <v>656</v>
      </c>
      <c r="DG3" s="1022" t="s">
        <v>651</v>
      </c>
      <c r="DH3" s="1023" t="s">
        <v>652</v>
      </c>
      <c r="DI3" s="1023" t="s">
        <v>653</v>
      </c>
      <c r="DJ3" s="1023" t="s">
        <v>654</v>
      </c>
      <c r="DK3" s="1024" t="s">
        <v>655</v>
      </c>
      <c r="DL3" s="1025" t="s">
        <v>656</v>
      </c>
      <c r="DM3" s="1022" t="s">
        <v>651</v>
      </c>
      <c r="DN3" s="1023" t="s">
        <v>652</v>
      </c>
      <c r="DO3" s="1023" t="s">
        <v>653</v>
      </c>
      <c r="DP3" s="1023" t="s">
        <v>654</v>
      </c>
      <c r="DQ3" s="1024" t="s">
        <v>655</v>
      </c>
      <c r="DR3" s="1025" t="s">
        <v>656</v>
      </c>
      <c r="DS3" s="1022" t="s">
        <v>651</v>
      </c>
      <c r="DT3" s="1023" t="s">
        <v>652</v>
      </c>
      <c r="DU3" s="1023" t="s">
        <v>653</v>
      </c>
      <c r="DV3" s="1023" t="s">
        <v>654</v>
      </c>
      <c r="DW3" s="1024" t="s">
        <v>655</v>
      </c>
      <c r="DX3" s="1025" t="s">
        <v>656</v>
      </c>
      <c r="DY3" s="1022" t="s">
        <v>651</v>
      </c>
      <c r="DZ3" s="1023" t="s">
        <v>652</v>
      </c>
      <c r="EA3" s="1023" t="s">
        <v>653</v>
      </c>
      <c r="EB3" s="1023" t="s">
        <v>654</v>
      </c>
      <c r="EC3" s="1024" t="s">
        <v>655</v>
      </c>
      <c r="ED3" s="1025" t="s">
        <v>656</v>
      </c>
      <c r="EE3" s="1022" t="s">
        <v>651</v>
      </c>
      <c r="EF3" s="1023" t="s">
        <v>652</v>
      </c>
      <c r="EG3" s="1023" t="s">
        <v>653</v>
      </c>
      <c r="EH3" s="1023" t="s">
        <v>654</v>
      </c>
      <c r="EI3" s="1024" t="s">
        <v>655</v>
      </c>
      <c r="EJ3" s="1025" t="s">
        <v>656</v>
      </c>
      <c r="EK3" s="1022" t="s">
        <v>651</v>
      </c>
      <c r="EL3" s="1023" t="s">
        <v>652</v>
      </c>
      <c r="EM3" s="1023" t="s">
        <v>653</v>
      </c>
      <c r="EN3" s="1023" t="s">
        <v>654</v>
      </c>
      <c r="EO3" s="1024" t="s">
        <v>655</v>
      </c>
      <c r="EP3" s="1025" t="s">
        <v>656</v>
      </c>
      <c r="EQ3" s="1022" t="s">
        <v>651</v>
      </c>
      <c r="ER3" s="1023" t="s">
        <v>652</v>
      </c>
      <c r="ES3" s="1023" t="s">
        <v>653</v>
      </c>
      <c r="ET3" s="1023" t="s">
        <v>654</v>
      </c>
      <c r="EU3" s="1024" t="s">
        <v>655</v>
      </c>
      <c r="EV3" s="1025" t="s">
        <v>656</v>
      </c>
      <c r="EW3" s="1022" t="s">
        <v>651</v>
      </c>
      <c r="EX3" s="1023" t="s">
        <v>652</v>
      </c>
      <c r="EY3" s="1023" t="s">
        <v>653</v>
      </c>
      <c r="EZ3" s="1023" t="s">
        <v>654</v>
      </c>
      <c r="FA3" s="1024" t="s">
        <v>655</v>
      </c>
      <c r="FB3" s="1025" t="s">
        <v>656</v>
      </c>
      <c r="FC3" s="1022" t="s">
        <v>651</v>
      </c>
      <c r="FD3" s="1023" t="s">
        <v>652</v>
      </c>
      <c r="FE3" s="1023" t="s">
        <v>653</v>
      </c>
      <c r="FF3" s="1023" t="s">
        <v>654</v>
      </c>
      <c r="FG3" s="1024" t="s">
        <v>655</v>
      </c>
      <c r="FH3" s="1025" t="s">
        <v>656</v>
      </c>
      <c r="FI3" s="1022" t="s">
        <v>651</v>
      </c>
      <c r="FJ3" s="1023" t="s">
        <v>652</v>
      </c>
      <c r="FK3" s="1023" t="s">
        <v>653</v>
      </c>
      <c r="FL3" s="1023" t="s">
        <v>654</v>
      </c>
      <c r="FM3" s="1024" t="s">
        <v>655</v>
      </c>
      <c r="FN3" s="1025" t="s">
        <v>656</v>
      </c>
      <c r="FO3" s="1022" t="s">
        <v>651</v>
      </c>
      <c r="FP3" s="1023" t="s">
        <v>652</v>
      </c>
      <c r="FQ3" s="1023" t="s">
        <v>653</v>
      </c>
      <c r="FR3" s="1023" t="s">
        <v>654</v>
      </c>
      <c r="FS3" s="1024" t="s">
        <v>655</v>
      </c>
      <c r="FT3" s="1025" t="s">
        <v>656</v>
      </c>
      <c r="FU3" s="1022" t="s">
        <v>651</v>
      </c>
      <c r="FV3" s="1023" t="s">
        <v>652</v>
      </c>
      <c r="FW3" s="1023" t="s">
        <v>653</v>
      </c>
      <c r="FX3" s="1023" t="s">
        <v>654</v>
      </c>
      <c r="FY3" s="1024" t="s">
        <v>655</v>
      </c>
      <c r="FZ3" s="1025" t="s">
        <v>656</v>
      </c>
      <c r="GA3" s="1022" t="s">
        <v>651</v>
      </c>
      <c r="GB3" s="1023" t="s">
        <v>652</v>
      </c>
      <c r="GC3" s="1023" t="s">
        <v>653</v>
      </c>
      <c r="GD3" s="1023" t="s">
        <v>654</v>
      </c>
      <c r="GE3" s="1024" t="s">
        <v>655</v>
      </c>
      <c r="GF3" s="1025" t="s">
        <v>656</v>
      </c>
      <c r="GG3" s="1022" t="s">
        <v>651</v>
      </c>
      <c r="GH3" s="1023" t="s">
        <v>652</v>
      </c>
      <c r="GI3" s="1023" t="s">
        <v>653</v>
      </c>
      <c r="GJ3" s="1023" t="s">
        <v>654</v>
      </c>
      <c r="GK3" s="1024" t="s">
        <v>655</v>
      </c>
      <c r="GL3" s="1025" t="s">
        <v>656</v>
      </c>
      <c r="GM3" s="1026" t="s">
        <v>62</v>
      </c>
    </row>
    <row r="4">
      <c r="B4" s="1076" t="s">
        <v>627</v>
      </c>
      <c r="C4" s="1027"/>
      <c r="D4" s="1028"/>
      <c r="E4" s="1028"/>
      <c r="F4" s="1028"/>
      <c r="G4" s="1029"/>
      <c r="H4" s="1030">
        <f t="shared" ref="H4:H16" si="2">SUM(C4:G4)</f>
        <v>0</v>
      </c>
      <c r="I4" s="1027"/>
      <c r="J4" s="1028"/>
      <c r="K4" s="1028"/>
      <c r="L4" s="1028"/>
      <c r="M4" s="1029"/>
      <c r="N4" s="1030">
        <f t="shared" ref="N4:N16" si="3">SUM(I4:M4)</f>
        <v>0</v>
      </c>
      <c r="O4" s="1027"/>
      <c r="P4" s="1028"/>
      <c r="Q4" s="1028"/>
      <c r="R4" s="1028"/>
      <c r="S4" s="1029"/>
      <c r="T4" s="1030">
        <f t="shared" ref="T4:T16" si="4">SUM(O4:S4)</f>
        <v>0</v>
      </c>
      <c r="U4" s="1077"/>
      <c r="V4" s="1028"/>
      <c r="W4" s="1028"/>
      <c r="X4" s="1028"/>
      <c r="Y4" s="1029"/>
      <c r="Z4" s="1030">
        <f t="shared" ref="Z4:Z16" si="5">SUM(U4:Y4)</f>
        <v>0</v>
      </c>
      <c r="AA4" s="1027"/>
      <c r="AB4" s="1028"/>
      <c r="AC4" s="1028"/>
      <c r="AD4" s="1028"/>
      <c r="AE4" s="1029"/>
      <c r="AF4" s="1030">
        <f t="shared" ref="AF4:AF16" si="6">SUM(AA4:AE4)</f>
        <v>0</v>
      </c>
      <c r="AG4" s="1077"/>
      <c r="AH4" s="1028"/>
      <c r="AI4" s="1028"/>
      <c r="AJ4" s="1028"/>
      <c r="AK4" s="1029"/>
      <c r="AL4" s="1030">
        <f t="shared" ref="AL4:AL16" si="7">SUM(AG4:AK4)</f>
        <v>0</v>
      </c>
      <c r="AM4" s="1027"/>
      <c r="AN4" s="1028"/>
      <c r="AO4" s="1028"/>
      <c r="AP4" s="1028"/>
      <c r="AQ4" s="1029"/>
      <c r="AR4" s="1030">
        <f t="shared" ref="AR4:AR16" si="8">SUM(AM4:AQ4)</f>
        <v>0</v>
      </c>
      <c r="AS4" s="1077"/>
      <c r="AT4" s="1028"/>
      <c r="AU4" s="1028"/>
      <c r="AV4" s="1028"/>
      <c r="AW4" s="1029"/>
      <c r="AX4" s="1030">
        <f t="shared" ref="AX4:AX16" si="9">SUM(AS4:AW4)</f>
        <v>0</v>
      </c>
      <c r="AY4" s="1027"/>
      <c r="AZ4" s="1028"/>
      <c r="BA4" s="1028"/>
      <c r="BB4" s="1028"/>
      <c r="BC4" s="1029"/>
      <c r="BD4" s="1030">
        <f t="shared" ref="BD4:BD16" si="10">SUM(AY4:BC4)</f>
        <v>0</v>
      </c>
      <c r="BE4" s="1077"/>
      <c r="BF4" s="1028"/>
      <c r="BG4" s="1028"/>
      <c r="BH4" s="1028"/>
      <c r="BI4" s="1029"/>
      <c r="BJ4" s="1030">
        <f t="shared" ref="BJ4:BJ16" si="11">SUM(BE4:BI4)</f>
        <v>0</v>
      </c>
      <c r="BK4" s="1027"/>
      <c r="BL4" s="1028"/>
      <c r="BM4" s="1028"/>
      <c r="BN4" s="1028"/>
      <c r="BO4" s="1029"/>
      <c r="BP4" s="1030">
        <f t="shared" ref="BP4:BP16" si="12">SUM(BK4:BO4)</f>
        <v>0</v>
      </c>
      <c r="BQ4" s="1077"/>
      <c r="BR4" s="1028"/>
      <c r="BS4" s="1028"/>
      <c r="BT4" s="1028"/>
      <c r="BU4" s="1029"/>
      <c r="BV4" s="1030">
        <f t="shared" ref="BV4:BV16" si="13">SUM(BQ4:BU4)</f>
        <v>0</v>
      </c>
      <c r="BW4" s="1027"/>
      <c r="BX4" s="1028"/>
      <c r="BY4" s="1028"/>
      <c r="BZ4" s="1028"/>
      <c r="CA4" s="1029"/>
      <c r="CB4" s="1030">
        <f t="shared" ref="CB4:CB16" si="14">SUM(BW4:CA4)</f>
        <v>0</v>
      </c>
      <c r="CC4" s="1077"/>
      <c r="CD4" s="1028"/>
      <c r="CE4" s="1028"/>
      <c r="CF4" s="1028"/>
      <c r="CG4" s="1029"/>
      <c r="CH4" s="1030">
        <f t="shared" ref="CH4:CH16" si="15">SUM(CC4:CG4)</f>
        <v>0</v>
      </c>
      <c r="CI4" s="1027"/>
      <c r="CJ4" s="1028"/>
      <c r="CK4" s="1028"/>
      <c r="CL4" s="1028"/>
      <c r="CM4" s="1029"/>
      <c r="CN4" s="1030">
        <f t="shared" ref="CN4:CN16" si="16">SUM(CI4:CM4)</f>
        <v>0</v>
      </c>
      <c r="CO4" s="1077"/>
      <c r="CP4" s="1028"/>
      <c r="CQ4" s="1028"/>
      <c r="CR4" s="1028"/>
      <c r="CS4" s="1029"/>
      <c r="CT4" s="1030">
        <f t="shared" ref="CT4:CT16" si="17">SUM(CO4:CS4)</f>
        <v>0</v>
      </c>
      <c r="CU4" s="1027"/>
      <c r="CV4" s="1028"/>
      <c r="CW4" s="1028"/>
      <c r="CX4" s="1028"/>
      <c r="CY4" s="1029"/>
      <c r="CZ4" s="1030">
        <f t="shared" ref="CZ4:CZ16" si="18">SUM(CU4:CY4)</f>
        <v>0</v>
      </c>
      <c r="DA4" s="1077"/>
      <c r="DB4" s="1028"/>
      <c r="DC4" s="1028"/>
      <c r="DD4" s="1028"/>
      <c r="DE4" s="1029"/>
      <c r="DF4" s="1030">
        <f t="shared" ref="DF4:DF16" si="19">SUM(DA4:DE4)</f>
        <v>0</v>
      </c>
      <c r="DG4" s="1027"/>
      <c r="DH4" s="1028"/>
      <c r="DI4" s="1028"/>
      <c r="DJ4" s="1028"/>
      <c r="DK4" s="1029"/>
      <c r="DL4" s="1030">
        <f t="shared" ref="DL4:DL16" si="20">SUM(DG4:DK4)</f>
        <v>0</v>
      </c>
      <c r="DM4" s="1077"/>
      <c r="DN4" s="1028"/>
      <c r="DO4" s="1028"/>
      <c r="DP4" s="1028"/>
      <c r="DQ4" s="1029"/>
      <c r="DR4" s="1030">
        <f t="shared" ref="DR4:DR16" si="21">SUM(DM4:DQ4)</f>
        <v>0</v>
      </c>
      <c r="DS4" s="1027"/>
      <c r="DT4" s="1028"/>
      <c r="DU4" s="1028"/>
      <c r="DV4" s="1028"/>
      <c r="DW4" s="1029"/>
      <c r="DX4" s="1030">
        <f t="shared" ref="DX4:DX16" si="22">SUM(DS4:DW4)</f>
        <v>0</v>
      </c>
      <c r="DY4" s="1077"/>
      <c r="DZ4" s="1028"/>
      <c r="EA4" s="1028"/>
      <c r="EB4" s="1028"/>
      <c r="EC4" s="1029"/>
      <c r="ED4" s="1030">
        <f t="shared" ref="ED4:ED16" si="23">SUM(DY4:EC4)</f>
        <v>0</v>
      </c>
      <c r="EE4" s="1027"/>
      <c r="EF4" s="1028"/>
      <c r="EG4" s="1028"/>
      <c r="EH4" s="1028"/>
      <c r="EI4" s="1029"/>
      <c r="EJ4" s="1030">
        <f t="shared" ref="EJ4:EJ16" si="24">SUM(EE4:EI4)</f>
        <v>0</v>
      </c>
      <c r="EK4" s="1077"/>
      <c r="EL4" s="1028"/>
      <c r="EM4" s="1028"/>
      <c r="EN4" s="1028"/>
      <c r="EO4" s="1029"/>
      <c r="EP4" s="1030">
        <f t="shared" ref="EP4:EP16" si="25">SUM(EK4:EO4)</f>
        <v>0</v>
      </c>
      <c r="EQ4" s="1027"/>
      <c r="ER4" s="1028"/>
      <c r="ES4" s="1028"/>
      <c r="ET4" s="1028"/>
      <c r="EU4" s="1029"/>
      <c r="EV4" s="1030">
        <f t="shared" ref="EV4:EV16" si="26">SUM(EQ4:EU4)</f>
        <v>0</v>
      </c>
      <c r="EW4" s="1077"/>
      <c r="EX4" s="1028"/>
      <c r="EY4" s="1028"/>
      <c r="EZ4" s="1028"/>
      <c r="FA4" s="1029"/>
      <c r="FB4" s="1030">
        <f t="shared" ref="FB4:FB16" si="27">SUM(EW4:FA4)</f>
        <v>0</v>
      </c>
      <c r="FC4" s="1027"/>
      <c r="FD4" s="1028"/>
      <c r="FE4" s="1028"/>
      <c r="FF4" s="1028"/>
      <c r="FG4" s="1029"/>
      <c r="FH4" s="1030">
        <f t="shared" ref="FH4:FH16" si="28">SUM(FC4:FG4)</f>
        <v>0</v>
      </c>
      <c r="FI4" s="1077"/>
      <c r="FJ4" s="1028"/>
      <c r="FK4" s="1028"/>
      <c r="FL4" s="1028"/>
      <c r="FM4" s="1029"/>
      <c r="FN4" s="1030">
        <f t="shared" ref="FN4:FN16" si="29">SUM(FI4:FM4)</f>
        <v>0</v>
      </c>
      <c r="FO4" s="1027"/>
      <c r="FP4" s="1028"/>
      <c r="FQ4" s="1028"/>
      <c r="FR4" s="1028"/>
      <c r="FS4" s="1029"/>
      <c r="FT4" s="1030">
        <f t="shared" ref="FT4:FT16" si="30">SUM(FO4:FS4)</f>
        <v>0</v>
      </c>
      <c r="FU4" s="1077"/>
      <c r="FV4" s="1028"/>
      <c r="FW4" s="1028"/>
      <c r="FX4" s="1028"/>
      <c r="FY4" s="1029"/>
      <c r="FZ4" s="1030">
        <f t="shared" ref="FZ4:FZ16" si="31">SUM(FU4:FY4)</f>
        <v>0</v>
      </c>
      <c r="GA4" s="1027"/>
      <c r="GB4" s="1028"/>
      <c r="GC4" s="1028"/>
      <c r="GD4" s="1028"/>
      <c r="GE4" s="1029"/>
      <c r="GF4" s="1030">
        <f t="shared" ref="GF4:GF16" si="32">SUM(GA4:GE4)</f>
        <v>0</v>
      </c>
      <c r="GG4" s="1027">
        <f t="shared" ref="GG4:GL4" si="1">+GA4+FU4+FO4+FI4+FC4+EW4+EQ4+EK4+EE4+DY4+DS4+DM4+DG4+DA4+CU4+CO4+CI4+CC4+BW4+BQ4+BK4+BE4++AY4+AS4+AM4+AG4+AA4+U4+O4+I4+C4</f>
        <v>0</v>
      </c>
      <c r="GH4" s="1027">
        <f t="shared" si="1"/>
        <v>0</v>
      </c>
      <c r="GI4" s="1027">
        <f t="shared" si="1"/>
        <v>0</v>
      </c>
      <c r="GJ4" s="1027">
        <f t="shared" si="1"/>
        <v>0</v>
      </c>
      <c r="GK4" s="1027">
        <f t="shared" si="1"/>
        <v>0</v>
      </c>
      <c r="GL4" s="1027">
        <f t="shared" si="1"/>
        <v>0</v>
      </c>
      <c r="GM4" s="1031">
        <f t="shared" ref="GM4:GM16" si="34">+GK4+GJ4+GI4+GH4+GG4</f>
        <v>0</v>
      </c>
    </row>
    <row r="5">
      <c r="B5" s="1032" t="s">
        <v>657</v>
      </c>
      <c r="C5" s="1038"/>
      <c r="D5" s="1035"/>
      <c r="E5" s="1035"/>
      <c r="F5" s="1035"/>
      <c r="G5" s="1040"/>
      <c r="H5" s="1037">
        <f t="shared" si="2"/>
        <v>0</v>
      </c>
      <c r="I5" s="1038"/>
      <c r="J5" s="1035"/>
      <c r="K5" s="1035"/>
      <c r="L5" s="1035"/>
      <c r="M5" s="1040"/>
      <c r="N5" s="1037">
        <f t="shared" si="3"/>
        <v>0</v>
      </c>
      <c r="O5" s="1038"/>
      <c r="P5" s="1035"/>
      <c r="Q5" s="1035"/>
      <c r="R5" s="1035"/>
      <c r="S5" s="1040"/>
      <c r="T5" s="1037">
        <f t="shared" si="4"/>
        <v>0</v>
      </c>
      <c r="U5" s="605"/>
      <c r="V5" s="1035"/>
      <c r="W5" s="1035"/>
      <c r="X5" s="1035"/>
      <c r="Y5" s="1040"/>
      <c r="Z5" s="1037">
        <f t="shared" si="5"/>
        <v>0</v>
      </c>
      <c r="AA5" s="1038"/>
      <c r="AB5" s="1035"/>
      <c r="AC5" s="1035"/>
      <c r="AD5" s="1035"/>
      <c r="AE5" s="1040"/>
      <c r="AF5" s="1037">
        <f t="shared" si="6"/>
        <v>0</v>
      </c>
      <c r="AG5" s="605"/>
      <c r="AH5" s="1035"/>
      <c r="AI5" s="1035"/>
      <c r="AJ5" s="1035"/>
      <c r="AK5" s="1040"/>
      <c r="AL5" s="1037">
        <f t="shared" si="7"/>
        <v>0</v>
      </c>
      <c r="AM5" s="1038"/>
      <c r="AN5" s="1035"/>
      <c r="AO5" s="1035"/>
      <c r="AP5" s="1035"/>
      <c r="AQ5" s="1040"/>
      <c r="AR5" s="1037">
        <f t="shared" si="8"/>
        <v>0</v>
      </c>
      <c r="AS5" s="605"/>
      <c r="AT5" s="1035"/>
      <c r="AU5" s="1035"/>
      <c r="AV5" s="1035"/>
      <c r="AW5" s="1040"/>
      <c r="AX5" s="1037">
        <f t="shared" si="9"/>
        <v>0</v>
      </c>
      <c r="AY5" s="1038"/>
      <c r="AZ5" s="1035"/>
      <c r="BA5" s="1035"/>
      <c r="BB5" s="1035"/>
      <c r="BC5" s="1040"/>
      <c r="BD5" s="1037">
        <f t="shared" si="10"/>
        <v>0</v>
      </c>
      <c r="BE5" s="605"/>
      <c r="BF5" s="1035"/>
      <c r="BG5" s="1035"/>
      <c r="BH5" s="1035"/>
      <c r="BI5" s="1040"/>
      <c r="BJ5" s="1037">
        <f t="shared" si="11"/>
        <v>0</v>
      </c>
      <c r="BK5" s="1038"/>
      <c r="BL5" s="1035"/>
      <c r="BM5" s="1035"/>
      <c r="BN5" s="1035"/>
      <c r="BO5" s="1040"/>
      <c r="BP5" s="1037">
        <f t="shared" si="12"/>
        <v>0</v>
      </c>
      <c r="BQ5" s="605"/>
      <c r="BR5" s="1035"/>
      <c r="BS5" s="1035"/>
      <c r="BT5" s="1035"/>
      <c r="BU5" s="1040"/>
      <c r="BV5" s="1037">
        <f t="shared" si="13"/>
        <v>0</v>
      </c>
      <c r="BW5" s="1038"/>
      <c r="BX5" s="1035"/>
      <c r="BY5" s="1035"/>
      <c r="BZ5" s="1035"/>
      <c r="CA5" s="1040"/>
      <c r="CB5" s="1037">
        <f t="shared" si="14"/>
        <v>0</v>
      </c>
      <c r="CC5" s="605"/>
      <c r="CD5" s="1035"/>
      <c r="CE5" s="1035"/>
      <c r="CF5" s="1035"/>
      <c r="CG5" s="1040"/>
      <c r="CH5" s="1037">
        <f t="shared" si="15"/>
        <v>0</v>
      </c>
      <c r="CI5" s="1038"/>
      <c r="CJ5" s="1035"/>
      <c r="CK5" s="1035"/>
      <c r="CL5" s="1035"/>
      <c r="CM5" s="1040"/>
      <c r="CN5" s="1037">
        <f t="shared" si="16"/>
        <v>0</v>
      </c>
      <c r="CO5" s="605"/>
      <c r="CP5" s="1035"/>
      <c r="CQ5" s="1035"/>
      <c r="CR5" s="1035"/>
      <c r="CS5" s="1040"/>
      <c r="CT5" s="1037">
        <f t="shared" si="17"/>
        <v>0</v>
      </c>
      <c r="CU5" s="1038"/>
      <c r="CV5" s="1035"/>
      <c r="CW5" s="1035"/>
      <c r="CX5" s="1035"/>
      <c r="CY5" s="1040"/>
      <c r="CZ5" s="1037">
        <f t="shared" si="18"/>
        <v>0</v>
      </c>
      <c r="DA5" s="605"/>
      <c r="DB5" s="1035"/>
      <c r="DC5" s="1035"/>
      <c r="DD5" s="1035"/>
      <c r="DE5" s="1040"/>
      <c r="DF5" s="1037">
        <f t="shared" si="19"/>
        <v>0</v>
      </c>
      <c r="DG5" s="1038"/>
      <c r="DH5" s="1035"/>
      <c r="DI5" s="1035"/>
      <c r="DJ5" s="1035"/>
      <c r="DK5" s="1040"/>
      <c r="DL5" s="1037">
        <f t="shared" si="20"/>
        <v>0</v>
      </c>
      <c r="DM5" s="605"/>
      <c r="DN5" s="1035"/>
      <c r="DO5" s="1035"/>
      <c r="DP5" s="1035"/>
      <c r="DQ5" s="1040"/>
      <c r="DR5" s="1037">
        <f t="shared" si="21"/>
        <v>0</v>
      </c>
      <c r="DS5" s="1038"/>
      <c r="DT5" s="1035"/>
      <c r="DU5" s="1035"/>
      <c r="DV5" s="1035"/>
      <c r="DW5" s="1040"/>
      <c r="DX5" s="1037">
        <f t="shared" si="22"/>
        <v>0</v>
      </c>
      <c r="DY5" s="605"/>
      <c r="DZ5" s="1035"/>
      <c r="EA5" s="1035"/>
      <c r="EB5" s="1035"/>
      <c r="EC5" s="1040"/>
      <c r="ED5" s="1037">
        <f t="shared" si="23"/>
        <v>0</v>
      </c>
      <c r="EE5" s="1038"/>
      <c r="EF5" s="1035"/>
      <c r="EG5" s="1035"/>
      <c r="EH5" s="1035"/>
      <c r="EI5" s="1040"/>
      <c r="EJ5" s="1037">
        <f t="shared" si="24"/>
        <v>0</v>
      </c>
      <c r="EK5" s="605"/>
      <c r="EL5" s="1035"/>
      <c r="EM5" s="1035"/>
      <c r="EN5" s="1035"/>
      <c r="EO5" s="1040"/>
      <c r="EP5" s="1037">
        <f t="shared" si="25"/>
        <v>0</v>
      </c>
      <c r="EQ5" s="1038"/>
      <c r="ER5" s="1035"/>
      <c r="ES5" s="1035"/>
      <c r="ET5" s="1035"/>
      <c r="EU5" s="1040"/>
      <c r="EV5" s="1037">
        <f t="shared" si="26"/>
        <v>0</v>
      </c>
      <c r="EW5" s="605"/>
      <c r="EX5" s="1035"/>
      <c r="EY5" s="1035"/>
      <c r="EZ5" s="1035"/>
      <c r="FA5" s="1040"/>
      <c r="FB5" s="1037">
        <f t="shared" si="27"/>
        <v>0</v>
      </c>
      <c r="FC5" s="1038"/>
      <c r="FD5" s="1035"/>
      <c r="FE5" s="1035"/>
      <c r="FF5" s="1035"/>
      <c r="FG5" s="1040"/>
      <c r="FH5" s="1037">
        <f t="shared" si="28"/>
        <v>0</v>
      </c>
      <c r="FI5" s="605"/>
      <c r="FJ5" s="1035"/>
      <c r="FK5" s="1035"/>
      <c r="FL5" s="1035"/>
      <c r="FM5" s="1040"/>
      <c r="FN5" s="1037">
        <f t="shared" si="29"/>
        <v>0</v>
      </c>
      <c r="FO5" s="1038"/>
      <c r="FP5" s="1035"/>
      <c r="FQ5" s="1035"/>
      <c r="FR5" s="1035"/>
      <c r="FS5" s="1040"/>
      <c r="FT5" s="1037">
        <f t="shared" si="30"/>
        <v>0</v>
      </c>
      <c r="FU5" s="605"/>
      <c r="FV5" s="1035"/>
      <c r="FW5" s="1035"/>
      <c r="FX5" s="1035"/>
      <c r="FY5" s="1040"/>
      <c r="FZ5" s="1037">
        <f t="shared" si="31"/>
        <v>0</v>
      </c>
      <c r="GA5" s="1038"/>
      <c r="GB5" s="1035"/>
      <c r="GC5" s="1035"/>
      <c r="GD5" s="1035"/>
      <c r="GE5" s="1040"/>
      <c r="GF5" s="1037">
        <f t="shared" si="32"/>
        <v>0</v>
      </c>
      <c r="GG5" s="1038">
        <f t="shared" ref="GG5:GL5" si="33">+GA5+FU5+FO5+FI5+FC5+EW5+EQ5+EK5+EE5+DY5+DS5+DM5+DG5+DA5+CU5+CO5+CI5+CC5+BW5+BQ5+BK5+BE5++AY5+AS5+AM5+AG5+AA5+U5+O5+I5+C5</f>
        <v>0</v>
      </c>
      <c r="GH5" s="1035">
        <f t="shared" si="33"/>
        <v>0</v>
      </c>
      <c r="GI5" s="1035">
        <f t="shared" si="33"/>
        <v>0</v>
      </c>
      <c r="GJ5" s="1035">
        <f t="shared" si="33"/>
        <v>0</v>
      </c>
      <c r="GK5" s="1040">
        <f t="shared" si="33"/>
        <v>0</v>
      </c>
      <c r="GL5" s="1037">
        <f t="shared" si="33"/>
        <v>0</v>
      </c>
      <c r="GM5" s="1041">
        <f t="shared" si="34"/>
        <v>0</v>
      </c>
    </row>
    <row r="6">
      <c r="B6" s="1042" t="s">
        <v>630</v>
      </c>
      <c r="C6" s="1046"/>
      <c r="D6" s="1047"/>
      <c r="E6" s="1047"/>
      <c r="F6" s="1047"/>
      <c r="G6" s="1048"/>
      <c r="H6" s="1045">
        <f t="shared" si="2"/>
        <v>0</v>
      </c>
      <c r="I6" s="1046"/>
      <c r="J6" s="1047"/>
      <c r="K6" s="1047"/>
      <c r="L6" s="1047"/>
      <c r="M6" s="1048"/>
      <c r="N6" s="1045">
        <f t="shared" si="3"/>
        <v>0</v>
      </c>
      <c r="O6" s="1046"/>
      <c r="P6" s="1047"/>
      <c r="Q6" s="1047"/>
      <c r="R6" s="1047"/>
      <c r="S6" s="1048"/>
      <c r="T6" s="1045">
        <f t="shared" si="4"/>
        <v>0</v>
      </c>
      <c r="U6" s="1078"/>
      <c r="V6" s="1047"/>
      <c r="W6" s="1047"/>
      <c r="X6" s="1047"/>
      <c r="Y6" s="1048"/>
      <c r="Z6" s="1045">
        <f t="shared" si="5"/>
        <v>0</v>
      </c>
      <c r="AA6" s="1046"/>
      <c r="AB6" s="1047"/>
      <c r="AC6" s="1047"/>
      <c r="AD6" s="1047"/>
      <c r="AE6" s="1048"/>
      <c r="AF6" s="1045">
        <f t="shared" si="6"/>
        <v>0</v>
      </c>
      <c r="AG6" s="1078"/>
      <c r="AH6" s="1047"/>
      <c r="AI6" s="1047"/>
      <c r="AJ6" s="1047"/>
      <c r="AK6" s="1048"/>
      <c r="AL6" s="1045">
        <f t="shared" si="7"/>
        <v>0</v>
      </c>
      <c r="AM6" s="1046"/>
      <c r="AN6" s="1047"/>
      <c r="AO6" s="1047"/>
      <c r="AP6" s="1047"/>
      <c r="AQ6" s="1048"/>
      <c r="AR6" s="1045">
        <f t="shared" si="8"/>
        <v>0</v>
      </c>
      <c r="AS6" s="1078"/>
      <c r="AT6" s="1047"/>
      <c r="AU6" s="1047"/>
      <c r="AV6" s="1047"/>
      <c r="AW6" s="1048"/>
      <c r="AX6" s="1045">
        <f t="shared" si="9"/>
        <v>0</v>
      </c>
      <c r="AY6" s="1046"/>
      <c r="AZ6" s="1047"/>
      <c r="BA6" s="1047"/>
      <c r="BB6" s="1047"/>
      <c r="BC6" s="1048"/>
      <c r="BD6" s="1045">
        <f t="shared" si="10"/>
        <v>0</v>
      </c>
      <c r="BE6" s="1078"/>
      <c r="BF6" s="1047"/>
      <c r="BG6" s="1047"/>
      <c r="BH6" s="1047"/>
      <c r="BI6" s="1048"/>
      <c r="BJ6" s="1045">
        <f t="shared" si="11"/>
        <v>0</v>
      </c>
      <c r="BK6" s="1046"/>
      <c r="BL6" s="1047"/>
      <c r="BM6" s="1047"/>
      <c r="BN6" s="1047"/>
      <c r="BO6" s="1048"/>
      <c r="BP6" s="1045">
        <f t="shared" si="12"/>
        <v>0</v>
      </c>
      <c r="BQ6" s="1078"/>
      <c r="BR6" s="1047"/>
      <c r="BS6" s="1047"/>
      <c r="BT6" s="1047"/>
      <c r="BU6" s="1048"/>
      <c r="BV6" s="1045">
        <f t="shared" si="13"/>
        <v>0</v>
      </c>
      <c r="BW6" s="1046"/>
      <c r="BX6" s="1047"/>
      <c r="BY6" s="1047"/>
      <c r="BZ6" s="1047"/>
      <c r="CA6" s="1048"/>
      <c r="CB6" s="1045">
        <f t="shared" si="14"/>
        <v>0</v>
      </c>
      <c r="CC6" s="1078"/>
      <c r="CD6" s="1047"/>
      <c r="CE6" s="1047"/>
      <c r="CF6" s="1047"/>
      <c r="CG6" s="1048"/>
      <c r="CH6" s="1045">
        <f t="shared" si="15"/>
        <v>0</v>
      </c>
      <c r="CI6" s="1046"/>
      <c r="CJ6" s="1047"/>
      <c r="CK6" s="1047"/>
      <c r="CL6" s="1047"/>
      <c r="CM6" s="1048"/>
      <c r="CN6" s="1045">
        <f t="shared" si="16"/>
        <v>0</v>
      </c>
      <c r="CO6" s="1078"/>
      <c r="CP6" s="1047"/>
      <c r="CQ6" s="1047"/>
      <c r="CR6" s="1047"/>
      <c r="CS6" s="1048"/>
      <c r="CT6" s="1045">
        <f t="shared" si="17"/>
        <v>0</v>
      </c>
      <c r="CU6" s="1046"/>
      <c r="CV6" s="1047"/>
      <c r="CW6" s="1047"/>
      <c r="CX6" s="1047"/>
      <c r="CY6" s="1048"/>
      <c r="CZ6" s="1045">
        <f t="shared" si="18"/>
        <v>0</v>
      </c>
      <c r="DA6" s="1078"/>
      <c r="DB6" s="1047"/>
      <c r="DC6" s="1047"/>
      <c r="DD6" s="1047"/>
      <c r="DE6" s="1048"/>
      <c r="DF6" s="1045">
        <f t="shared" si="19"/>
        <v>0</v>
      </c>
      <c r="DG6" s="1046"/>
      <c r="DH6" s="1047"/>
      <c r="DI6" s="1047"/>
      <c r="DJ6" s="1047"/>
      <c r="DK6" s="1048"/>
      <c r="DL6" s="1045">
        <f t="shared" si="20"/>
        <v>0</v>
      </c>
      <c r="DM6" s="1078"/>
      <c r="DN6" s="1047"/>
      <c r="DO6" s="1047"/>
      <c r="DP6" s="1047"/>
      <c r="DQ6" s="1048"/>
      <c r="DR6" s="1045">
        <f t="shared" si="21"/>
        <v>0</v>
      </c>
      <c r="DS6" s="1046"/>
      <c r="DT6" s="1047"/>
      <c r="DU6" s="1047"/>
      <c r="DV6" s="1047"/>
      <c r="DW6" s="1048"/>
      <c r="DX6" s="1045">
        <f t="shared" si="22"/>
        <v>0</v>
      </c>
      <c r="DY6" s="1078"/>
      <c r="DZ6" s="1047"/>
      <c r="EA6" s="1047"/>
      <c r="EB6" s="1047"/>
      <c r="EC6" s="1048"/>
      <c r="ED6" s="1045">
        <f t="shared" si="23"/>
        <v>0</v>
      </c>
      <c r="EE6" s="1046"/>
      <c r="EF6" s="1047"/>
      <c r="EG6" s="1047"/>
      <c r="EH6" s="1047"/>
      <c r="EI6" s="1048"/>
      <c r="EJ6" s="1045">
        <f t="shared" si="24"/>
        <v>0</v>
      </c>
      <c r="EK6" s="1078"/>
      <c r="EL6" s="1047"/>
      <c r="EM6" s="1047"/>
      <c r="EN6" s="1047"/>
      <c r="EO6" s="1048"/>
      <c r="EP6" s="1045">
        <f t="shared" si="25"/>
        <v>0</v>
      </c>
      <c r="EQ6" s="1046"/>
      <c r="ER6" s="1047"/>
      <c r="ES6" s="1047"/>
      <c r="ET6" s="1047"/>
      <c r="EU6" s="1048"/>
      <c r="EV6" s="1045">
        <f t="shared" si="26"/>
        <v>0</v>
      </c>
      <c r="EW6" s="1078"/>
      <c r="EX6" s="1047"/>
      <c r="EY6" s="1047"/>
      <c r="EZ6" s="1047"/>
      <c r="FA6" s="1048"/>
      <c r="FB6" s="1045">
        <f t="shared" si="27"/>
        <v>0</v>
      </c>
      <c r="FC6" s="1046"/>
      <c r="FD6" s="1047"/>
      <c r="FE6" s="1047"/>
      <c r="FF6" s="1047"/>
      <c r="FG6" s="1048"/>
      <c r="FH6" s="1045">
        <f t="shared" si="28"/>
        <v>0</v>
      </c>
      <c r="FI6" s="1078"/>
      <c r="FJ6" s="1047"/>
      <c r="FK6" s="1047"/>
      <c r="FL6" s="1047"/>
      <c r="FM6" s="1048"/>
      <c r="FN6" s="1045">
        <f t="shared" si="29"/>
        <v>0</v>
      </c>
      <c r="FO6" s="1046"/>
      <c r="FP6" s="1047"/>
      <c r="FQ6" s="1047"/>
      <c r="FR6" s="1047"/>
      <c r="FS6" s="1048"/>
      <c r="FT6" s="1045">
        <f t="shared" si="30"/>
        <v>0</v>
      </c>
      <c r="FU6" s="1078"/>
      <c r="FV6" s="1047"/>
      <c r="FW6" s="1047"/>
      <c r="FX6" s="1047"/>
      <c r="FY6" s="1048"/>
      <c r="FZ6" s="1045">
        <f t="shared" si="31"/>
        <v>0</v>
      </c>
      <c r="GA6" s="1046"/>
      <c r="GB6" s="1047"/>
      <c r="GC6" s="1047"/>
      <c r="GD6" s="1047"/>
      <c r="GE6" s="1048"/>
      <c r="GF6" s="1045">
        <f t="shared" si="32"/>
        <v>0</v>
      </c>
      <c r="GG6" s="1046">
        <f t="shared" ref="GG6:GL6" si="35">+GA6+FU6+FO6+FI6+FC6+EW6+EQ6+EK6+EE6+DY6+DS6+DM6+DG6+DA6+CU6+CO6+CI6+CC6+BW6+BQ6+BK6+BE6++AY6+AS6+AM6+AG6+AA6+U6+O6+I6+C6</f>
        <v>0</v>
      </c>
      <c r="GH6" s="1047">
        <f t="shared" si="35"/>
        <v>0</v>
      </c>
      <c r="GI6" s="1047">
        <f t="shared" si="35"/>
        <v>0</v>
      </c>
      <c r="GJ6" s="1047">
        <f t="shared" si="35"/>
        <v>0</v>
      </c>
      <c r="GK6" s="1048">
        <f t="shared" si="35"/>
        <v>0</v>
      </c>
      <c r="GL6" s="1045">
        <f t="shared" si="35"/>
        <v>0</v>
      </c>
      <c r="GM6" s="1049">
        <f t="shared" si="34"/>
        <v>0</v>
      </c>
    </row>
    <row r="7">
      <c r="B7" s="1042" t="s">
        <v>631</v>
      </c>
      <c r="C7" s="1046"/>
      <c r="D7" s="1047"/>
      <c r="E7" s="1047"/>
      <c r="F7" s="1047"/>
      <c r="G7" s="1048"/>
      <c r="H7" s="1045">
        <f t="shared" si="2"/>
        <v>0</v>
      </c>
      <c r="I7" s="1046"/>
      <c r="J7" s="1047"/>
      <c r="K7" s="1047"/>
      <c r="L7" s="1047"/>
      <c r="M7" s="1048"/>
      <c r="N7" s="1045">
        <f t="shared" si="3"/>
        <v>0</v>
      </c>
      <c r="O7" s="1046"/>
      <c r="P7" s="1047"/>
      <c r="Q7" s="1047"/>
      <c r="R7" s="1047"/>
      <c r="S7" s="1048"/>
      <c r="T7" s="1045">
        <f t="shared" si="4"/>
        <v>0</v>
      </c>
      <c r="U7" s="1078"/>
      <c r="V7" s="1047"/>
      <c r="W7" s="1047"/>
      <c r="X7" s="1047"/>
      <c r="Y7" s="1048"/>
      <c r="Z7" s="1045">
        <f t="shared" si="5"/>
        <v>0</v>
      </c>
      <c r="AA7" s="1046"/>
      <c r="AB7" s="1047"/>
      <c r="AC7" s="1047"/>
      <c r="AD7" s="1047"/>
      <c r="AE7" s="1048"/>
      <c r="AF7" s="1045">
        <f t="shared" si="6"/>
        <v>0</v>
      </c>
      <c r="AG7" s="1078"/>
      <c r="AH7" s="1047"/>
      <c r="AI7" s="1047"/>
      <c r="AJ7" s="1047"/>
      <c r="AK7" s="1048"/>
      <c r="AL7" s="1045">
        <f t="shared" si="7"/>
        <v>0</v>
      </c>
      <c r="AM7" s="1046"/>
      <c r="AN7" s="1047"/>
      <c r="AO7" s="1047"/>
      <c r="AP7" s="1047"/>
      <c r="AQ7" s="1048"/>
      <c r="AR7" s="1045">
        <f t="shared" si="8"/>
        <v>0</v>
      </c>
      <c r="AS7" s="1078"/>
      <c r="AT7" s="1047"/>
      <c r="AU7" s="1047"/>
      <c r="AV7" s="1047"/>
      <c r="AW7" s="1048"/>
      <c r="AX7" s="1045">
        <f t="shared" si="9"/>
        <v>0</v>
      </c>
      <c r="AY7" s="1046"/>
      <c r="AZ7" s="1047"/>
      <c r="BA7" s="1047"/>
      <c r="BB7" s="1047"/>
      <c r="BC7" s="1048"/>
      <c r="BD7" s="1045">
        <f t="shared" si="10"/>
        <v>0</v>
      </c>
      <c r="BE7" s="1078"/>
      <c r="BF7" s="1047"/>
      <c r="BG7" s="1047"/>
      <c r="BH7" s="1047"/>
      <c r="BI7" s="1048"/>
      <c r="BJ7" s="1045">
        <f t="shared" si="11"/>
        <v>0</v>
      </c>
      <c r="BK7" s="1046"/>
      <c r="BL7" s="1047"/>
      <c r="BM7" s="1047"/>
      <c r="BN7" s="1047"/>
      <c r="BO7" s="1048"/>
      <c r="BP7" s="1045">
        <f t="shared" si="12"/>
        <v>0</v>
      </c>
      <c r="BQ7" s="1078"/>
      <c r="BR7" s="1047"/>
      <c r="BS7" s="1047"/>
      <c r="BT7" s="1047"/>
      <c r="BU7" s="1048"/>
      <c r="BV7" s="1045">
        <f t="shared" si="13"/>
        <v>0</v>
      </c>
      <c r="BW7" s="1046"/>
      <c r="BX7" s="1047"/>
      <c r="BY7" s="1047"/>
      <c r="BZ7" s="1047"/>
      <c r="CA7" s="1048"/>
      <c r="CB7" s="1045">
        <f t="shared" si="14"/>
        <v>0</v>
      </c>
      <c r="CC7" s="1078"/>
      <c r="CD7" s="1047"/>
      <c r="CE7" s="1047"/>
      <c r="CF7" s="1047"/>
      <c r="CG7" s="1048"/>
      <c r="CH7" s="1045">
        <f t="shared" si="15"/>
        <v>0</v>
      </c>
      <c r="CI7" s="1046"/>
      <c r="CJ7" s="1047"/>
      <c r="CK7" s="1047"/>
      <c r="CL7" s="1047"/>
      <c r="CM7" s="1048"/>
      <c r="CN7" s="1045">
        <f t="shared" si="16"/>
        <v>0</v>
      </c>
      <c r="CO7" s="1078"/>
      <c r="CP7" s="1047"/>
      <c r="CQ7" s="1047"/>
      <c r="CR7" s="1047"/>
      <c r="CS7" s="1048"/>
      <c r="CT7" s="1045">
        <f t="shared" si="17"/>
        <v>0</v>
      </c>
      <c r="CU7" s="1046"/>
      <c r="CV7" s="1047"/>
      <c r="CW7" s="1047"/>
      <c r="CX7" s="1047"/>
      <c r="CY7" s="1048"/>
      <c r="CZ7" s="1045">
        <f t="shared" si="18"/>
        <v>0</v>
      </c>
      <c r="DA7" s="1078"/>
      <c r="DB7" s="1047"/>
      <c r="DC7" s="1047"/>
      <c r="DD7" s="1047"/>
      <c r="DE7" s="1048"/>
      <c r="DF7" s="1045">
        <f t="shared" si="19"/>
        <v>0</v>
      </c>
      <c r="DG7" s="1046"/>
      <c r="DH7" s="1047"/>
      <c r="DI7" s="1047"/>
      <c r="DJ7" s="1047"/>
      <c r="DK7" s="1048"/>
      <c r="DL7" s="1045">
        <f t="shared" si="20"/>
        <v>0</v>
      </c>
      <c r="DM7" s="1078"/>
      <c r="DN7" s="1047"/>
      <c r="DO7" s="1047"/>
      <c r="DP7" s="1047"/>
      <c r="DQ7" s="1048"/>
      <c r="DR7" s="1045">
        <f t="shared" si="21"/>
        <v>0</v>
      </c>
      <c r="DS7" s="1046"/>
      <c r="DT7" s="1047"/>
      <c r="DU7" s="1047"/>
      <c r="DV7" s="1047"/>
      <c r="DW7" s="1048"/>
      <c r="DX7" s="1045">
        <f t="shared" si="22"/>
        <v>0</v>
      </c>
      <c r="DY7" s="1078"/>
      <c r="DZ7" s="1047"/>
      <c r="EA7" s="1047"/>
      <c r="EB7" s="1047"/>
      <c r="EC7" s="1048"/>
      <c r="ED7" s="1045">
        <f t="shared" si="23"/>
        <v>0</v>
      </c>
      <c r="EE7" s="1046"/>
      <c r="EF7" s="1047"/>
      <c r="EG7" s="1047"/>
      <c r="EH7" s="1047"/>
      <c r="EI7" s="1048"/>
      <c r="EJ7" s="1045">
        <f t="shared" si="24"/>
        <v>0</v>
      </c>
      <c r="EK7" s="1078"/>
      <c r="EL7" s="1047"/>
      <c r="EM7" s="1047"/>
      <c r="EN7" s="1047"/>
      <c r="EO7" s="1048"/>
      <c r="EP7" s="1045">
        <f t="shared" si="25"/>
        <v>0</v>
      </c>
      <c r="EQ7" s="1046"/>
      <c r="ER7" s="1047"/>
      <c r="ES7" s="1047"/>
      <c r="ET7" s="1047"/>
      <c r="EU7" s="1048"/>
      <c r="EV7" s="1045">
        <f t="shared" si="26"/>
        <v>0</v>
      </c>
      <c r="EW7" s="1078"/>
      <c r="EX7" s="1047"/>
      <c r="EY7" s="1047"/>
      <c r="EZ7" s="1047"/>
      <c r="FA7" s="1048"/>
      <c r="FB7" s="1045">
        <f t="shared" si="27"/>
        <v>0</v>
      </c>
      <c r="FC7" s="1046"/>
      <c r="FD7" s="1047"/>
      <c r="FE7" s="1047"/>
      <c r="FF7" s="1047"/>
      <c r="FG7" s="1048"/>
      <c r="FH7" s="1045">
        <f t="shared" si="28"/>
        <v>0</v>
      </c>
      <c r="FI7" s="1078"/>
      <c r="FJ7" s="1047"/>
      <c r="FK7" s="1047"/>
      <c r="FL7" s="1047"/>
      <c r="FM7" s="1048"/>
      <c r="FN7" s="1045">
        <f t="shared" si="29"/>
        <v>0</v>
      </c>
      <c r="FO7" s="1046"/>
      <c r="FP7" s="1047"/>
      <c r="FQ7" s="1047"/>
      <c r="FR7" s="1047"/>
      <c r="FS7" s="1048"/>
      <c r="FT7" s="1045">
        <f t="shared" si="30"/>
        <v>0</v>
      </c>
      <c r="FU7" s="1078"/>
      <c r="FV7" s="1047"/>
      <c r="FW7" s="1047"/>
      <c r="FX7" s="1047"/>
      <c r="FY7" s="1048"/>
      <c r="FZ7" s="1045">
        <f t="shared" si="31"/>
        <v>0</v>
      </c>
      <c r="GA7" s="1046"/>
      <c r="GB7" s="1047"/>
      <c r="GC7" s="1047"/>
      <c r="GD7" s="1047"/>
      <c r="GE7" s="1048"/>
      <c r="GF7" s="1045">
        <f t="shared" si="32"/>
        <v>0</v>
      </c>
      <c r="GG7" s="1046">
        <f t="shared" ref="GG7:GL7" si="36">+GA7+FU7+FO7+FI7+FC7+EW7+EQ7+EK7+EE7+DY7+DS7+DM7+DG7+DA7+CU7+CO7+CI7+CC7+BW7+BQ7+BK7+BE7++AY7+AS7+AM7+AG7+AA7+U7+O7+I7+C7</f>
        <v>0</v>
      </c>
      <c r="GH7" s="1047">
        <f t="shared" si="36"/>
        <v>0</v>
      </c>
      <c r="GI7" s="1047">
        <f t="shared" si="36"/>
        <v>0</v>
      </c>
      <c r="GJ7" s="1047">
        <f t="shared" si="36"/>
        <v>0</v>
      </c>
      <c r="GK7" s="1048">
        <f t="shared" si="36"/>
        <v>0</v>
      </c>
      <c r="GL7" s="1045">
        <f t="shared" si="36"/>
        <v>0</v>
      </c>
      <c r="GM7" s="1049">
        <f t="shared" si="34"/>
        <v>0</v>
      </c>
    </row>
    <row r="8">
      <c r="B8" s="1042" t="s">
        <v>632</v>
      </c>
      <c r="C8" s="1046"/>
      <c r="D8" s="1047"/>
      <c r="E8" s="1047"/>
      <c r="F8" s="1047"/>
      <c r="G8" s="1048"/>
      <c r="H8" s="1045">
        <f t="shared" si="2"/>
        <v>0</v>
      </c>
      <c r="I8" s="1046"/>
      <c r="J8" s="1047"/>
      <c r="K8" s="1047"/>
      <c r="L8" s="1047"/>
      <c r="M8" s="1048"/>
      <c r="N8" s="1045">
        <f t="shared" si="3"/>
        <v>0</v>
      </c>
      <c r="O8" s="1046"/>
      <c r="P8" s="1047"/>
      <c r="Q8" s="1047"/>
      <c r="R8" s="1047"/>
      <c r="S8" s="1048"/>
      <c r="T8" s="1045">
        <f t="shared" si="4"/>
        <v>0</v>
      </c>
      <c r="U8" s="1078"/>
      <c r="V8" s="1047"/>
      <c r="W8" s="1047"/>
      <c r="X8" s="1047"/>
      <c r="Y8" s="1048"/>
      <c r="Z8" s="1045">
        <f t="shared" si="5"/>
        <v>0</v>
      </c>
      <c r="AA8" s="1046"/>
      <c r="AB8" s="1047"/>
      <c r="AC8" s="1047"/>
      <c r="AD8" s="1047"/>
      <c r="AE8" s="1048"/>
      <c r="AF8" s="1045">
        <f t="shared" si="6"/>
        <v>0</v>
      </c>
      <c r="AG8" s="1078"/>
      <c r="AH8" s="1047"/>
      <c r="AI8" s="1047"/>
      <c r="AJ8" s="1047"/>
      <c r="AK8" s="1048"/>
      <c r="AL8" s="1045">
        <f t="shared" si="7"/>
        <v>0</v>
      </c>
      <c r="AM8" s="1046"/>
      <c r="AN8" s="1047"/>
      <c r="AO8" s="1047"/>
      <c r="AP8" s="1047"/>
      <c r="AQ8" s="1048"/>
      <c r="AR8" s="1045">
        <f t="shared" si="8"/>
        <v>0</v>
      </c>
      <c r="AS8" s="1078"/>
      <c r="AT8" s="1047"/>
      <c r="AU8" s="1047"/>
      <c r="AV8" s="1047"/>
      <c r="AW8" s="1048"/>
      <c r="AX8" s="1045">
        <f t="shared" si="9"/>
        <v>0</v>
      </c>
      <c r="AY8" s="1046"/>
      <c r="AZ8" s="1047"/>
      <c r="BA8" s="1047"/>
      <c r="BB8" s="1047"/>
      <c r="BC8" s="1048"/>
      <c r="BD8" s="1045">
        <f t="shared" si="10"/>
        <v>0</v>
      </c>
      <c r="BE8" s="1078"/>
      <c r="BF8" s="1047"/>
      <c r="BG8" s="1047"/>
      <c r="BH8" s="1047"/>
      <c r="BI8" s="1048"/>
      <c r="BJ8" s="1045">
        <f t="shared" si="11"/>
        <v>0</v>
      </c>
      <c r="BK8" s="1046"/>
      <c r="BL8" s="1047"/>
      <c r="BM8" s="1047"/>
      <c r="BN8" s="1047"/>
      <c r="BO8" s="1048"/>
      <c r="BP8" s="1045">
        <f t="shared" si="12"/>
        <v>0</v>
      </c>
      <c r="BQ8" s="1078"/>
      <c r="BR8" s="1047"/>
      <c r="BS8" s="1047"/>
      <c r="BT8" s="1047"/>
      <c r="BU8" s="1048"/>
      <c r="BV8" s="1045">
        <f t="shared" si="13"/>
        <v>0</v>
      </c>
      <c r="BW8" s="1046"/>
      <c r="BX8" s="1047"/>
      <c r="BY8" s="1047"/>
      <c r="BZ8" s="1047"/>
      <c r="CA8" s="1048"/>
      <c r="CB8" s="1045">
        <f t="shared" si="14"/>
        <v>0</v>
      </c>
      <c r="CC8" s="1078"/>
      <c r="CD8" s="1047"/>
      <c r="CE8" s="1047"/>
      <c r="CF8" s="1047"/>
      <c r="CG8" s="1048"/>
      <c r="CH8" s="1045">
        <f t="shared" si="15"/>
        <v>0</v>
      </c>
      <c r="CI8" s="1046"/>
      <c r="CJ8" s="1047"/>
      <c r="CK8" s="1047"/>
      <c r="CL8" s="1047"/>
      <c r="CM8" s="1048"/>
      <c r="CN8" s="1045">
        <f t="shared" si="16"/>
        <v>0</v>
      </c>
      <c r="CO8" s="1078"/>
      <c r="CP8" s="1047"/>
      <c r="CQ8" s="1047"/>
      <c r="CR8" s="1047"/>
      <c r="CS8" s="1048"/>
      <c r="CT8" s="1045">
        <f t="shared" si="17"/>
        <v>0</v>
      </c>
      <c r="CU8" s="1046"/>
      <c r="CV8" s="1047"/>
      <c r="CW8" s="1047"/>
      <c r="CX8" s="1047"/>
      <c r="CY8" s="1048"/>
      <c r="CZ8" s="1045">
        <f t="shared" si="18"/>
        <v>0</v>
      </c>
      <c r="DA8" s="1078"/>
      <c r="DB8" s="1047"/>
      <c r="DC8" s="1047"/>
      <c r="DD8" s="1047"/>
      <c r="DE8" s="1048"/>
      <c r="DF8" s="1045">
        <f t="shared" si="19"/>
        <v>0</v>
      </c>
      <c r="DG8" s="1046"/>
      <c r="DH8" s="1047"/>
      <c r="DI8" s="1047"/>
      <c r="DJ8" s="1047"/>
      <c r="DK8" s="1048"/>
      <c r="DL8" s="1045">
        <f t="shared" si="20"/>
        <v>0</v>
      </c>
      <c r="DM8" s="1078"/>
      <c r="DN8" s="1047"/>
      <c r="DO8" s="1047"/>
      <c r="DP8" s="1047"/>
      <c r="DQ8" s="1048"/>
      <c r="DR8" s="1045">
        <f t="shared" si="21"/>
        <v>0</v>
      </c>
      <c r="DS8" s="1046"/>
      <c r="DT8" s="1047"/>
      <c r="DU8" s="1047"/>
      <c r="DV8" s="1047"/>
      <c r="DW8" s="1048"/>
      <c r="DX8" s="1045">
        <f t="shared" si="22"/>
        <v>0</v>
      </c>
      <c r="DY8" s="1078"/>
      <c r="DZ8" s="1047"/>
      <c r="EA8" s="1047"/>
      <c r="EB8" s="1047"/>
      <c r="EC8" s="1048"/>
      <c r="ED8" s="1045">
        <f t="shared" si="23"/>
        <v>0</v>
      </c>
      <c r="EE8" s="1046"/>
      <c r="EF8" s="1047"/>
      <c r="EG8" s="1047"/>
      <c r="EH8" s="1047"/>
      <c r="EI8" s="1048"/>
      <c r="EJ8" s="1045">
        <f t="shared" si="24"/>
        <v>0</v>
      </c>
      <c r="EK8" s="1078"/>
      <c r="EL8" s="1047"/>
      <c r="EM8" s="1047"/>
      <c r="EN8" s="1047"/>
      <c r="EO8" s="1048"/>
      <c r="EP8" s="1045">
        <f t="shared" si="25"/>
        <v>0</v>
      </c>
      <c r="EQ8" s="1046"/>
      <c r="ER8" s="1047"/>
      <c r="ES8" s="1047"/>
      <c r="ET8" s="1047"/>
      <c r="EU8" s="1048"/>
      <c r="EV8" s="1045">
        <f t="shared" si="26"/>
        <v>0</v>
      </c>
      <c r="EW8" s="1078"/>
      <c r="EX8" s="1047"/>
      <c r="EY8" s="1047"/>
      <c r="EZ8" s="1047"/>
      <c r="FA8" s="1048"/>
      <c r="FB8" s="1045">
        <f t="shared" si="27"/>
        <v>0</v>
      </c>
      <c r="FC8" s="1046"/>
      <c r="FD8" s="1047"/>
      <c r="FE8" s="1047"/>
      <c r="FF8" s="1047"/>
      <c r="FG8" s="1048"/>
      <c r="FH8" s="1045">
        <f t="shared" si="28"/>
        <v>0</v>
      </c>
      <c r="FI8" s="1078"/>
      <c r="FJ8" s="1047"/>
      <c r="FK8" s="1047"/>
      <c r="FL8" s="1047"/>
      <c r="FM8" s="1048"/>
      <c r="FN8" s="1045">
        <f t="shared" si="29"/>
        <v>0</v>
      </c>
      <c r="FO8" s="1046"/>
      <c r="FP8" s="1047"/>
      <c r="FQ8" s="1047"/>
      <c r="FR8" s="1047"/>
      <c r="FS8" s="1048"/>
      <c r="FT8" s="1045">
        <f t="shared" si="30"/>
        <v>0</v>
      </c>
      <c r="FU8" s="1078"/>
      <c r="FV8" s="1047"/>
      <c r="FW8" s="1047"/>
      <c r="FX8" s="1047"/>
      <c r="FY8" s="1048"/>
      <c r="FZ8" s="1045">
        <f t="shared" si="31"/>
        <v>0</v>
      </c>
      <c r="GA8" s="1046"/>
      <c r="GB8" s="1047"/>
      <c r="GC8" s="1047"/>
      <c r="GD8" s="1047"/>
      <c r="GE8" s="1048"/>
      <c r="GF8" s="1045">
        <f t="shared" si="32"/>
        <v>0</v>
      </c>
      <c r="GG8" s="1046">
        <f t="shared" ref="GG8:GL8" si="37">+GA8+FU8+FO8+FI8+FC8+EW8+EQ8+EK8+EE8+DY8+DS8+DM8+DG8+DA8+CU8+CO8+CI8+CC8+BW8+BQ8+BK8+BE8++AY8+AS8+AM8+AG8+AA8+U8+O8+I8+C8</f>
        <v>0</v>
      </c>
      <c r="GH8" s="1047">
        <f t="shared" si="37"/>
        <v>0</v>
      </c>
      <c r="GI8" s="1047">
        <f t="shared" si="37"/>
        <v>0</v>
      </c>
      <c r="GJ8" s="1047">
        <f t="shared" si="37"/>
        <v>0</v>
      </c>
      <c r="GK8" s="1048">
        <f t="shared" si="37"/>
        <v>0</v>
      </c>
      <c r="GL8" s="1045">
        <f t="shared" si="37"/>
        <v>0</v>
      </c>
      <c r="GM8" s="1049">
        <f t="shared" si="34"/>
        <v>0</v>
      </c>
    </row>
    <row r="9">
      <c r="B9" s="1042" t="s">
        <v>633</v>
      </c>
      <c r="C9" s="1046"/>
      <c r="D9" s="1047"/>
      <c r="E9" s="1047"/>
      <c r="F9" s="1047"/>
      <c r="G9" s="1048"/>
      <c r="H9" s="1045">
        <f t="shared" si="2"/>
        <v>0</v>
      </c>
      <c r="I9" s="1046"/>
      <c r="J9" s="1047"/>
      <c r="K9" s="1047"/>
      <c r="L9" s="1047"/>
      <c r="M9" s="1048"/>
      <c r="N9" s="1045">
        <f t="shared" si="3"/>
        <v>0</v>
      </c>
      <c r="O9" s="1046"/>
      <c r="P9" s="1047"/>
      <c r="Q9" s="1047"/>
      <c r="R9" s="1047"/>
      <c r="S9" s="1048"/>
      <c r="T9" s="1045">
        <f t="shared" si="4"/>
        <v>0</v>
      </c>
      <c r="U9" s="1078"/>
      <c r="V9" s="1047"/>
      <c r="W9" s="1047"/>
      <c r="X9" s="1047"/>
      <c r="Y9" s="1048"/>
      <c r="Z9" s="1045">
        <f t="shared" si="5"/>
        <v>0</v>
      </c>
      <c r="AA9" s="1046"/>
      <c r="AB9" s="1047"/>
      <c r="AC9" s="1047"/>
      <c r="AD9" s="1047"/>
      <c r="AE9" s="1048"/>
      <c r="AF9" s="1045">
        <f t="shared" si="6"/>
        <v>0</v>
      </c>
      <c r="AG9" s="1078"/>
      <c r="AH9" s="1047"/>
      <c r="AI9" s="1047"/>
      <c r="AJ9" s="1047"/>
      <c r="AK9" s="1048"/>
      <c r="AL9" s="1045">
        <f t="shared" si="7"/>
        <v>0</v>
      </c>
      <c r="AM9" s="1046"/>
      <c r="AN9" s="1047"/>
      <c r="AO9" s="1047"/>
      <c r="AP9" s="1047"/>
      <c r="AQ9" s="1048"/>
      <c r="AR9" s="1045">
        <f t="shared" si="8"/>
        <v>0</v>
      </c>
      <c r="AS9" s="1078"/>
      <c r="AT9" s="1047"/>
      <c r="AU9" s="1047"/>
      <c r="AV9" s="1047"/>
      <c r="AW9" s="1048"/>
      <c r="AX9" s="1045">
        <f t="shared" si="9"/>
        <v>0</v>
      </c>
      <c r="AY9" s="1046"/>
      <c r="AZ9" s="1047"/>
      <c r="BA9" s="1047"/>
      <c r="BB9" s="1047"/>
      <c r="BC9" s="1048"/>
      <c r="BD9" s="1045">
        <f t="shared" si="10"/>
        <v>0</v>
      </c>
      <c r="BE9" s="1078"/>
      <c r="BF9" s="1047"/>
      <c r="BG9" s="1047"/>
      <c r="BH9" s="1047"/>
      <c r="BI9" s="1048"/>
      <c r="BJ9" s="1045">
        <f t="shared" si="11"/>
        <v>0</v>
      </c>
      <c r="BK9" s="1046"/>
      <c r="BL9" s="1047"/>
      <c r="BM9" s="1047"/>
      <c r="BN9" s="1047"/>
      <c r="BO9" s="1048"/>
      <c r="BP9" s="1045">
        <f t="shared" si="12"/>
        <v>0</v>
      </c>
      <c r="BQ9" s="1078"/>
      <c r="BR9" s="1047"/>
      <c r="BS9" s="1047"/>
      <c r="BT9" s="1047"/>
      <c r="BU9" s="1048"/>
      <c r="BV9" s="1045">
        <f t="shared" si="13"/>
        <v>0</v>
      </c>
      <c r="BW9" s="1046"/>
      <c r="BX9" s="1047"/>
      <c r="BY9" s="1047"/>
      <c r="BZ9" s="1047"/>
      <c r="CA9" s="1048"/>
      <c r="CB9" s="1045">
        <f t="shared" si="14"/>
        <v>0</v>
      </c>
      <c r="CC9" s="1078"/>
      <c r="CD9" s="1047"/>
      <c r="CE9" s="1047"/>
      <c r="CF9" s="1047"/>
      <c r="CG9" s="1048"/>
      <c r="CH9" s="1045">
        <f t="shared" si="15"/>
        <v>0</v>
      </c>
      <c r="CI9" s="1046"/>
      <c r="CJ9" s="1047"/>
      <c r="CK9" s="1047"/>
      <c r="CL9" s="1047"/>
      <c r="CM9" s="1048"/>
      <c r="CN9" s="1045">
        <f t="shared" si="16"/>
        <v>0</v>
      </c>
      <c r="CO9" s="1078"/>
      <c r="CP9" s="1047"/>
      <c r="CQ9" s="1047"/>
      <c r="CR9" s="1047"/>
      <c r="CS9" s="1048"/>
      <c r="CT9" s="1045">
        <f t="shared" si="17"/>
        <v>0</v>
      </c>
      <c r="CU9" s="1046"/>
      <c r="CV9" s="1047"/>
      <c r="CW9" s="1047"/>
      <c r="CX9" s="1047"/>
      <c r="CY9" s="1048"/>
      <c r="CZ9" s="1045">
        <f t="shared" si="18"/>
        <v>0</v>
      </c>
      <c r="DA9" s="1078"/>
      <c r="DB9" s="1047"/>
      <c r="DC9" s="1047"/>
      <c r="DD9" s="1047"/>
      <c r="DE9" s="1048"/>
      <c r="DF9" s="1045">
        <f t="shared" si="19"/>
        <v>0</v>
      </c>
      <c r="DG9" s="1046"/>
      <c r="DH9" s="1047"/>
      <c r="DI9" s="1047"/>
      <c r="DJ9" s="1047"/>
      <c r="DK9" s="1048"/>
      <c r="DL9" s="1045">
        <f t="shared" si="20"/>
        <v>0</v>
      </c>
      <c r="DM9" s="1078"/>
      <c r="DN9" s="1047"/>
      <c r="DO9" s="1047"/>
      <c r="DP9" s="1047"/>
      <c r="DQ9" s="1048"/>
      <c r="DR9" s="1045">
        <f t="shared" si="21"/>
        <v>0</v>
      </c>
      <c r="DS9" s="1046"/>
      <c r="DT9" s="1047"/>
      <c r="DU9" s="1047"/>
      <c r="DV9" s="1047"/>
      <c r="DW9" s="1048"/>
      <c r="DX9" s="1045">
        <f t="shared" si="22"/>
        <v>0</v>
      </c>
      <c r="DY9" s="1078"/>
      <c r="DZ9" s="1047"/>
      <c r="EA9" s="1047"/>
      <c r="EB9" s="1047"/>
      <c r="EC9" s="1048"/>
      <c r="ED9" s="1045">
        <f t="shared" si="23"/>
        <v>0</v>
      </c>
      <c r="EE9" s="1046"/>
      <c r="EF9" s="1047"/>
      <c r="EG9" s="1047"/>
      <c r="EH9" s="1047"/>
      <c r="EI9" s="1048"/>
      <c r="EJ9" s="1045">
        <f t="shared" si="24"/>
        <v>0</v>
      </c>
      <c r="EK9" s="1078"/>
      <c r="EL9" s="1047"/>
      <c r="EM9" s="1047"/>
      <c r="EN9" s="1047"/>
      <c r="EO9" s="1048"/>
      <c r="EP9" s="1045">
        <f t="shared" si="25"/>
        <v>0</v>
      </c>
      <c r="EQ9" s="1046"/>
      <c r="ER9" s="1047"/>
      <c r="ES9" s="1047"/>
      <c r="ET9" s="1047"/>
      <c r="EU9" s="1048"/>
      <c r="EV9" s="1045">
        <f t="shared" si="26"/>
        <v>0</v>
      </c>
      <c r="EW9" s="1078"/>
      <c r="EX9" s="1047"/>
      <c r="EY9" s="1047"/>
      <c r="EZ9" s="1047"/>
      <c r="FA9" s="1048"/>
      <c r="FB9" s="1045">
        <f t="shared" si="27"/>
        <v>0</v>
      </c>
      <c r="FC9" s="1046"/>
      <c r="FD9" s="1047"/>
      <c r="FE9" s="1047"/>
      <c r="FF9" s="1047"/>
      <c r="FG9" s="1048"/>
      <c r="FH9" s="1045">
        <f t="shared" si="28"/>
        <v>0</v>
      </c>
      <c r="FI9" s="1078"/>
      <c r="FJ9" s="1047"/>
      <c r="FK9" s="1047"/>
      <c r="FL9" s="1047"/>
      <c r="FM9" s="1048"/>
      <c r="FN9" s="1045">
        <f t="shared" si="29"/>
        <v>0</v>
      </c>
      <c r="FO9" s="1046"/>
      <c r="FP9" s="1047"/>
      <c r="FQ9" s="1047"/>
      <c r="FR9" s="1047"/>
      <c r="FS9" s="1048"/>
      <c r="FT9" s="1045">
        <f t="shared" si="30"/>
        <v>0</v>
      </c>
      <c r="FU9" s="1078"/>
      <c r="FV9" s="1047"/>
      <c r="FW9" s="1047"/>
      <c r="FX9" s="1047"/>
      <c r="FY9" s="1048"/>
      <c r="FZ9" s="1045">
        <f t="shared" si="31"/>
        <v>0</v>
      </c>
      <c r="GA9" s="1046"/>
      <c r="GB9" s="1047"/>
      <c r="GC9" s="1047"/>
      <c r="GD9" s="1047"/>
      <c r="GE9" s="1048"/>
      <c r="GF9" s="1045">
        <f t="shared" si="32"/>
        <v>0</v>
      </c>
      <c r="GG9" s="1046">
        <f t="shared" ref="GG9:GL9" si="38">+GA9+FU9+FO9+FI9+FC9+EW9+EQ9+EK9+EE9+DY9+DS9+DM9+DG9+DA9+CU9+CO9+CI9+CC9+BW9+BQ9+BK9+BE9++AY9+AS9+AM9+AG9+AA9+U9+O9+I9+C9</f>
        <v>0</v>
      </c>
      <c r="GH9" s="1047">
        <f t="shared" si="38"/>
        <v>0</v>
      </c>
      <c r="GI9" s="1047">
        <f t="shared" si="38"/>
        <v>0</v>
      </c>
      <c r="GJ9" s="1047">
        <f t="shared" si="38"/>
        <v>0</v>
      </c>
      <c r="GK9" s="1048">
        <f t="shared" si="38"/>
        <v>0</v>
      </c>
      <c r="GL9" s="1045">
        <f t="shared" si="38"/>
        <v>0</v>
      </c>
      <c r="GM9" s="1049">
        <f t="shared" si="34"/>
        <v>0</v>
      </c>
    </row>
    <row r="10">
      <c r="B10" s="1042" t="s">
        <v>658</v>
      </c>
      <c r="C10" s="1046"/>
      <c r="D10" s="1047"/>
      <c r="E10" s="1047"/>
      <c r="F10" s="1047"/>
      <c r="G10" s="1048"/>
      <c r="H10" s="1045">
        <f t="shared" si="2"/>
        <v>0</v>
      </c>
      <c r="I10" s="1046"/>
      <c r="J10" s="1047"/>
      <c r="K10" s="1047"/>
      <c r="L10" s="1047"/>
      <c r="M10" s="1048"/>
      <c r="N10" s="1045">
        <f t="shared" si="3"/>
        <v>0</v>
      </c>
      <c r="O10" s="1046"/>
      <c r="P10" s="1047"/>
      <c r="Q10" s="1047"/>
      <c r="R10" s="1047"/>
      <c r="S10" s="1048"/>
      <c r="T10" s="1045">
        <f t="shared" si="4"/>
        <v>0</v>
      </c>
      <c r="U10" s="1078"/>
      <c r="V10" s="1047"/>
      <c r="W10" s="1047"/>
      <c r="X10" s="1047"/>
      <c r="Y10" s="1048"/>
      <c r="Z10" s="1045">
        <f t="shared" si="5"/>
        <v>0</v>
      </c>
      <c r="AA10" s="1046"/>
      <c r="AB10" s="1047"/>
      <c r="AC10" s="1047"/>
      <c r="AD10" s="1047"/>
      <c r="AE10" s="1048"/>
      <c r="AF10" s="1045">
        <f t="shared" si="6"/>
        <v>0</v>
      </c>
      <c r="AG10" s="1078"/>
      <c r="AH10" s="1047"/>
      <c r="AI10" s="1047"/>
      <c r="AJ10" s="1047"/>
      <c r="AK10" s="1048"/>
      <c r="AL10" s="1045">
        <f t="shared" si="7"/>
        <v>0</v>
      </c>
      <c r="AM10" s="1046"/>
      <c r="AN10" s="1047"/>
      <c r="AO10" s="1047"/>
      <c r="AP10" s="1047"/>
      <c r="AQ10" s="1048"/>
      <c r="AR10" s="1045">
        <f t="shared" si="8"/>
        <v>0</v>
      </c>
      <c r="AS10" s="1078"/>
      <c r="AT10" s="1047"/>
      <c r="AU10" s="1047"/>
      <c r="AV10" s="1047"/>
      <c r="AW10" s="1048"/>
      <c r="AX10" s="1045">
        <f t="shared" si="9"/>
        <v>0</v>
      </c>
      <c r="AY10" s="1046"/>
      <c r="AZ10" s="1047"/>
      <c r="BA10" s="1047"/>
      <c r="BB10" s="1047"/>
      <c r="BC10" s="1048"/>
      <c r="BD10" s="1045">
        <f t="shared" si="10"/>
        <v>0</v>
      </c>
      <c r="BE10" s="1078"/>
      <c r="BF10" s="1047"/>
      <c r="BG10" s="1047"/>
      <c r="BH10" s="1047"/>
      <c r="BI10" s="1048"/>
      <c r="BJ10" s="1045">
        <f t="shared" si="11"/>
        <v>0</v>
      </c>
      <c r="BK10" s="1046"/>
      <c r="BL10" s="1047"/>
      <c r="BM10" s="1047"/>
      <c r="BN10" s="1047"/>
      <c r="BO10" s="1048"/>
      <c r="BP10" s="1045">
        <f t="shared" si="12"/>
        <v>0</v>
      </c>
      <c r="BQ10" s="1078"/>
      <c r="BR10" s="1047"/>
      <c r="BS10" s="1047"/>
      <c r="BT10" s="1047"/>
      <c r="BU10" s="1048"/>
      <c r="BV10" s="1045">
        <f t="shared" si="13"/>
        <v>0</v>
      </c>
      <c r="BW10" s="1046"/>
      <c r="BX10" s="1047"/>
      <c r="BY10" s="1047"/>
      <c r="BZ10" s="1047"/>
      <c r="CA10" s="1048"/>
      <c r="CB10" s="1045">
        <f t="shared" si="14"/>
        <v>0</v>
      </c>
      <c r="CC10" s="1078"/>
      <c r="CD10" s="1047"/>
      <c r="CE10" s="1047"/>
      <c r="CF10" s="1047"/>
      <c r="CG10" s="1048"/>
      <c r="CH10" s="1045">
        <f t="shared" si="15"/>
        <v>0</v>
      </c>
      <c r="CI10" s="1046"/>
      <c r="CJ10" s="1047"/>
      <c r="CK10" s="1047"/>
      <c r="CL10" s="1047"/>
      <c r="CM10" s="1048"/>
      <c r="CN10" s="1045">
        <f t="shared" si="16"/>
        <v>0</v>
      </c>
      <c r="CO10" s="1078"/>
      <c r="CP10" s="1047"/>
      <c r="CQ10" s="1047"/>
      <c r="CR10" s="1047"/>
      <c r="CS10" s="1048"/>
      <c r="CT10" s="1045">
        <f t="shared" si="17"/>
        <v>0</v>
      </c>
      <c r="CU10" s="1046"/>
      <c r="CV10" s="1047"/>
      <c r="CW10" s="1047"/>
      <c r="CX10" s="1047"/>
      <c r="CY10" s="1048"/>
      <c r="CZ10" s="1045">
        <f t="shared" si="18"/>
        <v>0</v>
      </c>
      <c r="DA10" s="1078"/>
      <c r="DB10" s="1047"/>
      <c r="DC10" s="1047"/>
      <c r="DD10" s="1047"/>
      <c r="DE10" s="1048"/>
      <c r="DF10" s="1045">
        <f t="shared" si="19"/>
        <v>0</v>
      </c>
      <c r="DG10" s="1046"/>
      <c r="DH10" s="1047"/>
      <c r="DI10" s="1047"/>
      <c r="DJ10" s="1047"/>
      <c r="DK10" s="1048"/>
      <c r="DL10" s="1045">
        <f t="shared" si="20"/>
        <v>0</v>
      </c>
      <c r="DM10" s="1078"/>
      <c r="DN10" s="1047"/>
      <c r="DO10" s="1047"/>
      <c r="DP10" s="1047"/>
      <c r="DQ10" s="1048"/>
      <c r="DR10" s="1045">
        <f t="shared" si="21"/>
        <v>0</v>
      </c>
      <c r="DS10" s="1046"/>
      <c r="DT10" s="1047"/>
      <c r="DU10" s="1047"/>
      <c r="DV10" s="1047"/>
      <c r="DW10" s="1048"/>
      <c r="DX10" s="1045">
        <f t="shared" si="22"/>
        <v>0</v>
      </c>
      <c r="DY10" s="1078"/>
      <c r="DZ10" s="1047"/>
      <c r="EA10" s="1047"/>
      <c r="EB10" s="1047"/>
      <c r="EC10" s="1048"/>
      <c r="ED10" s="1045">
        <f t="shared" si="23"/>
        <v>0</v>
      </c>
      <c r="EE10" s="1046"/>
      <c r="EF10" s="1047"/>
      <c r="EG10" s="1047"/>
      <c r="EH10" s="1047"/>
      <c r="EI10" s="1048"/>
      <c r="EJ10" s="1045">
        <f t="shared" si="24"/>
        <v>0</v>
      </c>
      <c r="EK10" s="1078"/>
      <c r="EL10" s="1047"/>
      <c r="EM10" s="1047"/>
      <c r="EN10" s="1047"/>
      <c r="EO10" s="1048"/>
      <c r="EP10" s="1045">
        <f t="shared" si="25"/>
        <v>0</v>
      </c>
      <c r="EQ10" s="1046"/>
      <c r="ER10" s="1047"/>
      <c r="ES10" s="1047"/>
      <c r="ET10" s="1047"/>
      <c r="EU10" s="1048"/>
      <c r="EV10" s="1045">
        <f t="shared" si="26"/>
        <v>0</v>
      </c>
      <c r="EW10" s="1078"/>
      <c r="EX10" s="1047"/>
      <c r="EY10" s="1047"/>
      <c r="EZ10" s="1047"/>
      <c r="FA10" s="1048"/>
      <c r="FB10" s="1045">
        <f t="shared" si="27"/>
        <v>0</v>
      </c>
      <c r="FC10" s="1046"/>
      <c r="FD10" s="1047"/>
      <c r="FE10" s="1047"/>
      <c r="FF10" s="1047"/>
      <c r="FG10" s="1048"/>
      <c r="FH10" s="1045">
        <f t="shared" si="28"/>
        <v>0</v>
      </c>
      <c r="FI10" s="1078"/>
      <c r="FJ10" s="1047"/>
      <c r="FK10" s="1047"/>
      <c r="FL10" s="1047"/>
      <c r="FM10" s="1048"/>
      <c r="FN10" s="1045">
        <f t="shared" si="29"/>
        <v>0</v>
      </c>
      <c r="FO10" s="1046"/>
      <c r="FP10" s="1047"/>
      <c r="FQ10" s="1047"/>
      <c r="FR10" s="1047"/>
      <c r="FS10" s="1048"/>
      <c r="FT10" s="1045">
        <f t="shared" si="30"/>
        <v>0</v>
      </c>
      <c r="FU10" s="1078"/>
      <c r="FV10" s="1047"/>
      <c r="FW10" s="1047"/>
      <c r="FX10" s="1047"/>
      <c r="FY10" s="1048"/>
      <c r="FZ10" s="1045">
        <f t="shared" si="31"/>
        <v>0</v>
      </c>
      <c r="GA10" s="1046"/>
      <c r="GB10" s="1047"/>
      <c r="GC10" s="1047"/>
      <c r="GD10" s="1047"/>
      <c r="GE10" s="1048"/>
      <c r="GF10" s="1045">
        <f t="shared" si="32"/>
        <v>0</v>
      </c>
      <c r="GG10" s="1046">
        <f t="shared" ref="GG10:GL10" si="39">+GA10+FU10+FO10+FI10+FC10+EW10+EQ10+EK10+EE10+DY10+DS10+DM10+DG10+DA10+CU10+CO10+CI10+CC10+BW10+BQ10+BK10+BE10++AY10+AS10+AM10+AG10+AA10+U10+O10+I10+C10</f>
        <v>0</v>
      </c>
      <c r="GH10" s="1047">
        <f t="shared" si="39"/>
        <v>0</v>
      </c>
      <c r="GI10" s="1047">
        <f t="shared" si="39"/>
        <v>0</v>
      </c>
      <c r="GJ10" s="1047">
        <f t="shared" si="39"/>
        <v>0</v>
      </c>
      <c r="GK10" s="1048">
        <f t="shared" si="39"/>
        <v>0</v>
      </c>
      <c r="GL10" s="1045">
        <f t="shared" si="39"/>
        <v>0</v>
      </c>
      <c r="GM10" s="1049">
        <f t="shared" si="34"/>
        <v>0</v>
      </c>
    </row>
    <row r="11">
      <c r="B11" s="1042" t="s">
        <v>634</v>
      </c>
      <c r="C11" s="1046"/>
      <c r="D11" s="1047"/>
      <c r="E11" s="1047"/>
      <c r="F11" s="1047"/>
      <c r="G11" s="1048"/>
      <c r="H11" s="1045">
        <f t="shared" si="2"/>
        <v>0</v>
      </c>
      <c r="I11" s="1046"/>
      <c r="J11" s="1047"/>
      <c r="K11" s="1047"/>
      <c r="L11" s="1047"/>
      <c r="M11" s="1048"/>
      <c r="N11" s="1045">
        <f t="shared" si="3"/>
        <v>0</v>
      </c>
      <c r="O11" s="1046"/>
      <c r="P11" s="1047"/>
      <c r="Q11" s="1047"/>
      <c r="R11" s="1047"/>
      <c r="S11" s="1048"/>
      <c r="T11" s="1045">
        <f t="shared" si="4"/>
        <v>0</v>
      </c>
      <c r="U11" s="1078"/>
      <c r="V11" s="1047"/>
      <c r="W11" s="1047"/>
      <c r="X11" s="1047"/>
      <c r="Y11" s="1048"/>
      <c r="Z11" s="1045">
        <f t="shared" si="5"/>
        <v>0</v>
      </c>
      <c r="AA11" s="1046"/>
      <c r="AB11" s="1047"/>
      <c r="AC11" s="1047"/>
      <c r="AD11" s="1047"/>
      <c r="AE11" s="1048"/>
      <c r="AF11" s="1045">
        <f t="shared" si="6"/>
        <v>0</v>
      </c>
      <c r="AG11" s="1078"/>
      <c r="AH11" s="1047"/>
      <c r="AI11" s="1047"/>
      <c r="AJ11" s="1047"/>
      <c r="AK11" s="1048"/>
      <c r="AL11" s="1045">
        <f t="shared" si="7"/>
        <v>0</v>
      </c>
      <c r="AM11" s="1046"/>
      <c r="AN11" s="1047"/>
      <c r="AO11" s="1047"/>
      <c r="AP11" s="1047"/>
      <c r="AQ11" s="1048"/>
      <c r="AR11" s="1045">
        <f t="shared" si="8"/>
        <v>0</v>
      </c>
      <c r="AS11" s="1078"/>
      <c r="AT11" s="1047"/>
      <c r="AU11" s="1047"/>
      <c r="AV11" s="1047"/>
      <c r="AW11" s="1048"/>
      <c r="AX11" s="1045">
        <f t="shared" si="9"/>
        <v>0</v>
      </c>
      <c r="AY11" s="1046"/>
      <c r="AZ11" s="1047"/>
      <c r="BA11" s="1047"/>
      <c r="BB11" s="1047"/>
      <c r="BC11" s="1048"/>
      <c r="BD11" s="1045">
        <f t="shared" si="10"/>
        <v>0</v>
      </c>
      <c r="BE11" s="1078"/>
      <c r="BF11" s="1047"/>
      <c r="BG11" s="1047"/>
      <c r="BH11" s="1047"/>
      <c r="BI11" s="1048"/>
      <c r="BJ11" s="1045">
        <f t="shared" si="11"/>
        <v>0</v>
      </c>
      <c r="BK11" s="1046"/>
      <c r="BL11" s="1047"/>
      <c r="BM11" s="1047"/>
      <c r="BN11" s="1047"/>
      <c r="BO11" s="1048"/>
      <c r="BP11" s="1045">
        <f t="shared" si="12"/>
        <v>0</v>
      </c>
      <c r="BQ11" s="1078"/>
      <c r="BR11" s="1047"/>
      <c r="BS11" s="1047"/>
      <c r="BT11" s="1047"/>
      <c r="BU11" s="1048"/>
      <c r="BV11" s="1045">
        <f t="shared" si="13"/>
        <v>0</v>
      </c>
      <c r="BW11" s="1046"/>
      <c r="BX11" s="1047"/>
      <c r="BY11" s="1047"/>
      <c r="BZ11" s="1047"/>
      <c r="CA11" s="1048"/>
      <c r="CB11" s="1045">
        <f t="shared" si="14"/>
        <v>0</v>
      </c>
      <c r="CC11" s="1078"/>
      <c r="CD11" s="1047"/>
      <c r="CE11" s="1047"/>
      <c r="CF11" s="1047"/>
      <c r="CG11" s="1048"/>
      <c r="CH11" s="1045">
        <f t="shared" si="15"/>
        <v>0</v>
      </c>
      <c r="CI11" s="1046"/>
      <c r="CJ11" s="1047"/>
      <c r="CK11" s="1047"/>
      <c r="CL11" s="1047"/>
      <c r="CM11" s="1048"/>
      <c r="CN11" s="1045">
        <f t="shared" si="16"/>
        <v>0</v>
      </c>
      <c r="CO11" s="1078"/>
      <c r="CP11" s="1047"/>
      <c r="CQ11" s="1047"/>
      <c r="CR11" s="1047"/>
      <c r="CS11" s="1048"/>
      <c r="CT11" s="1045">
        <f t="shared" si="17"/>
        <v>0</v>
      </c>
      <c r="CU11" s="1046"/>
      <c r="CV11" s="1047"/>
      <c r="CW11" s="1047"/>
      <c r="CX11" s="1047"/>
      <c r="CY11" s="1048"/>
      <c r="CZ11" s="1045">
        <f t="shared" si="18"/>
        <v>0</v>
      </c>
      <c r="DA11" s="1078"/>
      <c r="DB11" s="1047"/>
      <c r="DC11" s="1047"/>
      <c r="DD11" s="1047"/>
      <c r="DE11" s="1048"/>
      <c r="DF11" s="1045">
        <f t="shared" si="19"/>
        <v>0</v>
      </c>
      <c r="DG11" s="1046"/>
      <c r="DH11" s="1047"/>
      <c r="DI11" s="1047"/>
      <c r="DJ11" s="1047"/>
      <c r="DK11" s="1048"/>
      <c r="DL11" s="1045">
        <f t="shared" si="20"/>
        <v>0</v>
      </c>
      <c r="DM11" s="1078"/>
      <c r="DN11" s="1047"/>
      <c r="DO11" s="1047"/>
      <c r="DP11" s="1047"/>
      <c r="DQ11" s="1048"/>
      <c r="DR11" s="1045">
        <f t="shared" si="21"/>
        <v>0</v>
      </c>
      <c r="DS11" s="1046"/>
      <c r="DT11" s="1047"/>
      <c r="DU11" s="1047"/>
      <c r="DV11" s="1047"/>
      <c r="DW11" s="1048"/>
      <c r="DX11" s="1045">
        <f t="shared" si="22"/>
        <v>0</v>
      </c>
      <c r="DY11" s="1078"/>
      <c r="DZ11" s="1047"/>
      <c r="EA11" s="1047"/>
      <c r="EB11" s="1047"/>
      <c r="EC11" s="1048"/>
      <c r="ED11" s="1045">
        <f t="shared" si="23"/>
        <v>0</v>
      </c>
      <c r="EE11" s="1046"/>
      <c r="EF11" s="1047"/>
      <c r="EG11" s="1047"/>
      <c r="EH11" s="1047"/>
      <c r="EI11" s="1048"/>
      <c r="EJ11" s="1045">
        <f t="shared" si="24"/>
        <v>0</v>
      </c>
      <c r="EK11" s="1078"/>
      <c r="EL11" s="1047"/>
      <c r="EM11" s="1047"/>
      <c r="EN11" s="1047"/>
      <c r="EO11" s="1048"/>
      <c r="EP11" s="1045">
        <f t="shared" si="25"/>
        <v>0</v>
      </c>
      <c r="EQ11" s="1046"/>
      <c r="ER11" s="1047"/>
      <c r="ES11" s="1047"/>
      <c r="ET11" s="1047"/>
      <c r="EU11" s="1048"/>
      <c r="EV11" s="1045">
        <f t="shared" si="26"/>
        <v>0</v>
      </c>
      <c r="EW11" s="1078"/>
      <c r="EX11" s="1047"/>
      <c r="EY11" s="1047"/>
      <c r="EZ11" s="1047"/>
      <c r="FA11" s="1048"/>
      <c r="FB11" s="1045">
        <f t="shared" si="27"/>
        <v>0</v>
      </c>
      <c r="FC11" s="1046"/>
      <c r="FD11" s="1047"/>
      <c r="FE11" s="1047"/>
      <c r="FF11" s="1047"/>
      <c r="FG11" s="1048"/>
      <c r="FH11" s="1045">
        <f t="shared" si="28"/>
        <v>0</v>
      </c>
      <c r="FI11" s="1078"/>
      <c r="FJ11" s="1047"/>
      <c r="FK11" s="1047"/>
      <c r="FL11" s="1047"/>
      <c r="FM11" s="1048"/>
      <c r="FN11" s="1045">
        <f t="shared" si="29"/>
        <v>0</v>
      </c>
      <c r="FO11" s="1046"/>
      <c r="FP11" s="1047"/>
      <c r="FQ11" s="1047"/>
      <c r="FR11" s="1047"/>
      <c r="FS11" s="1048"/>
      <c r="FT11" s="1045">
        <f t="shared" si="30"/>
        <v>0</v>
      </c>
      <c r="FU11" s="1078"/>
      <c r="FV11" s="1047"/>
      <c r="FW11" s="1047"/>
      <c r="FX11" s="1047"/>
      <c r="FY11" s="1048"/>
      <c r="FZ11" s="1045">
        <f t="shared" si="31"/>
        <v>0</v>
      </c>
      <c r="GA11" s="1046"/>
      <c r="GB11" s="1047"/>
      <c r="GC11" s="1047"/>
      <c r="GD11" s="1047"/>
      <c r="GE11" s="1048"/>
      <c r="GF11" s="1045">
        <f t="shared" si="32"/>
        <v>0</v>
      </c>
      <c r="GG11" s="1046">
        <f t="shared" ref="GG11:GL11" si="40">+GA11+FU11+FO11+FI11+FC11+EW11+EQ11+EK11+EE11+DY11+DS11+DM11+DG11+DA11+CU11+CO11+CI11+CC11+BW11+BQ11+BK11+BE11++AY11+AS11+AM11+AG11+AA11+U11+O11+I11+C11</f>
        <v>0</v>
      </c>
      <c r="GH11" s="1047">
        <f t="shared" si="40"/>
        <v>0</v>
      </c>
      <c r="GI11" s="1047">
        <f t="shared" si="40"/>
        <v>0</v>
      </c>
      <c r="GJ11" s="1047">
        <f t="shared" si="40"/>
        <v>0</v>
      </c>
      <c r="GK11" s="1048">
        <f t="shared" si="40"/>
        <v>0</v>
      </c>
      <c r="GL11" s="1045">
        <f t="shared" si="40"/>
        <v>0</v>
      </c>
      <c r="GM11" s="1049">
        <f t="shared" si="34"/>
        <v>0</v>
      </c>
    </row>
    <row r="12">
      <c r="B12" s="1042" t="s">
        <v>635</v>
      </c>
      <c r="C12" s="1046"/>
      <c r="D12" s="1047"/>
      <c r="E12" s="1047"/>
      <c r="F12" s="1047"/>
      <c r="G12" s="1048"/>
      <c r="H12" s="1045">
        <f t="shared" si="2"/>
        <v>0</v>
      </c>
      <c r="I12" s="1046"/>
      <c r="J12" s="1047"/>
      <c r="K12" s="1047"/>
      <c r="L12" s="1047"/>
      <c r="M12" s="1048"/>
      <c r="N12" s="1045">
        <f t="shared" si="3"/>
        <v>0</v>
      </c>
      <c r="O12" s="1046"/>
      <c r="P12" s="1047"/>
      <c r="Q12" s="1047"/>
      <c r="R12" s="1047"/>
      <c r="S12" s="1048"/>
      <c r="T12" s="1045">
        <f t="shared" si="4"/>
        <v>0</v>
      </c>
      <c r="U12" s="1078"/>
      <c r="V12" s="1047"/>
      <c r="W12" s="1047"/>
      <c r="X12" s="1047"/>
      <c r="Y12" s="1048"/>
      <c r="Z12" s="1045">
        <f t="shared" si="5"/>
        <v>0</v>
      </c>
      <c r="AA12" s="1046"/>
      <c r="AB12" s="1047"/>
      <c r="AC12" s="1047"/>
      <c r="AD12" s="1047"/>
      <c r="AE12" s="1048"/>
      <c r="AF12" s="1045">
        <f t="shared" si="6"/>
        <v>0</v>
      </c>
      <c r="AG12" s="1078"/>
      <c r="AH12" s="1047"/>
      <c r="AI12" s="1047"/>
      <c r="AJ12" s="1047"/>
      <c r="AK12" s="1048"/>
      <c r="AL12" s="1045">
        <f t="shared" si="7"/>
        <v>0</v>
      </c>
      <c r="AM12" s="1046"/>
      <c r="AN12" s="1047"/>
      <c r="AO12" s="1047"/>
      <c r="AP12" s="1047"/>
      <c r="AQ12" s="1048"/>
      <c r="AR12" s="1045">
        <f t="shared" si="8"/>
        <v>0</v>
      </c>
      <c r="AS12" s="1078"/>
      <c r="AT12" s="1047"/>
      <c r="AU12" s="1047"/>
      <c r="AV12" s="1047"/>
      <c r="AW12" s="1048"/>
      <c r="AX12" s="1045">
        <f t="shared" si="9"/>
        <v>0</v>
      </c>
      <c r="AY12" s="1046"/>
      <c r="AZ12" s="1047"/>
      <c r="BA12" s="1047"/>
      <c r="BB12" s="1047"/>
      <c r="BC12" s="1048"/>
      <c r="BD12" s="1045">
        <f t="shared" si="10"/>
        <v>0</v>
      </c>
      <c r="BE12" s="1078"/>
      <c r="BF12" s="1047"/>
      <c r="BG12" s="1047"/>
      <c r="BH12" s="1047"/>
      <c r="BI12" s="1048"/>
      <c r="BJ12" s="1045">
        <f t="shared" si="11"/>
        <v>0</v>
      </c>
      <c r="BK12" s="1046"/>
      <c r="BL12" s="1047"/>
      <c r="BM12" s="1047"/>
      <c r="BN12" s="1047"/>
      <c r="BO12" s="1048"/>
      <c r="BP12" s="1045">
        <f t="shared" si="12"/>
        <v>0</v>
      </c>
      <c r="BQ12" s="1078"/>
      <c r="BR12" s="1047"/>
      <c r="BS12" s="1047"/>
      <c r="BT12" s="1047"/>
      <c r="BU12" s="1048"/>
      <c r="BV12" s="1045">
        <f t="shared" si="13"/>
        <v>0</v>
      </c>
      <c r="BW12" s="1046"/>
      <c r="BX12" s="1047"/>
      <c r="BY12" s="1047"/>
      <c r="BZ12" s="1047"/>
      <c r="CA12" s="1048"/>
      <c r="CB12" s="1045">
        <f t="shared" si="14"/>
        <v>0</v>
      </c>
      <c r="CC12" s="1078"/>
      <c r="CD12" s="1047"/>
      <c r="CE12" s="1047"/>
      <c r="CF12" s="1047"/>
      <c r="CG12" s="1048"/>
      <c r="CH12" s="1045">
        <f t="shared" si="15"/>
        <v>0</v>
      </c>
      <c r="CI12" s="1046"/>
      <c r="CJ12" s="1047"/>
      <c r="CK12" s="1047"/>
      <c r="CL12" s="1047"/>
      <c r="CM12" s="1048"/>
      <c r="CN12" s="1045">
        <f t="shared" si="16"/>
        <v>0</v>
      </c>
      <c r="CO12" s="1078"/>
      <c r="CP12" s="1047"/>
      <c r="CQ12" s="1047"/>
      <c r="CR12" s="1047"/>
      <c r="CS12" s="1048"/>
      <c r="CT12" s="1045">
        <f t="shared" si="17"/>
        <v>0</v>
      </c>
      <c r="CU12" s="1046"/>
      <c r="CV12" s="1047"/>
      <c r="CW12" s="1047"/>
      <c r="CX12" s="1047"/>
      <c r="CY12" s="1048"/>
      <c r="CZ12" s="1045">
        <f t="shared" si="18"/>
        <v>0</v>
      </c>
      <c r="DA12" s="1078"/>
      <c r="DB12" s="1047"/>
      <c r="DC12" s="1047"/>
      <c r="DD12" s="1047"/>
      <c r="DE12" s="1048"/>
      <c r="DF12" s="1045">
        <f t="shared" si="19"/>
        <v>0</v>
      </c>
      <c r="DG12" s="1046"/>
      <c r="DH12" s="1047"/>
      <c r="DI12" s="1047"/>
      <c r="DJ12" s="1047"/>
      <c r="DK12" s="1048"/>
      <c r="DL12" s="1045">
        <f t="shared" si="20"/>
        <v>0</v>
      </c>
      <c r="DM12" s="1078"/>
      <c r="DN12" s="1047"/>
      <c r="DO12" s="1047"/>
      <c r="DP12" s="1047"/>
      <c r="DQ12" s="1048"/>
      <c r="DR12" s="1045">
        <f t="shared" si="21"/>
        <v>0</v>
      </c>
      <c r="DS12" s="1046"/>
      <c r="DT12" s="1047"/>
      <c r="DU12" s="1047"/>
      <c r="DV12" s="1047"/>
      <c r="DW12" s="1048"/>
      <c r="DX12" s="1045">
        <f t="shared" si="22"/>
        <v>0</v>
      </c>
      <c r="DY12" s="1078"/>
      <c r="DZ12" s="1047"/>
      <c r="EA12" s="1047"/>
      <c r="EB12" s="1047"/>
      <c r="EC12" s="1048"/>
      <c r="ED12" s="1045">
        <f t="shared" si="23"/>
        <v>0</v>
      </c>
      <c r="EE12" s="1046"/>
      <c r="EF12" s="1047"/>
      <c r="EG12" s="1047"/>
      <c r="EH12" s="1047"/>
      <c r="EI12" s="1048"/>
      <c r="EJ12" s="1045">
        <f t="shared" si="24"/>
        <v>0</v>
      </c>
      <c r="EK12" s="1078"/>
      <c r="EL12" s="1047"/>
      <c r="EM12" s="1047"/>
      <c r="EN12" s="1047"/>
      <c r="EO12" s="1048"/>
      <c r="EP12" s="1045">
        <f t="shared" si="25"/>
        <v>0</v>
      </c>
      <c r="EQ12" s="1046"/>
      <c r="ER12" s="1047"/>
      <c r="ES12" s="1047"/>
      <c r="ET12" s="1047"/>
      <c r="EU12" s="1048"/>
      <c r="EV12" s="1045">
        <f t="shared" si="26"/>
        <v>0</v>
      </c>
      <c r="EW12" s="1078"/>
      <c r="EX12" s="1047"/>
      <c r="EY12" s="1047"/>
      <c r="EZ12" s="1047"/>
      <c r="FA12" s="1048"/>
      <c r="FB12" s="1045">
        <f t="shared" si="27"/>
        <v>0</v>
      </c>
      <c r="FC12" s="1046"/>
      <c r="FD12" s="1047"/>
      <c r="FE12" s="1047"/>
      <c r="FF12" s="1047"/>
      <c r="FG12" s="1048"/>
      <c r="FH12" s="1045">
        <f t="shared" si="28"/>
        <v>0</v>
      </c>
      <c r="FI12" s="1078"/>
      <c r="FJ12" s="1047"/>
      <c r="FK12" s="1047"/>
      <c r="FL12" s="1047"/>
      <c r="FM12" s="1048"/>
      <c r="FN12" s="1045">
        <f t="shared" si="29"/>
        <v>0</v>
      </c>
      <c r="FO12" s="1046"/>
      <c r="FP12" s="1047"/>
      <c r="FQ12" s="1047"/>
      <c r="FR12" s="1047"/>
      <c r="FS12" s="1048"/>
      <c r="FT12" s="1045">
        <f t="shared" si="30"/>
        <v>0</v>
      </c>
      <c r="FU12" s="1078"/>
      <c r="FV12" s="1047"/>
      <c r="FW12" s="1047"/>
      <c r="FX12" s="1047"/>
      <c r="FY12" s="1048"/>
      <c r="FZ12" s="1045">
        <f t="shared" si="31"/>
        <v>0</v>
      </c>
      <c r="GA12" s="1046"/>
      <c r="GB12" s="1047"/>
      <c r="GC12" s="1047"/>
      <c r="GD12" s="1047"/>
      <c r="GE12" s="1048"/>
      <c r="GF12" s="1045">
        <f t="shared" si="32"/>
        <v>0</v>
      </c>
      <c r="GG12" s="1046">
        <f t="shared" ref="GG12:GL12" si="41">+GA12+FU12+FO12+FI12+FC12+EW12+EQ12+EK12+EE12+DY12+DS12+DM12+DG12+DA12+CU12+CO12+CI12+CC12+BW12+BQ12+BK12+BE12++AY12+AS12+AM12+AG12+AA12+U12+O12+I12+C12</f>
        <v>0</v>
      </c>
      <c r="GH12" s="1047">
        <f t="shared" si="41"/>
        <v>0</v>
      </c>
      <c r="GI12" s="1047">
        <f t="shared" si="41"/>
        <v>0</v>
      </c>
      <c r="GJ12" s="1047">
        <f t="shared" si="41"/>
        <v>0</v>
      </c>
      <c r="GK12" s="1048">
        <f t="shared" si="41"/>
        <v>0</v>
      </c>
      <c r="GL12" s="1045">
        <f t="shared" si="41"/>
        <v>0</v>
      </c>
      <c r="GM12" s="1049">
        <f t="shared" si="34"/>
        <v>0</v>
      </c>
    </row>
    <row r="13">
      <c r="B13" s="1042" t="s">
        <v>659</v>
      </c>
      <c r="C13" s="1046"/>
      <c r="D13" s="1047"/>
      <c r="E13" s="1047"/>
      <c r="F13" s="1047"/>
      <c r="G13" s="1048"/>
      <c r="H13" s="1045">
        <f t="shared" si="2"/>
        <v>0</v>
      </c>
      <c r="I13" s="1046"/>
      <c r="J13" s="1047"/>
      <c r="K13" s="1047"/>
      <c r="L13" s="1047"/>
      <c r="M13" s="1048"/>
      <c r="N13" s="1045">
        <f t="shared" si="3"/>
        <v>0</v>
      </c>
      <c r="O13" s="1046"/>
      <c r="P13" s="1047"/>
      <c r="Q13" s="1047"/>
      <c r="R13" s="1047"/>
      <c r="S13" s="1048"/>
      <c r="T13" s="1045">
        <f t="shared" si="4"/>
        <v>0</v>
      </c>
      <c r="U13" s="1078"/>
      <c r="V13" s="1047"/>
      <c r="W13" s="1047"/>
      <c r="X13" s="1047"/>
      <c r="Y13" s="1048"/>
      <c r="Z13" s="1045">
        <f t="shared" si="5"/>
        <v>0</v>
      </c>
      <c r="AA13" s="1046"/>
      <c r="AB13" s="1047"/>
      <c r="AC13" s="1047"/>
      <c r="AD13" s="1047"/>
      <c r="AE13" s="1048"/>
      <c r="AF13" s="1045">
        <f t="shared" si="6"/>
        <v>0</v>
      </c>
      <c r="AG13" s="1078"/>
      <c r="AH13" s="1047"/>
      <c r="AI13" s="1047"/>
      <c r="AJ13" s="1047"/>
      <c r="AK13" s="1048"/>
      <c r="AL13" s="1045">
        <f t="shared" si="7"/>
        <v>0</v>
      </c>
      <c r="AM13" s="1046"/>
      <c r="AN13" s="1047"/>
      <c r="AO13" s="1047"/>
      <c r="AP13" s="1047"/>
      <c r="AQ13" s="1048"/>
      <c r="AR13" s="1045">
        <f t="shared" si="8"/>
        <v>0</v>
      </c>
      <c r="AS13" s="1078"/>
      <c r="AT13" s="1047"/>
      <c r="AU13" s="1047"/>
      <c r="AV13" s="1047"/>
      <c r="AW13" s="1048"/>
      <c r="AX13" s="1045">
        <f t="shared" si="9"/>
        <v>0</v>
      </c>
      <c r="AY13" s="1046"/>
      <c r="AZ13" s="1047"/>
      <c r="BA13" s="1047"/>
      <c r="BB13" s="1047"/>
      <c r="BC13" s="1048"/>
      <c r="BD13" s="1045">
        <f t="shared" si="10"/>
        <v>0</v>
      </c>
      <c r="BE13" s="1078"/>
      <c r="BF13" s="1047"/>
      <c r="BG13" s="1047"/>
      <c r="BH13" s="1047"/>
      <c r="BI13" s="1048"/>
      <c r="BJ13" s="1045">
        <f t="shared" si="11"/>
        <v>0</v>
      </c>
      <c r="BK13" s="1046"/>
      <c r="BL13" s="1047"/>
      <c r="BM13" s="1047"/>
      <c r="BN13" s="1047"/>
      <c r="BO13" s="1048"/>
      <c r="BP13" s="1045">
        <f t="shared" si="12"/>
        <v>0</v>
      </c>
      <c r="BQ13" s="1078"/>
      <c r="BR13" s="1047"/>
      <c r="BS13" s="1047"/>
      <c r="BT13" s="1047"/>
      <c r="BU13" s="1048"/>
      <c r="BV13" s="1045">
        <f t="shared" si="13"/>
        <v>0</v>
      </c>
      <c r="BW13" s="1046"/>
      <c r="BX13" s="1047"/>
      <c r="BY13" s="1047"/>
      <c r="BZ13" s="1047"/>
      <c r="CA13" s="1048"/>
      <c r="CB13" s="1045">
        <f t="shared" si="14"/>
        <v>0</v>
      </c>
      <c r="CC13" s="1078"/>
      <c r="CD13" s="1047"/>
      <c r="CE13" s="1047"/>
      <c r="CF13" s="1047"/>
      <c r="CG13" s="1048"/>
      <c r="CH13" s="1045">
        <f t="shared" si="15"/>
        <v>0</v>
      </c>
      <c r="CI13" s="1046"/>
      <c r="CJ13" s="1047"/>
      <c r="CK13" s="1047"/>
      <c r="CL13" s="1047"/>
      <c r="CM13" s="1048"/>
      <c r="CN13" s="1045">
        <f t="shared" si="16"/>
        <v>0</v>
      </c>
      <c r="CO13" s="1078"/>
      <c r="CP13" s="1047"/>
      <c r="CQ13" s="1047"/>
      <c r="CR13" s="1047"/>
      <c r="CS13" s="1048"/>
      <c r="CT13" s="1045">
        <f t="shared" si="17"/>
        <v>0</v>
      </c>
      <c r="CU13" s="1046"/>
      <c r="CV13" s="1047"/>
      <c r="CW13" s="1047"/>
      <c r="CX13" s="1047"/>
      <c r="CY13" s="1048"/>
      <c r="CZ13" s="1045">
        <f t="shared" si="18"/>
        <v>0</v>
      </c>
      <c r="DA13" s="1078"/>
      <c r="DB13" s="1047"/>
      <c r="DC13" s="1047"/>
      <c r="DD13" s="1047"/>
      <c r="DE13" s="1048"/>
      <c r="DF13" s="1045">
        <f t="shared" si="19"/>
        <v>0</v>
      </c>
      <c r="DG13" s="1046"/>
      <c r="DH13" s="1047"/>
      <c r="DI13" s="1047"/>
      <c r="DJ13" s="1047"/>
      <c r="DK13" s="1048"/>
      <c r="DL13" s="1045">
        <f t="shared" si="20"/>
        <v>0</v>
      </c>
      <c r="DM13" s="1078"/>
      <c r="DN13" s="1047"/>
      <c r="DO13" s="1047"/>
      <c r="DP13" s="1047"/>
      <c r="DQ13" s="1048"/>
      <c r="DR13" s="1045">
        <f t="shared" si="21"/>
        <v>0</v>
      </c>
      <c r="DS13" s="1046"/>
      <c r="DT13" s="1047"/>
      <c r="DU13" s="1047"/>
      <c r="DV13" s="1047"/>
      <c r="DW13" s="1048"/>
      <c r="DX13" s="1045">
        <f t="shared" si="22"/>
        <v>0</v>
      </c>
      <c r="DY13" s="1078"/>
      <c r="DZ13" s="1047"/>
      <c r="EA13" s="1047"/>
      <c r="EB13" s="1047"/>
      <c r="EC13" s="1048"/>
      <c r="ED13" s="1045">
        <f t="shared" si="23"/>
        <v>0</v>
      </c>
      <c r="EE13" s="1046"/>
      <c r="EF13" s="1047"/>
      <c r="EG13" s="1047"/>
      <c r="EH13" s="1047"/>
      <c r="EI13" s="1048"/>
      <c r="EJ13" s="1045">
        <f t="shared" si="24"/>
        <v>0</v>
      </c>
      <c r="EK13" s="1078"/>
      <c r="EL13" s="1047"/>
      <c r="EM13" s="1047"/>
      <c r="EN13" s="1047"/>
      <c r="EO13" s="1048"/>
      <c r="EP13" s="1045">
        <f t="shared" si="25"/>
        <v>0</v>
      </c>
      <c r="EQ13" s="1046"/>
      <c r="ER13" s="1047"/>
      <c r="ES13" s="1047"/>
      <c r="ET13" s="1047"/>
      <c r="EU13" s="1048"/>
      <c r="EV13" s="1045">
        <f t="shared" si="26"/>
        <v>0</v>
      </c>
      <c r="EW13" s="1078"/>
      <c r="EX13" s="1047"/>
      <c r="EY13" s="1047"/>
      <c r="EZ13" s="1047"/>
      <c r="FA13" s="1048"/>
      <c r="FB13" s="1045">
        <f t="shared" si="27"/>
        <v>0</v>
      </c>
      <c r="FC13" s="1046"/>
      <c r="FD13" s="1047"/>
      <c r="FE13" s="1047"/>
      <c r="FF13" s="1047"/>
      <c r="FG13" s="1048"/>
      <c r="FH13" s="1045">
        <f t="shared" si="28"/>
        <v>0</v>
      </c>
      <c r="FI13" s="1078"/>
      <c r="FJ13" s="1047"/>
      <c r="FK13" s="1047"/>
      <c r="FL13" s="1047"/>
      <c r="FM13" s="1048"/>
      <c r="FN13" s="1045">
        <f t="shared" si="29"/>
        <v>0</v>
      </c>
      <c r="FO13" s="1046"/>
      <c r="FP13" s="1047"/>
      <c r="FQ13" s="1047"/>
      <c r="FR13" s="1047"/>
      <c r="FS13" s="1048"/>
      <c r="FT13" s="1045">
        <f t="shared" si="30"/>
        <v>0</v>
      </c>
      <c r="FU13" s="1078"/>
      <c r="FV13" s="1047"/>
      <c r="FW13" s="1047"/>
      <c r="FX13" s="1047"/>
      <c r="FY13" s="1048"/>
      <c r="FZ13" s="1045">
        <f t="shared" si="31"/>
        <v>0</v>
      </c>
      <c r="GA13" s="1046"/>
      <c r="GB13" s="1047"/>
      <c r="GC13" s="1047"/>
      <c r="GD13" s="1047"/>
      <c r="GE13" s="1048"/>
      <c r="GF13" s="1045">
        <f t="shared" si="32"/>
        <v>0</v>
      </c>
      <c r="GG13" s="1046">
        <f t="shared" ref="GG13:GL13" si="42">+GA13+FU13+FO13+FI13+FC13+EW13+EQ13+EK13+EE13+DY13+DS13+DM13+DG13+DA13+CU13+CO13+CI13+CC13+BW13+BQ13+BK13+BE13++AY13+AS13+AM13+AG13+AA13+U13+O13+I13+C13</f>
        <v>0</v>
      </c>
      <c r="GH13" s="1047">
        <f t="shared" si="42"/>
        <v>0</v>
      </c>
      <c r="GI13" s="1047">
        <f t="shared" si="42"/>
        <v>0</v>
      </c>
      <c r="GJ13" s="1047">
        <f t="shared" si="42"/>
        <v>0</v>
      </c>
      <c r="GK13" s="1048">
        <f t="shared" si="42"/>
        <v>0</v>
      </c>
      <c r="GL13" s="1045">
        <f t="shared" si="42"/>
        <v>0</v>
      </c>
      <c r="GM13" s="1049">
        <f t="shared" si="34"/>
        <v>0</v>
      </c>
    </row>
    <row r="14">
      <c r="B14" s="1042" t="s">
        <v>660</v>
      </c>
      <c r="C14" s="1046"/>
      <c r="D14" s="1047"/>
      <c r="E14" s="1047"/>
      <c r="F14" s="1047"/>
      <c r="G14" s="1048"/>
      <c r="H14" s="1045">
        <f t="shared" si="2"/>
        <v>0</v>
      </c>
      <c r="I14" s="1046"/>
      <c r="J14" s="1047"/>
      <c r="K14" s="1047"/>
      <c r="L14" s="1047"/>
      <c r="M14" s="1048"/>
      <c r="N14" s="1045">
        <f t="shared" si="3"/>
        <v>0</v>
      </c>
      <c r="O14" s="1046"/>
      <c r="P14" s="1047"/>
      <c r="Q14" s="1047"/>
      <c r="R14" s="1047"/>
      <c r="S14" s="1048"/>
      <c r="T14" s="1045">
        <f t="shared" si="4"/>
        <v>0</v>
      </c>
      <c r="U14" s="1078"/>
      <c r="V14" s="1047"/>
      <c r="W14" s="1047"/>
      <c r="X14" s="1047"/>
      <c r="Y14" s="1048"/>
      <c r="Z14" s="1045">
        <f t="shared" si="5"/>
        <v>0</v>
      </c>
      <c r="AA14" s="1046"/>
      <c r="AB14" s="1047"/>
      <c r="AC14" s="1047"/>
      <c r="AD14" s="1047"/>
      <c r="AE14" s="1048"/>
      <c r="AF14" s="1045">
        <f t="shared" si="6"/>
        <v>0</v>
      </c>
      <c r="AG14" s="1078"/>
      <c r="AH14" s="1047"/>
      <c r="AI14" s="1047"/>
      <c r="AJ14" s="1047"/>
      <c r="AK14" s="1048"/>
      <c r="AL14" s="1045">
        <f t="shared" si="7"/>
        <v>0</v>
      </c>
      <c r="AM14" s="1046"/>
      <c r="AN14" s="1047"/>
      <c r="AO14" s="1047"/>
      <c r="AP14" s="1047"/>
      <c r="AQ14" s="1048"/>
      <c r="AR14" s="1045">
        <f t="shared" si="8"/>
        <v>0</v>
      </c>
      <c r="AS14" s="1078"/>
      <c r="AT14" s="1047"/>
      <c r="AU14" s="1047"/>
      <c r="AV14" s="1047"/>
      <c r="AW14" s="1048"/>
      <c r="AX14" s="1045">
        <f t="shared" si="9"/>
        <v>0</v>
      </c>
      <c r="AY14" s="1046"/>
      <c r="AZ14" s="1047"/>
      <c r="BA14" s="1047"/>
      <c r="BB14" s="1047"/>
      <c r="BC14" s="1048"/>
      <c r="BD14" s="1045">
        <f t="shared" si="10"/>
        <v>0</v>
      </c>
      <c r="BE14" s="1078"/>
      <c r="BF14" s="1047"/>
      <c r="BG14" s="1047"/>
      <c r="BH14" s="1047"/>
      <c r="BI14" s="1048"/>
      <c r="BJ14" s="1045">
        <f t="shared" si="11"/>
        <v>0</v>
      </c>
      <c r="BK14" s="1046"/>
      <c r="BL14" s="1047"/>
      <c r="BM14" s="1047"/>
      <c r="BN14" s="1047"/>
      <c r="BO14" s="1048"/>
      <c r="BP14" s="1045">
        <f t="shared" si="12"/>
        <v>0</v>
      </c>
      <c r="BQ14" s="1078"/>
      <c r="BR14" s="1047"/>
      <c r="BS14" s="1047"/>
      <c r="BT14" s="1047"/>
      <c r="BU14" s="1048"/>
      <c r="BV14" s="1045">
        <f t="shared" si="13"/>
        <v>0</v>
      </c>
      <c r="BW14" s="1046"/>
      <c r="BX14" s="1047"/>
      <c r="BY14" s="1047"/>
      <c r="BZ14" s="1047"/>
      <c r="CA14" s="1048"/>
      <c r="CB14" s="1045">
        <f t="shared" si="14"/>
        <v>0</v>
      </c>
      <c r="CC14" s="1078"/>
      <c r="CD14" s="1047"/>
      <c r="CE14" s="1047"/>
      <c r="CF14" s="1047"/>
      <c r="CG14" s="1048"/>
      <c r="CH14" s="1045">
        <f t="shared" si="15"/>
        <v>0</v>
      </c>
      <c r="CI14" s="1046"/>
      <c r="CJ14" s="1047"/>
      <c r="CK14" s="1047"/>
      <c r="CL14" s="1047"/>
      <c r="CM14" s="1048"/>
      <c r="CN14" s="1045">
        <f t="shared" si="16"/>
        <v>0</v>
      </c>
      <c r="CO14" s="1078"/>
      <c r="CP14" s="1047"/>
      <c r="CQ14" s="1047"/>
      <c r="CR14" s="1047"/>
      <c r="CS14" s="1048"/>
      <c r="CT14" s="1045">
        <f t="shared" si="17"/>
        <v>0</v>
      </c>
      <c r="CU14" s="1046"/>
      <c r="CV14" s="1047"/>
      <c r="CW14" s="1047"/>
      <c r="CX14" s="1047"/>
      <c r="CY14" s="1048"/>
      <c r="CZ14" s="1045">
        <f t="shared" si="18"/>
        <v>0</v>
      </c>
      <c r="DA14" s="1078"/>
      <c r="DB14" s="1047"/>
      <c r="DC14" s="1047"/>
      <c r="DD14" s="1047"/>
      <c r="DE14" s="1048"/>
      <c r="DF14" s="1045">
        <f t="shared" si="19"/>
        <v>0</v>
      </c>
      <c r="DG14" s="1046"/>
      <c r="DH14" s="1047"/>
      <c r="DI14" s="1047"/>
      <c r="DJ14" s="1047"/>
      <c r="DK14" s="1048"/>
      <c r="DL14" s="1045">
        <f t="shared" si="20"/>
        <v>0</v>
      </c>
      <c r="DM14" s="1078"/>
      <c r="DN14" s="1047"/>
      <c r="DO14" s="1047"/>
      <c r="DP14" s="1047"/>
      <c r="DQ14" s="1048"/>
      <c r="DR14" s="1045">
        <f t="shared" si="21"/>
        <v>0</v>
      </c>
      <c r="DS14" s="1046"/>
      <c r="DT14" s="1047"/>
      <c r="DU14" s="1047"/>
      <c r="DV14" s="1047"/>
      <c r="DW14" s="1048"/>
      <c r="DX14" s="1045">
        <f t="shared" si="22"/>
        <v>0</v>
      </c>
      <c r="DY14" s="1078"/>
      <c r="DZ14" s="1047"/>
      <c r="EA14" s="1047"/>
      <c r="EB14" s="1047"/>
      <c r="EC14" s="1048"/>
      <c r="ED14" s="1045">
        <f t="shared" si="23"/>
        <v>0</v>
      </c>
      <c r="EE14" s="1046"/>
      <c r="EF14" s="1047"/>
      <c r="EG14" s="1047"/>
      <c r="EH14" s="1047"/>
      <c r="EI14" s="1048"/>
      <c r="EJ14" s="1045">
        <f t="shared" si="24"/>
        <v>0</v>
      </c>
      <c r="EK14" s="1078"/>
      <c r="EL14" s="1047"/>
      <c r="EM14" s="1047"/>
      <c r="EN14" s="1047"/>
      <c r="EO14" s="1048"/>
      <c r="EP14" s="1045">
        <f t="shared" si="25"/>
        <v>0</v>
      </c>
      <c r="EQ14" s="1046"/>
      <c r="ER14" s="1047"/>
      <c r="ES14" s="1047"/>
      <c r="ET14" s="1047"/>
      <c r="EU14" s="1048"/>
      <c r="EV14" s="1045">
        <f t="shared" si="26"/>
        <v>0</v>
      </c>
      <c r="EW14" s="1078"/>
      <c r="EX14" s="1047"/>
      <c r="EY14" s="1047"/>
      <c r="EZ14" s="1047"/>
      <c r="FA14" s="1048"/>
      <c r="FB14" s="1045">
        <f t="shared" si="27"/>
        <v>0</v>
      </c>
      <c r="FC14" s="1046"/>
      <c r="FD14" s="1047"/>
      <c r="FE14" s="1047"/>
      <c r="FF14" s="1047"/>
      <c r="FG14" s="1048"/>
      <c r="FH14" s="1045">
        <f t="shared" si="28"/>
        <v>0</v>
      </c>
      <c r="FI14" s="1078"/>
      <c r="FJ14" s="1047"/>
      <c r="FK14" s="1047"/>
      <c r="FL14" s="1047"/>
      <c r="FM14" s="1048"/>
      <c r="FN14" s="1045">
        <f t="shared" si="29"/>
        <v>0</v>
      </c>
      <c r="FO14" s="1046"/>
      <c r="FP14" s="1047"/>
      <c r="FQ14" s="1047"/>
      <c r="FR14" s="1047"/>
      <c r="FS14" s="1048"/>
      <c r="FT14" s="1045">
        <f t="shared" si="30"/>
        <v>0</v>
      </c>
      <c r="FU14" s="1078"/>
      <c r="FV14" s="1047"/>
      <c r="FW14" s="1047"/>
      <c r="FX14" s="1047"/>
      <c r="FY14" s="1048"/>
      <c r="FZ14" s="1045">
        <f t="shared" si="31"/>
        <v>0</v>
      </c>
      <c r="GA14" s="1046"/>
      <c r="GB14" s="1047"/>
      <c r="GC14" s="1047"/>
      <c r="GD14" s="1047"/>
      <c r="GE14" s="1048"/>
      <c r="GF14" s="1045">
        <f t="shared" si="32"/>
        <v>0</v>
      </c>
      <c r="GG14" s="1046">
        <f t="shared" ref="GG14:GL14" si="43">+GA14+FU14+FO14+FI14+FC14+EW14+EQ14+EK14+EE14+DY14+DS14+DM14+DG14+DA14+CU14+CO14+CI14+CC14+BW14+BQ14+BK14+BE14++AY14+AS14+AM14+AG14+AA14+U14+O14+I14+C14</f>
        <v>0</v>
      </c>
      <c r="GH14" s="1047">
        <f t="shared" si="43"/>
        <v>0</v>
      </c>
      <c r="GI14" s="1047">
        <f t="shared" si="43"/>
        <v>0</v>
      </c>
      <c r="GJ14" s="1047">
        <f t="shared" si="43"/>
        <v>0</v>
      </c>
      <c r="GK14" s="1048">
        <f t="shared" si="43"/>
        <v>0</v>
      </c>
      <c r="GL14" s="1045">
        <f t="shared" si="43"/>
        <v>0</v>
      </c>
      <c r="GM14" s="1049">
        <f t="shared" si="34"/>
        <v>0</v>
      </c>
    </row>
    <row r="15">
      <c r="B15" s="1042" t="s">
        <v>639</v>
      </c>
      <c r="C15" s="1046"/>
      <c r="D15" s="1047"/>
      <c r="E15" s="1047"/>
      <c r="F15" s="1047"/>
      <c r="G15" s="1048"/>
      <c r="H15" s="1045">
        <f t="shared" si="2"/>
        <v>0</v>
      </c>
      <c r="I15" s="1046"/>
      <c r="J15" s="1047"/>
      <c r="K15" s="1047"/>
      <c r="L15" s="1047"/>
      <c r="M15" s="1048"/>
      <c r="N15" s="1045">
        <f t="shared" si="3"/>
        <v>0</v>
      </c>
      <c r="O15" s="1046"/>
      <c r="P15" s="1047"/>
      <c r="Q15" s="1047"/>
      <c r="R15" s="1047"/>
      <c r="S15" s="1048"/>
      <c r="T15" s="1045">
        <f t="shared" si="4"/>
        <v>0</v>
      </c>
      <c r="U15" s="1078"/>
      <c r="V15" s="1047"/>
      <c r="W15" s="1047"/>
      <c r="X15" s="1047"/>
      <c r="Y15" s="1048"/>
      <c r="Z15" s="1045">
        <f t="shared" si="5"/>
        <v>0</v>
      </c>
      <c r="AA15" s="1046"/>
      <c r="AB15" s="1047"/>
      <c r="AC15" s="1047"/>
      <c r="AD15" s="1047"/>
      <c r="AE15" s="1048"/>
      <c r="AF15" s="1045">
        <f t="shared" si="6"/>
        <v>0</v>
      </c>
      <c r="AG15" s="1078"/>
      <c r="AH15" s="1047"/>
      <c r="AI15" s="1047"/>
      <c r="AJ15" s="1047"/>
      <c r="AK15" s="1048"/>
      <c r="AL15" s="1045">
        <f t="shared" si="7"/>
        <v>0</v>
      </c>
      <c r="AM15" s="1046"/>
      <c r="AN15" s="1047"/>
      <c r="AO15" s="1047"/>
      <c r="AP15" s="1047"/>
      <c r="AQ15" s="1048"/>
      <c r="AR15" s="1045">
        <f t="shared" si="8"/>
        <v>0</v>
      </c>
      <c r="AS15" s="1078"/>
      <c r="AT15" s="1047"/>
      <c r="AU15" s="1047"/>
      <c r="AV15" s="1047"/>
      <c r="AW15" s="1048"/>
      <c r="AX15" s="1045">
        <f t="shared" si="9"/>
        <v>0</v>
      </c>
      <c r="AY15" s="1046"/>
      <c r="AZ15" s="1047"/>
      <c r="BA15" s="1047"/>
      <c r="BB15" s="1047"/>
      <c r="BC15" s="1048"/>
      <c r="BD15" s="1045">
        <f t="shared" si="10"/>
        <v>0</v>
      </c>
      <c r="BE15" s="1078"/>
      <c r="BF15" s="1047"/>
      <c r="BG15" s="1047"/>
      <c r="BH15" s="1047"/>
      <c r="BI15" s="1048"/>
      <c r="BJ15" s="1045">
        <f t="shared" si="11"/>
        <v>0</v>
      </c>
      <c r="BK15" s="1046"/>
      <c r="BL15" s="1047"/>
      <c r="BM15" s="1047"/>
      <c r="BN15" s="1047"/>
      <c r="BO15" s="1048"/>
      <c r="BP15" s="1045">
        <f t="shared" si="12"/>
        <v>0</v>
      </c>
      <c r="BQ15" s="1078"/>
      <c r="BR15" s="1047"/>
      <c r="BS15" s="1047"/>
      <c r="BT15" s="1047"/>
      <c r="BU15" s="1048"/>
      <c r="BV15" s="1045">
        <f t="shared" si="13"/>
        <v>0</v>
      </c>
      <c r="BW15" s="1046"/>
      <c r="BX15" s="1047"/>
      <c r="BY15" s="1047"/>
      <c r="BZ15" s="1047"/>
      <c r="CA15" s="1048"/>
      <c r="CB15" s="1045">
        <f t="shared" si="14"/>
        <v>0</v>
      </c>
      <c r="CC15" s="1078"/>
      <c r="CD15" s="1047"/>
      <c r="CE15" s="1047"/>
      <c r="CF15" s="1047"/>
      <c r="CG15" s="1048"/>
      <c r="CH15" s="1045">
        <f t="shared" si="15"/>
        <v>0</v>
      </c>
      <c r="CI15" s="1046"/>
      <c r="CJ15" s="1047"/>
      <c r="CK15" s="1047"/>
      <c r="CL15" s="1047"/>
      <c r="CM15" s="1048"/>
      <c r="CN15" s="1045">
        <f t="shared" si="16"/>
        <v>0</v>
      </c>
      <c r="CO15" s="1078"/>
      <c r="CP15" s="1047"/>
      <c r="CQ15" s="1047"/>
      <c r="CR15" s="1047"/>
      <c r="CS15" s="1048"/>
      <c r="CT15" s="1045">
        <f t="shared" si="17"/>
        <v>0</v>
      </c>
      <c r="CU15" s="1046"/>
      <c r="CV15" s="1047"/>
      <c r="CW15" s="1047"/>
      <c r="CX15" s="1047"/>
      <c r="CY15" s="1048"/>
      <c r="CZ15" s="1045">
        <f t="shared" si="18"/>
        <v>0</v>
      </c>
      <c r="DA15" s="1078"/>
      <c r="DB15" s="1047"/>
      <c r="DC15" s="1047"/>
      <c r="DD15" s="1047"/>
      <c r="DE15" s="1048"/>
      <c r="DF15" s="1045">
        <f t="shared" si="19"/>
        <v>0</v>
      </c>
      <c r="DG15" s="1046"/>
      <c r="DH15" s="1047"/>
      <c r="DI15" s="1047"/>
      <c r="DJ15" s="1047"/>
      <c r="DK15" s="1048"/>
      <c r="DL15" s="1045">
        <f t="shared" si="20"/>
        <v>0</v>
      </c>
      <c r="DM15" s="1078"/>
      <c r="DN15" s="1047"/>
      <c r="DO15" s="1047"/>
      <c r="DP15" s="1047"/>
      <c r="DQ15" s="1048"/>
      <c r="DR15" s="1045">
        <f t="shared" si="21"/>
        <v>0</v>
      </c>
      <c r="DS15" s="1046"/>
      <c r="DT15" s="1047"/>
      <c r="DU15" s="1047"/>
      <c r="DV15" s="1047"/>
      <c r="DW15" s="1048"/>
      <c r="DX15" s="1045">
        <f t="shared" si="22"/>
        <v>0</v>
      </c>
      <c r="DY15" s="1078"/>
      <c r="DZ15" s="1047"/>
      <c r="EA15" s="1047"/>
      <c r="EB15" s="1047"/>
      <c r="EC15" s="1048"/>
      <c r="ED15" s="1045">
        <f t="shared" si="23"/>
        <v>0</v>
      </c>
      <c r="EE15" s="1046"/>
      <c r="EF15" s="1047"/>
      <c r="EG15" s="1047"/>
      <c r="EH15" s="1047"/>
      <c r="EI15" s="1048"/>
      <c r="EJ15" s="1045">
        <f t="shared" si="24"/>
        <v>0</v>
      </c>
      <c r="EK15" s="1078"/>
      <c r="EL15" s="1047"/>
      <c r="EM15" s="1047"/>
      <c r="EN15" s="1047"/>
      <c r="EO15" s="1048"/>
      <c r="EP15" s="1045">
        <f t="shared" si="25"/>
        <v>0</v>
      </c>
      <c r="EQ15" s="1046"/>
      <c r="ER15" s="1047"/>
      <c r="ES15" s="1047"/>
      <c r="ET15" s="1047"/>
      <c r="EU15" s="1048"/>
      <c r="EV15" s="1045">
        <f t="shared" si="26"/>
        <v>0</v>
      </c>
      <c r="EW15" s="1078"/>
      <c r="EX15" s="1047"/>
      <c r="EY15" s="1047"/>
      <c r="EZ15" s="1047"/>
      <c r="FA15" s="1048"/>
      <c r="FB15" s="1045">
        <f t="shared" si="27"/>
        <v>0</v>
      </c>
      <c r="FC15" s="1046"/>
      <c r="FD15" s="1047"/>
      <c r="FE15" s="1047"/>
      <c r="FF15" s="1047"/>
      <c r="FG15" s="1048"/>
      <c r="FH15" s="1045">
        <f t="shared" si="28"/>
        <v>0</v>
      </c>
      <c r="FI15" s="1078"/>
      <c r="FJ15" s="1047"/>
      <c r="FK15" s="1047"/>
      <c r="FL15" s="1047"/>
      <c r="FM15" s="1048"/>
      <c r="FN15" s="1045">
        <f t="shared" si="29"/>
        <v>0</v>
      </c>
      <c r="FO15" s="1046"/>
      <c r="FP15" s="1047"/>
      <c r="FQ15" s="1047"/>
      <c r="FR15" s="1047"/>
      <c r="FS15" s="1048"/>
      <c r="FT15" s="1045">
        <f t="shared" si="30"/>
        <v>0</v>
      </c>
      <c r="FU15" s="1078"/>
      <c r="FV15" s="1047"/>
      <c r="FW15" s="1047"/>
      <c r="FX15" s="1047"/>
      <c r="FY15" s="1048"/>
      <c r="FZ15" s="1045">
        <f t="shared" si="31"/>
        <v>0</v>
      </c>
      <c r="GA15" s="1046"/>
      <c r="GB15" s="1047"/>
      <c r="GC15" s="1047"/>
      <c r="GD15" s="1047"/>
      <c r="GE15" s="1048"/>
      <c r="GF15" s="1045">
        <f t="shared" si="32"/>
        <v>0</v>
      </c>
      <c r="GG15" s="1046">
        <f t="shared" ref="GG15:GL15" si="44">+GA15+FU15+FO15+FI15+FC15+EW15+EQ15+EK15+EE15+DY15+DS15+DM15+DG15+DA15+CU15+CO15+CI15+CC15+BW15+BQ15+BK15+BE15++AY15+AS15+AM15+AG15+AA15+U15+O15+I15+C15</f>
        <v>0</v>
      </c>
      <c r="GH15" s="1047">
        <f t="shared" si="44"/>
        <v>0</v>
      </c>
      <c r="GI15" s="1047">
        <f t="shared" si="44"/>
        <v>0</v>
      </c>
      <c r="GJ15" s="1047">
        <f t="shared" si="44"/>
        <v>0</v>
      </c>
      <c r="GK15" s="1048">
        <f t="shared" si="44"/>
        <v>0</v>
      </c>
      <c r="GL15" s="1045">
        <f t="shared" si="44"/>
        <v>0</v>
      </c>
      <c r="GM15" s="1049">
        <f t="shared" si="34"/>
        <v>0</v>
      </c>
    </row>
    <row r="16">
      <c r="B16" s="1042" t="s">
        <v>636</v>
      </c>
      <c r="C16" s="1046"/>
      <c r="D16" s="1047"/>
      <c r="E16" s="1047"/>
      <c r="F16" s="1047"/>
      <c r="G16" s="1048"/>
      <c r="H16" s="1045">
        <f t="shared" si="2"/>
        <v>0</v>
      </c>
      <c r="I16" s="1046"/>
      <c r="J16" s="1047"/>
      <c r="K16" s="1047"/>
      <c r="L16" s="1047"/>
      <c r="M16" s="1048"/>
      <c r="N16" s="1045">
        <f t="shared" si="3"/>
        <v>0</v>
      </c>
      <c r="O16" s="1046"/>
      <c r="P16" s="1047"/>
      <c r="Q16" s="1047"/>
      <c r="R16" s="1047"/>
      <c r="S16" s="1048"/>
      <c r="T16" s="1045">
        <f t="shared" si="4"/>
        <v>0</v>
      </c>
      <c r="U16" s="1078"/>
      <c r="V16" s="1047"/>
      <c r="W16" s="1047"/>
      <c r="X16" s="1047"/>
      <c r="Y16" s="1048"/>
      <c r="Z16" s="1045">
        <f t="shared" si="5"/>
        <v>0</v>
      </c>
      <c r="AA16" s="1046"/>
      <c r="AB16" s="1047"/>
      <c r="AC16" s="1047"/>
      <c r="AD16" s="1047"/>
      <c r="AE16" s="1048"/>
      <c r="AF16" s="1045">
        <f t="shared" si="6"/>
        <v>0</v>
      </c>
      <c r="AG16" s="1078"/>
      <c r="AH16" s="1047"/>
      <c r="AI16" s="1047"/>
      <c r="AJ16" s="1047"/>
      <c r="AK16" s="1048"/>
      <c r="AL16" s="1045">
        <f t="shared" si="7"/>
        <v>0</v>
      </c>
      <c r="AM16" s="1046"/>
      <c r="AN16" s="1047"/>
      <c r="AO16" s="1047"/>
      <c r="AP16" s="1047"/>
      <c r="AQ16" s="1048"/>
      <c r="AR16" s="1045">
        <f t="shared" si="8"/>
        <v>0</v>
      </c>
      <c r="AS16" s="1078"/>
      <c r="AT16" s="1047"/>
      <c r="AU16" s="1047"/>
      <c r="AV16" s="1047"/>
      <c r="AW16" s="1048"/>
      <c r="AX16" s="1045">
        <f t="shared" si="9"/>
        <v>0</v>
      </c>
      <c r="AY16" s="1046"/>
      <c r="AZ16" s="1047"/>
      <c r="BA16" s="1047"/>
      <c r="BB16" s="1047"/>
      <c r="BC16" s="1048"/>
      <c r="BD16" s="1045">
        <f t="shared" si="10"/>
        <v>0</v>
      </c>
      <c r="BE16" s="1078"/>
      <c r="BF16" s="1047"/>
      <c r="BG16" s="1047"/>
      <c r="BH16" s="1047"/>
      <c r="BI16" s="1048"/>
      <c r="BJ16" s="1045">
        <f t="shared" si="11"/>
        <v>0</v>
      </c>
      <c r="BK16" s="1046"/>
      <c r="BL16" s="1047"/>
      <c r="BM16" s="1047"/>
      <c r="BN16" s="1047"/>
      <c r="BO16" s="1048"/>
      <c r="BP16" s="1045">
        <f t="shared" si="12"/>
        <v>0</v>
      </c>
      <c r="BQ16" s="1078"/>
      <c r="BR16" s="1047"/>
      <c r="BS16" s="1047"/>
      <c r="BT16" s="1047"/>
      <c r="BU16" s="1048"/>
      <c r="BV16" s="1045">
        <f t="shared" si="13"/>
        <v>0</v>
      </c>
      <c r="BW16" s="1046"/>
      <c r="BX16" s="1047"/>
      <c r="BY16" s="1047"/>
      <c r="BZ16" s="1047"/>
      <c r="CA16" s="1048"/>
      <c r="CB16" s="1045">
        <f t="shared" si="14"/>
        <v>0</v>
      </c>
      <c r="CC16" s="1078"/>
      <c r="CD16" s="1047"/>
      <c r="CE16" s="1047"/>
      <c r="CF16" s="1047"/>
      <c r="CG16" s="1048"/>
      <c r="CH16" s="1045">
        <f t="shared" si="15"/>
        <v>0</v>
      </c>
      <c r="CI16" s="1046"/>
      <c r="CJ16" s="1047"/>
      <c r="CK16" s="1047"/>
      <c r="CL16" s="1047"/>
      <c r="CM16" s="1048"/>
      <c r="CN16" s="1045">
        <f t="shared" si="16"/>
        <v>0</v>
      </c>
      <c r="CO16" s="1078"/>
      <c r="CP16" s="1047"/>
      <c r="CQ16" s="1047"/>
      <c r="CR16" s="1047"/>
      <c r="CS16" s="1048"/>
      <c r="CT16" s="1045">
        <f t="shared" si="17"/>
        <v>0</v>
      </c>
      <c r="CU16" s="1046"/>
      <c r="CV16" s="1047"/>
      <c r="CW16" s="1047"/>
      <c r="CX16" s="1047"/>
      <c r="CY16" s="1048"/>
      <c r="CZ16" s="1045">
        <f t="shared" si="18"/>
        <v>0</v>
      </c>
      <c r="DA16" s="1078"/>
      <c r="DB16" s="1047"/>
      <c r="DC16" s="1047"/>
      <c r="DD16" s="1047"/>
      <c r="DE16" s="1048"/>
      <c r="DF16" s="1045">
        <f t="shared" si="19"/>
        <v>0</v>
      </c>
      <c r="DG16" s="1046"/>
      <c r="DH16" s="1047"/>
      <c r="DI16" s="1047"/>
      <c r="DJ16" s="1047"/>
      <c r="DK16" s="1048"/>
      <c r="DL16" s="1045">
        <f t="shared" si="20"/>
        <v>0</v>
      </c>
      <c r="DM16" s="1078"/>
      <c r="DN16" s="1047"/>
      <c r="DO16" s="1047"/>
      <c r="DP16" s="1047"/>
      <c r="DQ16" s="1048"/>
      <c r="DR16" s="1045">
        <f t="shared" si="21"/>
        <v>0</v>
      </c>
      <c r="DS16" s="1046"/>
      <c r="DT16" s="1047"/>
      <c r="DU16" s="1047"/>
      <c r="DV16" s="1047"/>
      <c r="DW16" s="1048"/>
      <c r="DX16" s="1045">
        <f t="shared" si="22"/>
        <v>0</v>
      </c>
      <c r="DY16" s="1078"/>
      <c r="DZ16" s="1047"/>
      <c r="EA16" s="1047"/>
      <c r="EB16" s="1047"/>
      <c r="EC16" s="1048"/>
      <c r="ED16" s="1045">
        <f t="shared" si="23"/>
        <v>0</v>
      </c>
      <c r="EE16" s="1046"/>
      <c r="EF16" s="1047"/>
      <c r="EG16" s="1047"/>
      <c r="EH16" s="1047"/>
      <c r="EI16" s="1048"/>
      <c r="EJ16" s="1045">
        <f t="shared" si="24"/>
        <v>0</v>
      </c>
      <c r="EK16" s="1078"/>
      <c r="EL16" s="1047"/>
      <c r="EM16" s="1047"/>
      <c r="EN16" s="1047"/>
      <c r="EO16" s="1048"/>
      <c r="EP16" s="1045">
        <f t="shared" si="25"/>
        <v>0</v>
      </c>
      <c r="EQ16" s="1046"/>
      <c r="ER16" s="1047"/>
      <c r="ES16" s="1047"/>
      <c r="ET16" s="1047"/>
      <c r="EU16" s="1048"/>
      <c r="EV16" s="1045">
        <f t="shared" si="26"/>
        <v>0</v>
      </c>
      <c r="EW16" s="1078"/>
      <c r="EX16" s="1047"/>
      <c r="EY16" s="1047"/>
      <c r="EZ16" s="1047"/>
      <c r="FA16" s="1048"/>
      <c r="FB16" s="1045">
        <f t="shared" si="27"/>
        <v>0</v>
      </c>
      <c r="FC16" s="1046"/>
      <c r="FD16" s="1047"/>
      <c r="FE16" s="1047"/>
      <c r="FF16" s="1047"/>
      <c r="FG16" s="1048"/>
      <c r="FH16" s="1045">
        <f t="shared" si="28"/>
        <v>0</v>
      </c>
      <c r="FI16" s="1078"/>
      <c r="FJ16" s="1047"/>
      <c r="FK16" s="1047"/>
      <c r="FL16" s="1047"/>
      <c r="FM16" s="1048"/>
      <c r="FN16" s="1045">
        <f t="shared" si="29"/>
        <v>0</v>
      </c>
      <c r="FO16" s="1046"/>
      <c r="FP16" s="1047"/>
      <c r="FQ16" s="1047"/>
      <c r="FR16" s="1047"/>
      <c r="FS16" s="1048"/>
      <c r="FT16" s="1045">
        <f t="shared" si="30"/>
        <v>0</v>
      </c>
      <c r="FU16" s="1078"/>
      <c r="FV16" s="1047"/>
      <c r="FW16" s="1047"/>
      <c r="FX16" s="1047"/>
      <c r="FY16" s="1048"/>
      <c r="FZ16" s="1045">
        <f t="shared" si="31"/>
        <v>0</v>
      </c>
      <c r="GA16" s="1046"/>
      <c r="GB16" s="1047"/>
      <c r="GC16" s="1047"/>
      <c r="GD16" s="1047"/>
      <c r="GE16" s="1048"/>
      <c r="GF16" s="1045">
        <f t="shared" si="32"/>
        <v>0</v>
      </c>
      <c r="GG16" s="1046">
        <f t="shared" ref="GG16:GL16" si="45">+GA16+FU16+FO16+FI16+FC16+EW16+EQ16+EK16+EE16+DY16+DS16+DM16+DG16+DA16+CU16+CO16+CI16+CC16+BW16+BQ16+BK16+BE16++AY16+AS16+AM16+AG16+AA16+U16+O16+I16+C16</f>
        <v>0</v>
      </c>
      <c r="GH16" s="1047">
        <f t="shared" si="45"/>
        <v>0</v>
      </c>
      <c r="GI16" s="1047">
        <f t="shared" si="45"/>
        <v>0</v>
      </c>
      <c r="GJ16" s="1047">
        <f t="shared" si="45"/>
        <v>0</v>
      </c>
      <c r="GK16" s="1048">
        <f t="shared" si="45"/>
        <v>0</v>
      </c>
      <c r="GL16" s="1045">
        <f t="shared" si="45"/>
        <v>0</v>
      </c>
      <c r="GM16" s="1049">
        <f t="shared" si="34"/>
        <v>0</v>
      </c>
    </row>
    <row r="17">
      <c r="B17" s="1050"/>
      <c r="C17" s="1055"/>
      <c r="D17" s="1056"/>
      <c r="E17" s="1056"/>
      <c r="F17" s="1056"/>
      <c r="G17" s="1057"/>
      <c r="H17" s="1054"/>
      <c r="I17" s="1055"/>
      <c r="J17" s="1056"/>
      <c r="K17" s="1056"/>
      <c r="L17" s="1056"/>
      <c r="M17" s="1057"/>
      <c r="N17" s="1054"/>
      <c r="O17" s="1055"/>
      <c r="P17" s="1056"/>
      <c r="Q17" s="1056"/>
      <c r="R17" s="1056"/>
      <c r="S17" s="1057"/>
      <c r="T17" s="1054"/>
      <c r="U17" s="1079"/>
      <c r="V17" s="1056"/>
      <c r="W17" s="1056"/>
      <c r="X17" s="1056"/>
      <c r="Y17" s="1057"/>
      <c r="Z17" s="1054"/>
      <c r="AA17" s="1055"/>
      <c r="AB17" s="1056"/>
      <c r="AC17" s="1056"/>
      <c r="AD17" s="1056"/>
      <c r="AE17" s="1057"/>
      <c r="AF17" s="1054"/>
      <c r="AG17" s="1079"/>
      <c r="AH17" s="1056"/>
      <c r="AI17" s="1056"/>
      <c r="AJ17" s="1056"/>
      <c r="AK17" s="1057"/>
      <c r="AL17" s="1054"/>
      <c r="AM17" s="1055"/>
      <c r="AN17" s="1056"/>
      <c r="AO17" s="1056"/>
      <c r="AP17" s="1056"/>
      <c r="AQ17" s="1057"/>
      <c r="AR17" s="1054"/>
      <c r="AS17" s="1079"/>
      <c r="AT17" s="1056"/>
      <c r="AU17" s="1056"/>
      <c r="AV17" s="1056"/>
      <c r="AW17" s="1057"/>
      <c r="AX17" s="1054"/>
      <c r="AY17" s="1055"/>
      <c r="AZ17" s="1056"/>
      <c r="BA17" s="1056"/>
      <c r="BB17" s="1056"/>
      <c r="BC17" s="1057"/>
      <c r="BD17" s="1054"/>
      <c r="BE17" s="1079"/>
      <c r="BF17" s="1056"/>
      <c r="BG17" s="1056"/>
      <c r="BH17" s="1056"/>
      <c r="BI17" s="1057"/>
      <c r="BJ17" s="1054"/>
      <c r="BK17" s="1055"/>
      <c r="BL17" s="1056"/>
      <c r="BM17" s="1056"/>
      <c r="BN17" s="1056"/>
      <c r="BO17" s="1057"/>
      <c r="BP17" s="1054"/>
      <c r="BQ17" s="1079"/>
      <c r="BR17" s="1056"/>
      <c r="BS17" s="1056"/>
      <c r="BT17" s="1056"/>
      <c r="BU17" s="1057"/>
      <c r="BV17" s="1054"/>
      <c r="BW17" s="1055"/>
      <c r="BX17" s="1056"/>
      <c r="BY17" s="1056"/>
      <c r="BZ17" s="1056"/>
      <c r="CA17" s="1057"/>
      <c r="CB17" s="1054"/>
      <c r="CC17" s="1079"/>
      <c r="CD17" s="1056"/>
      <c r="CE17" s="1056"/>
      <c r="CF17" s="1056"/>
      <c r="CG17" s="1057"/>
      <c r="CH17" s="1054"/>
      <c r="CI17" s="1055"/>
      <c r="CJ17" s="1056"/>
      <c r="CK17" s="1056"/>
      <c r="CL17" s="1056"/>
      <c r="CM17" s="1057"/>
      <c r="CN17" s="1054"/>
      <c r="CO17" s="1079"/>
      <c r="CP17" s="1056"/>
      <c r="CQ17" s="1056"/>
      <c r="CR17" s="1056"/>
      <c r="CS17" s="1057"/>
      <c r="CT17" s="1054"/>
      <c r="CU17" s="1055"/>
      <c r="CV17" s="1056"/>
      <c r="CW17" s="1056"/>
      <c r="CX17" s="1056"/>
      <c r="CY17" s="1057"/>
      <c r="CZ17" s="1054"/>
      <c r="DA17" s="1079"/>
      <c r="DB17" s="1056"/>
      <c r="DC17" s="1056"/>
      <c r="DD17" s="1056"/>
      <c r="DE17" s="1057"/>
      <c r="DF17" s="1054"/>
      <c r="DG17" s="1055"/>
      <c r="DH17" s="1056"/>
      <c r="DI17" s="1056"/>
      <c r="DJ17" s="1056"/>
      <c r="DK17" s="1057"/>
      <c r="DL17" s="1054"/>
      <c r="DM17" s="1079"/>
      <c r="DN17" s="1056"/>
      <c r="DO17" s="1056"/>
      <c r="DP17" s="1056"/>
      <c r="DQ17" s="1057"/>
      <c r="DR17" s="1054"/>
      <c r="DS17" s="1055"/>
      <c r="DT17" s="1056"/>
      <c r="DU17" s="1056"/>
      <c r="DV17" s="1056"/>
      <c r="DW17" s="1057"/>
      <c r="DX17" s="1054"/>
      <c r="DY17" s="1079"/>
      <c r="DZ17" s="1056"/>
      <c r="EA17" s="1056"/>
      <c r="EB17" s="1056"/>
      <c r="EC17" s="1057"/>
      <c r="ED17" s="1054"/>
      <c r="EE17" s="1055"/>
      <c r="EF17" s="1056"/>
      <c r="EG17" s="1056"/>
      <c r="EH17" s="1056"/>
      <c r="EI17" s="1057"/>
      <c r="EJ17" s="1054"/>
      <c r="EK17" s="1079"/>
      <c r="EL17" s="1056"/>
      <c r="EM17" s="1056"/>
      <c r="EN17" s="1056"/>
      <c r="EO17" s="1057"/>
      <c r="EP17" s="1054"/>
      <c r="EQ17" s="1055"/>
      <c r="ER17" s="1056"/>
      <c r="ES17" s="1056"/>
      <c r="ET17" s="1056"/>
      <c r="EU17" s="1057"/>
      <c r="EV17" s="1054"/>
      <c r="EW17" s="1079"/>
      <c r="EX17" s="1056"/>
      <c r="EY17" s="1056"/>
      <c r="EZ17" s="1056"/>
      <c r="FA17" s="1057"/>
      <c r="FB17" s="1054"/>
      <c r="FC17" s="1055"/>
      <c r="FD17" s="1056"/>
      <c r="FE17" s="1056"/>
      <c r="FF17" s="1056"/>
      <c r="FG17" s="1057"/>
      <c r="FH17" s="1054"/>
      <c r="FI17" s="1079"/>
      <c r="FJ17" s="1056"/>
      <c r="FK17" s="1056"/>
      <c r="FL17" s="1056"/>
      <c r="FM17" s="1057"/>
      <c r="FN17" s="1054"/>
      <c r="FO17" s="1055"/>
      <c r="FP17" s="1056"/>
      <c r="FQ17" s="1056"/>
      <c r="FR17" s="1056"/>
      <c r="FS17" s="1057"/>
      <c r="FT17" s="1054"/>
      <c r="FU17" s="1079"/>
      <c r="FV17" s="1056"/>
      <c r="FW17" s="1056"/>
      <c r="FX17" s="1056"/>
      <c r="FY17" s="1057"/>
      <c r="FZ17" s="1054"/>
      <c r="GA17" s="1055"/>
      <c r="GB17" s="1056"/>
      <c r="GC17" s="1056"/>
      <c r="GD17" s="1056"/>
      <c r="GE17" s="1057"/>
      <c r="GF17" s="1054"/>
      <c r="GG17" s="1055"/>
      <c r="GH17" s="1056"/>
      <c r="GI17" s="1056"/>
      <c r="GJ17" s="1056"/>
      <c r="GK17" s="1057"/>
      <c r="GL17" s="1054"/>
      <c r="GM17" s="1058"/>
    </row>
    <row r="18">
      <c r="B18" s="1060" t="s">
        <v>642</v>
      </c>
      <c r="C18" s="1027">
        <f t="shared" ref="C18:GM18" si="46">SUM(C5:C17)</f>
        <v>0</v>
      </c>
      <c r="D18" s="1028">
        <f t="shared" si="46"/>
        <v>0</v>
      </c>
      <c r="E18" s="1028">
        <f t="shared" si="46"/>
        <v>0</v>
      </c>
      <c r="F18" s="1028">
        <f t="shared" si="46"/>
        <v>0</v>
      </c>
      <c r="G18" s="1029">
        <f t="shared" si="46"/>
        <v>0</v>
      </c>
      <c r="H18" s="1030">
        <f t="shared" si="46"/>
        <v>0</v>
      </c>
      <c r="I18" s="1027">
        <f t="shared" si="46"/>
        <v>0</v>
      </c>
      <c r="J18" s="1028">
        <f t="shared" si="46"/>
        <v>0</v>
      </c>
      <c r="K18" s="1028">
        <f t="shared" si="46"/>
        <v>0</v>
      </c>
      <c r="L18" s="1028">
        <f t="shared" si="46"/>
        <v>0</v>
      </c>
      <c r="M18" s="1029">
        <f t="shared" si="46"/>
        <v>0</v>
      </c>
      <c r="N18" s="1030">
        <f t="shared" si="46"/>
        <v>0</v>
      </c>
      <c r="O18" s="1027">
        <f t="shared" si="46"/>
        <v>0</v>
      </c>
      <c r="P18" s="1028">
        <f t="shared" si="46"/>
        <v>0</v>
      </c>
      <c r="Q18" s="1028">
        <f t="shared" si="46"/>
        <v>0</v>
      </c>
      <c r="R18" s="1028">
        <f t="shared" si="46"/>
        <v>0</v>
      </c>
      <c r="S18" s="1029">
        <f t="shared" si="46"/>
        <v>0</v>
      </c>
      <c r="T18" s="1030">
        <f t="shared" si="46"/>
        <v>0</v>
      </c>
      <c r="U18" s="1077">
        <f t="shared" si="46"/>
        <v>0</v>
      </c>
      <c r="V18" s="1028">
        <f t="shared" si="46"/>
        <v>0</v>
      </c>
      <c r="W18" s="1028">
        <f t="shared" si="46"/>
        <v>0</v>
      </c>
      <c r="X18" s="1028">
        <f t="shared" si="46"/>
        <v>0</v>
      </c>
      <c r="Y18" s="1029">
        <f t="shared" si="46"/>
        <v>0</v>
      </c>
      <c r="Z18" s="1030">
        <f t="shared" si="46"/>
        <v>0</v>
      </c>
      <c r="AA18" s="1027">
        <f t="shared" si="46"/>
        <v>0</v>
      </c>
      <c r="AB18" s="1028">
        <f t="shared" si="46"/>
        <v>0</v>
      </c>
      <c r="AC18" s="1028">
        <f t="shared" si="46"/>
        <v>0</v>
      </c>
      <c r="AD18" s="1028">
        <f t="shared" si="46"/>
        <v>0</v>
      </c>
      <c r="AE18" s="1029">
        <f t="shared" si="46"/>
        <v>0</v>
      </c>
      <c r="AF18" s="1030">
        <f t="shared" si="46"/>
        <v>0</v>
      </c>
      <c r="AG18" s="1077">
        <f t="shared" si="46"/>
        <v>0</v>
      </c>
      <c r="AH18" s="1028">
        <f t="shared" si="46"/>
        <v>0</v>
      </c>
      <c r="AI18" s="1028">
        <f t="shared" si="46"/>
        <v>0</v>
      </c>
      <c r="AJ18" s="1028">
        <f t="shared" si="46"/>
        <v>0</v>
      </c>
      <c r="AK18" s="1029">
        <f t="shared" si="46"/>
        <v>0</v>
      </c>
      <c r="AL18" s="1030">
        <f t="shared" si="46"/>
        <v>0</v>
      </c>
      <c r="AM18" s="1027">
        <f t="shared" si="46"/>
        <v>0</v>
      </c>
      <c r="AN18" s="1028">
        <f t="shared" si="46"/>
        <v>0</v>
      </c>
      <c r="AO18" s="1028">
        <f t="shared" si="46"/>
        <v>0</v>
      </c>
      <c r="AP18" s="1028">
        <f t="shared" si="46"/>
        <v>0</v>
      </c>
      <c r="AQ18" s="1029">
        <f t="shared" si="46"/>
        <v>0</v>
      </c>
      <c r="AR18" s="1030">
        <f t="shared" si="46"/>
        <v>0</v>
      </c>
      <c r="AS18" s="1077">
        <f t="shared" si="46"/>
        <v>0</v>
      </c>
      <c r="AT18" s="1028">
        <f t="shared" si="46"/>
        <v>0</v>
      </c>
      <c r="AU18" s="1028">
        <f t="shared" si="46"/>
        <v>0</v>
      </c>
      <c r="AV18" s="1028">
        <f t="shared" si="46"/>
        <v>0</v>
      </c>
      <c r="AW18" s="1029">
        <f t="shared" si="46"/>
        <v>0</v>
      </c>
      <c r="AX18" s="1030">
        <f t="shared" si="46"/>
        <v>0</v>
      </c>
      <c r="AY18" s="1027">
        <f t="shared" si="46"/>
        <v>0</v>
      </c>
      <c r="AZ18" s="1028">
        <f t="shared" si="46"/>
        <v>0</v>
      </c>
      <c r="BA18" s="1028">
        <f t="shared" si="46"/>
        <v>0</v>
      </c>
      <c r="BB18" s="1028">
        <f t="shared" si="46"/>
        <v>0</v>
      </c>
      <c r="BC18" s="1029">
        <f t="shared" si="46"/>
        <v>0</v>
      </c>
      <c r="BD18" s="1030">
        <f t="shared" si="46"/>
        <v>0</v>
      </c>
      <c r="BE18" s="1077">
        <f t="shared" si="46"/>
        <v>0</v>
      </c>
      <c r="BF18" s="1028">
        <f t="shared" si="46"/>
        <v>0</v>
      </c>
      <c r="BG18" s="1028">
        <f t="shared" si="46"/>
        <v>0</v>
      </c>
      <c r="BH18" s="1028">
        <f t="shared" si="46"/>
        <v>0</v>
      </c>
      <c r="BI18" s="1029">
        <f t="shared" si="46"/>
        <v>0</v>
      </c>
      <c r="BJ18" s="1030">
        <f t="shared" si="46"/>
        <v>0</v>
      </c>
      <c r="BK18" s="1027">
        <f t="shared" si="46"/>
        <v>0</v>
      </c>
      <c r="BL18" s="1028">
        <f t="shared" si="46"/>
        <v>0</v>
      </c>
      <c r="BM18" s="1028">
        <f t="shared" si="46"/>
        <v>0</v>
      </c>
      <c r="BN18" s="1028">
        <f t="shared" si="46"/>
        <v>0</v>
      </c>
      <c r="BO18" s="1029">
        <f t="shared" si="46"/>
        <v>0</v>
      </c>
      <c r="BP18" s="1030">
        <f t="shared" si="46"/>
        <v>0</v>
      </c>
      <c r="BQ18" s="1077">
        <f t="shared" si="46"/>
        <v>0</v>
      </c>
      <c r="BR18" s="1028">
        <f t="shared" si="46"/>
        <v>0</v>
      </c>
      <c r="BS18" s="1028">
        <f t="shared" si="46"/>
        <v>0</v>
      </c>
      <c r="BT18" s="1028">
        <f t="shared" si="46"/>
        <v>0</v>
      </c>
      <c r="BU18" s="1029">
        <f t="shared" si="46"/>
        <v>0</v>
      </c>
      <c r="BV18" s="1030">
        <f t="shared" si="46"/>
        <v>0</v>
      </c>
      <c r="BW18" s="1027">
        <f t="shared" si="46"/>
        <v>0</v>
      </c>
      <c r="BX18" s="1028">
        <f t="shared" si="46"/>
        <v>0</v>
      </c>
      <c r="BY18" s="1028">
        <f t="shared" si="46"/>
        <v>0</v>
      </c>
      <c r="BZ18" s="1028">
        <f t="shared" si="46"/>
        <v>0</v>
      </c>
      <c r="CA18" s="1029">
        <f t="shared" si="46"/>
        <v>0</v>
      </c>
      <c r="CB18" s="1030">
        <f t="shared" si="46"/>
        <v>0</v>
      </c>
      <c r="CC18" s="1077">
        <f t="shared" si="46"/>
        <v>0</v>
      </c>
      <c r="CD18" s="1028">
        <f t="shared" si="46"/>
        <v>0</v>
      </c>
      <c r="CE18" s="1028">
        <f t="shared" si="46"/>
        <v>0</v>
      </c>
      <c r="CF18" s="1028">
        <f t="shared" si="46"/>
        <v>0</v>
      </c>
      <c r="CG18" s="1029">
        <f t="shared" si="46"/>
        <v>0</v>
      </c>
      <c r="CH18" s="1030">
        <f t="shared" si="46"/>
        <v>0</v>
      </c>
      <c r="CI18" s="1027">
        <f t="shared" si="46"/>
        <v>0</v>
      </c>
      <c r="CJ18" s="1028">
        <f t="shared" si="46"/>
        <v>0</v>
      </c>
      <c r="CK18" s="1028">
        <f t="shared" si="46"/>
        <v>0</v>
      </c>
      <c r="CL18" s="1028">
        <f t="shared" si="46"/>
        <v>0</v>
      </c>
      <c r="CM18" s="1029">
        <f t="shared" si="46"/>
        <v>0</v>
      </c>
      <c r="CN18" s="1030">
        <f t="shared" si="46"/>
        <v>0</v>
      </c>
      <c r="CO18" s="1077">
        <f t="shared" si="46"/>
        <v>0</v>
      </c>
      <c r="CP18" s="1028">
        <f t="shared" si="46"/>
        <v>0</v>
      </c>
      <c r="CQ18" s="1028">
        <f t="shared" si="46"/>
        <v>0</v>
      </c>
      <c r="CR18" s="1028">
        <f t="shared" si="46"/>
        <v>0</v>
      </c>
      <c r="CS18" s="1029">
        <f t="shared" si="46"/>
        <v>0</v>
      </c>
      <c r="CT18" s="1030">
        <f t="shared" si="46"/>
        <v>0</v>
      </c>
      <c r="CU18" s="1027">
        <f t="shared" si="46"/>
        <v>0</v>
      </c>
      <c r="CV18" s="1028">
        <f t="shared" si="46"/>
        <v>0</v>
      </c>
      <c r="CW18" s="1028">
        <f t="shared" si="46"/>
        <v>0</v>
      </c>
      <c r="CX18" s="1028">
        <f t="shared" si="46"/>
        <v>0</v>
      </c>
      <c r="CY18" s="1029">
        <f t="shared" si="46"/>
        <v>0</v>
      </c>
      <c r="CZ18" s="1030">
        <f t="shared" si="46"/>
        <v>0</v>
      </c>
      <c r="DA18" s="1077">
        <f t="shared" si="46"/>
        <v>0</v>
      </c>
      <c r="DB18" s="1028">
        <f t="shared" si="46"/>
        <v>0</v>
      </c>
      <c r="DC18" s="1028">
        <f t="shared" si="46"/>
        <v>0</v>
      </c>
      <c r="DD18" s="1028">
        <f t="shared" si="46"/>
        <v>0</v>
      </c>
      <c r="DE18" s="1029">
        <f t="shared" si="46"/>
        <v>0</v>
      </c>
      <c r="DF18" s="1030">
        <f t="shared" si="46"/>
        <v>0</v>
      </c>
      <c r="DG18" s="1027">
        <f t="shared" si="46"/>
        <v>0</v>
      </c>
      <c r="DH18" s="1028">
        <f t="shared" si="46"/>
        <v>0</v>
      </c>
      <c r="DI18" s="1028">
        <f t="shared" si="46"/>
        <v>0</v>
      </c>
      <c r="DJ18" s="1028">
        <f t="shared" si="46"/>
        <v>0</v>
      </c>
      <c r="DK18" s="1029">
        <f t="shared" si="46"/>
        <v>0</v>
      </c>
      <c r="DL18" s="1030">
        <f t="shared" si="46"/>
        <v>0</v>
      </c>
      <c r="DM18" s="1077">
        <f t="shared" si="46"/>
        <v>0</v>
      </c>
      <c r="DN18" s="1028">
        <f t="shared" si="46"/>
        <v>0</v>
      </c>
      <c r="DO18" s="1028">
        <f t="shared" si="46"/>
        <v>0</v>
      </c>
      <c r="DP18" s="1028">
        <f t="shared" si="46"/>
        <v>0</v>
      </c>
      <c r="DQ18" s="1029">
        <f t="shared" si="46"/>
        <v>0</v>
      </c>
      <c r="DR18" s="1030">
        <f t="shared" si="46"/>
        <v>0</v>
      </c>
      <c r="DS18" s="1027">
        <f t="shared" si="46"/>
        <v>0</v>
      </c>
      <c r="DT18" s="1028">
        <f t="shared" si="46"/>
        <v>0</v>
      </c>
      <c r="DU18" s="1028">
        <f t="shared" si="46"/>
        <v>0</v>
      </c>
      <c r="DV18" s="1028">
        <f t="shared" si="46"/>
        <v>0</v>
      </c>
      <c r="DW18" s="1029">
        <f t="shared" si="46"/>
        <v>0</v>
      </c>
      <c r="DX18" s="1030">
        <f t="shared" si="46"/>
        <v>0</v>
      </c>
      <c r="DY18" s="1077">
        <f t="shared" si="46"/>
        <v>0</v>
      </c>
      <c r="DZ18" s="1028">
        <f t="shared" si="46"/>
        <v>0</v>
      </c>
      <c r="EA18" s="1028">
        <f t="shared" si="46"/>
        <v>0</v>
      </c>
      <c r="EB18" s="1028">
        <f t="shared" si="46"/>
        <v>0</v>
      </c>
      <c r="EC18" s="1029">
        <f t="shared" si="46"/>
        <v>0</v>
      </c>
      <c r="ED18" s="1030">
        <f t="shared" si="46"/>
        <v>0</v>
      </c>
      <c r="EE18" s="1027">
        <f t="shared" si="46"/>
        <v>0</v>
      </c>
      <c r="EF18" s="1028">
        <f t="shared" si="46"/>
        <v>0</v>
      </c>
      <c r="EG18" s="1028">
        <f t="shared" si="46"/>
        <v>0</v>
      </c>
      <c r="EH18" s="1028">
        <f t="shared" si="46"/>
        <v>0</v>
      </c>
      <c r="EI18" s="1029">
        <f t="shared" si="46"/>
        <v>0</v>
      </c>
      <c r="EJ18" s="1030">
        <f t="shared" si="46"/>
        <v>0</v>
      </c>
      <c r="EK18" s="1077">
        <f t="shared" si="46"/>
        <v>0</v>
      </c>
      <c r="EL18" s="1028">
        <f t="shared" si="46"/>
        <v>0</v>
      </c>
      <c r="EM18" s="1028">
        <f t="shared" si="46"/>
        <v>0</v>
      </c>
      <c r="EN18" s="1028">
        <f t="shared" si="46"/>
        <v>0</v>
      </c>
      <c r="EO18" s="1029">
        <f t="shared" si="46"/>
        <v>0</v>
      </c>
      <c r="EP18" s="1030">
        <f t="shared" si="46"/>
        <v>0</v>
      </c>
      <c r="EQ18" s="1027">
        <f t="shared" si="46"/>
        <v>0</v>
      </c>
      <c r="ER18" s="1028">
        <f t="shared" si="46"/>
        <v>0</v>
      </c>
      <c r="ES18" s="1028">
        <f t="shared" si="46"/>
        <v>0</v>
      </c>
      <c r="ET18" s="1028">
        <f t="shared" si="46"/>
        <v>0</v>
      </c>
      <c r="EU18" s="1029">
        <f t="shared" si="46"/>
        <v>0</v>
      </c>
      <c r="EV18" s="1030">
        <f t="shared" si="46"/>
        <v>0</v>
      </c>
      <c r="EW18" s="1077">
        <f t="shared" si="46"/>
        <v>0</v>
      </c>
      <c r="EX18" s="1028">
        <f t="shared" si="46"/>
        <v>0</v>
      </c>
      <c r="EY18" s="1028">
        <f t="shared" si="46"/>
        <v>0</v>
      </c>
      <c r="EZ18" s="1028">
        <f t="shared" si="46"/>
        <v>0</v>
      </c>
      <c r="FA18" s="1029">
        <f t="shared" si="46"/>
        <v>0</v>
      </c>
      <c r="FB18" s="1030">
        <f t="shared" si="46"/>
        <v>0</v>
      </c>
      <c r="FC18" s="1027">
        <f t="shared" si="46"/>
        <v>0</v>
      </c>
      <c r="FD18" s="1028">
        <f t="shared" si="46"/>
        <v>0</v>
      </c>
      <c r="FE18" s="1028">
        <f t="shared" si="46"/>
        <v>0</v>
      </c>
      <c r="FF18" s="1028">
        <f t="shared" si="46"/>
        <v>0</v>
      </c>
      <c r="FG18" s="1029">
        <f t="shared" si="46"/>
        <v>0</v>
      </c>
      <c r="FH18" s="1030">
        <f t="shared" si="46"/>
        <v>0</v>
      </c>
      <c r="FI18" s="1077">
        <f t="shared" si="46"/>
        <v>0</v>
      </c>
      <c r="FJ18" s="1028">
        <f t="shared" si="46"/>
        <v>0</v>
      </c>
      <c r="FK18" s="1028">
        <f t="shared" si="46"/>
        <v>0</v>
      </c>
      <c r="FL18" s="1028">
        <f t="shared" si="46"/>
        <v>0</v>
      </c>
      <c r="FM18" s="1029">
        <f t="shared" si="46"/>
        <v>0</v>
      </c>
      <c r="FN18" s="1030">
        <f t="shared" si="46"/>
        <v>0</v>
      </c>
      <c r="FO18" s="1027">
        <f t="shared" si="46"/>
        <v>0</v>
      </c>
      <c r="FP18" s="1028">
        <f t="shared" si="46"/>
        <v>0</v>
      </c>
      <c r="FQ18" s="1028">
        <f t="shared" si="46"/>
        <v>0</v>
      </c>
      <c r="FR18" s="1028">
        <f t="shared" si="46"/>
        <v>0</v>
      </c>
      <c r="FS18" s="1029">
        <f t="shared" si="46"/>
        <v>0</v>
      </c>
      <c r="FT18" s="1030">
        <f t="shared" si="46"/>
        <v>0</v>
      </c>
      <c r="FU18" s="1077">
        <f t="shared" si="46"/>
        <v>0</v>
      </c>
      <c r="FV18" s="1028">
        <f t="shared" si="46"/>
        <v>0</v>
      </c>
      <c r="FW18" s="1028">
        <f t="shared" si="46"/>
        <v>0</v>
      </c>
      <c r="FX18" s="1028">
        <f t="shared" si="46"/>
        <v>0</v>
      </c>
      <c r="FY18" s="1029">
        <f t="shared" si="46"/>
        <v>0</v>
      </c>
      <c r="FZ18" s="1030">
        <f t="shared" si="46"/>
        <v>0</v>
      </c>
      <c r="GA18" s="1027">
        <f t="shared" si="46"/>
        <v>0</v>
      </c>
      <c r="GB18" s="1028">
        <f t="shared" si="46"/>
        <v>0</v>
      </c>
      <c r="GC18" s="1028">
        <f t="shared" si="46"/>
        <v>0</v>
      </c>
      <c r="GD18" s="1028">
        <f t="shared" si="46"/>
        <v>0</v>
      </c>
      <c r="GE18" s="1029">
        <f t="shared" si="46"/>
        <v>0</v>
      </c>
      <c r="GF18" s="1030">
        <f t="shared" si="46"/>
        <v>0</v>
      </c>
      <c r="GG18" s="1027">
        <f t="shared" si="46"/>
        <v>0</v>
      </c>
      <c r="GH18" s="1028">
        <f t="shared" si="46"/>
        <v>0</v>
      </c>
      <c r="GI18" s="1028">
        <f t="shared" si="46"/>
        <v>0</v>
      </c>
      <c r="GJ18" s="1028">
        <f t="shared" si="46"/>
        <v>0</v>
      </c>
      <c r="GK18" s="1029">
        <f t="shared" si="46"/>
        <v>0</v>
      </c>
      <c r="GL18" s="1030">
        <f t="shared" si="46"/>
        <v>0</v>
      </c>
      <c r="GM18" s="1031">
        <f t="shared" si="46"/>
        <v>0</v>
      </c>
    </row>
    <row r="19">
      <c r="B19" s="1060"/>
      <c r="C19" s="1027"/>
      <c r="D19" s="1028"/>
      <c r="E19" s="1028"/>
      <c r="F19" s="1028"/>
      <c r="G19" s="1029"/>
      <c r="H19" s="1030"/>
      <c r="I19" s="1027"/>
      <c r="J19" s="1028"/>
      <c r="K19" s="1028"/>
      <c r="L19" s="1028"/>
      <c r="M19" s="1029"/>
      <c r="N19" s="1030"/>
      <c r="O19" s="1027"/>
      <c r="P19" s="1028"/>
      <c r="Q19" s="1028"/>
      <c r="R19" s="1028"/>
      <c r="S19" s="1029"/>
      <c r="T19" s="1030"/>
      <c r="U19" s="1077"/>
      <c r="V19" s="1028"/>
      <c r="W19" s="1028"/>
      <c r="X19" s="1028"/>
      <c r="Y19" s="1029"/>
      <c r="Z19" s="1030"/>
      <c r="AA19" s="1027"/>
      <c r="AB19" s="1028"/>
      <c r="AC19" s="1028"/>
      <c r="AD19" s="1028"/>
      <c r="AE19" s="1029"/>
      <c r="AF19" s="1030"/>
      <c r="AG19" s="1077"/>
      <c r="AH19" s="1028"/>
      <c r="AI19" s="1028"/>
      <c r="AJ19" s="1028"/>
      <c r="AK19" s="1029"/>
      <c r="AL19" s="1030"/>
      <c r="AM19" s="1027"/>
      <c r="AN19" s="1028"/>
      <c r="AO19" s="1028"/>
      <c r="AP19" s="1028"/>
      <c r="AQ19" s="1029"/>
      <c r="AR19" s="1030"/>
      <c r="AS19" s="1077"/>
      <c r="AT19" s="1028"/>
      <c r="AU19" s="1028"/>
      <c r="AV19" s="1028"/>
      <c r="AW19" s="1029"/>
      <c r="AX19" s="1030"/>
      <c r="AY19" s="1027"/>
      <c r="AZ19" s="1028"/>
      <c r="BA19" s="1028"/>
      <c r="BB19" s="1028"/>
      <c r="BC19" s="1029"/>
      <c r="BD19" s="1030"/>
      <c r="BE19" s="1077"/>
      <c r="BF19" s="1028"/>
      <c r="BG19" s="1028"/>
      <c r="BH19" s="1028"/>
      <c r="BI19" s="1029"/>
      <c r="BJ19" s="1030"/>
      <c r="BK19" s="1027"/>
      <c r="BL19" s="1028"/>
      <c r="BM19" s="1028"/>
      <c r="BN19" s="1028"/>
      <c r="BO19" s="1029"/>
      <c r="BP19" s="1030"/>
      <c r="BQ19" s="1077"/>
      <c r="BR19" s="1028"/>
      <c r="BS19" s="1028"/>
      <c r="BT19" s="1028"/>
      <c r="BU19" s="1029"/>
      <c r="BV19" s="1030"/>
      <c r="BW19" s="1027"/>
      <c r="BX19" s="1028"/>
      <c r="BY19" s="1028"/>
      <c r="BZ19" s="1028"/>
      <c r="CA19" s="1029"/>
      <c r="CB19" s="1030"/>
      <c r="CC19" s="1077"/>
      <c r="CD19" s="1028"/>
      <c r="CE19" s="1028"/>
      <c r="CF19" s="1028"/>
      <c r="CG19" s="1029"/>
      <c r="CH19" s="1030"/>
      <c r="CI19" s="1027"/>
      <c r="CJ19" s="1028"/>
      <c r="CK19" s="1028"/>
      <c r="CL19" s="1028"/>
      <c r="CM19" s="1029"/>
      <c r="CN19" s="1030"/>
      <c r="CO19" s="1077"/>
      <c r="CP19" s="1028"/>
      <c r="CQ19" s="1028"/>
      <c r="CR19" s="1028"/>
      <c r="CS19" s="1029"/>
      <c r="CT19" s="1030"/>
      <c r="CU19" s="1027"/>
      <c r="CV19" s="1028"/>
      <c r="CW19" s="1028"/>
      <c r="CX19" s="1028"/>
      <c r="CY19" s="1029"/>
      <c r="CZ19" s="1030"/>
      <c r="DA19" s="1077"/>
      <c r="DB19" s="1028"/>
      <c r="DC19" s="1028"/>
      <c r="DD19" s="1028"/>
      <c r="DE19" s="1029"/>
      <c r="DF19" s="1030"/>
      <c r="DG19" s="1027"/>
      <c r="DH19" s="1028"/>
      <c r="DI19" s="1028"/>
      <c r="DJ19" s="1028"/>
      <c r="DK19" s="1029"/>
      <c r="DL19" s="1030"/>
      <c r="DM19" s="1077"/>
      <c r="DN19" s="1028"/>
      <c r="DO19" s="1028"/>
      <c r="DP19" s="1028"/>
      <c r="DQ19" s="1029"/>
      <c r="DR19" s="1030"/>
      <c r="DS19" s="1027"/>
      <c r="DT19" s="1028"/>
      <c r="DU19" s="1028"/>
      <c r="DV19" s="1028"/>
      <c r="DW19" s="1029"/>
      <c r="DX19" s="1030"/>
      <c r="DY19" s="1077"/>
      <c r="DZ19" s="1028"/>
      <c r="EA19" s="1028"/>
      <c r="EB19" s="1028"/>
      <c r="EC19" s="1029"/>
      <c r="ED19" s="1030"/>
      <c r="EE19" s="1027"/>
      <c r="EF19" s="1028"/>
      <c r="EG19" s="1028"/>
      <c r="EH19" s="1028"/>
      <c r="EI19" s="1029"/>
      <c r="EJ19" s="1030"/>
      <c r="EK19" s="1077"/>
      <c r="EL19" s="1028"/>
      <c r="EM19" s="1028"/>
      <c r="EN19" s="1028"/>
      <c r="EO19" s="1029"/>
      <c r="EP19" s="1030"/>
      <c r="EQ19" s="1027"/>
      <c r="ER19" s="1028"/>
      <c r="ES19" s="1028"/>
      <c r="ET19" s="1028"/>
      <c r="EU19" s="1029"/>
      <c r="EV19" s="1030"/>
      <c r="EW19" s="1077"/>
      <c r="EX19" s="1028"/>
      <c r="EY19" s="1028"/>
      <c r="EZ19" s="1028"/>
      <c r="FA19" s="1029"/>
      <c r="FB19" s="1030"/>
      <c r="FC19" s="1027"/>
      <c r="FD19" s="1028"/>
      <c r="FE19" s="1028"/>
      <c r="FF19" s="1028"/>
      <c r="FG19" s="1029"/>
      <c r="FH19" s="1030"/>
      <c r="FI19" s="1077"/>
      <c r="FJ19" s="1028"/>
      <c r="FK19" s="1028"/>
      <c r="FL19" s="1028"/>
      <c r="FM19" s="1029"/>
      <c r="FN19" s="1030"/>
      <c r="FO19" s="1027"/>
      <c r="FP19" s="1028"/>
      <c r="FQ19" s="1028"/>
      <c r="FR19" s="1028"/>
      <c r="FS19" s="1029"/>
      <c r="FT19" s="1030"/>
      <c r="FU19" s="1077"/>
      <c r="FV19" s="1028"/>
      <c r="FW19" s="1028"/>
      <c r="FX19" s="1028"/>
      <c r="FY19" s="1029"/>
      <c r="FZ19" s="1030"/>
      <c r="GA19" s="1027"/>
      <c r="GB19" s="1028"/>
      <c r="GC19" s="1028"/>
      <c r="GD19" s="1028"/>
      <c r="GE19" s="1029"/>
      <c r="GF19" s="1030"/>
      <c r="GG19" s="1027"/>
      <c r="GH19" s="1028"/>
      <c r="GI19" s="1028"/>
      <c r="GJ19" s="1028"/>
      <c r="GK19" s="1029"/>
      <c r="GL19" s="1030"/>
      <c r="GM19" s="1031"/>
    </row>
    <row r="20">
      <c r="B20" s="1060" t="s">
        <v>643</v>
      </c>
      <c r="C20" s="1027"/>
      <c r="D20" s="1028"/>
      <c r="E20" s="1028"/>
      <c r="F20" s="1028"/>
      <c r="G20" s="1029"/>
      <c r="H20" s="1030">
        <f t="shared" ref="H20:H23" si="48">SUM(C20:G20)</f>
        <v>0</v>
      </c>
      <c r="I20" s="1027"/>
      <c r="J20" s="1028"/>
      <c r="K20" s="1028"/>
      <c r="L20" s="1028"/>
      <c r="M20" s="1029"/>
      <c r="N20" s="1030">
        <f t="shared" ref="N20:N23" si="49">SUM(I20:M20)</f>
        <v>0</v>
      </c>
      <c r="O20" s="1027"/>
      <c r="P20" s="1028"/>
      <c r="Q20" s="1028"/>
      <c r="R20" s="1028"/>
      <c r="S20" s="1029"/>
      <c r="T20" s="1030">
        <f t="shared" ref="T20:T23" si="50">SUM(O20:S20)</f>
        <v>0</v>
      </c>
      <c r="U20" s="1077"/>
      <c r="V20" s="1028"/>
      <c r="W20" s="1028"/>
      <c r="X20" s="1028"/>
      <c r="Y20" s="1029"/>
      <c r="Z20" s="1030">
        <f t="shared" ref="Z20:Z23" si="51">SUM(U20:Y20)</f>
        <v>0</v>
      </c>
      <c r="AA20" s="1027"/>
      <c r="AB20" s="1028"/>
      <c r="AC20" s="1028"/>
      <c r="AD20" s="1028"/>
      <c r="AE20" s="1029"/>
      <c r="AF20" s="1030">
        <f t="shared" ref="AF20:AF23" si="52">SUM(AA20:AE20)</f>
        <v>0</v>
      </c>
      <c r="AG20" s="1077"/>
      <c r="AH20" s="1028"/>
      <c r="AI20" s="1028"/>
      <c r="AJ20" s="1028"/>
      <c r="AK20" s="1029"/>
      <c r="AL20" s="1030">
        <f t="shared" ref="AL20:AL23" si="53">SUM(AG20:AK20)</f>
        <v>0</v>
      </c>
      <c r="AM20" s="1027"/>
      <c r="AN20" s="1028"/>
      <c r="AO20" s="1028"/>
      <c r="AP20" s="1028"/>
      <c r="AQ20" s="1029"/>
      <c r="AR20" s="1030">
        <f t="shared" ref="AR20:AR23" si="54">SUM(AM20:AQ20)</f>
        <v>0</v>
      </c>
      <c r="AS20" s="1077"/>
      <c r="AT20" s="1028"/>
      <c r="AU20" s="1028"/>
      <c r="AV20" s="1028"/>
      <c r="AW20" s="1029"/>
      <c r="AX20" s="1030">
        <f t="shared" ref="AX20:AX23" si="55">SUM(AS20:AW20)</f>
        <v>0</v>
      </c>
      <c r="AY20" s="1027"/>
      <c r="AZ20" s="1028"/>
      <c r="BA20" s="1028"/>
      <c r="BB20" s="1028"/>
      <c r="BC20" s="1029"/>
      <c r="BD20" s="1030">
        <f t="shared" ref="BD20:BD23" si="56">SUM(AY20:BC20)</f>
        <v>0</v>
      </c>
      <c r="BE20" s="1077"/>
      <c r="BF20" s="1028"/>
      <c r="BG20" s="1028"/>
      <c r="BH20" s="1028"/>
      <c r="BI20" s="1029"/>
      <c r="BJ20" s="1030">
        <f t="shared" ref="BJ20:BJ23" si="57">SUM(BE20:BI20)</f>
        <v>0</v>
      </c>
      <c r="BK20" s="1027"/>
      <c r="BL20" s="1028"/>
      <c r="BM20" s="1028"/>
      <c r="BN20" s="1028"/>
      <c r="BO20" s="1029"/>
      <c r="BP20" s="1030">
        <f t="shared" ref="BP20:BP23" si="58">SUM(BK20:BO20)</f>
        <v>0</v>
      </c>
      <c r="BQ20" s="1077"/>
      <c r="BR20" s="1028"/>
      <c r="BS20" s="1028"/>
      <c r="BT20" s="1028"/>
      <c r="BU20" s="1029"/>
      <c r="BV20" s="1030">
        <f t="shared" ref="BV20:BV23" si="59">SUM(BQ20:BU20)</f>
        <v>0</v>
      </c>
      <c r="BW20" s="1027"/>
      <c r="BX20" s="1028"/>
      <c r="BY20" s="1028"/>
      <c r="BZ20" s="1028"/>
      <c r="CA20" s="1029"/>
      <c r="CB20" s="1030">
        <f t="shared" ref="CB20:CB23" si="60">SUM(BW20:CA20)</f>
        <v>0</v>
      </c>
      <c r="CC20" s="1077"/>
      <c r="CD20" s="1028"/>
      <c r="CE20" s="1028"/>
      <c r="CF20" s="1028"/>
      <c r="CG20" s="1029"/>
      <c r="CH20" s="1030">
        <f t="shared" ref="CH20:CH23" si="61">SUM(CC20:CG20)</f>
        <v>0</v>
      </c>
      <c r="CI20" s="1027"/>
      <c r="CJ20" s="1028"/>
      <c r="CK20" s="1028"/>
      <c r="CL20" s="1028"/>
      <c r="CM20" s="1029"/>
      <c r="CN20" s="1030">
        <f t="shared" ref="CN20:CN23" si="62">SUM(CI20:CM20)</f>
        <v>0</v>
      </c>
      <c r="CO20" s="1077"/>
      <c r="CP20" s="1028"/>
      <c r="CQ20" s="1028"/>
      <c r="CR20" s="1028"/>
      <c r="CS20" s="1029"/>
      <c r="CT20" s="1030">
        <f t="shared" ref="CT20:CT23" si="63">SUM(CO20:CS20)</f>
        <v>0</v>
      </c>
      <c r="CU20" s="1027"/>
      <c r="CV20" s="1028"/>
      <c r="CW20" s="1028"/>
      <c r="CX20" s="1028"/>
      <c r="CY20" s="1029"/>
      <c r="CZ20" s="1030">
        <f t="shared" ref="CZ20:CZ23" si="64">SUM(CU20:CY20)</f>
        <v>0</v>
      </c>
      <c r="DA20" s="1077"/>
      <c r="DB20" s="1028"/>
      <c r="DC20" s="1028"/>
      <c r="DD20" s="1028"/>
      <c r="DE20" s="1029"/>
      <c r="DF20" s="1030">
        <f t="shared" ref="DF20:DF23" si="65">SUM(DA20:DE20)</f>
        <v>0</v>
      </c>
      <c r="DG20" s="1027"/>
      <c r="DH20" s="1028"/>
      <c r="DI20" s="1028"/>
      <c r="DJ20" s="1028"/>
      <c r="DK20" s="1029"/>
      <c r="DL20" s="1030">
        <f t="shared" ref="DL20:DL23" si="66">SUM(DG20:DK20)</f>
        <v>0</v>
      </c>
      <c r="DM20" s="1077"/>
      <c r="DN20" s="1028"/>
      <c r="DO20" s="1028"/>
      <c r="DP20" s="1028"/>
      <c r="DQ20" s="1029"/>
      <c r="DR20" s="1030">
        <f t="shared" ref="DR20:DR23" si="67">SUM(DM20:DQ20)</f>
        <v>0</v>
      </c>
      <c r="DS20" s="1027"/>
      <c r="DT20" s="1028"/>
      <c r="DU20" s="1028"/>
      <c r="DV20" s="1028"/>
      <c r="DW20" s="1029"/>
      <c r="DX20" s="1030">
        <f t="shared" ref="DX20:DX23" si="68">SUM(DS20:DW20)</f>
        <v>0</v>
      </c>
      <c r="DY20" s="1077"/>
      <c r="DZ20" s="1028"/>
      <c r="EA20" s="1028"/>
      <c r="EB20" s="1028"/>
      <c r="EC20" s="1029"/>
      <c r="ED20" s="1030">
        <f t="shared" ref="ED20:ED23" si="69">SUM(DY20:EC20)</f>
        <v>0</v>
      </c>
      <c r="EE20" s="1027"/>
      <c r="EF20" s="1028"/>
      <c r="EG20" s="1028"/>
      <c r="EH20" s="1028"/>
      <c r="EI20" s="1029"/>
      <c r="EJ20" s="1030">
        <f t="shared" ref="EJ20:EJ23" si="70">SUM(EE20:EI20)</f>
        <v>0</v>
      </c>
      <c r="EK20" s="1077"/>
      <c r="EL20" s="1028"/>
      <c r="EM20" s="1028"/>
      <c r="EN20" s="1028"/>
      <c r="EO20" s="1029"/>
      <c r="EP20" s="1030">
        <f t="shared" ref="EP20:EP23" si="71">SUM(EK20:EO20)</f>
        <v>0</v>
      </c>
      <c r="EQ20" s="1027"/>
      <c r="ER20" s="1028"/>
      <c r="ES20" s="1028"/>
      <c r="ET20" s="1028"/>
      <c r="EU20" s="1029"/>
      <c r="EV20" s="1030">
        <f t="shared" ref="EV20:EV23" si="72">SUM(EQ20:EU20)</f>
        <v>0</v>
      </c>
      <c r="EW20" s="1077"/>
      <c r="EX20" s="1028"/>
      <c r="EY20" s="1028"/>
      <c r="EZ20" s="1028"/>
      <c r="FA20" s="1029"/>
      <c r="FB20" s="1030">
        <f t="shared" ref="FB20:FB23" si="73">SUM(EW20:FA20)</f>
        <v>0</v>
      </c>
      <c r="FC20" s="1027"/>
      <c r="FD20" s="1028"/>
      <c r="FE20" s="1028"/>
      <c r="FF20" s="1028"/>
      <c r="FG20" s="1029"/>
      <c r="FH20" s="1030">
        <f t="shared" ref="FH20:FH23" si="74">SUM(FC20:FG20)</f>
        <v>0</v>
      </c>
      <c r="FI20" s="1077"/>
      <c r="FJ20" s="1028"/>
      <c r="FK20" s="1028"/>
      <c r="FL20" s="1028"/>
      <c r="FM20" s="1029"/>
      <c r="FN20" s="1030">
        <f t="shared" ref="FN20:FN23" si="75">SUM(FI20:FM20)</f>
        <v>0</v>
      </c>
      <c r="FO20" s="1027"/>
      <c r="FP20" s="1028"/>
      <c r="FQ20" s="1028"/>
      <c r="FR20" s="1028"/>
      <c r="FS20" s="1029"/>
      <c r="FT20" s="1030">
        <f t="shared" ref="FT20:FT23" si="76">SUM(FO20:FS20)</f>
        <v>0</v>
      </c>
      <c r="FU20" s="1077"/>
      <c r="FV20" s="1028"/>
      <c r="FW20" s="1028"/>
      <c r="FX20" s="1028"/>
      <c r="FY20" s="1029"/>
      <c r="FZ20" s="1030">
        <f t="shared" ref="FZ20:FZ23" si="77">SUM(FU20:FY20)</f>
        <v>0</v>
      </c>
      <c r="GA20" s="1027"/>
      <c r="GB20" s="1028"/>
      <c r="GC20" s="1028"/>
      <c r="GD20" s="1028"/>
      <c r="GE20" s="1029"/>
      <c r="GF20" s="1030">
        <f t="shared" ref="GF20:GF23" si="78">SUM(GA20:GE20)</f>
        <v>0</v>
      </c>
      <c r="GG20" s="1027">
        <f t="shared" ref="GG20:GL20" si="47">+GA20+FU20+FO20+FI20+FC20+EW20+EQ20+EK20+EE20+DY20+DS20+DM20+DG20+DA20+CU20+CO20+CI20+CC20+BW20+BQ20+BK20+BE20++AY20+AS20+AM20+AG20+AA20+U20+O20+I20+C20</f>
        <v>0</v>
      </c>
      <c r="GH20" s="1028">
        <f t="shared" si="47"/>
        <v>0</v>
      </c>
      <c r="GI20" s="1028">
        <f t="shared" si="47"/>
        <v>0</v>
      </c>
      <c r="GJ20" s="1028">
        <f t="shared" si="47"/>
        <v>0</v>
      </c>
      <c r="GK20" s="1029">
        <f t="shared" si="47"/>
        <v>0</v>
      </c>
      <c r="GL20" s="1030">
        <f t="shared" si="47"/>
        <v>0</v>
      </c>
      <c r="GM20" s="1031">
        <f t="shared" ref="GM20:GM23" si="80">+GK20+GJ20+GI20+GH20+GG20</f>
        <v>0</v>
      </c>
    </row>
    <row r="21" ht="15.75" customHeight="1">
      <c r="B21" s="1032" t="s">
        <v>630</v>
      </c>
      <c r="C21" s="1038"/>
      <c r="D21" s="1035"/>
      <c r="E21" s="1035"/>
      <c r="F21" s="1035"/>
      <c r="G21" s="1040"/>
      <c r="H21" s="1037">
        <f t="shared" si="48"/>
        <v>0</v>
      </c>
      <c r="I21" s="1038"/>
      <c r="J21" s="1035"/>
      <c r="K21" s="1035"/>
      <c r="L21" s="1035"/>
      <c r="M21" s="1040"/>
      <c r="N21" s="1037">
        <f t="shared" si="49"/>
        <v>0</v>
      </c>
      <c r="O21" s="1038"/>
      <c r="P21" s="1035"/>
      <c r="Q21" s="1035"/>
      <c r="R21" s="1035"/>
      <c r="S21" s="1040"/>
      <c r="T21" s="1037">
        <f t="shared" si="50"/>
        <v>0</v>
      </c>
      <c r="U21" s="605"/>
      <c r="V21" s="1035"/>
      <c r="W21" s="1035"/>
      <c r="X21" s="1035"/>
      <c r="Y21" s="1040"/>
      <c r="Z21" s="1037">
        <f t="shared" si="51"/>
        <v>0</v>
      </c>
      <c r="AA21" s="1038"/>
      <c r="AB21" s="1035"/>
      <c r="AC21" s="1035"/>
      <c r="AD21" s="1035"/>
      <c r="AE21" s="1040"/>
      <c r="AF21" s="1037">
        <f t="shared" si="52"/>
        <v>0</v>
      </c>
      <c r="AG21" s="605"/>
      <c r="AH21" s="1035"/>
      <c r="AI21" s="1035"/>
      <c r="AJ21" s="1035"/>
      <c r="AK21" s="1040"/>
      <c r="AL21" s="1037">
        <f t="shared" si="53"/>
        <v>0</v>
      </c>
      <c r="AM21" s="1038"/>
      <c r="AN21" s="1035"/>
      <c r="AO21" s="1035"/>
      <c r="AP21" s="1035"/>
      <c r="AQ21" s="1040"/>
      <c r="AR21" s="1037">
        <f t="shared" si="54"/>
        <v>0</v>
      </c>
      <c r="AS21" s="605"/>
      <c r="AT21" s="1035"/>
      <c r="AU21" s="1035"/>
      <c r="AV21" s="1035"/>
      <c r="AW21" s="1040"/>
      <c r="AX21" s="1037">
        <f t="shared" si="55"/>
        <v>0</v>
      </c>
      <c r="AY21" s="1038"/>
      <c r="AZ21" s="1035"/>
      <c r="BA21" s="1035"/>
      <c r="BB21" s="1035"/>
      <c r="BC21" s="1040"/>
      <c r="BD21" s="1037">
        <f t="shared" si="56"/>
        <v>0</v>
      </c>
      <c r="BE21" s="605"/>
      <c r="BF21" s="1035"/>
      <c r="BG21" s="1035"/>
      <c r="BH21" s="1035"/>
      <c r="BI21" s="1040"/>
      <c r="BJ21" s="1037">
        <f t="shared" si="57"/>
        <v>0</v>
      </c>
      <c r="BK21" s="1038"/>
      <c r="BL21" s="1035"/>
      <c r="BM21" s="1035"/>
      <c r="BN21" s="1035"/>
      <c r="BO21" s="1040"/>
      <c r="BP21" s="1037">
        <f t="shared" si="58"/>
        <v>0</v>
      </c>
      <c r="BQ21" s="605"/>
      <c r="BR21" s="1035"/>
      <c r="BS21" s="1035"/>
      <c r="BT21" s="1035"/>
      <c r="BU21" s="1040"/>
      <c r="BV21" s="1037">
        <f t="shared" si="59"/>
        <v>0</v>
      </c>
      <c r="BW21" s="1038"/>
      <c r="BX21" s="1035"/>
      <c r="BY21" s="1035"/>
      <c r="BZ21" s="1035"/>
      <c r="CA21" s="1040"/>
      <c r="CB21" s="1037">
        <f t="shared" si="60"/>
        <v>0</v>
      </c>
      <c r="CC21" s="605"/>
      <c r="CD21" s="1035"/>
      <c r="CE21" s="1035"/>
      <c r="CF21" s="1035"/>
      <c r="CG21" s="1040"/>
      <c r="CH21" s="1037">
        <f t="shared" si="61"/>
        <v>0</v>
      </c>
      <c r="CI21" s="1038"/>
      <c r="CJ21" s="1035"/>
      <c r="CK21" s="1035"/>
      <c r="CL21" s="1035"/>
      <c r="CM21" s="1040"/>
      <c r="CN21" s="1037">
        <f t="shared" si="62"/>
        <v>0</v>
      </c>
      <c r="CO21" s="605"/>
      <c r="CP21" s="1035"/>
      <c r="CQ21" s="1035"/>
      <c r="CR21" s="1035"/>
      <c r="CS21" s="1040"/>
      <c r="CT21" s="1037">
        <f t="shared" si="63"/>
        <v>0</v>
      </c>
      <c r="CU21" s="1038"/>
      <c r="CV21" s="1035"/>
      <c r="CW21" s="1035"/>
      <c r="CX21" s="1035"/>
      <c r="CY21" s="1040"/>
      <c r="CZ21" s="1037">
        <f t="shared" si="64"/>
        <v>0</v>
      </c>
      <c r="DA21" s="605"/>
      <c r="DB21" s="1035"/>
      <c r="DC21" s="1035"/>
      <c r="DD21" s="1035"/>
      <c r="DE21" s="1040"/>
      <c r="DF21" s="1037">
        <f t="shared" si="65"/>
        <v>0</v>
      </c>
      <c r="DG21" s="1038"/>
      <c r="DH21" s="1035"/>
      <c r="DI21" s="1035"/>
      <c r="DJ21" s="1035"/>
      <c r="DK21" s="1040"/>
      <c r="DL21" s="1037">
        <f t="shared" si="66"/>
        <v>0</v>
      </c>
      <c r="DM21" s="605"/>
      <c r="DN21" s="1035"/>
      <c r="DO21" s="1035"/>
      <c r="DP21" s="1035"/>
      <c r="DQ21" s="1040"/>
      <c r="DR21" s="1037">
        <f t="shared" si="67"/>
        <v>0</v>
      </c>
      <c r="DS21" s="1038"/>
      <c r="DT21" s="1035"/>
      <c r="DU21" s="1035"/>
      <c r="DV21" s="1035"/>
      <c r="DW21" s="1040"/>
      <c r="DX21" s="1037">
        <f t="shared" si="68"/>
        <v>0</v>
      </c>
      <c r="DY21" s="605"/>
      <c r="DZ21" s="1035"/>
      <c r="EA21" s="1035"/>
      <c r="EB21" s="1035"/>
      <c r="EC21" s="1040"/>
      <c r="ED21" s="1037">
        <f t="shared" si="69"/>
        <v>0</v>
      </c>
      <c r="EE21" s="1038"/>
      <c r="EF21" s="1035"/>
      <c r="EG21" s="1035"/>
      <c r="EH21" s="1035"/>
      <c r="EI21" s="1040"/>
      <c r="EJ21" s="1037">
        <f t="shared" si="70"/>
        <v>0</v>
      </c>
      <c r="EK21" s="605"/>
      <c r="EL21" s="1035"/>
      <c r="EM21" s="1035"/>
      <c r="EN21" s="1035"/>
      <c r="EO21" s="1040"/>
      <c r="EP21" s="1037">
        <f t="shared" si="71"/>
        <v>0</v>
      </c>
      <c r="EQ21" s="1038"/>
      <c r="ER21" s="1035"/>
      <c r="ES21" s="1035"/>
      <c r="ET21" s="1035"/>
      <c r="EU21" s="1040"/>
      <c r="EV21" s="1037">
        <f t="shared" si="72"/>
        <v>0</v>
      </c>
      <c r="EW21" s="605"/>
      <c r="EX21" s="1035"/>
      <c r="EY21" s="1035"/>
      <c r="EZ21" s="1035"/>
      <c r="FA21" s="1040"/>
      <c r="FB21" s="1037">
        <f t="shared" si="73"/>
        <v>0</v>
      </c>
      <c r="FC21" s="1038"/>
      <c r="FD21" s="1035"/>
      <c r="FE21" s="1035"/>
      <c r="FF21" s="1035"/>
      <c r="FG21" s="1040"/>
      <c r="FH21" s="1037">
        <f t="shared" si="74"/>
        <v>0</v>
      </c>
      <c r="FI21" s="605"/>
      <c r="FJ21" s="1035"/>
      <c r="FK21" s="1035"/>
      <c r="FL21" s="1035"/>
      <c r="FM21" s="1040"/>
      <c r="FN21" s="1037">
        <f t="shared" si="75"/>
        <v>0</v>
      </c>
      <c r="FO21" s="1038"/>
      <c r="FP21" s="1035"/>
      <c r="FQ21" s="1035"/>
      <c r="FR21" s="1035"/>
      <c r="FS21" s="1040"/>
      <c r="FT21" s="1037">
        <f t="shared" si="76"/>
        <v>0</v>
      </c>
      <c r="FU21" s="605"/>
      <c r="FV21" s="1035"/>
      <c r="FW21" s="1035"/>
      <c r="FX21" s="1035"/>
      <c r="FY21" s="1040"/>
      <c r="FZ21" s="1037">
        <f t="shared" si="77"/>
        <v>0</v>
      </c>
      <c r="GA21" s="1038"/>
      <c r="GB21" s="1035"/>
      <c r="GC21" s="1035"/>
      <c r="GD21" s="1035"/>
      <c r="GE21" s="1040"/>
      <c r="GF21" s="1037">
        <f t="shared" si="78"/>
        <v>0</v>
      </c>
      <c r="GG21" s="1038">
        <f t="shared" ref="GG21:GL21" si="79">+GA21+FU21+FO21+FI21+FC21+EW21+EQ21+EK21+EE21+DY21+DS21+DM21+DG21+DA21+CU21+CO21+CI21+CC21+BW21+BQ21+BK21+BE21++AY21+AS21+AM21+AG21+AA21+U21+O21+I21+C21</f>
        <v>0</v>
      </c>
      <c r="GH21" s="1035">
        <f t="shared" si="79"/>
        <v>0</v>
      </c>
      <c r="GI21" s="1035">
        <f t="shared" si="79"/>
        <v>0</v>
      </c>
      <c r="GJ21" s="1035">
        <f t="shared" si="79"/>
        <v>0</v>
      </c>
      <c r="GK21" s="1040">
        <f t="shared" si="79"/>
        <v>0</v>
      </c>
      <c r="GL21" s="1037">
        <f t="shared" si="79"/>
        <v>0</v>
      </c>
      <c r="GM21" s="1041">
        <f t="shared" si="80"/>
        <v>0</v>
      </c>
    </row>
    <row r="22" ht="15.75" customHeight="1">
      <c r="B22" s="1042" t="s">
        <v>633</v>
      </c>
      <c r="C22" s="1046"/>
      <c r="D22" s="1047"/>
      <c r="E22" s="1047"/>
      <c r="F22" s="1047"/>
      <c r="G22" s="1048"/>
      <c r="H22" s="1045">
        <f t="shared" si="48"/>
        <v>0</v>
      </c>
      <c r="I22" s="1046"/>
      <c r="J22" s="1047"/>
      <c r="K22" s="1047"/>
      <c r="L22" s="1047"/>
      <c r="M22" s="1048"/>
      <c r="N22" s="1045">
        <f t="shared" si="49"/>
        <v>0</v>
      </c>
      <c r="O22" s="1046"/>
      <c r="P22" s="1047"/>
      <c r="Q22" s="1047"/>
      <c r="R22" s="1047"/>
      <c r="S22" s="1048"/>
      <c r="T22" s="1045">
        <f t="shared" si="50"/>
        <v>0</v>
      </c>
      <c r="U22" s="1078"/>
      <c r="V22" s="1047"/>
      <c r="W22" s="1047"/>
      <c r="X22" s="1047"/>
      <c r="Y22" s="1048"/>
      <c r="Z22" s="1045">
        <f t="shared" si="51"/>
        <v>0</v>
      </c>
      <c r="AA22" s="1046"/>
      <c r="AB22" s="1047"/>
      <c r="AC22" s="1047"/>
      <c r="AD22" s="1047"/>
      <c r="AE22" s="1048"/>
      <c r="AF22" s="1045">
        <f t="shared" si="52"/>
        <v>0</v>
      </c>
      <c r="AG22" s="1078"/>
      <c r="AH22" s="1047"/>
      <c r="AI22" s="1047"/>
      <c r="AJ22" s="1047"/>
      <c r="AK22" s="1048"/>
      <c r="AL22" s="1045">
        <f t="shared" si="53"/>
        <v>0</v>
      </c>
      <c r="AM22" s="1046"/>
      <c r="AN22" s="1047"/>
      <c r="AO22" s="1047"/>
      <c r="AP22" s="1047"/>
      <c r="AQ22" s="1048"/>
      <c r="AR22" s="1045">
        <f t="shared" si="54"/>
        <v>0</v>
      </c>
      <c r="AS22" s="1078"/>
      <c r="AT22" s="1047"/>
      <c r="AU22" s="1047"/>
      <c r="AV22" s="1047"/>
      <c r="AW22" s="1048"/>
      <c r="AX22" s="1045">
        <f t="shared" si="55"/>
        <v>0</v>
      </c>
      <c r="AY22" s="1046"/>
      <c r="AZ22" s="1047"/>
      <c r="BA22" s="1047"/>
      <c r="BB22" s="1047"/>
      <c r="BC22" s="1048"/>
      <c r="BD22" s="1045">
        <f t="shared" si="56"/>
        <v>0</v>
      </c>
      <c r="BE22" s="1078"/>
      <c r="BF22" s="1047"/>
      <c r="BG22" s="1047"/>
      <c r="BH22" s="1047"/>
      <c r="BI22" s="1048"/>
      <c r="BJ22" s="1045">
        <f t="shared" si="57"/>
        <v>0</v>
      </c>
      <c r="BK22" s="1046"/>
      <c r="BL22" s="1047"/>
      <c r="BM22" s="1047"/>
      <c r="BN22" s="1047"/>
      <c r="BO22" s="1048"/>
      <c r="BP22" s="1045">
        <f t="shared" si="58"/>
        <v>0</v>
      </c>
      <c r="BQ22" s="1078"/>
      <c r="BR22" s="1047"/>
      <c r="BS22" s="1047"/>
      <c r="BT22" s="1047"/>
      <c r="BU22" s="1048"/>
      <c r="BV22" s="1045">
        <f t="shared" si="59"/>
        <v>0</v>
      </c>
      <c r="BW22" s="1046"/>
      <c r="BX22" s="1047"/>
      <c r="BY22" s="1047"/>
      <c r="BZ22" s="1047"/>
      <c r="CA22" s="1048"/>
      <c r="CB22" s="1045">
        <f t="shared" si="60"/>
        <v>0</v>
      </c>
      <c r="CC22" s="1078"/>
      <c r="CD22" s="1047"/>
      <c r="CE22" s="1047"/>
      <c r="CF22" s="1047"/>
      <c r="CG22" s="1048"/>
      <c r="CH22" s="1045">
        <f t="shared" si="61"/>
        <v>0</v>
      </c>
      <c r="CI22" s="1046"/>
      <c r="CJ22" s="1047"/>
      <c r="CK22" s="1047"/>
      <c r="CL22" s="1047"/>
      <c r="CM22" s="1048"/>
      <c r="CN22" s="1045">
        <f t="shared" si="62"/>
        <v>0</v>
      </c>
      <c r="CO22" s="1078"/>
      <c r="CP22" s="1047"/>
      <c r="CQ22" s="1047"/>
      <c r="CR22" s="1047"/>
      <c r="CS22" s="1048"/>
      <c r="CT22" s="1045">
        <f t="shared" si="63"/>
        <v>0</v>
      </c>
      <c r="CU22" s="1046"/>
      <c r="CV22" s="1047"/>
      <c r="CW22" s="1047"/>
      <c r="CX22" s="1047"/>
      <c r="CY22" s="1048"/>
      <c r="CZ22" s="1045">
        <f t="shared" si="64"/>
        <v>0</v>
      </c>
      <c r="DA22" s="1078"/>
      <c r="DB22" s="1047"/>
      <c r="DC22" s="1047"/>
      <c r="DD22" s="1047"/>
      <c r="DE22" s="1048"/>
      <c r="DF22" s="1045">
        <f t="shared" si="65"/>
        <v>0</v>
      </c>
      <c r="DG22" s="1046"/>
      <c r="DH22" s="1047"/>
      <c r="DI22" s="1047"/>
      <c r="DJ22" s="1047"/>
      <c r="DK22" s="1048"/>
      <c r="DL22" s="1045">
        <f t="shared" si="66"/>
        <v>0</v>
      </c>
      <c r="DM22" s="1078"/>
      <c r="DN22" s="1047"/>
      <c r="DO22" s="1047"/>
      <c r="DP22" s="1047"/>
      <c r="DQ22" s="1048"/>
      <c r="DR22" s="1045">
        <f t="shared" si="67"/>
        <v>0</v>
      </c>
      <c r="DS22" s="1046"/>
      <c r="DT22" s="1047"/>
      <c r="DU22" s="1047"/>
      <c r="DV22" s="1047"/>
      <c r="DW22" s="1048"/>
      <c r="DX22" s="1045">
        <f t="shared" si="68"/>
        <v>0</v>
      </c>
      <c r="DY22" s="1078"/>
      <c r="DZ22" s="1047"/>
      <c r="EA22" s="1047"/>
      <c r="EB22" s="1047"/>
      <c r="EC22" s="1048"/>
      <c r="ED22" s="1045">
        <f t="shared" si="69"/>
        <v>0</v>
      </c>
      <c r="EE22" s="1046"/>
      <c r="EF22" s="1047"/>
      <c r="EG22" s="1047"/>
      <c r="EH22" s="1047"/>
      <c r="EI22" s="1048"/>
      <c r="EJ22" s="1045">
        <f t="shared" si="70"/>
        <v>0</v>
      </c>
      <c r="EK22" s="1078"/>
      <c r="EL22" s="1047"/>
      <c r="EM22" s="1047"/>
      <c r="EN22" s="1047"/>
      <c r="EO22" s="1048"/>
      <c r="EP22" s="1045">
        <f t="shared" si="71"/>
        <v>0</v>
      </c>
      <c r="EQ22" s="1046"/>
      <c r="ER22" s="1047"/>
      <c r="ES22" s="1047"/>
      <c r="ET22" s="1047"/>
      <c r="EU22" s="1048"/>
      <c r="EV22" s="1045">
        <f t="shared" si="72"/>
        <v>0</v>
      </c>
      <c r="EW22" s="1078"/>
      <c r="EX22" s="1047"/>
      <c r="EY22" s="1047"/>
      <c r="EZ22" s="1047"/>
      <c r="FA22" s="1048"/>
      <c r="FB22" s="1045">
        <f t="shared" si="73"/>
        <v>0</v>
      </c>
      <c r="FC22" s="1046"/>
      <c r="FD22" s="1047"/>
      <c r="FE22" s="1047"/>
      <c r="FF22" s="1047"/>
      <c r="FG22" s="1048"/>
      <c r="FH22" s="1045">
        <f t="shared" si="74"/>
        <v>0</v>
      </c>
      <c r="FI22" s="1078"/>
      <c r="FJ22" s="1047"/>
      <c r="FK22" s="1047"/>
      <c r="FL22" s="1047"/>
      <c r="FM22" s="1048"/>
      <c r="FN22" s="1045">
        <f t="shared" si="75"/>
        <v>0</v>
      </c>
      <c r="FO22" s="1046"/>
      <c r="FP22" s="1047"/>
      <c r="FQ22" s="1047"/>
      <c r="FR22" s="1047"/>
      <c r="FS22" s="1048"/>
      <c r="FT22" s="1045">
        <f t="shared" si="76"/>
        <v>0</v>
      </c>
      <c r="FU22" s="1078"/>
      <c r="FV22" s="1047"/>
      <c r="FW22" s="1047"/>
      <c r="FX22" s="1047"/>
      <c r="FY22" s="1048"/>
      <c r="FZ22" s="1045">
        <f t="shared" si="77"/>
        <v>0</v>
      </c>
      <c r="GA22" s="1046"/>
      <c r="GB22" s="1047"/>
      <c r="GC22" s="1047"/>
      <c r="GD22" s="1047"/>
      <c r="GE22" s="1048"/>
      <c r="GF22" s="1045">
        <f t="shared" si="78"/>
        <v>0</v>
      </c>
      <c r="GG22" s="1046">
        <f t="shared" ref="GG22:GL22" si="81">+GA22+FU22+FO22+FI22+FC22+EW22+EQ22+EK22+EE22+DY22+DS22+DM22+DG22+DA22+CU22+CO22+CI22+CC22+BW22+BQ22+BK22+BE22++AY22+AS22+AM22+AG22+AA22+U22+O22+I22+C22</f>
        <v>0</v>
      </c>
      <c r="GH22" s="1047">
        <f t="shared" si="81"/>
        <v>0</v>
      </c>
      <c r="GI22" s="1047">
        <f t="shared" si="81"/>
        <v>0</v>
      </c>
      <c r="GJ22" s="1047">
        <f t="shared" si="81"/>
        <v>0</v>
      </c>
      <c r="GK22" s="1048">
        <f t="shared" si="81"/>
        <v>0</v>
      </c>
      <c r="GL22" s="1045">
        <f t="shared" si="81"/>
        <v>0</v>
      </c>
      <c r="GM22" s="1049">
        <f t="shared" si="80"/>
        <v>0</v>
      </c>
    </row>
    <row r="23" ht="15.75" customHeight="1">
      <c r="B23" s="1042" t="s">
        <v>635</v>
      </c>
      <c r="C23" s="1046"/>
      <c r="D23" s="1047"/>
      <c r="E23" s="1047"/>
      <c r="F23" s="1047"/>
      <c r="G23" s="1048"/>
      <c r="H23" s="1045">
        <f t="shared" si="48"/>
        <v>0</v>
      </c>
      <c r="I23" s="1046"/>
      <c r="J23" s="1047"/>
      <c r="K23" s="1047"/>
      <c r="L23" s="1047"/>
      <c r="M23" s="1048"/>
      <c r="N23" s="1045">
        <f t="shared" si="49"/>
        <v>0</v>
      </c>
      <c r="O23" s="1046"/>
      <c r="P23" s="1047"/>
      <c r="Q23" s="1047"/>
      <c r="R23" s="1047"/>
      <c r="S23" s="1048"/>
      <c r="T23" s="1045">
        <f t="shared" si="50"/>
        <v>0</v>
      </c>
      <c r="U23" s="1078"/>
      <c r="V23" s="1047"/>
      <c r="W23" s="1047"/>
      <c r="X23" s="1047"/>
      <c r="Y23" s="1048"/>
      <c r="Z23" s="1045">
        <f t="shared" si="51"/>
        <v>0</v>
      </c>
      <c r="AA23" s="1046"/>
      <c r="AB23" s="1047"/>
      <c r="AC23" s="1047"/>
      <c r="AD23" s="1047"/>
      <c r="AE23" s="1048"/>
      <c r="AF23" s="1045">
        <f t="shared" si="52"/>
        <v>0</v>
      </c>
      <c r="AG23" s="1078"/>
      <c r="AH23" s="1047"/>
      <c r="AI23" s="1047"/>
      <c r="AJ23" s="1047"/>
      <c r="AK23" s="1048"/>
      <c r="AL23" s="1045">
        <f t="shared" si="53"/>
        <v>0</v>
      </c>
      <c r="AM23" s="1046"/>
      <c r="AN23" s="1047"/>
      <c r="AO23" s="1047"/>
      <c r="AP23" s="1047"/>
      <c r="AQ23" s="1048"/>
      <c r="AR23" s="1045">
        <f t="shared" si="54"/>
        <v>0</v>
      </c>
      <c r="AS23" s="1078"/>
      <c r="AT23" s="1047"/>
      <c r="AU23" s="1047"/>
      <c r="AV23" s="1047"/>
      <c r="AW23" s="1048"/>
      <c r="AX23" s="1045">
        <f t="shared" si="55"/>
        <v>0</v>
      </c>
      <c r="AY23" s="1046"/>
      <c r="AZ23" s="1047"/>
      <c r="BA23" s="1047"/>
      <c r="BB23" s="1047"/>
      <c r="BC23" s="1048"/>
      <c r="BD23" s="1045">
        <f t="shared" si="56"/>
        <v>0</v>
      </c>
      <c r="BE23" s="1078"/>
      <c r="BF23" s="1047"/>
      <c r="BG23" s="1047"/>
      <c r="BH23" s="1047"/>
      <c r="BI23" s="1048"/>
      <c r="BJ23" s="1045">
        <f t="shared" si="57"/>
        <v>0</v>
      </c>
      <c r="BK23" s="1046"/>
      <c r="BL23" s="1047"/>
      <c r="BM23" s="1047"/>
      <c r="BN23" s="1047"/>
      <c r="BO23" s="1048"/>
      <c r="BP23" s="1045">
        <f t="shared" si="58"/>
        <v>0</v>
      </c>
      <c r="BQ23" s="1078"/>
      <c r="BR23" s="1047"/>
      <c r="BS23" s="1047"/>
      <c r="BT23" s="1047"/>
      <c r="BU23" s="1048"/>
      <c r="BV23" s="1045">
        <f t="shared" si="59"/>
        <v>0</v>
      </c>
      <c r="BW23" s="1046"/>
      <c r="BX23" s="1047"/>
      <c r="BY23" s="1047"/>
      <c r="BZ23" s="1047"/>
      <c r="CA23" s="1048"/>
      <c r="CB23" s="1045">
        <f t="shared" si="60"/>
        <v>0</v>
      </c>
      <c r="CC23" s="1078"/>
      <c r="CD23" s="1047"/>
      <c r="CE23" s="1047"/>
      <c r="CF23" s="1047"/>
      <c r="CG23" s="1048"/>
      <c r="CH23" s="1045">
        <f t="shared" si="61"/>
        <v>0</v>
      </c>
      <c r="CI23" s="1046"/>
      <c r="CJ23" s="1047"/>
      <c r="CK23" s="1047"/>
      <c r="CL23" s="1047"/>
      <c r="CM23" s="1048"/>
      <c r="CN23" s="1045">
        <f t="shared" si="62"/>
        <v>0</v>
      </c>
      <c r="CO23" s="1078"/>
      <c r="CP23" s="1047"/>
      <c r="CQ23" s="1047"/>
      <c r="CR23" s="1047"/>
      <c r="CS23" s="1048"/>
      <c r="CT23" s="1045">
        <f t="shared" si="63"/>
        <v>0</v>
      </c>
      <c r="CU23" s="1046"/>
      <c r="CV23" s="1047"/>
      <c r="CW23" s="1047"/>
      <c r="CX23" s="1047"/>
      <c r="CY23" s="1048"/>
      <c r="CZ23" s="1045">
        <f t="shared" si="64"/>
        <v>0</v>
      </c>
      <c r="DA23" s="1078"/>
      <c r="DB23" s="1047"/>
      <c r="DC23" s="1047"/>
      <c r="DD23" s="1047"/>
      <c r="DE23" s="1048"/>
      <c r="DF23" s="1045">
        <f t="shared" si="65"/>
        <v>0</v>
      </c>
      <c r="DG23" s="1046"/>
      <c r="DH23" s="1047"/>
      <c r="DI23" s="1047"/>
      <c r="DJ23" s="1047"/>
      <c r="DK23" s="1048"/>
      <c r="DL23" s="1045">
        <f t="shared" si="66"/>
        <v>0</v>
      </c>
      <c r="DM23" s="1078"/>
      <c r="DN23" s="1047"/>
      <c r="DO23" s="1047"/>
      <c r="DP23" s="1047"/>
      <c r="DQ23" s="1048"/>
      <c r="DR23" s="1045">
        <f t="shared" si="67"/>
        <v>0</v>
      </c>
      <c r="DS23" s="1046"/>
      <c r="DT23" s="1047"/>
      <c r="DU23" s="1047"/>
      <c r="DV23" s="1047"/>
      <c r="DW23" s="1048"/>
      <c r="DX23" s="1045">
        <f t="shared" si="68"/>
        <v>0</v>
      </c>
      <c r="DY23" s="1078"/>
      <c r="DZ23" s="1047"/>
      <c r="EA23" s="1047"/>
      <c r="EB23" s="1047"/>
      <c r="EC23" s="1048"/>
      <c r="ED23" s="1045">
        <f t="shared" si="69"/>
        <v>0</v>
      </c>
      <c r="EE23" s="1046"/>
      <c r="EF23" s="1047"/>
      <c r="EG23" s="1047"/>
      <c r="EH23" s="1047"/>
      <c r="EI23" s="1048"/>
      <c r="EJ23" s="1045">
        <f t="shared" si="70"/>
        <v>0</v>
      </c>
      <c r="EK23" s="1078"/>
      <c r="EL23" s="1047"/>
      <c r="EM23" s="1047"/>
      <c r="EN23" s="1047"/>
      <c r="EO23" s="1048"/>
      <c r="EP23" s="1045">
        <f t="shared" si="71"/>
        <v>0</v>
      </c>
      <c r="EQ23" s="1046"/>
      <c r="ER23" s="1047"/>
      <c r="ES23" s="1047"/>
      <c r="ET23" s="1047"/>
      <c r="EU23" s="1048"/>
      <c r="EV23" s="1045">
        <f t="shared" si="72"/>
        <v>0</v>
      </c>
      <c r="EW23" s="1078"/>
      <c r="EX23" s="1047"/>
      <c r="EY23" s="1047"/>
      <c r="EZ23" s="1047"/>
      <c r="FA23" s="1048"/>
      <c r="FB23" s="1045">
        <f t="shared" si="73"/>
        <v>0</v>
      </c>
      <c r="FC23" s="1046"/>
      <c r="FD23" s="1047"/>
      <c r="FE23" s="1047"/>
      <c r="FF23" s="1047"/>
      <c r="FG23" s="1048"/>
      <c r="FH23" s="1045">
        <f t="shared" si="74"/>
        <v>0</v>
      </c>
      <c r="FI23" s="1078"/>
      <c r="FJ23" s="1047"/>
      <c r="FK23" s="1047"/>
      <c r="FL23" s="1047"/>
      <c r="FM23" s="1048"/>
      <c r="FN23" s="1045">
        <f t="shared" si="75"/>
        <v>0</v>
      </c>
      <c r="FO23" s="1046"/>
      <c r="FP23" s="1047"/>
      <c r="FQ23" s="1047"/>
      <c r="FR23" s="1047"/>
      <c r="FS23" s="1048"/>
      <c r="FT23" s="1045">
        <f t="shared" si="76"/>
        <v>0</v>
      </c>
      <c r="FU23" s="1078"/>
      <c r="FV23" s="1047"/>
      <c r="FW23" s="1047"/>
      <c r="FX23" s="1047"/>
      <c r="FY23" s="1048"/>
      <c r="FZ23" s="1045">
        <f t="shared" si="77"/>
        <v>0</v>
      </c>
      <c r="GA23" s="1046"/>
      <c r="GB23" s="1047"/>
      <c r="GC23" s="1047"/>
      <c r="GD23" s="1047"/>
      <c r="GE23" s="1048"/>
      <c r="GF23" s="1045">
        <f t="shared" si="78"/>
        <v>0</v>
      </c>
      <c r="GG23" s="1046">
        <f t="shared" ref="GG23:GL23" si="82">+GA23+FU23+FO23+FI23+FC23+EW23+EQ23+EK23+EE23+DY23+DS23+DM23+DG23+DA23+CU23+CO23+CI23+CC23+BW23+BQ23+BK23+BE23++AY23+AS23+AM23+AG23+AA23+U23+O23+I23+C23</f>
        <v>0</v>
      </c>
      <c r="GH23" s="1047">
        <f t="shared" si="82"/>
        <v>0</v>
      </c>
      <c r="GI23" s="1047">
        <f t="shared" si="82"/>
        <v>0</v>
      </c>
      <c r="GJ23" s="1047">
        <f t="shared" si="82"/>
        <v>0</v>
      </c>
      <c r="GK23" s="1048">
        <f t="shared" si="82"/>
        <v>0</v>
      </c>
      <c r="GL23" s="1045">
        <f t="shared" si="82"/>
        <v>0</v>
      </c>
      <c r="GM23" s="1049">
        <f t="shared" si="80"/>
        <v>0</v>
      </c>
    </row>
    <row r="24" ht="15.75" customHeight="1">
      <c r="B24" s="1050"/>
      <c r="C24" s="1055"/>
      <c r="D24" s="1056"/>
      <c r="E24" s="1056"/>
      <c r="F24" s="1056"/>
      <c r="G24" s="1057"/>
      <c r="H24" s="1054"/>
      <c r="I24" s="1055"/>
      <c r="J24" s="1056"/>
      <c r="K24" s="1056"/>
      <c r="L24" s="1056"/>
      <c r="M24" s="1057"/>
      <c r="N24" s="1054"/>
      <c r="O24" s="1055"/>
      <c r="P24" s="1056"/>
      <c r="Q24" s="1056"/>
      <c r="R24" s="1056"/>
      <c r="S24" s="1057"/>
      <c r="T24" s="1054"/>
      <c r="U24" s="1079"/>
      <c r="V24" s="1056"/>
      <c r="W24" s="1056"/>
      <c r="X24" s="1056"/>
      <c r="Y24" s="1057"/>
      <c r="Z24" s="1054"/>
      <c r="AA24" s="1055"/>
      <c r="AB24" s="1056"/>
      <c r="AC24" s="1056"/>
      <c r="AD24" s="1056"/>
      <c r="AE24" s="1057"/>
      <c r="AF24" s="1054"/>
      <c r="AG24" s="1079"/>
      <c r="AH24" s="1056"/>
      <c r="AI24" s="1056"/>
      <c r="AJ24" s="1056"/>
      <c r="AK24" s="1057"/>
      <c r="AL24" s="1054"/>
      <c r="AM24" s="1055"/>
      <c r="AN24" s="1056"/>
      <c r="AO24" s="1056"/>
      <c r="AP24" s="1056"/>
      <c r="AQ24" s="1057"/>
      <c r="AR24" s="1054"/>
      <c r="AS24" s="1079"/>
      <c r="AT24" s="1056"/>
      <c r="AU24" s="1056"/>
      <c r="AV24" s="1056"/>
      <c r="AW24" s="1057"/>
      <c r="AX24" s="1054"/>
      <c r="AY24" s="1055"/>
      <c r="AZ24" s="1056"/>
      <c r="BA24" s="1056"/>
      <c r="BB24" s="1056"/>
      <c r="BC24" s="1057"/>
      <c r="BD24" s="1054"/>
      <c r="BE24" s="1079"/>
      <c r="BF24" s="1056"/>
      <c r="BG24" s="1056"/>
      <c r="BH24" s="1056"/>
      <c r="BI24" s="1057"/>
      <c r="BJ24" s="1054"/>
      <c r="BK24" s="1055"/>
      <c r="BL24" s="1056"/>
      <c r="BM24" s="1056"/>
      <c r="BN24" s="1056"/>
      <c r="BO24" s="1057"/>
      <c r="BP24" s="1054"/>
      <c r="BQ24" s="1079"/>
      <c r="BR24" s="1056"/>
      <c r="BS24" s="1056"/>
      <c r="BT24" s="1056"/>
      <c r="BU24" s="1057"/>
      <c r="BV24" s="1054"/>
      <c r="BW24" s="1055"/>
      <c r="BX24" s="1056"/>
      <c r="BY24" s="1056"/>
      <c r="BZ24" s="1056"/>
      <c r="CA24" s="1057"/>
      <c r="CB24" s="1054"/>
      <c r="CC24" s="1079"/>
      <c r="CD24" s="1056"/>
      <c r="CE24" s="1056"/>
      <c r="CF24" s="1056"/>
      <c r="CG24" s="1057"/>
      <c r="CH24" s="1054"/>
      <c r="CI24" s="1055"/>
      <c r="CJ24" s="1056"/>
      <c r="CK24" s="1056"/>
      <c r="CL24" s="1056"/>
      <c r="CM24" s="1057"/>
      <c r="CN24" s="1054"/>
      <c r="CO24" s="1079"/>
      <c r="CP24" s="1056"/>
      <c r="CQ24" s="1056"/>
      <c r="CR24" s="1056"/>
      <c r="CS24" s="1057"/>
      <c r="CT24" s="1054"/>
      <c r="CU24" s="1055"/>
      <c r="CV24" s="1056"/>
      <c r="CW24" s="1056"/>
      <c r="CX24" s="1056"/>
      <c r="CY24" s="1057"/>
      <c r="CZ24" s="1054"/>
      <c r="DA24" s="1079"/>
      <c r="DB24" s="1056"/>
      <c r="DC24" s="1056"/>
      <c r="DD24" s="1056"/>
      <c r="DE24" s="1057"/>
      <c r="DF24" s="1054"/>
      <c r="DG24" s="1055"/>
      <c r="DH24" s="1056"/>
      <c r="DI24" s="1056"/>
      <c r="DJ24" s="1056"/>
      <c r="DK24" s="1057"/>
      <c r="DL24" s="1054"/>
      <c r="DM24" s="1079"/>
      <c r="DN24" s="1056"/>
      <c r="DO24" s="1056"/>
      <c r="DP24" s="1056"/>
      <c r="DQ24" s="1057"/>
      <c r="DR24" s="1054"/>
      <c r="DS24" s="1055"/>
      <c r="DT24" s="1056"/>
      <c r="DU24" s="1056"/>
      <c r="DV24" s="1056"/>
      <c r="DW24" s="1057"/>
      <c r="DX24" s="1054"/>
      <c r="DY24" s="1079"/>
      <c r="DZ24" s="1056"/>
      <c r="EA24" s="1056"/>
      <c r="EB24" s="1056"/>
      <c r="EC24" s="1057"/>
      <c r="ED24" s="1054"/>
      <c r="EE24" s="1055"/>
      <c r="EF24" s="1056"/>
      <c r="EG24" s="1056"/>
      <c r="EH24" s="1056"/>
      <c r="EI24" s="1057"/>
      <c r="EJ24" s="1054"/>
      <c r="EK24" s="1079"/>
      <c r="EL24" s="1056"/>
      <c r="EM24" s="1056"/>
      <c r="EN24" s="1056"/>
      <c r="EO24" s="1057"/>
      <c r="EP24" s="1054"/>
      <c r="EQ24" s="1055"/>
      <c r="ER24" s="1056"/>
      <c r="ES24" s="1056"/>
      <c r="ET24" s="1056"/>
      <c r="EU24" s="1057"/>
      <c r="EV24" s="1054"/>
      <c r="EW24" s="1079"/>
      <c r="EX24" s="1056"/>
      <c r="EY24" s="1056"/>
      <c r="EZ24" s="1056"/>
      <c r="FA24" s="1057"/>
      <c r="FB24" s="1054"/>
      <c r="FC24" s="1055"/>
      <c r="FD24" s="1056"/>
      <c r="FE24" s="1056"/>
      <c r="FF24" s="1056"/>
      <c r="FG24" s="1057"/>
      <c r="FH24" s="1054"/>
      <c r="FI24" s="1079"/>
      <c r="FJ24" s="1056"/>
      <c r="FK24" s="1056"/>
      <c r="FL24" s="1056"/>
      <c r="FM24" s="1057"/>
      <c r="FN24" s="1054"/>
      <c r="FO24" s="1055"/>
      <c r="FP24" s="1056"/>
      <c r="FQ24" s="1056"/>
      <c r="FR24" s="1056"/>
      <c r="FS24" s="1057"/>
      <c r="FT24" s="1054"/>
      <c r="FU24" s="1079"/>
      <c r="FV24" s="1056"/>
      <c r="FW24" s="1056"/>
      <c r="FX24" s="1056"/>
      <c r="FY24" s="1057"/>
      <c r="FZ24" s="1054"/>
      <c r="GA24" s="1055"/>
      <c r="GB24" s="1056"/>
      <c r="GC24" s="1056"/>
      <c r="GD24" s="1056"/>
      <c r="GE24" s="1057"/>
      <c r="GF24" s="1054"/>
      <c r="GG24" s="1055"/>
      <c r="GH24" s="1056"/>
      <c r="GI24" s="1056"/>
      <c r="GJ24" s="1056"/>
      <c r="GK24" s="1057"/>
      <c r="GL24" s="1054"/>
      <c r="GM24" s="1058"/>
    </row>
    <row r="25" ht="15.75" customHeight="1">
      <c r="B25" s="1060" t="s">
        <v>644</v>
      </c>
      <c r="C25" s="1027">
        <f t="shared" ref="C25:GM25" si="83">SUM(C21:C24)</f>
        <v>0</v>
      </c>
      <c r="D25" s="1028">
        <f t="shared" si="83"/>
        <v>0</v>
      </c>
      <c r="E25" s="1028">
        <f t="shared" si="83"/>
        <v>0</v>
      </c>
      <c r="F25" s="1028">
        <f t="shared" si="83"/>
        <v>0</v>
      </c>
      <c r="G25" s="1029">
        <f t="shared" si="83"/>
        <v>0</v>
      </c>
      <c r="H25" s="1030">
        <f t="shared" si="83"/>
        <v>0</v>
      </c>
      <c r="I25" s="1027">
        <f t="shared" si="83"/>
        <v>0</v>
      </c>
      <c r="J25" s="1028">
        <f t="shared" si="83"/>
        <v>0</v>
      </c>
      <c r="K25" s="1028">
        <f t="shared" si="83"/>
        <v>0</v>
      </c>
      <c r="L25" s="1028">
        <f t="shared" si="83"/>
        <v>0</v>
      </c>
      <c r="M25" s="1029">
        <f t="shared" si="83"/>
        <v>0</v>
      </c>
      <c r="N25" s="1030">
        <f t="shared" si="83"/>
        <v>0</v>
      </c>
      <c r="O25" s="1027">
        <f t="shared" si="83"/>
        <v>0</v>
      </c>
      <c r="P25" s="1028">
        <f t="shared" si="83"/>
        <v>0</v>
      </c>
      <c r="Q25" s="1028">
        <f t="shared" si="83"/>
        <v>0</v>
      </c>
      <c r="R25" s="1028">
        <f t="shared" si="83"/>
        <v>0</v>
      </c>
      <c r="S25" s="1029">
        <f t="shared" si="83"/>
        <v>0</v>
      </c>
      <c r="T25" s="1030">
        <f t="shared" si="83"/>
        <v>0</v>
      </c>
      <c r="U25" s="1077">
        <f t="shared" si="83"/>
        <v>0</v>
      </c>
      <c r="V25" s="1028">
        <f t="shared" si="83"/>
        <v>0</v>
      </c>
      <c r="W25" s="1028">
        <f t="shared" si="83"/>
        <v>0</v>
      </c>
      <c r="X25" s="1028">
        <f t="shared" si="83"/>
        <v>0</v>
      </c>
      <c r="Y25" s="1029">
        <f t="shared" si="83"/>
        <v>0</v>
      </c>
      <c r="Z25" s="1030">
        <f t="shared" si="83"/>
        <v>0</v>
      </c>
      <c r="AA25" s="1027">
        <f t="shared" si="83"/>
        <v>0</v>
      </c>
      <c r="AB25" s="1028">
        <f t="shared" si="83"/>
        <v>0</v>
      </c>
      <c r="AC25" s="1028">
        <f t="shared" si="83"/>
        <v>0</v>
      </c>
      <c r="AD25" s="1028">
        <f t="shared" si="83"/>
        <v>0</v>
      </c>
      <c r="AE25" s="1029">
        <f t="shared" si="83"/>
        <v>0</v>
      </c>
      <c r="AF25" s="1030">
        <f t="shared" si="83"/>
        <v>0</v>
      </c>
      <c r="AG25" s="1077">
        <f t="shared" si="83"/>
        <v>0</v>
      </c>
      <c r="AH25" s="1028">
        <f t="shared" si="83"/>
        <v>0</v>
      </c>
      <c r="AI25" s="1028">
        <f t="shared" si="83"/>
        <v>0</v>
      </c>
      <c r="AJ25" s="1028">
        <f t="shared" si="83"/>
        <v>0</v>
      </c>
      <c r="AK25" s="1029">
        <f t="shared" si="83"/>
        <v>0</v>
      </c>
      <c r="AL25" s="1030">
        <f t="shared" si="83"/>
        <v>0</v>
      </c>
      <c r="AM25" s="1027">
        <f t="shared" si="83"/>
        <v>0</v>
      </c>
      <c r="AN25" s="1028">
        <f t="shared" si="83"/>
        <v>0</v>
      </c>
      <c r="AO25" s="1028">
        <f t="shared" si="83"/>
        <v>0</v>
      </c>
      <c r="AP25" s="1028">
        <f t="shared" si="83"/>
        <v>0</v>
      </c>
      <c r="AQ25" s="1029">
        <f t="shared" si="83"/>
        <v>0</v>
      </c>
      <c r="AR25" s="1030">
        <f t="shared" si="83"/>
        <v>0</v>
      </c>
      <c r="AS25" s="1077">
        <f t="shared" si="83"/>
        <v>0</v>
      </c>
      <c r="AT25" s="1028">
        <f t="shared" si="83"/>
        <v>0</v>
      </c>
      <c r="AU25" s="1028">
        <f t="shared" si="83"/>
        <v>0</v>
      </c>
      <c r="AV25" s="1028">
        <f t="shared" si="83"/>
        <v>0</v>
      </c>
      <c r="AW25" s="1029">
        <f t="shared" si="83"/>
        <v>0</v>
      </c>
      <c r="AX25" s="1030">
        <f t="shared" si="83"/>
        <v>0</v>
      </c>
      <c r="AY25" s="1027">
        <f t="shared" si="83"/>
        <v>0</v>
      </c>
      <c r="AZ25" s="1028">
        <f t="shared" si="83"/>
        <v>0</v>
      </c>
      <c r="BA25" s="1028">
        <f t="shared" si="83"/>
        <v>0</v>
      </c>
      <c r="BB25" s="1028">
        <f t="shared" si="83"/>
        <v>0</v>
      </c>
      <c r="BC25" s="1029">
        <f t="shared" si="83"/>
        <v>0</v>
      </c>
      <c r="BD25" s="1030">
        <f t="shared" si="83"/>
        <v>0</v>
      </c>
      <c r="BE25" s="1077">
        <f t="shared" si="83"/>
        <v>0</v>
      </c>
      <c r="BF25" s="1028">
        <f t="shared" si="83"/>
        <v>0</v>
      </c>
      <c r="BG25" s="1028">
        <f t="shared" si="83"/>
        <v>0</v>
      </c>
      <c r="BH25" s="1028">
        <f t="shared" si="83"/>
        <v>0</v>
      </c>
      <c r="BI25" s="1029">
        <f t="shared" si="83"/>
        <v>0</v>
      </c>
      <c r="BJ25" s="1030">
        <f t="shared" si="83"/>
        <v>0</v>
      </c>
      <c r="BK25" s="1027">
        <f t="shared" si="83"/>
        <v>0</v>
      </c>
      <c r="BL25" s="1028">
        <f t="shared" si="83"/>
        <v>0</v>
      </c>
      <c r="BM25" s="1028">
        <f t="shared" si="83"/>
        <v>0</v>
      </c>
      <c r="BN25" s="1028">
        <f t="shared" si="83"/>
        <v>0</v>
      </c>
      <c r="BO25" s="1029">
        <f t="shared" si="83"/>
        <v>0</v>
      </c>
      <c r="BP25" s="1030">
        <f t="shared" si="83"/>
        <v>0</v>
      </c>
      <c r="BQ25" s="1077">
        <f t="shared" si="83"/>
        <v>0</v>
      </c>
      <c r="BR25" s="1028">
        <f t="shared" si="83"/>
        <v>0</v>
      </c>
      <c r="BS25" s="1028">
        <f t="shared" si="83"/>
        <v>0</v>
      </c>
      <c r="BT25" s="1028">
        <f t="shared" si="83"/>
        <v>0</v>
      </c>
      <c r="BU25" s="1029">
        <f t="shared" si="83"/>
        <v>0</v>
      </c>
      <c r="BV25" s="1030">
        <f t="shared" si="83"/>
        <v>0</v>
      </c>
      <c r="BW25" s="1027">
        <f t="shared" si="83"/>
        <v>0</v>
      </c>
      <c r="BX25" s="1028">
        <f t="shared" si="83"/>
        <v>0</v>
      </c>
      <c r="BY25" s="1028">
        <f t="shared" si="83"/>
        <v>0</v>
      </c>
      <c r="BZ25" s="1028">
        <f t="shared" si="83"/>
        <v>0</v>
      </c>
      <c r="CA25" s="1029">
        <f t="shared" si="83"/>
        <v>0</v>
      </c>
      <c r="CB25" s="1030">
        <f t="shared" si="83"/>
        <v>0</v>
      </c>
      <c r="CC25" s="1077">
        <f t="shared" si="83"/>
        <v>0</v>
      </c>
      <c r="CD25" s="1028">
        <f t="shared" si="83"/>
        <v>0</v>
      </c>
      <c r="CE25" s="1028">
        <f t="shared" si="83"/>
        <v>0</v>
      </c>
      <c r="CF25" s="1028">
        <f t="shared" si="83"/>
        <v>0</v>
      </c>
      <c r="CG25" s="1029">
        <f t="shared" si="83"/>
        <v>0</v>
      </c>
      <c r="CH25" s="1030">
        <f t="shared" si="83"/>
        <v>0</v>
      </c>
      <c r="CI25" s="1027">
        <f t="shared" si="83"/>
        <v>0</v>
      </c>
      <c r="CJ25" s="1028">
        <f t="shared" si="83"/>
        <v>0</v>
      </c>
      <c r="CK25" s="1028">
        <f t="shared" si="83"/>
        <v>0</v>
      </c>
      <c r="CL25" s="1028">
        <f t="shared" si="83"/>
        <v>0</v>
      </c>
      <c r="CM25" s="1029">
        <f t="shared" si="83"/>
        <v>0</v>
      </c>
      <c r="CN25" s="1030">
        <f t="shared" si="83"/>
        <v>0</v>
      </c>
      <c r="CO25" s="1077">
        <f t="shared" si="83"/>
        <v>0</v>
      </c>
      <c r="CP25" s="1028">
        <f t="shared" si="83"/>
        <v>0</v>
      </c>
      <c r="CQ25" s="1028">
        <f t="shared" si="83"/>
        <v>0</v>
      </c>
      <c r="CR25" s="1028">
        <f t="shared" si="83"/>
        <v>0</v>
      </c>
      <c r="CS25" s="1029">
        <f t="shared" si="83"/>
        <v>0</v>
      </c>
      <c r="CT25" s="1030">
        <f t="shared" si="83"/>
        <v>0</v>
      </c>
      <c r="CU25" s="1027">
        <f t="shared" si="83"/>
        <v>0</v>
      </c>
      <c r="CV25" s="1028">
        <f t="shared" si="83"/>
        <v>0</v>
      </c>
      <c r="CW25" s="1028">
        <f t="shared" si="83"/>
        <v>0</v>
      </c>
      <c r="CX25" s="1028">
        <f t="shared" si="83"/>
        <v>0</v>
      </c>
      <c r="CY25" s="1029">
        <f t="shared" si="83"/>
        <v>0</v>
      </c>
      <c r="CZ25" s="1030">
        <f t="shared" si="83"/>
        <v>0</v>
      </c>
      <c r="DA25" s="1077">
        <f t="shared" si="83"/>
        <v>0</v>
      </c>
      <c r="DB25" s="1028">
        <f t="shared" si="83"/>
        <v>0</v>
      </c>
      <c r="DC25" s="1028">
        <f t="shared" si="83"/>
        <v>0</v>
      </c>
      <c r="DD25" s="1028">
        <f t="shared" si="83"/>
        <v>0</v>
      </c>
      <c r="DE25" s="1029">
        <f t="shared" si="83"/>
        <v>0</v>
      </c>
      <c r="DF25" s="1030">
        <f t="shared" si="83"/>
        <v>0</v>
      </c>
      <c r="DG25" s="1027">
        <f t="shared" si="83"/>
        <v>0</v>
      </c>
      <c r="DH25" s="1028">
        <f t="shared" si="83"/>
        <v>0</v>
      </c>
      <c r="DI25" s="1028">
        <f t="shared" si="83"/>
        <v>0</v>
      </c>
      <c r="DJ25" s="1028">
        <f t="shared" si="83"/>
        <v>0</v>
      </c>
      <c r="DK25" s="1029">
        <f t="shared" si="83"/>
        <v>0</v>
      </c>
      <c r="DL25" s="1030">
        <f t="shared" si="83"/>
        <v>0</v>
      </c>
      <c r="DM25" s="1077">
        <f t="shared" si="83"/>
        <v>0</v>
      </c>
      <c r="DN25" s="1028">
        <f t="shared" si="83"/>
        <v>0</v>
      </c>
      <c r="DO25" s="1028">
        <f t="shared" si="83"/>
        <v>0</v>
      </c>
      <c r="DP25" s="1028">
        <f t="shared" si="83"/>
        <v>0</v>
      </c>
      <c r="DQ25" s="1029">
        <f t="shared" si="83"/>
        <v>0</v>
      </c>
      <c r="DR25" s="1030">
        <f t="shared" si="83"/>
        <v>0</v>
      </c>
      <c r="DS25" s="1027">
        <f t="shared" si="83"/>
        <v>0</v>
      </c>
      <c r="DT25" s="1028">
        <f t="shared" si="83"/>
        <v>0</v>
      </c>
      <c r="DU25" s="1028">
        <f t="shared" si="83"/>
        <v>0</v>
      </c>
      <c r="DV25" s="1028">
        <f t="shared" si="83"/>
        <v>0</v>
      </c>
      <c r="DW25" s="1029">
        <f t="shared" si="83"/>
        <v>0</v>
      </c>
      <c r="DX25" s="1030">
        <f t="shared" si="83"/>
        <v>0</v>
      </c>
      <c r="DY25" s="1077">
        <f t="shared" si="83"/>
        <v>0</v>
      </c>
      <c r="DZ25" s="1028">
        <f t="shared" si="83"/>
        <v>0</v>
      </c>
      <c r="EA25" s="1028">
        <f t="shared" si="83"/>
        <v>0</v>
      </c>
      <c r="EB25" s="1028">
        <f t="shared" si="83"/>
        <v>0</v>
      </c>
      <c r="EC25" s="1029">
        <f t="shared" si="83"/>
        <v>0</v>
      </c>
      <c r="ED25" s="1030">
        <f t="shared" si="83"/>
        <v>0</v>
      </c>
      <c r="EE25" s="1027">
        <f t="shared" si="83"/>
        <v>0</v>
      </c>
      <c r="EF25" s="1028">
        <f t="shared" si="83"/>
        <v>0</v>
      </c>
      <c r="EG25" s="1028">
        <f t="shared" si="83"/>
        <v>0</v>
      </c>
      <c r="EH25" s="1028">
        <f t="shared" si="83"/>
        <v>0</v>
      </c>
      <c r="EI25" s="1029">
        <f t="shared" si="83"/>
        <v>0</v>
      </c>
      <c r="EJ25" s="1030">
        <f t="shared" si="83"/>
        <v>0</v>
      </c>
      <c r="EK25" s="1077">
        <f t="shared" si="83"/>
        <v>0</v>
      </c>
      <c r="EL25" s="1028">
        <f t="shared" si="83"/>
        <v>0</v>
      </c>
      <c r="EM25" s="1028">
        <f t="shared" si="83"/>
        <v>0</v>
      </c>
      <c r="EN25" s="1028">
        <f t="shared" si="83"/>
        <v>0</v>
      </c>
      <c r="EO25" s="1029">
        <f t="shared" si="83"/>
        <v>0</v>
      </c>
      <c r="EP25" s="1030">
        <f t="shared" si="83"/>
        <v>0</v>
      </c>
      <c r="EQ25" s="1027">
        <f t="shared" si="83"/>
        <v>0</v>
      </c>
      <c r="ER25" s="1028">
        <f t="shared" si="83"/>
        <v>0</v>
      </c>
      <c r="ES25" s="1028">
        <f t="shared" si="83"/>
        <v>0</v>
      </c>
      <c r="ET25" s="1028">
        <f t="shared" si="83"/>
        <v>0</v>
      </c>
      <c r="EU25" s="1029">
        <f t="shared" si="83"/>
        <v>0</v>
      </c>
      <c r="EV25" s="1030">
        <f t="shared" si="83"/>
        <v>0</v>
      </c>
      <c r="EW25" s="1077">
        <f t="shared" si="83"/>
        <v>0</v>
      </c>
      <c r="EX25" s="1028">
        <f t="shared" si="83"/>
        <v>0</v>
      </c>
      <c r="EY25" s="1028">
        <f t="shared" si="83"/>
        <v>0</v>
      </c>
      <c r="EZ25" s="1028">
        <f t="shared" si="83"/>
        <v>0</v>
      </c>
      <c r="FA25" s="1029">
        <f t="shared" si="83"/>
        <v>0</v>
      </c>
      <c r="FB25" s="1030">
        <f t="shared" si="83"/>
        <v>0</v>
      </c>
      <c r="FC25" s="1027">
        <f t="shared" si="83"/>
        <v>0</v>
      </c>
      <c r="FD25" s="1028">
        <f t="shared" si="83"/>
        <v>0</v>
      </c>
      <c r="FE25" s="1028">
        <f t="shared" si="83"/>
        <v>0</v>
      </c>
      <c r="FF25" s="1028">
        <f t="shared" si="83"/>
        <v>0</v>
      </c>
      <c r="FG25" s="1029">
        <f t="shared" si="83"/>
        <v>0</v>
      </c>
      <c r="FH25" s="1030">
        <f t="shared" si="83"/>
        <v>0</v>
      </c>
      <c r="FI25" s="1077">
        <f t="shared" si="83"/>
        <v>0</v>
      </c>
      <c r="FJ25" s="1028">
        <f t="shared" si="83"/>
        <v>0</v>
      </c>
      <c r="FK25" s="1028">
        <f t="shared" si="83"/>
        <v>0</v>
      </c>
      <c r="FL25" s="1028">
        <f t="shared" si="83"/>
        <v>0</v>
      </c>
      <c r="FM25" s="1029">
        <f t="shared" si="83"/>
        <v>0</v>
      </c>
      <c r="FN25" s="1030">
        <f t="shared" si="83"/>
        <v>0</v>
      </c>
      <c r="FO25" s="1027">
        <f t="shared" si="83"/>
        <v>0</v>
      </c>
      <c r="FP25" s="1028">
        <f t="shared" si="83"/>
        <v>0</v>
      </c>
      <c r="FQ25" s="1028">
        <f t="shared" si="83"/>
        <v>0</v>
      </c>
      <c r="FR25" s="1028">
        <f t="shared" si="83"/>
        <v>0</v>
      </c>
      <c r="FS25" s="1029">
        <f t="shared" si="83"/>
        <v>0</v>
      </c>
      <c r="FT25" s="1030">
        <f t="shared" si="83"/>
        <v>0</v>
      </c>
      <c r="FU25" s="1077">
        <f t="shared" si="83"/>
        <v>0</v>
      </c>
      <c r="FV25" s="1028">
        <f t="shared" si="83"/>
        <v>0</v>
      </c>
      <c r="FW25" s="1028">
        <f t="shared" si="83"/>
        <v>0</v>
      </c>
      <c r="FX25" s="1028">
        <f t="shared" si="83"/>
        <v>0</v>
      </c>
      <c r="FY25" s="1029">
        <f t="shared" si="83"/>
        <v>0</v>
      </c>
      <c r="FZ25" s="1030">
        <f t="shared" si="83"/>
        <v>0</v>
      </c>
      <c r="GA25" s="1027">
        <f t="shared" si="83"/>
        <v>0</v>
      </c>
      <c r="GB25" s="1028">
        <f t="shared" si="83"/>
        <v>0</v>
      </c>
      <c r="GC25" s="1028">
        <f t="shared" si="83"/>
        <v>0</v>
      </c>
      <c r="GD25" s="1028">
        <f t="shared" si="83"/>
        <v>0</v>
      </c>
      <c r="GE25" s="1029">
        <f t="shared" si="83"/>
        <v>0</v>
      </c>
      <c r="GF25" s="1030">
        <f t="shared" si="83"/>
        <v>0</v>
      </c>
      <c r="GG25" s="1027">
        <f t="shared" si="83"/>
        <v>0</v>
      </c>
      <c r="GH25" s="1028">
        <f t="shared" si="83"/>
        <v>0</v>
      </c>
      <c r="GI25" s="1028">
        <f t="shared" si="83"/>
        <v>0</v>
      </c>
      <c r="GJ25" s="1028">
        <f t="shared" si="83"/>
        <v>0</v>
      </c>
      <c r="GK25" s="1029">
        <f t="shared" si="83"/>
        <v>0</v>
      </c>
      <c r="GL25" s="1030">
        <f t="shared" si="83"/>
        <v>0</v>
      </c>
      <c r="GM25" s="1031">
        <f t="shared" si="83"/>
        <v>0</v>
      </c>
    </row>
    <row r="26" ht="15.75" customHeight="1">
      <c r="B26" s="1060" t="s">
        <v>504</v>
      </c>
      <c r="C26" s="1027"/>
      <c r="D26" s="1028"/>
      <c r="E26" s="1028"/>
      <c r="F26" s="1028"/>
      <c r="G26" s="1029"/>
      <c r="H26" s="1030">
        <f t="shared" ref="H26:H29" si="85">SUM(C26:G26)</f>
        <v>0</v>
      </c>
      <c r="I26" s="1027"/>
      <c r="J26" s="1028"/>
      <c r="K26" s="1028"/>
      <c r="L26" s="1028"/>
      <c r="M26" s="1029"/>
      <c r="N26" s="1030">
        <f t="shared" ref="N26:N29" si="86">SUM(I26:M26)</f>
        <v>0</v>
      </c>
      <c r="O26" s="1027"/>
      <c r="P26" s="1028"/>
      <c r="Q26" s="1028"/>
      <c r="R26" s="1028"/>
      <c r="S26" s="1029"/>
      <c r="T26" s="1030">
        <f t="shared" ref="T26:T29" si="87">SUM(O26:S26)</f>
        <v>0</v>
      </c>
      <c r="U26" s="1077"/>
      <c r="V26" s="1028"/>
      <c r="W26" s="1028"/>
      <c r="X26" s="1028"/>
      <c r="Y26" s="1029"/>
      <c r="Z26" s="1030">
        <f t="shared" ref="Z26:Z29" si="88">SUM(U26:Y26)</f>
        <v>0</v>
      </c>
      <c r="AA26" s="1027"/>
      <c r="AB26" s="1028"/>
      <c r="AC26" s="1028"/>
      <c r="AD26" s="1028"/>
      <c r="AE26" s="1029"/>
      <c r="AF26" s="1030">
        <f t="shared" ref="AF26:AF29" si="89">SUM(AA26:AE26)</f>
        <v>0</v>
      </c>
      <c r="AG26" s="1077"/>
      <c r="AH26" s="1028"/>
      <c r="AI26" s="1028"/>
      <c r="AJ26" s="1028"/>
      <c r="AK26" s="1029"/>
      <c r="AL26" s="1030">
        <f t="shared" ref="AL26:AL29" si="90">SUM(AG26:AK26)</f>
        <v>0</v>
      </c>
      <c r="AM26" s="1027"/>
      <c r="AN26" s="1028"/>
      <c r="AO26" s="1028"/>
      <c r="AP26" s="1028"/>
      <c r="AQ26" s="1029"/>
      <c r="AR26" s="1030">
        <f t="shared" ref="AR26:AR29" si="91">SUM(AM26:AQ26)</f>
        <v>0</v>
      </c>
      <c r="AS26" s="1077"/>
      <c r="AT26" s="1028"/>
      <c r="AU26" s="1028"/>
      <c r="AV26" s="1028"/>
      <c r="AW26" s="1029"/>
      <c r="AX26" s="1030">
        <f t="shared" ref="AX26:AX29" si="92">SUM(AS26:AW26)</f>
        <v>0</v>
      </c>
      <c r="AY26" s="1027"/>
      <c r="AZ26" s="1028"/>
      <c r="BA26" s="1028"/>
      <c r="BB26" s="1028"/>
      <c r="BC26" s="1029"/>
      <c r="BD26" s="1030">
        <f t="shared" ref="BD26:BD29" si="93">SUM(AY26:BC26)</f>
        <v>0</v>
      </c>
      <c r="BE26" s="1077"/>
      <c r="BF26" s="1028"/>
      <c r="BG26" s="1028"/>
      <c r="BH26" s="1028"/>
      <c r="BI26" s="1029"/>
      <c r="BJ26" s="1030">
        <f t="shared" ref="BJ26:BJ29" si="94">SUM(BE26:BI26)</f>
        <v>0</v>
      </c>
      <c r="BK26" s="1027"/>
      <c r="BL26" s="1028"/>
      <c r="BM26" s="1028"/>
      <c r="BN26" s="1028"/>
      <c r="BO26" s="1029"/>
      <c r="BP26" s="1030">
        <f t="shared" ref="BP26:BP29" si="95">SUM(BK26:BO26)</f>
        <v>0</v>
      </c>
      <c r="BQ26" s="1077"/>
      <c r="BR26" s="1028"/>
      <c r="BS26" s="1028"/>
      <c r="BT26" s="1028"/>
      <c r="BU26" s="1029"/>
      <c r="BV26" s="1030">
        <f t="shared" ref="BV26:BV29" si="96">SUM(BQ26:BU26)</f>
        <v>0</v>
      </c>
      <c r="BW26" s="1027"/>
      <c r="BX26" s="1028"/>
      <c r="BY26" s="1028"/>
      <c r="BZ26" s="1028"/>
      <c r="CA26" s="1029"/>
      <c r="CB26" s="1030">
        <f t="shared" ref="CB26:CB29" si="97">SUM(BW26:CA26)</f>
        <v>0</v>
      </c>
      <c r="CC26" s="1077"/>
      <c r="CD26" s="1028"/>
      <c r="CE26" s="1028"/>
      <c r="CF26" s="1028"/>
      <c r="CG26" s="1029"/>
      <c r="CH26" s="1030">
        <f t="shared" ref="CH26:CH29" si="98">SUM(CC26:CG26)</f>
        <v>0</v>
      </c>
      <c r="CI26" s="1027"/>
      <c r="CJ26" s="1028"/>
      <c r="CK26" s="1028"/>
      <c r="CL26" s="1028"/>
      <c r="CM26" s="1029"/>
      <c r="CN26" s="1030">
        <f t="shared" ref="CN26:CN29" si="99">SUM(CI26:CM26)</f>
        <v>0</v>
      </c>
      <c r="CO26" s="1077"/>
      <c r="CP26" s="1028"/>
      <c r="CQ26" s="1028"/>
      <c r="CR26" s="1028"/>
      <c r="CS26" s="1029"/>
      <c r="CT26" s="1030">
        <f t="shared" ref="CT26:CT29" si="100">SUM(CO26:CS26)</f>
        <v>0</v>
      </c>
      <c r="CU26" s="1027"/>
      <c r="CV26" s="1028"/>
      <c r="CW26" s="1028"/>
      <c r="CX26" s="1028"/>
      <c r="CY26" s="1029"/>
      <c r="CZ26" s="1030">
        <f t="shared" ref="CZ26:CZ29" si="101">SUM(CU26:CY26)</f>
        <v>0</v>
      </c>
      <c r="DA26" s="1077"/>
      <c r="DB26" s="1028"/>
      <c r="DC26" s="1028"/>
      <c r="DD26" s="1028"/>
      <c r="DE26" s="1029"/>
      <c r="DF26" s="1030">
        <f t="shared" ref="DF26:DF29" si="102">SUM(DA26:DE26)</f>
        <v>0</v>
      </c>
      <c r="DG26" s="1027"/>
      <c r="DH26" s="1028"/>
      <c r="DI26" s="1028"/>
      <c r="DJ26" s="1028"/>
      <c r="DK26" s="1029"/>
      <c r="DL26" s="1030">
        <f t="shared" ref="DL26:DL29" si="103">SUM(DG26:DK26)</f>
        <v>0</v>
      </c>
      <c r="DM26" s="1077"/>
      <c r="DN26" s="1028"/>
      <c r="DO26" s="1028"/>
      <c r="DP26" s="1028"/>
      <c r="DQ26" s="1029"/>
      <c r="DR26" s="1030">
        <f t="shared" ref="DR26:DR29" si="104">SUM(DM26:DQ26)</f>
        <v>0</v>
      </c>
      <c r="DS26" s="1027"/>
      <c r="DT26" s="1028"/>
      <c r="DU26" s="1028"/>
      <c r="DV26" s="1028"/>
      <c r="DW26" s="1029"/>
      <c r="DX26" s="1030">
        <f t="shared" ref="DX26:DX29" si="105">SUM(DS26:DW26)</f>
        <v>0</v>
      </c>
      <c r="DY26" s="1077"/>
      <c r="DZ26" s="1028"/>
      <c r="EA26" s="1028"/>
      <c r="EB26" s="1028"/>
      <c r="EC26" s="1029"/>
      <c r="ED26" s="1030">
        <f t="shared" ref="ED26:ED29" si="106">SUM(DY26:EC26)</f>
        <v>0</v>
      </c>
      <c r="EE26" s="1027"/>
      <c r="EF26" s="1028"/>
      <c r="EG26" s="1028"/>
      <c r="EH26" s="1028"/>
      <c r="EI26" s="1029"/>
      <c r="EJ26" s="1030">
        <f t="shared" ref="EJ26:EJ29" si="107">SUM(EE26:EI26)</f>
        <v>0</v>
      </c>
      <c r="EK26" s="1077"/>
      <c r="EL26" s="1028"/>
      <c r="EM26" s="1028"/>
      <c r="EN26" s="1028"/>
      <c r="EO26" s="1029"/>
      <c r="EP26" s="1030">
        <f t="shared" ref="EP26:EP29" si="108">SUM(EK26:EO26)</f>
        <v>0</v>
      </c>
      <c r="EQ26" s="1027"/>
      <c r="ER26" s="1028"/>
      <c r="ES26" s="1028"/>
      <c r="ET26" s="1028"/>
      <c r="EU26" s="1029"/>
      <c r="EV26" s="1030">
        <f t="shared" ref="EV26:EV29" si="109">SUM(EQ26:EU26)</f>
        <v>0</v>
      </c>
      <c r="EW26" s="1077"/>
      <c r="EX26" s="1028"/>
      <c r="EY26" s="1028"/>
      <c r="EZ26" s="1028"/>
      <c r="FA26" s="1029"/>
      <c r="FB26" s="1030">
        <f t="shared" ref="FB26:FB29" si="110">SUM(EW26:FA26)</f>
        <v>0</v>
      </c>
      <c r="FC26" s="1027"/>
      <c r="FD26" s="1028"/>
      <c r="FE26" s="1028"/>
      <c r="FF26" s="1028"/>
      <c r="FG26" s="1029"/>
      <c r="FH26" s="1030">
        <f t="shared" ref="FH26:FH29" si="111">SUM(FC26:FG26)</f>
        <v>0</v>
      </c>
      <c r="FI26" s="1077"/>
      <c r="FJ26" s="1028"/>
      <c r="FK26" s="1028"/>
      <c r="FL26" s="1028"/>
      <c r="FM26" s="1029"/>
      <c r="FN26" s="1030">
        <f t="shared" ref="FN26:FN29" si="112">SUM(FI26:FM26)</f>
        <v>0</v>
      </c>
      <c r="FO26" s="1027"/>
      <c r="FP26" s="1028"/>
      <c r="FQ26" s="1028"/>
      <c r="FR26" s="1028"/>
      <c r="FS26" s="1029"/>
      <c r="FT26" s="1030">
        <f t="shared" ref="FT26:FT29" si="113">SUM(FO26:FS26)</f>
        <v>0</v>
      </c>
      <c r="FU26" s="1077"/>
      <c r="FV26" s="1028"/>
      <c r="FW26" s="1028"/>
      <c r="FX26" s="1028"/>
      <c r="FY26" s="1029"/>
      <c r="FZ26" s="1030">
        <f t="shared" ref="FZ26:FZ29" si="114">SUM(FU26:FY26)</f>
        <v>0</v>
      </c>
      <c r="GA26" s="1027"/>
      <c r="GB26" s="1028"/>
      <c r="GC26" s="1028"/>
      <c r="GD26" s="1028"/>
      <c r="GE26" s="1029"/>
      <c r="GF26" s="1030">
        <f t="shared" ref="GF26:GF29" si="115">SUM(GA26:GE26)</f>
        <v>0</v>
      </c>
      <c r="GG26" s="1027">
        <f t="shared" ref="GG26:GL26" si="84">+GA26+FU26+FO26+FI26+FC26+EW26+EQ26+EK26+EE26+DY26+DS26+DM26+DG26+DA26+CU26+CO26+CI26+CC26+BW26+BQ26+BK26+BE26++AY26+AS26+AM26+AG26+AA26+U26+O26+I26+C26</f>
        <v>0</v>
      </c>
      <c r="GH26" s="1028">
        <f t="shared" si="84"/>
        <v>0</v>
      </c>
      <c r="GI26" s="1028">
        <f t="shared" si="84"/>
        <v>0</v>
      </c>
      <c r="GJ26" s="1028">
        <f t="shared" si="84"/>
        <v>0</v>
      </c>
      <c r="GK26" s="1029">
        <f t="shared" si="84"/>
        <v>0</v>
      </c>
      <c r="GL26" s="1030">
        <f t="shared" si="84"/>
        <v>0</v>
      </c>
      <c r="GM26" s="1031">
        <f t="shared" ref="GM26:GM29" si="117">+GK26+GJ26+GI26+GH26+GG26</f>
        <v>0</v>
      </c>
    </row>
    <row r="27" ht="15.75" customHeight="1">
      <c r="B27" s="1032" t="s">
        <v>645</v>
      </c>
      <c r="C27" s="1038"/>
      <c r="D27" s="1035"/>
      <c r="E27" s="1035"/>
      <c r="F27" s="1035"/>
      <c r="G27" s="1040"/>
      <c r="H27" s="1037">
        <f t="shared" si="85"/>
        <v>0</v>
      </c>
      <c r="I27" s="1038"/>
      <c r="J27" s="1035"/>
      <c r="K27" s="1035"/>
      <c r="L27" s="1035"/>
      <c r="M27" s="1040"/>
      <c r="N27" s="1037">
        <f t="shared" si="86"/>
        <v>0</v>
      </c>
      <c r="O27" s="1038"/>
      <c r="P27" s="1035"/>
      <c r="Q27" s="1035"/>
      <c r="R27" s="1035"/>
      <c r="S27" s="1040"/>
      <c r="T27" s="1037">
        <f t="shared" si="87"/>
        <v>0</v>
      </c>
      <c r="U27" s="605"/>
      <c r="V27" s="1035"/>
      <c r="W27" s="1035"/>
      <c r="X27" s="1035"/>
      <c r="Y27" s="1040"/>
      <c r="Z27" s="1037">
        <f t="shared" si="88"/>
        <v>0</v>
      </c>
      <c r="AA27" s="1038"/>
      <c r="AB27" s="1035"/>
      <c r="AC27" s="1035"/>
      <c r="AD27" s="1035"/>
      <c r="AE27" s="1040"/>
      <c r="AF27" s="1037">
        <f t="shared" si="89"/>
        <v>0</v>
      </c>
      <c r="AG27" s="605"/>
      <c r="AH27" s="1035"/>
      <c r="AI27" s="1035"/>
      <c r="AJ27" s="1035"/>
      <c r="AK27" s="1040"/>
      <c r="AL27" s="1037">
        <f t="shared" si="90"/>
        <v>0</v>
      </c>
      <c r="AM27" s="1038"/>
      <c r="AN27" s="1035"/>
      <c r="AO27" s="1035"/>
      <c r="AP27" s="1035"/>
      <c r="AQ27" s="1040"/>
      <c r="AR27" s="1037">
        <f t="shared" si="91"/>
        <v>0</v>
      </c>
      <c r="AS27" s="605"/>
      <c r="AT27" s="1035"/>
      <c r="AU27" s="1035"/>
      <c r="AV27" s="1035"/>
      <c r="AW27" s="1040"/>
      <c r="AX27" s="1037">
        <f t="shared" si="92"/>
        <v>0</v>
      </c>
      <c r="AY27" s="1038"/>
      <c r="AZ27" s="1035"/>
      <c r="BA27" s="1035"/>
      <c r="BB27" s="1035"/>
      <c r="BC27" s="1040"/>
      <c r="BD27" s="1037">
        <f t="shared" si="93"/>
        <v>0</v>
      </c>
      <c r="BE27" s="605"/>
      <c r="BF27" s="1035"/>
      <c r="BG27" s="1035"/>
      <c r="BH27" s="1035"/>
      <c r="BI27" s="1040"/>
      <c r="BJ27" s="1037">
        <f t="shared" si="94"/>
        <v>0</v>
      </c>
      <c r="BK27" s="1038"/>
      <c r="BL27" s="1035"/>
      <c r="BM27" s="1035"/>
      <c r="BN27" s="1035"/>
      <c r="BO27" s="1040"/>
      <c r="BP27" s="1037">
        <f t="shared" si="95"/>
        <v>0</v>
      </c>
      <c r="BQ27" s="605"/>
      <c r="BR27" s="1035"/>
      <c r="BS27" s="1035"/>
      <c r="BT27" s="1035"/>
      <c r="BU27" s="1040"/>
      <c r="BV27" s="1037">
        <f t="shared" si="96"/>
        <v>0</v>
      </c>
      <c r="BW27" s="1038"/>
      <c r="BX27" s="1035"/>
      <c r="BY27" s="1035"/>
      <c r="BZ27" s="1035"/>
      <c r="CA27" s="1040"/>
      <c r="CB27" s="1037">
        <f t="shared" si="97"/>
        <v>0</v>
      </c>
      <c r="CC27" s="605"/>
      <c r="CD27" s="1035"/>
      <c r="CE27" s="1035"/>
      <c r="CF27" s="1035"/>
      <c r="CG27" s="1040"/>
      <c r="CH27" s="1037">
        <f t="shared" si="98"/>
        <v>0</v>
      </c>
      <c r="CI27" s="1038"/>
      <c r="CJ27" s="1035"/>
      <c r="CK27" s="1035"/>
      <c r="CL27" s="1035"/>
      <c r="CM27" s="1040"/>
      <c r="CN27" s="1037">
        <f t="shared" si="99"/>
        <v>0</v>
      </c>
      <c r="CO27" s="605"/>
      <c r="CP27" s="1035"/>
      <c r="CQ27" s="1035"/>
      <c r="CR27" s="1035"/>
      <c r="CS27" s="1040"/>
      <c r="CT27" s="1037">
        <f t="shared" si="100"/>
        <v>0</v>
      </c>
      <c r="CU27" s="1038"/>
      <c r="CV27" s="1035"/>
      <c r="CW27" s="1035"/>
      <c r="CX27" s="1035"/>
      <c r="CY27" s="1040"/>
      <c r="CZ27" s="1037">
        <f t="shared" si="101"/>
        <v>0</v>
      </c>
      <c r="DA27" s="605"/>
      <c r="DB27" s="1035"/>
      <c r="DC27" s="1035"/>
      <c r="DD27" s="1035"/>
      <c r="DE27" s="1040"/>
      <c r="DF27" s="1037">
        <f t="shared" si="102"/>
        <v>0</v>
      </c>
      <c r="DG27" s="1038"/>
      <c r="DH27" s="1035"/>
      <c r="DI27" s="1035"/>
      <c r="DJ27" s="1035"/>
      <c r="DK27" s="1040"/>
      <c r="DL27" s="1037">
        <f t="shared" si="103"/>
        <v>0</v>
      </c>
      <c r="DM27" s="605"/>
      <c r="DN27" s="1035"/>
      <c r="DO27" s="1035"/>
      <c r="DP27" s="1035"/>
      <c r="DQ27" s="1040"/>
      <c r="DR27" s="1037">
        <f t="shared" si="104"/>
        <v>0</v>
      </c>
      <c r="DS27" s="1038"/>
      <c r="DT27" s="1035"/>
      <c r="DU27" s="1035"/>
      <c r="DV27" s="1035"/>
      <c r="DW27" s="1040"/>
      <c r="DX27" s="1037">
        <f t="shared" si="105"/>
        <v>0</v>
      </c>
      <c r="DY27" s="605"/>
      <c r="DZ27" s="1035"/>
      <c r="EA27" s="1035"/>
      <c r="EB27" s="1035"/>
      <c r="EC27" s="1040"/>
      <c r="ED27" s="1037">
        <f t="shared" si="106"/>
        <v>0</v>
      </c>
      <c r="EE27" s="1038"/>
      <c r="EF27" s="1035"/>
      <c r="EG27" s="1035"/>
      <c r="EH27" s="1035"/>
      <c r="EI27" s="1040"/>
      <c r="EJ27" s="1037">
        <f t="shared" si="107"/>
        <v>0</v>
      </c>
      <c r="EK27" s="605"/>
      <c r="EL27" s="1035"/>
      <c r="EM27" s="1035"/>
      <c r="EN27" s="1035"/>
      <c r="EO27" s="1040"/>
      <c r="EP27" s="1037">
        <f t="shared" si="108"/>
        <v>0</v>
      </c>
      <c r="EQ27" s="1038"/>
      <c r="ER27" s="1035"/>
      <c r="ES27" s="1035"/>
      <c r="ET27" s="1035"/>
      <c r="EU27" s="1040"/>
      <c r="EV27" s="1037">
        <f t="shared" si="109"/>
        <v>0</v>
      </c>
      <c r="EW27" s="605"/>
      <c r="EX27" s="1035"/>
      <c r="EY27" s="1035"/>
      <c r="EZ27" s="1035"/>
      <c r="FA27" s="1040"/>
      <c r="FB27" s="1037">
        <f t="shared" si="110"/>
        <v>0</v>
      </c>
      <c r="FC27" s="1038"/>
      <c r="FD27" s="1035"/>
      <c r="FE27" s="1035"/>
      <c r="FF27" s="1035"/>
      <c r="FG27" s="1040"/>
      <c r="FH27" s="1037">
        <f t="shared" si="111"/>
        <v>0</v>
      </c>
      <c r="FI27" s="605"/>
      <c r="FJ27" s="1035"/>
      <c r="FK27" s="1035"/>
      <c r="FL27" s="1035"/>
      <c r="FM27" s="1040"/>
      <c r="FN27" s="1037">
        <f t="shared" si="112"/>
        <v>0</v>
      </c>
      <c r="FO27" s="1038"/>
      <c r="FP27" s="1035"/>
      <c r="FQ27" s="1035"/>
      <c r="FR27" s="1035"/>
      <c r="FS27" s="1040"/>
      <c r="FT27" s="1037">
        <f t="shared" si="113"/>
        <v>0</v>
      </c>
      <c r="FU27" s="605"/>
      <c r="FV27" s="1035"/>
      <c r="FW27" s="1035"/>
      <c r="FX27" s="1035"/>
      <c r="FY27" s="1040"/>
      <c r="FZ27" s="1037">
        <f t="shared" si="114"/>
        <v>0</v>
      </c>
      <c r="GA27" s="1038"/>
      <c r="GB27" s="1035"/>
      <c r="GC27" s="1035"/>
      <c r="GD27" s="1035"/>
      <c r="GE27" s="1040"/>
      <c r="GF27" s="1037">
        <f t="shared" si="115"/>
        <v>0</v>
      </c>
      <c r="GG27" s="1038">
        <f t="shared" ref="GG27:GL27" si="116">+GA27+FU27+FO27+FI27+FC27+EW27+EQ27+EK27+EE27+DY27+DS27+DM27+DG27+DA27+CU27+CO27+CI27+CC27+BW27+BQ27+BK27+BE27++AY27+AS27+AM27+AG27+AA27+U27+O27+I27+C27</f>
        <v>0</v>
      </c>
      <c r="GH27" s="1035">
        <f t="shared" si="116"/>
        <v>0</v>
      </c>
      <c r="GI27" s="1035">
        <f t="shared" si="116"/>
        <v>0</v>
      </c>
      <c r="GJ27" s="1035">
        <f t="shared" si="116"/>
        <v>0</v>
      </c>
      <c r="GK27" s="1040">
        <f t="shared" si="116"/>
        <v>0</v>
      </c>
      <c r="GL27" s="1037">
        <f t="shared" si="116"/>
        <v>0</v>
      </c>
      <c r="GM27" s="1041">
        <f t="shared" si="117"/>
        <v>0</v>
      </c>
    </row>
    <row r="28" ht="15.75" customHeight="1">
      <c r="B28" s="1042" t="s">
        <v>635</v>
      </c>
      <c r="C28" s="1046"/>
      <c r="D28" s="1047"/>
      <c r="E28" s="1047"/>
      <c r="F28" s="1047"/>
      <c r="G28" s="1048"/>
      <c r="H28" s="1045">
        <f t="shared" si="85"/>
        <v>0</v>
      </c>
      <c r="I28" s="1046"/>
      <c r="J28" s="1047"/>
      <c r="K28" s="1047"/>
      <c r="L28" s="1047"/>
      <c r="M28" s="1048"/>
      <c r="N28" s="1045">
        <f t="shared" si="86"/>
        <v>0</v>
      </c>
      <c r="O28" s="1046"/>
      <c r="P28" s="1047"/>
      <c r="Q28" s="1047"/>
      <c r="R28" s="1047"/>
      <c r="S28" s="1048"/>
      <c r="T28" s="1045">
        <f t="shared" si="87"/>
        <v>0</v>
      </c>
      <c r="U28" s="1078"/>
      <c r="V28" s="1047"/>
      <c r="W28" s="1047"/>
      <c r="X28" s="1047"/>
      <c r="Y28" s="1048"/>
      <c r="Z28" s="1045">
        <f t="shared" si="88"/>
        <v>0</v>
      </c>
      <c r="AA28" s="1046"/>
      <c r="AB28" s="1047"/>
      <c r="AC28" s="1047"/>
      <c r="AD28" s="1047"/>
      <c r="AE28" s="1048"/>
      <c r="AF28" s="1045">
        <f t="shared" si="89"/>
        <v>0</v>
      </c>
      <c r="AG28" s="1078"/>
      <c r="AH28" s="1047"/>
      <c r="AI28" s="1047"/>
      <c r="AJ28" s="1047"/>
      <c r="AK28" s="1048"/>
      <c r="AL28" s="1045">
        <f t="shared" si="90"/>
        <v>0</v>
      </c>
      <c r="AM28" s="1046"/>
      <c r="AN28" s="1047"/>
      <c r="AO28" s="1047"/>
      <c r="AP28" s="1047"/>
      <c r="AQ28" s="1048"/>
      <c r="AR28" s="1045">
        <f t="shared" si="91"/>
        <v>0</v>
      </c>
      <c r="AS28" s="1078"/>
      <c r="AT28" s="1047"/>
      <c r="AU28" s="1047"/>
      <c r="AV28" s="1047"/>
      <c r="AW28" s="1048"/>
      <c r="AX28" s="1045">
        <f t="shared" si="92"/>
        <v>0</v>
      </c>
      <c r="AY28" s="1046"/>
      <c r="AZ28" s="1047"/>
      <c r="BA28" s="1047"/>
      <c r="BB28" s="1047"/>
      <c r="BC28" s="1048"/>
      <c r="BD28" s="1045">
        <f t="shared" si="93"/>
        <v>0</v>
      </c>
      <c r="BE28" s="1078"/>
      <c r="BF28" s="1047"/>
      <c r="BG28" s="1047"/>
      <c r="BH28" s="1047"/>
      <c r="BI28" s="1048"/>
      <c r="BJ28" s="1045">
        <f t="shared" si="94"/>
        <v>0</v>
      </c>
      <c r="BK28" s="1046"/>
      <c r="BL28" s="1047"/>
      <c r="BM28" s="1047"/>
      <c r="BN28" s="1047"/>
      <c r="BO28" s="1048"/>
      <c r="BP28" s="1045">
        <f t="shared" si="95"/>
        <v>0</v>
      </c>
      <c r="BQ28" s="1078"/>
      <c r="BR28" s="1047"/>
      <c r="BS28" s="1047"/>
      <c r="BT28" s="1047"/>
      <c r="BU28" s="1048"/>
      <c r="BV28" s="1045">
        <f t="shared" si="96"/>
        <v>0</v>
      </c>
      <c r="BW28" s="1046"/>
      <c r="BX28" s="1047"/>
      <c r="BY28" s="1047"/>
      <c r="BZ28" s="1047"/>
      <c r="CA28" s="1048"/>
      <c r="CB28" s="1045">
        <f t="shared" si="97"/>
        <v>0</v>
      </c>
      <c r="CC28" s="1078"/>
      <c r="CD28" s="1047"/>
      <c r="CE28" s="1047"/>
      <c r="CF28" s="1047"/>
      <c r="CG28" s="1048"/>
      <c r="CH28" s="1045">
        <f t="shared" si="98"/>
        <v>0</v>
      </c>
      <c r="CI28" s="1046"/>
      <c r="CJ28" s="1047"/>
      <c r="CK28" s="1047"/>
      <c r="CL28" s="1047"/>
      <c r="CM28" s="1048"/>
      <c r="CN28" s="1045">
        <f t="shared" si="99"/>
        <v>0</v>
      </c>
      <c r="CO28" s="1078"/>
      <c r="CP28" s="1047"/>
      <c r="CQ28" s="1047"/>
      <c r="CR28" s="1047"/>
      <c r="CS28" s="1048"/>
      <c r="CT28" s="1045">
        <f t="shared" si="100"/>
        <v>0</v>
      </c>
      <c r="CU28" s="1046"/>
      <c r="CV28" s="1047"/>
      <c r="CW28" s="1047"/>
      <c r="CX28" s="1047"/>
      <c r="CY28" s="1048"/>
      <c r="CZ28" s="1045">
        <f t="shared" si="101"/>
        <v>0</v>
      </c>
      <c r="DA28" s="1078"/>
      <c r="DB28" s="1047"/>
      <c r="DC28" s="1047"/>
      <c r="DD28" s="1047"/>
      <c r="DE28" s="1048"/>
      <c r="DF28" s="1045">
        <f t="shared" si="102"/>
        <v>0</v>
      </c>
      <c r="DG28" s="1046"/>
      <c r="DH28" s="1047"/>
      <c r="DI28" s="1047"/>
      <c r="DJ28" s="1047"/>
      <c r="DK28" s="1048"/>
      <c r="DL28" s="1045">
        <f t="shared" si="103"/>
        <v>0</v>
      </c>
      <c r="DM28" s="1078"/>
      <c r="DN28" s="1047"/>
      <c r="DO28" s="1047"/>
      <c r="DP28" s="1047"/>
      <c r="DQ28" s="1048"/>
      <c r="DR28" s="1045">
        <f t="shared" si="104"/>
        <v>0</v>
      </c>
      <c r="DS28" s="1046"/>
      <c r="DT28" s="1047"/>
      <c r="DU28" s="1047"/>
      <c r="DV28" s="1047"/>
      <c r="DW28" s="1048"/>
      <c r="DX28" s="1045">
        <f t="shared" si="105"/>
        <v>0</v>
      </c>
      <c r="DY28" s="1078"/>
      <c r="DZ28" s="1047"/>
      <c r="EA28" s="1047"/>
      <c r="EB28" s="1047"/>
      <c r="EC28" s="1048"/>
      <c r="ED28" s="1045">
        <f t="shared" si="106"/>
        <v>0</v>
      </c>
      <c r="EE28" s="1046"/>
      <c r="EF28" s="1047"/>
      <c r="EG28" s="1047"/>
      <c r="EH28" s="1047"/>
      <c r="EI28" s="1048"/>
      <c r="EJ28" s="1045">
        <f t="shared" si="107"/>
        <v>0</v>
      </c>
      <c r="EK28" s="1078"/>
      <c r="EL28" s="1047"/>
      <c r="EM28" s="1047"/>
      <c r="EN28" s="1047"/>
      <c r="EO28" s="1048"/>
      <c r="EP28" s="1045">
        <f t="shared" si="108"/>
        <v>0</v>
      </c>
      <c r="EQ28" s="1046"/>
      <c r="ER28" s="1047"/>
      <c r="ES28" s="1047"/>
      <c r="ET28" s="1047"/>
      <c r="EU28" s="1048"/>
      <c r="EV28" s="1045">
        <f t="shared" si="109"/>
        <v>0</v>
      </c>
      <c r="EW28" s="1078"/>
      <c r="EX28" s="1047"/>
      <c r="EY28" s="1047"/>
      <c r="EZ28" s="1047"/>
      <c r="FA28" s="1048"/>
      <c r="FB28" s="1045">
        <f t="shared" si="110"/>
        <v>0</v>
      </c>
      <c r="FC28" s="1046"/>
      <c r="FD28" s="1047"/>
      <c r="FE28" s="1047"/>
      <c r="FF28" s="1047"/>
      <c r="FG28" s="1048"/>
      <c r="FH28" s="1045">
        <f t="shared" si="111"/>
        <v>0</v>
      </c>
      <c r="FI28" s="1078"/>
      <c r="FJ28" s="1047"/>
      <c r="FK28" s="1047"/>
      <c r="FL28" s="1047"/>
      <c r="FM28" s="1048"/>
      <c r="FN28" s="1045">
        <f t="shared" si="112"/>
        <v>0</v>
      </c>
      <c r="FO28" s="1046"/>
      <c r="FP28" s="1047"/>
      <c r="FQ28" s="1047"/>
      <c r="FR28" s="1047"/>
      <c r="FS28" s="1048"/>
      <c r="FT28" s="1045">
        <f t="shared" si="113"/>
        <v>0</v>
      </c>
      <c r="FU28" s="1078"/>
      <c r="FV28" s="1047"/>
      <c r="FW28" s="1047"/>
      <c r="FX28" s="1047"/>
      <c r="FY28" s="1048"/>
      <c r="FZ28" s="1045">
        <f t="shared" si="114"/>
        <v>0</v>
      </c>
      <c r="GA28" s="1046"/>
      <c r="GB28" s="1047"/>
      <c r="GC28" s="1047"/>
      <c r="GD28" s="1047"/>
      <c r="GE28" s="1048"/>
      <c r="GF28" s="1045">
        <f t="shared" si="115"/>
        <v>0</v>
      </c>
      <c r="GG28" s="1046">
        <f t="shared" ref="GG28:GL28" si="118">+GA28+FU28+FO28+FI28+FC28+EW28+EQ28+EK28+EE28+DY28+DS28+DM28+DG28+DA28+CU28+CO28+CI28+CC28+BW28+BQ28+BK28+BE28++AY28+AS28+AM28+AG28+AA28+U28+O28+I28+C28</f>
        <v>0</v>
      </c>
      <c r="GH28" s="1047">
        <f t="shared" si="118"/>
        <v>0</v>
      </c>
      <c r="GI28" s="1047">
        <f t="shared" si="118"/>
        <v>0</v>
      </c>
      <c r="GJ28" s="1047">
        <f t="shared" si="118"/>
        <v>0</v>
      </c>
      <c r="GK28" s="1048">
        <f t="shared" si="118"/>
        <v>0</v>
      </c>
      <c r="GL28" s="1045">
        <f t="shared" si="118"/>
        <v>0</v>
      </c>
      <c r="GM28" s="1049">
        <f t="shared" si="117"/>
        <v>0</v>
      </c>
    </row>
    <row r="29" ht="15.75" customHeight="1">
      <c r="B29" s="1042" t="s">
        <v>636</v>
      </c>
      <c r="C29" s="1046"/>
      <c r="D29" s="1047"/>
      <c r="E29" s="1047"/>
      <c r="F29" s="1047"/>
      <c r="G29" s="1048"/>
      <c r="H29" s="1045">
        <f t="shared" si="85"/>
        <v>0</v>
      </c>
      <c r="I29" s="1046"/>
      <c r="J29" s="1047"/>
      <c r="K29" s="1047"/>
      <c r="L29" s="1047"/>
      <c r="M29" s="1048"/>
      <c r="N29" s="1045">
        <f t="shared" si="86"/>
        <v>0</v>
      </c>
      <c r="O29" s="1046"/>
      <c r="P29" s="1047"/>
      <c r="Q29" s="1047"/>
      <c r="R29" s="1047"/>
      <c r="S29" s="1048"/>
      <c r="T29" s="1045">
        <f t="shared" si="87"/>
        <v>0</v>
      </c>
      <c r="U29" s="1078"/>
      <c r="V29" s="1047"/>
      <c r="W29" s="1047"/>
      <c r="X29" s="1047"/>
      <c r="Y29" s="1048"/>
      <c r="Z29" s="1045">
        <f t="shared" si="88"/>
        <v>0</v>
      </c>
      <c r="AA29" s="1046"/>
      <c r="AB29" s="1047"/>
      <c r="AC29" s="1047"/>
      <c r="AD29" s="1047"/>
      <c r="AE29" s="1048"/>
      <c r="AF29" s="1045">
        <f t="shared" si="89"/>
        <v>0</v>
      </c>
      <c r="AG29" s="1078"/>
      <c r="AH29" s="1047"/>
      <c r="AI29" s="1047"/>
      <c r="AJ29" s="1047"/>
      <c r="AK29" s="1048"/>
      <c r="AL29" s="1045">
        <f t="shared" si="90"/>
        <v>0</v>
      </c>
      <c r="AM29" s="1046"/>
      <c r="AN29" s="1047"/>
      <c r="AO29" s="1047"/>
      <c r="AP29" s="1047"/>
      <c r="AQ29" s="1048"/>
      <c r="AR29" s="1045">
        <f t="shared" si="91"/>
        <v>0</v>
      </c>
      <c r="AS29" s="1078"/>
      <c r="AT29" s="1047"/>
      <c r="AU29" s="1047"/>
      <c r="AV29" s="1047"/>
      <c r="AW29" s="1048"/>
      <c r="AX29" s="1045">
        <f t="shared" si="92"/>
        <v>0</v>
      </c>
      <c r="AY29" s="1046"/>
      <c r="AZ29" s="1047"/>
      <c r="BA29" s="1047"/>
      <c r="BB29" s="1047"/>
      <c r="BC29" s="1048"/>
      <c r="BD29" s="1045">
        <f t="shared" si="93"/>
        <v>0</v>
      </c>
      <c r="BE29" s="1078"/>
      <c r="BF29" s="1047"/>
      <c r="BG29" s="1047"/>
      <c r="BH29" s="1047"/>
      <c r="BI29" s="1048"/>
      <c r="BJ29" s="1045">
        <f t="shared" si="94"/>
        <v>0</v>
      </c>
      <c r="BK29" s="1046"/>
      <c r="BL29" s="1047"/>
      <c r="BM29" s="1047"/>
      <c r="BN29" s="1047"/>
      <c r="BO29" s="1048"/>
      <c r="BP29" s="1045">
        <f t="shared" si="95"/>
        <v>0</v>
      </c>
      <c r="BQ29" s="1078"/>
      <c r="BR29" s="1047"/>
      <c r="BS29" s="1047"/>
      <c r="BT29" s="1047"/>
      <c r="BU29" s="1048"/>
      <c r="BV29" s="1045">
        <f t="shared" si="96"/>
        <v>0</v>
      </c>
      <c r="BW29" s="1046"/>
      <c r="BX29" s="1047"/>
      <c r="BY29" s="1047"/>
      <c r="BZ29" s="1047"/>
      <c r="CA29" s="1048"/>
      <c r="CB29" s="1045">
        <f t="shared" si="97"/>
        <v>0</v>
      </c>
      <c r="CC29" s="1078"/>
      <c r="CD29" s="1047"/>
      <c r="CE29" s="1047"/>
      <c r="CF29" s="1047"/>
      <c r="CG29" s="1048"/>
      <c r="CH29" s="1045">
        <f t="shared" si="98"/>
        <v>0</v>
      </c>
      <c r="CI29" s="1046"/>
      <c r="CJ29" s="1047"/>
      <c r="CK29" s="1047"/>
      <c r="CL29" s="1047"/>
      <c r="CM29" s="1048"/>
      <c r="CN29" s="1045">
        <f t="shared" si="99"/>
        <v>0</v>
      </c>
      <c r="CO29" s="1078"/>
      <c r="CP29" s="1047"/>
      <c r="CQ29" s="1047"/>
      <c r="CR29" s="1047"/>
      <c r="CS29" s="1048"/>
      <c r="CT29" s="1045">
        <f t="shared" si="100"/>
        <v>0</v>
      </c>
      <c r="CU29" s="1046"/>
      <c r="CV29" s="1047"/>
      <c r="CW29" s="1047"/>
      <c r="CX29" s="1047"/>
      <c r="CY29" s="1048"/>
      <c r="CZ29" s="1045">
        <f t="shared" si="101"/>
        <v>0</v>
      </c>
      <c r="DA29" s="1078"/>
      <c r="DB29" s="1047"/>
      <c r="DC29" s="1047"/>
      <c r="DD29" s="1047"/>
      <c r="DE29" s="1048"/>
      <c r="DF29" s="1045">
        <f t="shared" si="102"/>
        <v>0</v>
      </c>
      <c r="DG29" s="1046"/>
      <c r="DH29" s="1047"/>
      <c r="DI29" s="1047"/>
      <c r="DJ29" s="1047"/>
      <c r="DK29" s="1048"/>
      <c r="DL29" s="1045">
        <f t="shared" si="103"/>
        <v>0</v>
      </c>
      <c r="DM29" s="1078"/>
      <c r="DN29" s="1047"/>
      <c r="DO29" s="1047"/>
      <c r="DP29" s="1047"/>
      <c r="DQ29" s="1048"/>
      <c r="DR29" s="1045">
        <f t="shared" si="104"/>
        <v>0</v>
      </c>
      <c r="DS29" s="1046"/>
      <c r="DT29" s="1047"/>
      <c r="DU29" s="1047"/>
      <c r="DV29" s="1047"/>
      <c r="DW29" s="1048"/>
      <c r="DX29" s="1045">
        <f t="shared" si="105"/>
        <v>0</v>
      </c>
      <c r="DY29" s="1078"/>
      <c r="DZ29" s="1047"/>
      <c r="EA29" s="1047"/>
      <c r="EB29" s="1047"/>
      <c r="EC29" s="1048"/>
      <c r="ED29" s="1045">
        <f t="shared" si="106"/>
        <v>0</v>
      </c>
      <c r="EE29" s="1046"/>
      <c r="EF29" s="1047"/>
      <c r="EG29" s="1047"/>
      <c r="EH29" s="1047"/>
      <c r="EI29" s="1048"/>
      <c r="EJ29" s="1045">
        <f t="shared" si="107"/>
        <v>0</v>
      </c>
      <c r="EK29" s="1078"/>
      <c r="EL29" s="1047"/>
      <c r="EM29" s="1047"/>
      <c r="EN29" s="1047"/>
      <c r="EO29" s="1048"/>
      <c r="EP29" s="1045">
        <f t="shared" si="108"/>
        <v>0</v>
      </c>
      <c r="EQ29" s="1046"/>
      <c r="ER29" s="1047"/>
      <c r="ES29" s="1047"/>
      <c r="ET29" s="1047"/>
      <c r="EU29" s="1048"/>
      <c r="EV29" s="1045">
        <f t="shared" si="109"/>
        <v>0</v>
      </c>
      <c r="EW29" s="1078"/>
      <c r="EX29" s="1047"/>
      <c r="EY29" s="1047"/>
      <c r="EZ29" s="1047"/>
      <c r="FA29" s="1048"/>
      <c r="FB29" s="1045">
        <f t="shared" si="110"/>
        <v>0</v>
      </c>
      <c r="FC29" s="1046"/>
      <c r="FD29" s="1047"/>
      <c r="FE29" s="1047"/>
      <c r="FF29" s="1047"/>
      <c r="FG29" s="1048"/>
      <c r="FH29" s="1045">
        <f t="shared" si="111"/>
        <v>0</v>
      </c>
      <c r="FI29" s="1078"/>
      <c r="FJ29" s="1047"/>
      <c r="FK29" s="1047"/>
      <c r="FL29" s="1047"/>
      <c r="FM29" s="1048"/>
      <c r="FN29" s="1045">
        <f t="shared" si="112"/>
        <v>0</v>
      </c>
      <c r="FO29" s="1046"/>
      <c r="FP29" s="1047"/>
      <c r="FQ29" s="1047"/>
      <c r="FR29" s="1047"/>
      <c r="FS29" s="1048"/>
      <c r="FT29" s="1045">
        <f t="shared" si="113"/>
        <v>0</v>
      </c>
      <c r="FU29" s="1078"/>
      <c r="FV29" s="1047"/>
      <c r="FW29" s="1047"/>
      <c r="FX29" s="1047"/>
      <c r="FY29" s="1048"/>
      <c r="FZ29" s="1045">
        <f t="shared" si="114"/>
        <v>0</v>
      </c>
      <c r="GA29" s="1046"/>
      <c r="GB29" s="1047"/>
      <c r="GC29" s="1047"/>
      <c r="GD29" s="1047"/>
      <c r="GE29" s="1048"/>
      <c r="GF29" s="1045">
        <f t="shared" si="115"/>
        <v>0</v>
      </c>
      <c r="GG29" s="1046">
        <f t="shared" ref="GG29:GL29" si="119">+GA29+FU29+FO29+FI29+FC29+EW29+EQ29+EK29+EE29+DY29+DS29+DM29+DG29+DA29+CU29+CO29+CI29+CC29+BW29+BQ29+BK29+BE29++AY29+AS29+AM29+AG29+AA29+U29+O29+I29+C29</f>
        <v>0</v>
      </c>
      <c r="GH29" s="1047">
        <f t="shared" si="119"/>
        <v>0</v>
      </c>
      <c r="GI29" s="1047">
        <f t="shared" si="119"/>
        <v>0</v>
      </c>
      <c r="GJ29" s="1047">
        <f t="shared" si="119"/>
        <v>0</v>
      </c>
      <c r="GK29" s="1048">
        <f t="shared" si="119"/>
        <v>0</v>
      </c>
      <c r="GL29" s="1045">
        <f t="shared" si="119"/>
        <v>0</v>
      </c>
      <c r="GM29" s="1049">
        <f t="shared" si="117"/>
        <v>0</v>
      </c>
    </row>
    <row r="30" ht="15.75" customHeight="1">
      <c r="B30" s="1042"/>
      <c r="C30" s="1046"/>
      <c r="D30" s="1047"/>
      <c r="E30" s="1047"/>
      <c r="F30" s="1047"/>
      <c r="G30" s="1048"/>
      <c r="H30" s="1045"/>
      <c r="I30" s="1046"/>
      <c r="J30" s="1047"/>
      <c r="K30" s="1047"/>
      <c r="L30" s="1047"/>
      <c r="M30" s="1048"/>
      <c r="N30" s="1045"/>
      <c r="O30" s="1046"/>
      <c r="P30" s="1047"/>
      <c r="Q30" s="1047"/>
      <c r="R30" s="1047"/>
      <c r="S30" s="1048"/>
      <c r="T30" s="1045"/>
      <c r="U30" s="1078"/>
      <c r="V30" s="1047"/>
      <c r="W30" s="1047"/>
      <c r="X30" s="1047"/>
      <c r="Y30" s="1048"/>
      <c r="Z30" s="1045"/>
      <c r="AA30" s="1046"/>
      <c r="AB30" s="1047"/>
      <c r="AC30" s="1047"/>
      <c r="AD30" s="1047"/>
      <c r="AE30" s="1048"/>
      <c r="AF30" s="1045"/>
      <c r="AG30" s="1078"/>
      <c r="AH30" s="1047"/>
      <c r="AI30" s="1047"/>
      <c r="AJ30" s="1047"/>
      <c r="AK30" s="1048"/>
      <c r="AL30" s="1045"/>
      <c r="AM30" s="1046"/>
      <c r="AN30" s="1047"/>
      <c r="AO30" s="1047"/>
      <c r="AP30" s="1047"/>
      <c r="AQ30" s="1048"/>
      <c r="AR30" s="1045"/>
      <c r="AS30" s="1078"/>
      <c r="AT30" s="1047"/>
      <c r="AU30" s="1047"/>
      <c r="AV30" s="1047"/>
      <c r="AW30" s="1048"/>
      <c r="AX30" s="1045"/>
      <c r="AY30" s="1046"/>
      <c r="AZ30" s="1047"/>
      <c r="BA30" s="1047"/>
      <c r="BB30" s="1047"/>
      <c r="BC30" s="1048"/>
      <c r="BD30" s="1045"/>
      <c r="BE30" s="1078"/>
      <c r="BF30" s="1047"/>
      <c r="BG30" s="1047"/>
      <c r="BH30" s="1047"/>
      <c r="BI30" s="1048"/>
      <c r="BJ30" s="1045"/>
      <c r="BK30" s="1046"/>
      <c r="BL30" s="1047"/>
      <c r="BM30" s="1047"/>
      <c r="BN30" s="1047"/>
      <c r="BO30" s="1048"/>
      <c r="BP30" s="1045"/>
      <c r="BQ30" s="1078"/>
      <c r="BR30" s="1047"/>
      <c r="BS30" s="1047"/>
      <c r="BT30" s="1047"/>
      <c r="BU30" s="1048"/>
      <c r="BV30" s="1045"/>
      <c r="BW30" s="1046"/>
      <c r="BX30" s="1047"/>
      <c r="BY30" s="1047"/>
      <c r="BZ30" s="1047"/>
      <c r="CA30" s="1048"/>
      <c r="CB30" s="1045"/>
      <c r="CC30" s="1078"/>
      <c r="CD30" s="1047"/>
      <c r="CE30" s="1047"/>
      <c r="CF30" s="1047"/>
      <c r="CG30" s="1048"/>
      <c r="CH30" s="1045"/>
      <c r="CI30" s="1046"/>
      <c r="CJ30" s="1047"/>
      <c r="CK30" s="1047"/>
      <c r="CL30" s="1047"/>
      <c r="CM30" s="1048"/>
      <c r="CN30" s="1045"/>
      <c r="CO30" s="1078"/>
      <c r="CP30" s="1047"/>
      <c r="CQ30" s="1047"/>
      <c r="CR30" s="1047"/>
      <c r="CS30" s="1048"/>
      <c r="CT30" s="1045"/>
      <c r="CU30" s="1046"/>
      <c r="CV30" s="1047"/>
      <c r="CW30" s="1047"/>
      <c r="CX30" s="1047"/>
      <c r="CY30" s="1048"/>
      <c r="CZ30" s="1045"/>
      <c r="DA30" s="1078"/>
      <c r="DB30" s="1047"/>
      <c r="DC30" s="1047"/>
      <c r="DD30" s="1047"/>
      <c r="DE30" s="1048"/>
      <c r="DF30" s="1045"/>
      <c r="DG30" s="1046"/>
      <c r="DH30" s="1047"/>
      <c r="DI30" s="1047"/>
      <c r="DJ30" s="1047"/>
      <c r="DK30" s="1048"/>
      <c r="DL30" s="1045"/>
      <c r="DM30" s="1078"/>
      <c r="DN30" s="1047"/>
      <c r="DO30" s="1047"/>
      <c r="DP30" s="1047"/>
      <c r="DQ30" s="1048"/>
      <c r="DR30" s="1045"/>
      <c r="DS30" s="1046"/>
      <c r="DT30" s="1047"/>
      <c r="DU30" s="1047"/>
      <c r="DV30" s="1047"/>
      <c r="DW30" s="1048"/>
      <c r="DX30" s="1045"/>
      <c r="DY30" s="1078"/>
      <c r="DZ30" s="1047"/>
      <c r="EA30" s="1047"/>
      <c r="EB30" s="1047"/>
      <c r="EC30" s="1048"/>
      <c r="ED30" s="1045"/>
      <c r="EE30" s="1046"/>
      <c r="EF30" s="1047"/>
      <c r="EG30" s="1047"/>
      <c r="EH30" s="1047"/>
      <c r="EI30" s="1048"/>
      <c r="EJ30" s="1045"/>
      <c r="EK30" s="1078"/>
      <c r="EL30" s="1047"/>
      <c r="EM30" s="1047"/>
      <c r="EN30" s="1047"/>
      <c r="EO30" s="1048"/>
      <c r="EP30" s="1045"/>
      <c r="EQ30" s="1046"/>
      <c r="ER30" s="1047"/>
      <c r="ES30" s="1047"/>
      <c r="ET30" s="1047"/>
      <c r="EU30" s="1048"/>
      <c r="EV30" s="1045"/>
      <c r="EW30" s="1078"/>
      <c r="EX30" s="1047"/>
      <c r="EY30" s="1047"/>
      <c r="EZ30" s="1047"/>
      <c r="FA30" s="1048"/>
      <c r="FB30" s="1045"/>
      <c r="FC30" s="1046"/>
      <c r="FD30" s="1047"/>
      <c r="FE30" s="1047"/>
      <c r="FF30" s="1047"/>
      <c r="FG30" s="1048"/>
      <c r="FH30" s="1045"/>
      <c r="FI30" s="1078"/>
      <c r="FJ30" s="1047"/>
      <c r="FK30" s="1047"/>
      <c r="FL30" s="1047"/>
      <c r="FM30" s="1048"/>
      <c r="FN30" s="1045"/>
      <c r="FO30" s="1046"/>
      <c r="FP30" s="1047"/>
      <c r="FQ30" s="1047"/>
      <c r="FR30" s="1047"/>
      <c r="FS30" s="1048"/>
      <c r="FT30" s="1045"/>
      <c r="FU30" s="1078"/>
      <c r="FV30" s="1047"/>
      <c r="FW30" s="1047"/>
      <c r="FX30" s="1047"/>
      <c r="FY30" s="1048"/>
      <c r="FZ30" s="1045"/>
      <c r="GA30" s="1046"/>
      <c r="GB30" s="1047"/>
      <c r="GC30" s="1047"/>
      <c r="GD30" s="1047"/>
      <c r="GE30" s="1048"/>
      <c r="GF30" s="1045"/>
      <c r="GG30" s="1046"/>
      <c r="GH30" s="1047"/>
      <c r="GI30" s="1047"/>
      <c r="GJ30" s="1047"/>
      <c r="GK30" s="1048"/>
      <c r="GL30" s="1045"/>
      <c r="GM30" s="1049"/>
    </row>
    <row r="31" ht="15.75" customHeight="1">
      <c r="B31" s="1060" t="s">
        <v>646</v>
      </c>
      <c r="C31" s="1027">
        <f t="shared" ref="C31:GM31" si="120">SUM(C27:C30)</f>
        <v>0</v>
      </c>
      <c r="D31" s="1028">
        <f t="shared" si="120"/>
        <v>0</v>
      </c>
      <c r="E31" s="1028">
        <f t="shared" si="120"/>
        <v>0</v>
      </c>
      <c r="F31" s="1028">
        <f t="shared" si="120"/>
        <v>0</v>
      </c>
      <c r="G31" s="1029">
        <f t="shared" si="120"/>
        <v>0</v>
      </c>
      <c r="H31" s="1030">
        <f t="shared" si="120"/>
        <v>0</v>
      </c>
      <c r="I31" s="1027">
        <f t="shared" si="120"/>
        <v>0</v>
      </c>
      <c r="J31" s="1028">
        <f t="shared" si="120"/>
        <v>0</v>
      </c>
      <c r="K31" s="1028">
        <f t="shared" si="120"/>
        <v>0</v>
      </c>
      <c r="L31" s="1028">
        <f t="shared" si="120"/>
        <v>0</v>
      </c>
      <c r="M31" s="1029">
        <f t="shared" si="120"/>
        <v>0</v>
      </c>
      <c r="N31" s="1030">
        <f t="shared" si="120"/>
        <v>0</v>
      </c>
      <c r="O31" s="1027">
        <f t="shared" si="120"/>
        <v>0</v>
      </c>
      <c r="P31" s="1028">
        <f t="shared" si="120"/>
        <v>0</v>
      </c>
      <c r="Q31" s="1028">
        <f t="shared" si="120"/>
        <v>0</v>
      </c>
      <c r="R31" s="1028">
        <f t="shared" si="120"/>
        <v>0</v>
      </c>
      <c r="S31" s="1029">
        <f t="shared" si="120"/>
        <v>0</v>
      </c>
      <c r="T31" s="1030">
        <f t="shared" si="120"/>
        <v>0</v>
      </c>
      <c r="U31" s="1077">
        <f t="shared" si="120"/>
        <v>0</v>
      </c>
      <c r="V31" s="1028">
        <f t="shared" si="120"/>
        <v>0</v>
      </c>
      <c r="W31" s="1028">
        <f t="shared" si="120"/>
        <v>0</v>
      </c>
      <c r="X31" s="1028">
        <f t="shared" si="120"/>
        <v>0</v>
      </c>
      <c r="Y31" s="1029">
        <f t="shared" si="120"/>
        <v>0</v>
      </c>
      <c r="Z31" s="1030">
        <f t="shared" si="120"/>
        <v>0</v>
      </c>
      <c r="AA31" s="1027">
        <f t="shared" si="120"/>
        <v>0</v>
      </c>
      <c r="AB31" s="1028">
        <f t="shared" si="120"/>
        <v>0</v>
      </c>
      <c r="AC31" s="1028">
        <f t="shared" si="120"/>
        <v>0</v>
      </c>
      <c r="AD31" s="1028">
        <f t="shared" si="120"/>
        <v>0</v>
      </c>
      <c r="AE31" s="1029">
        <f t="shared" si="120"/>
        <v>0</v>
      </c>
      <c r="AF31" s="1030">
        <f t="shared" si="120"/>
        <v>0</v>
      </c>
      <c r="AG31" s="1077">
        <f t="shared" si="120"/>
        <v>0</v>
      </c>
      <c r="AH31" s="1028">
        <f t="shared" si="120"/>
        <v>0</v>
      </c>
      <c r="AI31" s="1028">
        <f t="shared" si="120"/>
        <v>0</v>
      </c>
      <c r="AJ31" s="1028">
        <f t="shared" si="120"/>
        <v>0</v>
      </c>
      <c r="AK31" s="1029">
        <f t="shared" si="120"/>
        <v>0</v>
      </c>
      <c r="AL31" s="1030">
        <f t="shared" si="120"/>
        <v>0</v>
      </c>
      <c r="AM31" s="1027">
        <f t="shared" si="120"/>
        <v>0</v>
      </c>
      <c r="AN31" s="1028">
        <f t="shared" si="120"/>
        <v>0</v>
      </c>
      <c r="AO31" s="1028">
        <f t="shared" si="120"/>
        <v>0</v>
      </c>
      <c r="AP31" s="1028">
        <f t="shared" si="120"/>
        <v>0</v>
      </c>
      <c r="AQ31" s="1029">
        <f t="shared" si="120"/>
        <v>0</v>
      </c>
      <c r="AR31" s="1030">
        <f t="shared" si="120"/>
        <v>0</v>
      </c>
      <c r="AS31" s="1077">
        <f t="shared" si="120"/>
        <v>0</v>
      </c>
      <c r="AT31" s="1028">
        <f t="shared" si="120"/>
        <v>0</v>
      </c>
      <c r="AU31" s="1028">
        <f t="shared" si="120"/>
        <v>0</v>
      </c>
      <c r="AV31" s="1028">
        <f t="shared" si="120"/>
        <v>0</v>
      </c>
      <c r="AW31" s="1029">
        <f t="shared" si="120"/>
        <v>0</v>
      </c>
      <c r="AX31" s="1030">
        <f t="shared" si="120"/>
        <v>0</v>
      </c>
      <c r="AY31" s="1027">
        <f t="shared" si="120"/>
        <v>0</v>
      </c>
      <c r="AZ31" s="1028">
        <f t="shared" si="120"/>
        <v>0</v>
      </c>
      <c r="BA31" s="1028">
        <f t="shared" si="120"/>
        <v>0</v>
      </c>
      <c r="BB31" s="1028">
        <f t="shared" si="120"/>
        <v>0</v>
      </c>
      <c r="BC31" s="1029">
        <f t="shared" si="120"/>
        <v>0</v>
      </c>
      <c r="BD31" s="1030">
        <f t="shared" si="120"/>
        <v>0</v>
      </c>
      <c r="BE31" s="1077">
        <f t="shared" si="120"/>
        <v>0</v>
      </c>
      <c r="BF31" s="1028">
        <f t="shared" si="120"/>
        <v>0</v>
      </c>
      <c r="BG31" s="1028">
        <f t="shared" si="120"/>
        <v>0</v>
      </c>
      <c r="BH31" s="1028">
        <f t="shared" si="120"/>
        <v>0</v>
      </c>
      <c r="BI31" s="1029">
        <f t="shared" si="120"/>
        <v>0</v>
      </c>
      <c r="BJ31" s="1030">
        <f t="shared" si="120"/>
        <v>0</v>
      </c>
      <c r="BK31" s="1027">
        <f t="shared" si="120"/>
        <v>0</v>
      </c>
      <c r="BL31" s="1028">
        <f t="shared" si="120"/>
        <v>0</v>
      </c>
      <c r="BM31" s="1028">
        <f t="shared" si="120"/>
        <v>0</v>
      </c>
      <c r="BN31" s="1028">
        <f t="shared" si="120"/>
        <v>0</v>
      </c>
      <c r="BO31" s="1029">
        <f t="shared" si="120"/>
        <v>0</v>
      </c>
      <c r="BP31" s="1030">
        <f t="shared" si="120"/>
        <v>0</v>
      </c>
      <c r="BQ31" s="1077">
        <f t="shared" si="120"/>
        <v>0</v>
      </c>
      <c r="BR31" s="1028">
        <f t="shared" si="120"/>
        <v>0</v>
      </c>
      <c r="BS31" s="1028">
        <f t="shared" si="120"/>
        <v>0</v>
      </c>
      <c r="BT31" s="1028">
        <f t="shared" si="120"/>
        <v>0</v>
      </c>
      <c r="BU31" s="1029">
        <f t="shared" si="120"/>
        <v>0</v>
      </c>
      <c r="BV31" s="1030">
        <f t="shared" si="120"/>
        <v>0</v>
      </c>
      <c r="BW31" s="1027">
        <f t="shared" si="120"/>
        <v>0</v>
      </c>
      <c r="BX31" s="1028">
        <f t="shared" si="120"/>
        <v>0</v>
      </c>
      <c r="BY31" s="1028">
        <f t="shared" si="120"/>
        <v>0</v>
      </c>
      <c r="BZ31" s="1028">
        <f t="shared" si="120"/>
        <v>0</v>
      </c>
      <c r="CA31" s="1029">
        <f t="shared" si="120"/>
        <v>0</v>
      </c>
      <c r="CB31" s="1030">
        <f t="shared" si="120"/>
        <v>0</v>
      </c>
      <c r="CC31" s="1077">
        <f t="shared" si="120"/>
        <v>0</v>
      </c>
      <c r="CD31" s="1028">
        <f t="shared" si="120"/>
        <v>0</v>
      </c>
      <c r="CE31" s="1028">
        <f t="shared" si="120"/>
        <v>0</v>
      </c>
      <c r="CF31" s="1028">
        <f t="shared" si="120"/>
        <v>0</v>
      </c>
      <c r="CG31" s="1029">
        <f t="shared" si="120"/>
        <v>0</v>
      </c>
      <c r="CH31" s="1030">
        <f t="shared" si="120"/>
        <v>0</v>
      </c>
      <c r="CI31" s="1027">
        <f t="shared" si="120"/>
        <v>0</v>
      </c>
      <c r="CJ31" s="1028">
        <f t="shared" si="120"/>
        <v>0</v>
      </c>
      <c r="CK31" s="1028">
        <f t="shared" si="120"/>
        <v>0</v>
      </c>
      <c r="CL31" s="1028">
        <f t="shared" si="120"/>
        <v>0</v>
      </c>
      <c r="CM31" s="1029">
        <f t="shared" si="120"/>
        <v>0</v>
      </c>
      <c r="CN31" s="1030">
        <f t="shared" si="120"/>
        <v>0</v>
      </c>
      <c r="CO31" s="1077">
        <f t="shared" si="120"/>
        <v>0</v>
      </c>
      <c r="CP31" s="1028">
        <f t="shared" si="120"/>
        <v>0</v>
      </c>
      <c r="CQ31" s="1028">
        <f t="shared" si="120"/>
        <v>0</v>
      </c>
      <c r="CR31" s="1028">
        <f t="shared" si="120"/>
        <v>0</v>
      </c>
      <c r="CS31" s="1029">
        <f t="shared" si="120"/>
        <v>0</v>
      </c>
      <c r="CT31" s="1030">
        <f t="shared" si="120"/>
        <v>0</v>
      </c>
      <c r="CU31" s="1027">
        <f t="shared" si="120"/>
        <v>0</v>
      </c>
      <c r="CV31" s="1028">
        <f t="shared" si="120"/>
        <v>0</v>
      </c>
      <c r="CW31" s="1028">
        <f t="shared" si="120"/>
        <v>0</v>
      </c>
      <c r="CX31" s="1028">
        <f t="shared" si="120"/>
        <v>0</v>
      </c>
      <c r="CY31" s="1029">
        <f t="shared" si="120"/>
        <v>0</v>
      </c>
      <c r="CZ31" s="1030">
        <f t="shared" si="120"/>
        <v>0</v>
      </c>
      <c r="DA31" s="1077">
        <f t="shared" si="120"/>
        <v>0</v>
      </c>
      <c r="DB31" s="1028">
        <f t="shared" si="120"/>
        <v>0</v>
      </c>
      <c r="DC31" s="1028">
        <f t="shared" si="120"/>
        <v>0</v>
      </c>
      <c r="DD31" s="1028">
        <f t="shared" si="120"/>
        <v>0</v>
      </c>
      <c r="DE31" s="1029">
        <f t="shared" si="120"/>
        <v>0</v>
      </c>
      <c r="DF31" s="1030">
        <f t="shared" si="120"/>
        <v>0</v>
      </c>
      <c r="DG31" s="1027">
        <f t="shared" si="120"/>
        <v>0</v>
      </c>
      <c r="DH31" s="1028">
        <f t="shared" si="120"/>
        <v>0</v>
      </c>
      <c r="DI31" s="1028">
        <f t="shared" si="120"/>
        <v>0</v>
      </c>
      <c r="DJ31" s="1028">
        <f t="shared" si="120"/>
        <v>0</v>
      </c>
      <c r="DK31" s="1029">
        <f t="shared" si="120"/>
        <v>0</v>
      </c>
      <c r="DL31" s="1030">
        <f t="shared" si="120"/>
        <v>0</v>
      </c>
      <c r="DM31" s="1077">
        <f t="shared" si="120"/>
        <v>0</v>
      </c>
      <c r="DN31" s="1028">
        <f t="shared" si="120"/>
        <v>0</v>
      </c>
      <c r="DO31" s="1028">
        <f t="shared" si="120"/>
        <v>0</v>
      </c>
      <c r="DP31" s="1028">
        <f t="shared" si="120"/>
        <v>0</v>
      </c>
      <c r="DQ31" s="1029">
        <f t="shared" si="120"/>
        <v>0</v>
      </c>
      <c r="DR31" s="1030">
        <f t="shared" si="120"/>
        <v>0</v>
      </c>
      <c r="DS31" s="1027">
        <f t="shared" si="120"/>
        <v>0</v>
      </c>
      <c r="DT31" s="1028">
        <f t="shared" si="120"/>
        <v>0</v>
      </c>
      <c r="DU31" s="1028">
        <f t="shared" si="120"/>
        <v>0</v>
      </c>
      <c r="DV31" s="1028">
        <f t="shared" si="120"/>
        <v>0</v>
      </c>
      <c r="DW31" s="1029">
        <f t="shared" si="120"/>
        <v>0</v>
      </c>
      <c r="DX31" s="1030">
        <f t="shared" si="120"/>
        <v>0</v>
      </c>
      <c r="DY31" s="1077">
        <f t="shared" si="120"/>
        <v>0</v>
      </c>
      <c r="DZ31" s="1028">
        <f t="shared" si="120"/>
        <v>0</v>
      </c>
      <c r="EA31" s="1028">
        <f t="shared" si="120"/>
        <v>0</v>
      </c>
      <c r="EB31" s="1028">
        <f t="shared" si="120"/>
        <v>0</v>
      </c>
      <c r="EC31" s="1029">
        <f t="shared" si="120"/>
        <v>0</v>
      </c>
      <c r="ED31" s="1030">
        <f t="shared" si="120"/>
        <v>0</v>
      </c>
      <c r="EE31" s="1027">
        <f t="shared" si="120"/>
        <v>0</v>
      </c>
      <c r="EF31" s="1028">
        <f t="shared" si="120"/>
        <v>0</v>
      </c>
      <c r="EG31" s="1028">
        <f t="shared" si="120"/>
        <v>0</v>
      </c>
      <c r="EH31" s="1028">
        <f t="shared" si="120"/>
        <v>0</v>
      </c>
      <c r="EI31" s="1029">
        <f t="shared" si="120"/>
        <v>0</v>
      </c>
      <c r="EJ31" s="1030">
        <f t="shared" si="120"/>
        <v>0</v>
      </c>
      <c r="EK31" s="1077">
        <f t="shared" si="120"/>
        <v>0</v>
      </c>
      <c r="EL31" s="1028">
        <f t="shared" si="120"/>
        <v>0</v>
      </c>
      <c r="EM31" s="1028">
        <f t="shared" si="120"/>
        <v>0</v>
      </c>
      <c r="EN31" s="1028">
        <f t="shared" si="120"/>
        <v>0</v>
      </c>
      <c r="EO31" s="1029">
        <f t="shared" si="120"/>
        <v>0</v>
      </c>
      <c r="EP31" s="1030">
        <f t="shared" si="120"/>
        <v>0</v>
      </c>
      <c r="EQ31" s="1027">
        <f t="shared" si="120"/>
        <v>0</v>
      </c>
      <c r="ER31" s="1028">
        <f t="shared" si="120"/>
        <v>0</v>
      </c>
      <c r="ES31" s="1028">
        <f t="shared" si="120"/>
        <v>0</v>
      </c>
      <c r="ET31" s="1028">
        <f t="shared" si="120"/>
        <v>0</v>
      </c>
      <c r="EU31" s="1029">
        <f t="shared" si="120"/>
        <v>0</v>
      </c>
      <c r="EV31" s="1030">
        <f t="shared" si="120"/>
        <v>0</v>
      </c>
      <c r="EW31" s="1077">
        <f t="shared" si="120"/>
        <v>0</v>
      </c>
      <c r="EX31" s="1028">
        <f t="shared" si="120"/>
        <v>0</v>
      </c>
      <c r="EY31" s="1028">
        <f t="shared" si="120"/>
        <v>0</v>
      </c>
      <c r="EZ31" s="1028">
        <f t="shared" si="120"/>
        <v>0</v>
      </c>
      <c r="FA31" s="1029">
        <f t="shared" si="120"/>
        <v>0</v>
      </c>
      <c r="FB31" s="1030">
        <f t="shared" si="120"/>
        <v>0</v>
      </c>
      <c r="FC31" s="1027">
        <f t="shared" si="120"/>
        <v>0</v>
      </c>
      <c r="FD31" s="1028">
        <f t="shared" si="120"/>
        <v>0</v>
      </c>
      <c r="FE31" s="1028">
        <f t="shared" si="120"/>
        <v>0</v>
      </c>
      <c r="FF31" s="1028">
        <f t="shared" si="120"/>
        <v>0</v>
      </c>
      <c r="FG31" s="1029">
        <f t="shared" si="120"/>
        <v>0</v>
      </c>
      <c r="FH31" s="1030">
        <f t="shared" si="120"/>
        <v>0</v>
      </c>
      <c r="FI31" s="1077">
        <f t="shared" si="120"/>
        <v>0</v>
      </c>
      <c r="FJ31" s="1028">
        <f t="shared" si="120"/>
        <v>0</v>
      </c>
      <c r="FK31" s="1028">
        <f t="shared" si="120"/>
        <v>0</v>
      </c>
      <c r="FL31" s="1028">
        <f t="shared" si="120"/>
        <v>0</v>
      </c>
      <c r="FM31" s="1029">
        <f t="shared" si="120"/>
        <v>0</v>
      </c>
      <c r="FN31" s="1030">
        <f t="shared" si="120"/>
        <v>0</v>
      </c>
      <c r="FO31" s="1027">
        <f t="shared" si="120"/>
        <v>0</v>
      </c>
      <c r="FP31" s="1028">
        <f t="shared" si="120"/>
        <v>0</v>
      </c>
      <c r="FQ31" s="1028">
        <f t="shared" si="120"/>
        <v>0</v>
      </c>
      <c r="FR31" s="1028">
        <f t="shared" si="120"/>
        <v>0</v>
      </c>
      <c r="FS31" s="1029">
        <f t="shared" si="120"/>
        <v>0</v>
      </c>
      <c r="FT31" s="1030">
        <f t="shared" si="120"/>
        <v>0</v>
      </c>
      <c r="FU31" s="1077">
        <f t="shared" si="120"/>
        <v>0</v>
      </c>
      <c r="FV31" s="1028">
        <f t="shared" si="120"/>
        <v>0</v>
      </c>
      <c r="FW31" s="1028">
        <f t="shared" si="120"/>
        <v>0</v>
      </c>
      <c r="FX31" s="1028">
        <f t="shared" si="120"/>
        <v>0</v>
      </c>
      <c r="FY31" s="1029">
        <f t="shared" si="120"/>
        <v>0</v>
      </c>
      <c r="FZ31" s="1030">
        <f t="shared" si="120"/>
        <v>0</v>
      </c>
      <c r="GA31" s="1027">
        <f t="shared" si="120"/>
        <v>0</v>
      </c>
      <c r="GB31" s="1028">
        <f t="shared" si="120"/>
        <v>0</v>
      </c>
      <c r="GC31" s="1028">
        <f t="shared" si="120"/>
        <v>0</v>
      </c>
      <c r="GD31" s="1028">
        <f t="shared" si="120"/>
        <v>0</v>
      </c>
      <c r="GE31" s="1029">
        <f t="shared" si="120"/>
        <v>0</v>
      </c>
      <c r="GF31" s="1030">
        <f t="shared" si="120"/>
        <v>0</v>
      </c>
      <c r="GG31" s="1027">
        <f t="shared" si="120"/>
        <v>0</v>
      </c>
      <c r="GH31" s="1028">
        <f t="shared" si="120"/>
        <v>0</v>
      </c>
      <c r="GI31" s="1028">
        <f t="shared" si="120"/>
        <v>0</v>
      </c>
      <c r="GJ31" s="1028">
        <f t="shared" si="120"/>
        <v>0</v>
      </c>
      <c r="GK31" s="1029">
        <f t="shared" si="120"/>
        <v>0</v>
      </c>
      <c r="GL31" s="1030">
        <f t="shared" si="120"/>
        <v>0</v>
      </c>
      <c r="GM31" s="1031">
        <f t="shared" si="120"/>
        <v>0</v>
      </c>
    </row>
    <row r="32" ht="15.75" customHeight="1">
      <c r="B32" s="1060" t="s">
        <v>647</v>
      </c>
      <c r="C32" s="1027"/>
      <c r="D32" s="1028"/>
      <c r="E32" s="1028"/>
      <c r="F32" s="1028"/>
      <c r="G32" s="1029"/>
      <c r="H32" s="1030">
        <f t="shared" ref="H32:H36" si="122">SUM(C32:G32)</f>
        <v>0</v>
      </c>
      <c r="I32" s="1027"/>
      <c r="J32" s="1028"/>
      <c r="K32" s="1028"/>
      <c r="L32" s="1028"/>
      <c r="M32" s="1029"/>
      <c r="N32" s="1030">
        <f t="shared" ref="N32:N36" si="123">SUM(I32:M32)</f>
        <v>0</v>
      </c>
      <c r="O32" s="1027"/>
      <c r="P32" s="1028"/>
      <c r="Q32" s="1028"/>
      <c r="R32" s="1028"/>
      <c r="S32" s="1029"/>
      <c r="T32" s="1030">
        <f t="shared" ref="T32:T36" si="124">SUM(O32:S32)</f>
        <v>0</v>
      </c>
      <c r="U32" s="1077"/>
      <c r="V32" s="1028"/>
      <c r="W32" s="1028"/>
      <c r="X32" s="1028"/>
      <c r="Y32" s="1029"/>
      <c r="Z32" s="1030">
        <f t="shared" ref="Z32:Z36" si="125">SUM(U32:Y32)</f>
        <v>0</v>
      </c>
      <c r="AA32" s="1027"/>
      <c r="AB32" s="1028"/>
      <c r="AC32" s="1028"/>
      <c r="AD32" s="1028"/>
      <c r="AE32" s="1029"/>
      <c r="AF32" s="1030">
        <f t="shared" ref="AF32:AF36" si="126">SUM(AA32:AE32)</f>
        <v>0</v>
      </c>
      <c r="AG32" s="1077"/>
      <c r="AH32" s="1028"/>
      <c r="AI32" s="1028"/>
      <c r="AJ32" s="1028"/>
      <c r="AK32" s="1029"/>
      <c r="AL32" s="1030">
        <f t="shared" ref="AL32:AL36" si="127">SUM(AG32:AK32)</f>
        <v>0</v>
      </c>
      <c r="AM32" s="1027"/>
      <c r="AN32" s="1028"/>
      <c r="AO32" s="1028"/>
      <c r="AP32" s="1028"/>
      <c r="AQ32" s="1029"/>
      <c r="AR32" s="1030">
        <f t="shared" ref="AR32:AR36" si="128">SUM(AM32:AQ32)</f>
        <v>0</v>
      </c>
      <c r="AS32" s="1077"/>
      <c r="AT32" s="1028"/>
      <c r="AU32" s="1028"/>
      <c r="AV32" s="1028"/>
      <c r="AW32" s="1029"/>
      <c r="AX32" s="1030">
        <f t="shared" ref="AX32:AX36" si="129">SUM(AS32:AW32)</f>
        <v>0</v>
      </c>
      <c r="AY32" s="1027"/>
      <c r="AZ32" s="1028"/>
      <c r="BA32" s="1028"/>
      <c r="BB32" s="1028"/>
      <c r="BC32" s="1029"/>
      <c r="BD32" s="1030">
        <f t="shared" ref="BD32:BD36" si="130">SUM(AY32:BC32)</f>
        <v>0</v>
      </c>
      <c r="BE32" s="1077"/>
      <c r="BF32" s="1028"/>
      <c r="BG32" s="1028"/>
      <c r="BH32" s="1028"/>
      <c r="BI32" s="1029"/>
      <c r="BJ32" s="1030">
        <f t="shared" ref="BJ32:BJ36" si="131">SUM(BE32:BI32)</f>
        <v>0</v>
      </c>
      <c r="BK32" s="1027"/>
      <c r="BL32" s="1028"/>
      <c r="BM32" s="1028"/>
      <c r="BN32" s="1028"/>
      <c r="BO32" s="1029"/>
      <c r="BP32" s="1030">
        <f t="shared" ref="BP32:BP36" si="132">SUM(BK32:BO32)</f>
        <v>0</v>
      </c>
      <c r="BQ32" s="1077"/>
      <c r="BR32" s="1028"/>
      <c r="BS32" s="1028"/>
      <c r="BT32" s="1028"/>
      <c r="BU32" s="1029"/>
      <c r="BV32" s="1030">
        <f t="shared" ref="BV32:BV36" si="133">SUM(BQ32:BU32)</f>
        <v>0</v>
      </c>
      <c r="BW32" s="1027"/>
      <c r="BX32" s="1028"/>
      <c r="BY32" s="1028"/>
      <c r="BZ32" s="1028"/>
      <c r="CA32" s="1029"/>
      <c r="CB32" s="1030">
        <f t="shared" ref="CB32:CB36" si="134">SUM(BW32:CA32)</f>
        <v>0</v>
      </c>
      <c r="CC32" s="1077"/>
      <c r="CD32" s="1028"/>
      <c r="CE32" s="1028"/>
      <c r="CF32" s="1028"/>
      <c r="CG32" s="1029"/>
      <c r="CH32" s="1030">
        <f t="shared" ref="CH32:CH36" si="135">SUM(CC32:CG32)</f>
        <v>0</v>
      </c>
      <c r="CI32" s="1027"/>
      <c r="CJ32" s="1028"/>
      <c r="CK32" s="1028"/>
      <c r="CL32" s="1028"/>
      <c r="CM32" s="1029"/>
      <c r="CN32" s="1030">
        <f t="shared" ref="CN32:CN36" si="136">SUM(CI32:CM32)</f>
        <v>0</v>
      </c>
      <c r="CO32" s="1077"/>
      <c r="CP32" s="1028"/>
      <c r="CQ32" s="1028"/>
      <c r="CR32" s="1028"/>
      <c r="CS32" s="1029"/>
      <c r="CT32" s="1030">
        <f t="shared" ref="CT32:CT36" si="137">SUM(CO32:CS32)</f>
        <v>0</v>
      </c>
      <c r="CU32" s="1027"/>
      <c r="CV32" s="1028"/>
      <c r="CW32" s="1028"/>
      <c r="CX32" s="1028"/>
      <c r="CY32" s="1029"/>
      <c r="CZ32" s="1030">
        <f t="shared" ref="CZ32:CZ36" si="138">SUM(CU32:CY32)</f>
        <v>0</v>
      </c>
      <c r="DA32" s="1077"/>
      <c r="DB32" s="1028"/>
      <c r="DC32" s="1028"/>
      <c r="DD32" s="1028"/>
      <c r="DE32" s="1029"/>
      <c r="DF32" s="1030">
        <f t="shared" ref="DF32:DF36" si="139">SUM(DA32:DE32)</f>
        <v>0</v>
      </c>
      <c r="DG32" s="1027"/>
      <c r="DH32" s="1028"/>
      <c r="DI32" s="1028"/>
      <c r="DJ32" s="1028"/>
      <c r="DK32" s="1029"/>
      <c r="DL32" s="1030">
        <f t="shared" ref="DL32:DL36" si="140">SUM(DG32:DK32)</f>
        <v>0</v>
      </c>
      <c r="DM32" s="1077"/>
      <c r="DN32" s="1028"/>
      <c r="DO32" s="1028"/>
      <c r="DP32" s="1028"/>
      <c r="DQ32" s="1029"/>
      <c r="DR32" s="1030">
        <f t="shared" ref="DR32:DR36" si="141">SUM(DM32:DQ32)</f>
        <v>0</v>
      </c>
      <c r="DS32" s="1027"/>
      <c r="DT32" s="1028"/>
      <c r="DU32" s="1028"/>
      <c r="DV32" s="1028"/>
      <c r="DW32" s="1029"/>
      <c r="DX32" s="1030">
        <f t="shared" ref="DX32:DX36" si="142">SUM(DS32:DW32)</f>
        <v>0</v>
      </c>
      <c r="DY32" s="1077"/>
      <c r="DZ32" s="1028"/>
      <c r="EA32" s="1028"/>
      <c r="EB32" s="1028"/>
      <c r="EC32" s="1029"/>
      <c r="ED32" s="1030">
        <f t="shared" ref="ED32:ED36" si="143">SUM(DY32:EC32)</f>
        <v>0</v>
      </c>
      <c r="EE32" s="1027"/>
      <c r="EF32" s="1028"/>
      <c r="EG32" s="1028"/>
      <c r="EH32" s="1028"/>
      <c r="EI32" s="1029"/>
      <c r="EJ32" s="1030">
        <f t="shared" ref="EJ32:EJ36" si="144">SUM(EE32:EI32)</f>
        <v>0</v>
      </c>
      <c r="EK32" s="1077"/>
      <c r="EL32" s="1028"/>
      <c r="EM32" s="1028"/>
      <c r="EN32" s="1028"/>
      <c r="EO32" s="1029"/>
      <c r="EP32" s="1030">
        <f t="shared" ref="EP32:EP36" si="145">SUM(EK32:EO32)</f>
        <v>0</v>
      </c>
      <c r="EQ32" s="1027"/>
      <c r="ER32" s="1028"/>
      <c r="ES32" s="1028"/>
      <c r="ET32" s="1028"/>
      <c r="EU32" s="1029"/>
      <c r="EV32" s="1030">
        <f t="shared" ref="EV32:EV36" si="146">SUM(EQ32:EU32)</f>
        <v>0</v>
      </c>
      <c r="EW32" s="1077"/>
      <c r="EX32" s="1028"/>
      <c r="EY32" s="1028"/>
      <c r="EZ32" s="1028"/>
      <c r="FA32" s="1029"/>
      <c r="FB32" s="1030">
        <f t="shared" ref="FB32:FB36" si="147">SUM(EW32:FA32)</f>
        <v>0</v>
      </c>
      <c r="FC32" s="1027"/>
      <c r="FD32" s="1028"/>
      <c r="FE32" s="1028"/>
      <c r="FF32" s="1028"/>
      <c r="FG32" s="1029"/>
      <c r="FH32" s="1030">
        <f t="shared" ref="FH32:FH36" si="148">SUM(FC32:FG32)</f>
        <v>0</v>
      </c>
      <c r="FI32" s="1077"/>
      <c r="FJ32" s="1028"/>
      <c r="FK32" s="1028"/>
      <c r="FL32" s="1028"/>
      <c r="FM32" s="1029"/>
      <c r="FN32" s="1030">
        <f t="shared" ref="FN32:FN36" si="149">SUM(FI32:FM32)</f>
        <v>0</v>
      </c>
      <c r="FO32" s="1027"/>
      <c r="FP32" s="1028"/>
      <c r="FQ32" s="1028"/>
      <c r="FR32" s="1028"/>
      <c r="FS32" s="1029"/>
      <c r="FT32" s="1030">
        <f t="shared" ref="FT32:FT36" si="150">SUM(FO32:FS32)</f>
        <v>0</v>
      </c>
      <c r="FU32" s="1077"/>
      <c r="FV32" s="1028"/>
      <c r="FW32" s="1028"/>
      <c r="FX32" s="1028"/>
      <c r="FY32" s="1029"/>
      <c r="FZ32" s="1030">
        <f t="shared" ref="FZ32:FZ36" si="151">SUM(FU32:FY32)</f>
        <v>0</v>
      </c>
      <c r="GA32" s="1027"/>
      <c r="GB32" s="1028"/>
      <c r="GC32" s="1028"/>
      <c r="GD32" s="1028"/>
      <c r="GE32" s="1029"/>
      <c r="GF32" s="1030">
        <f t="shared" ref="GF32:GF36" si="152">SUM(GA32:GE32)</f>
        <v>0</v>
      </c>
      <c r="GG32" s="1027">
        <f t="shared" ref="GG32:GL32" si="121">+GA32+FU32+FO32+FI32+FC32+EW32+EQ32+EK32+EE32+DY32+DS32+DM32+DG32+DA32+CU32+CO32+CI32+CC32+BW32+BQ32+BK32+BE32++AY32+AS32+AM32+AG32+AA32+U32+O32+I32+C32</f>
        <v>0</v>
      </c>
      <c r="GH32" s="1028">
        <f t="shared" si="121"/>
        <v>0</v>
      </c>
      <c r="GI32" s="1028">
        <f t="shared" si="121"/>
        <v>0</v>
      </c>
      <c r="GJ32" s="1028">
        <f t="shared" si="121"/>
        <v>0</v>
      </c>
      <c r="GK32" s="1029">
        <f t="shared" si="121"/>
        <v>0</v>
      </c>
      <c r="GL32" s="1030">
        <f t="shared" si="121"/>
        <v>0</v>
      </c>
      <c r="GM32" s="1031">
        <f t="shared" ref="GM32:GM36" si="154">+GK32+GJ32+GI32+GH32+GG32</f>
        <v>0</v>
      </c>
    </row>
    <row r="33" ht="15.75" customHeight="1">
      <c r="B33" s="1032" t="s">
        <v>633</v>
      </c>
      <c r="C33" s="1038"/>
      <c r="D33" s="1035"/>
      <c r="E33" s="1035"/>
      <c r="F33" s="1035"/>
      <c r="G33" s="1040"/>
      <c r="H33" s="1037">
        <f t="shared" si="122"/>
        <v>0</v>
      </c>
      <c r="I33" s="1038"/>
      <c r="J33" s="1035"/>
      <c r="K33" s="1035"/>
      <c r="L33" s="1035"/>
      <c r="M33" s="1040"/>
      <c r="N33" s="1037">
        <f t="shared" si="123"/>
        <v>0</v>
      </c>
      <c r="O33" s="1038"/>
      <c r="P33" s="1035"/>
      <c r="Q33" s="1035"/>
      <c r="R33" s="1035"/>
      <c r="S33" s="1040"/>
      <c r="T33" s="1037">
        <f t="shared" si="124"/>
        <v>0</v>
      </c>
      <c r="U33" s="605"/>
      <c r="V33" s="1035"/>
      <c r="W33" s="1035"/>
      <c r="X33" s="1035"/>
      <c r="Y33" s="1040"/>
      <c r="Z33" s="1037">
        <f t="shared" si="125"/>
        <v>0</v>
      </c>
      <c r="AA33" s="1038"/>
      <c r="AB33" s="1035"/>
      <c r="AC33" s="1035"/>
      <c r="AD33" s="1035"/>
      <c r="AE33" s="1040"/>
      <c r="AF33" s="1037">
        <f t="shared" si="126"/>
        <v>0</v>
      </c>
      <c r="AG33" s="605"/>
      <c r="AH33" s="1035"/>
      <c r="AI33" s="1035"/>
      <c r="AJ33" s="1035"/>
      <c r="AK33" s="1040"/>
      <c r="AL33" s="1037">
        <f t="shared" si="127"/>
        <v>0</v>
      </c>
      <c r="AM33" s="1038"/>
      <c r="AN33" s="1035"/>
      <c r="AO33" s="1035"/>
      <c r="AP33" s="1035"/>
      <c r="AQ33" s="1040"/>
      <c r="AR33" s="1037">
        <f t="shared" si="128"/>
        <v>0</v>
      </c>
      <c r="AS33" s="605"/>
      <c r="AT33" s="1035"/>
      <c r="AU33" s="1035"/>
      <c r="AV33" s="1035"/>
      <c r="AW33" s="1040"/>
      <c r="AX33" s="1037">
        <f t="shared" si="129"/>
        <v>0</v>
      </c>
      <c r="AY33" s="1038"/>
      <c r="AZ33" s="1035"/>
      <c r="BA33" s="1035"/>
      <c r="BB33" s="1035"/>
      <c r="BC33" s="1040"/>
      <c r="BD33" s="1037">
        <f t="shared" si="130"/>
        <v>0</v>
      </c>
      <c r="BE33" s="605"/>
      <c r="BF33" s="1035"/>
      <c r="BG33" s="1035"/>
      <c r="BH33" s="1035"/>
      <c r="BI33" s="1040"/>
      <c r="BJ33" s="1037">
        <f t="shared" si="131"/>
        <v>0</v>
      </c>
      <c r="BK33" s="1038"/>
      <c r="BL33" s="1035"/>
      <c r="BM33" s="1035"/>
      <c r="BN33" s="1035"/>
      <c r="BO33" s="1040"/>
      <c r="BP33" s="1037">
        <f t="shared" si="132"/>
        <v>0</v>
      </c>
      <c r="BQ33" s="605"/>
      <c r="BR33" s="1035"/>
      <c r="BS33" s="1035"/>
      <c r="BT33" s="1035"/>
      <c r="BU33" s="1040"/>
      <c r="BV33" s="1037">
        <f t="shared" si="133"/>
        <v>0</v>
      </c>
      <c r="BW33" s="1038"/>
      <c r="BX33" s="1035"/>
      <c r="BY33" s="1035"/>
      <c r="BZ33" s="1035"/>
      <c r="CA33" s="1040"/>
      <c r="CB33" s="1037">
        <f t="shared" si="134"/>
        <v>0</v>
      </c>
      <c r="CC33" s="605"/>
      <c r="CD33" s="1035"/>
      <c r="CE33" s="1035"/>
      <c r="CF33" s="1035"/>
      <c r="CG33" s="1040"/>
      <c r="CH33" s="1037">
        <f t="shared" si="135"/>
        <v>0</v>
      </c>
      <c r="CI33" s="1038"/>
      <c r="CJ33" s="1035"/>
      <c r="CK33" s="1035"/>
      <c r="CL33" s="1035"/>
      <c r="CM33" s="1040"/>
      <c r="CN33" s="1037">
        <f t="shared" si="136"/>
        <v>0</v>
      </c>
      <c r="CO33" s="605"/>
      <c r="CP33" s="1035"/>
      <c r="CQ33" s="1035"/>
      <c r="CR33" s="1035"/>
      <c r="CS33" s="1040"/>
      <c r="CT33" s="1037">
        <f t="shared" si="137"/>
        <v>0</v>
      </c>
      <c r="CU33" s="1038"/>
      <c r="CV33" s="1035"/>
      <c r="CW33" s="1035"/>
      <c r="CX33" s="1035"/>
      <c r="CY33" s="1040"/>
      <c r="CZ33" s="1037">
        <f t="shared" si="138"/>
        <v>0</v>
      </c>
      <c r="DA33" s="605"/>
      <c r="DB33" s="1035"/>
      <c r="DC33" s="1035"/>
      <c r="DD33" s="1035"/>
      <c r="DE33" s="1040"/>
      <c r="DF33" s="1037">
        <f t="shared" si="139"/>
        <v>0</v>
      </c>
      <c r="DG33" s="1038"/>
      <c r="DH33" s="1035"/>
      <c r="DI33" s="1035"/>
      <c r="DJ33" s="1035"/>
      <c r="DK33" s="1040"/>
      <c r="DL33" s="1037">
        <f t="shared" si="140"/>
        <v>0</v>
      </c>
      <c r="DM33" s="605"/>
      <c r="DN33" s="1035"/>
      <c r="DO33" s="1035"/>
      <c r="DP33" s="1035"/>
      <c r="DQ33" s="1040"/>
      <c r="DR33" s="1037">
        <f t="shared" si="141"/>
        <v>0</v>
      </c>
      <c r="DS33" s="1038"/>
      <c r="DT33" s="1035"/>
      <c r="DU33" s="1035"/>
      <c r="DV33" s="1035"/>
      <c r="DW33" s="1040"/>
      <c r="DX33" s="1037">
        <f t="shared" si="142"/>
        <v>0</v>
      </c>
      <c r="DY33" s="605"/>
      <c r="DZ33" s="1035"/>
      <c r="EA33" s="1035"/>
      <c r="EB33" s="1035"/>
      <c r="EC33" s="1040"/>
      <c r="ED33" s="1037">
        <f t="shared" si="143"/>
        <v>0</v>
      </c>
      <c r="EE33" s="1038"/>
      <c r="EF33" s="1035"/>
      <c r="EG33" s="1035"/>
      <c r="EH33" s="1035"/>
      <c r="EI33" s="1040"/>
      <c r="EJ33" s="1037">
        <f t="shared" si="144"/>
        <v>0</v>
      </c>
      <c r="EK33" s="605"/>
      <c r="EL33" s="1035"/>
      <c r="EM33" s="1035"/>
      <c r="EN33" s="1035"/>
      <c r="EO33" s="1040"/>
      <c r="EP33" s="1037">
        <f t="shared" si="145"/>
        <v>0</v>
      </c>
      <c r="EQ33" s="1038"/>
      <c r="ER33" s="1035"/>
      <c r="ES33" s="1035"/>
      <c r="ET33" s="1035"/>
      <c r="EU33" s="1040"/>
      <c r="EV33" s="1037">
        <f t="shared" si="146"/>
        <v>0</v>
      </c>
      <c r="EW33" s="605"/>
      <c r="EX33" s="1035"/>
      <c r="EY33" s="1035"/>
      <c r="EZ33" s="1035"/>
      <c r="FA33" s="1040"/>
      <c r="FB33" s="1037">
        <f t="shared" si="147"/>
        <v>0</v>
      </c>
      <c r="FC33" s="1038"/>
      <c r="FD33" s="1035"/>
      <c r="FE33" s="1035"/>
      <c r="FF33" s="1035"/>
      <c r="FG33" s="1040"/>
      <c r="FH33" s="1037">
        <f t="shared" si="148"/>
        <v>0</v>
      </c>
      <c r="FI33" s="605"/>
      <c r="FJ33" s="1035"/>
      <c r="FK33" s="1035"/>
      <c r="FL33" s="1035"/>
      <c r="FM33" s="1040"/>
      <c r="FN33" s="1037">
        <f t="shared" si="149"/>
        <v>0</v>
      </c>
      <c r="FO33" s="1038"/>
      <c r="FP33" s="1035"/>
      <c r="FQ33" s="1035"/>
      <c r="FR33" s="1035"/>
      <c r="FS33" s="1040"/>
      <c r="FT33" s="1037">
        <f t="shared" si="150"/>
        <v>0</v>
      </c>
      <c r="FU33" s="605"/>
      <c r="FV33" s="1035"/>
      <c r="FW33" s="1035"/>
      <c r="FX33" s="1035"/>
      <c r="FY33" s="1040"/>
      <c r="FZ33" s="1037">
        <f t="shared" si="151"/>
        <v>0</v>
      </c>
      <c r="GA33" s="1038"/>
      <c r="GB33" s="1035"/>
      <c r="GC33" s="1035"/>
      <c r="GD33" s="1035"/>
      <c r="GE33" s="1040"/>
      <c r="GF33" s="1037">
        <f t="shared" si="152"/>
        <v>0</v>
      </c>
      <c r="GG33" s="1038">
        <f t="shared" ref="GG33:GL33" si="153">+GA33+FU33+FO33+FI33+FC33+EW33+EQ33+EK33+EE33+DY33+DS33+DM33+DG33+DA33+CU33+CO33+CI33+CC33+BW33+BQ33+BK33+BE33++AY33+AS33+AM33+AG33+AA33+U33+O33+I33+C33</f>
        <v>0</v>
      </c>
      <c r="GH33" s="1035">
        <f t="shared" si="153"/>
        <v>0</v>
      </c>
      <c r="GI33" s="1035">
        <f t="shared" si="153"/>
        <v>0</v>
      </c>
      <c r="GJ33" s="1035">
        <f t="shared" si="153"/>
        <v>0</v>
      </c>
      <c r="GK33" s="1040">
        <f t="shared" si="153"/>
        <v>0</v>
      </c>
      <c r="GL33" s="1037">
        <f t="shared" si="153"/>
        <v>0</v>
      </c>
      <c r="GM33" s="1041">
        <f t="shared" si="154"/>
        <v>0</v>
      </c>
    </row>
    <row r="34" ht="15.75" customHeight="1">
      <c r="B34" s="1042" t="s">
        <v>648</v>
      </c>
      <c r="C34" s="1046"/>
      <c r="D34" s="1047"/>
      <c r="E34" s="1047"/>
      <c r="F34" s="1047"/>
      <c r="G34" s="1048"/>
      <c r="H34" s="1045">
        <f t="shared" si="122"/>
        <v>0</v>
      </c>
      <c r="I34" s="1046"/>
      <c r="J34" s="1047"/>
      <c r="K34" s="1047"/>
      <c r="L34" s="1047"/>
      <c r="M34" s="1048"/>
      <c r="N34" s="1045">
        <f t="shared" si="123"/>
        <v>0</v>
      </c>
      <c r="O34" s="1046"/>
      <c r="P34" s="1047"/>
      <c r="Q34" s="1047"/>
      <c r="R34" s="1047"/>
      <c r="S34" s="1048"/>
      <c r="T34" s="1045">
        <f t="shared" si="124"/>
        <v>0</v>
      </c>
      <c r="U34" s="1078"/>
      <c r="V34" s="1047"/>
      <c r="W34" s="1047"/>
      <c r="X34" s="1047"/>
      <c r="Y34" s="1048"/>
      <c r="Z34" s="1045">
        <f t="shared" si="125"/>
        <v>0</v>
      </c>
      <c r="AA34" s="1046"/>
      <c r="AB34" s="1047"/>
      <c r="AC34" s="1047"/>
      <c r="AD34" s="1047"/>
      <c r="AE34" s="1048"/>
      <c r="AF34" s="1045">
        <f t="shared" si="126"/>
        <v>0</v>
      </c>
      <c r="AG34" s="1078"/>
      <c r="AH34" s="1047"/>
      <c r="AI34" s="1047"/>
      <c r="AJ34" s="1047"/>
      <c r="AK34" s="1048"/>
      <c r="AL34" s="1045">
        <f t="shared" si="127"/>
        <v>0</v>
      </c>
      <c r="AM34" s="1046"/>
      <c r="AN34" s="1047"/>
      <c r="AO34" s="1047"/>
      <c r="AP34" s="1047"/>
      <c r="AQ34" s="1048"/>
      <c r="AR34" s="1045">
        <f t="shared" si="128"/>
        <v>0</v>
      </c>
      <c r="AS34" s="1078"/>
      <c r="AT34" s="1047"/>
      <c r="AU34" s="1047"/>
      <c r="AV34" s="1047"/>
      <c r="AW34" s="1048"/>
      <c r="AX34" s="1045">
        <f t="shared" si="129"/>
        <v>0</v>
      </c>
      <c r="AY34" s="1046"/>
      <c r="AZ34" s="1047"/>
      <c r="BA34" s="1047"/>
      <c r="BB34" s="1047"/>
      <c r="BC34" s="1048"/>
      <c r="BD34" s="1045">
        <f t="shared" si="130"/>
        <v>0</v>
      </c>
      <c r="BE34" s="1078"/>
      <c r="BF34" s="1047"/>
      <c r="BG34" s="1047"/>
      <c r="BH34" s="1047"/>
      <c r="BI34" s="1048"/>
      <c r="BJ34" s="1045">
        <f t="shared" si="131"/>
        <v>0</v>
      </c>
      <c r="BK34" s="1046"/>
      <c r="BL34" s="1047"/>
      <c r="BM34" s="1047"/>
      <c r="BN34" s="1047"/>
      <c r="BO34" s="1048"/>
      <c r="BP34" s="1045">
        <f t="shared" si="132"/>
        <v>0</v>
      </c>
      <c r="BQ34" s="1078"/>
      <c r="BR34" s="1047"/>
      <c r="BS34" s="1047"/>
      <c r="BT34" s="1047"/>
      <c r="BU34" s="1048"/>
      <c r="BV34" s="1045">
        <f t="shared" si="133"/>
        <v>0</v>
      </c>
      <c r="BW34" s="1046"/>
      <c r="BX34" s="1047"/>
      <c r="BY34" s="1047"/>
      <c r="BZ34" s="1047"/>
      <c r="CA34" s="1048"/>
      <c r="CB34" s="1045">
        <f t="shared" si="134"/>
        <v>0</v>
      </c>
      <c r="CC34" s="1078"/>
      <c r="CD34" s="1047"/>
      <c r="CE34" s="1047"/>
      <c r="CF34" s="1047"/>
      <c r="CG34" s="1048"/>
      <c r="CH34" s="1045">
        <f t="shared" si="135"/>
        <v>0</v>
      </c>
      <c r="CI34" s="1046"/>
      <c r="CJ34" s="1047"/>
      <c r="CK34" s="1047"/>
      <c r="CL34" s="1047"/>
      <c r="CM34" s="1048"/>
      <c r="CN34" s="1045">
        <f t="shared" si="136"/>
        <v>0</v>
      </c>
      <c r="CO34" s="1078"/>
      <c r="CP34" s="1047"/>
      <c r="CQ34" s="1047"/>
      <c r="CR34" s="1047"/>
      <c r="CS34" s="1048"/>
      <c r="CT34" s="1045">
        <f t="shared" si="137"/>
        <v>0</v>
      </c>
      <c r="CU34" s="1046"/>
      <c r="CV34" s="1047"/>
      <c r="CW34" s="1047"/>
      <c r="CX34" s="1047"/>
      <c r="CY34" s="1048"/>
      <c r="CZ34" s="1045">
        <f t="shared" si="138"/>
        <v>0</v>
      </c>
      <c r="DA34" s="1078"/>
      <c r="DB34" s="1047"/>
      <c r="DC34" s="1047"/>
      <c r="DD34" s="1047"/>
      <c r="DE34" s="1048"/>
      <c r="DF34" s="1045">
        <f t="shared" si="139"/>
        <v>0</v>
      </c>
      <c r="DG34" s="1046"/>
      <c r="DH34" s="1047"/>
      <c r="DI34" s="1047"/>
      <c r="DJ34" s="1047"/>
      <c r="DK34" s="1048"/>
      <c r="DL34" s="1045">
        <f t="shared" si="140"/>
        <v>0</v>
      </c>
      <c r="DM34" s="1078"/>
      <c r="DN34" s="1047"/>
      <c r="DO34" s="1047"/>
      <c r="DP34" s="1047"/>
      <c r="DQ34" s="1048"/>
      <c r="DR34" s="1045">
        <f t="shared" si="141"/>
        <v>0</v>
      </c>
      <c r="DS34" s="1046"/>
      <c r="DT34" s="1047"/>
      <c r="DU34" s="1047"/>
      <c r="DV34" s="1047"/>
      <c r="DW34" s="1048"/>
      <c r="DX34" s="1045">
        <f t="shared" si="142"/>
        <v>0</v>
      </c>
      <c r="DY34" s="1078"/>
      <c r="DZ34" s="1047"/>
      <c r="EA34" s="1047"/>
      <c r="EB34" s="1047"/>
      <c r="EC34" s="1048"/>
      <c r="ED34" s="1045">
        <f t="shared" si="143"/>
        <v>0</v>
      </c>
      <c r="EE34" s="1046"/>
      <c r="EF34" s="1047"/>
      <c r="EG34" s="1047"/>
      <c r="EH34" s="1047"/>
      <c r="EI34" s="1048"/>
      <c r="EJ34" s="1045">
        <f t="shared" si="144"/>
        <v>0</v>
      </c>
      <c r="EK34" s="1078"/>
      <c r="EL34" s="1047"/>
      <c r="EM34" s="1047"/>
      <c r="EN34" s="1047"/>
      <c r="EO34" s="1048"/>
      <c r="EP34" s="1045">
        <f t="shared" si="145"/>
        <v>0</v>
      </c>
      <c r="EQ34" s="1046"/>
      <c r="ER34" s="1047"/>
      <c r="ES34" s="1047"/>
      <c r="ET34" s="1047"/>
      <c r="EU34" s="1048"/>
      <c r="EV34" s="1045">
        <f t="shared" si="146"/>
        <v>0</v>
      </c>
      <c r="EW34" s="1078"/>
      <c r="EX34" s="1047"/>
      <c r="EY34" s="1047"/>
      <c r="EZ34" s="1047"/>
      <c r="FA34" s="1048"/>
      <c r="FB34" s="1045">
        <f t="shared" si="147"/>
        <v>0</v>
      </c>
      <c r="FC34" s="1046"/>
      <c r="FD34" s="1047"/>
      <c r="FE34" s="1047"/>
      <c r="FF34" s="1047"/>
      <c r="FG34" s="1048"/>
      <c r="FH34" s="1045">
        <f t="shared" si="148"/>
        <v>0</v>
      </c>
      <c r="FI34" s="1078"/>
      <c r="FJ34" s="1047"/>
      <c r="FK34" s="1047"/>
      <c r="FL34" s="1047"/>
      <c r="FM34" s="1048"/>
      <c r="FN34" s="1045">
        <f t="shared" si="149"/>
        <v>0</v>
      </c>
      <c r="FO34" s="1046"/>
      <c r="FP34" s="1047"/>
      <c r="FQ34" s="1047"/>
      <c r="FR34" s="1047"/>
      <c r="FS34" s="1048"/>
      <c r="FT34" s="1045">
        <f t="shared" si="150"/>
        <v>0</v>
      </c>
      <c r="FU34" s="1078"/>
      <c r="FV34" s="1047"/>
      <c r="FW34" s="1047"/>
      <c r="FX34" s="1047"/>
      <c r="FY34" s="1048"/>
      <c r="FZ34" s="1045">
        <f t="shared" si="151"/>
        <v>0</v>
      </c>
      <c r="GA34" s="1046"/>
      <c r="GB34" s="1047"/>
      <c r="GC34" s="1047"/>
      <c r="GD34" s="1047"/>
      <c r="GE34" s="1048"/>
      <c r="GF34" s="1045">
        <f t="shared" si="152"/>
        <v>0</v>
      </c>
      <c r="GG34" s="1046">
        <f t="shared" ref="GG34:GL34" si="155">+GA34+FU34+FO34+FI34+FC34+EW34+EQ34+EK34+EE34+DY34+DS34+DM34+DG34+DA34+CU34+CO34+CI34+CC34+BW34+BQ34+BK34+BE34++AY34+AS34+AM34+AG34+AA34+U34+O34+I34+C34</f>
        <v>0</v>
      </c>
      <c r="GH34" s="1047">
        <f t="shared" si="155"/>
        <v>0</v>
      </c>
      <c r="GI34" s="1047">
        <f t="shared" si="155"/>
        <v>0</v>
      </c>
      <c r="GJ34" s="1047">
        <f t="shared" si="155"/>
        <v>0</v>
      </c>
      <c r="GK34" s="1048">
        <f t="shared" si="155"/>
        <v>0</v>
      </c>
      <c r="GL34" s="1045">
        <f t="shared" si="155"/>
        <v>0</v>
      </c>
      <c r="GM34" s="1049">
        <f t="shared" si="154"/>
        <v>0</v>
      </c>
    </row>
    <row r="35" ht="15.75" customHeight="1">
      <c r="B35" s="1042" t="s">
        <v>661</v>
      </c>
      <c r="C35" s="1046"/>
      <c r="D35" s="1047"/>
      <c r="E35" s="1047"/>
      <c r="F35" s="1047"/>
      <c r="G35" s="1048"/>
      <c r="H35" s="1045">
        <f t="shared" si="122"/>
        <v>0</v>
      </c>
      <c r="I35" s="1046"/>
      <c r="J35" s="1047"/>
      <c r="K35" s="1047"/>
      <c r="L35" s="1047"/>
      <c r="M35" s="1048"/>
      <c r="N35" s="1045">
        <f t="shared" si="123"/>
        <v>0</v>
      </c>
      <c r="O35" s="1046"/>
      <c r="P35" s="1047"/>
      <c r="Q35" s="1047"/>
      <c r="R35" s="1047"/>
      <c r="S35" s="1048"/>
      <c r="T35" s="1045">
        <f t="shared" si="124"/>
        <v>0</v>
      </c>
      <c r="U35" s="1078"/>
      <c r="V35" s="1047"/>
      <c r="W35" s="1047"/>
      <c r="X35" s="1047"/>
      <c r="Y35" s="1048"/>
      <c r="Z35" s="1045">
        <f t="shared" si="125"/>
        <v>0</v>
      </c>
      <c r="AA35" s="1046"/>
      <c r="AB35" s="1047"/>
      <c r="AC35" s="1047"/>
      <c r="AD35" s="1047"/>
      <c r="AE35" s="1048"/>
      <c r="AF35" s="1045">
        <f t="shared" si="126"/>
        <v>0</v>
      </c>
      <c r="AG35" s="1078"/>
      <c r="AH35" s="1047"/>
      <c r="AI35" s="1047"/>
      <c r="AJ35" s="1047"/>
      <c r="AK35" s="1048"/>
      <c r="AL35" s="1045">
        <f t="shared" si="127"/>
        <v>0</v>
      </c>
      <c r="AM35" s="1046"/>
      <c r="AN35" s="1047"/>
      <c r="AO35" s="1047"/>
      <c r="AP35" s="1047"/>
      <c r="AQ35" s="1048"/>
      <c r="AR35" s="1045">
        <f t="shared" si="128"/>
        <v>0</v>
      </c>
      <c r="AS35" s="1078"/>
      <c r="AT35" s="1047"/>
      <c r="AU35" s="1047"/>
      <c r="AV35" s="1047"/>
      <c r="AW35" s="1048"/>
      <c r="AX35" s="1045">
        <f t="shared" si="129"/>
        <v>0</v>
      </c>
      <c r="AY35" s="1046"/>
      <c r="AZ35" s="1047"/>
      <c r="BA35" s="1047"/>
      <c r="BB35" s="1047"/>
      <c r="BC35" s="1048"/>
      <c r="BD35" s="1045">
        <f t="shared" si="130"/>
        <v>0</v>
      </c>
      <c r="BE35" s="1078"/>
      <c r="BF35" s="1047"/>
      <c r="BG35" s="1047"/>
      <c r="BH35" s="1047"/>
      <c r="BI35" s="1048"/>
      <c r="BJ35" s="1045">
        <f t="shared" si="131"/>
        <v>0</v>
      </c>
      <c r="BK35" s="1046"/>
      <c r="BL35" s="1047"/>
      <c r="BM35" s="1047"/>
      <c r="BN35" s="1047"/>
      <c r="BO35" s="1048"/>
      <c r="BP35" s="1045">
        <f t="shared" si="132"/>
        <v>0</v>
      </c>
      <c r="BQ35" s="1078"/>
      <c r="BR35" s="1047"/>
      <c r="BS35" s="1047"/>
      <c r="BT35" s="1047"/>
      <c r="BU35" s="1048"/>
      <c r="BV35" s="1045">
        <f t="shared" si="133"/>
        <v>0</v>
      </c>
      <c r="BW35" s="1046"/>
      <c r="BX35" s="1047"/>
      <c r="BY35" s="1047"/>
      <c r="BZ35" s="1047"/>
      <c r="CA35" s="1048"/>
      <c r="CB35" s="1045">
        <f t="shared" si="134"/>
        <v>0</v>
      </c>
      <c r="CC35" s="1078"/>
      <c r="CD35" s="1047"/>
      <c r="CE35" s="1047"/>
      <c r="CF35" s="1047"/>
      <c r="CG35" s="1048"/>
      <c r="CH35" s="1045">
        <f t="shared" si="135"/>
        <v>0</v>
      </c>
      <c r="CI35" s="1046"/>
      <c r="CJ35" s="1047"/>
      <c r="CK35" s="1047"/>
      <c r="CL35" s="1047"/>
      <c r="CM35" s="1048"/>
      <c r="CN35" s="1045">
        <f t="shared" si="136"/>
        <v>0</v>
      </c>
      <c r="CO35" s="1078"/>
      <c r="CP35" s="1047"/>
      <c r="CQ35" s="1047"/>
      <c r="CR35" s="1047"/>
      <c r="CS35" s="1048"/>
      <c r="CT35" s="1045">
        <f t="shared" si="137"/>
        <v>0</v>
      </c>
      <c r="CU35" s="1046"/>
      <c r="CV35" s="1047"/>
      <c r="CW35" s="1047"/>
      <c r="CX35" s="1047"/>
      <c r="CY35" s="1048"/>
      <c r="CZ35" s="1045">
        <f t="shared" si="138"/>
        <v>0</v>
      </c>
      <c r="DA35" s="1078"/>
      <c r="DB35" s="1047"/>
      <c r="DC35" s="1047"/>
      <c r="DD35" s="1047"/>
      <c r="DE35" s="1048"/>
      <c r="DF35" s="1045">
        <f t="shared" si="139"/>
        <v>0</v>
      </c>
      <c r="DG35" s="1046"/>
      <c r="DH35" s="1047"/>
      <c r="DI35" s="1047"/>
      <c r="DJ35" s="1047"/>
      <c r="DK35" s="1048"/>
      <c r="DL35" s="1045">
        <f t="shared" si="140"/>
        <v>0</v>
      </c>
      <c r="DM35" s="1078"/>
      <c r="DN35" s="1047"/>
      <c r="DO35" s="1047"/>
      <c r="DP35" s="1047"/>
      <c r="DQ35" s="1048"/>
      <c r="DR35" s="1045">
        <f t="shared" si="141"/>
        <v>0</v>
      </c>
      <c r="DS35" s="1046"/>
      <c r="DT35" s="1047"/>
      <c r="DU35" s="1047"/>
      <c r="DV35" s="1047"/>
      <c r="DW35" s="1048"/>
      <c r="DX35" s="1045">
        <f t="shared" si="142"/>
        <v>0</v>
      </c>
      <c r="DY35" s="1078"/>
      <c r="DZ35" s="1047"/>
      <c r="EA35" s="1047"/>
      <c r="EB35" s="1047"/>
      <c r="EC35" s="1048"/>
      <c r="ED35" s="1045">
        <f t="shared" si="143"/>
        <v>0</v>
      </c>
      <c r="EE35" s="1046"/>
      <c r="EF35" s="1047"/>
      <c r="EG35" s="1047"/>
      <c r="EH35" s="1047"/>
      <c r="EI35" s="1048"/>
      <c r="EJ35" s="1045">
        <f t="shared" si="144"/>
        <v>0</v>
      </c>
      <c r="EK35" s="1078"/>
      <c r="EL35" s="1047"/>
      <c r="EM35" s="1047"/>
      <c r="EN35" s="1047"/>
      <c r="EO35" s="1048"/>
      <c r="EP35" s="1045">
        <f t="shared" si="145"/>
        <v>0</v>
      </c>
      <c r="EQ35" s="1046"/>
      <c r="ER35" s="1047"/>
      <c r="ES35" s="1047"/>
      <c r="ET35" s="1047"/>
      <c r="EU35" s="1048"/>
      <c r="EV35" s="1045">
        <f t="shared" si="146"/>
        <v>0</v>
      </c>
      <c r="EW35" s="1078"/>
      <c r="EX35" s="1047"/>
      <c r="EY35" s="1047"/>
      <c r="EZ35" s="1047"/>
      <c r="FA35" s="1048"/>
      <c r="FB35" s="1045">
        <f t="shared" si="147"/>
        <v>0</v>
      </c>
      <c r="FC35" s="1046"/>
      <c r="FD35" s="1047"/>
      <c r="FE35" s="1047"/>
      <c r="FF35" s="1047"/>
      <c r="FG35" s="1048"/>
      <c r="FH35" s="1045">
        <f t="shared" si="148"/>
        <v>0</v>
      </c>
      <c r="FI35" s="1078"/>
      <c r="FJ35" s="1047"/>
      <c r="FK35" s="1047"/>
      <c r="FL35" s="1047"/>
      <c r="FM35" s="1048"/>
      <c r="FN35" s="1045">
        <f t="shared" si="149"/>
        <v>0</v>
      </c>
      <c r="FO35" s="1046"/>
      <c r="FP35" s="1047"/>
      <c r="FQ35" s="1047"/>
      <c r="FR35" s="1047"/>
      <c r="FS35" s="1048"/>
      <c r="FT35" s="1045">
        <f t="shared" si="150"/>
        <v>0</v>
      </c>
      <c r="FU35" s="1078"/>
      <c r="FV35" s="1047"/>
      <c r="FW35" s="1047"/>
      <c r="FX35" s="1047"/>
      <c r="FY35" s="1048"/>
      <c r="FZ35" s="1045">
        <f t="shared" si="151"/>
        <v>0</v>
      </c>
      <c r="GA35" s="1046"/>
      <c r="GB35" s="1047"/>
      <c r="GC35" s="1047"/>
      <c r="GD35" s="1047"/>
      <c r="GE35" s="1048"/>
      <c r="GF35" s="1045">
        <f t="shared" si="152"/>
        <v>0</v>
      </c>
      <c r="GG35" s="1046">
        <f t="shared" ref="GG35:GL35" si="156">+GA35+FU35+FO35+FI35+FC35+EW35+EQ35+EK35+EE35+DY35+DS35+DM35+DG35+DA35+CU35+CO35+CI35+CC35+BW35+BQ35+BK35+BE35++AY35+AS35+AM35+AG35+AA35+U35+O35+I35+C35</f>
        <v>0</v>
      </c>
      <c r="GH35" s="1047">
        <f t="shared" si="156"/>
        <v>0</v>
      </c>
      <c r="GI35" s="1047">
        <f t="shared" si="156"/>
        <v>0</v>
      </c>
      <c r="GJ35" s="1047">
        <f t="shared" si="156"/>
        <v>0</v>
      </c>
      <c r="GK35" s="1048">
        <f t="shared" si="156"/>
        <v>0</v>
      </c>
      <c r="GL35" s="1045">
        <f t="shared" si="156"/>
        <v>0</v>
      </c>
      <c r="GM35" s="1049">
        <f t="shared" si="154"/>
        <v>0</v>
      </c>
    </row>
    <row r="36" ht="15.75" customHeight="1">
      <c r="B36" s="1062"/>
      <c r="C36" s="1046"/>
      <c r="D36" s="1047"/>
      <c r="E36" s="1047"/>
      <c r="F36" s="1047"/>
      <c r="G36" s="1048"/>
      <c r="H36" s="1045">
        <f t="shared" si="122"/>
        <v>0</v>
      </c>
      <c r="I36" s="1046"/>
      <c r="J36" s="1047"/>
      <c r="K36" s="1047"/>
      <c r="L36" s="1047"/>
      <c r="M36" s="1048"/>
      <c r="N36" s="1045">
        <f t="shared" si="123"/>
        <v>0</v>
      </c>
      <c r="O36" s="1046"/>
      <c r="P36" s="1047"/>
      <c r="Q36" s="1047"/>
      <c r="R36" s="1047"/>
      <c r="S36" s="1048"/>
      <c r="T36" s="1045">
        <f t="shared" si="124"/>
        <v>0</v>
      </c>
      <c r="U36" s="1078"/>
      <c r="V36" s="1047"/>
      <c r="W36" s="1047"/>
      <c r="X36" s="1047"/>
      <c r="Y36" s="1048"/>
      <c r="Z36" s="1045">
        <f t="shared" si="125"/>
        <v>0</v>
      </c>
      <c r="AA36" s="1046"/>
      <c r="AB36" s="1047"/>
      <c r="AC36" s="1047"/>
      <c r="AD36" s="1047"/>
      <c r="AE36" s="1048"/>
      <c r="AF36" s="1045">
        <f t="shared" si="126"/>
        <v>0</v>
      </c>
      <c r="AG36" s="1078"/>
      <c r="AH36" s="1047"/>
      <c r="AI36" s="1047"/>
      <c r="AJ36" s="1047"/>
      <c r="AK36" s="1048"/>
      <c r="AL36" s="1045">
        <f t="shared" si="127"/>
        <v>0</v>
      </c>
      <c r="AM36" s="1046"/>
      <c r="AN36" s="1047"/>
      <c r="AO36" s="1047"/>
      <c r="AP36" s="1047"/>
      <c r="AQ36" s="1048"/>
      <c r="AR36" s="1045">
        <f t="shared" si="128"/>
        <v>0</v>
      </c>
      <c r="AS36" s="1078"/>
      <c r="AT36" s="1047"/>
      <c r="AU36" s="1047"/>
      <c r="AV36" s="1047"/>
      <c r="AW36" s="1048"/>
      <c r="AX36" s="1045">
        <f t="shared" si="129"/>
        <v>0</v>
      </c>
      <c r="AY36" s="1046"/>
      <c r="AZ36" s="1047"/>
      <c r="BA36" s="1047"/>
      <c r="BB36" s="1047"/>
      <c r="BC36" s="1048"/>
      <c r="BD36" s="1045">
        <f t="shared" si="130"/>
        <v>0</v>
      </c>
      <c r="BE36" s="1078"/>
      <c r="BF36" s="1047"/>
      <c r="BG36" s="1047"/>
      <c r="BH36" s="1047"/>
      <c r="BI36" s="1048"/>
      <c r="BJ36" s="1045">
        <f t="shared" si="131"/>
        <v>0</v>
      </c>
      <c r="BK36" s="1046"/>
      <c r="BL36" s="1047"/>
      <c r="BM36" s="1047"/>
      <c r="BN36" s="1047"/>
      <c r="BO36" s="1048"/>
      <c r="BP36" s="1045">
        <f t="shared" si="132"/>
        <v>0</v>
      </c>
      <c r="BQ36" s="1078"/>
      <c r="BR36" s="1047"/>
      <c r="BS36" s="1047"/>
      <c r="BT36" s="1047"/>
      <c r="BU36" s="1048"/>
      <c r="BV36" s="1045">
        <f t="shared" si="133"/>
        <v>0</v>
      </c>
      <c r="BW36" s="1046"/>
      <c r="BX36" s="1047"/>
      <c r="BY36" s="1047"/>
      <c r="BZ36" s="1047"/>
      <c r="CA36" s="1048"/>
      <c r="CB36" s="1045">
        <f t="shared" si="134"/>
        <v>0</v>
      </c>
      <c r="CC36" s="1078"/>
      <c r="CD36" s="1047"/>
      <c r="CE36" s="1047"/>
      <c r="CF36" s="1047"/>
      <c r="CG36" s="1048"/>
      <c r="CH36" s="1045">
        <f t="shared" si="135"/>
        <v>0</v>
      </c>
      <c r="CI36" s="1046"/>
      <c r="CJ36" s="1047"/>
      <c r="CK36" s="1047"/>
      <c r="CL36" s="1047"/>
      <c r="CM36" s="1048"/>
      <c r="CN36" s="1045">
        <f t="shared" si="136"/>
        <v>0</v>
      </c>
      <c r="CO36" s="1078"/>
      <c r="CP36" s="1047"/>
      <c r="CQ36" s="1047"/>
      <c r="CR36" s="1047"/>
      <c r="CS36" s="1048"/>
      <c r="CT36" s="1045">
        <f t="shared" si="137"/>
        <v>0</v>
      </c>
      <c r="CU36" s="1046"/>
      <c r="CV36" s="1047"/>
      <c r="CW36" s="1047"/>
      <c r="CX36" s="1047"/>
      <c r="CY36" s="1048"/>
      <c r="CZ36" s="1045">
        <f t="shared" si="138"/>
        <v>0</v>
      </c>
      <c r="DA36" s="1078"/>
      <c r="DB36" s="1047"/>
      <c r="DC36" s="1047"/>
      <c r="DD36" s="1047"/>
      <c r="DE36" s="1048"/>
      <c r="DF36" s="1045">
        <f t="shared" si="139"/>
        <v>0</v>
      </c>
      <c r="DG36" s="1046"/>
      <c r="DH36" s="1047"/>
      <c r="DI36" s="1047"/>
      <c r="DJ36" s="1047"/>
      <c r="DK36" s="1048"/>
      <c r="DL36" s="1045">
        <f t="shared" si="140"/>
        <v>0</v>
      </c>
      <c r="DM36" s="1078"/>
      <c r="DN36" s="1047"/>
      <c r="DO36" s="1047"/>
      <c r="DP36" s="1047"/>
      <c r="DQ36" s="1048"/>
      <c r="DR36" s="1045">
        <f t="shared" si="141"/>
        <v>0</v>
      </c>
      <c r="DS36" s="1046"/>
      <c r="DT36" s="1047"/>
      <c r="DU36" s="1047"/>
      <c r="DV36" s="1047"/>
      <c r="DW36" s="1048"/>
      <c r="DX36" s="1045">
        <f t="shared" si="142"/>
        <v>0</v>
      </c>
      <c r="DY36" s="1078"/>
      <c r="DZ36" s="1047"/>
      <c r="EA36" s="1047"/>
      <c r="EB36" s="1047"/>
      <c r="EC36" s="1048"/>
      <c r="ED36" s="1045">
        <f t="shared" si="143"/>
        <v>0</v>
      </c>
      <c r="EE36" s="1046"/>
      <c r="EF36" s="1047"/>
      <c r="EG36" s="1047"/>
      <c r="EH36" s="1047"/>
      <c r="EI36" s="1048"/>
      <c r="EJ36" s="1045">
        <f t="shared" si="144"/>
        <v>0</v>
      </c>
      <c r="EK36" s="1078"/>
      <c r="EL36" s="1047"/>
      <c r="EM36" s="1047"/>
      <c r="EN36" s="1047"/>
      <c r="EO36" s="1048"/>
      <c r="EP36" s="1045">
        <f t="shared" si="145"/>
        <v>0</v>
      </c>
      <c r="EQ36" s="1046"/>
      <c r="ER36" s="1047"/>
      <c r="ES36" s="1047"/>
      <c r="ET36" s="1047"/>
      <c r="EU36" s="1048"/>
      <c r="EV36" s="1045">
        <f t="shared" si="146"/>
        <v>0</v>
      </c>
      <c r="EW36" s="1078"/>
      <c r="EX36" s="1047"/>
      <c r="EY36" s="1047"/>
      <c r="EZ36" s="1047"/>
      <c r="FA36" s="1048"/>
      <c r="FB36" s="1045">
        <f t="shared" si="147"/>
        <v>0</v>
      </c>
      <c r="FC36" s="1046"/>
      <c r="FD36" s="1047"/>
      <c r="FE36" s="1047"/>
      <c r="FF36" s="1047"/>
      <c r="FG36" s="1048"/>
      <c r="FH36" s="1045">
        <f t="shared" si="148"/>
        <v>0</v>
      </c>
      <c r="FI36" s="1078"/>
      <c r="FJ36" s="1047"/>
      <c r="FK36" s="1047"/>
      <c r="FL36" s="1047"/>
      <c r="FM36" s="1048"/>
      <c r="FN36" s="1045">
        <f t="shared" si="149"/>
        <v>0</v>
      </c>
      <c r="FO36" s="1046"/>
      <c r="FP36" s="1047"/>
      <c r="FQ36" s="1047"/>
      <c r="FR36" s="1047"/>
      <c r="FS36" s="1048"/>
      <c r="FT36" s="1045">
        <f t="shared" si="150"/>
        <v>0</v>
      </c>
      <c r="FU36" s="1078"/>
      <c r="FV36" s="1047"/>
      <c r="FW36" s="1047"/>
      <c r="FX36" s="1047"/>
      <c r="FY36" s="1048"/>
      <c r="FZ36" s="1045">
        <f t="shared" si="151"/>
        <v>0</v>
      </c>
      <c r="GA36" s="1046"/>
      <c r="GB36" s="1047"/>
      <c r="GC36" s="1047"/>
      <c r="GD36" s="1047"/>
      <c r="GE36" s="1048"/>
      <c r="GF36" s="1045">
        <f t="shared" si="152"/>
        <v>0</v>
      </c>
      <c r="GG36" s="1046">
        <f t="shared" ref="GG36:GL36" si="157">+GA36+FU36+FO36+FI36+FC36+EW36+EQ36+EK36+EE36+DY36+DS36+DM36+DG36+DA36+CU36+CO36+CI36+CC36+BW36+BQ36+BK36+BE36++AY36+AS36+AM36+AG36+AA36+U36+O36+I36+C36</f>
        <v>0</v>
      </c>
      <c r="GH36" s="1047">
        <f t="shared" si="157"/>
        <v>0</v>
      </c>
      <c r="GI36" s="1047">
        <f t="shared" si="157"/>
        <v>0</v>
      </c>
      <c r="GJ36" s="1047">
        <f t="shared" si="157"/>
        <v>0</v>
      </c>
      <c r="GK36" s="1048">
        <f t="shared" si="157"/>
        <v>0</v>
      </c>
      <c r="GL36" s="1045">
        <f t="shared" si="157"/>
        <v>0</v>
      </c>
      <c r="GM36" s="1049">
        <f t="shared" si="154"/>
        <v>0</v>
      </c>
    </row>
    <row r="37" ht="15.75" customHeight="1">
      <c r="B37" s="1060" t="s">
        <v>649</v>
      </c>
      <c r="C37" s="1027">
        <f t="shared" ref="C37:GM37" si="158">SUM(C33:C36)</f>
        <v>0</v>
      </c>
      <c r="D37" s="1028">
        <f t="shared" si="158"/>
        <v>0</v>
      </c>
      <c r="E37" s="1028">
        <f t="shared" si="158"/>
        <v>0</v>
      </c>
      <c r="F37" s="1028">
        <f t="shared" si="158"/>
        <v>0</v>
      </c>
      <c r="G37" s="1029">
        <f t="shared" si="158"/>
        <v>0</v>
      </c>
      <c r="H37" s="1030">
        <f t="shared" si="158"/>
        <v>0</v>
      </c>
      <c r="I37" s="1027">
        <f t="shared" si="158"/>
        <v>0</v>
      </c>
      <c r="J37" s="1028">
        <f t="shared" si="158"/>
        <v>0</v>
      </c>
      <c r="K37" s="1028">
        <f t="shared" si="158"/>
        <v>0</v>
      </c>
      <c r="L37" s="1028">
        <f t="shared" si="158"/>
        <v>0</v>
      </c>
      <c r="M37" s="1029">
        <f t="shared" si="158"/>
        <v>0</v>
      </c>
      <c r="N37" s="1030">
        <f t="shared" si="158"/>
        <v>0</v>
      </c>
      <c r="O37" s="1027">
        <f t="shared" si="158"/>
        <v>0</v>
      </c>
      <c r="P37" s="1028">
        <f t="shared" si="158"/>
        <v>0</v>
      </c>
      <c r="Q37" s="1028">
        <f t="shared" si="158"/>
        <v>0</v>
      </c>
      <c r="R37" s="1028">
        <f t="shared" si="158"/>
        <v>0</v>
      </c>
      <c r="S37" s="1029">
        <f t="shared" si="158"/>
        <v>0</v>
      </c>
      <c r="T37" s="1030">
        <f t="shared" si="158"/>
        <v>0</v>
      </c>
      <c r="U37" s="1077">
        <f t="shared" si="158"/>
        <v>0</v>
      </c>
      <c r="V37" s="1028">
        <f t="shared" si="158"/>
        <v>0</v>
      </c>
      <c r="W37" s="1028">
        <f t="shared" si="158"/>
        <v>0</v>
      </c>
      <c r="X37" s="1028">
        <f t="shared" si="158"/>
        <v>0</v>
      </c>
      <c r="Y37" s="1029">
        <f t="shared" si="158"/>
        <v>0</v>
      </c>
      <c r="Z37" s="1030">
        <f t="shared" si="158"/>
        <v>0</v>
      </c>
      <c r="AA37" s="1027">
        <f t="shared" si="158"/>
        <v>0</v>
      </c>
      <c r="AB37" s="1028">
        <f t="shared" si="158"/>
        <v>0</v>
      </c>
      <c r="AC37" s="1028">
        <f t="shared" si="158"/>
        <v>0</v>
      </c>
      <c r="AD37" s="1028">
        <f t="shared" si="158"/>
        <v>0</v>
      </c>
      <c r="AE37" s="1029">
        <f t="shared" si="158"/>
        <v>0</v>
      </c>
      <c r="AF37" s="1030">
        <f t="shared" si="158"/>
        <v>0</v>
      </c>
      <c r="AG37" s="1077">
        <f t="shared" si="158"/>
        <v>0</v>
      </c>
      <c r="AH37" s="1028">
        <f t="shared" si="158"/>
        <v>0</v>
      </c>
      <c r="AI37" s="1028">
        <f t="shared" si="158"/>
        <v>0</v>
      </c>
      <c r="AJ37" s="1028">
        <f t="shared" si="158"/>
        <v>0</v>
      </c>
      <c r="AK37" s="1029">
        <f t="shared" si="158"/>
        <v>0</v>
      </c>
      <c r="AL37" s="1030">
        <f t="shared" si="158"/>
        <v>0</v>
      </c>
      <c r="AM37" s="1027">
        <f t="shared" si="158"/>
        <v>0</v>
      </c>
      <c r="AN37" s="1028">
        <f t="shared" si="158"/>
        <v>0</v>
      </c>
      <c r="AO37" s="1028">
        <f t="shared" si="158"/>
        <v>0</v>
      </c>
      <c r="AP37" s="1028">
        <f t="shared" si="158"/>
        <v>0</v>
      </c>
      <c r="AQ37" s="1029">
        <f t="shared" si="158"/>
        <v>0</v>
      </c>
      <c r="AR37" s="1030">
        <f t="shared" si="158"/>
        <v>0</v>
      </c>
      <c r="AS37" s="1077">
        <f t="shared" si="158"/>
        <v>0</v>
      </c>
      <c r="AT37" s="1028">
        <f t="shared" si="158"/>
        <v>0</v>
      </c>
      <c r="AU37" s="1028">
        <f t="shared" si="158"/>
        <v>0</v>
      </c>
      <c r="AV37" s="1028">
        <f t="shared" si="158"/>
        <v>0</v>
      </c>
      <c r="AW37" s="1029">
        <f t="shared" si="158"/>
        <v>0</v>
      </c>
      <c r="AX37" s="1030">
        <f t="shared" si="158"/>
        <v>0</v>
      </c>
      <c r="AY37" s="1027">
        <f t="shared" si="158"/>
        <v>0</v>
      </c>
      <c r="AZ37" s="1028">
        <f t="shared" si="158"/>
        <v>0</v>
      </c>
      <c r="BA37" s="1028">
        <f t="shared" si="158"/>
        <v>0</v>
      </c>
      <c r="BB37" s="1028">
        <f t="shared" si="158"/>
        <v>0</v>
      </c>
      <c r="BC37" s="1029">
        <f t="shared" si="158"/>
        <v>0</v>
      </c>
      <c r="BD37" s="1030">
        <f t="shared" si="158"/>
        <v>0</v>
      </c>
      <c r="BE37" s="1077">
        <f t="shared" si="158"/>
        <v>0</v>
      </c>
      <c r="BF37" s="1028">
        <f t="shared" si="158"/>
        <v>0</v>
      </c>
      <c r="BG37" s="1028">
        <f t="shared" si="158"/>
        <v>0</v>
      </c>
      <c r="BH37" s="1028">
        <f t="shared" si="158"/>
        <v>0</v>
      </c>
      <c r="BI37" s="1029">
        <f t="shared" si="158"/>
        <v>0</v>
      </c>
      <c r="BJ37" s="1030">
        <f t="shared" si="158"/>
        <v>0</v>
      </c>
      <c r="BK37" s="1027">
        <f t="shared" si="158"/>
        <v>0</v>
      </c>
      <c r="BL37" s="1028">
        <f t="shared" si="158"/>
        <v>0</v>
      </c>
      <c r="BM37" s="1028">
        <f t="shared" si="158"/>
        <v>0</v>
      </c>
      <c r="BN37" s="1028">
        <f t="shared" si="158"/>
        <v>0</v>
      </c>
      <c r="BO37" s="1029">
        <f t="shared" si="158"/>
        <v>0</v>
      </c>
      <c r="BP37" s="1030">
        <f t="shared" si="158"/>
        <v>0</v>
      </c>
      <c r="BQ37" s="1077">
        <f t="shared" si="158"/>
        <v>0</v>
      </c>
      <c r="BR37" s="1028">
        <f t="shared" si="158"/>
        <v>0</v>
      </c>
      <c r="BS37" s="1028">
        <f t="shared" si="158"/>
        <v>0</v>
      </c>
      <c r="BT37" s="1028">
        <f t="shared" si="158"/>
        <v>0</v>
      </c>
      <c r="BU37" s="1029">
        <f t="shared" si="158"/>
        <v>0</v>
      </c>
      <c r="BV37" s="1030">
        <f t="shared" si="158"/>
        <v>0</v>
      </c>
      <c r="BW37" s="1027">
        <f t="shared" si="158"/>
        <v>0</v>
      </c>
      <c r="BX37" s="1028">
        <f t="shared" si="158"/>
        <v>0</v>
      </c>
      <c r="BY37" s="1028">
        <f t="shared" si="158"/>
        <v>0</v>
      </c>
      <c r="BZ37" s="1028">
        <f t="shared" si="158"/>
        <v>0</v>
      </c>
      <c r="CA37" s="1029">
        <f t="shared" si="158"/>
        <v>0</v>
      </c>
      <c r="CB37" s="1030">
        <f t="shared" si="158"/>
        <v>0</v>
      </c>
      <c r="CC37" s="1077">
        <f t="shared" si="158"/>
        <v>0</v>
      </c>
      <c r="CD37" s="1028">
        <f t="shared" si="158"/>
        <v>0</v>
      </c>
      <c r="CE37" s="1028">
        <f t="shared" si="158"/>
        <v>0</v>
      </c>
      <c r="CF37" s="1028">
        <f t="shared" si="158"/>
        <v>0</v>
      </c>
      <c r="CG37" s="1029">
        <f t="shared" si="158"/>
        <v>0</v>
      </c>
      <c r="CH37" s="1030">
        <f t="shared" si="158"/>
        <v>0</v>
      </c>
      <c r="CI37" s="1027">
        <f t="shared" si="158"/>
        <v>0</v>
      </c>
      <c r="CJ37" s="1028">
        <f t="shared" si="158"/>
        <v>0</v>
      </c>
      <c r="CK37" s="1028">
        <f t="shared" si="158"/>
        <v>0</v>
      </c>
      <c r="CL37" s="1028">
        <f t="shared" si="158"/>
        <v>0</v>
      </c>
      <c r="CM37" s="1029">
        <f t="shared" si="158"/>
        <v>0</v>
      </c>
      <c r="CN37" s="1030">
        <f t="shared" si="158"/>
        <v>0</v>
      </c>
      <c r="CO37" s="1077">
        <f t="shared" si="158"/>
        <v>0</v>
      </c>
      <c r="CP37" s="1028">
        <f t="shared" si="158"/>
        <v>0</v>
      </c>
      <c r="CQ37" s="1028">
        <f t="shared" si="158"/>
        <v>0</v>
      </c>
      <c r="CR37" s="1028">
        <f t="shared" si="158"/>
        <v>0</v>
      </c>
      <c r="CS37" s="1029">
        <f t="shared" si="158"/>
        <v>0</v>
      </c>
      <c r="CT37" s="1030">
        <f t="shared" si="158"/>
        <v>0</v>
      </c>
      <c r="CU37" s="1027">
        <f t="shared" si="158"/>
        <v>0</v>
      </c>
      <c r="CV37" s="1028">
        <f t="shared" si="158"/>
        <v>0</v>
      </c>
      <c r="CW37" s="1028">
        <f t="shared" si="158"/>
        <v>0</v>
      </c>
      <c r="CX37" s="1028">
        <f t="shared" si="158"/>
        <v>0</v>
      </c>
      <c r="CY37" s="1029">
        <f t="shared" si="158"/>
        <v>0</v>
      </c>
      <c r="CZ37" s="1030">
        <f t="shared" si="158"/>
        <v>0</v>
      </c>
      <c r="DA37" s="1077">
        <f t="shared" si="158"/>
        <v>0</v>
      </c>
      <c r="DB37" s="1028">
        <f t="shared" si="158"/>
        <v>0</v>
      </c>
      <c r="DC37" s="1028">
        <f t="shared" si="158"/>
        <v>0</v>
      </c>
      <c r="DD37" s="1028">
        <f t="shared" si="158"/>
        <v>0</v>
      </c>
      <c r="DE37" s="1029">
        <f t="shared" si="158"/>
        <v>0</v>
      </c>
      <c r="DF37" s="1030">
        <f t="shared" si="158"/>
        <v>0</v>
      </c>
      <c r="DG37" s="1027">
        <f t="shared" si="158"/>
        <v>0</v>
      </c>
      <c r="DH37" s="1028">
        <f t="shared" si="158"/>
        <v>0</v>
      </c>
      <c r="DI37" s="1028">
        <f t="shared" si="158"/>
        <v>0</v>
      </c>
      <c r="DJ37" s="1028">
        <f t="shared" si="158"/>
        <v>0</v>
      </c>
      <c r="DK37" s="1029">
        <f t="shared" si="158"/>
        <v>0</v>
      </c>
      <c r="DL37" s="1030">
        <f t="shared" si="158"/>
        <v>0</v>
      </c>
      <c r="DM37" s="1077">
        <f t="shared" si="158"/>
        <v>0</v>
      </c>
      <c r="DN37" s="1028">
        <f t="shared" si="158"/>
        <v>0</v>
      </c>
      <c r="DO37" s="1028">
        <f t="shared" si="158"/>
        <v>0</v>
      </c>
      <c r="DP37" s="1028">
        <f t="shared" si="158"/>
        <v>0</v>
      </c>
      <c r="DQ37" s="1029">
        <f t="shared" si="158"/>
        <v>0</v>
      </c>
      <c r="DR37" s="1030">
        <f t="shared" si="158"/>
        <v>0</v>
      </c>
      <c r="DS37" s="1027">
        <f t="shared" si="158"/>
        <v>0</v>
      </c>
      <c r="DT37" s="1028">
        <f t="shared" si="158"/>
        <v>0</v>
      </c>
      <c r="DU37" s="1028">
        <f t="shared" si="158"/>
        <v>0</v>
      </c>
      <c r="DV37" s="1028">
        <f t="shared" si="158"/>
        <v>0</v>
      </c>
      <c r="DW37" s="1029">
        <f t="shared" si="158"/>
        <v>0</v>
      </c>
      <c r="DX37" s="1030">
        <f t="shared" si="158"/>
        <v>0</v>
      </c>
      <c r="DY37" s="1077">
        <f t="shared" si="158"/>
        <v>0</v>
      </c>
      <c r="DZ37" s="1028">
        <f t="shared" si="158"/>
        <v>0</v>
      </c>
      <c r="EA37" s="1028">
        <f t="shared" si="158"/>
        <v>0</v>
      </c>
      <c r="EB37" s="1028">
        <f t="shared" si="158"/>
        <v>0</v>
      </c>
      <c r="EC37" s="1029">
        <f t="shared" si="158"/>
        <v>0</v>
      </c>
      <c r="ED37" s="1030">
        <f t="shared" si="158"/>
        <v>0</v>
      </c>
      <c r="EE37" s="1027">
        <f t="shared" si="158"/>
        <v>0</v>
      </c>
      <c r="EF37" s="1028">
        <f t="shared" si="158"/>
        <v>0</v>
      </c>
      <c r="EG37" s="1028">
        <f t="shared" si="158"/>
        <v>0</v>
      </c>
      <c r="EH37" s="1028">
        <f t="shared" si="158"/>
        <v>0</v>
      </c>
      <c r="EI37" s="1029">
        <f t="shared" si="158"/>
        <v>0</v>
      </c>
      <c r="EJ37" s="1030">
        <f t="shared" si="158"/>
        <v>0</v>
      </c>
      <c r="EK37" s="1077">
        <f t="shared" si="158"/>
        <v>0</v>
      </c>
      <c r="EL37" s="1028">
        <f t="shared" si="158"/>
        <v>0</v>
      </c>
      <c r="EM37" s="1028">
        <f t="shared" si="158"/>
        <v>0</v>
      </c>
      <c r="EN37" s="1028">
        <f t="shared" si="158"/>
        <v>0</v>
      </c>
      <c r="EO37" s="1029">
        <f t="shared" si="158"/>
        <v>0</v>
      </c>
      <c r="EP37" s="1030">
        <f t="shared" si="158"/>
        <v>0</v>
      </c>
      <c r="EQ37" s="1027">
        <f t="shared" si="158"/>
        <v>0</v>
      </c>
      <c r="ER37" s="1028">
        <f t="shared" si="158"/>
        <v>0</v>
      </c>
      <c r="ES37" s="1028">
        <f t="shared" si="158"/>
        <v>0</v>
      </c>
      <c r="ET37" s="1028">
        <f t="shared" si="158"/>
        <v>0</v>
      </c>
      <c r="EU37" s="1029">
        <f t="shared" si="158"/>
        <v>0</v>
      </c>
      <c r="EV37" s="1030">
        <f t="shared" si="158"/>
        <v>0</v>
      </c>
      <c r="EW37" s="1077">
        <f t="shared" si="158"/>
        <v>0</v>
      </c>
      <c r="EX37" s="1028">
        <f t="shared" si="158"/>
        <v>0</v>
      </c>
      <c r="EY37" s="1028">
        <f t="shared" si="158"/>
        <v>0</v>
      </c>
      <c r="EZ37" s="1028">
        <f t="shared" si="158"/>
        <v>0</v>
      </c>
      <c r="FA37" s="1029">
        <f t="shared" si="158"/>
        <v>0</v>
      </c>
      <c r="FB37" s="1030">
        <f t="shared" si="158"/>
        <v>0</v>
      </c>
      <c r="FC37" s="1027">
        <f t="shared" si="158"/>
        <v>0</v>
      </c>
      <c r="FD37" s="1028">
        <f t="shared" si="158"/>
        <v>0</v>
      </c>
      <c r="FE37" s="1028">
        <f t="shared" si="158"/>
        <v>0</v>
      </c>
      <c r="FF37" s="1028">
        <f t="shared" si="158"/>
        <v>0</v>
      </c>
      <c r="FG37" s="1029">
        <f t="shared" si="158"/>
        <v>0</v>
      </c>
      <c r="FH37" s="1030">
        <f t="shared" si="158"/>
        <v>0</v>
      </c>
      <c r="FI37" s="1077">
        <f t="shared" si="158"/>
        <v>0</v>
      </c>
      <c r="FJ37" s="1028">
        <f t="shared" si="158"/>
        <v>0</v>
      </c>
      <c r="FK37" s="1028">
        <f t="shared" si="158"/>
        <v>0</v>
      </c>
      <c r="FL37" s="1028">
        <f t="shared" si="158"/>
        <v>0</v>
      </c>
      <c r="FM37" s="1029">
        <f t="shared" si="158"/>
        <v>0</v>
      </c>
      <c r="FN37" s="1030">
        <f t="shared" si="158"/>
        <v>0</v>
      </c>
      <c r="FO37" s="1027">
        <f t="shared" si="158"/>
        <v>0</v>
      </c>
      <c r="FP37" s="1028">
        <f t="shared" si="158"/>
        <v>0</v>
      </c>
      <c r="FQ37" s="1028">
        <f t="shared" si="158"/>
        <v>0</v>
      </c>
      <c r="FR37" s="1028">
        <f t="shared" si="158"/>
        <v>0</v>
      </c>
      <c r="FS37" s="1029">
        <f t="shared" si="158"/>
        <v>0</v>
      </c>
      <c r="FT37" s="1030">
        <f t="shared" si="158"/>
        <v>0</v>
      </c>
      <c r="FU37" s="1077">
        <f t="shared" si="158"/>
        <v>0</v>
      </c>
      <c r="FV37" s="1028">
        <f t="shared" si="158"/>
        <v>0</v>
      </c>
      <c r="FW37" s="1028">
        <f t="shared" si="158"/>
        <v>0</v>
      </c>
      <c r="FX37" s="1028">
        <f t="shared" si="158"/>
        <v>0</v>
      </c>
      <c r="FY37" s="1029">
        <f t="shared" si="158"/>
        <v>0</v>
      </c>
      <c r="FZ37" s="1030">
        <f t="shared" si="158"/>
        <v>0</v>
      </c>
      <c r="GA37" s="1027">
        <f t="shared" si="158"/>
        <v>0</v>
      </c>
      <c r="GB37" s="1028">
        <f t="shared" si="158"/>
        <v>0</v>
      </c>
      <c r="GC37" s="1028">
        <f t="shared" si="158"/>
        <v>0</v>
      </c>
      <c r="GD37" s="1028">
        <f t="shared" si="158"/>
        <v>0</v>
      </c>
      <c r="GE37" s="1029">
        <f t="shared" si="158"/>
        <v>0</v>
      </c>
      <c r="GF37" s="1030">
        <f t="shared" si="158"/>
        <v>0</v>
      </c>
      <c r="GG37" s="1027">
        <f t="shared" si="158"/>
        <v>0</v>
      </c>
      <c r="GH37" s="1028">
        <f t="shared" si="158"/>
        <v>0</v>
      </c>
      <c r="GI37" s="1028">
        <f t="shared" si="158"/>
        <v>0</v>
      </c>
      <c r="GJ37" s="1028">
        <f t="shared" si="158"/>
        <v>0</v>
      </c>
      <c r="GK37" s="1029">
        <f t="shared" si="158"/>
        <v>0</v>
      </c>
      <c r="GL37" s="1030">
        <f t="shared" si="158"/>
        <v>0</v>
      </c>
      <c r="GM37" s="1031">
        <f t="shared" si="158"/>
        <v>0</v>
      </c>
    </row>
    <row r="38" ht="15.75" customHeight="1">
      <c r="B38" s="1042"/>
      <c r="C38" s="1046"/>
      <c r="D38" s="1047"/>
      <c r="E38" s="1047"/>
      <c r="F38" s="1047"/>
      <c r="G38" s="1048"/>
      <c r="H38" s="1045">
        <f t="shared" ref="H38:H51" si="160">SUM(C38:G38)</f>
        <v>0</v>
      </c>
      <c r="I38" s="1046"/>
      <c r="J38" s="1047"/>
      <c r="K38" s="1047"/>
      <c r="L38" s="1047"/>
      <c r="M38" s="1048"/>
      <c r="N38" s="1045">
        <f t="shared" ref="N38:N51" si="161">SUM(I38:M38)</f>
        <v>0</v>
      </c>
      <c r="O38" s="1046"/>
      <c r="P38" s="1047"/>
      <c r="Q38" s="1047"/>
      <c r="R38" s="1047"/>
      <c r="S38" s="1048"/>
      <c r="T38" s="1045">
        <f t="shared" ref="T38:T51" si="162">SUM(O38:S38)</f>
        <v>0</v>
      </c>
      <c r="U38" s="1078"/>
      <c r="V38" s="1047"/>
      <c r="W38" s="1047"/>
      <c r="X38" s="1047"/>
      <c r="Y38" s="1048"/>
      <c r="Z38" s="1045">
        <f t="shared" ref="Z38:Z51" si="163">SUM(U38:Y38)</f>
        <v>0</v>
      </c>
      <c r="AA38" s="1046"/>
      <c r="AB38" s="1047"/>
      <c r="AC38" s="1047"/>
      <c r="AD38" s="1047"/>
      <c r="AE38" s="1048"/>
      <c r="AF38" s="1045">
        <f t="shared" ref="AF38:AF51" si="164">SUM(AA38:AE38)</f>
        <v>0</v>
      </c>
      <c r="AG38" s="1078"/>
      <c r="AH38" s="1047"/>
      <c r="AI38" s="1047"/>
      <c r="AJ38" s="1047"/>
      <c r="AK38" s="1048"/>
      <c r="AL38" s="1045">
        <f t="shared" ref="AL38:AL51" si="165">SUM(AG38:AK38)</f>
        <v>0</v>
      </c>
      <c r="AM38" s="1046"/>
      <c r="AN38" s="1047"/>
      <c r="AO38" s="1047"/>
      <c r="AP38" s="1047"/>
      <c r="AQ38" s="1048"/>
      <c r="AR38" s="1045">
        <f t="shared" ref="AR38:AR51" si="166">SUM(AM38:AQ38)</f>
        <v>0</v>
      </c>
      <c r="AS38" s="1078"/>
      <c r="AT38" s="1047"/>
      <c r="AU38" s="1047"/>
      <c r="AV38" s="1047"/>
      <c r="AW38" s="1048"/>
      <c r="AX38" s="1045">
        <f t="shared" ref="AX38:AX51" si="167">SUM(AS38:AW38)</f>
        <v>0</v>
      </c>
      <c r="AY38" s="1046"/>
      <c r="AZ38" s="1047"/>
      <c r="BA38" s="1047"/>
      <c r="BB38" s="1047"/>
      <c r="BC38" s="1048"/>
      <c r="BD38" s="1045">
        <f t="shared" ref="BD38:BD51" si="168">SUM(AY38:BC38)</f>
        <v>0</v>
      </c>
      <c r="BE38" s="1078"/>
      <c r="BF38" s="1047"/>
      <c r="BG38" s="1047"/>
      <c r="BH38" s="1047"/>
      <c r="BI38" s="1048"/>
      <c r="BJ38" s="1045">
        <f t="shared" ref="BJ38:BJ51" si="169">SUM(BE38:BI38)</f>
        <v>0</v>
      </c>
      <c r="BK38" s="1046"/>
      <c r="BL38" s="1047"/>
      <c r="BM38" s="1047"/>
      <c r="BN38" s="1047"/>
      <c r="BO38" s="1048"/>
      <c r="BP38" s="1045">
        <f t="shared" ref="BP38:BP51" si="170">SUM(BK38:BO38)</f>
        <v>0</v>
      </c>
      <c r="BQ38" s="1078"/>
      <c r="BR38" s="1047"/>
      <c r="BS38" s="1047"/>
      <c r="BT38" s="1047"/>
      <c r="BU38" s="1048"/>
      <c r="BV38" s="1045">
        <f t="shared" ref="BV38:BV51" si="171">SUM(BQ38:BU38)</f>
        <v>0</v>
      </c>
      <c r="BW38" s="1046"/>
      <c r="BX38" s="1047"/>
      <c r="BY38" s="1047"/>
      <c r="BZ38" s="1047"/>
      <c r="CA38" s="1048"/>
      <c r="CB38" s="1045">
        <f t="shared" ref="CB38:CB51" si="172">SUM(BW38:CA38)</f>
        <v>0</v>
      </c>
      <c r="CC38" s="1078"/>
      <c r="CD38" s="1047"/>
      <c r="CE38" s="1047"/>
      <c r="CF38" s="1047"/>
      <c r="CG38" s="1048"/>
      <c r="CH38" s="1045">
        <f t="shared" ref="CH38:CH51" si="173">SUM(CC38:CG38)</f>
        <v>0</v>
      </c>
      <c r="CI38" s="1046"/>
      <c r="CJ38" s="1047"/>
      <c r="CK38" s="1047"/>
      <c r="CL38" s="1047"/>
      <c r="CM38" s="1048"/>
      <c r="CN38" s="1045">
        <f t="shared" ref="CN38:CN51" si="174">SUM(CI38:CM38)</f>
        <v>0</v>
      </c>
      <c r="CO38" s="1078"/>
      <c r="CP38" s="1047"/>
      <c r="CQ38" s="1047"/>
      <c r="CR38" s="1047"/>
      <c r="CS38" s="1048"/>
      <c r="CT38" s="1045">
        <f t="shared" ref="CT38:CT51" si="175">SUM(CO38:CS38)</f>
        <v>0</v>
      </c>
      <c r="CU38" s="1046"/>
      <c r="CV38" s="1047"/>
      <c r="CW38" s="1047"/>
      <c r="CX38" s="1047"/>
      <c r="CY38" s="1048"/>
      <c r="CZ38" s="1045">
        <f t="shared" ref="CZ38:CZ51" si="176">SUM(CU38:CY38)</f>
        <v>0</v>
      </c>
      <c r="DA38" s="1078"/>
      <c r="DB38" s="1047"/>
      <c r="DC38" s="1047"/>
      <c r="DD38" s="1047"/>
      <c r="DE38" s="1048"/>
      <c r="DF38" s="1045">
        <f t="shared" ref="DF38:DF51" si="177">SUM(DA38:DE38)</f>
        <v>0</v>
      </c>
      <c r="DG38" s="1046"/>
      <c r="DH38" s="1047"/>
      <c r="DI38" s="1047"/>
      <c r="DJ38" s="1047"/>
      <c r="DK38" s="1048"/>
      <c r="DL38" s="1045">
        <f t="shared" ref="DL38:DL51" si="178">SUM(DG38:DK38)</f>
        <v>0</v>
      </c>
      <c r="DM38" s="1078"/>
      <c r="DN38" s="1047"/>
      <c r="DO38" s="1047"/>
      <c r="DP38" s="1047"/>
      <c r="DQ38" s="1048"/>
      <c r="DR38" s="1045">
        <f t="shared" ref="DR38:DR51" si="179">SUM(DM38:DQ38)</f>
        <v>0</v>
      </c>
      <c r="DS38" s="1046"/>
      <c r="DT38" s="1047"/>
      <c r="DU38" s="1047"/>
      <c r="DV38" s="1047"/>
      <c r="DW38" s="1048"/>
      <c r="DX38" s="1045">
        <f t="shared" ref="DX38:DX51" si="180">SUM(DS38:DW38)</f>
        <v>0</v>
      </c>
      <c r="DY38" s="1078"/>
      <c r="DZ38" s="1047"/>
      <c r="EA38" s="1047"/>
      <c r="EB38" s="1047"/>
      <c r="EC38" s="1048"/>
      <c r="ED38" s="1045">
        <f t="shared" ref="ED38:ED51" si="181">SUM(DY38:EC38)</f>
        <v>0</v>
      </c>
      <c r="EE38" s="1046"/>
      <c r="EF38" s="1047"/>
      <c r="EG38" s="1047"/>
      <c r="EH38" s="1047"/>
      <c r="EI38" s="1048"/>
      <c r="EJ38" s="1045">
        <f t="shared" ref="EJ38:EJ51" si="182">SUM(EE38:EI38)</f>
        <v>0</v>
      </c>
      <c r="EK38" s="1078"/>
      <c r="EL38" s="1047"/>
      <c r="EM38" s="1047"/>
      <c r="EN38" s="1047"/>
      <c r="EO38" s="1048"/>
      <c r="EP38" s="1045">
        <f t="shared" ref="EP38:EP51" si="183">SUM(EK38:EO38)</f>
        <v>0</v>
      </c>
      <c r="EQ38" s="1046"/>
      <c r="ER38" s="1047"/>
      <c r="ES38" s="1047"/>
      <c r="ET38" s="1047"/>
      <c r="EU38" s="1048"/>
      <c r="EV38" s="1045">
        <f t="shared" ref="EV38:EV51" si="184">SUM(EQ38:EU38)</f>
        <v>0</v>
      </c>
      <c r="EW38" s="1078"/>
      <c r="EX38" s="1047"/>
      <c r="EY38" s="1047"/>
      <c r="EZ38" s="1047"/>
      <c r="FA38" s="1048"/>
      <c r="FB38" s="1045">
        <f t="shared" ref="FB38:FB51" si="185">SUM(EW38:FA38)</f>
        <v>0</v>
      </c>
      <c r="FC38" s="1046"/>
      <c r="FD38" s="1047"/>
      <c r="FE38" s="1047"/>
      <c r="FF38" s="1047"/>
      <c r="FG38" s="1048"/>
      <c r="FH38" s="1045">
        <f t="shared" ref="FH38:FH51" si="186">SUM(FC38:FG38)</f>
        <v>0</v>
      </c>
      <c r="FI38" s="1078"/>
      <c r="FJ38" s="1047"/>
      <c r="FK38" s="1047"/>
      <c r="FL38" s="1047"/>
      <c r="FM38" s="1048"/>
      <c r="FN38" s="1045">
        <f t="shared" ref="FN38:FN51" si="187">SUM(FI38:FM38)</f>
        <v>0</v>
      </c>
      <c r="FO38" s="1046"/>
      <c r="FP38" s="1047"/>
      <c r="FQ38" s="1047"/>
      <c r="FR38" s="1047"/>
      <c r="FS38" s="1048"/>
      <c r="FT38" s="1045">
        <f t="shared" ref="FT38:FT51" si="188">SUM(FO38:FS38)</f>
        <v>0</v>
      </c>
      <c r="FU38" s="1078"/>
      <c r="FV38" s="1047"/>
      <c r="FW38" s="1047"/>
      <c r="FX38" s="1047"/>
      <c r="FY38" s="1048"/>
      <c r="FZ38" s="1045">
        <f t="shared" ref="FZ38:FZ51" si="189">SUM(FU38:FY38)</f>
        <v>0</v>
      </c>
      <c r="GA38" s="1046"/>
      <c r="GB38" s="1047"/>
      <c r="GC38" s="1047"/>
      <c r="GD38" s="1047"/>
      <c r="GE38" s="1048"/>
      <c r="GF38" s="1045">
        <f t="shared" ref="GF38:GF51" si="190">SUM(GA38:GE38)</f>
        <v>0</v>
      </c>
      <c r="GG38" s="1046">
        <f t="shared" ref="GG38:GL38" si="159">+GA38+FU38+FO38+FI38+FC38+EW38+EQ38+EK38+EE38+DY38+DS38+DM38+DG38+DA38+CU38+CO38+CI38+CC38+BW38+BQ38+BK38+BE38++AY38+AS38+AM38+AG38+AA38+U38+O38+I38+C38</f>
        <v>0</v>
      </c>
      <c r="GH38" s="1047">
        <f t="shared" si="159"/>
        <v>0</v>
      </c>
      <c r="GI38" s="1047">
        <f t="shared" si="159"/>
        <v>0</v>
      </c>
      <c r="GJ38" s="1047">
        <f t="shared" si="159"/>
        <v>0</v>
      </c>
      <c r="GK38" s="1048">
        <f t="shared" si="159"/>
        <v>0</v>
      </c>
      <c r="GL38" s="1045">
        <f t="shared" si="159"/>
        <v>0</v>
      </c>
      <c r="GM38" s="1049">
        <f t="shared" ref="GM38:GM51" si="192">+GK38+GJ38+GI38+GH38+GG38</f>
        <v>0</v>
      </c>
    </row>
    <row r="39" ht="15.75" customHeight="1">
      <c r="B39" s="1042" t="s">
        <v>650</v>
      </c>
      <c r="C39" s="1046"/>
      <c r="D39" s="1047"/>
      <c r="E39" s="1047"/>
      <c r="F39" s="1047"/>
      <c r="G39" s="1048"/>
      <c r="H39" s="1045">
        <f t="shared" si="160"/>
        <v>0</v>
      </c>
      <c r="I39" s="1046"/>
      <c r="J39" s="1047"/>
      <c r="K39" s="1047"/>
      <c r="L39" s="1047"/>
      <c r="M39" s="1048"/>
      <c r="N39" s="1045">
        <f t="shared" si="161"/>
        <v>0</v>
      </c>
      <c r="O39" s="1046"/>
      <c r="P39" s="1047"/>
      <c r="Q39" s="1047"/>
      <c r="R39" s="1047"/>
      <c r="S39" s="1048"/>
      <c r="T39" s="1045">
        <f t="shared" si="162"/>
        <v>0</v>
      </c>
      <c r="U39" s="1078"/>
      <c r="V39" s="1047"/>
      <c r="W39" s="1047"/>
      <c r="X39" s="1047"/>
      <c r="Y39" s="1048"/>
      <c r="Z39" s="1045">
        <f t="shared" si="163"/>
        <v>0</v>
      </c>
      <c r="AA39" s="1046"/>
      <c r="AB39" s="1047"/>
      <c r="AC39" s="1047"/>
      <c r="AD39" s="1047"/>
      <c r="AE39" s="1048"/>
      <c r="AF39" s="1045">
        <f t="shared" si="164"/>
        <v>0</v>
      </c>
      <c r="AG39" s="1078"/>
      <c r="AH39" s="1047"/>
      <c r="AI39" s="1047"/>
      <c r="AJ39" s="1047"/>
      <c r="AK39" s="1048"/>
      <c r="AL39" s="1045">
        <f t="shared" si="165"/>
        <v>0</v>
      </c>
      <c r="AM39" s="1046"/>
      <c r="AN39" s="1047"/>
      <c r="AO39" s="1047"/>
      <c r="AP39" s="1047"/>
      <c r="AQ39" s="1048"/>
      <c r="AR39" s="1045">
        <f t="shared" si="166"/>
        <v>0</v>
      </c>
      <c r="AS39" s="1078"/>
      <c r="AT39" s="1047"/>
      <c r="AU39" s="1047"/>
      <c r="AV39" s="1047"/>
      <c r="AW39" s="1048"/>
      <c r="AX39" s="1045">
        <f t="shared" si="167"/>
        <v>0</v>
      </c>
      <c r="AY39" s="1046"/>
      <c r="AZ39" s="1047"/>
      <c r="BA39" s="1047"/>
      <c r="BB39" s="1047"/>
      <c r="BC39" s="1048"/>
      <c r="BD39" s="1045">
        <f t="shared" si="168"/>
        <v>0</v>
      </c>
      <c r="BE39" s="1078"/>
      <c r="BF39" s="1047"/>
      <c r="BG39" s="1047"/>
      <c r="BH39" s="1047"/>
      <c r="BI39" s="1048"/>
      <c r="BJ39" s="1045">
        <f t="shared" si="169"/>
        <v>0</v>
      </c>
      <c r="BK39" s="1046"/>
      <c r="BL39" s="1047"/>
      <c r="BM39" s="1047"/>
      <c r="BN39" s="1047"/>
      <c r="BO39" s="1048"/>
      <c r="BP39" s="1045">
        <f t="shared" si="170"/>
        <v>0</v>
      </c>
      <c r="BQ39" s="1078"/>
      <c r="BR39" s="1047"/>
      <c r="BS39" s="1047"/>
      <c r="BT39" s="1047"/>
      <c r="BU39" s="1048"/>
      <c r="BV39" s="1045">
        <f t="shared" si="171"/>
        <v>0</v>
      </c>
      <c r="BW39" s="1046"/>
      <c r="BX39" s="1047"/>
      <c r="BY39" s="1047"/>
      <c r="BZ39" s="1047"/>
      <c r="CA39" s="1048"/>
      <c r="CB39" s="1045">
        <f t="shared" si="172"/>
        <v>0</v>
      </c>
      <c r="CC39" s="1078"/>
      <c r="CD39" s="1047"/>
      <c r="CE39" s="1047"/>
      <c r="CF39" s="1047"/>
      <c r="CG39" s="1048"/>
      <c r="CH39" s="1045">
        <f t="shared" si="173"/>
        <v>0</v>
      </c>
      <c r="CI39" s="1046"/>
      <c r="CJ39" s="1047"/>
      <c r="CK39" s="1047"/>
      <c r="CL39" s="1047"/>
      <c r="CM39" s="1048"/>
      <c r="CN39" s="1045">
        <f t="shared" si="174"/>
        <v>0</v>
      </c>
      <c r="CO39" s="1078"/>
      <c r="CP39" s="1047"/>
      <c r="CQ39" s="1047"/>
      <c r="CR39" s="1047"/>
      <c r="CS39" s="1048"/>
      <c r="CT39" s="1045">
        <f t="shared" si="175"/>
        <v>0</v>
      </c>
      <c r="CU39" s="1046"/>
      <c r="CV39" s="1047"/>
      <c r="CW39" s="1047"/>
      <c r="CX39" s="1047"/>
      <c r="CY39" s="1048"/>
      <c r="CZ39" s="1045">
        <f t="shared" si="176"/>
        <v>0</v>
      </c>
      <c r="DA39" s="1078"/>
      <c r="DB39" s="1047"/>
      <c r="DC39" s="1047"/>
      <c r="DD39" s="1047"/>
      <c r="DE39" s="1048"/>
      <c r="DF39" s="1045">
        <f t="shared" si="177"/>
        <v>0</v>
      </c>
      <c r="DG39" s="1046"/>
      <c r="DH39" s="1047"/>
      <c r="DI39" s="1047"/>
      <c r="DJ39" s="1047"/>
      <c r="DK39" s="1048"/>
      <c r="DL39" s="1045">
        <f t="shared" si="178"/>
        <v>0</v>
      </c>
      <c r="DM39" s="1078"/>
      <c r="DN39" s="1047"/>
      <c r="DO39" s="1047"/>
      <c r="DP39" s="1047"/>
      <c r="DQ39" s="1048"/>
      <c r="DR39" s="1045">
        <f t="shared" si="179"/>
        <v>0</v>
      </c>
      <c r="DS39" s="1046"/>
      <c r="DT39" s="1047"/>
      <c r="DU39" s="1047"/>
      <c r="DV39" s="1047"/>
      <c r="DW39" s="1048"/>
      <c r="DX39" s="1045">
        <f t="shared" si="180"/>
        <v>0</v>
      </c>
      <c r="DY39" s="1078"/>
      <c r="DZ39" s="1047"/>
      <c r="EA39" s="1047"/>
      <c r="EB39" s="1047"/>
      <c r="EC39" s="1048"/>
      <c r="ED39" s="1045">
        <f t="shared" si="181"/>
        <v>0</v>
      </c>
      <c r="EE39" s="1046"/>
      <c r="EF39" s="1047"/>
      <c r="EG39" s="1047"/>
      <c r="EH39" s="1047"/>
      <c r="EI39" s="1048"/>
      <c r="EJ39" s="1045">
        <f t="shared" si="182"/>
        <v>0</v>
      </c>
      <c r="EK39" s="1078"/>
      <c r="EL39" s="1047"/>
      <c r="EM39" s="1047"/>
      <c r="EN39" s="1047"/>
      <c r="EO39" s="1048"/>
      <c r="EP39" s="1045">
        <f t="shared" si="183"/>
        <v>0</v>
      </c>
      <c r="EQ39" s="1046"/>
      <c r="ER39" s="1047"/>
      <c r="ES39" s="1047"/>
      <c r="ET39" s="1047"/>
      <c r="EU39" s="1048"/>
      <c r="EV39" s="1045">
        <f t="shared" si="184"/>
        <v>0</v>
      </c>
      <c r="EW39" s="1078"/>
      <c r="EX39" s="1047"/>
      <c r="EY39" s="1047"/>
      <c r="EZ39" s="1047"/>
      <c r="FA39" s="1048"/>
      <c r="FB39" s="1045">
        <f t="shared" si="185"/>
        <v>0</v>
      </c>
      <c r="FC39" s="1046"/>
      <c r="FD39" s="1047"/>
      <c r="FE39" s="1047"/>
      <c r="FF39" s="1047"/>
      <c r="FG39" s="1048"/>
      <c r="FH39" s="1045">
        <f t="shared" si="186"/>
        <v>0</v>
      </c>
      <c r="FI39" s="1078"/>
      <c r="FJ39" s="1047"/>
      <c r="FK39" s="1047"/>
      <c r="FL39" s="1047"/>
      <c r="FM39" s="1048"/>
      <c r="FN39" s="1045">
        <f t="shared" si="187"/>
        <v>0</v>
      </c>
      <c r="FO39" s="1046"/>
      <c r="FP39" s="1047"/>
      <c r="FQ39" s="1047"/>
      <c r="FR39" s="1047"/>
      <c r="FS39" s="1048"/>
      <c r="FT39" s="1045">
        <f t="shared" si="188"/>
        <v>0</v>
      </c>
      <c r="FU39" s="1078"/>
      <c r="FV39" s="1047"/>
      <c r="FW39" s="1047"/>
      <c r="FX39" s="1047"/>
      <c r="FY39" s="1048"/>
      <c r="FZ39" s="1045">
        <f t="shared" si="189"/>
        <v>0</v>
      </c>
      <c r="GA39" s="1046"/>
      <c r="GB39" s="1047"/>
      <c r="GC39" s="1047"/>
      <c r="GD39" s="1047"/>
      <c r="GE39" s="1048"/>
      <c r="GF39" s="1045">
        <f t="shared" si="190"/>
        <v>0</v>
      </c>
      <c r="GG39" s="1046">
        <f t="shared" ref="GG39:GL39" si="191">+GA39+FU39+FO39+FI39+FC39+EW39+EQ39+EK39+EE39+DY39+DS39+DM39+DG39+DA39+CU39+CO39+CI39+CC39+BW39+BQ39+BK39+BE39++AY39+AS39+AM39+AG39+AA39+U39+O39+I39+C39</f>
        <v>0</v>
      </c>
      <c r="GH39" s="1047">
        <f t="shared" si="191"/>
        <v>0</v>
      </c>
      <c r="GI39" s="1047">
        <f t="shared" si="191"/>
        <v>0</v>
      </c>
      <c r="GJ39" s="1047">
        <f t="shared" si="191"/>
        <v>0</v>
      </c>
      <c r="GK39" s="1048">
        <f t="shared" si="191"/>
        <v>0</v>
      </c>
      <c r="GL39" s="1045">
        <f t="shared" si="191"/>
        <v>0</v>
      </c>
      <c r="GM39" s="1049">
        <f t="shared" si="192"/>
        <v>0</v>
      </c>
    </row>
    <row r="40" ht="15.75" customHeight="1">
      <c r="B40" s="1062"/>
      <c r="C40" s="1046"/>
      <c r="D40" s="1047"/>
      <c r="E40" s="1047"/>
      <c r="F40" s="1047"/>
      <c r="G40" s="1048"/>
      <c r="H40" s="1045">
        <f t="shared" si="160"/>
        <v>0</v>
      </c>
      <c r="I40" s="1046"/>
      <c r="J40" s="1047"/>
      <c r="K40" s="1047"/>
      <c r="L40" s="1047"/>
      <c r="M40" s="1048"/>
      <c r="N40" s="1045">
        <f t="shared" si="161"/>
        <v>0</v>
      </c>
      <c r="O40" s="1046"/>
      <c r="P40" s="1047"/>
      <c r="Q40" s="1047"/>
      <c r="R40" s="1047"/>
      <c r="S40" s="1048"/>
      <c r="T40" s="1045">
        <f t="shared" si="162"/>
        <v>0</v>
      </c>
      <c r="U40" s="1078"/>
      <c r="V40" s="1047"/>
      <c r="W40" s="1047"/>
      <c r="X40" s="1047"/>
      <c r="Y40" s="1048"/>
      <c r="Z40" s="1045">
        <f t="shared" si="163"/>
        <v>0</v>
      </c>
      <c r="AA40" s="1046"/>
      <c r="AB40" s="1047"/>
      <c r="AC40" s="1047"/>
      <c r="AD40" s="1047"/>
      <c r="AE40" s="1048"/>
      <c r="AF40" s="1045">
        <f t="shared" si="164"/>
        <v>0</v>
      </c>
      <c r="AG40" s="1078"/>
      <c r="AH40" s="1047"/>
      <c r="AI40" s="1047"/>
      <c r="AJ40" s="1047"/>
      <c r="AK40" s="1048"/>
      <c r="AL40" s="1045">
        <f t="shared" si="165"/>
        <v>0</v>
      </c>
      <c r="AM40" s="1046"/>
      <c r="AN40" s="1047"/>
      <c r="AO40" s="1047"/>
      <c r="AP40" s="1047"/>
      <c r="AQ40" s="1048"/>
      <c r="AR40" s="1045">
        <f t="shared" si="166"/>
        <v>0</v>
      </c>
      <c r="AS40" s="1078"/>
      <c r="AT40" s="1047"/>
      <c r="AU40" s="1047"/>
      <c r="AV40" s="1047"/>
      <c r="AW40" s="1048"/>
      <c r="AX40" s="1045">
        <f t="shared" si="167"/>
        <v>0</v>
      </c>
      <c r="AY40" s="1046"/>
      <c r="AZ40" s="1047"/>
      <c r="BA40" s="1047"/>
      <c r="BB40" s="1047"/>
      <c r="BC40" s="1048"/>
      <c r="BD40" s="1045">
        <f t="shared" si="168"/>
        <v>0</v>
      </c>
      <c r="BE40" s="1078"/>
      <c r="BF40" s="1047"/>
      <c r="BG40" s="1047"/>
      <c r="BH40" s="1047"/>
      <c r="BI40" s="1048"/>
      <c r="BJ40" s="1045">
        <f t="shared" si="169"/>
        <v>0</v>
      </c>
      <c r="BK40" s="1046"/>
      <c r="BL40" s="1047"/>
      <c r="BM40" s="1047"/>
      <c r="BN40" s="1047"/>
      <c r="BO40" s="1048"/>
      <c r="BP40" s="1045">
        <f t="shared" si="170"/>
        <v>0</v>
      </c>
      <c r="BQ40" s="1078"/>
      <c r="BR40" s="1047"/>
      <c r="BS40" s="1047"/>
      <c r="BT40" s="1047"/>
      <c r="BU40" s="1048"/>
      <c r="BV40" s="1045">
        <f t="shared" si="171"/>
        <v>0</v>
      </c>
      <c r="BW40" s="1046"/>
      <c r="BX40" s="1047"/>
      <c r="BY40" s="1047"/>
      <c r="BZ40" s="1047"/>
      <c r="CA40" s="1048"/>
      <c r="CB40" s="1045">
        <f t="shared" si="172"/>
        <v>0</v>
      </c>
      <c r="CC40" s="1078"/>
      <c r="CD40" s="1047"/>
      <c r="CE40" s="1047"/>
      <c r="CF40" s="1047"/>
      <c r="CG40" s="1048"/>
      <c r="CH40" s="1045">
        <f t="shared" si="173"/>
        <v>0</v>
      </c>
      <c r="CI40" s="1046"/>
      <c r="CJ40" s="1047"/>
      <c r="CK40" s="1047"/>
      <c r="CL40" s="1047"/>
      <c r="CM40" s="1048"/>
      <c r="CN40" s="1045">
        <f t="shared" si="174"/>
        <v>0</v>
      </c>
      <c r="CO40" s="1078"/>
      <c r="CP40" s="1047"/>
      <c r="CQ40" s="1047"/>
      <c r="CR40" s="1047"/>
      <c r="CS40" s="1048"/>
      <c r="CT40" s="1045">
        <f t="shared" si="175"/>
        <v>0</v>
      </c>
      <c r="CU40" s="1046"/>
      <c r="CV40" s="1047"/>
      <c r="CW40" s="1047"/>
      <c r="CX40" s="1047"/>
      <c r="CY40" s="1048"/>
      <c r="CZ40" s="1045">
        <f t="shared" si="176"/>
        <v>0</v>
      </c>
      <c r="DA40" s="1078"/>
      <c r="DB40" s="1047"/>
      <c r="DC40" s="1047"/>
      <c r="DD40" s="1047"/>
      <c r="DE40" s="1048"/>
      <c r="DF40" s="1045">
        <f t="shared" si="177"/>
        <v>0</v>
      </c>
      <c r="DG40" s="1046"/>
      <c r="DH40" s="1047"/>
      <c r="DI40" s="1047"/>
      <c r="DJ40" s="1047"/>
      <c r="DK40" s="1048"/>
      <c r="DL40" s="1045">
        <f t="shared" si="178"/>
        <v>0</v>
      </c>
      <c r="DM40" s="1078"/>
      <c r="DN40" s="1047"/>
      <c r="DO40" s="1047"/>
      <c r="DP40" s="1047"/>
      <c r="DQ40" s="1048"/>
      <c r="DR40" s="1045">
        <f t="shared" si="179"/>
        <v>0</v>
      </c>
      <c r="DS40" s="1046"/>
      <c r="DT40" s="1047"/>
      <c r="DU40" s="1047"/>
      <c r="DV40" s="1047"/>
      <c r="DW40" s="1048"/>
      <c r="DX40" s="1045">
        <f t="shared" si="180"/>
        <v>0</v>
      </c>
      <c r="DY40" s="1078"/>
      <c r="DZ40" s="1047"/>
      <c r="EA40" s="1047"/>
      <c r="EB40" s="1047"/>
      <c r="EC40" s="1048"/>
      <c r="ED40" s="1045">
        <f t="shared" si="181"/>
        <v>0</v>
      </c>
      <c r="EE40" s="1046"/>
      <c r="EF40" s="1047"/>
      <c r="EG40" s="1047"/>
      <c r="EH40" s="1047"/>
      <c r="EI40" s="1048"/>
      <c r="EJ40" s="1045">
        <f t="shared" si="182"/>
        <v>0</v>
      </c>
      <c r="EK40" s="1078"/>
      <c r="EL40" s="1047"/>
      <c r="EM40" s="1047"/>
      <c r="EN40" s="1047"/>
      <c r="EO40" s="1048"/>
      <c r="EP40" s="1045">
        <f t="shared" si="183"/>
        <v>0</v>
      </c>
      <c r="EQ40" s="1046"/>
      <c r="ER40" s="1047"/>
      <c r="ES40" s="1047"/>
      <c r="ET40" s="1047"/>
      <c r="EU40" s="1048"/>
      <c r="EV40" s="1045">
        <f t="shared" si="184"/>
        <v>0</v>
      </c>
      <c r="EW40" s="1078"/>
      <c r="EX40" s="1047"/>
      <c r="EY40" s="1047"/>
      <c r="EZ40" s="1047"/>
      <c r="FA40" s="1048"/>
      <c r="FB40" s="1045">
        <f t="shared" si="185"/>
        <v>0</v>
      </c>
      <c r="FC40" s="1046"/>
      <c r="FD40" s="1047"/>
      <c r="FE40" s="1047"/>
      <c r="FF40" s="1047"/>
      <c r="FG40" s="1048"/>
      <c r="FH40" s="1045">
        <f t="shared" si="186"/>
        <v>0</v>
      </c>
      <c r="FI40" s="1078"/>
      <c r="FJ40" s="1047"/>
      <c r="FK40" s="1047"/>
      <c r="FL40" s="1047"/>
      <c r="FM40" s="1048"/>
      <c r="FN40" s="1045">
        <f t="shared" si="187"/>
        <v>0</v>
      </c>
      <c r="FO40" s="1046"/>
      <c r="FP40" s="1047"/>
      <c r="FQ40" s="1047"/>
      <c r="FR40" s="1047"/>
      <c r="FS40" s="1048"/>
      <c r="FT40" s="1045">
        <f t="shared" si="188"/>
        <v>0</v>
      </c>
      <c r="FU40" s="1078"/>
      <c r="FV40" s="1047"/>
      <c r="FW40" s="1047"/>
      <c r="FX40" s="1047"/>
      <c r="FY40" s="1048"/>
      <c r="FZ40" s="1045">
        <f t="shared" si="189"/>
        <v>0</v>
      </c>
      <c r="GA40" s="1046"/>
      <c r="GB40" s="1047"/>
      <c r="GC40" s="1047"/>
      <c r="GD40" s="1047"/>
      <c r="GE40" s="1048"/>
      <c r="GF40" s="1045">
        <f t="shared" si="190"/>
        <v>0</v>
      </c>
      <c r="GG40" s="1046">
        <f t="shared" ref="GG40:GL40" si="193">+GA40+FU40+FO40+FI40+FC40+EW40+EQ40+EK40+EE40+DY40+DS40+DM40+DG40+DA40+CU40+CO40+CI40+CC40+BW40+BQ40+BK40+BE40++AY40+AS40+AM40+AG40+AA40+U40+O40+I40+C40</f>
        <v>0</v>
      </c>
      <c r="GH40" s="1047">
        <f t="shared" si="193"/>
        <v>0</v>
      </c>
      <c r="GI40" s="1047">
        <f t="shared" si="193"/>
        <v>0</v>
      </c>
      <c r="GJ40" s="1047">
        <f t="shared" si="193"/>
        <v>0</v>
      </c>
      <c r="GK40" s="1048">
        <f t="shared" si="193"/>
        <v>0</v>
      </c>
      <c r="GL40" s="1045">
        <f t="shared" si="193"/>
        <v>0</v>
      </c>
      <c r="GM40" s="1049">
        <f t="shared" si="192"/>
        <v>0</v>
      </c>
    </row>
    <row r="41" ht="15.75" customHeight="1">
      <c r="B41" s="1062"/>
      <c r="C41" s="1046"/>
      <c r="D41" s="1047"/>
      <c r="E41" s="1047"/>
      <c r="F41" s="1047"/>
      <c r="G41" s="1048"/>
      <c r="H41" s="1045">
        <f t="shared" si="160"/>
        <v>0</v>
      </c>
      <c r="I41" s="1046"/>
      <c r="J41" s="1047"/>
      <c r="K41" s="1047"/>
      <c r="L41" s="1047"/>
      <c r="M41" s="1048"/>
      <c r="N41" s="1045">
        <f t="shared" si="161"/>
        <v>0</v>
      </c>
      <c r="O41" s="1046"/>
      <c r="P41" s="1047"/>
      <c r="Q41" s="1047"/>
      <c r="R41" s="1047"/>
      <c r="S41" s="1048"/>
      <c r="T41" s="1045">
        <f t="shared" si="162"/>
        <v>0</v>
      </c>
      <c r="U41" s="1078"/>
      <c r="V41" s="1047"/>
      <c r="W41" s="1047"/>
      <c r="X41" s="1047"/>
      <c r="Y41" s="1048"/>
      <c r="Z41" s="1045">
        <f t="shared" si="163"/>
        <v>0</v>
      </c>
      <c r="AA41" s="1046"/>
      <c r="AB41" s="1047"/>
      <c r="AC41" s="1047"/>
      <c r="AD41" s="1047"/>
      <c r="AE41" s="1048"/>
      <c r="AF41" s="1045">
        <f t="shared" si="164"/>
        <v>0</v>
      </c>
      <c r="AG41" s="1078"/>
      <c r="AH41" s="1047"/>
      <c r="AI41" s="1047"/>
      <c r="AJ41" s="1047"/>
      <c r="AK41" s="1048"/>
      <c r="AL41" s="1045">
        <f t="shared" si="165"/>
        <v>0</v>
      </c>
      <c r="AM41" s="1046"/>
      <c r="AN41" s="1047"/>
      <c r="AO41" s="1047"/>
      <c r="AP41" s="1047"/>
      <c r="AQ41" s="1048"/>
      <c r="AR41" s="1045">
        <f t="shared" si="166"/>
        <v>0</v>
      </c>
      <c r="AS41" s="1078"/>
      <c r="AT41" s="1047"/>
      <c r="AU41" s="1047"/>
      <c r="AV41" s="1047"/>
      <c r="AW41" s="1048"/>
      <c r="AX41" s="1045">
        <f t="shared" si="167"/>
        <v>0</v>
      </c>
      <c r="AY41" s="1046"/>
      <c r="AZ41" s="1047"/>
      <c r="BA41" s="1047"/>
      <c r="BB41" s="1047"/>
      <c r="BC41" s="1048"/>
      <c r="BD41" s="1045">
        <f t="shared" si="168"/>
        <v>0</v>
      </c>
      <c r="BE41" s="1078"/>
      <c r="BF41" s="1047"/>
      <c r="BG41" s="1047"/>
      <c r="BH41" s="1047"/>
      <c r="BI41" s="1048"/>
      <c r="BJ41" s="1045">
        <f t="shared" si="169"/>
        <v>0</v>
      </c>
      <c r="BK41" s="1046"/>
      <c r="BL41" s="1047"/>
      <c r="BM41" s="1047"/>
      <c r="BN41" s="1047"/>
      <c r="BO41" s="1048"/>
      <c r="BP41" s="1045">
        <f t="shared" si="170"/>
        <v>0</v>
      </c>
      <c r="BQ41" s="1078"/>
      <c r="BR41" s="1047"/>
      <c r="BS41" s="1047"/>
      <c r="BT41" s="1047"/>
      <c r="BU41" s="1048"/>
      <c r="BV41" s="1045">
        <f t="shared" si="171"/>
        <v>0</v>
      </c>
      <c r="BW41" s="1046"/>
      <c r="BX41" s="1047"/>
      <c r="BY41" s="1047"/>
      <c r="BZ41" s="1047"/>
      <c r="CA41" s="1048"/>
      <c r="CB41" s="1045">
        <f t="shared" si="172"/>
        <v>0</v>
      </c>
      <c r="CC41" s="1078"/>
      <c r="CD41" s="1047"/>
      <c r="CE41" s="1047"/>
      <c r="CF41" s="1047"/>
      <c r="CG41" s="1048"/>
      <c r="CH41" s="1045">
        <f t="shared" si="173"/>
        <v>0</v>
      </c>
      <c r="CI41" s="1046"/>
      <c r="CJ41" s="1047"/>
      <c r="CK41" s="1047"/>
      <c r="CL41" s="1047"/>
      <c r="CM41" s="1048"/>
      <c r="CN41" s="1045">
        <f t="shared" si="174"/>
        <v>0</v>
      </c>
      <c r="CO41" s="1078"/>
      <c r="CP41" s="1047"/>
      <c r="CQ41" s="1047"/>
      <c r="CR41" s="1047"/>
      <c r="CS41" s="1048"/>
      <c r="CT41" s="1045">
        <f t="shared" si="175"/>
        <v>0</v>
      </c>
      <c r="CU41" s="1046"/>
      <c r="CV41" s="1047"/>
      <c r="CW41" s="1047"/>
      <c r="CX41" s="1047"/>
      <c r="CY41" s="1048"/>
      <c r="CZ41" s="1045">
        <f t="shared" si="176"/>
        <v>0</v>
      </c>
      <c r="DA41" s="1078"/>
      <c r="DB41" s="1047"/>
      <c r="DC41" s="1047"/>
      <c r="DD41" s="1047"/>
      <c r="DE41" s="1048"/>
      <c r="DF41" s="1045">
        <f t="shared" si="177"/>
        <v>0</v>
      </c>
      <c r="DG41" s="1046"/>
      <c r="DH41" s="1047"/>
      <c r="DI41" s="1047"/>
      <c r="DJ41" s="1047"/>
      <c r="DK41" s="1048"/>
      <c r="DL41" s="1045">
        <f t="shared" si="178"/>
        <v>0</v>
      </c>
      <c r="DM41" s="1078"/>
      <c r="DN41" s="1047"/>
      <c r="DO41" s="1047"/>
      <c r="DP41" s="1047"/>
      <c r="DQ41" s="1048"/>
      <c r="DR41" s="1045">
        <f t="shared" si="179"/>
        <v>0</v>
      </c>
      <c r="DS41" s="1046"/>
      <c r="DT41" s="1047"/>
      <c r="DU41" s="1047"/>
      <c r="DV41" s="1047"/>
      <c r="DW41" s="1048"/>
      <c r="DX41" s="1045">
        <f t="shared" si="180"/>
        <v>0</v>
      </c>
      <c r="DY41" s="1078"/>
      <c r="DZ41" s="1047"/>
      <c r="EA41" s="1047"/>
      <c r="EB41" s="1047"/>
      <c r="EC41" s="1048"/>
      <c r="ED41" s="1045">
        <f t="shared" si="181"/>
        <v>0</v>
      </c>
      <c r="EE41" s="1046"/>
      <c r="EF41" s="1047"/>
      <c r="EG41" s="1047"/>
      <c r="EH41" s="1047"/>
      <c r="EI41" s="1048"/>
      <c r="EJ41" s="1045">
        <f t="shared" si="182"/>
        <v>0</v>
      </c>
      <c r="EK41" s="1078"/>
      <c r="EL41" s="1047"/>
      <c r="EM41" s="1047"/>
      <c r="EN41" s="1047"/>
      <c r="EO41" s="1048"/>
      <c r="EP41" s="1045">
        <f t="shared" si="183"/>
        <v>0</v>
      </c>
      <c r="EQ41" s="1046"/>
      <c r="ER41" s="1047"/>
      <c r="ES41" s="1047"/>
      <c r="ET41" s="1047"/>
      <c r="EU41" s="1048"/>
      <c r="EV41" s="1045">
        <f t="shared" si="184"/>
        <v>0</v>
      </c>
      <c r="EW41" s="1078"/>
      <c r="EX41" s="1047"/>
      <c r="EY41" s="1047"/>
      <c r="EZ41" s="1047"/>
      <c r="FA41" s="1048"/>
      <c r="FB41" s="1045">
        <f t="shared" si="185"/>
        <v>0</v>
      </c>
      <c r="FC41" s="1046"/>
      <c r="FD41" s="1047"/>
      <c r="FE41" s="1047"/>
      <c r="FF41" s="1047"/>
      <c r="FG41" s="1048"/>
      <c r="FH41" s="1045">
        <f t="shared" si="186"/>
        <v>0</v>
      </c>
      <c r="FI41" s="1078"/>
      <c r="FJ41" s="1047"/>
      <c r="FK41" s="1047"/>
      <c r="FL41" s="1047"/>
      <c r="FM41" s="1048"/>
      <c r="FN41" s="1045">
        <f t="shared" si="187"/>
        <v>0</v>
      </c>
      <c r="FO41" s="1046"/>
      <c r="FP41" s="1047"/>
      <c r="FQ41" s="1047"/>
      <c r="FR41" s="1047"/>
      <c r="FS41" s="1048"/>
      <c r="FT41" s="1045">
        <f t="shared" si="188"/>
        <v>0</v>
      </c>
      <c r="FU41" s="1078"/>
      <c r="FV41" s="1047"/>
      <c r="FW41" s="1047"/>
      <c r="FX41" s="1047"/>
      <c r="FY41" s="1048"/>
      <c r="FZ41" s="1045">
        <f t="shared" si="189"/>
        <v>0</v>
      </c>
      <c r="GA41" s="1046"/>
      <c r="GB41" s="1047"/>
      <c r="GC41" s="1047"/>
      <c r="GD41" s="1047"/>
      <c r="GE41" s="1048"/>
      <c r="GF41" s="1045">
        <f t="shared" si="190"/>
        <v>0</v>
      </c>
      <c r="GG41" s="1046">
        <f t="shared" ref="GG41:GL41" si="194">+GA41+FU41+FO41+FI41+FC41+EW41+EQ41+EK41+EE41+DY41+DS41+DM41+DG41+DA41+CU41+CO41+CI41+CC41+BW41+BQ41+BK41+BE41++AY41+AS41+AM41+AG41+AA41+U41+O41+I41+C41</f>
        <v>0</v>
      </c>
      <c r="GH41" s="1047">
        <f t="shared" si="194"/>
        <v>0</v>
      </c>
      <c r="GI41" s="1047">
        <f t="shared" si="194"/>
        <v>0</v>
      </c>
      <c r="GJ41" s="1047">
        <f t="shared" si="194"/>
        <v>0</v>
      </c>
      <c r="GK41" s="1048">
        <f t="shared" si="194"/>
        <v>0</v>
      </c>
      <c r="GL41" s="1045">
        <f t="shared" si="194"/>
        <v>0</v>
      </c>
      <c r="GM41" s="1049">
        <f t="shared" si="192"/>
        <v>0</v>
      </c>
    </row>
    <row r="42" ht="15.75" customHeight="1">
      <c r="B42" s="1062"/>
      <c r="C42" s="1046"/>
      <c r="D42" s="1047"/>
      <c r="E42" s="1047"/>
      <c r="F42" s="1047"/>
      <c r="G42" s="1048"/>
      <c r="H42" s="1045">
        <f t="shared" si="160"/>
        <v>0</v>
      </c>
      <c r="I42" s="1046"/>
      <c r="J42" s="1047"/>
      <c r="K42" s="1047"/>
      <c r="L42" s="1047"/>
      <c r="M42" s="1048"/>
      <c r="N42" s="1045">
        <f t="shared" si="161"/>
        <v>0</v>
      </c>
      <c r="O42" s="1046"/>
      <c r="P42" s="1047"/>
      <c r="Q42" s="1047"/>
      <c r="R42" s="1047"/>
      <c r="S42" s="1048"/>
      <c r="T42" s="1045">
        <f t="shared" si="162"/>
        <v>0</v>
      </c>
      <c r="U42" s="1078"/>
      <c r="V42" s="1047"/>
      <c r="W42" s="1047"/>
      <c r="X42" s="1047"/>
      <c r="Y42" s="1048"/>
      <c r="Z42" s="1045">
        <f t="shared" si="163"/>
        <v>0</v>
      </c>
      <c r="AA42" s="1046"/>
      <c r="AB42" s="1047"/>
      <c r="AC42" s="1047"/>
      <c r="AD42" s="1047"/>
      <c r="AE42" s="1048"/>
      <c r="AF42" s="1045">
        <f t="shared" si="164"/>
        <v>0</v>
      </c>
      <c r="AG42" s="1078"/>
      <c r="AH42" s="1047"/>
      <c r="AI42" s="1047"/>
      <c r="AJ42" s="1047"/>
      <c r="AK42" s="1048"/>
      <c r="AL42" s="1045">
        <f t="shared" si="165"/>
        <v>0</v>
      </c>
      <c r="AM42" s="1046"/>
      <c r="AN42" s="1047"/>
      <c r="AO42" s="1047"/>
      <c r="AP42" s="1047"/>
      <c r="AQ42" s="1048"/>
      <c r="AR42" s="1045">
        <f t="shared" si="166"/>
        <v>0</v>
      </c>
      <c r="AS42" s="1078"/>
      <c r="AT42" s="1047"/>
      <c r="AU42" s="1047"/>
      <c r="AV42" s="1047"/>
      <c r="AW42" s="1048"/>
      <c r="AX42" s="1045">
        <f t="shared" si="167"/>
        <v>0</v>
      </c>
      <c r="AY42" s="1046"/>
      <c r="AZ42" s="1047"/>
      <c r="BA42" s="1047"/>
      <c r="BB42" s="1047"/>
      <c r="BC42" s="1048"/>
      <c r="BD42" s="1045">
        <f t="shared" si="168"/>
        <v>0</v>
      </c>
      <c r="BE42" s="1078"/>
      <c r="BF42" s="1047"/>
      <c r="BG42" s="1047"/>
      <c r="BH42" s="1047"/>
      <c r="BI42" s="1048"/>
      <c r="BJ42" s="1045">
        <f t="shared" si="169"/>
        <v>0</v>
      </c>
      <c r="BK42" s="1046"/>
      <c r="BL42" s="1047"/>
      <c r="BM42" s="1047"/>
      <c r="BN42" s="1047"/>
      <c r="BO42" s="1048"/>
      <c r="BP42" s="1045">
        <f t="shared" si="170"/>
        <v>0</v>
      </c>
      <c r="BQ42" s="1078"/>
      <c r="BR42" s="1047"/>
      <c r="BS42" s="1047"/>
      <c r="BT42" s="1047"/>
      <c r="BU42" s="1048"/>
      <c r="BV42" s="1045">
        <f t="shared" si="171"/>
        <v>0</v>
      </c>
      <c r="BW42" s="1046"/>
      <c r="BX42" s="1047"/>
      <c r="BY42" s="1047"/>
      <c r="BZ42" s="1047"/>
      <c r="CA42" s="1048"/>
      <c r="CB42" s="1045">
        <f t="shared" si="172"/>
        <v>0</v>
      </c>
      <c r="CC42" s="1078"/>
      <c r="CD42" s="1047"/>
      <c r="CE42" s="1047"/>
      <c r="CF42" s="1047"/>
      <c r="CG42" s="1048"/>
      <c r="CH42" s="1045">
        <f t="shared" si="173"/>
        <v>0</v>
      </c>
      <c r="CI42" s="1046"/>
      <c r="CJ42" s="1047"/>
      <c r="CK42" s="1047"/>
      <c r="CL42" s="1047"/>
      <c r="CM42" s="1048"/>
      <c r="CN42" s="1045">
        <f t="shared" si="174"/>
        <v>0</v>
      </c>
      <c r="CO42" s="1078"/>
      <c r="CP42" s="1047"/>
      <c r="CQ42" s="1047"/>
      <c r="CR42" s="1047"/>
      <c r="CS42" s="1048"/>
      <c r="CT42" s="1045">
        <f t="shared" si="175"/>
        <v>0</v>
      </c>
      <c r="CU42" s="1046"/>
      <c r="CV42" s="1047"/>
      <c r="CW42" s="1047"/>
      <c r="CX42" s="1047"/>
      <c r="CY42" s="1048"/>
      <c r="CZ42" s="1045">
        <f t="shared" si="176"/>
        <v>0</v>
      </c>
      <c r="DA42" s="1078"/>
      <c r="DB42" s="1047"/>
      <c r="DC42" s="1047"/>
      <c r="DD42" s="1047"/>
      <c r="DE42" s="1048"/>
      <c r="DF42" s="1045">
        <f t="shared" si="177"/>
        <v>0</v>
      </c>
      <c r="DG42" s="1046"/>
      <c r="DH42" s="1047"/>
      <c r="DI42" s="1047"/>
      <c r="DJ42" s="1047"/>
      <c r="DK42" s="1048"/>
      <c r="DL42" s="1045">
        <f t="shared" si="178"/>
        <v>0</v>
      </c>
      <c r="DM42" s="1078"/>
      <c r="DN42" s="1047"/>
      <c r="DO42" s="1047"/>
      <c r="DP42" s="1047"/>
      <c r="DQ42" s="1048"/>
      <c r="DR42" s="1045">
        <f t="shared" si="179"/>
        <v>0</v>
      </c>
      <c r="DS42" s="1046"/>
      <c r="DT42" s="1047"/>
      <c r="DU42" s="1047"/>
      <c r="DV42" s="1047"/>
      <c r="DW42" s="1048"/>
      <c r="DX42" s="1045">
        <f t="shared" si="180"/>
        <v>0</v>
      </c>
      <c r="DY42" s="1078"/>
      <c r="DZ42" s="1047"/>
      <c r="EA42" s="1047"/>
      <c r="EB42" s="1047"/>
      <c r="EC42" s="1048"/>
      <c r="ED42" s="1045">
        <f t="shared" si="181"/>
        <v>0</v>
      </c>
      <c r="EE42" s="1046"/>
      <c r="EF42" s="1047"/>
      <c r="EG42" s="1047"/>
      <c r="EH42" s="1047"/>
      <c r="EI42" s="1048"/>
      <c r="EJ42" s="1045">
        <f t="shared" si="182"/>
        <v>0</v>
      </c>
      <c r="EK42" s="1078"/>
      <c r="EL42" s="1047"/>
      <c r="EM42" s="1047"/>
      <c r="EN42" s="1047"/>
      <c r="EO42" s="1048"/>
      <c r="EP42" s="1045">
        <f t="shared" si="183"/>
        <v>0</v>
      </c>
      <c r="EQ42" s="1046"/>
      <c r="ER42" s="1047"/>
      <c r="ES42" s="1047"/>
      <c r="ET42" s="1047"/>
      <c r="EU42" s="1048"/>
      <c r="EV42" s="1045">
        <f t="shared" si="184"/>
        <v>0</v>
      </c>
      <c r="EW42" s="1078"/>
      <c r="EX42" s="1047"/>
      <c r="EY42" s="1047"/>
      <c r="EZ42" s="1047"/>
      <c r="FA42" s="1048"/>
      <c r="FB42" s="1045">
        <f t="shared" si="185"/>
        <v>0</v>
      </c>
      <c r="FC42" s="1046"/>
      <c r="FD42" s="1047"/>
      <c r="FE42" s="1047"/>
      <c r="FF42" s="1047"/>
      <c r="FG42" s="1048"/>
      <c r="FH42" s="1045">
        <f t="shared" si="186"/>
        <v>0</v>
      </c>
      <c r="FI42" s="1078"/>
      <c r="FJ42" s="1047"/>
      <c r="FK42" s="1047"/>
      <c r="FL42" s="1047"/>
      <c r="FM42" s="1048"/>
      <c r="FN42" s="1045">
        <f t="shared" si="187"/>
        <v>0</v>
      </c>
      <c r="FO42" s="1046"/>
      <c r="FP42" s="1047"/>
      <c r="FQ42" s="1047"/>
      <c r="FR42" s="1047"/>
      <c r="FS42" s="1048"/>
      <c r="FT42" s="1045">
        <f t="shared" si="188"/>
        <v>0</v>
      </c>
      <c r="FU42" s="1078"/>
      <c r="FV42" s="1047"/>
      <c r="FW42" s="1047"/>
      <c r="FX42" s="1047"/>
      <c r="FY42" s="1048"/>
      <c r="FZ42" s="1045">
        <f t="shared" si="189"/>
        <v>0</v>
      </c>
      <c r="GA42" s="1046"/>
      <c r="GB42" s="1047"/>
      <c r="GC42" s="1047"/>
      <c r="GD42" s="1047"/>
      <c r="GE42" s="1048"/>
      <c r="GF42" s="1045">
        <f t="shared" si="190"/>
        <v>0</v>
      </c>
      <c r="GG42" s="1046">
        <f t="shared" ref="GG42:GL42" si="195">+GA42+FU42+FO42+FI42+FC42+EW42+EQ42+EK42+EE42+DY42+DS42+DM42+DG42+DA42+CU42+CO42+CI42+CC42+BW42+BQ42+BK42+BE42++AY42+AS42+AM42+AG42+AA42+U42+O42+I42+C42</f>
        <v>0</v>
      </c>
      <c r="GH42" s="1047">
        <f t="shared" si="195"/>
        <v>0</v>
      </c>
      <c r="GI42" s="1047">
        <f t="shared" si="195"/>
        <v>0</v>
      </c>
      <c r="GJ42" s="1047">
        <f t="shared" si="195"/>
        <v>0</v>
      </c>
      <c r="GK42" s="1048">
        <f t="shared" si="195"/>
        <v>0</v>
      </c>
      <c r="GL42" s="1045">
        <f t="shared" si="195"/>
        <v>0</v>
      </c>
      <c r="GM42" s="1049">
        <f t="shared" si="192"/>
        <v>0</v>
      </c>
    </row>
    <row r="43" ht="15.75" customHeight="1">
      <c r="B43" s="1062"/>
      <c r="C43" s="1046"/>
      <c r="D43" s="1047"/>
      <c r="E43" s="1047"/>
      <c r="F43" s="1047"/>
      <c r="G43" s="1048"/>
      <c r="H43" s="1045">
        <f t="shared" si="160"/>
        <v>0</v>
      </c>
      <c r="I43" s="1046"/>
      <c r="J43" s="1047"/>
      <c r="K43" s="1047"/>
      <c r="L43" s="1047"/>
      <c r="M43" s="1048"/>
      <c r="N43" s="1045">
        <f t="shared" si="161"/>
        <v>0</v>
      </c>
      <c r="O43" s="1046"/>
      <c r="P43" s="1047"/>
      <c r="Q43" s="1047"/>
      <c r="R43" s="1047"/>
      <c r="S43" s="1048"/>
      <c r="T43" s="1045">
        <f t="shared" si="162"/>
        <v>0</v>
      </c>
      <c r="U43" s="1078"/>
      <c r="V43" s="1047"/>
      <c r="W43" s="1047"/>
      <c r="X43" s="1047"/>
      <c r="Y43" s="1048"/>
      <c r="Z43" s="1045">
        <f t="shared" si="163"/>
        <v>0</v>
      </c>
      <c r="AA43" s="1046"/>
      <c r="AB43" s="1047"/>
      <c r="AC43" s="1047"/>
      <c r="AD43" s="1047"/>
      <c r="AE43" s="1048"/>
      <c r="AF43" s="1045">
        <f t="shared" si="164"/>
        <v>0</v>
      </c>
      <c r="AG43" s="1078"/>
      <c r="AH43" s="1047"/>
      <c r="AI43" s="1047"/>
      <c r="AJ43" s="1047"/>
      <c r="AK43" s="1048"/>
      <c r="AL43" s="1045">
        <f t="shared" si="165"/>
        <v>0</v>
      </c>
      <c r="AM43" s="1046"/>
      <c r="AN43" s="1047"/>
      <c r="AO43" s="1047"/>
      <c r="AP43" s="1047"/>
      <c r="AQ43" s="1048"/>
      <c r="AR43" s="1045">
        <f t="shared" si="166"/>
        <v>0</v>
      </c>
      <c r="AS43" s="1078"/>
      <c r="AT43" s="1047"/>
      <c r="AU43" s="1047"/>
      <c r="AV43" s="1047"/>
      <c r="AW43" s="1048"/>
      <c r="AX43" s="1045">
        <f t="shared" si="167"/>
        <v>0</v>
      </c>
      <c r="AY43" s="1046"/>
      <c r="AZ43" s="1047"/>
      <c r="BA43" s="1047"/>
      <c r="BB43" s="1047"/>
      <c r="BC43" s="1048"/>
      <c r="BD43" s="1045">
        <f t="shared" si="168"/>
        <v>0</v>
      </c>
      <c r="BE43" s="1078"/>
      <c r="BF43" s="1047"/>
      <c r="BG43" s="1047"/>
      <c r="BH43" s="1047"/>
      <c r="BI43" s="1048"/>
      <c r="BJ43" s="1045">
        <f t="shared" si="169"/>
        <v>0</v>
      </c>
      <c r="BK43" s="1046"/>
      <c r="BL43" s="1047"/>
      <c r="BM43" s="1047"/>
      <c r="BN43" s="1047"/>
      <c r="BO43" s="1048"/>
      <c r="BP43" s="1045">
        <f t="shared" si="170"/>
        <v>0</v>
      </c>
      <c r="BQ43" s="1078"/>
      <c r="BR43" s="1047"/>
      <c r="BS43" s="1047"/>
      <c r="BT43" s="1047"/>
      <c r="BU43" s="1048"/>
      <c r="BV43" s="1045">
        <f t="shared" si="171"/>
        <v>0</v>
      </c>
      <c r="BW43" s="1046"/>
      <c r="BX43" s="1047"/>
      <c r="BY43" s="1047"/>
      <c r="BZ43" s="1047"/>
      <c r="CA43" s="1048"/>
      <c r="CB43" s="1045">
        <f t="shared" si="172"/>
        <v>0</v>
      </c>
      <c r="CC43" s="1078"/>
      <c r="CD43" s="1047"/>
      <c r="CE43" s="1047"/>
      <c r="CF43" s="1047"/>
      <c r="CG43" s="1048"/>
      <c r="CH43" s="1045">
        <f t="shared" si="173"/>
        <v>0</v>
      </c>
      <c r="CI43" s="1046"/>
      <c r="CJ43" s="1047"/>
      <c r="CK43" s="1047"/>
      <c r="CL43" s="1047"/>
      <c r="CM43" s="1048"/>
      <c r="CN43" s="1045">
        <f t="shared" si="174"/>
        <v>0</v>
      </c>
      <c r="CO43" s="1078"/>
      <c r="CP43" s="1047"/>
      <c r="CQ43" s="1047"/>
      <c r="CR43" s="1047"/>
      <c r="CS43" s="1048"/>
      <c r="CT43" s="1045">
        <f t="shared" si="175"/>
        <v>0</v>
      </c>
      <c r="CU43" s="1046"/>
      <c r="CV43" s="1047"/>
      <c r="CW43" s="1047"/>
      <c r="CX43" s="1047"/>
      <c r="CY43" s="1048"/>
      <c r="CZ43" s="1045">
        <f t="shared" si="176"/>
        <v>0</v>
      </c>
      <c r="DA43" s="1078"/>
      <c r="DB43" s="1047"/>
      <c r="DC43" s="1047"/>
      <c r="DD43" s="1047"/>
      <c r="DE43" s="1048"/>
      <c r="DF43" s="1045">
        <f t="shared" si="177"/>
        <v>0</v>
      </c>
      <c r="DG43" s="1046"/>
      <c r="DH43" s="1047"/>
      <c r="DI43" s="1047"/>
      <c r="DJ43" s="1047"/>
      <c r="DK43" s="1048"/>
      <c r="DL43" s="1045">
        <f t="shared" si="178"/>
        <v>0</v>
      </c>
      <c r="DM43" s="1078"/>
      <c r="DN43" s="1047"/>
      <c r="DO43" s="1047"/>
      <c r="DP43" s="1047"/>
      <c r="DQ43" s="1048"/>
      <c r="DR43" s="1045">
        <f t="shared" si="179"/>
        <v>0</v>
      </c>
      <c r="DS43" s="1046"/>
      <c r="DT43" s="1047"/>
      <c r="DU43" s="1047"/>
      <c r="DV43" s="1047"/>
      <c r="DW43" s="1048"/>
      <c r="DX43" s="1045">
        <f t="shared" si="180"/>
        <v>0</v>
      </c>
      <c r="DY43" s="1078"/>
      <c r="DZ43" s="1047"/>
      <c r="EA43" s="1047"/>
      <c r="EB43" s="1047"/>
      <c r="EC43" s="1048"/>
      <c r="ED43" s="1045">
        <f t="shared" si="181"/>
        <v>0</v>
      </c>
      <c r="EE43" s="1046"/>
      <c r="EF43" s="1047"/>
      <c r="EG43" s="1047"/>
      <c r="EH43" s="1047"/>
      <c r="EI43" s="1048"/>
      <c r="EJ43" s="1045">
        <f t="shared" si="182"/>
        <v>0</v>
      </c>
      <c r="EK43" s="1078"/>
      <c r="EL43" s="1047"/>
      <c r="EM43" s="1047"/>
      <c r="EN43" s="1047"/>
      <c r="EO43" s="1048"/>
      <c r="EP43" s="1045">
        <f t="shared" si="183"/>
        <v>0</v>
      </c>
      <c r="EQ43" s="1046"/>
      <c r="ER43" s="1047"/>
      <c r="ES43" s="1047"/>
      <c r="ET43" s="1047"/>
      <c r="EU43" s="1048"/>
      <c r="EV43" s="1045">
        <f t="shared" si="184"/>
        <v>0</v>
      </c>
      <c r="EW43" s="1078"/>
      <c r="EX43" s="1047"/>
      <c r="EY43" s="1047"/>
      <c r="EZ43" s="1047"/>
      <c r="FA43" s="1048"/>
      <c r="FB43" s="1045">
        <f t="shared" si="185"/>
        <v>0</v>
      </c>
      <c r="FC43" s="1046"/>
      <c r="FD43" s="1047"/>
      <c r="FE43" s="1047"/>
      <c r="FF43" s="1047"/>
      <c r="FG43" s="1048"/>
      <c r="FH43" s="1045">
        <f t="shared" si="186"/>
        <v>0</v>
      </c>
      <c r="FI43" s="1078"/>
      <c r="FJ43" s="1047"/>
      <c r="FK43" s="1047"/>
      <c r="FL43" s="1047"/>
      <c r="FM43" s="1048"/>
      <c r="FN43" s="1045">
        <f t="shared" si="187"/>
        <v>0</v>
      </c>
      <c r="FO43" s="1046"/>
      <c r="FP43" s="1047"/>
      <c r="FQ43" s="1047"/>
      <c r="FR43" s="1047"/>
      <c r="FS43" s="1048"/>
      <c r="FT43" s="1045">
        <f t="shared" si="188"/>
        <v>0</v>
      </c>
      <c r="FU43" s="1078"/>
      <c r="FV43" s="1047"/>
      <c r="FW43" s="1047"/>
      <c r="FX43" s="1047"/>
      <c r="FY43" s="1048"/>
      <c r="FZ43" s="1045">
        <f t="shared" si="189"/>
        <v>0</v>
      </c>
      <c r="GA43" s="1046"/>
      <c r="GB43" s="1047"/>
      <c r="GC43" s="1047"/>
      <c r="GD43" s="1047"/>
      <c r="GE43" s="1048"/>
      <c r="GF43" s="1045">
        <f t="shared" si="190"/>
        <v>0</v>
      </c>
      <c r="GG43" s="1046">
        <f t="shared" ref="GG43:GL43" si="196">+GA43+FU43+FO43+FI43+FC43+EW43+EQ43+EK43+EE43+DY43+DS43+DM43+DG43+DA43+CU43+CO43+CI43+CC43+BW43+BQ43+BK43+BE43++AY43+AS43+AM43+AG43+AA43+U43+O43+I43+C43</f>
        <v>0</v>
      </c>
      <c r="GH43" s="1047">
        <f t="shared" si="196"/>
        <v>0</v>
      </c>
      <c r="GI43" s="1047">
        <f t="shared" si="196"/>
        <v>0</v>
      </c>
      <c r="GJ43" s="1047">
        <f t="shared" si="196"/>
        <v>0</v>
      </c>
      <c r="GK43" s="1048">
        <f t="shared" si="196"/>
        <v>0</v>
      </c>
      <c r="GL43" s="1045">
        <f t="shared" si="196"/>
        <v>0</v>
      </c>
      <c r="GM43" s="1049">
        <f t="shared" si="192"/>
        <v>0</v>
      </c>
    </row>
    <row r="44" ht="15.75" customHeight="1">
      <c r="B44" s="1062"/>
      <c r="C44" s="1046"/>
      <c r="D44" s="1047"/>
      <c r="E44" s="1047"/>
      <c r="F44" s="1047"/>
      <c r="G44" s="1048"/>
      <c r="H44" s="1045">
        <f t="shared" si="160"/>
        <v>0</v>
      </c>
      <c r="I44" s="1046"/>
      <c r="J44" s="1047"/>
      <c r="K44" s="1047"/>
      <c r="L44" s="1047"/>
      <c r="M44" s="1048"/>
      <c r="N44" s="1045">
        <f t="shared" si="161"/>
        <v>0</v>
      </c>
      <c r="O44" s="1046"/>
      <c r="P44" s="1047"/>
      <c r="Q44" s="1047"/>
      <c r="R44" s="1047"/>
      <c r="S44" s="1048"/>
      <c r="T44" s="1045">
        <f t="shared" si="162"/>
        <v>0</v>
      </c>
      <c r="U44" s="1078"/>
      <c r="V44" s="1047"/>
      <c r="W44" s="1047"/>
      <c r="X44" s="1047"/>
      <c r="Y44" s="1048"/>
      <c r="Z44" s="1045">
        <f t="shared" si="163"/>
        <v>0</v>
      </c>
      <c r="AA44" s="1046"/>
      <c r="AB44" s="1047"/>
      <c r="AC44" s="1047"/>
      <c r="AD44" s="1047"/>
      <c r="AE44" s="1048"/>
      <c r="AF44" s="1045">
        <f t="shared" si="164"/>
        <v>0</v>
      </c>
      <c r="AG44" s="1078"/>
      <c r="AH44" s="1047"/>
      <c r="AI44" s="1047"/>
      <c r="AJ44" s="1047"/>
      <c r="AK44" s="1048"/>
      <c r="AL44" s="1045">
        <f t="shared" si="165"/>
        <v>0</v>
      </c>
      <c r="AM44" s="1046"/>
      <c r="AN44" s="1047"/>
      <c r="AO44" s="1047"/>
      <c r="AP44" s="1047"/>
      <c r="AQ44" s="1048"/>
      <c r="AR44" s="1045">
        <f t="shared" si="166"/>
        <v>0</v>
      </c>
      <c r="AS44" s="1078"/>
      <c r="AT44" s="1047"/>
      <c r="AU44" s="1047"/>
      <c r="AV44" s="1047"/>
      <c r="AW44" s="1048"/>
      <c r="AX44" s="1045">
        <f t="shared" si="167"/>
        <v>0</v>
      </c>
      <c r="AY44" s="1046"/>
      <c r="AZ44" s="1047"/>
      <c r="BA44" s="1047"/>
      <c r="BB44" s="1047"/>
      <c r="BC44" s="1048"/>
      <c r="BD44" s="1045">
        <f t="shared" si="168"/>
        <v>0</v>
      </c>
      <c r="BE44" s="1078"/>
      <c r="BF44" s="1047"/>
      <c r="BG44" s="1047"/>
      <c r="BH44" s="1047"/>
      <c r="BI44" s="1048"/>
      <c r="BJ44" s="1045">
        <f t="shared" si="169"/>
        <v>0</v>
      </c>
      <c r="BK44" s="1046"/>
      <c r="BL44" s="1047"/>
      <c r="BM44" s="1047"/>
      <c r="BN44" s="1047"/>
      <c r="BO44" s="1048"/>
      <c r="BP44" s="1045">
        <f t="shared" si="170"/>
        <v>0</v>
      </c>
      <c r="BQ44" s="1078"/>
      <c r="BR44" s="1047"/>
      <c r="BS44" s="1047"/>
      <c r="BT44" s="1047"/>
      <c r="BU44" s="1048"/>
      <c r="BV44" s="1045">
        <f t="shared" si="171"/>
        <v>0</v>
      </c>
      <c r="BW44" s="1046"/>
      <c r="BX44" s="1047"/>
      <c r="BY44" s="1047"/>
      <c r="BZ44" s="1047"/>
      <c r="CA44" s="1048"/>
      <c r="CB44" s="1045">
        <f t="shared" si="172"/>
        <v>0</v>
      </c>
      <c r="CC44" s="1078"/>
      <c r="CD44" s="1047"/>
      <c r="CE44" s="1047"/>
      <c r="CF44" s="1047"/>
      <c r="CG44" s="1048"/>
      <c r="CH44" s="1045">
        <f t="shared" si="173"/>
        <v>0</v>
      </c>
      <c r="CI44" s="1046"/>
      <c r="CJ44" s="1047"/>
      <c r="CK44" s="1047"/>
      <c r="CL44" s="1047"/>
      <c r="CM44" s="1048"/>
      <c r="CN44" s="1045">
        <f t="shared" si="174"/>
        <v>0</v>
      </c>
      <c r="CO44" s="1078"/>
      <c r="CP44" s="1047"/>
      <c r="CQ44" s="1047"/>
      <c r="CR44" s="1047"/>
      <c r="CS44" s="1048"/>
      <c r="CT44" s="1045">
        <f t="shared" si="175"/>
        <v>0</v>
      </c>
      <c r="CU44" s="1046"/>
      <c r="CV44" s="1047"/>
      <c r="CW44" s="1047"/>
      <c r="CX44" s="1047"/>
      <c r="CY44" s="1048"/>
      <c r="CZ44" s="1045">
        <f t="shared" si="176"/>
        <v>0</v>
      </c>
      <c r="DA44" s="1078"/>
      <c r="DB44" s="1047"/>
      <c r="DC44" s="1047"/>
      <c r="DD44" s="1047"/>
      <c r="DE44" s="1048"/>
      <c r="DF44" s="1045">
        <f t="shared" si="177"/>
        <v>0</v>
      </c>
      <c r="DG44" s="1046"/>
      <c r="DH44" s="1047"/>
      <c r="DI44" s="1047"/>
      <c r="DJ44" s="1047"/>
      <c r="DK44" s="1048"/>
      <c r="DL44" s="1045">
        <f t="shared" si="178"/>
        <v>0</v>
      </c>
      <c r="DM44" s="1078"/>
      <c r="DN44" s="1047"/>
      <c r="DO44" s="1047"/>
      <c r="DP44" s="1047"/>
      <c r="DQ44" s="1048"/>
      <c r="DR44" s="1045">
        <f t="shared" si="179"/>
        <v>0</v>
      </c>
      <c r="DS44" s="1046"/>
      <c r="DT44" s="1047"/>
      <c r="DU44" s="1047"/>
      <c r="DV44" s="1047"/>
      <c r="DW44" s="1048"/>
      <c r="DX44" s="1045">
        <f t="shared" si="180"/>
        <v>0</v>
      </c>
      <c r="DY44" s="1078"/>
      <c r="DZ44" s="1047"/>
      <c r="EA44" s="1047"/>
      <c r="EB44" s="1047"/>
      <c r="EC44" s="1048"/>
      <c r="ED44" s="1045">
        <f t="shared" si="181"/>
        <v>0</v>
      </c>
      <c r="EE44" s="1046"/>
      <c r="EF44" s="1047"/>
      <c r="EG44" s="1047"/>
      <c r="EH44" s="1047"/>
      <c r="EI44" s="1048"/>
      <c r="EJ44" s="1045">
        <f t="shared" si="182"/>
        <v>0</v>
      </c>
      <c r="EK44" s="1078"/>
      <c r="EL44" s="1047"/>
      <c r="EM44" s="1047"/>
      <c r="EN44" s="1047"/>
      <c r="EO44" s="1048"/>
      <c r="EP44" s="1045">
        <f t="shared" si="183"/>
        <v>0</v>
      </c>
      <c r="EQ44" s="1046"/>
      <c r="ER44" s="1047"/>
      <c r="ES44" s="1047"/>
      <c r="ET44" s="1047"/>
      <c r="EU44" s="1048"/>
      <c r="EV44" s="1045">
        <f t="shared" si="184"/>
        <v>0</v>
      </c>
      <c r="EW44" s="1078"/>
      <c r="EX44" s="1047"/>
      <c r="EY44" s="1047"/>
      <c r="EZ44" s="1047"/>
      <c r="FA44" s="1048"/>
      <c r="FB44" s="1045">
        <f t="shared" si="185"/>
        <v>0</v>
      </c>
      <c r="FC44" s="1046"/>
      <c r="FD44" s="1047"/>
      <c r="FE44" s="1047"/>
      <c r="FF44" s="1047"/>
      <c r="FG44" s="1048"/>
      <c r="FH44" s="1045">
        <f t="shared" si="186"/>
        <v>0</v>
      </c>
      <c r="FI44" s="1078"/>
      <c r="FJ44" s="1047"/>
      <c r="FK44" s="1047"/>
      <c r="FL44" s="1047"/>
      <c r="FM44" s="1048"/>
      <c r="FN44" s="1045">
        <f t="shared" si="187"/>
        <v>0</v>
      </c>
      <c r="FO44" s="1046"/>
      <c r="FP44" s="1047"/>
      <c r="FQ44" s="1047"/>
      <c r="FR44" s="1047"/>
      <c r="FS44" s="1048"/>
      <c r="FT44" s="1045">
        <f t="shared" si="188"/>
        <v>0</v>
      </c>
      <c r="FU44" s="1078"/>
      <c r="FV44" s="1047"/>
      <c r="FW44" s="1047"/>
      <c r="FX44" s="1047"/>
      <c r="FY44" s="1048"/>
      <c r="FZ44" s="1045">
        <f t="shared" si="189"/>
        <v>0</v>
      </c>
      <c r="GA44" s="1046"/>
      <c r="GB44" s="1047"/>
      <c r="GC44" s="1047"/>
      <c r="GD44" s="1047"/>
      <c r="GE44" s="1048"/>
      <c r="GF44" s="1045">
        <f t="shared" si="190"/>
        <v>0</v>
      </c>
      <c r="GG44" s="1046">
        <f t="shared" ref="GG44:GL44" si="197">+GA44+FU44+FO44+FI44+FC44+EW44+EQ44+EK44+EE44+DY44+DS44+DM44+DG44+DA44+CU44+CO44+CI44+CC44+BW44+BQ44+BK44+BE44++AY44+AS44+AM44+AG44+AA44+U44+O44+I44+C44</f>
        <v>0</v>
      </c>
      <c r="GH44" s="1047">
        <f t="shared" si="197"/>
        <v>0</v>
      </c>
      <c r="GI44" s="1047">
        <f t="shared" si="197"/>
        <v>0</v>
      </c>
      <c r="GJ44" s="1047">
        <f t="shared" si="197"/>
        <v>0</v>
      </c>
      <c r="GK44" s="1048">
        <f t="shared" si="197"/>
        <v>0</v>
      </c>
      <c r="GL44" s="1045">
        <f t="shared" si="197"/>
        <v>0</v>
      </c>
      <c r="GM44" s="1049">
        <f t="shared" si="192"/>
        <v>0</v>
      </c>
    </row>
    <row r="45" ht="15.75" customHeight="1">
      <c r="B45" s="1062"/>
      <c r="C45" s="1046"/>
      <c r="D45" s="1047"/>
      <c r="E45" s="1047"/>
      <c r="F45" s="1047"/>
      <c r="G45" s="1048"/>
      <c r="H45" s="1045">
        <f t="shared" si="160"/>
        <v>0</v>
      </c>
      <c r="I45" s="1046"/>
      <c r="J45" s="1047"/>
      <c r="K45" s="1047"/>
      <c r="L45" s="1047"/>
      <c r="M45" s="1048"/>
      <c r="N45" s="1045">
        <f t="shared" si="161"/>
        <v>0</v>
      </c>
      <c r="O45" s="1046"/>
      <c r="P45" s="1047"/>
      <c r="Q45" s="1047"/>
      <c r="R45" s="1047"/>
      <c r="S45" s="1048"/>
      <c r="T45" s="1045">
        <f t="shared" si="162"/>
        <v>0</v>
      </c>
      <c r="U45" s="1078"/>
      <c r="V45" s="1047"/>
      <c r="W45" s="1047"/>
      <c r="X45" s="1047"/>
      <c r="Y45" s="1048"/>
      <c r="Z45" s="1045">
        <f t="shared" si="163"/>
        <v>0</v>
      </c>
      <c r="AA45" s="1046"/>
      <c r="AB45" s="1047"/>
      <c r="AC45" s="1047"/>
      <c r="AD45" s="1047"/>
      <c r="AE45" s="1048"/>
      <c r="AF45" s="1045">
        <f t="shared" si="164"/>
        <v>0</v>
      </c>
      <c r="AG45" s="1078"/>
      <c r="AH45" s="1047"/>
      <c r="AI45" s="1047"/>
      <c r="AJ45" s="1047"/>
      <c r="AK45" s="1048"/>
      <c r="AL45" s="1045">
        <f t="shared" si="165"/>
        <v>0</v>
      </c>
      <c r="AM45" s="1046"/>
      <c r="AN45" s="1047"/>
      <c r="AO45" s="1047"/>
      <c r="AP45" s="1047"/>
      <c r="AQ45" s="1048"/>
      <c r="AR45" s="1045">
        <f t="shared" si="166"/>
        <v>0</v>
      </c>
      <c r="AS45" s="1078"/>
      <c r="AT45" s="1047"/>
      <c r="AU45" s="1047"/>
      <c r="AV45" s="1047"/>
      <c r="AW45" s="1048"/>
      <c r="AX45" s="1045">
        <f t="shared" si="167"/>
        <v>0</v>
      </c>
      <c r="AY45" s="1046"/>
      <c r="AZ45" s="1047"/>
      <c r="BA45" s="1047"/>
      <c r="BB45" s="1047"/>
      <c r="BC45" s="1048"/>
      <c r="BD45" s="1045">
        <f t="shared" si="168"/>
        <v>0</v>
      </c>
      <c r="BE45" s="1078"/>
      <c r="BF45" s="1047"/>
      <c r="BG45" s="1047"/>
      <c r="BH45" s="1047"/>
      <c r="BI45" s="1048"/>
      <c r="BJ45" s="1045">
        <f t="shared" si="169"/>
        <v>0</v>
      </c>
      <c r="BK45" s="1046"/>
      <c r="BL45" s="1047"/>
      <c r="BM45" s="1047"/>
      <c r="BN45" s="1047"/>
      <c r="BO45" s="1048"/>
      <c r="BP45" s="1045">
        <f t="shared" si="170"/>
        <v>0</v>
      </c>
      <c r="BQ45" s="1078"/>
      <c r="BR45" s="1047"/>
      <c r="BS45" s="1047"/>
      <c r="BT45" s="1047"/>
      <c r="BU45" s="1048"/>
      <c r="BV45" s="1045">
        <f t="shared" si="171"/>
        <v>0</v>
      </c>
      <c r="BW45" s="1046"/>
      <c r="BX45" s="1047"/>
      <c r="BY45" s="1047"/>
      <c r="BZ45" s="1047"/>
      <c r="CA45" s="1048"/>
      <c r="CB45" s="1045">
        <f t="shared" si="172"/>
        <v>0</v>
      </c>
      <c r="CC45" s="1078"/>
      <c r="CD45" s="1047"/>
      <c r="CE45" s="1047"/>
      <c r="CF45" s="1047"/>
      <c r="CG45" s="1048"/>
      <c r="CH45" s="1045">
        <f t="shared" si="173"/>
        <v>0</v>
      </c>
      <c r="CI45" s="1046"/>
      <c r="CJ45" s="1047"/>
      <c r="CK45" s="1047"/>
      <c r="CL45" s="1047"/>
      <c r="CM45" s="1048"/>
      <c r="CN45" s="1045">
        <f t="shared" si="174"/>
        <v>0</v>
      </c>
      <c r="CO45" s="1078"/>
      <c r="CP45" s="1047"/>
      <c r="CQ45" s="1047"/>
      <c r="CR45" s="1047"/>
      <c r="CS45" s="1048"/>
      <c r="CT45" s="1045">
        <f t="shared" si="175"/>
        <v>0</v>
      </c>
      <c r="CU45" s="1046"/>
      <c r="CV45" s="1047"/>
      <c r="CW45" s="1047"/>
      <c r="CX45" s="1047"/>
      <c r="CY45" s="1048"/>
      <c r="CZ45" s="1045">
        <f t="shared" si="176"/>
        <v>0</v>
      </c>
      <c r="DA45" s="1078"/>
      <c r="DB45" s="1047"/>
      <c r="DC45" s="1047"/>
      <c r="DD45" s="1047"/>
      <c r="DE45" s="1048"/>
      <c r="DF45" s="1045">
        <f t="shared" si="177"/>
        <v>0</v>
      </c>
      <c r="DG45" s="1046"/>
      <c r="DH45" s="1047"/>
      <c r="DI45" s="1047"/>
      <c r="DJ45" s="1047"/>
      <c r="DK45" s="1048"/>
      <c r="DL45" s="1045">
        <f t="shared" si="178"/>
        <v>0</v>
      </c>
      <c r="DM45" s="1078"/>
      <c r="DN45" s="1047"/>
      <c r="DO45" s="1047"/>
      <c r="DP45" s="1047"/>
      <c r="DQ45" s="1048"/>
      <c r="DR45" s="1045">
        <f t="shared" si="179"/>
        <v>0</v>
      </c>
      <c r="DS45" s="1046"/>
      <c r="DT45" s="1047"/>
      <c r="DU45" s="1047"/>
      <c r="DV45" s="1047"/>
      <c r="DW45" s="1048"/>
      <c r="DX45" s="1045">
        <f t="shared" si="180"/>
        <v>0</v>
      </c>
      <c r="DY45" s="1078"/>
      <c r="DZ45" s="1047"/>
      <c r="EA45" s="1047"/>
      <c r="EB45" s="1047"/>
      <c r="EC45" s="1048"/>
      <c r="ED45" s="1045">
        <f t="shared" si="181"/>
        <v>0</v>
      </c>
      <c r="EE45" s="1046"/>
      <c r="EF45" s="1047"/>
      <c r="EG45" s="1047"/>
      <c r="EH45" s="1047"/>
      <c r="EI45" s="1048"/>
      <c r="EJ45" s="1045">
        <f t="shared" si="182"/>
        <v>0</v>
      </c>
      <c r="EK45" s="1078"/>
      <c r="EL45" s="1047"/>
      <c r="EM45" s="1047"/>
      <c r="EN45" s="1047"/>
      <c r="EO45" s="1048"/>
      <c r="EP45" s="1045">
        <f t="shared" si="183"/>
        <v>0</v>
      </c>
      <c r="EQ45" s="1046"/>
      <c r="ER45" s="1047"/>
      <c r="ES45" s="1047"/>
      <c r="ET45" s="1047"/>
      <c r="EU45" s="1048"/>
      <c r="EV45" s="1045">
        <f t="shared" si="184"/>
        <v>0</v>
      </c>
      <c r="EW45" s="1078"/>
      <c r="EX45" s="1047"/>
      <c r="EY45" s="1047"/>
      <c r="EZ45" s="1047"/>
      <c r="FA45" s="1048"/>
      <c r="FB45" s="1045">
        <f t="shared" si="185"/>
        <v>0</v>
      </c>
      <c r="FC45" s="1046"/>
      <c r="FD45" s="1047"/>
      <c r="FE45" s="1047"/>
      <c r="FF45" s="1047"/>
      <c r="FG45" s="1048"/>
      <c r="FH45" s="1045">
        <f t="shared" si="186"/>
        <v>0</v>
      </c>
      <c r="FI45" s="1078"/>
      <c r="FJ45" s="1047"/>
      <c r="FK45" s="1047"/>
      <c r="FL45" s="1047"/>
      <c r="FM45" s="1048"/>
      <c r="FN45" s="1045">
        <f t="shared" si="187"/>
        <v>0</v>
      </c>
      <c r="FO45" s="1046"/>
      <c r="FP45" s="1047"/>
      <c r="FQ45" s="1047"/>
      <c r="FR45" s="1047"/>
      <c r="FS45" s="1048"/>
      <c r="FT45" s="1045">
        <f t="shared" si="188"/>
        <v>0</v>
      </c>
      <c r="FU45" s="1078"/>
      <c r="FV45" s="1047"/>
      <c r="FW45" s="1047"/>
      <c r="FX45" s="1047"/>
      <c r="FY45" s="1048"/>
      <c r="FZ45" s="1045">
        <f t="shared" si="189"/>
        <v>0</v>
      </c>
      <c r="GA45" s="1046"/>
      <c r="GB45" s="1047"/>
      <c r="GC45" s="1047"/>
      <c r="GD45" s="1047"/>
      <c r="GE45" s="1048"/>
      <c r="GF45" s="1045">
        <f t="shared" si="190"/>
        <v>0</v>
      </c>
      <c r="GG45" s="1046">
        <f t="shared" ref="GG45:GL45" si="198">+GA45+FU45+FO45+FI45+FC45+EW45+EQ45+EK45+EE45+DY45+DS45+DM45+DG45+DA45+CU45+CO45+CI45+CC45+BW45+BQ45+BK45+BE45++AY45+AS45+AM45+AG45+AA45+U45+O45+I45+C45</f>
        <v>0</v>
      </c>
      <c r="GH45" s="1047">
        <f t="shared" si="198"/>
        <v>0</v>
      </c>
      <c r="GI45" s="1047">
        <f t="shared" si="198"/>
        <v>0</v>
      </c>
      <c r="GJ45" s="1047">
        <f t="shared" si="198"/>
        <v>0</v>
      </c>
      <c r="GK45" s="1048">
        <f t="shared" si="198"/>
        <v>0</v>
      </c>
      <c r="GL45" s="1045">
        <f t="shared" si="198"/>
        <v>0</v>
      </c>
      <c r="GM45" s="1049">
        <f t="shared" si="192"/>
        <v>0</v>
      </c>
    </row>
    <row r="46" ht="15.75" customHeight="1">
      <c r="B46" s="1062"/>
      <c r="C46" s="1046"/>
      <c r="D46" s="1047"/>
      <c r="E46" s="1047"/>
      <c r="F46" s="1047"/>
      <c r="G46" s="1048"/>
      <c r="H46" s="1045">
        <f t="shared" si="160"/>
        <v>0</v>
      </c>
      <c r="I46" s="1046"/>
      <c r="J46" s="1047"/>
      <c r="K46" s="1047"/>
      <c r="L46" s="1047"/>
      <c r="M46" s="1048"/>
      <c r="N46" s="1045">
        <f t="shared" si="161"/>
        <v>0</v>
      </c>
      <c r="O46" s="1046"/>
      <c r="P46" s="1047"/>
      <c r="Q46" s="1047"/>
      <c r="R46" s="1047"/>
      <c r="S46" s="1048"/>
      <c r="T46" s="1045">
        <f t="shared" si="162"/>
        <v>0</v>
      </c>
      <c r="U46" s="1078"/>
      <c r="V46" s="1047"/>
      <c r="W46" s="1047"/>
      <c r="X46" s="1047"/>
      <c r="Y46" s="1048"/>
      <c r="Z46" s="1045">
        <f t="shared" si="163"/>
        <v>0</v>
      </c>
      <c r="AA46" s="1046"/>
      <c r="AB46" s="1047"/>
      <c r="AC46" s="1047"/>
      <c r="AD46" s="1047"/>
      <c r="AE46" s="1048"/>
      <c r="AF46" s="1045">
        <f t="shared" si="164"/>
        <v>0</v>
      </c>
      <c r="AG46" s="1078"/>
      <c r="AH46" s="1047"/>
      <c r="AI46" s="1047"/>
      <c r="AJ46" s="1047"/>
      <c r="AK46" s="1048"/>
      <c r="AL46" s="1045">
        <f t="shared" si="165"/>
        <v>0</v>
      </c>
      <c r="AM46" s="1046"/>
      <c r="AN46" s="1047"/>
      <c r="AO46" s="1047"/>
      <c r="AP46" s="1047"/>
      <c r="AQ46" s="1048"/>
      <c r="AR46" s="1045">
        <f t="shared" si="166"/>
        <v>0</v>
      </c>
      <c r="AS46" s="1078"/>
      <c r="AT46" s="1047"/>
      <c r="AU46" s="1047"/>
      <c r="AV46" s="1047"/>
      <c r="AW46" s="1048"/>
      <c r="AX46" s="1045">
        <f t="shared" si="167"/>
        <v>0</v>
      </c>
      <c r="AY46" s="1046"/>
      <c r="AZ46" s="1047"/>
      <c r="BA46" s="1047"/>
      <c r="BB46" s="1047"/>
      <c r="BC46" s="1048"/>
      <c r="BD46" s="1045">
        <f t="shared" si="168"/>
        <v>0</v>
      </c>
      <c r="BE46" s="1078"/>
      <c r="BF46" s="1047"/>
      <c r="BG46" s="1047"/>
      <c r="BH46" s="1047"/>
      <c r="BI46" s="1048"/>
      <c r="BJ46" s="1045">
        <f t="shared" si="169"/>
        <v>0</v>
      </c>
      <c r="BK46" s="1046"/>
      <c r="BL46" s="1047"/>
      <c r="BM46" s="1047"/>
      <c r="BN46" s="1047"/>
      <c r="BO46" s="1048"/>
      <c r="BP46" s="1045">
        <f t="shared" si="170"/>
        <v>0</v>
      </c>
      <c r="BQ46" s="1078"/>
      <c r="BR46" s="1047"/>
      <c r="BS46" s="1047"/>
      <c r="BT46" s="1047"/>
      <c r="BU46" s="1048"/>
      <c r="BV46" s="1045">
        <f t="shared" si="171"/>
        <v>0</v>
      </c>
      <c r="BW46" s="1046"/>
      <c r="BX46" s="1047"/>
      <c r="BY46" s="1047"/>
      <c r="BZ46" s="1047"/>
      <c r="CA46" s="1048"/>
      <c r="CB46" s="1045">
        <f t="shared" si="172"/>
        <v>0</v>
      </c>
      <c r="CC46" s="1078"/>
      <c r="CD46" s="1047"/>
      <c r="CE46" s="1047"/>
      <c r="CF46" s="1047"/>
      <c r="CG46" s="1048"/>
      <c r="CH46" s="1045">
        <f t="shared" si="173"/>
        <v>0</v>
      </c>
      <c r="CI46" s="1046"/>
      <c r="CJ46" s="1047"/>
      <c r="CK46" s="1047"/>
      <c r="CL46" s="1047"/>
      <c r="CM46" s="1048"/>
      <c r="CN46" s="1045">
        <f t="shared" si="174"/>
        <v>0</v>
      </c>
      <c r="CO46" s="1078"/>
      <c r="CP46" s="1047"/>
      <c r="CQ46" s="1047"/>
      <c r="CR46" s="1047"/>
      <c r="CS46" s="1048"/>
      <c r="CT46" s="1045">
        <f t="shared" si="175"/>
        <v>0</v>
      </c>
      <c r="CU46" s="1046"/>
      <c r="CV46" s="1047"/>
      <c r="CW46" s="1047"/>
      <c r="CX46" s="1047"/>
      <c r="CY46" s="1048"/>
      <c r="CZ46" s="1045">
        <f t="shared" si="176"/>
        <v>0</v>
      </c>
      <c r="DA46" s="1078"/>
      <c r="DB46" s="1047"/>
      <c r="DC46" s="1047"/>
      <c r="DD46" s="1047"/>
      <c r="DE46" s="1048"/>
      <c r="DF46" s="1045">
        <f t="shared" si="177"/>
        <v>0</v>
      </c>
      <c r="DG46" s="1046"/>
      <c r="DH46" s="1047"/>
      <c r="DI46" s="1047"/>
      <c r="DJ46" s="1047"/>
      <c r="DK46" s="1048"/>
      <c r="DL46" s="1045">
        <f t="shared" si="178"/>
        <v>0</v>
      </c>
      <c r="DM46" s="1078"/>
      <c r="DN46" s="1047"/>
      <c r="DO46" s="1047"/>
      <c r="DP46" s="1047"/>
      <c r="DQ46" s="1048"/>
      <c r="DR46" s="1045">
        <f t="shared" si="179"/>
        <v>0</v>
      </c>
      <c r="DS46" s="1046"/>
      <c r="DT46" s="1047"/>
      <c r="DU46" s="1047"/>
      <c r="DV46" s="1047"/>
      <c r="DW46" s="1048"/>
      <c r="DX46" s="1045">
        <f t="shared" si="180"/>
        <v>0</v>
      </c>
      <c r="DY46" s="1078"/>
      <c r="DZ46" s="1047"/>
      <c r="EA46" s="1047"/>
      <c r="EB46" s="1047"/>
      <c r="EC46" s="1048"/>
      <c r="ED46" s="1045">
        <f t="shared" si="181"/>
        <v>0</v>
      </c>
      <c r="EE46" s="1046"/>
      <c r="EF46" s="1047"/>
      <c r="EG46" s="1047"/>
      <c r="EH46" s="1047"/>
      <c r="EI46" s="1048"/>
      <c r="EJ46" s="1045">
        <f t="shared" si="182"/>
        <v>0</v>
      </c>
      <c r="EK46" s="1078"/>
      <c r="EL46" s="1047"/>
      <c r="EM46" s="1047"/>
      <c r="EN46" s="1047"/>
      <c r="EO46" s="1048"/>
      <c r="EP46" s="1045">
        <f t="shared" si="183"/>
        <v>0</v>
      </c>
      <c r="EQ46" s="1046"/>
      <c r="ER46" s="1047"/>
      <c r="ES46" s="1047"/>
      <c r="ET46" s="1047"/>
      <c r="EU46" s="1048"/>
      <c r="EV46" s="1045">
        <f t="shared" si="184"/>
        <v>0</v>
      </c>
      <c r="EW46" s="1078"/>
      <c r="EX46" s="1047"/>
      <c r="EY46" s="1047"/>
      <c r="EZ46" s="1047"/>
      <c r="FA46" s="1048"/>
      <c r="FB46" s="1045">
        <f t="shared" si="185"/>
        <v>0</v>
      </c>
      <c r="FC46" s="1046"/>
      <c r="FD46" s="1047"/>
      <c r="FE46" s="1047"/>
      <c r="FF46" s="1047"/>
      <c r="FG46" s="1048"/>
      <c r="FH46" s="1045">
        <f t="shared" si="186"/>
        <v>0</v>
      </c>
      <c r="FI46" s="1078"/>
      <c r="FJ46" s="1047"/>
      <c r="FK46" s="1047"/>
      <c r="FL46" s="1047"/>
      <c r="FM46" s="1048"/>
      <c r="FN46" s="1045">
        <f t="shared" si="187"/>
        <v>0</v>
      </c>
      <c r="FO46" s="1046"/>
      <c r="FP46" s="1047"/>
      <c r="FQ46" s="1047"/>
      <c r="FR46" s="1047"/>
      <c r="FS46" s="1048"/>
      <c r="FT46" s="1045">
        <f t="shared" si="188"/>
        <v>0</v>
      </c>
      <c r="FU46" s="1078"/>
      <c r="FV46" s="1047"/>
      <c r="FW46" s="1047"/>
      <c r="FX46" s="1047"/>
      <c r="FY46" s="1048"/>
      <c r="FZ46" s="1045">
        <f t="shared" si="189"/>
        <v>0</v>
      </c>
      <c r="GA46" s="1046"/>
      <c r="GB46" s="1047"/>
      <c r="GC46" s="1047"/>
      <c r="GD46" s="1047"/>
      <c r="GE46" s="1048"/>
      <c r="GF46" s="1045">
        <f t="shared" si="190"/>
        <v>0</v>
      </c>
      <c r="GG46" s="1046">
        <f t="shared" ref="GG46:GL46" si="199">+GA46+FU46+FO46+FI46+FC46+EW46+EQ46+EK46+EE46+DY46+DS46+DM46+DG46+DA46+CU46+CO46+CI46+CC46+BW46+BQ46+BK46+BE46++AY46+AS46+AM46+AG46+AA46+U46+O46+I46+C46</f>
        <v>0</v>
      </c>
      <c r="GH46" s="1047">
        <f t="shared" si="199"/>
        <v>0</v>
      </c>
      <c r="GI46" s="1047">
        <f t="shared" si="199"/>
        <v>0</v>
      </c>
      <c r="GJ46" s="1047">
        <f t="shared" si="199"/>
        <v>0</v>
      </c>
      <c r="GK46" s="1048">
        <f t="shared" si="199"/>
        <v>0</v>
      </c>
      <c r="GL46" s="1045">
        <f t="shared" si="199"/>
        <v>0</v>
      </c>
      <c r="GM46" s="1049">
        <f t="shared" si="192"/>
        <v>0</v>
      </c>
    </row>
    <row r="47" ht="15.75" customHeight="1">
      <c r="B47" s="1062"/>
      <c r="C47" s="1046"/>
      <c r="D47" s="1047"/>
      <c r="E47" s="1047"/>
      <c r="F47" s="1047"/>
      <c r="G47" s="1048"/>
      <c r="H47" s="1045">
        <f t="shared" si="160"/>
        <v>0</v>
      </c>
      <c r="I47" s="1046"/>
      <c r="J47" s="1047"/>
      <c r="K47" s="1047"/>
      <c r="L47" s="1047"/>
      <c r="M47" s="1048"/>
      <c r="N47" s="1045">
        <f t="shared" si="161"/>
        <v>0</v>
      </c>
      <c r="O47" s="1046"/>
      <c r="P47" s="1047"/>
      <c r="Q47" s="1047"/>
      <c r="R47" s="1047"/>
      <c r="S47" s="1048"/>
      <c r="T47" s="1045">
        <f t="shared" si="162"/>
        <v>0</v>
      </c>
      <c r="U47" s="1078"/>
      <c r="V47" s="1047"/>
      <c r="W47" s="1047"/>
      <c r="X47" s="1047"/>
      <c r="Y47" s="1048"/>
      <c r="Z47" s="1045">
        <f t="shared" si="163"/>
        <v>0</v>
      </c>
      <c r="AA47" s="1046"/>
      <c r="AB47" s="1047"/>
      <c r="AC47" s="1047"/>
      <c r="AD47" s="1047"/>
      <c r="AE47" s="1048"/>
      <c r="AF47" s="1045">
        <f t="shared" si="164"/>
        <v>0</v>
      </c>
      <c r="AG47" s="1078"/>
      <c r="AH47" s="1047"/>
      <c r="AI47" s="1047"/>
      <c r="AJ47" s="1047"/>
      <c r="AK47" s="1048"/>
      <c r="AL47" s="1045">
        <f t="shared" si="165"/>
        <v>0</v>
      </c>
      <c r="AM47" s="1046"/>
      <c r="AN47" s="1047"/>
      <c r="AO47" s="1047"/>
      <c r="AP47" s="1047"/>
      <c r="AQ47" s="1048"/>
      <c r="AR47" s="1045">
        <f t="shared" si="166"/>
        <v>0</v>
      </c>
      <c r="AS47" s="1078"/>
      <c r="AT47" s="1047"/>
      <c r="AU47" s="1047"/>
      <c r="AV47" s="1047"/>
      <c r="AW47" s="1048"/>
      <c r="AX47" s="1045">
        <f t="shared" si="167"/>
        <v>0</v>
      </c>
      <c r="AY47" s="1046"/>
      <c r="AZ47" s="1047"/>
      <c r="BA47" s="1047"/>
      <c r="BB47" s="1047"/>
      <c r="BC47" s="1048"/>
      <c r="BD47" s="1045">
        <f t="shared" si="168"/>
        <v>0</v>
      </c>
      <c r="BE47" s="1078"/>
      <c r="BF47" s="1047"/>
      <c r="BG47" s="1047"/>
      <c r="BH47" s="1047"/>
      <c r="BI47" s="1048"/>
      <c r="BJ47" s="1045">
        <f t="shared" si="169"/>
        <v>0</v>
      </c>
      <c r="BK47" s="1046"/>
      <c r="BL47" s="1047"/>
      <c r="BM47" s="1047"/>
      <c r="BN47" s="1047"/>
      <c r="BO47" s="1048"/>
      <c r="BP47" s="1045">
        <f t="shared" si="170"/>
        <v>0</v>
      </c>
      <c r="BQ47" s="1078"/>
      <c r="BR47" s="1047"/>
      <c r="BS47" s="1047"/>
      <c r="BT47" s="1047"/>
      <c r="BU47" s="1048"/>
      <c r="BV47" s="1045">
        <f t="shared" si="171"/>
        <v>0</v>
      </c>
      <c r="BW47" s="1046"/>
      <c r="BX47" s="1047"/>
      <c r="BY47" s="1047"/>
      <c r="BZ47" s="1047"/>
      <c r="CA47" s="1048"/>
      <c r="CB47" s="1045">
        <f t="shared" si="172"/>
        <v>0</v>
      </c>
      <c r="CC47" s="1078"/>
      <c r="CD47" s="1047"/>
      <c r="CE47" s="1047"/>
      <c r="CF47" s="1047"/>
      <c r="CG47" s="1048"/>
      <c r="CH47" s="1045">
        <f t="shared" si="173"/>
        <v>0</v>
      </c>
      <c r="CI47" s="1046"/>
      <c r="CJ47" s="1047"/>
      <c r="CK47" s="1047"/>
      <c r="CL47" s="1047"/>
      <c r="CM47" s="1048"/>
      <c r="CN47" s="1045">
        <f t="shared" si="174"/>
        <v>0</v>
      </c>
      <c r="CO47" s="1078"/>
      <c r="CP47" s="1047"/>
      <c r="CQ47" s="1047"/>
      <c r="CR47" s="1047"/>
      <c r="CS47" s="1048"/>
      <c r="CT47" s="1045">
        <f t="shared" si="175"/>
        <v>0</v>
      </c>
      <c r="CU47" s="1046"/>
      <c r="CV47" s="1047"/>
      <c r="CW47" s="1047"/>
      <c r="CX47" s="1047"/>
      <c r="CY47" s="1048"/>
      <c r="CZ47" s="1045">
        <f t="shared" si="176"/>
        <v>0</v>
      </c>
      <c r="DA47" s="1078"/>
      <c r="DB47" s="1047"/>
      <c r="DC47" s="1047"/>
      <c r="DD47" s="1047"/>
      <c r="DE47" s="1048"/>
      <c r="DF47" s="1045">
        <f t="shared" si="177"/>
        <v>0</v>
      </c>
      <c r="DG47" s="1046"/>
      <c r="DH47" s="1047"/>
      <c r="DI47" s="1047"/>
      <c r="DJ47" s="1047"/>
      <c r="DK47" s="1048"/>
      <c r="DL47" s="1045">
        <f t="shared" si="178"/>
        <v>0</v>
      </c>
      <c r="DM47" s="1078"/>
      <c r="DN47" s="1047"/>
      <c r="DO47" s="1047"/>
      <c r="DP47" s="1047"/>
      <c r="DQ47" s="1048"/>
      <c r="DR47" s="1045">
        <f t="shared" si="179"/>
        <v>0</v>
      </c>
      <c r="DS47" s="1046"/>
      <c r="DT47" s="1047"/>
      <c r="DU47" s="1047"/>
      <c r="DV47" s="1047"/>
      <c r="DW47" s="1048"/>
      <c r="DX47" s="1045">
        <f t="shared" si="180"/>
        <v>0</v>
      </c>
      <c r="DY47" s="1078"/>
      <c r="DZ47" s="1047"/>
      <c r="EA47" s="1047"/>
      <c r="EB47" s="1047"/>
      <c r="EC47" s="1048"/>
      <c r="ED47" s="1045">
        <f t="shared" si="181"/>
        <v>0</v>
      </c>
      <c r="EE47" s="1046"/>
      <c r="EF47" s="1047"/>
      <c r="EG47" s="1047"/>
      <c r="EH47" s="1047"/>
      <c r="EI47" s="1048"/>
      <c r="EJ47" s="1045">
        <f t="shared" si="182"/>
        <v>0</v>
      </c>
      <c r="EK47" s="1078"/>
      <c r="EL47" s="1047"/>
      <c r="EM47" s="1047"/>
      <c r="EN47" s="1047"/>
      <c r="EO47" s="1048"/>
      <c r="EP47" s="1045">
        <f t="shared" si="183"/>
        <v>0</v>
      </c>
      <c r="EQ47" s="1046"/>
      <c r="ER47" s="1047"/>
      <c r="ES47" s="1047"/>
      <c r="ET47" s="1047"/>
      <c r="EU47" s="1048"/>
      <c r="EV47" s="1045">
        <f t="shared" si="184"/>
        <v>0</v>
      </c>
      <c r="EW47" s="1078"/>
      <c r="EX47" s="1047"/>
      <c r="EY47" s="1047"/>
      <c r="EZ47" s="1047"/>
      <c r="FA47" s="1048"/>
      <c r="FB47" s="1045">
        <f t="shared" si="185"/>
        <v>0</v>
      </c>
      <c r="FC47" s="1046"/>
      <c r="FD47" s="1047"/>
      <c r="FE47" s="1047"/>
      <c r="FF47" s="1047"/>
      <c r="FG47" s="1048"/>
      <c r="FH47" s="1045">
        <f t="shared" si="186"/>
        <v>0</v>
      </c>
      <c r="FI47" s="1078"/>
      <c r="FJ47" s="1047"/>
      <c r="FK47" s="1047"/>
      <c r="FL47" s="1047"/>
      <c r="FM47" s="1048"/>
      <c r="FN47" s="1045">
        <f t="shared" si="187"/>
        <v>0</v>
      </c>
      <c r="FO47" s="1046"/>
      <c r="FP47" s="1047"/>
      <c r="FQ47" s="1047"/>
      <c r="FR47" s="1047"/>
      <c r="FS47" s="1048"/>
      <c r="FT47" s="1045">
        <f t="shared" si="188"/>
        <v>0</v>
      </c>
      <c r="FU47" s="1078"/>
      <c r="FV47" s="1047"/>
      <c r="FW47" s="1047"/>
      <c r="FX47" s="1047"/>
      <c r="FY47" s="1048"/>
      <c r="FZ47" s="1045">
        <f t="shared" si="189"/>
        <v>0</v>
      </c>
      <c r="GA47" s="1046"/>
      <c r="GB47" s="1047"/>
      <c r="GC47" s="1047"/>
      <c r="GD47" s="1047"/>
      <c r="GE47" s="1048"/>
      <c r="GF47" s="1045">
        <f t="shared" si="190"/>
        <v>0</v>
      </c>
      <c r="GG47" s="1046">
        <f t="shared" ref="GG47:GL47" si="200">+GA47+FU47+FO47+FI47+FC47+EW47+EQ47+EK47+EE47+DY47+DS47+DM47+DG47+DA47+CU47+CO47+CI47+CC47+BW47+BQ47+BK47+BE47++AY47+AS47+AM47+AG47+AA47+U47+O47+I47+C47</f>
        <v>0</v>
      </c>
      <c r="GH47" s="1047">
        <f t="shared" si="200"/>
        <v>0</v>
      </c>
      <c r="GI47" s="1047">
        <f t="shared" si="200"/>
        <v>0</v>
      </c>
      <c r="GJ47" s="1047">
        <f t="shared" si="200"/>
        <v>0</v>
      </c>
      <c r="GK47" s="1048">
        <f t="shared" si="200"/>
        <v>0</v>
      </c>
      <c r="GL47" s="1045">
        <f t="shared" si="200"/>
        <v>0</v>
      </c>
      <c r="GM47" s="1049">
        <f t="shared" si="192"/>
        <v>0</v>
      </c>
    </row>
    <row r="48" ht="15.75" customHeight="1">
      <c r="B48" s="1062"/>
      <c r="C48" s="1046"/>
      <c r="D48" s="1047"/>
      <c r="E48" s="1047"/>
      <c r="F48" s="1047"/>
      <c r="G48" s="1048"/>
      <c r="H48" s="1045">
        <f t="shared" si="160"/>
        <v>0</v>
      </c>
      <c r="I48" s="1046"/>
      <c r="J48" s="1047"/>
      <c r="K48" s="1047"/>
      <c r="L48" s="1047"/>
      <c r="M48" s="1048"/>
      <c r="N48" s="1045">
        <f t="shared" si="161"/>
        <v>0</v>
      </c>
      <c r="O48" s="1046"/>
      <c r="P48" s="1047"/>
      <c r="Q48" s="1047"/>
      <c r="R48" s="1047"/>
      <c r="S48" s="1048"/>
      <c r="T48" s="1045">
        <f t="shared" si="162"/>
        <v>0</v>
      </c>
      <c r="U48" s="1078"/>
      <c r="V48" s="1047"/>
      <c r="W48" s="1047"/>
      <c r="X48" s="1047"/>
      <c r="Y48" s="1048"/>
      <c r="Z48" s="1045">
        <f t="shared" si="163"/>
        <v>0</v>
      </c>
      <c r="AA48" s="1046"/>
      <c r="AB48" s="1047"/>
      <c r="AC48" s="1047"/>
      <c r="AD48" s="1047"/>
      <c r="AE48" s="1048"/>
      <c r="AF48" s="1045">
        <f t="shared" si="164"/>
        <v>0</v>
      </c>
      <c r="AG48" s="1078"/>
      <c r="AH48" s="1047"/>
      <c r="AI48" s="1047"/>
      <c r="AJ48" s="1047"/>
      <c r="AK48" s="1048"/>
      <c r="AL48" s="1045">
        <f t="shared" si="165"/>
        <v>0</v>
      </c>
      <c r="AM48" s="1046"/>
      <c r="AN48" s="1047"/>
      <c r="AO48" s="1047"/>
      <c r="AP48" s="1047"/>
      <c r="AQ48" s="1048"/>
      <c r="AR48" s="1045">
        <f t="shared" si="166"/>
        <v>0</v>
      </c>
      <c r="AS48" s="1078"/>
      <c r="AT48" s="1047"/>
      <c r="AU48" s="1047"/>
      <c r="AV48" s="1047"/>
      <c r="AW48" s="1048"/>
      <c r="AX48" s="1045">
        <f t="shared" si="167"/>
        <v>0</v>
      </c>
      <c r="AY48" s="1046"/>
      <c r="AZ48" s="1047"/>
      <c r="BA48" s="1047"/>
      <c r="BB48" s="1047"/>
      <c r="BC48" s="1048"/>
      <c r="BD48" s="1045">
        <f t="shared" si="168"/>
        <v>0</v>
      </c>
      <c r="BE48" s="1078"/>
      <c r="BF48" s="1047"/>
      <c r="BG48" s="1047"/>
      <c r="BH48" s="1047"/>
      <c r="BI48" s="1048"/>
      <c r="BJ48" s="1045">
        <f t="shared" si="169"/>
        <v>0</v>
      </c>
      <c r="BK48" s="1046"/>
      <c r="BL48" s="1047"/>
      <c r="BM48" s="1047"/>
      <c r="BN48" s="1047"/>
      <c r="BO48" s="1048"/>
      <c r="BP48" s="1045">
        <f t="shared" si="170"/>
        <v>0</v>
      </c>
      <c r="BQ48" s="1078"/>
      <c r="BR48" s="1047"/>
      <c r="BS48" s="1047"/>
      <c r="BT48" s="1047"/>
      <c r="BU48" s="1048"/>
      <c r="BV48" s="1045">
        <f t="shared" si="171"/>
        <v>0</v>
      </c>
      <c r="BW48" s="1046"/>
      <c r="BX48" s="1047"/>
      <c r="BY48" s="1047"/>
      <c r="BZ48" s="1047"/>
      <c r="CA48" s="1048"/>
      <c r="CB48" s="1045">
        <f t="shared" si="172"/>
        <v>0</v>
      </c>
      <c r="CC48" s="1078"/>
      <c r="CD48" s="1047"/>
      <c r="CE48" s="1047"/>
      <c r="CF48" s="1047"/>
      <c r="CG48" s="1048"/>
      <c r="CH48" s="1045">
        <f t="shared" si="173"/>
        <v>0</v>
      </c>
      <c r="CI48" s="1046"/>
      <c r="CJ48" s="1047"/>
      <c r="CK48" s="1047"/>
      <c r="CL48" s="1047"/>
      <c r="CM48" s="1048"/>
      <c r="CN48" s="1045">
        <f t="shared" si="174"/>
        <v>0</v>
      </c>
      <c r="CO48" s="1078"/>
      <c r="CP48" s="1047"/>
      <c r="CQ48" s="1047"/>
      <c r="CR48" s="1047"/>
      <c r="CS48" s="1048"/>
      <c r="CT48" s="1045">
        <f t="shared" si="175"/>
        <v>0</v>
      </c>
      <c r="CU48" s="1046"/>
      <c r="CV48" s="1047"/>
      <c r="CW48" s="1047"/>
      <c r="CX48" s="1047"/>
      <c r="CY48" s="1048"/>
      <c r="CZ48" s="1045">
        <f t="shared" si="176"/>
        <v>0</v>
      </c>
      <c r="DA48" s="1078"/>
      <c r="DB48" s="1047"/>
      <c r="DC48" s="1047"/>
      <c r="DD48" s="1047"/>
      <c r="DE48" s="1048"/>
      <c r="DF48" s="1045">
        <f t="shared" si="177"/>
        <v>0</v>
      </c>
      <c r="DG48" s="1046"/>
      <c r="DH48" s="1047"/>
      <c r="DI48" s="1047"/>
      <c r="DJ48" s="1047"/>
      <c r="DK48" s="1048"/>
      <c r="DL48" s="1045">
        <f t="shared" si="178"/>
        <v>0</v>
      </c>
      <c r="DM48" s="1078"/>
      <c r="DN48" s="1047"/>
      <c r="DO48" s="1047"/>
      <c r="DP48" s="1047"/>
      <c r="DQ48" s="1048"/>
      <c r="DR48" s="1045">
        <f t="shared" si="179"/>
        <v>0</v>
      </c>
      <c r="DS48" s="1046"/>
      <c r="DT48" s="1047"/>
      <c r="DU48" s="1047"/>
      <c r="DV48" s="1047"/>
      <c r="DW48" s="1048"/>
      <c r="DX48" s="1045">
        <f t="shared" si="180"/>
        <v>0</v>
      </c>
      <c r="DY48" s="1078"/>
      <c r="DZ48" s="1047"/>
      <c r="EA48" s="1047"/>
      <c r="EB48" s="1047"/>
      <c r="EC48" s="1048"/>
      <c r="ED48" s="1045">
        <f t="shared" si="181"/>
        <v>0</v>
      </c>
      <c r="EE48" s="1046"/>
      <c r="EF48" s="1047"/>
      <c r="EG48" s="1047"/>
      <c r="EH48" s="1047"/>
      <c r="EI48" s="1048"/>
      <c r="EJ48" s="1045">
        <f t="shared" si="182"/>
        <v>0</v>
      </c>
      <c r="EK48" s="1078"/>
      <c r="EL48" s="1047"/>
      <c r="EM48" s="1047"/>
      <c r="EN48" s="1047"/>
      <c r="EO48" s="1048"/>
      <c r="EP48" s="1045">
        <f t="shared" si="183"/>
        <v>0</v>
      </c>
      <c r="EQ48" s="1046"/>
      <c r="ER48" s="1047"/>
      <c r="ES48" s="1047"/>
      <c r="ET48" s="1047"/>
      <c r="EU48" s="1048"/>
      <c r="EV48" s="1045">
        <f t="shared" si="184"/>
        <v>0</v>
      </c>
      <c r="EW48" s="1078"/>
      <c r="EX48" s="1047"/>
      <c r="EY48" s="1047"/>
      <c r="EZ48" s="1047"/>
      <c r="FA48" s="1048"/>
      <c r="FB48" s="1045">
        <f t="shared" si="185"/>
        <v>0</v>
      </c>
      <c r="FC48" s="1046"/>
      <c r="FD48" s="1047"/>
      <c r="FE48" s="1047"/>
      <c r="FF48" s="1047"/>
      <c r="FG48" s="1048"/>
      <c r="FH48" s="1045">
        <f t="shared" si="186"/>
        <v>0</v>
      </c>
      <c r="FI48" s="1078"/>
      <c r="FJ48" s="1047"/>
      <c r="FK48" s="1047"/>
      <c r="FL48" s="1047"/>
      <c r="FM48" s="1048"/>
      <c r="FN48" s="1045">
        <f t="shared" si="187"/>
        <v>0</v>
      </c>
      <c r="FO48" s="1046"/>
      <c r="FP48" s="1047"/>
      <c r="FQ48" s="1047"/>
      <c r="FR48" s="1047"/>
      <c r="FS48" s="1048"/>
      <c r="FT48" s="1045">
        <f t="shared" si="188"/>
        <v>0</v>
      </c>
      <c r="FU48" s="1078"/>
      <c r="FV48" s="1047"/>
      <c r="FW48" s="1047"/>
      <c r="FX48" s="1047"/>
      <c r="FY48" s="1048"/>
      <c r="FZ48" s="1045">
        <f t="shared" si="189"/>
        <v>0</v>
      </c>
      <c r="GA48" s="1046"/>
      <c r="GB48" s="1047"/>
      <c r="GC48" s="1047"/>
      <c r="GD48" s="1047"/>
      <c r="GE48" s="1048"/>
      <c r="GF48" s="1045">
        <f t="shared" si="190"/>
        <v>0</v>
      </c>
      <c r="GG48" s="1046">
        <f t="shared" ref="GG48:GL48" si="201">+GA48+FU48+FO48+FI48+FC48+EW48+EQ48+EK48+EE48+DY48+DS48+DM48+DG48+DA48+CU48+CO48+CI48+CC48+BW48+BQ48+BK48+BE48++AY48+AS48+AM48+AG48+AA48+U48+O48+I48+C48</f>
        <v>0</v>
      </c>
      <c r="GH48" s="1047">
        <f t="shared" si="201"/>
        <v>0</v>
      </c>
      <c r="GI48" s="1047">
        <f t="shared" si="201"/>
        <v>0</v>
      </c>
      <c r="GJ48" s="1047">
        <f t="shared" si="201"/>
        <v>0</v>
      </c>
      <c r="GK48" s="1048">
        <f t="shared" si="201"/>
        <v>0</v>
      </c>
      <c r="GL48" s="1045">
        <f t="shared" si="201"/>
        <v>0</v>
      </c>
      <c r="GM48" s="1049">
        <f t="shared" si="192"/>
        <v>0</v>
      </c>
    </row>
    <row r="49" ht="15.75" customHeight="1">
      <c r="B49" s="1062"/>
      <c r="C49" s="1046"/>
      <c r="D49" s="1047"/>
      <c r="E49" s="1047"/>
      <c r="F49" s="1047"/>
      <c r="G49" s="1048"/>
      <c r="H49" s="1045">
        <f t="shared" si="160"/>
        <v>0</v>
      </c>
      <c r="I49" s="1046"/>
      <c r="J49" s="1047"/>
      <c r="K49" s="1047"/>
      <c r="L49" s="1047"/>
      <c r="M49" s="1048"/>
      <c r="N49" s="1045">
        <f t="shared" si="161"/>
        <v>0</v>
      </c>
      <c r="O49" s="1046"/>
      <c r="P49" s="1047"/>
      <c r="Q49" s="1047"/>
      <c r="R49" s="1047"/>
      <c r="S49" s="1048"/>
      <c r="T49" s="1045">
        <f t="shared" si="162"/>
        <v>0</v>
      </c>
      <c r="U49" s="1078"/>
      <c r="V49" s="1047"/>
      <c r="W49" s="1047"/>
      <c r="X49" s="1047"/>
      <c r="Y49" s="1048"/>
      <c r="Z49" s="1045">
        <f t="shared" si="163"/>
        <v>0</v>
      </c>
      <c r="AA49" s="1046"/>
      <c r="AB49" s="1047"/>
      <c r="AC49" s="1047"/>
      <c r="AD49" s="1047"/>
      <c r="AE49" s="1048"/>
      <c r="AF49" s="1045">
        <f t="shared" si="164"/>
        <v>0</v>
      </c>
      <c r="AG49" s="1078"/>
      <c r="AH49" s="1047"/>
      <c r="AI49" s="1047"/>
      <c r="AJ49" s="1047"/>
      <c r="AK49" s="1048"/>
      <c r="AL49" s="1045">
        <f t="shared" si="165"/>
        <v>0</v>
      </c>
      <c r="AM49" s="1046"/>
      <c r="AN49" s="1047"/>
      <c r="AO49" s="1047"/>
      <c r="AP49" s="1047"/>
      <c r="AQ49" s="1048"/>
      <c r="AR49" s="1045">
        <f t="shared" si="166"/>
        <v>0</v>
      </c>
      <c r="AS49" s="1078"/>
      <c r="AT49" s="1047"/>
      <c r="AU49" s="1047"/>
      <c r="AV49" s="1047"/>
      <c r="AW49" s="1048"/>
      <c r="AX49" s="1045">
        <f t="shared" si="167"/>
        <v>0</v>
      </c>
      <c r="AY49" s="1046"/>
      <c r="AZ49" s="1047"/>
      <c r="BA49" s="1047"/>
      <c r="BB49" s="1047"/>
      <c r="BC49" s="1048"/>
      <c r="BD49" s="1045">
        <f t="shared" si="168"/>
        <v>0</v>
      </c>
      <c r="BE49" s="1078"/>
      <c r="BF49" s="1047"/>
      <c r="BG49" s="1047"/>
      <c r="BH49" s="1047"/>
      <c r="BI49" s="1048"/>
      <c r="BJ49" s="1045">
        <f t="shared" si="169"/>
        <v>0</v>
      </c>
      <c r="BK49" s="1046"/>
      <c r="BL49" s="1047"/>
      <c r="BM49" s="1047"/>
      <c r="BN49" s="1047"/>
      <c r="BO49" s="1048"/>
      <c r="BP49" s="1045">
        <f t="shared" si="170"/>
        <v>0</v>
      </c>
      <c r="BQ49" s="1078"/>
      <c r="BR49" s="1047"/>
      <c r="BS49" s="1047"/>
      <c r="BT49" s="1047"/>
      <c r="BU49" s="1048"/>
      <c r="BV49" s="1045">
        <f t="shared" si="171"/>
        <v>0</v>
      </c>
      <c r="BW49" s="1046"/>
      <c r="BX49" s="1047"/>
      <c r="BY49" s="1047"/>
      <c r="BZ49" s="1047"/>
      <c r="CA49" s="1048"/>
      <c r="CB49" s="1045">
        <f t="shared" si="172"/>
        <v>0</v>
      </c>
      <c r="CC49" s="1078"/>
      <c r="CD49" s="1047"/>
      <c r="CE49" s="1047"/>
      <c r="CF49" s="1047"/>
      <c r="CG49" s="1048"/>
      <c r="CH49" s="1045">
        <f t="shared" si="173"/>
        <v>0</v>
      </c>
      <c r="CI49" s="1046"/>
      <c r="CJ49" s="1047"/>
      <c r="CK49" s="1047"/>
      <c r="CL49" s="1047"/>
      <c r="CM49" s="1048"/>
      <c r="CN49" s="1045">
        <f t="shared" si="174"/>
        <v>0</v>
      </c>
      <c r="CO49" s="1078"/>
      <c r="CP49" s="1047"/>
      <c r="CQ49" s="1047"/>
      <c r="CR49" s="1047"/>
      <c r="CS49" s="1048"/>
      <c r="CT49" s="1045">
        <f t="shared" si="175"/>
        <v>0</v>
      </c>
      <c r="CU49" s="1046"/>
      <c r="CV49" s="1047"/>
      <c r="CW49" s="1047"/>
      <c r="CX49" s="1047"/>
      <c r="CY49" s="1048"/>
      <c r="CZ49" s="1045">
        <f t="shared" si="176"/>
        <v>0</v>
      </c>
      <c r="DA49" s="1078"/>
      <c r="DB49" s="1047"/>
      <c r="DC49" s="1047"/>
      <c r="DD49" s="1047"/>
      <c r="DE49" s="1048"/>
      <c r="DF49" s="1045">
        <f t="shared" si="177"/>
        <v>0</v>
      </c>
      <c r="DG49" s="1046"/>
      <c r="DH49" s="1047"/>
      <c r="DI49" s="1047"/>
      <c r="DJ49" s="1047"/>
      <c r="DK49" s="1048"/>
      <c r="DL49" s="1045">
        <f t="shared" si="178"/>
        <v>0</v>
      </c>
      <c r="DM49" s="1078"/>
      <c r="DN49" s="1047"/>
      <c r="DO49" s="1047"/>
      <c r="DP49" s="1047"/>
      <c r="DQ49" s="1048"/>
      <c r="DR49" s="1045">
        <f t="shared" si="179"/>
        <v>0</v>
      </c>
      <c r="DS49" s="1046"/>
      <c r="DT49" s="1047"/>
      <c r="DU49" s="1047"/>
      <c r="DV49" s="1047"/>
      <c r="DW49" s="1048"/>
      <c r="DX49" s="1045">
        <f t="shared" si="180"/>
        <v>0</v>
      </c>
      <c r="DY49" s="1078"/>
      <c r="DZ49" s="1047"/>
      <c r="EA49" s="1047"/>
      <c r="EB49" s="1047"/>
      <c r="EC49" s="1048"/>
      <c r="ED49" s="1045">
        <f t="shared" si="181"/>
        <v>0</v>
      </c>
      <c r="EE49" s="1046"/>
      <c r="EF49" s="1047"/>
      <c r="EG49" s="1047"/>
      <c r="EH49" s="1047"/>
      <c r="EI49" s="1048"/>
      <c r="EJ49" s="1045">
        <f t="shared" si="182"/>
        <v>0</v>
      </c>
      <c r="EK49" s="1078"/>
      <c r="EL49" s="1047"/>
      <c r="EM49" s="1047"/>
      <c r="EN49" s="1047"/>
      <c r="EO49" s="1048"/>
      <c r="EP49" s="1045">
        <f t="shared" si="183"/>
        <v>0</v>
      </c>
      <c r="EQ49" s="1046"/>
      <c r="ER49" s="1047"/>
      <c r="ES49" s="1047"/>
      <c r="ET49" s="1047"/>
      <c r="EU49" s="1048"/>
      <c r="EV49" s="1045">
        <f t="shared" si="184"/>
        <v>0</v>
      </c>
      <c r="EW49" s="1078"/>
      <c r="EX49" s="1047"/>
      <c r="EY49" s="1047"/>
      <c r="EZ49" s="1047"/>
      <c r="FA49" s="1048"/>
      <c r="FB49" s="1045">
        <f t="shared" si="185"/>
        <v>0</v>
      </c>
      <c r="FC49" s="1046"/>
      <c r="FD49" s="1047"/>
      <c r="FE49" s="1047"/>
      <c r="FF49" s="1047"/>
      <c r="FG49" s="1048"/>
      <c r="FH49" s="1045">
        <f t="shared" si="186"/>
        <v>0</v>
      </c>
      <c r="FI49" s="1078"/>
      <c r="FJ49" s="1047"/>
      <c r="FK49" s="1047"/>
      <c r="FL49" s="1047"/>
      <c r="FM49" s="1048"/>
      <c r="FN49" s="1045">
        <f t="shared" si="187"/>
        <v>0</v>
      </c>
      <c r="FO49" s="1046"/>
      <c r="FP49" s="1047"/>
      <c r="FQ49" s="1047"/>
      <c r="FR49" s="1047"/>
      <c r="FS49" s="1048"/>
      <c r="FT49" s="1045">
        <f t="shared" si="188"/>
        <v>0</v>
      </c>
      <c r="FU49" s="1078"/>
      <c r="FV49" s="1047"/>
      <c r="FW49" s="1047"/>
      <c r="FX49" s="1047"/>
      <c r="FY49" s="1048"/>
      <c r="FZ49" s="1045">
        <f t="shared" si="189"/>
        <v>0</v>
      </c>
      <c r="GA49" s="1046"/>
      <c r="GB49" s="1047"/>
      <c r="GC49" s="1047"/>
      <c r="GD49" s="1047"/>
      <c r="GE49" s="1048"/>
      <c r="GF49" s="1045">
        <f t="shared" si="190"/>
        <v>0</v>
      </c>
      <c r="GG49" s="1046">
        <f t="shared" ref="GG49:GL49" si="202">+GA49+FU49+FO49+FI49+FC49+EW49+EQ49+EK49+EE49+DY49+DS49+DM49+DG49+DA49+CU49+CO49+CI49+CC49+BW49+BQ49+BK49+BE49++AY49+AS49+AM49+AG49+AA49+U49+O49+I49+C49</f>
        <v>0</v>
      </c>
      <c r="GH49" s="1047">
        <f t="shared" si="202"/>
        <v>0</v>
      </c>
      <c r="GI49" s="1047">
        <f t="shared" si="202"/>
        <v>0</v>
      </c>
      <c r="GJ49" s="1047">
        <f t="shared" si="202"/>
        <v>0</v>
      </c>
      <c r="GK49" s="1048">
        <f t="shared" si="202"/>
        <v>0</v>
      </c>
      <c r="GL49" s="1045">
        <f t="shared" si="202"/>
        <v>0</v>
      </c>
      <c r="GM49" s="1049">
        <f t="shared" si="192"/>
        <v>0</v>
      </c>
    </row>
    <row r="50" ht="15.75" customHeight="1">
      <c r="B50" s="1062"/>
      <c r="C50" s="1046"/>
      <c r="D50" s="1047"/>
      <c r="E50" s="1047"/>
      <c r="F50" s="1047"/>
      <c r="G50" s="1048"/>
      <c r="H50" s="1045">
        <f t="shared" si="160"/>
        <v>0</v>
      </c>
      <c r="I50" s="1046"/>
      <c r="J50" s="1047"/>
      <c r="K50" s="1047"/>
      <c r="L50" s="1047"/>
      <c r="M50" s="1048"/>
      <c r="N50" s="1045">
        <f t="shared" si="161"/>
        <v>0</v>
      </c>
      <c r="O50" s="1046"/>
      <c r="P50" s="1047"/>
      <c r="Q50" s="1047"/>
      <c r="R50" s="1047"/>
      <c r="S50" s="1048"/>
      <c r="T50" s="1045">
        <f t="shared" si="162"/>
        <v>0</v>
      </c>
      <c r="U50" s="1078"/>
      <c r="V50" s="1047"/>
      <c r="W50" s="1047"/>
      <c r="X50" s="1047"/>
      <c r="Y50" s="1048"/>
      <c r="Z50" s="1045">
        <f t="shared" si="163"/>
        <v>0</v>
      </c>
      <c r="AA50" s="1046"/>
      <c r="AB50" s="1047"/>
      <c r="AC50" s="1047"/>
      <c r="AD50" s="1047"/>
      <c r="AE50" s="1048"/>
      <c r="AF50" s="1045">
        <f t="shared" si="164"/>
        <v>0</v>
      </c>
      <c r="AG50" s="1078"/>
      <c r="AH50" s="1047"/>
      <c r="AI50" s="1047"/>
      <c r="AJ50" s="1047"/>
      <c r="AK50" s="1048"/>
      <c r="AL50" s="1045">
        <f t="shared" si="165"/>
        <v>0</v>
      </c>
      <c r="AM50" s="1046"/>
      <c r="AN50" s="1047"/>
      <c r="AO50" s="1047"/>
      <c r="AP50" s="1047"/>
      <c r="AQ50" s="1048"/>
      <c r="AR50" s="1045">
        <f t="shared" si="166"/>
        <v>0</v>
      </c>
      <c r="AS50" s="1078"/>
      <c r="AT50" s="1047"/>
      <c r="AU50" s="1047"/>
      <c r="AV50" s="1047"/>
      <c r="AW50" s="1048"/>
      <c r="AX50" s="1045">
        <f t="shared" si="167"/>
        <v>0</v>
      </c>
      <c r="AY50" s="1046"/>
      <c r="AZ50" s="1047"/>
      <c r="BA50" s="1047"/>
      <c r="BB50" s="1047"/>
      <c r="BC50" s="1048"/>
      <c r="BD50" s="1045">
        <f t="shared" si="168"/>
        <v>0</v>
      </c>
      <c r="BE50" s="1078"/>
      <c r="BF50" s="1047"/>
      <c r="BG50" s="1047"/>
      <c r="BH50" s="1047"/>
      <c r="BI50" s="1048"/>
      <c r="BJ50" s="1045">
        <f t="shared" si="169"/>
        <v>0</v>
      </c>
      <c r="BK50" s="1046"/>
      <c r="BL50" s="1047"/>
      <c r="BM50" s="1047"/>
      <c r="BN50" s="1047"/>
      <c r="BO50" s="1048"/>
      <c r="BP50" s="1045">
        <f t="shared" si="170"/>
        <v>0</v>
      </c>
      <c r="BQ50" s="1078"/>
      <c r="BR50" s="1047"/>
      <c r="BS50" s="1047"/>
      <c r="BT50" s="1047"/>
      <c r="BU50" s="1048"/>
      <c r="BV50" s="1045">
        <f t="shared" si="171"/>
        <v>0</v>
      </c>
      <c r="BW50" s="1046"/>
      <c r="BX50" s="1047"/>
      <c r="BY50" s="1047"/>
      <c r="BZ50" s="1047"/>
      <c r="CA50" s="1048"/>
      <c r="CB50" s="1045">
        <f t="shared" si="172"/>
        <v>0</v>
      </c>
      <c r="CC50" s="1078"/>
      <c r="CD50" s="1047"/>
      <c r="CE50" s="1047"/>
      <c r="CF50" s="1047"/>
      <c r="CG50" s="1048"/>
      <c r="CH50" s="1045">
        <f t="shared" si="173"/>
        <v>0</v>
      </c>
      <c r="CI50" s="1046"/>
      <c r="CJ50" s="1047"/>
      <c r="CK50" s="1047"/>
      <c r="CL50" s="1047"/>
      <c r="CM50" s="1048"/>
      <c r="CN50" s="1045">
        <f t="shared" si="174"/>
        <v>0</v>
      </c>
      <c r="CO50" s="1078"/>
      <c r="CP50" s="1047"/>
      <c r="CQ50" s="1047"/>
      <c r="CR50" s="1047"/>
      <c r="CS50" s="1048"/>
      <c r="CT50" s="1045">
        <f t="shared" si="175"/>
        <v>0</v>
      </c>
      <c r="CU50" s="1046"/>
      <c r="CV50" s="1047"/>
      <c r="CW50" s="1047"/>
      <c r="CX50" s="1047"/>
      <c r="CY50" s="1048"/>
      <c r="CZ50" s="1045">
        <f t="shared" si="176"/>
        <v>0</v>
      </c>
      <c r="DA50" s="1078"/>
      <c r="DB50" s="1047"/>
      <c r="DC50" s="1047"/>
      <c r="DD50" s="1047"/>
      <c r="DE50" s="1048"/>
      <c r="DF50" s="1045">
        <f t="shared" si="177"/>
        <v>0</v>
      </c>
      <c r="DG50" s="1046"/>
      <c r="DH50" s="1047"/>
      <c r="DI50" s="1047"/>
      <c r="DJ50" s="1047"/>
      <c r="DK50" s="1048"/>
      <c r="DL50" s="1045">
        <f t="shared" si="178"/>
        <v>0</v>
      </c>
      <c r="DM50" s="1078"/>
      <c r="DN50" s="1047"/>
      <c r="DO50" s="1047"/>
      <c r="DP50" s="1047"/>
      <c r="DQ50" s="1048"/>
      <c r="DR50" s="1045">
        <f t="shared" si="179"/>
        <v>0</v>
      </c>
      <c r="DS50" s="1046"/>
      <c r="DT50" s="1047"/>
      <c r="DU50" s="1047"/>
      <c r="DV50" s="1047"/>
      <c r="DW50" s="1048"/>
      <c r="DX50" s="1045">
        <f t="shared" si="180"/>
        <v>0</v>
      </c>
      <c r="DY50" s="1078"/>
      <c r="DZ50" s="1047"/>
      <c r="EA50" s="1047"/>
      <c r="EB50" s="1047"/>
      <c r="EC50" s="1048"/>
      <c r="ED50" s="1045">
        <f t="shared" si="181"/>
        <v>0</v>
      </c>
      <c r="EE50" s="1046"/>
      <c r="EF50" s="1047"/>
      <c r="EG50" s="1047"/>
      <c r="EH50" s="1047"/>
      <c r="EI50" s="1048"/>
      <c r="EJ50" s="1045">
        <f t="shared" si="182"/>
        <v>0</v>
      </c>
      <c r="EK50" s="1078"/>
      <c r="EL50" s="1047"/>
      <c r="EM50" s="1047"/>
      <c r="EN50" s="1047"/>
      <c r="EO50" s="1048"/>
      <c r="EP50" s="1045">
        <f t="shared" si="183"/>
        <v>0</v>
      </c>
      <c r="EQ50" s="1046"/>
      <c r="ER50" s="1047"/>
      <c r="ES50" s="1047"/>
      <c r="ET50" s="1047"/>
      <c r="EU50" s="1048"/>
      <c r="EV50" s="1045">
        <f t="shared" si="184"/>
        <v>0</v>
      </c>
      <c r="EW50" s="1078"/>
      <c r="EX50" s="1047"/>
      <c r="EY50" s="1047"/>
      <c r="EZ50" s="1047"/>
      <c r="FA50" s="1048"/>
      <c r="FB50" s="1045">
        <f t="shared" si="185"/>
        <v>0</v>
      </c>
      <c r="FC50" s="1046"/>
      <c r="FD50" s="1047"/>
      <c r="FE50" s="1047"/>
      <c r="FF50" s="1047"/>
      <c r="FG50" s="1048"/>
      <c r="FH50" s="1045">
        <f t="shared" si="186"/>
        <v>0</v>
      </c>
      <c r="FI50" s="1078"/>
      <c r="FJ50" s="1047"/>
      <c r="FK50" s="1047"/>
      <c r="FL50" s="1047"/>
      <c r="FM50" s="1048"/>
      <c r="FN50" s="1045">
        <f t="shared" si="187"/>
        <v>0</v>
      </c>
      <c r="FO50" s="1046"/>
      <c r="FP50" s="1047"/>
      <c r="FQ50" s="1047"/>
      <c r="FR50" s="1047"/>
      <c r="FS50" s="1048"/>
      <c r="FT50" s="1045">
        <f t="shared" si="188"/>
        <v>0</v>
      </c>
      <c r="FU50" s="1078"/>
      <c r="FV50" s="1047"/>
      <c r="FW50" s="1047"/>
      <c r="FX50" s="1047"/>
      <c r="FY50" s="1048"/>
      <c r="FZ50" s="1045">
        <f t="shared" si="189"/>
        <v>0</v>
      </c>
      <c r="GA50" s="1046"/>
      <c r="GB50" s="1047"/>
      <c r="GC50" s="1047"/>
      <c r="GD50" s="1047"/>
      <c r="GE50" s="1048"/>
      <c r="GF50" s="1045">
        <f t="shared" si="190"/>
        <v>0</v>
      </c>
      <c r="GG50" s="1046">
        <f t="shared" ref="GG50:GL50" si="203">+GA50+FU50+FO50+FI50+FC50+EW50+EQ50+EK50+EE50+DY50+DS50+DM50+DG50+DA50+CU50+CO50+CI50+CC50+BW50+BQ50+BK50+BE50++AY50+AS50+AM50+AG50+AA50+U50+O50+I50+C50</f>
        <v>0</v>
      </c>
      <c r="GH50" s="1047">
        <f t="shared" si="203"/>
        <v>0</v>
      </c>
      <c r="GI50" s="1047">
        <f t="shared" si="203"/>
        <v>0</v>
      </c>
      <c r="GJ50" s="1047">
        <f t="shared" si="203"/>
        <v>0</v>
      </c>
      <c r="GK50" s="1048">
        <f t="shared" si="203"/>
        <v>0</v>
      </c>
      <c r="GL50" s="1045">
        <f t="shared" si="203"/>
        <v>0</v>
      </c>
      <c r="GM50" s="1049">
        <f t="shared" si="192"/>
        <v>0</v>
      </c>
    </row>
    <row r="51" ht="15.75" customHeight="1">
      <c r="B51" s="1063"/>
      <c r="C51" s="1071"/>
      <c r="D51" s="1072"/>
      <c r="E51" s="1072"/>
      <c r="F51" s="1072"/>
      <c r="G51" s="1073"/>
      <c r="H51" s="1045">
        <f t="shared" si="160"/>
        <v>0</v>
      </c>
      <c r="I51" s="1071"/>
      <c r="J51" s="1072"/>
      <c r="K51" s="1072"/>
      <c r="L51" s="1072"/>
      <c r="M51" s="1073"/>
      <c r="N51" s="1045">
        <f t="shared" si="161"/>
        <v>0</v>
      </c>
      <c r="O51" s="1071"/>
      <c r="P51" s="1072"/>
      <c r="Q51" s="1072"/>
      <c r="R51" s="1072"/>
      <c r="S51" s="1073"/>
      <c r="T51" s="1045">
        <f t="shared" si="162"/>
        <v>0</v>
      </c>
      <c r="U51" s="679"/>
      <c r="V51" s="1072"/>
      <c r="W51" s="1072"/>
      <c r="X51" s="1072"/>
      <c r="Y51" s="1073"/>
      <c r="Z51" s="1045">
        <f t="shared" si="163"/>
        <v>0</v>
      </c>
      <c r="AA51" s="1071"/>
      <c r="AB51" s="1072"/>
      <c r="AC51" s="1072"/>
      <c r="AD51" s="1072"/>
      <c r="AE51" s="1073"/>
      <c r="AF51" s="1045">
        <f t="shared" si="164"/>
        <v>0</v>
      </c>
      <c r="AG51" s="679"/>
      <c r="AH51" s="1072"/>
      <c r="AI51" s="1072"/>
      <c r="AJ51" s="1072"/>
      <c r="AK51" s="1073"/>
      <c r="AL51" s="1045">
        <f t="shared" si="165"/>
        <v>0</v>
      </c>
      <c r="AM51" s="1071"/>
      <c r="AN51" s="1072"/>
      <c r="AO51" s="1072"/>
      <c r="AP51" s="1072"/>
      <c r="AQ51" s="1073"/>
      <c r="AR51" s="1045">
        <f t="shared" si="166"/>
        <v>0</v>
      </c>
      <c r="AS51" s="679"/>
      <c r="AT51" s="1072"/>
      <c r="AU51" s="1072"/>
      <c r="AV51" s="1072"/>
      <c r="AW51" s="1073"/>
      <c r="AX51" s="1045">
        <f t="shared" si="167"/>
        <v>0</v>
      </c>
      <c r="AY51" s="1071"/>
      <c r="AZ51" s="1072"/>
      <c r="BA51" s="1072"/>
      <c r="BB51" s="1072"/>
      <c r="BC51" s="1073"/>
      <c r="BD51" s="1045">
        <f t="shared" si="168"/>
        <v>0</v>
      </c>
      <c r="BE51" s="679"/>
      <c r="BF51" s="1072"/>
      <c r="BG51" s="1072"/>
      <c r="BH51" s="1072"/>
      <c r="BI51" s="1073"/>
      <c r="BJ51" s="1045">
        <f t="shared" si="169"/>
        <v>0</v>
      </c>
      <c r="BK51" s="1071"/>
      <c r="BL51" s="1072"/>
      <c r="BM51" s="1072"/>
      <c r="BN51" s="1072"/>
      <c r="BO51" s="1073"/>
      <c r="BP51" s="1045">
        <f t="shared" si="170"/>
        <v>0</v>
      </c>
      <c r="BQ51" s="679"/>
      <c r="BR51" s="1072"/>
      <c r="BS51" s="1072"/>
      <c r="BT51" s="1072"/>
      <c r="BU51" s="1073"/>
      <c r="BV51" s="1045">
        <f t="shared" si="171"/>
        <v>0</v>
      </c>
      <c r="BW51" s="1071"/>
      <c r="BX51" s="1072"/>
      <c r="BY51" s="1072"/>
      <c r="BZ51" s="1072"/>
      <c r="CA51" s="1073"/>
      <c r="CB51" s="1045">
        <f t="shared" si="172"/>
        <v>0</v>
      </c>
      <c r="CC51" s="679"/>
      <c r="CD51" s="1072"/>
      <c r="CE51" s="1072"/>
      <c r="CF51" s="1072"/>
      <c r="CG51" s="1073"/>
      <c r="CH51" s="1045">
        <f t="shared" si="173"/>
        <v>0</v>
      </c>
      <c r="CI51" s="1071"/>
      <c r="CJ51" s="1072"/>
      <c r="CK51" s="1072"/>
      <c r="CL51" s="1072"/>
      <c r="CM51" s="1073"/>
      <c r="CN51" s="1045">
        <f t="shared" si="174"/>
        <v>0</v>
      </c>
      <c r="CO51" s="679"/>
      <c r="CP51" s="1072"/>
      <c r="CQ51" s="1072"/>
      <c r="CR51" s="1072"/>
      <c r="CS51" s="1073"/>
      <c r="CT51" s="1045">
        <f t="shared" si="175"/>
        <v>0</v>
      </c>
      <c r="CU51" s="1071"/>
      <c r="CV51" s="1072"/>
      <c r="CW51" s="1072"/>
      <c r="CX51" s="1072"/>
      <c r="CY51" s="1073"/>
      <c r="CZ51" s="1045">
        <f t="shared" si="176"/>
        <v>0</v>
      </c>
      <c r="DA51" s="679"/>
      <c r="DB51" s="1072"/>
      <c r="DC51" s="1072"/>
      <c r="DD51" s="1072"/>
      <c r="DE51" s="1073"/>
      <c r="DF51" s="1045">
        <f t="shared" si="177"/>
        <v>0</v>
      </c>
      <c r="DG51" s="1071"/>
      <c r="DH51" s="1072"/>
      <c r="DI51" s="1072"/>
      <c r="DJ51" s="1072"/>
      <c r="DK51" s="1073"/>
      <c r="DL51" s="1045">
        <f t="shared" si="178"/>
        <v>0</v>
      </c>
      <c r="DM51" s="679"/>
      <c r="DN51" s="1072"/>
      <c r="DO51" s="1072"/>
      <c r="DP51" s="1072"/>
      <c r="DQ51" s="1073"/>
      <c r="DR51" s="1045">
        <f t="shared" si="179"/>
        <v>0</v>
      </c>
      <c r="DS51" s="1071"/>
      <c r="DT51" s="1072"/>
      <c r="DU51" s="1072"/>
      <c r="DV51" s="1072"/>
      <c r="DW51" s="1073"/>
      <c r="DX51" s="1045">
        <f t="shared" si="180"/>
        <v>0</v>
      </c>
      <c r="DY51" s="679"/>
      <c r="DZ51" s="1072"/>
      <c r="EA51" s="1072"/>
      <c r="EB51" s="1072"/>
      <c r="EC51" s="1073"/>
      <c r="ED51" s="1045">
        <f t="shared" si="181"/>
        <v>0</v>
      </c>
      <c r="EE51" s="1071"/>
      <c r="EF51" s="1072"/>
      <c r="EG51" s="1072"/>
      <c r="EH51" s="1072"/>
      <c r="EI51" s="1073"/>
      <c r="EJ51" s="1045">
        <f t="shared" si="182"/>
        <v>0</v>
      </c>
      <c r="EK51" s="679"/>
      <c r="EL51" s="1072"/>
      <c r="EM51" s="1072"/>
      <c r="EN51" s="1072"/>
      <c r="EO51" s="1073"/>
      <c r="EP51" s="1045">
        <f t="shared" si="183"/>
        <v>0</v>
      </c>
      <c r="EQ51" s="1071"/>
      <c r="ER51" s="1072"/>
      <c r="ES51" s="1072"/>
      <c r="ET51" s="1072"/>
      <c r="EU51" s="1073"/>
      <c r="EV51" s="1045">
        <f t="shared" si="184"/>
        <v>0</v>
      </c>
      <c r="EW51" s="679"/>
      <c r="EX51" s="1072"/>
      <c r="EY51" s="1072"/>
      <c r="EZ51" s="1072"/>
      <c r="FA51" s="1073"/>
      <c r="FB51" s="1045">
        <f t="shared" si="185"/>
        <v>0</v>
      </c>
      <c r="FC51" s="1071"/>
      <c r="FD51" s="1072"/>
      <c r="FE51" s="1072"/>
      <c r="FF51" s="1072"/>
      <c r="FG51" s="1073"/>
      <c r="FH51" s="1045">
        <f t="shared" si="186"/>
        <v>0</v>
      </c>
      <c r="FI51" s="679"/>
      <c r="FJ51" s="1072"/>
      <c r="FK51" s="1072"/>
      <c r="FL51" s="1072"/>
      <c r="FM51" s="1073"/>
      <c r="FN51" s="1045">
        <f t="shared" si="187"/>
        <v>0</v>
      </c>
      <c r="FO51" s="1071"/>
      <c r="FP51" s="1072"/>
      <c r="FQ51" s="1072"/>
      <c r="FR51" s="1072"/>
      <c r="FS51" s="1073"/>
      <c r="FT51" s="1045">
        <f t="shared" si="188"/>
        <v>0</v>
      </c>
      <c r="FU51" s="679"/>
      <c r="FV51" s="1072"/>
      <c r="FW51" s="1072"/>
      <c r="FX51" s="1072"/>
      <c r="FY51" s="1073"/>
      <c r="FZ51" s="1045">
        <f t="shared" si="189"/>
        <v>0</v>
      </c>
      <c r="GA51" s="1071"/>
      <c r="GB51" s="1072"/>
      <c r="GC51" s="1072"/>
      <c r="GD51" s="1072"/>
      <c r="GE51" s="1073"/>
      <c r="GF51" s="1045">
        <f t="shared" si="190"/>
        <v>0</v>
      </c>
      <c r="GG51" s="1071">
        <f t="shared" ref="GG51:GL51" si="204">+GA51+FU51+FO51+FI51+FC51+EW51+EQ51+EK51+EE51+DY51+DS51+DM51+DG51+DA51+CU51+CO51+CI51+CC51+BW51+BQ51+BK51+BE51++AY51+AS51+AM51+AG51+AA51+U51+O51+I51+C51</f>
        <v>0</v>
      </c>
      <c r="GH51" s="1072">
        <f t="shared" si="204"/>
        <v>0</v>
      </c>
      <c r="GI51" s="1072">
        <f t="shared" si="204"/>
        <v>0</v>
      </c>
      <c r="GJ51" s="1072">
        <f t="shared" si="204"/>
        <v>0</v>
      </c>
      <c r="GK51" s="1073">
        <f t="shared" si="204"/>
        <v>0</v>
      </c>
      <c r="GL51" s="1074">
        <f t="shared" si="204"/>
        <v>0</v>
      </c>
      <c r="GM51" s="1075">
        <f t="shared" si="192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</sheetData>
  <mergeCells count="32">
    <mergeCell ref="C2:H2"/>
    <mergeCell ref="I2:N2"/>
    <mergeCell ref="O2:T2"/>
    <mergeCell ref="U2:Z2"/>
    <mergeCell ref="AA2:AF2"/>
    <mergeCell ref="AG2:AL2"/>
    <mergeCell ref="AM2:AR2"/>
    <mergeCell ref="AS2:AX2"/>
    <mergeCell ref="AY2:BD2"/>
    <mergeCell ref="BE2:BJ2"/>
    <mergeCell ref="BK2:BP2"/>
    <mergeCell ref="BQ2:BV2"/>
    <mergeCell ref="BW2:CB2"/>
    <mergeCell ref="CC2:CH2"/>
    <mergeCell ref="CI2:CN2"/>
    <mergeCell ref="CO2:CT2"/>
    <mergeCell ref="CU2:CZ2"/>
    <mergeCell ref="DA2:DF2"/>
    <mergeCell ref="DG2:DL2"/>
    <mergeCell ref="DM2:DR2"/>
    <mergeCell ref="DS2:DX2"/>
    <mergeCell ref="FO2:FT2"/>
    <mergeCell ref="FU2:FZ2"/>
    <mergeCell ref="GA2:GF2"/>
    <mergeCell ref="GG2:GL2"/>
    <mergeCell ref="DY2:ED2"/>
    <mergeCell ref="EE2:EJ2"/>
    <mergeCell ref="EK2:EP2"/>
    <mergeCell ref="EQ2:EV2"/>
    <mergeCell ref="EW2:FB2"/>
    <mergeCell ref="FC2:FH2"/>
    <mergeCell ref="FI2:FN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4.43" defaultRowHeight="15.0"/>
  <cols>
    <col customWidth="1" min="1" max="1" width="5.14"/>
    <col customWidth="1" min="2" max="2" width="8.0"/>
    <col customWidth="1" min="3" max="3" width="4.43"/>
    <col customWidth="1" min="4" max="4" width="24.43"/>
    <col customWidth="1" min="5" max="5" width="10.86"/>
    <col customWidth="1" min="6" max="6" width="8.43"/>
    <col customWidth="1" min="7" max="8" width="6.71"/>
    <col customWidth="1" min="9" max="11" width="11.29"/>
    <col customWidth="1" min="12" max="12" width="29.71"/>
    <col customWidth="1" min="13" max="26" width="10.0"/>
  </cols>
  <sheetData>
    <row r="1">
      <c r="A1" s="1080" t="s">
        <v>662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9"/>
    </row>
    <row r="2" ht="15.75" customHeight="1">
      <c r="A2" s="674"/>
      <c r="B2" s="780"/>
      <c r="C2" s="780"/>
      <c r="D2" s="780"/>
      <c r="E2" s="780"/>
      <c r="F2" s="780"/>
      <c r="G2" s="780"/>
      <c r="H2" s="780"/>
      <c r="I2" s="780"/>
      <c r="J2" s="780"/>
      <c r="K2" s="780"/>
      <c r="L2" s="781"/>
    </row>
    <row r="3">
      <c r="A3" s="777" t="s">
        <v>663</v>
      </c>
      <c r="B3" s="778"/>
      <c r="C3" s="778"/>
      <c r="D3" s="778"/>
      <c r="E3" s="778"/>
      <c r="F3" s="778"/>
      <c r="G3" s="778"/>
      <c r="H3" s="778"/>
      <c r="I3" s="778"/>
      <c r="J3" s="778"/>
      <c r="K3" s="778"/>
      <c r="L3" s="779"/>
    </row>
    <row r="4" ht="15.75" customHeight="1">
      <c r="A4" s="674"/>
      <c r="B4" s="780"/>
      <c r="C4" s="780"/>
      <c r="D4" s="780"/>
      <c r="E4" s="780"/>
      <c r="F4" s="780"/>
      <c r="G4" s="780"/>
      <c r="H4" s="780"/>
      <c r="I4" s="780"/>
      <c r="J4" s="780"/>
      <c r="K4" s="780"/>
      <c r="L4" s="781"/>
    </row>
    <row r="5">
      <c r="A5" s="88" t="s">
        <v>36</v>
      </c>
      <c r="B5" s="1081" t="s">
        <v>37</v>
      </c>
      <c r="C5" s="1082" t="s">
        <v>39</v>
      </c>
      <c r="D5" s="1082" t="s">
        <v>40</v>
      </c>
      <c r="E5" s="1082" t="s">
        <v>41</v>
      </c>
      <c r="F5" s="1082" t="s">
        <v>42</v>
      </c>
      <c r="G5" s="1082" t="s">
        <v>664</v>
      </c>
      <c r="H5" s="1082" t="s">
        <v>169</v>
      </c>
      <c r="I5" s="1082" t="s">
        <v>665</v>
      </c>
      <c r="J5" s="1082" t="s">
        <v>666</v>
      </c>
      <c r="K5" s="1083" t="s">
        <v>667</v>
      </c>
      <c r="L5" s="92" t="s">
        <v>668</v>
      </c>
    </row>
    <row r="6">
      <c r="A6" s="805"/>
      <c r="B6" s="1084"/>
      <c r="C6" s="805"/>
      <c r="D6" s="554" t="str">
        <f>IFERROR(VLOOKUP(C6,'INVONTERY FEB'!$A$6:$B$131,2,FALSE),"")</f>
        <v/>
      </c>
      <c r="E6" s="554" t="str">
        <f>IFERROR(VLOOKUP(D6,'INVONTERY FEB'!$B$6:$C$131,2,FALSE),"")</f>
        <v/>
      </c>
      <c r="F6" s="554" t="str">
        <f>IFERROR(VLOOKUP(D6,'INVONTERY FEB'!$B$6:$D$131,3,FALSE),"")</f>
        <v/>
      </c>
      <c r="G6" s="1085"/>
      <c r="H6" s="1086"/>
      <c r="I6" s="554">
        <f t="shared" ref="I6:I55" si="1">IFERROR((G6*F6),"")</f>
        <v>0</v>
      </c>
      <c r="J6" s="554">
        <f t="shared" ref="J6:J487" si="2">IFERROR((H6*F6),"")</f>
        <v>0</v>
      </c>
      <c r="K6" s="554"/>
      <c r="L6" s="554"/>
    </row>
    <row r="7">
      <c r="A7" s="805"/>
      <c r="B7" s="1084"/>
      <c r="C7" s="805"/>
      <c r="D7" s="554" t="str">
        <f>IFERROR(VLOOKUP(C7,'INVONTERY FEB'!$A$6:$B$131,2,FALSE),"")</f>
        <v/>
      </c>
      <c r="E7" s="554" t="str">
        <f>IFERROR(VLOOKUP(D7,'INVONTERY FEB'!$B$6:$C$131,2,FALSE),"")</f>
        <v/>
      </c>
      <c r="F7" s="554" t="str">
        <f>IFERROR(VLOOKUP(D7,'INVONTERY FEB'!$B$6:$D$131,3,FALSE),"")</f>
        <v/>
      </c>
      <c r="G7" s="102"/>
      <c r="H7" s="1086"/>
      <c r="I7" s="554">
        <f t="shared" si="1"/>
        <v>0</v>
      </c>
      <c r="J7" s="554">
        <f t="shared" si="2"/>
        <v>0</v>
      </c>
      <c r="K7" s="554"/>
      <c r="L7" s="554"/>
    </row>
    <row r="8">
      <c r="A8" s="805"/>
      <c r="B8" s="1084"/>
      <c r="C8" s="1087"/>
      <c r="D8" s="554" t="str">
        <f>IFERROR(VLOOKUP(C8,'INVONTERY FEB'!$A$6:$B$131,2,FALSE),"")</f>
        <v/>
      </c>
      <c r="E8" s="554" t="str">
        <f>IFERROR(VLOOKUP(D8,'INVONTERY FEB'!$B$6:$C$131,2,FALSE),"")</f>
        <v/>
      </c>
      <c r="F8" s="554" t="str">
        <f>IFERROR(VLOOKUP(D8,'INVONTERY FEB'!$B$6:$D$131,3,FALSE),"")</f>
        <v/>
      </c>
      <c r="G8" s="805"/>
      <c r="H8" s="1086"/>
      <c r="I8" s="554">
        <f t="shared" si="1"/>
        <v>0</v>
      </c>
      <c r="J8" s="554">
        <f t="shared" si="2"/>
        <v>0</v>
      </c>
      <c r="K8" s="554"/>
      <c r="L8" s="554"/>
    </row>
    <row r="9">
      <c r="A9" s="805"/>
      <c r="B9" s="1084"/>
      <c r="C9" s="805"/>
      <c r="D9" s="554" t="str">
        <f>IFERROR(VLOOKUP(C9,'INVONTERY FEB'!$A$6:$B$131,2,FALSE),"")</f>
        <v/>
      </c>
      <c r="E9" s="554" t="str">
        <f>IFERROR(VLOOKUP(D9,'INVONTERY FEB'!$B$6:$C$131,2,FALSE),"")</f>
        <v/>
      </c>
      <c r="F9" s="554" t="str">
        <f>IFERROR(VLOOKUP(D9,'INVONTERY FEB'!$B$6:$D$131,3,FALSE),"")</f>
        <v/>
      </c>
      <c r="G9" s="805"/>
      <c r="H9" s="805"/>
      <c r="I9" s="554">
        <f t="shared" si="1"/>
        <v>0</v>
      </c>
      <c r="J9" s="554">
        <f t="shared" si="2"/>
        <v>0</v>
      </c>
      <c r="K9" s="554"/>
      <c r="L9" s="554"/>
    </row>
    <row r="10">
      <c r="A10" s="805"/>
      <c r="B10" s="1084"/>
      <c r="C10" s="805"/>
      <c r="D10" s="554" t="str">
        <f>IFERROR(VLOOKUP(C10,'INVONTERY FEB'!$A$6:$B$131,2,FALSE),"")</f>
        <v/>
      </c>
      <c r="E10" s="554" t="str">
        <f>IFERROR(VLOOKUP(D10,'INVONTERY FEB'!$B$6:$C$131,2,FALSE),"")</f>
        <v/>
      </c>
      <c r="F10" s="554" t="str">
        <f>IFERROR(VLOOKUP(D10,'INVONTERY FEB'!$B$6:$D$131,3,FALSE),"")</f>
        <v/>
      </c>
      <c r="G10" s="805"/>
      <c r="H10" s="805"/>
      <c r="I10" s="554">
        <f t="shared" si="1"/>
        <v>0</v>
      </c>
      <c r="J10" s="554">
        <f t="shared" si="2"/>
        <v>0</v>
      </c>
      <c r="K10" s="554"/>
      <c r="L10" s="554"/>
    </row>
    <row r="11">
      <c r="A11" s="805"/>
      <c r="B11" s="1084"/>
      <c r="C11" s="805"/>
      <c r="D11" s="554" t="str">
        <f>IFERROR(VLOOKUP(C11,'INVONTERY FEB'!$A$6:$B$131,2,FALSE),"")</f>
        <v/>
      </c>
      <c r="E11" s="554" t="str">
        <f>IFERROR(VLOOKUP(D11,'INVONTERY FEB'!$B$6:$C$131,2,FALSE),"")</f>
        <v/>
      </c>
      <c r="F11" s="554" t="str">
        <f>IFERROR(VLOOKUP(D11,'INVONTERY FEB'!$B$6:$D$131,3,FALSE),"")</f>
        <v/>
      </c>
      <c r="G11" s="805"/>
      <c r="H11" s="805"/>
      <c r="I11" s="554">
        <f t="shared" si="1"/>
        <v>0</v>
      </c>
      <c r="J11" s="554">
        <f t="shared" si="2"/>
        <v>0</v>
      </c>
      <c r="K11" s="554"/>
      <c r="L11" s="554"/>
    </row>
    <row r="12">
      <c r="A12" s="805"/>
      <c r="B12" s="1084"/>
      <c r="C12" s="805"/>
      <c r="D12" s="554" t="str">
        <f>IFERROR(VLOOKUP(C12,'INVONTERY FEB'!$A$6:$B$131,2,FALSE),"")</f>
        <v/>
      </c>
      <c r="E12" s="554" t="str">
        <f>IFERROR(VLOOKUP(D12,'INVONTERY FEB'!$B$6:$C$131,2,FALSE),"")</f>
        <v/>
      </c>
      <c r="F12" s="554" t="str">
        <f>IFERROR(VLOOKUP(D12,'INVONTERY FEB'!$B$6:$D$131,3,FALSE),"")</f>
        <v/>
      </c>
      <c r="G12" s="805"/>
      <c r="H12" s="805"/>
      <c r="I12" s="554">
        <f t="shared" si="1"/>
        <v>0</v>
      </c>
      <c r="J12" s="554">
        <f t="shared" si="2"/>
        <v>0</v>
      </c>
      <c r="K12" s="554"/>
      <c r="L12" s="554"/>
    </row>
    <row r="13">
      <c r="A13" s="805"/>
      <c r="B13" s="1084"/>
      <c r="C13" s="805"/>
      <c r="D13" s="554" t="str">
        <f>IFERROR(VLOOKUP(C13,'INVONTERY FEB'!$A$6:$B$131,2,FALSE),"")</f>
        <v/>
      </c>
      <c r="E13" s="554" t="str">
        <f>IFERROR(VLOOKUP(D13,'INVONTERY FEB'!$B$6:$C$131,2,FALSE),"")</f>
        <v/>
      </c>
      <c r="F13" s="554" t="str">
        <f>IFERROR(VLOOKUP(D13,'INVONTERY FEB'!$B$6:$D$131,3,FALSE),"")</f>
        <v/>
      </c>
      <c r="G13" s="805"/>
      <c r="H13" s="1086"/>
      <c r="I13" s="554">
        <f t="shared" si="1"/>
        <v>0</v>
      </c>
      <c r="J13" s="554">
        <f t="shared" si="2"/>
        <v>0</v>
      </c>
      <c r="K13" s="554"/>
      <c r="L13" s="554"/>
    </row>
    <row r="14">
      <c r="A14" s="805"/>
      <c r="B14" s="1084"/>
      <c r="C14" s="805"/>
      <c r="D14" s="554" t="str">
        <f>IFERROR(VLOOKUP(C14,'INVONTERY FEB'!$A$6:$B$131,2,FALSE),"")</f>
        <v/>
      </c>
      <c r="E14" s="554" t="str">
        <f>IFERROR(VLOOKUP(D14,'INVONTERY FEB'!$B$6:$C$131,2,FALSE),"")</f>
        <v/>
      </c>
      <c r="F14" s="554" t="str">
        <f>IFERROR(VLOOKUP(D14,'INVONTERY FEB'!$B$6:$D$131,3,FALSE),"")</f>
        <v/>
      </c>
      <c r="G14" s="805"/>
      <c r="H14" s="1086"/>
      <c r="I14" s="554">
        <f t="shared" si="1"/>
        <v>0</v>
      </c>
      <c r="J14" s="554">
        <f t="shared" si="2"/>
        <v>0</v>
      </c>
      <c r="K14" s="554"/>
      <c r="L14" s="554"/>
    </row>
    <row r="15">
      <c r="A15" s="805"/>
      <c r="B15" s="1088"/>
      <c r="C15" s="805"/>
      <c r="D15" s="554" t="str">
        <f>IFERROR(VLOOKUP(C15,'INVONTERY FEB'!$A$6:$B$131,2,FALSE),"")</f>
        <v/>
      </c>
      <c r="E15" s="554" t="str">
        <f>IFERROR(VLOOKUP(D15,'INVONTERY FEB'!$B$6:$C$131,2,FALSE),"")</f>
        <v/>
      </c>
      <c r="F15" s="554" t="str">
        <f>IFERROR(VLOOKUP(D15,'INVONTERY FEB'!$B$6:$D$131,3,FALSE),"")</f>
        <v/>
      </c>
      <c r="G15" s="1086"/>
      <c r="H15" s="1086"/>
      <c r="I15" s="554">
        <f t="shared" si="1"/>
        <v>0</v>
      </c>
      <c r="J15" s="554">
        <f t="shared" si="2"/>
        <v>0</v>
      </c>
      <c r="K15" s="554"/>
      <c r="L15" s="554"/>
    </row>
    <row r="16">
      <c r="A16" s="805"/>
      <c r="B16" s="1089"/>
      <c r="C16" s="805"/>
      <c r="D16" s="554" t="str">
        <f>IFERROR(VLOOKUP(C16,'INVONTERY FEB'!$A$6:$B$131,2,FALSE),"")</f>
        <v/>
      </c>
      <c r="E16" s="554" t="str">
        <f>IFERROR(VLOOKUP(D16,'INVONTERY FEB'!$B$6:$C$131,2,FALSE),"")</f>
        <v/>
      </c>
      <c r="F16" s="554" t="str">
        <f>IFERROR(VLOOKUP(D16,'INVONTERY FEB'!$B$6:$D$131,3,FALSE),"")</f>
        <v/>
      </c>
      <c r="G16" s="1086"/>
      <c r="H16" s="1086"/>
      <c r="I16" s="554">
        <f t="shared" si="1"/>
        <v>0</v>
      </c>
      <c r="J16" s="554">
        <f t="shared" si="2"/>
        <v>0</v>
      </c>
      <c r="K16" s="554"/>
      <c r="L16" s="554"/>
    </row>
    <row r="17">
      <c r="A17" s="805"/>
      <c r="B17" s="1089"/>
      <c r="C17" s="805"/>
      <c r="D17" s="554" t="str">
        <f>IFERROR(VLOOKUP(C17,'INVONTERY FEB'!$A$6:$B$131,2,FALSE),"")</f>
        <v/>
      </c>
      <c r="E17" s="554" t="str">
        <f>IFERROR(VLOOKUP(D17,'INVONTERY FEB'!$B$6:$C$131,2,FALSE),"")</f>
        <v/>
      </c>
      <c r="F17" s="554" t="str">
        <f>IFERROR(VLOOKUP(D17,'INVONTERY FEB'!$B$6:$D$131,3,FALSE),"")</f>
        <v/>
      </c>
      <c r="G17" s="805"/>
      <c r="H17" s="1086"/>
      <c r="I17" s="554">
        <f t="shared" si="1"/>
        <v>0</v>
      </c>
      <c r="J17" s="554">
        <f t="shared" si="2"/>
        <v>0</v>
      </c>
      <c r="K17" s="554"/>
      <c r="L17" s="554"/>
    </row>
    <row r="18">
      <c r="A18" s="805"/>
      <c r="B18" s="1089"/>
      <c r="C18" s="805"/>
      <c r="D18" s="554" t="str">
        <f>IFERROR(VLOOKUP(C18,'INVONTERY FEB'!$A$6:$B$131,2,FALSE),"")</f>
        <v/>
      </c>
      <c r="E18" s="554" t="str">
        <f>IFERROR(VLOOKUP(D18,'INVONTERY FEB'!$B$6:$C$131,2,FALSE),"")</f>
        <v/>
      </c>
      <c r="F18" s="554" t="str">
        <f>IFERROR(VLOOKUP(D18,'INVONTERY FEB'!$B$6:$D$131,3,FALSE),"")</f>
        <v/>
      </c>
      <c r="G18" s="805"/>
      <c r="H18" s="1086"/>
      <c r="I18" s="554">
        <f t="shared" si="1"/>
        <v>0</v>
      </c>
      <c r="J18" s="554">
        <f t="shared" si="2"/>
        <v>0</v>
      </c>
      <c r="K18" s="554"/>
      <c r="L18" s="554"/>
    </row>
    <row r="19">
      <c r="A19" s="805"/>
      <c r="B19" s="1089"/>
      <c r="C19" s="805"/>
      <c r="D19" s="554" t="str">
        <f>IFERROR(VLOOKUP(C19,'INVONTERY FEB'!$A$6:$B$131,2,FALSE),"")</f>
        <v/>
      </c>
      <c r="E19" s="554" t="str">
        <f>IFERROR(VLOOKUP(D19,'INVONTERY FEB'!$B$6:$C$131,2,FALSE),"")</f>
        <v/>
      </c>
      <c r="F19" s="554" t="str">
        <f>IFERROR(VLOOKUP(D19,'INVONTERY FEB'!$B$6:$D$131,3,FALSE),"")</f>
        <v/>
      </c>
      <c r="G19" s="805"/>
      <c r="H19" s="1086"/>
      <c r="I19" s="554">
        <f t="shared" si="1"/>
        <v>0</v>
      </c>
      <c r="J19" s="554">
        <f t="shared" si="2"/>
        <v>0</v>
      </c>
      <c r="K19" s="554"/>
      <c r="L19" s="554"/>
    </row>
    <row r="20">
      <c r="A20" s="805"/>
      <c r="B20" s="1084"/>
      <c r="C20" s="805"/>
      <c r="D20" s="554" t="str">
        <f>IFERROR(VLOOKUP(C20,'INVONTERY FEB'!$A$6:$B$131,2,FALSE),"")</f>
        <v/>
      </c>
      <c r="E20" s="554" t="str">
        <f>IFERROR(VLOOKUP(D20,'INVONTERY FEB'!$B$6:$C$131,2,FALSE),"")</f>
        <v/>
      </c>
      <c r="F20" s="554" t="str">
        <f>IFERROR(VLOOKUP(D20,'INVONTERY FEB'!$B$6:$D$131,3,FALSE),"")</f>
        <v/>
      </c>
      <c r="G20" s="805"/>
      <c r="H20" s="805"/>
      <c r="I20" s="554">
        <f t="shared" si="1"/>
        <v>0</v>
      </c>
      <c r="J20" s="554">
        <f t="shared" si="2"/>
        <v>0</v>
      </c>
      <c r="K20" s="554"/>
      <c r="L20" s="554"/>
    </row>
    <row r="21" ht="15.75" customHeight="1">
      <c r="A21" s="805"/>
      <c r="B21" s="1084"/>
      <c r="C21" s="805"/>
      <c r="D21" s="554" t="str">
        <f>IFERROR(VLOOKUP(C21,'INVONTERY FEB'!$A$6:$B$131,2,FALSE),"")</f>
        <v/>
      </c>
      <c r="E21" s="554" t="str">
        <f>IFERROR(VLOOKUP(D21,'INVONTERY FEB'!$B$6:$C$131,2,FALSE),"")</f>
        <v/>
      </c>
      <c r="F21" s="554" t="str">
        <f>IFERROR(VLOOKUP(D21,'INVONTERY FEB'!$B$6:$D$131,3,FALSE),"")</f>
        <v/>
      </c>
      <c r="G21" s="805"/>
      <c r="H21" s="805"/>
      <c r="I21" s="554">
        <f t="shared" si="1"/>
        <v>0</v>
      </c>
      <c r="J21" s="554">
        <f t="shared" si="2"/>
        <v>0</v>
      </c>
      <c r="K21" s="554"/>
      <c r="L21" s="554"/>
    </row>
    <row r="22" ht="15.75" customHeight="1">
      <c r="A22" s="805"/>
      <c r="B22" s="1084"/>
      <c r="C22" s="805"/>
      <c r="D22" s="554" t="str">
        <f>IFERROR(VLOOKUP(C22,'INVONTERY FEB'!$A$6:$B$131,2,FALSE),"")</f>
        <v/>
      </c>
      <c r="E22" s="554" t="str">
        <f>IFERROR(VLOOKUP(D22,'INVONTERY FEB'!$B$6:$C$131,2,FALSE),"")</f>
        <v/>
      </c>
      <c r="F22" s="554" t="str">
        <f>IFERROR(VLOOKUP(D22,'INVONTERY FEB'!$B$6:$D$131,3,FALSE),"")</f>
        <v/>
      </c>
      <c r="G22" s="805"/>
      <c r="H22" s="805"/>
      <c r="I22" s="554">
        <f t="shared" si="1"/>
        <v>0</v>
      </c>
      <c r="J22" s="554">
        <f t="shared" si="2"/>
        <v>0</v>
      </c>
      <c r="K22" s="554"/>
      <c r="L22" s="554"/>
    </row>
    <row r="23" ht="15.75" customHeight="1">
      <c r="A23" s="805"/>
      <c r="B23" s="1084"/>
      <c r="C23" s="805"/>
      <c r="D23" s="554" t="str">
        <f>IFERROR(VLOOKUP(C23,'INVONTERY FEB'!$A$6:$B$131,2,FALSE),"")</f>
        <v/>
      </c>
      <c r="E23" s="554" t="str">
        <f>IFERROR(VLOOKUP(D23,'INVONTERY FEB'!$B$6:$C$131,2,FALSE),"")</f>
        <v/>
      </c>
      <c r="F23" s="554" t="str">
        <f>IFERROR(VLOOKUP(D23,'INVONTERY FEB'!$B$6:$D$131,3,FALSE),"")</f>
        <v/>
      </c>
      <c r="G23" s="805"/>
      <c r="H23" s="805"/>
      <c r="I23" s="554">
        <f t="shared" si="1"/>
        <v>0</v>
      </c>
      <c r="J23" s="554">
        <f t="shared" si="2"/>
        <v>0</v>
      </c>
      <c r="K23" s="554"/>
      <c r="L23" s="554"/>
    </row>
    <row r="24" ht="15.75" customHeight="1">
      <c r="A24" s="805"/>
      <c r="B24" s="1084"/>
      <c r="C24" s="1090"/>
      <c r="D24" s="554" t="str">
        <f>IFERROR(VLOOKUP(C24,'INVONTERY FEB'!$A$6:$B$131,2,FALSE),"")</f>
        <v/>
      </c>
      <c r="E24" s="554" t="str">
        <f>IFERROR(VLOOKUP(D24,'INVONTERY FEB'!$B$6:$C$131,2,FALSE),"")</f>
        <v/>
      </c>
      <c r="F24" s="554" t="str">
        <f>IFERROR(VLOOKUP(D24,'INVONTERY FEB'!$B$6:$D$131,3,FALSE),"")</f>
        <v/>
      </c>
      <c r="G24" s="805"/>
      <c r="H24" s="1086"/>
      <c r="I24" s="554">
        <f t="shared" si="1"/>
        <v>0</v>
      </c>
      <c r="J24" s="554">
        <f t="shared" si="2"/>
        <v>0</v>
      </c>
      <c r="K24" s="554"/>
      <c r="L24" s="805"/>
    </row>
    <row r="25" ht="15.75" customHeight="1">
      <c r="A25" s="805"/>
      <c r="B25" s="1084"/>
      <c r="C25" s="1091"/>
      <c r="D25" s="554" t="str">
        <f>IFERROR(VLOOKUP(C25,'INVONTERY FEB'!$A$6:$B$131,2,FALSE),"")</f>
        <v/>
      </c>
      <c r="E25" s="554" t="str">
        <f>IFERROR(VLOOKUP(D25,'INVONTERY FEB'!$B$6:$C$131,2,FALSE),"")</f>
        <v/>
      </c>
      <c r="F25" s="554" t="str">
        <f>IFERROR(VLOOKUP(D25,'INVONTERY FEB'!$B$6:$D$131,3,FALSE),"")</f>
        <v/>
      </c>
      <c r="G25" s="805"/>
      <c r="H25" s="1086"/>
      <c r="I25" s="554">
        <f t="shared" si="1"/>
        <v>0</v>
      </c>
      <c r="J25" s="554">
        <f t="shared" si="2"/>
        <v>0</v>
      </c>
      <c r="K25" s="554"/>
      <c r="L25" s="805"/>
    </row>
    <row r="26" ht="15.75" customHeight="1">
      <c r="A26" s="805"/>
      <c r="B26" s="1084"/>
      <c r="C26" s="1090"/>
      <c r="D26" s="554" t="str">
        <f>IFERROR(VLOOKUP(C26,'INVONTERY FEB'!$A$6:$B$131,2,FALSE),"")</f>
        <v/>
      </c>
      <c r="E26" s="554" t="str">
        <f>IFERROR(VLOOKUP(D26,'INVONTERY FEB'!$B$6:$C$131,2,FALSE),"")</f>
        <v/>
      </c>
      <c r="F26" s="554" t="str">
        <f>IFERROR(VLOOKUP(D26,'INVONTERY FEB'!$B$6:$D$131,3,FALSE),"")</f>
        <v/>
      </c>
      <c r="G26" s="805"/>
      <c r="H26" s="1086"/>
      <c r="I26" s="554">
        <f t="shared" si="1"/>
        <v>0</v>
      </c>
      <c r="J26" s="554">
        <f t="shared" si="2"/>
        <v>0</v>
      </c>
      <c r="K26" s="554"/>
      <c r="L26" s="805"/>
      <c r="M26" s="140">
        <f>2480/48</f>
        <v>51.66666667</v>
      </c>
    </row>
    <row r="27" ht="15.75" customHeight="1">
      <c r="A27" s="1085"/>
      <c r="B27" s="1088"/>
      <c r="C27" s="805"/>
      <c r="D27" s="805" t="str">
        <f>IFERROR(VLOOKUP(C27,'INVONTERY FEB'!$A$6:$B$131,2,FALSE),"")</f>
        <v/>
      </c>
      <c r="E27" s="554" t="str">
        <f>IFERROR(VLOOKUP(D27,'INVONTERY FEB'!$B$6:$C$131,2,FALSE),"")</f>
        <v/>
      </c>
      <c r="F27" s="554" t="str">
        <f>IFERROR(VLOOKUP(D27,'INVONTERY FEB'!$B$6:$D$131,3,FALSE),"")</f>
        <v/>
      </c>
      <c r="G27" s="1085"/>
      <c r="H27" s="805"/>
      <c r="I27" s="554">
        <f t="shared" si="1"/>
        <v>0</v>
      </c>
      <c r="J27" s="554">
        <f t="shared" si="2"/>
        <v>0</v>
      </c>
      <c r="K27" s="1092"/>
      <c r="L27" s="1085"/>
    </row>
    <row r="28" ht="15.75" customHeight="1">
      <c r="A28" s="805"/>
      <c r="B28" s="1088"/>
      <c r="C28" s="805"/>
      <c r="D28" s="805" t="str">
        <f>IFERROR(VLOOKUP(C28,'INVONTERY FEB'!$A$6:$B$131,2,FALSE),"")</f>
        <v/>
      </c>
      <c r="E28" s="554" t="str">
        <f>IFERROR(VLOOKUP(D28,'INVONTERY FEB'!$B$6:$C$131,2,FALSE),"")</f>
        <v/>
      </c>
      <c r="F28" s="554" t="str">
        <f>IFERROR(VLOOKUP(D28,'INVONTERY FEB'!$B$6:$D$131,3,FALSE),"")</f>
        <v/>
      </c>
      <c r="G28" s="805"/>
      <c r="H28" s="1086"/>
      <c r="I28" s="554">
        <f t="shared" si="1"/>
        <v>0</v>
      </c>
      <c r="J28" s="554">
        <f t="shared" si="2"/>
        <v>0</v>
      </c>
      <c r="K28" s="805"/>
      <c r="L28" s="805"/>
    </row>
    <row r="29" ht="15.75" customHeight="1">
      <c r="A29" s="554"/>
      <c r="B29" s="1088"/>
      <c r="C29" s="554"/>
      <c r="D29" s="805" t="str">
        <f>IFERROR(VLOOKUP(C29,'INVONTERY FEB'!$A$6:$B$131,2,FALSE),"")</f>
        <v/>
      </c>
      <c r="E29" s="554" t="str">
        <f>IFERROR(VLOOKUP(D29,'INVONTERY FEB'!$B$6:$C$131,2,FALSE),"")</f>
        <v/>
      </c>
      <c r="F29" s="554" t="str">
        <f>IFERROR(VLOOKUP(D29,'INVONTERY FEB'!$B$6:$D$131,3,FALSE),"")</f>
        <v/>
      </c>
      <c r="G29" s="554"/>
      <c r="H29" s="1086"/>
      <c r="I29" s="554">
        <f t="shared" si="1"/>
        <v>0</v>
      </c>
      <c r="J29" s="554">
        <f t="shared" si="2"/>
        <v>0</v>
      </c>
      <c r="K29" s="554"/>
      <c r="L29" s="554"/>
    </row>
    <row r="30" ht="15.75" customHeight="1">
      <c r="A30" s="805"/>
      <c r="B30" s="1088"/>
      <c r="C30" s="805"/>
      <c r="D30" s="554" t="str">
        <f>IFERROR(VLOOKUP(C30,'INVONTERY FEB'!$A$6:$B$131,2,FALSE),"")</f>
        <v/>
      </c>
      <c r="E30" s="554" t="str">
        <f>IFERROR(VLOOKUP(D30,'INVONTERY FEB'!$B$6:$C$131,2,FALSE),"")</f>
        <v/>
      </c>
      <c r="F30" s="554" t="str">
        <f>IFERROR(VLOOKUP(D30,'INVONTERY FEB'!$B$6:$D$131,3,FALSE),"")</f>
        <v/>
      </c>
      <c r="G30" s="1093"/>
      <c r="H30" s="1086"/>
      <c r="I30" s="554">
        <f t="shared" si="1"/>
        <v>0</v>
      </c>
      <c r="J30" s="554">
        <f t="shared" si="2"/>
        <v>0</v>
      </c>
      <c r="K30" s="554"/>
      <c r="L30" s="805"/>
    </row>
    <row r="31" ht="15.75" customHeight="1">
      <c r="A31" s="805"/>
      <c r="B31" s="1088"/>
      <c r="C31" s="805"/>
      <c r="D31" s="554" t="str">
        <f>IFERROR(VLOOKUP(C31,'INVONTERY FEB'!$A$6:$B$131,2,FALSE),"")</f>
        <v/>
      </c>
      <c r="E31" s="554" t="str">
        <f>IFERROR(VLOOKUP(D31,'INVONTERY FEB'!$B$6:$C$131,2,FALSE),"")</f>
        <v/>
      </c>
      <c r="F31" s="554" t="str">
        <f>IFERROR(VLOOKUP(D31,'INVONTERY FEB'!$B$6:$D$131,3,FALSE),"")</f>
        <v/>
      </c>
      <c r="G31" s="1093"/>
      <c r="H31" s="1086"/>
      <c r="I31" s="554">
        <f t="shared" si="1"/>
        <v>0</v>
      </c>
      <c r="J31" s="554">
        <f t="shared" si="2"/>
        <v>0</v>
      </c>
      <c r="K31" s="554"/>
      <c r="L31" s="1088"/>
    </row>
    <row r="32" ht="15.75" customHeight="1">
      <c r="A32" s="805"/>
      <c r="B32" s="1088"/>
      <c r="C32" s="805"/>
      <c r="D32" s="554" t="str">
        <f>IFERROR(VLOOKUP(C32,'INVONTERY FEB'!$A$6:$B$131,2,FALSE),"")</f>
        <v/>
      </c>
      <c r="E32" s="554" t="str">
        <f>IFERROR(VLOOKUP(D32,'INVONTERY FEB'!$B$6:$C$131,2,FALSE),"")</f>
        <v/>
      </c>
      <c r="F32" s="554" t="str">
        <f>IFERROR(VLOOKUP(D32,'INVONTERY FEB'!$B$6:$D$131,3,FALSE),"")</f>
        <v/>
      </c>
      <c r="G32" s="805"/>
      <c r="H32" s="805"/>
      <c r="I32" s="556">
        <f t="shared" si="1"/>
        <v>0</v>
      </c>
      <c r="J32" s="554">
        <f t="shared" si="2"/>
        <v>0</v>
      </c>
      <c r="K32" s="554"/>
      <c r="L32" s="805"/>
    </row>
    <row r="33" ht="15.75" customHeight="1">
      <c r="A33" s="805"/>
      <c r="B33" s="1084"/>
      <c r="C33" s="805"/>
      <c r="D33" s="554" t="str">
        <f>IFERROR(VLOOKUP(C33,'INVONTERY FEB'!$A$6:$B$131,2,FALSE),"")</f>
        <v/>
      </c>
      <c r="E33" s="554" t="str">
        <f>IFERROR(VLOOKUP(D33,'INVONTERY FEB'!$B$6:$C$131,2,FALSE),"")</f>
        <v/>
      </c>
      <c r="F33" s="554" t="str">
        <f>IFERROR(VLOOKUP(D33,'INVONTERY FEB'!$B$6:$D$131,3,FALSE),"")</f>
        <v/>
      </c>
      <c r="G33" s="805"/>
      <c r="H33" s="1086"/>
      <c r="I33" s="554">
        <f t="shared" si="1"/>
        <v>0</v>
      </c>
      <c r="J33" s="554">
        <f t="shared" si="2"/>
        <v>0</v>
      </c>
      <c r="K33" s="554"/>
      <c r="L33" s="805"/>
    </row>
    <row r="34" ht="15.75" customHeight="1">
      <c r="A34" s="805"/>
      <c r="B34" s="1084"/>
      <c r="C34" s="805"/>
      <c r="D34" s="554" t="str">
        <f>IFERROR(VLOOKUP(C34,'INVONTERY FEB'!$A$6:$B$131,2,FALSE),"")</f>
        <v/>
      </c>
      <c r="E34" s="554" t="str">
        <f>IFERROR(VLOOKUP(D34,'INVONTERY FEB'!$B$6:$C$131,2,FALSE),"")</f>
        <v/>
      </c>
      <c r="F34" s="554" t="str">
        <f>IFERROR(VLOOKUP(D34,'INVONTERY FEB'!$B$6:$D$131,3,FALSE),"")</f>
        <v/>
      </c>
      <c r="G34" s="805"/>
      <c r="H34" s="1086"/>
      <c r="I34" s="554">
        <f t="shared" si="1"/>
        <v>0</v>
      </c>
      <c r="J34" s="554">
        <f t="shared" si="2"/>
        <v>0</v>
      </c>
      <c r="K34" s="554"/>
      <c r="L34" s="805"/>
    </row>
    <row r="35" ht="15.75" customHeight="1">
      <c r="A35" s="805"/>
      <c r="B35" s="1084"/>
      <c r="C35" s="805"/>
      <c r="D35" s="554" t="str">
        <f>IFERROR(VLOOKUP(C35,'INVONTERY FEB'!$A$6:$B$131,2,FALSE),"")</f>
        <v/>
      </c>
      <c r="E35" s="554" t="str">
        <f>IFERROR(VLOOKUP(D35,'INVONTERY FEB'!$B$6:$C$131,2,FALSE),"")</f>
        <v/>
      </c>
      <c r="F35" s="554" t="str">
        <f>IFERROR(VLOOKUP(D35,'INVONTERY FEB'!$B$6:$D$131,3,FALSE),"")</f>
        <v/>
      </c>
      <c r="G35" s="805"/>
      <c r="H35" s="805"/>
      <c r="I35" s="554">
        <f t="shared" si="1"/>
        <v>0</v>
      </c>
      <c r="J35" s="554">
        <f t="shared" si="2"/>
        <v>0</v>
      </c>
      <c r="K35" s="554"/>
      <c r="L35" s="805"/>
    </row>
    <row r="36" ht="15.75" customHeight="1">
      <c r="A36" s="805"/>
      <c r="B36" s="1084"/>
      <c r="C36" s="805"/>
      <c r="D36" s="554" t="str">
        <f>IFERROR(VLOOKUP(C36,'INVONTERY FEB'!$A$6:$B$131,2,FALSE),"")</f>
        <v/>
      </c>
      <c r="E36" s="554" t="str">
        <f>IFERROR(VLOOKUP(D36,'INVONTERY FEB'!$B$6:$C$131,2,FALSE),"")</f>
        <v/>
      </c>
      <c r="F36" s="554" t="str">
        <f>IFERROR(VLOOKUP(D36,'INVONTERY FEB'!$B$6:$D$131,3,FALSE),"")</f>
        <v/>
      </c>
      <c r="G36" s="805"/>
      <c r="H36" s="805"/>
      <c r="I36" s="554">
        <f t="shared" si="1"/>
        <v>0</v>
      </c>
      <c r="J36" s="554">
        <f t="shared" si="2"/>
        <v>0</v>
      </c>
      <c r="K36" s="554"/>
      <c r="L36" s="805"/>
    </row>
    <row r="37" ht="15.75" customHeight="1">
      <c r="A37" s="805"/>
      <c r="B37" s="1088"/>
      <c r="C37" s="805"/>
      <c r="D37" s="554" t="str">
        <f>IFERROR(VLOOKUP(C37,'INVONTERY FEB'!$A$6:$B$131,2,FALSE),"")</f>
        <v/>
      </c>
      <c r="E37" s="554" t="str">
        <f>IFERROR(VLOOKUP(D37,'INVONTERY FEB'!$B$6:$C$131,2,FALSE),"")</f>
        <v/>
      </c>
      <c r="F37" s="554" t="str">
        <f>IFERROR(VLOOKUP(D37,'INVONTERY FEB'!$B$6:$D$131,3,FALSE),"")</f>
        <v/>
      </c>
      <c r="G37" s="805"/>
      <c r="H37" s="1086"/>
      <c r="I37" s="554">
        <f t="shared" si="1"/>
        <v>0</v>
      </c>
      <c r="J37" s="554">
        <f t="shared" si="2"/>
        <v>0</v>
      </c>
      <c r="K37" s="554"/>
      <c r="L37" s="805"/>
    </row>
    <row r="38" ht="15.75" customHeight="1">
      <c r="A38" s="805"/>
      <c r="B38" s="1088"/>
      <c r="C38" s="805"/>
      <c r="D38" s="554" t="str">
        <f>IFERROR(VLOOKUP(C38,'INVONTERY FEB'!$A$6:$B$131,2,FALSE),"")</f>
        <v/>
      </c>
      <c r="E38" s="554" t="str">
        <f>IFERROR(VLOOKUP(D38,'INVONTERY FEB'!$B$6:$C$131,2,FALSE),"")</f>
        <v/>
      </c>
      <c r="F38" s="554" t="str">
        <f>IFERROR(VLOOKUP(D38,'INVONTERY FEB'!$B$6:$D$131,3,FALSE),"")</f>
        <v/>
      </c>
      <c r="G38" s="805"/>
      <c r="H38" s="1086"/>
      <c r="I38" s="554">
        <f t="shared" si="1"/>
        <v>0</v>
      </c>
      <c r="J38" s="554">
        <f t="shared" si="2"/>
        <v>0</v>
      </c>
      <c r="K38" s="554"/>
      <c r="L38" s="80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ht="15.75" customHeight="1">
      <c r="A39" s="805"/>
      <c r="B39" s="1088"/>
      <c r="C39" s="805"/>
      <c r="D39" s="554" t="str">
        <f>IFERROR(VLOOKUP(C39,'INVONTERY FEB'!$A$6:$B$131,2,FALSE),"")</f>
        <v/>
      </c>
      <c r="E39" s="554" t="str">
        <f>IFERROR(VLOOKUP(D39,'INVONTERY FEB'!$B$6:$C$131,2,FALSE),"")</f>
        <v/>
      </c>
      <c r="F39" s="554" t="str">
        <f>IFERROR(VLOOKUP(D39,'INVONTERY FEB'!$B$6:$D$131,3,FALSE),"")</f>
        <v/>
      </c>
      <c r="G39" s="805"/>
      <c r="H39" s="805"/>
      <c r="I39" s="554">
        <f t="shared" si="1"/>
        <v>0</v>
      </c>
      <c r="J39" s="554">
        <f t="shared" si="2"/>
        <v>0</v>
      </c>
      <c r="K39" s="554"/>
      <c r="L39" s="805"/>
    </row>
    <row r="40" ht="15.75" customHeight="1">
      <c r="A40" s="805"/>
      <c r="B40" s="1088"/>
      <c r="C40" s="805"/>
      <c r="D40" s="554" t="str">
        <f>IFERROR(VLOOKUP(C40,'INVONTERY FEB'!$A$6:$B$131,2,FALSE),"")</f>
        <v/>
      </c>
      <c r="E40" s="554" t="str">
        <f>IFERROR(VLOOKUP(D40,'INVONTERY FEB'!$B$6:$C$131,2,FALSE),"")</f>
        <v/>
      </c>
      <c r="F40" s="554" t="str">
        <f>IFERROR(VLOOKUP(D40,'INVONTERY FEB'!$B$6:$D$131,3,FALSE),"")</f>
        <v/>
      </c>
      <c r="G40" s="805"/>
      <c r="H40" s="1086"/>
      <c r="I40" s="554">
        <f t="shared" si="1"/>
        <v>0</v>
      </c>
      <c r="J40" s="554">
        <f t="shared" si="2"/>
        <v>0</v>
      </c>
      <c r="K40" s="554"/>
      <c r="L40" s="805"/>
    </row>
    <row r="41" ht="15.75" customHeight="1">
      <c r="A41" s="805"/>
      <c r="B41" s="1088"/>
      <c r="C41" s="805"/>
      <c r="D41" s="554" t="str">
        <f>IFERROR(VLOOKUP(C41,'INVONTERY FEB'!$A$6:$B$131,2,FALSE),"")</f>
        <v/>
      </c>
      <c r="E41" s="554" t="str">
        <f>IFERROR(VLOOKUP(D41,'INVONTERY FEB'!$B$6:$C$131,2,FALSE),"")</f>
        <v/>
      </c>
      <c r="F41" s="554" t="str">
        <f>IFERROR(VLOOKUP(D41,'INVONTERY FEB'!$B$6:$D$131,3,FALSE),"")</f>
        <v/>
      </c>
      <c r="G41" s="805"/>
      <c r="H41" s="1086"/>
      <c r="I41" s="554">
        <f t="shared" si="1"/>
        <v>0</v>
      </c>
      <c r="J41" s="554">
        <f t="shared" si="2"/>
        <v>0</v>
      </c>
      <c r="K41" s="554"/>
      <c r="L41" s="805"/>
    </row>
    <row r="42" ht="15.75" customHeight="1">
      <c r="A42" s="805"/>
      <c r="B42" s="1088"/>
      <c r="C42" s="116"/>
      <c r="D42" s="554" t="str">
        <f>IFERROR(VLOOKUP(C42,'INVONTERY FEB'!$A$6:$B$131,2,FALSE),"")</f>
        <v/>
      </c>
      <c r="E42" s="554" t="str">
        <f>IFERROR(VLOOKUP(D42,'INVONTERY FEB'!$B$6:$C$131,2,FALSE),"")</f>
        <v/>
      </c>
      <c r="F42" s="554" t="str">
        <f>IFERROR(VLOOKUP(D42,'INVONTERY FEB'!$B$6:$D$131,3,FALSE),"")</f>
        <v/>
      </c>
      <c r="G42" s="805"/>
      <c r="H42" s="1086"/>
      <c r="I42" s="554">
        <f t="shared" si="1"/>
        <v>0</v>
      </c>
      <c r="J42" s="554">
        <f t="shared" si="2"/>
        <v>0</v>
      </c>
      <c r="K42" s="554"/>
      <c r="L42" s="805"/>
    </row>
    <row r="43" ht="15.75" customHeight="1">
      <c r="A43" s="805"/>
      <c r="B43" s="1088"/>
      <c r="C43" s="116"/>
      <c r="D43" s="554" t="str">
        <f>IFERROR(VLOOKUP(C43,'INVONTERY FEB'!$A$6:$B$131,2,FALSE),"")</f>
        <v/>
      </c>
      <c r="E43" s="554" t="str">
        <f>IFERROR(VLOOKUP(D43,'INVONTERY FEB'!$B$6:$C$131,2,FALSE),"")</f>
        <v/>
      </c>
      <c r="F43" s="554" t="str">
        <f>IFERROR(VLOOKUP(D43,'INVONTERY FEB'!$B$6:$D$131,3,FALSE),"")</f>
        <v/>
      </c>
      <c r="G43" s="805"/>
      <c r="H43" s="805"/>
      <c r="I43" s="554">
        <f t="shared" si="1"/>
        <v>0</v>
      </c>
      <c r="J43" s="554">
        <f t="shared" si="2"/>
        <v>0</v>
      </c>
      <c r="K43" s="554"/>
      <c r="L43" s="805"/>
    </row>
    <row r="44" ht="15.75" customHeight="1">
      <c r="A44" s="805"/>
      <c r="B44" s="1088"/>
      <c r="C44" s="805"/>
      <c r="D44" s="554" t="str">
        <f>IFERROR(VLOOKUP(C44,'INVONTERY FEB'!$A$6:$B$131,2,FALSE),"")</f>
        <v/>
      </c>
      <c r="E44" s="554" t="str">
        <f>IFERROR(VLOOKUP(D44,'INVONTERY FEB'!$B$6:$C$131,2,FALSE),"")</f>
        <v/>
      </c>
      <c r="F44" s="554" t="str">
        <f>IFERROR(VLOOKUP(D44,'INVONTERY FEB'!$B$6:$D$131,3,FALSE),"")</f>
        <v/>
      </c>
      <c r="G44" s="805"/>
      <c r="H44" s="805"/>
      <c r="I44" s="554">
        <f t="shared" si="1"/>
        <v>0</v>
      </c>
      <c r="J44" s="554">
        <f t="shared" si="2"/>
        <v>0</v>
      </c>
      <c r="K44" s="554"/>
      <c r="L44" s="805"/>
    </row>
    <row r="45" ht="15.75" customHeight="1">
      <c r="A45" s="805"/>
      <c r="B45" s="1088"/>
      <c r="C45" s="805"/>
      <c r="D45" s="554" t="str">
        <f>IFERROR(VLOOKUP(C45,'INVONTERY FEB'!$A$6:$B$131,2,FALSE),"")</f>
        <v/>
      </c>
      <c r="E45" s="554" t="str">
        <f>IFERROR(VLOOKUP(D45,'INVONTERY FEB'!$B$6:$C$131,2,FALSE),"")</f>
        <v/>
      </c>
      <c r="F45" s="554" t="str">
        <f>IFERROR(VLOOKUP(D45,'INVONTERY FEB'!$B$6:$D$131,3,FALSE),"")</f>
        <v/>
      </c>
      <c r="G45" s="805"/>
      <c r="H45" s="805"/>
      <c r="I45" s="554">
        <f t="shared" si="1"/>
        <v>0</v>
      </c>
      <c r="J45" s="554">
        <f t="shared" si="2"/>
        <v>0</v>
      </c>
      <c r="K45" s="554"/>
      <c r="L45" s="805"/>
    </row>
    <row r="46" ht="15.75" customHeight="1">
      <c r="A46" s="805"/>
      <c r="B46" s="1088"/>
      <c r="C46" s="805"/>
      <c r="D46" s="554" t="str">
        <f>IFERROR(VLOOKUP(C46,'INVONTERY FEB'!$A$6:$B$131,2,FALSE),"")</f>
        <v/>
      </c>
      <c r="E46" s="554" t="str">
        <f>IFERROR(VLOOKUP(D46,'INVONTERY FEB'!$B$6:$C$131,2,FALSE),"")</f>
        <v/>
      </c>
      <c r="F46" s="554" t="str">
        <f>IFERROR(VLOOKUP(D46,'INVONTERY FEB'!$B$6:$D$131,3,FALSE),"")</f>
        <v/>
      </c>
      <c r="G46" s="805"/>
      <c r="H46" s="805"/>
      <c r="I46" s="554">
        <f t="shared" si="1"/>
        <v>0</v>
      </c>
      <c r="J46" s="554">
        <f t="shared" si="2"/>
        <v>0</v>
      </c>
      <c r="K46" s="554"/>
      <c r="L46" s="805"/>
    </row>
    <row r="47" ht="15.75" customHeight="1">
      <c r="A47" s="805"/>
      <c r="B47" s="1088"/>
      <c r="C47" s="805"/>
      <c r="D47" s="554" t="str">
        <f>IFERROR(VLOOKUP(C47,'INVONTERY FEB'!$A$6:$B$131,2,FALSE),"")</f>
        <v/>
      </c>
      <c r="E47" s="554" t="str">
        <f>IFERROR(VLOOKUP(D47,'INVONTERY FEB'!$B$6:$C$131,2,FALSE),"")</f>
        <v/>
      </c>
      <c r="F47" s="554" t="str">
        <f>IFERROR(VLOOKUP(D47,'INVONTERY FEB'!$B$6:$D$131,3,FALSE),"")</f>
        <v/>
      </c>
      <c r="G47" s="805"/>
      <c r="H47" s="1094"/>
      <c r="I47" s="554">
        <f t="shared" si="1"/>
        <v>0</v>
      </c>
      <c r="J47" s="554">
        <f t="shared" si="2"/>
        <v>0</v>
      </c>
      <c r="K47" s="554"/>
      <c r="L47" s="805"/>
    </row>
    <row r="48" ht="15.75" customHeight="1">
      <c r="A48" s="805"/>
      <c r="B48" s="1088"/>
      <c r="C48" s="805"/>
      <c r="D48" s="554" t="str">
        <f>IFERROR(VLOOKUP(C48,'INVONTERY FEB'!$A$6:$B$131,2,FALSE),"")</f>
        <v/>
      </c>
      <c r="E48" s="554" t="str">
        <f>IFERROR(VLOOKUP(D48,'INVONTERY FEB'!$B$6:$C$131,2,FALSE),"")</f>
        <v/>
      </c>
      <c r="F48" s="554" t="str">
        <f>IFERROR(VLOOKUP(D48,'INVONTERY FEB'!$B$6:$D$131,3,FALSE),"")</f>
        <v/>
      </c>
      <c r="G48" s="805"/>
      <c r="H48" s="1094"/>
      <c r="I48" s="554">
        <f t="shared" si="1"/>
        <v>0</v>
      </c>
      <c r="J48" s="554">
        <f t="shared" si="2"/>
        <v>0</v>
      </c>
      <c r="K48" s="554"/>
      <c r="L48" s="805"/>
    </row>
    <row r="49" ht="15.75" customHeight="1">
      <c r="A49" s="805"/>
      <c r="B49" s="1088"/>
      <c r="C49" s="805"/>
      <c r="D49" s="554" t="str">
        <f>IFERROR(VLOOKUP(C49,'INVONTERY FEB'!$A$6:$B$131,2,FALSE),"")</f>
        <v/>
      </c>
      <c r="E49" s="554" t="str">
        <f>IFERROR(VLOOKUP(D49,'INVONTERY FEB'!$B$6:$C$131,2,FALSE),"")</f>
        <v/>
      </c>
      <c r="F49" s="554" t="str">
        <f>IFERROR(VLOOKUP(D49,'INVONTERY FEB'!$B$6:$D$131,3,FALSE),"")</f>
        <v/>
      </c>
      <c r="G49" s="805"/>
      <c r="H49" s="1094"/>
      <c r="I49" s="554">
        <f t="shared" si="1"/>
        <v>0</v>
      </c>
      <c r="J49" s="554">
        <f t="shared" si="2"/>
        <v>0</v>
      </c>
      <c r="K49" s="554"/>
      <c r="L49" s="805"/>
    </row>
    <row r="50" ht="15.75" customHeight="1">
      <c r="A50" s="805"/>
      <c r="B50" s="1088"/>
      <c r="C50" s="805"/>
      <c r="D50" s="554" t="str">
        <f>IFERROR(VLOOKUP(C50,'INVONTERY FEB'!$A$6:$B$131,2,FALSE),"")</f>
        <v/>
      </c>
      <c r="E50" s="554" t="str">
        <f>IFERROR(VLOOKUP(D50,'INVONTERY FEB'!$B$6:$C$131,2,FALSE),"")</f>
        <v/>
      </c>
      <c r="F50" s="554" t="str">
        <f>IFERROR(VLOOKUP(D50,'INVONTERY FEB'!$B$6:$D$131,3,FALSE),"")</f>
        <v/>
      </c>
      <c r="G50" s="805"/>
      <c r="H50" s="1094"/>
      <c r="I50" s="554">
        <f t="shared" si="1"/>
        <v>0</v>
      </c>
      <c r="J50" s="554">
        <f t="shared" si="2"/>
        <v>0</v>
      </c>
      <c r="K50" s="554"/>
      <c r="L50" s="805"/>
    </row>
    <row r="51" ht="15.75" customHeight="1">
      <c r="A51" s="805"/>
      <c r="B51" s="1088"/>
      <c r="C51" s="805"/>
      <c r="D51" s="554" t="str">
        <f>IFERROR(VLOOKUP(C51,'INVONTERY FEB'!$A$6:$B$131,2,FALSE),"")</f>
        <v/>
      </c>
      <c r="E51" s="554" t="str">
        <f>IFERROR(VLOOKUP(D51,'INVONTERY FEB'!$B$6:$C$131,2,FALSE),"")</f>
        <v/>
      </c>
      <c r="F51" s="554" t="str">
        <f>IFERROR(VLOOKUP(D51,'INVONTERY FEB'!$B$6:$D$131,3,FALSE),"")</f>
        <v/>
      </c>
      <c r="G51" s="805"/>
      <c r="H51" s="805"/>
      <c r="I51" s="554">
        <f t="shared" si="1"/>
        <v>0</v>
      </c>
      <c r="J51" s="554">
        <f t="shared" si="2"/>
        <v>0</v>
      </c>
      <c r="K51" s="554"/>
      <c r="L51" s="805"/>
    </row>
    <row r="52" ht="15.75" customHeight="1">
      <c r="A52" s="805"/>
      <c r="B52" s="1088"/>
      <c r="C52" s="805"/>
      <c r="D52" s="554" t="str">
        <f>IFERROR(VLOOKUP(C52,'INVONTERY FEB'!$A$6:$B$131,2,FALSE),"")</f>
        <v/>
      </c>
      <c r="E52" s="554" t="str">
        <f>IFERROR(VLOOKUP(D52,'INVONTERY FEB'!$B$6:$C$131,2,FALSE),"")</f>
        <v/>
      </c>
      <c r="F52" s="554" t="str">
        <f>IFERROR(VLOOKUP(D52,'INVONTERY FEB'!$B$6:$D$131,3,FALSE),"")</f>
        <v/>
      </c>
      <c r="G52" s="805"/>
      <c r="H52" s="805"/>
      <c r="I52" s="554">
        <f t="shared" si="1"/>
        <v>0</v>
      </c>
      <c r="J52" s="554">
        <f t="shared" si="2"/>
        <v>0</v>
      </c>
      <c r="K52" s="554"/>
      <c r="L52" s="805"/>
    </row>
    <row r="53" ht="15.75" customHeight="1">
      <c r="A53" s="805"/>
      <c r="B53" s="1088"/>
      <c r="C53" s="805"/>
      <c r="D53" s="554" t="str">
        <f>IFERROR(VLOOKUP(C53,'INVONTERY FEB'!$A$6:$B$131,2,FALSE),"")</f>
        <v/>
      </c>
      <c r="E53" s="554" t="str">
        <f>IFERROR(VLOOKUP(D53,'INVONTERY FEB'!$B$6:$C$131,2,FALSE),"")</f>
        <v/>
      </c>
      <c r="F53" s="554" t="str">
        <f>IFERROR(VLOOKUP(D53,'INVONTERY FEB'!$B$6:$D$131,3,FALSE),"")</f>
        <v/>
      </c>
      <c r="G53" s="805"/>
      <c r="H53" s="805"/>
      <c r="I53" s="554">
        <f t="shared" si="1"/>
        <v>0</v>
      </c>
      <c r="J53" s="554">
        <f t="shared" si="2"/>
        <v>0</v>
      </c>
      <c r="K53" s="554"/>
      <c r="L53" s="805"/>
    </row>
    <row r="54" ht="15.75" customHeight="1">
      <c r="A54" s="805"/>
      <c r="B54" s="1088"/>
      <c r="C54" s="805"/>
      <c r="D54" s="554" t="str">
        <f>IFERROR(VLOOKUP(C54,'INVONTERY FEB'!$A$6:$B$131,2,FALSE),"")</f>
        <v/>
      </c>
      <c r="E54" s="554" t="str">
        <f>IFERROR(VLOOKUP(D54,'INVONTERY FEB'!$B$6:$C$131,2,FALSE),"")</f>
        <v/>
      </c>
      <c r="F54" s="554" t="str">
        <f>IFERROR(VLOOKUP(D54,'INVONTERY FEB'!$B$6:$D$131,3,FALSE),"")</f>
        <v/>
      </c>
      <c r="G54" s="805"/>
      <c r="H54" s="1094"/>
      <c r="I54" s="554">
        <f t="shared" si="1"/>
        <v>0</v>
      </c>
      <c r="J54" s="554">
        <f t="shared" si="2"/>
        <v>0</v>
      </c>
      <c r="K54" s="554"/>
      <c r="L54" s="805"/>
    </row>
    <row r="55" ht="15.75" customHeight="1">
      <c r="A55" s="805"/>
      <c r="B55" s="1088"/>
      <c r="C55" s="805"/>
      <c r="D55" s="554" t="str">
        <f>IFERROR(VLOOKUP(C55,'INVONTERY FEB'!$A$6:$B$131,2,FALSE),"")</f>
        <v/>
      </c>
      <c r="E55" s="554" t="str">
        <f>IFERROR(VLOOKUP(D55,'INVONTERY FEB'!$B$6:$C$131,2,FALSE),"")</f>
        <v/>
      </c>
      <c r="F55" s="554" t="str">
        <f>IFERROR(VLOOKUP(D55,'INVONTERY FEB'!$B$6:$D$131,3,FALSE),"")</f>
        <v/>
      </c>
      <c r="G55" s="805"/>
      <c r="H55" s="1094"/>
      <c r="I55" s="554">
        <f t="shared" si="1"/>
        <v>0</v>
      </c>
      <c r="J55" s="554">
        <f t="shared" si="2"/>
        <v>0</v>
      </c>
      <c r="K55" s="554"/>
      <c r="L55" s="805"/>
    </row>
    <row r="56" ht="15.75" customHeight="1">
      <c r="A56" s="805"/>
      <c r="B56" s="1088"/>
      <c r="C56" s="805"/>
      <c r="D56" s="554" t="str">
        <f>IFERROR(VLOOKUP(C56,'INVONTERY FEB'!$A$6:$B$131,2,FALSE),"")</f>
        <v/>
      </c>
      <c r="E56" s="554" t="str">
        <f>IFERROR(VLOOKUP(D56,'INVONTERY FEB'!$B$6:$C$131,2,FALSE),"")</f>
        <v/>
      </c>
      <c r="F56" s="554" t="str">
        <f>IFERROR(VLOOKUP(D56,'INVONTERY FEB'!$B$6:$D$131,3,FALSE),"")</f>
        <v/>
      </c>
      <c r="G56" s="1094"/>
      <c r="H56" s="1094"/>
      <c r="I56" s="554"/>
      <c r="J56" s="554">
        <f t="shared" si="2"/>
        <v>0</v>
      </c>
      <c r="K56" s="554"/>
      <c r="L56" s="805"/>
    </row>
    <row r="57" ht="15.75" customHeight="1">
      <c r="A57" s="805"/>
      <c r="B57" s="1088"/>
      <c r="C57" s="805"/>
      <c r="D57" s="554" t="str">
        <f>IFERROR(VLOOKUP(C57,'INVONTERY FEB'!$A$6:$B$131,2,FALSE),"")</f>
        <v/>
      </c>
      <c r="E57" s="554" t="str">
        <f>IFERROR(VLOOKUP(D57,'INVONTERY FEB'!$B$6:$C$131,2,FALSE),"")</f>
        <v/>
      </c>
      <c r="F57" s="554" t="str">
        <f>IFERROR(VLOOKUP(D57,'INVONTERY FEB'!$B$6:$D$131,3,FALSE),"")</f>
        <v/>
      </c>
      <c r="G57" s="805"/>
      <c r="H57" s="1094"/>
      <c r="I57" s="554">
        <f t="shared" ref="I57:I487" si="3">IFERROR((G57*F57),"")</f>
        <v>0</v>
      </c>
      <c r="J57" s="554">
        <f t="shared" si="2"/>
        <v>0</v>
      </c>
      <c r="K57" s="554"/>
      <c r="L57" s="805"/>
    </row>
    <row r="58" ht="15.75" customHeight="1">
      <c r="A58" s="805"/>
      <c r="B58" s="1088"/>
      <c r="C58" s="805"/>
      <c r="D58" s="554" t="str">
        <f>IFERROR(VLOOKUP(C58,'INVONTERY FEB'!$A$6:$B$131,2,FALSE),"")</f>
        <v/>
      </c>
      <c r="E58" s="554" t="str">
        <f>IFERROR(VLOOKUP(D58,'INVONTERY FEB'!$B$6:$C$131,2,FALSE),"")</f>
        <v/>
      </c>
      <c r="F58" s="554" t="str">
        <f>IFERROR(VLOOKUP(D58,'INVONTERY FEB'!$B$6:$D$131,3,FALSE),"")</f>
        <v/>
      </c>
      <c r="G58" s="805"/>
      <c r="H58" s="1094"/>
      <c r="I58" s="554">
        <f t="shared" si="3"/>
        <v>0</v>
      </c>
      <c r="J58" s="554">
        <f t="shared" si="2"/>
        <v>0</v>
      </c>
      <c r="K58" s="554"/>
      <c r="L58" s="805"/>
    </row>
    <row r="59" ht="15.75" customHeight="1">
      <c r="A59" s="805"/>
      <c r="B59" s="1088"/>
      <c r="C59" s="805"/>
      <c r="D59" s="554" t="str">
        <f>IFERROR(VLOOKUP(C59,'INVONTERY FEB'!$A$6:$B$131,2,FALSE),"")</f>
        <v/>
      </c>
      <c r="E59" s="554" t="str">
        <f>IFERROR(VLOOKUP(D59,'INVONTERY FEB'!$B$6:$C$131,2,FALSE),"")</f>
        <v/>
      </c>
      <c r="F59" s="554" t="str">
        <f>IFERROR(VLOOKUP(D59,'INVONTERY FEB'!$B$6:$D$131,3,FALSE),"")</f>
        <v/>
      </c>
      <c r="G59" s="805"/>
      <c r="H59" s="1094"/>
      <c r="I59" s="554">
        <f t="shared" si="3"/>
        <v>0</v>
      </c>
      <c r="J59" s="554">
        <f t="shared" si="2"/>
        <v>0</v>
      </c>
      <c r="K59" s="554"/>
      <c r="L59" s="805"/>
    </row>
    <row r="60" ht="15.75" customHeight="1">
      <c r="A60" s="805"/>
      <c r="B60" s="1088"/>
      <c r="C60" s="805"/>
      <c r="D60" s="554" t="str">
        <f>IFERROR(VLOOKUP(C60,'INVONTERY FEB'!$A$6:$B$131,2,FALSE),"")</f>
        <v/>
      </c>
      <c r="E60" s="554" t="str">
        <f>IFERROR(VLOOKUP(D60,'INVONTERY FEB'!$B$6:$C$131,2,FALSE),"")</f>
        <v/>
      </c>
      <c r="F60" s="554" t="str">
        <f>IFERROR(VLOOKUP(D60,'INVONTERY FEB'!$B$6:$D$131,3,FALSE),"")</f>
        <v/>
      </c>
      <c r="G60" s="805"/>
      <c r="H60" s="1094"/>
      <c r="I60" s="554">
        <f t="shared" si="3"/>
        <v>0</v>
      </c>
      <c r="J60" s="554">
        <f t="shared" si="2"/>
        <v>0</v>
      </c>
      <c r="K60" s="554"/>
      <c r="L60" s="805"/>
    </row>
    <row r="61" ht="15.75" customHeight="1">
      <c r="A61" s="805"/>
      <c r="B61" s="1088"/>
      <c r="C61" s="805"/>
      <c r="D61" s="554" t="str">
        <f>IFERROR(VLOOKUP(C61,'INVONTERY FEB'!$A$6:$B$131,2,FALSE),"")</f>
        <v/>
      </c>
      <c r="E61" s="554" t="str">
        <f>IFERROR(VLOOKUP(D61,'INVONTERY FEB'!$B$6:$C$131,2,FALSE),"")</f>
        <v/>
      </c>
      <c r="F61" s="554" t="str">
        <f>IFERROR(VLOOKUP(D61,'INVONTERY FEB'!$B$6:$D$131,3,FALSE),"")</f>
        <v/>
      </c>
      <c r="G61" s="805"/>
      <c r="H61" s="805"/>
      <c r="I61" s="554">
        <f t="shared" si="3"/>
        <v>0</v>
      </c>
      <c r="J61" s="554">
        <f t="shared" si="2"/>
        <v>0</v>
      </c>
      <c r="K61" s="554"/>
      <c r="L61" s="805"/>
    </row>
    <row r="62" ht="15.75" customHeight="1">
      <c r="A62" s="805"/>
      <c r="B62" s="1088"/>
      <c r="C62" s="805"/>
      <c r="D62" s="554" t="str">
        <f>IFERROR(VLOOKUP(C62,'INVONTERY FEB'!$A$6:$B$131,2,FALSE),"")</f>
        <v/>
      </c>
      <c r="E62" s="554" t="str">
        <f>IFERROR(VLOOKUP(D62,'INVONTERY FEB'!$B$6:$C$131,2,FALSE),"")</f>
        <v/>
      </c>
      <c r="F62" s="554" t="str">
        <f>IFERROR(VLOOKUP(D62,'INVONTERY FEB'!$B$6:$D$131,3,FALSE),"")</f>
        <v/>
      </c>
      <c r="G62" s="805"/>
      <c r="H62" s="805"/>
      <c r="I62" s="554">
        <f t="shared" si="3"/>
        <v>0</v>
      </c>
      <c r="J62" s="554">
        <f t="shared" si="2"/>
        <v>0</v>
      </c>
      <c r="K62" s="554"/>
      <c r="L62" s="805"/>
      <c r="M62" s="105">
        <f>15*12</f>
        <v>180</v>
      </c>
    </row>
    <row r="63" ht="15.75" customHeight="1">
      <c r="A63" s="805"/>
      <c r="B63" s="1088"/>
      <c r="C63" s="805"/>
      <c r="D63" s="554" t="str">
        <f>IFERROR(VLOOKUP(C63,'INVONTERY FEB'!$A$6:$B$131,2,FALSE),"")</f>
        <v/>
      </c>
      <c r="E63" s="554" t="str">
        <f>IFERROR(VLOOKUP(D63,'INVONTERY FEB'!$B$6:$C$131,2,FALSE),"")</f>
        <v/>
      </c>
      <c r="F63" s="554" t="str">
        <f>IFERROR(VLOOKUP(D63,'INVONTERY FEB'!$B$6:$D$131,3,FALSE),"")</f>
        <v/>
      </c>
      <c r="G63" s="805"/>
      <c r="H63" s="805"/>
      <c r="I63" s="554">
        <f t="shared" si="3"/>
        <v>0</v>
      </c>
      <c r="J63" s="554">
        <f t="shared" si="2"/>
        <v>0</v>
      </c>
      <c r="K63" s="554"/>
      <c r="L63" s="805"/>
    </row>
    <row r="64" ht="15.75" customHeight="1">
      <c r="A64" s="805"/>
      <c r="B64" s="1088"/>
      <c r="C64" s="805"/>
      <c r="D64" s="554" t="str">
        <f>IFERROR(VLOOKUP(C64,'INVONTERY FEB'!$A$6:$B$131,2,FALSE),"")</f>
        <v/>
      </c>
      <c r="E64" s="554" t="str">
        <f>IFERROR(VLOOKUP(D64,'INVONTERY FEB'!$B$6:$C$131,2,FALSE),"")</f>
        <v/>
      </c>
      <c r="F64" s="554" t="str">
        <f>IFERROR(VLOOKUP(D64,'INVONTERY FEB'!$B$6:$D$131,3,FALSE),"")</f>
        <v/>
      </c>
      <c r="G64" s="805"/>
      <c r="H64" s="805"/>
      <c r="I64" s="554">
        <f t="shared" si="3"/>
        <v>0</v>
      </c>
      <c r="J64" s="554">
        <f t="shared" si="2"/>
        <v>0</v>
      </c>
      <c r="K64" s="554"/>
      <c r="L64" s="805"/>
    </row>
    <row r="65" ht="15.75" customHeight="1">
      <c r="A65" s="805"/>
      <c r="B65" s="1088"/>
      <c r="C65" s="805"/>
      <c r="D65" s="554" t="str">
        <f>IFERROR(VLOOKUP(C65,'INVONTERY FEB'!$A$6:$B$131,2,FALSE),"")</f>
        <v/>
      </c>
      <c r="E65" s="554" t="str">
        <f>IFERROR(VLOOKUP(D65,'INVONTERY FEB'!$B$6:$C$131,2,FALSE),"")</f>
        <v/>
      </c>
      <c r="F65" s="554" t="str">
        <f>IFERROR(VLOOKUP(D65,'INVONTERY FEB'!$B$6:$D$131,3,FALSE),"")</f>
        <v/>
      </c>
      <c r="G65" s="805"/>
      <c r="H65" s="805"/>
      <c r="I65" s="554">
        <f t="shared" si="3"/>
        <v>0</v>
      </c>
      <c r="J65" s="554">
        <f t="shared" si="2"/>
        <v>0</v>
      </c>
      <c r="K65" s="554"/>
      <c r="L65" s="805"/>
    </row>
    <row r="66" ht="15.75" customHeight="1">
      <c r="A66" s="805"/>
      <c r="B66" s="1088"/>
      <c r="C66" s="805"/>
      <c r="D66" s="554" t="str">
        <f>IFERROR(VLOOKUP(C66,'INVONTERY FEB'!$A$6:$B$131,2,FALSE),"")</f>
        <v/>
      </c>
      <c r="E66" s="554" t="str">
        <f>IFERROR(VLOOKUP(D66,'INVONTERY FEB'!$B$6:$C$131,2,FALSE),"")</f>
        <v/>
      </c>
      <c r="F66" s="554" t="str">
        <f>IFERROR(VLOOKUP(D66,'INVONTERY FEB'!$B$6:$D$131,3,FALSE),"")</f>
        <v/>
      </c>
      <c r="G66" s="805"/>
      <c r="H66" s="805"/>
      <c r="I66" s="554">
        <f t="shared" si="3"/>
        <v>0</v>
      </c>
      <c r="J66" s="554">
        <f t="shared" si="2"/>
        <v>0</v>
      </c>
      <c r="K66" s="554"/>
      <c r="L66" s="805"/>
    </row>
    <row r="67" ht="15.75" customHeight="1">
      <c r="A67" s="805"/>
      <c r="B67" s="1088"/>
      <c r="C67" s="805"/>
      <c r="D67" s="554" t="str">
        <f>IFERROR(VLOOKUP(C67,'INVONTERY FEB'!$A$6:$B$131,2,FALSE),"")</f>
        <v/>
      </c>
      <c r="E67" s="554" t="str">
        <f>IFERROR(VLOOKUP(D67,'INVONTERY FEB'!$B$6:$C$131,2,FALSE),"")</f>
        <v/>
      </c>
      <c r="F67" s="554" t="str">
        <f>IFERROR(VLOOKUP(D67,'INVONTERY FEB'!$B$6:$D$131,3,FALSE),"")</f>
        <v/>
      </c>
      <c r="G67" s="805"/>
      <c r="H67" s="805"/>
      <c r="I67" s="554">
        <f t="shared" si="3"/>
        <v>0</v>
      </c>
      <c r="J67" s="554">
        <f t="shared" si="2"/>
        <v>0</v>
      </c>
      <c r="K67" s="554"/>
      <c r="L67" s="805"/>
    </row>
    <row r="68" ht="15.75" customHeight="1">
      <c r="A68" s="805"/>
      <c r="B68" s="1088"/>
      <c r="C68" s="805"/>
      <c r="D68" s="554" t="str">
        <f>IFERROR(VLOOKUP(C68,'INVONTERY FEB'!$A$6:$B$131,2,FALSE),"")</f>
        <v/>
      </c>
      <c r="E68" s="554" t="str">
        <f>IFERROR(VLOOKUP(D68,'INVONTERY FEB'!$B$6:$C$131,2,FALSE),"")</f>
        <v/>
      </c>
      <c r="F68" s="554" t="str">
        <f>IFERROR(VLOOKUP(D68,'INVONTERY FEB'!$B$6:$D$131,3,FALSE),"")</f>
        <v/>
      </c>
      <c r="G68" s="805"/>
      <c r="H68" s="805"/>
      <c r="I68" s="554">
        <f t="shared" si="3"/>
        <v>0</v>
      </c>
      <c r="J68" s="554">
        <f t="shared" si="2"/>
        <v>0</v>
      </c>
      <c r="K68" s="554"/>
      <c r="L68" s="805"/>
    </row>
    <row r="69" ht="15.75" customHeight="1">
      <c r="A69" s="805"/>
      <c r="B69" s="1088"/>
      <c r="C69" s="805"/>
      <c r="D69" s="554" t="str">
        <f>IFERROR(VLOOKUP(C69,'INVONTERY FEB'!$A$6:$B$131,2,FALSE),"")</f>
        <v/>
      </c>
      <c r="E69" s="554" t="str">
        <f>IFERROR(VLOOKUP(D69,'INVONTERY FEB'!$B$6:$C$131,2,FALSE),"")</f>
        <v/>
      </c>
      <c r="F69" s="554" t="str">
        <f>IFERROR(VLOOKUP(D69,'INVONTERY FEB'!$B$6:$D$131,3,FALSE),"")</f>
        <v/>
      </c>
      <c r="G69" s="805"/>
      <c r="H69" s="805"/>
      <c r="I69" s="554">
        <f t="shared" si="3"/>
        <v>0</v>
      </c>
      <c r="J69" s="554">
        <f t="shared" si="2"/>
        <v>0</v>
      </c>
      <c r="K69" s="554"/>
      <c r="L69" s="805"/>
    </row>
    <row r="70" ht="15.75" customHeight="1">
      <c r="A70" s="805"/>
      <c r="B70" s="1088"/>
      <c r="C70" s="805"/>
      <c r="D70" s="554" t="str">
        <f>IFERROR(VLOOKUP(C70,'INVONTERY FEB'!$A$6:$B$131,2,FALSE),"")</f>
        <v/>
      </c>
      <c r="E70" s="554" t="str">
        <f>IFERROR(VLOOKUP(D70,'INVONTERY FEB'!$B$6:$C$131,2,FALSE),"")</f>
        <v/>
      </c>
      <c r="F70" s="554" t="str">
        <f>IFERROR(VLOOKUP(D70,'INVONTERY FEB'!$B$6:$D$131,3,FALSE),"")</f>
        <v/>
      </c>
      <c r="G70" s="805"/>
      <c r="H70" s="805"/>
      <c r="I70" s="554">
        <f t="shared" si="3"/>
        <v>0</v>
      </c>
      <c r="J70" s="554">
        <f t="shared" si="2"/>
        <v>0</v>
      </c>
      <c r="K70" s="554"/>
      <c r="L70" s="805"/>
    </row>
    <row r="71" ht="15.75" customHeight="1">
      <c r="A71" s="805"/>
      <c r="B71" s="1088"/>
      <c r="C71" s="805"/>
      <c r="D71" s="554" t="str">
        <f>IFERROR(VLOOKUP(C71,'INVONTERY FEB'!$A$6:$B$131,2,FALSE),"")</f>
        <v/>
      </c>
      <c r="E71" s="554" t="str">
        <f>IFERROR(VLOOKUP(D71,'INVONTERY FEB'!$B$6:$C$131,2,FALSE),"")</f>
        <v/>
      </c>
      <c r="F71" s="554" t="str">
        <f>IFERROR(VLOOKUP(D71,'INVONTERY FEB'!$B$6:$D$131,3,FALSE),"")</f>
        <v/>
      </c>
      <c r="G71" s="805"/>
      <c r="H71" s="805"/>
      <c r="I71" s="554">
        <f t="shared" si="3"/>
        <v>0</v>
      </c>
      <c r="J71" s="554">
        <f t="shared" si="2"/>
        <v>0</v>
      </c>
      <c r="K71" s="554"/>
      <c r="L71" s="805"/>
    </row>
    <row r="72" ht="15.75" customHeight="1">
      <c r="A72" s="805"/>
      <c r="B72" s="1088"/>
      <c r="C72" s="805"/>
      <c r="D72" s="554" t="str">
        <f>IFERROR(VLOOKUP(C72,'INVONTERY FEB'!$A$6:$B$131,2,FALSE),"")</f>
        <v/>
      </c>
      <c r="E72" s="554" t="str">
        <f>IFERROR(VLOOKUP(D72,'INVONTERY FEB'!$B$6:$C$131,2,FALSE),"")</f>
        <v/>
      </c>
      <c r="F72" s="554" t="str">
        <f>IFERROR(VLOOKUP(D72,'INVONTERY FEB'!$B$6:$D$131,3,FALSE),"")</f>
        <v/>
      </c>
      <c r="G72" s="805"/>
      <c r="H72" s="805"/>
      <c r="I72" s="554">
        <f t="shared" si="3"/>
        <v>0</v>
      </c>
      <c r="J72" s="554">
        <f t="shared" si="2"/>
        <v>0</v>
      </c>
      <c r="K72" s="554"/>
      <c r="L72" s="805"/>
    </row>
    <row r="73" ht="15.75" customHeight="1">
      <c r="A73" s="805"/>
      <c r="B73" s="1088"/>
      <c r="C73" s="805"/>
      <c r="D73" s="554" t="str">
        <f>IFERROR(VLOOKUP(C73,'INVONTERY FEB'!$A$6:$B$131,2,FALSE),"")</f>
        <v/>
      </c>
      <c r="E73" s="554" t="str">
        <f>IFERROR(VLOOKUP(D73,'INVONTERY FEB'!$B$6:$C$131,2,FALSE),"")</f>
        <v/>
      </c>
      <c r="F73" s="554" t="str">
        <f>IFERROR(VLOOKUP(D73,'INVONTERY FEB'!$B$6:$D$131,3,FALSE),"")</f>
        <v/>
      </c>
      <c r="G73" s="805"/>
      <c r="H73" s="805"/>
      <c r="I73" s="554">
        <f t="shared" si="3"/>
        <v>0</v>
      </c>
      <c r="J73" s="554">
        <f t="shared" si="2"/>
        <v>0</v>
      </c>
      <c r="K73" s="554"/>
      <c r="L73" s="805"/>
    </row>
    <row r="74" ht="15.75" customHeight="1">
      <c r="A74" s="805"/>
      <c r="B74" s="1088"/>
      <c r="C74" s="805"/>
      <c r="D74" s="554" t="str">
        <f>IFERROR(VLOOKUP(C74,'INVONTERY FEB'!$A$6:$B$131,2,FALSE),"")</f>
        <v/>
      </c>
      <c r="E74" s="554" t="str">
        <f>IFERROR(VLOOKUP(D74,'INVONTERY FEB'!$B$6:$C$131,2,FALSE),"")</f>
        <v/>
      </c>
      <c r="F74" s="554" t="str">
        <f>IFERROR(VLOOKUP(D74,'INVONTERY FEB'!$B$6:$D$131,3,FALSE),"")</f>
        <v/>
      </c>
      <c r="G74" s="805"/>
      <c r="H74" s="805"/>
      <c r="I74" s="554">
        <f t="shared" si="3"/>
        <v>0</v>
      </c>
      <c r="J74" s="554">
        <f t="shared" si="2"/>
        <v>0</v>
      </c>
      <c r="K74" s="554"/>
      <c r="L74" s="805"/>
    </row>
    <row r="75" ht="15.75" customHeight="1">
      <c r="A75" s="805"/>
      <c r="B75" s="1088"/>
      <c r="C75" s="805"/>
      <c r="D75" s="554" t="str">
        <f>IFERROR(VLOOKUP(C75,'INVONTERY FEB'!$A$6:$B$131,2,FALSE),"")</f>
        <v/>
      </c>
      <c r="E75" s="554" t="str">
        <f>IFERROR(VLOOKUP(D75,'INVONTERY FEB'!$B$6:$C$131,2,FALSE),"")</f>
        <v/>
      </c>
      <c r="F75" s="554" t="str">
        <f>IFERROR(VLOOKUP(D75,'INVONTERY FEB'!$B$6:$D$131,3,FALSE),"")</f>
        <v/>
      </c>
      <c r="G75" s="805"/>
      <c r="H75" s="805"/>
      <c r="I75" s="554">
        <f t="shared" si="3"/>
        <v>0</v>
      </c>
      <c r="J75" s="554">
        <f t="shared" si="2"/>
        <v>0</v>
      </c>
      <c r="K75" s="554"/>
      <c r="L75" s="805"/>
    </row>
    <row r="76" ht="15.75" customHeight="1">
      <c r="A76" s="805"/>
      <c r="B76" s="1088"/>
      <c r="C76" s="805"/>
      <c r="D76" s="554" t="str">
        <f>IFERROR(VLOOKUP(C76,'INVONTERY FEB'!$A$6:$B$131,2,FALSE),"")</f>
        <v/>
      </c>
      <c r="E76" s="554" t="str">
        <f>IFERROR(VLOOKUP(D76,'INVONTERY FEB'!$B$6:$C$131,2,FALSE),"")</f>
        <v/>
      </c>
      <c r="F76" s="554" t="str">
        <f>IFERROR(VLOOKUP(D76,'INVONTERY FEB'!$B$6:$D$131,3,FALSE),"")</f>
        <v/>
      </c>
      <c r="G76" s="805"/>
      <c r="H76" s="805"/>
      <c r="I76" s="554">
        <f t="shared" si="3"/>
        <v>0</v>
      </c>
      <c r="J76" s="554">
        <f t="shared" si="2"/>
        <v>0</v>
      </c>
      <c r="K76" s="554"/>
      <c r="L76" s="805"/>
    </row>
    <row r="77" ht="15.75" customHeight="1">
      <c r="A77" s="805"/>
      <c r="B77" s="1088"/>
      <c r="C77" s="805"/>
      <c r="D77" s="554" t="str">
        <f>IFERROR(VLOOKUP(C77,'INVONTERY FEB'!$A$6:$B$131,2,FALSE),"")</f>
        <v/>
      </c>
      <c r="E77" s="554" t="str">
        <f>IFERROR(VLOOKUP(D77,'INVONTERY FEB'!$B$6:$C$131,2,FALSE),"")</f>
        <v/>
      </c>
      <c r="F77" s="554" t="str">
        <f>IFERROR(VLOOKUP(D77,'INVONTERY FEB'!$B$6:$D$131,3,FALSE),"")</f>
        <v/>
      </c>
      <c r="G77" s="805"/>
      <c r="H77" s="805"/>
      <c r="I77" s="554">
        <f t="shared" si="3"/>
        <v>0</v>
      </c>
      <c r="J77" s="554">
        <f t="shared" si="2"/>
        <v>0</v>
      </c>
      <c r="K77" s="554"/>
      <c r="L77" s="805"/>
    </row>
    <row r="78" ht="15.75" customHeight="1">
      <c r="A78" s="805"/>
      <c r="B78" s="1088"/>
      <c r="C78" s="805"/>
      <c r="D78" s="554" t="str">
        <f>IFERROR(VLOOKUP(C78,'INVONTERY FEB'!$A$6:$B$131,2,FALSE),"")</f>
        <v/>
      </c>
      <c r="E78" s="554" t="str">
        <f>IFERROR(VLOOKUP(D78,'INVONTERY FEB'!$B$6:$C$131,2,FALSE),"")</f>
        <v/>
      </c>
      <c r="F78" s="554" t="str">
        <f>IFERROR(VLOOKUP(D78,'INVONTERY FEB'!$B$6:$D$131,3,FALSE),"")</f>
        <v/>
      </c>
      <c r="G78" s="805"/>
      <c r="H78" s="805"/>
      <c r="I78" s="554">
        <f t="shared" si="3"/>
        <v>0</v>
      </c>
      <c r="J78" s="554">
        <f t="shared" si="2"/>
        <v>0</v>
      </c>
      <c r="K78" s="554"/>
      <c r="L78" s="805"/>
    </row>
    <row r="79" ht="15.75" customHeight="1">
      <c r="A79" s="805"/>
      <c r="B79" s="1088"/>
      <c r="C79" s="805"/>
      <c r="D79" s="554" t="str">
        <f>IFERROR(VLOOKUP(C79,'INVONTERY FEB'!$A$6:$B$131,2,FALSE),"")</f>
        <v/>
      </c>
      <c r="E79" s="554" t="str">
        <f>IFERROR(VLOOKUP(D79,'INVONTERY FEB'!$B$6:$C$131,2,FALSE),"")</f>
        <v/>
      </c>
      <c r="F79" s="554" t="str">
        <f>IFERROR(VLOOKUP(D79,'INVONTERY FEB'!$B$6:$D$131,3,FALSE),"")</f>
        <v/>
      </c>
      <c r="G79" s="805"/>
      <c r="H79" s="805"/>
      <c r="I79" s="554">
        <f t="shared" si="3"/>
        <v>0</v>
      </c>
      <c r="J79" s="554">
        <f t="shared" si="2"/>
        <v>0</v>
      </c>
      <c r="K79" s="554"/>
      <c r="L79" s="805"/>
    </row>
    <row r="80" ht="15.75" customHeight="1">
      <c r="A80" s="805"/>
      <c r="B80" s="1088"/>
      <c r="C80" s="805"/>
      <c r="D80" s="554" t="str">
        <f>IFERROR(VLOOKUP(C80,'INVONTERY FEB'!$A$6:$B$131,2,FALSE),"")</f>
        <v/>
      </c>
      <c r="E80" s="554" t="str">
        <f>IFERROR(VLOOKUP(D80,'INVONTERY FEB'!$B$6:$C$131,2,FALSE),"")</f>
        <v/>
      </c>
      <c r="F80" s="554" t="str">
        <f>IFERROR(VLOOKUP(D80,'INVONTERY FEB'!$B$6:$D$131,3,FALSE),"")</f>
        <v/>
      </c>
      <c r="G80" s="805"/>
      <c r="H80" s="805"/>
      <c r="I80" s="554">
        <f t="shared" si="3"/>
        <v>0</v>
      </c>
      <c r="J80" s="554">
        <f t="shared" si="2"/>
        <v>0</v>
      </c>
      <c r="K80" s="554"/>
      <c r="L80" s="805"/>
    </row>
    <row r="81" ht="15.75" customHeight="1">
      <c r="A81" s="805"/>
      <c r="B81" s="1088"/>
      <c r="C81" s="805"/>
      <c r="D81" s="554" t="str">
        <f>IFERROR(VLOOKUP(C81,'INVONTERY FEB'!$A$6:$B$131,2,FALSE),"")</f>
        <v/>
      </c>
      <c r="E81" s="554" t="str">
        <f>IFERROR(VLOOKUP(D81,'INVONTERY FEB'!$B$6:$C$131,2,FALSE),"")</f>
        <v/>
      </c>
      <c r="F81" s="554" t="str">
        <f>IFERROR(VLOOKUP(D81,'INVONTERY FEB'!$B$6:$D$131,3,FALSE),"")</f>
        <v/>
      </c>
      <c r="G81" s="805"/>
      <c r="H81" s="805"/>
      <c r="I81" s="554">
        <f t="shared" si="3"/>
        <v>0</v>
      </c>
      <c r="J81" s="554">
        <f t="shared" si="2"/>
        <v>0</v>
      </c>
      <c r="K81" s="554"/>
      <c r="L81" s="805"/>
    </row>
    <row r="82" ht="15.75" customHeight="1">
      <c r="A82" s="805"/>
      <c r="B82" s="1088"/>
      <c r="C82" s="805"/>
      <c r="D82" s="554" t="str">
        <f>IFERROR(VLOOKUP(C82,'INVONTERY FEB'!$A$6:$B$131,2,FALSE),"")</f>
        <v/>
      </c>
      <c r="E82" s="554" t="str">
        <f>IFERROR(VLOOKUP(D82,'INVONTERY FEB'!$B$6:$C$131,2,FALSE),"")</f>
        <v/>
      </c>
      <c r="F82" s="554" t="str">
        <f>IFERROR(VLOOKUP(D82,'INVONTERY FEB'!$B$6:$D$131,3,FALSE),"")</f>
        <v/>
      </c>
      <c r="G82" s="805"/>
      <c r="H82" s="805"/>
      <c r="I82" s="554">
        <f t="shared" si="3"/>
        <v>0</v>
      </c>
      <c r="J82" s="554">
        <f t="shared" si="2"/>
        <v>0</v>
      </c>
      <c r="K82" s="554"/>
      <c r="L82" s="805"/>
    </row>
    <row r="83" ht="15.75" customHeight="1">
      <c r="A83" s="805"/>
      <c r="B83" s="1088"/>
      <c r="C83" s="805"/>
      <c r="D83" s="554" t="str">
        <f>IFERROR(VLOOKUP(C83,'INVONTERY FEB'!$A$6:$B$131,2,FALSE),"")</f>
        <v/>
      </c>
      <c r="E83" s="554" t="str">
        <f>IFERROR(VLOOKUP(D83,'INVONTERY FEB'!$B$6:$C$131,2,FALSE),"")</f>
        <v/>
      </c>
      <c r="F83" s="554" t="str">
        <f>IFERROR(VLOOKUP(D83,'INVONTERY FEB'!$B$6:$D$131,3,FALSE),"")</f>
        <v/>
      </c>
      <c r="G83" s="805"/>
      <c r="H83" s="805"/>
      <c r="I83" s="554">
        <f t="shared" si="3"/>
        <v>0</v>
      </c>
      <c r="J83" s="554">
        <f t="shared" si="2"/>
        <v>0</v>
      </c>
      <c r="K83" s="554"/>
      <c r="L83" s="805"/>
    </row>
    <row r="84" ht="15.75" customHeight="1">
      <c r="A84" s="805"/>
      <c r="B84" s="1088"/>
      <c r="C84" s="805"/>
      <c r="D84" s="554" t="str">
        <f>IFERROR(VLOOKUP(C84,'INVONTERY FEB'!$A$6:$B$131,2,FALSE),"")</f>
        <v/>
      </c>
      <c r="E84" s="554" t="str">
        <f>IFERROR(VLOOKUP(D84,'INVONTERY FEB'!$B$6:$C$131,2,FALSE),"")</f>
        <v/>
      </c>
      <c r="F84" s="554" t="str">
        <f>IFERROR(VLOOKUP(D84,'INVONTERY FEB'!$B$6:$D$131,3,FALSE),"")</f>
        <v/>
      </c>
      <c r="G84" s="805"/>
      <c r="H84" s="805"/>
      <c r="I84" s="554">
        <f t="shared" si="3"/>
        <v>0</v>
      </c>
      <c r="J84" s="554">
        <f t="shared" si="2"/>
        <v>0</v>
      </c>
      <c r="K84" s="554"/>
      <c r="L84" s="805"/>
    </row>
    <row r="85" ht="15.75" customHeight="1">
      <c r="A85" s="805"/>
      <c r="B85" s="1088"/>
      <c r="C85" s="805"/>
      <c r="D85" s="554" t="str">
        <f>IFERROR(VLOOKUP(C85,'INVONTERY FEB'!$A$6:$B$131,2,FALSE),"")</f>
        <v/>
      </c>
      <c r="E85" s="554" t="str">
        <f>IFERROR(VLOOKUP(D85,'INVONTERY FEB'!$B$6:$C$131,2,FALSE),"")</f>
        <v/>
      </c>
      <c r="F85" s="554" t="str">
        <f>IFERROR(VLOOKUP(D85,'INVONTERY FEB'!$B$6:$D$131,3,FALSE),"")</f>
        <v/>
      </c>
      <c r="G85" s="805"/>
      <c r="H85" s="805"/>
      <c r="I85" s="554">
        <f t="shared" si="3"/>
        <v>0</v>
      </c>
      <c r="J85" s="554">
        <f t="shared" si="2"/>
        <v>0</v>
      </c>
      <c r="K85" s="554"/>
      <c r="L85" s="805"/>
    </row>
    <row r="86" ht="15.75" customHeight="1">
      <c r="A86" s="805"/>
      <c r="B86" s="1088"/>
      <c r="C86" s="805"/>
      <c r="D86" s="554" t="str">
        <f>IFERROR(VLOOKUP(C86,'INVONTERY FEB'!$A$6:$B$131,2,FALSE),"")</f>
        <v/>
      </c>
      <c r="E86" s="554" t="str">
        <f>IFERROR(VLOOKUP(D86,'INVONTERY FEB'!$B$6:$C$131,2,FALSE),"")</f>
        <v/>
      </c>
      <c r="F86" s="554" t="str">
        <f>IFERROR(VLOOKUP(D86,'INVONTERY FEB'!$B$6:$D$131,3,FALSE),"")</f>
        <v/>
      </c>
      <c r="G86" s="805"/>
      <c r="H86" s="805"/>
      <c r="I86" s="554">
        <f t="shared" si="3"/>
        <v>0</v>
      </c>
      <c r="J86" s="554">
        <f t="shared" si="2"/>
        <v>0</v>
      </c>
      <c r="K86" s="554"/>
      <c r="L86" s="805"/>
    </row>
    <row r="87" ht="15.75" customHeight="1">
      <c r="A87" s="805"/>
      <c r="B87" s="1088"/>
      <c r="C87" s="805"/>
      <c r="D87" s="554" t="str">
        <f>IFERROR(VLOOKUP(C87,'INVONTERY FEB'!$A$6:$B$131,2,FALSE),"")</f>
        <v/>
      </c>
      <c r="E87" s="554" t="str">
        <f>IFERROR(VLOOKUP(D87,'INVONTERY FEB'!$B$6:$C$131,2,FALSE),"")</f>
        <v/>
      </c>
      <c r="F87" s="554" t="str">
        <f>IFERROR(VLOOKUP(D87,'INVONTERY FEB'!$B$6:$D$131,3,FALSE),"")</f>
        <v/>
      </c>
      <c r="G87" s="805"/>
      <c r="H87" s="805"/>
      <c r="I87" s="554">
        <f t="shared" si="3"/>
        <v>0</v>
      </c>
      <c r="J87" s="554">
        <f t="shared" si="2"/>
        <v>0</v>
      </c>
      <c r="K87" s="554"/>
      <c r="L87" s="805"/>
    </row>
    <row r="88" ht="15.75" customHeight="1">
      <c r="A88" s="805"/>
      <c r="B88" s="1088"/>
      <c r="C88" s="805"/>
      <c r="D88" s="554" t="str">
        <f>IFERROR(VLOOKUP(C88,'INVONTERY FEB'!$A$6:$B$131,2,FALSE),"")</f>
        <v/>
      </c>
      <c r="E88" s="554" t="str">
        <f>IFERROR(VLOOKUP(D88,'INVONTERY FEB'!$B$6:$C$131,2,FALSE),"")</f>
        <v/>
      </c>
      <c r="F88" s="554" t="str">
        <f>IFERROR(VLOOKUP(D88,'INVONTERY FEB'!$B$6:$D$131,3,FALSE),"")</f>
        <v/>
      </c>
      <c r="G88" s="805"/>
      <c r="H88" s="805"/>
      <c r="I88" s="554">
        <f t="shared" si="3"/>
        <v>0</v>
      </c>
      <c r="J88" s="554">
        <f t="shared" si="2"/>
        <v>0</v>
      </c>
      <c r="K88" s="554"/>
      <c r="L88" s="805"/>
    </row>
    <row r="89" ht="15.75" customHeight="1">
      <c r="A89" s="805"/>
      <c r="B89" s="1088"/>
      <c r="C89" s="805"/>
      <c r="D89" s="554" t="str">
        <f>IFERROR(VLOOKUP(C89,'INVONTERY FEB'!$A$6:$B$131,2,FALSE),"")</f>
        <v/>
      </c>
      <c r="E89" s="554" t="str">
        <f>IFERROR(VLOOKUP(D89,'INVONTERY FEB'!$B$6:$C$131,2,FALSE),"")</f>
        <v/>
      </c>
      <c r="F89" s="554" t="str">
        <f>IFERROR(VLOOKUP(D89,'INVONTERY FEB'!$B$6:$D$131,3,FALSE),"")</f>
        <v/>
      </c>
      <c r="G89" s="805"/>
      <c r="H89" s="805"/>
      <c r="I89" s="554">
        <f t="shared" si="3"/>
        <v>0</v>
      </c>
      <c r="J89" s="554">
        <f t="shared" si="2"/>
        <v>0</v>
      </c>
      <c r="K89" s="554"/>
      <c r="L89" s="805"/>
    </row>
    <row r="90" ht="15.75" customHeight="1">
      <c r="A90" s="805"/>
      <c r="B90" s="1084"/>
      <c r="C90" s="805"/>
      <c r="D90" s="554" t="str">
        <f>IFERROR(VLOOKUP(C90,'INVONTERY FEB'!$A$6:$B$131,2,FALSE),"")</f>
        <v/>
      </c>
      <c r="E90" s="554" t="str">
        <f>IFERROR(VLOOKUP(D90,'INVONTERY FEB'!$B$6:$C$131,2,FALSE),"")</f>
        <v/>
      </c>
      <c r="F90" s="554" t="str">
        <f>IFERROR(VLOOKUP(D90,'INVONTERY FEB'!$B$6:$D$131,3,FALSE),"")</f>
        <v/>
      </c>
      <c r="G90" s="805"/>
      <c r="H90" s="805"/>
      <c r="I90" s="554">
        <f t="shared" si="3"/>
        <v>0</v>
      </c>
      <c r="J90" s="554">
        <f t="shared" si="2"/>
        <v>0</v>
      </c>
      <c r="K90" s="554"/>
      <c r="L90" s="554"/>
    </row>
    <row r="91" ht="15.75" customHeight="1">
      <c r="A91" s="805"/>
      <c r="B91" s="1084"/>
      <c r="C91" s="805"/>
      <c r="D91" s="554" t="str">
        <f>IFERROR(VLOOKUP(C91,'INVONTERY FEB'!$A$6:$B$131,2,FALSE),"")</f>
        <v/>
      </c>
      <c r="E91" s="554" t="str">
        <f>IFERROR(VLOOKUP(D91,'INVONTERY FEB'!$B$6:$C$131,2,FALSE),"")</f>
        <v/>
      </c>
      <c r="F91" s="554" t="str">
        <f>IFERROR(VLOOKUP(D91,'INVONTERY FEB'!$B$6:$D$131,3,FALSE),"")</f>
        <v/>
      </c>
      <c r="G91" s="805"/>
      <c r="H91" s="805"/>
      <c r="I91" s="554">
        <f t="shared" si="3"/>
        <v>0</v>
      </c>
      <c r="J91" s="554">
        <f t="shared" si="2"/>
        <v>0</v>
      </c>
      <c r="K91" s="554"/>
      <c r="L91" s="554"/>
    </row>
    <row r="92" ht="15.75" customHeight="1">
      <c r="A92" s="805"/>
      <c r="B92" s="1084"/>
      <c r="C92" s="805"/>
      <c r="D92" s="554" t="str">
        <f>IFERROR(VLOOKUP(C92,'INVONTERY FEB'!$A$6:$B$131,2,FALSE),"")</f>
        <v/>
      </c>
      <c r="E92" s="554" t="str">
        <f>IFERROR(VLOOKUP(D92,'INVONTERY FEB'!$B$6:$C$131,2,FALSE),"")</f>
        <v/>
      </c>
      <c r="F92" s="554" t="str">
        <f>IFERROR(VLOOKUP(D92,'INVONTERY FEB'!$B$6:$D$131,3,FALSE),"")</f>
        <v/>
      </c>
      <c r="G92" s="554"/>
      <c r="H92" s="805"/>
      <c r="I92" s="554">
        <f t="shared" si="3"/>
        <v>0</v>
      </c>
      <c r="J92" s="554">
        <f t="shared" si="2"/>
        <v>0</v>
      </c>
      <c r="K92" s="554"/>
      <c r="L92" s="805"/>
    </row>
    <row r="93" ht="15.75" customHeight="1">
      <c r="A93" s="805"/>
      <c r="B93" s="1084"/>
      <c r="C93" s="805"/>
      <c r="D93" s="554" t="str">
        <f>IFERROR(VLOOKUP(C93,'INVONTERY FEB'!$A$6:$B$131,2,FALSE),"")</f>
        <v/>
      </c>
      <c r="E93" s="554" t="str">
        <f>IFERROR(VLOOKUP(D93,'INVONTERY FEB'!$B$6:$C$131,2,FALSE),"")</f>
        <v/>
      </c>
      <c r="F93" s="554" t="str">
        <f>IFERROR(VLOOKUP(D93,'INVONTERY FEB'!$B$6:$D$131,3,FALSE),"")</f>
        <v/>
      </c>
      <c r="G93" s="805"/>
      <c r="H93" s="805"/>
      <c r="I93" s="554">
        <f t="shared" si="3"/>
        <v>0</v>
      </c>
      <c r="J93" s="554">
        <f t="shared" si="2"/>
        <v>0</v>
      </c>
      <c r="K93" s="554"/>
      <c r="L93" s="805"/>
    </row>
    <row r="94" ht="15.75" customHeight="1">
      <c r="A94" s="805"/>
      <c r="B94" s="1084"/>
      <c r="C94" s="805"/>
      <c r="D94" s="554" t="str">
        <f>IFERROR(VLOOKUP(C94,'INVONTERY FEB'!$A$6:$B$131,2,FALSE),"")</f>
        <v/>
      </c>
      <c r="E94" s="554" t="str">
        <f>IFERROR(VLOOKUP(D94,'INVONTERY FEB'!$B$6:$C$131,2,FALSE),"")</f>
        <v/>
      </c>
      <c r="F94" s="554" t="str">
        <f>IFERROR(VLOOKUP(D94,'INVONTERY FEB'!$B$6:$D$131,3,FALSE),"")</f>
        <v/>
      </c>
      <c r="G94" s="805"/>
      <c r="H94" s="805"/>
      <c r="I94" s="554">
        <f t="shared" si="3"/>
        <v>0</v>
      </c>
      <c r="J94" s="554">
        <f t="shared" si="2"/>
        <v>0</v>
      </c>
      <c r="K94" s="554"/>
      <c r="L94" s="554"/>
    </row>
    <row r="95" ht="15.75" customHeight="1">
      <c r="A95" s="805"/>
      <c r="B95" s="1084"/>
      <c r="C95" s="805"/>
      <c r="D95" s="554" t="str">
        <f>IFERROR(VLOOKUP(C95,'INVONTERY FEB'!$A$6:$B$131,2,FALSE),"")</f>
        <v/>
      </c>
      <c r="E95" s="554" t="str">
        <f>IFERROR(VLOOKUP(D95,'INVONTERY FEB'!$B$6:$C$131,2,FALSE),"")</f>
        <v/>
      </c>
      <c r="F95" s="554" t="str">
        <f>IFERROR(VLOOKUP(D95,'INVONTERY FEB'!$B$6:$D$131,3,FALSE),"")</f>
        <v/>
      </c>
      <c r="G95" s="805"/>
      <c r="H95" s="805"/>
      <c r="I95" s="554">
        <f t="shared" si="3"/>
        <v>0</v>
      </c>
      <c r="J95" s="554">
        <f t="shared" si="2"/>
        <v>0</v>
      </c>
      <c r="K95" s="554"/>
      <c r="L95" s="554"/>
    </row>
    <row r="96" ht="15.75" customHeight="1">
      <c r="A96" s="805"/>
      <c r="B96" s="1084"/>
      <c r="C96" s="805"/>
      <c r="D96" s="554" t="str">
        <f>IFERROR(VLOOKUP(C96,'INVONTERY FEB'!$A$6:$B$131,2,FALSE),"")</f>
        <v/>
      </c>
      <c r="E96" s="554" t="str">
        <f>IFERROR(VLOOKUP(D96,'INVONTERY FEB'!$B$6:$C$131,2,FALSE),"")</f>
        <v/>
      </c>
      <c r="F96" s="554" t="str">
        <f>IFERROR(VLOOKUP(D96,'INVONTERY FEB'!$B$6:$D$131,3,FALSE),"")</f>
        <v/>
      </c>
      <c r="G96" s="805"/>
      <c r="H96" s="805"/>
      <c r="I96" s="554">
        <f t="shared" si="3"/>
        <v>0</v>
      </c>
      <c r="J96" s="554">
        <f t="shared" si="2"/>
        <v>0</v>
      </c>
      <c r="K96" s="554"/>
      <c r="L96" s="805"/>
    </row>
    <row r="97" ht="15.75" customHeight="1">
      <c r="A97" s="805"/>
      <c r="B97" s="1084"/>
      <c r="C97" s="805"/>
      <c r="D97" s="554" t="str">
        <f>IFERROR(VLOOKUP(C97,'INVONTERY FEB'!$A$6:$B$131,2,FALSE),"")</f>
        <v/>
      </c>
      <c r="E97" s="554" t="str">
        <f>IFERROR(VLOOKUP(D97,'INVONTERY FEB'!$B$6:$C$131,2,FALSE),"")</f>
        <v/>
      </c>
      <c r="F97" s="554" t="str">
        <f>IFERROR(VLOOKUP(D97,'INVONTERY FEB'!$B$6:$D$131,3,FALSE),"")</f>
        <v/>
      </c>
      <c r="G97" s="805"/>
      <c r="H97" s="805"/>
      <c r="I97" s="554">
        <f t="shared" si="3"/>
        <v>0</v>
      </c>
      <c r="J97" s="554">
        <f t="shared" si="2"/>
        <v>0</v>
      </c>
      <c r="K97" s="554"/>
      <c r="L97" s="805"/>
    </row>
    <row r="98" ht="15.75" customHeight="1">
      <c r="A98" s="805"/>
      <c r="B98" s="1084"/>
      <c r="C98" s="805"/>
      <c r="D98" s="554" t="str">
        <f>IFERROR(VLOOKUP(C98,'INVONTERY FEB'!$A$6:$B$131,2,FALSE),"")</f>
        <v/>
      </c>
      <c r="E98" s="554" t="str">
        <f>IFERROR(VLOOKUP(D98,'INVONTERY FEB'!$B$6:$C$131,2,FALSE),"")</f>
        <v/>
      </c>
      <c r="F98" s="554" t="str">
        <f>IFERROR(VLOOKUP(D98,'INVONTERY FEB'!$B$6:$D$131,3,FALSE),"")</f>
        <v/>
      </c>
      <c r="G98" s="805"/>
      <c r="H98" s="805"/>
      <c r="I98" s="556">
        <f t="shared" si="3"/>
        <v>0</v>
      </c>
      <c r="J98" s="554">
        <f t="shared" si="2"/>
        <v>0</v>
      </c>
      <c r="K98" s="554"/>
      <c r="L98" s="805"/>
    </row>
    <row r="99" ht="15.75" customHeight="1">
      <c r="A99" s="805"/>
      <c r="B99" s="1084"/>
      <c r="C99" s="805"/>
      <c r="D99" s="554" t="str">
        <f>IFERROR(VLOOKUP(C99,'INVONTERY FEB'!$A$6:$B$131,2,FALSE),"")</f>
        <v/>
      </c>
      <c r="E99" s="554" t="str">
        <f>IFERROR(VLOOKUP(D99,'INVONTERY FEB'!$B$6:$C$131,2,FALSE),"")</f>
        <v/>
      </c>
      <c r="F99" s="554" t="str">
        <f>IFERROR(VLOOKUP(D99,'INVONTERY FEB'!$B$6:$D$131,3,FALSE),"")</f>
        <v/>
      </c>
      <c r="G99" s="805"/>
      <c r="H99" s="805"/>
      <c r="I99" s="554">
        <f t="shared" si="3"/>
        <v>0</v>
      </c>
      <c r="J99" s="554">
        <f t="shared" si="2"/>
        <v>0</v>
      </c>
      <c r="K99" s="554"/>
      <c r="L99" s="805"/>
    </row>
    <row r="100" ht="15.75" customHeight="1">
      <c r="A100" s="805"/>
      <c r="B100" s="1084"/>
      <c r="C100" s="805"/>
      <c r="D100" s="554" t="str">
        <f>IFERROR(VLOOKUP(C100,'INVONTERY FEB'!$A$6:$B$131,2,FALSE),"")</f>
        <v/>
      </c>
      <c r="E100" s="554" t="str">
        <f>IFERROR(VLOOKUP(D100,'INVONTERY FEB'!$B$6:$C$131,2,FALSE),"")</f>
        <v/>
      </c>
      <c r="F100" s="554" t="str">
        <f>IFERROR(VLOOKUP(D100,'INVONTERY FEB'!$B$6:$D$131,3,FALSE),"")</f>
        <v/>
      </c>
      <c r="G100" s="805"/>
      <c r="H100" s="805"/>
      <c r="I100" s="554">
        <f t="shared" si="3"/>
        <v>0</v>
      </c>
      <c r="J100" s="554">
        <f t="shared" si="2"/>
        <v>0</v>
      </c>
      <c r="K100" s="554"/>
      <c r="L100" s="805"/>
    </row>
    <row r="101" ht="15.75" customHeight="1">
      <c r="A101" s="805"/>
      <c r="B101" s="1084"/>
      <c r="C101" s="805"/>
      <c r="D101" s="554" t="str">
        <f>IFERROR(VLOOKUP(C101,'INVONTERY FEB'!$A$6:$B$131,2,FALSE),"")</f>
        <v/>
      </c>
      <c r="E101" s="554" t="str">
        <f>IFERROR(VLOOKUP(D101,'INVONTERY FEB'!$B$6:$C$131,2,FALSE),"")</f>
        <v/>
      </c>
      <c r="F101" s="554" t="str">
        <f>IFERROR(VLOOKUP(D101,'INVONTERY FEB'!$B$6:$D$131,3,FALSE),"")</f>
        <v/>
      </c>
      <c r="G101" s="805"/>
      <c r="H101" s="805"/>
      <c r="I101" s="554">
        <f t="shared" si="3"/>
        <v>0</v>
      </c>
      <c r="J101" s="554">
        <f t="shared" si="2"/>
        <v>0</v>
      </c>
      <c r="K101" s="554"/>
      <c r="L101" s="805"/>
    </row>
    <row r="102" ht="15.75" customHeight="1">
      <c r="A102" s="805"/>
      <c r="B102" s="1084"/>
      <c r="C102" s="805"/>
      <c r="D102" s="554" t="str">
        <f>IFERROR(VLOOKUP(C102,'INVONTERY FEB'!$A$6:$B$131,2,FALSE),"")</f>
        <v/>
      </c>
      <c r="E102" s="554" t="str">
        <f>IFERROR(VLOOKUP(D102,'INVONTERY FEB'!$B$6:$C$131,2,FALSE),"")</f>
        <v/>
      </c>
      <c r="F102" s="554" t="str">
        <f>IFERROR(VLOOKUP(D102,'INVONTERY FEB'!$B$6:$D$131,3,FALSE),"")</f>
        <v/>
      </c>
      <c r="G102" s="805"/>
      <c r="H102" s="805"/>
      <c r="I102" s="554">
        <f t="shared" si="3"/>
        <v>0</v>
      </c>
      <c r="J102" s="554">
        <f t="shared" si="2"/>
        <v>0</v>
      </c>
      <c r="K102" s="554"/>
      <c r="L102" s="805"/>
    </row>
    <row r="103" ht="15.75" customHeight="1">
      <c r="A103" s="805"/>
      <c r="B103" s="1084"/>
      <c r="C103" s="805"/>
      <c r="D103" s="554" t="str">
        <f>IFERROR(VLOOKUP(C103,'INVONTERY FEB'!$A$6:$B$131,2,FALSE),"")</f>
        <v/>
      </c>
      <c r="E103" s="554" t="str">
        <f>IFERROR(VLOOKUP(D103,'INVONTERY FEB'!$B$6:$C$131,2,FALSE),"")</f>
        <v/>
      </c>
      <c r="F103" s="554" t="str">
        <f>IFERROR(VLOOKUP(D103,'INVONTERY FEB'!$B$6:$D$131,3,FALSE),"")</f>
        <v/>
      </c>
      <c r="G103" s="805"/>
      <c r="H103" s="805"/>
      <c r="I103" s="554">
        <f t="shared" si="3"/>
        <v>0</v>
      </c>
      <c r="J103" s="554">
        <f t="shared" si="2"/>
        <v>0</v>
      </c>
      <c r="K103" s="554"/>
      <c r="L103" s="805"/>
    </row>
    <row r="104" ht="15.75" customHeight="1">
      <c r="A104" s="805"/>
      <c r="B104" s="1084"/>
      <c r="C104" s="805"/>
      <c r="D104" s="554" t="str">
        <f>IFERROR(VLOOKUP(C104,'INVONTERY FEB'!$A$6:$B$131,2,FALSE),"")</f>
        <v/>
      </c>
      <c r="E104" s="554" t="str">
        <f>IFERROR(VLOOKUP(D104,'INVONTERY FEB'!$B$6:$C$131,2,FALSE),"")</f>
        <v/>
      </c>
      <c r="F104" s="554" t="str">
        <f>IFERROR(VLOOKUP(D104,'INVONTERY FEB'!$B$6:$D$131,3,FALSE),"")</f>
        <v/>
      </c>
      <c r="G104" s="805"/>
      <c r="H104" s="805"/>
      <c r="I104" s="554">
        <f t="shared" si="3"/>
        <v>0</v>
      </c>
      <c r="J104" s="554">
        <f t="shared" si="2"/>
        <v>0</v>
      </c>
      <c r="K104" s="554"/>
      <c r="L104" s="805"/>
    </row>
    <row r="105" ht="15.75" customHeight="1">
      <c r="A105" s="805"/>
      <c r="B105" s="1084"/>
      <c r="C105" s="805"/>
      <c r="D105" s="554" t="str">
        <f>IFERROR(VLOOKUP(C105,'INVONTERY FEB'!$A$6:$B$131,2,FALSE),"")</f>
        <v/>
      </c>
      <c r="E105" s="554" t="str">
        <f>IFERROR(VLOOKUP(D105,'INVONTERY FEB'!$B$6:$C$131,2,FALSE),"")</f>
        <v/>
      </c>
      <c r="F105" s="554" t="str">
        <f>IFERROR(VLOOKUP(D105,'INVONTERY FEB'!$B$6:$D$131,3,FALSE),"")</f>
        <v/>
      </c>
      <c r="G105" s="805"/>
      <c r="H105" s="805"/>
      <c r="I105" s="554">
        <f t="shared" si="3"/>
        <v>0</v>
      </c>
      <c r="J105" s="554">
        <f t="shared" si="2"/>
        <v>0</v>
      </c>
      <c r="K105" s="554"/>
      <c r="L105" s="805"/>
    </row>
    <row r="106" ht="15.75" customHeight="1">
      <c r="A106" s="805"/>
      <c r="B106" s="1088"/>
      <c r="C106" s="805"/>
      <c r="D106" s="554" t="str">
        <f>IFERROR(VLOOKUP(C106,'INVONTERY FEB'!$A$6:$B$131,2,FALSE),"")</f>
        <v/>
      </c>
      <c r="E106" s="554" t="str">
        <f>IFERROR(VLOOKUP(D106,'INVONTERY FEB'!$B$6:$C$131,2,FALSE),"")</f>
        <v/>
      </c>
      <c r="F106" s="554" t="str">
        <f>IFERROR(VLOOKUP(D106,'INVONTERY FEB'!$B$6:$D$131,3,FALSE),"")</f>
        <v/>
      </c>
      <c r="G106" s="805"/>
      <c r="H106" s="805"/>
      <c r="I106" s="554">
        <f t="shared" si="3"/>
        <v>0</v>
      </c>
      <c r="J106" s="554">
        <f t="shared" si="2"/>
        <v>0</v>
      </c>
      <c r="K106" s="554"/>
      <c r="L106" s="805"/>
    </row>
    <row r="107" ht="15.75" customHeight="1">
      <c r="A107" s="805"/>
      <c r="B107" s="1088"/>
      <c r="C107" s="805"/>
      <c r="D107" s="554" t="str">
        <f>IFERROR(VLOOKUP(C107,'INVONTERY FEB'!$A$6:$B$131,2,FALSE),"")</f>
        <v/>
      </c>
      <c r="E107" s="554" t="str">
        <f>IFERROR(VLOOKUP(D107,'INVONTERY FEB'!$B$6:$C$131,2,FALSE),"")</f>
        <v/>
      </c>
      <c r="F107" s="554" t="str">
        <f>IFERROR(VLOOKUP(D107,'INVONTERY FEB'!$B$6:$D$131,3,FALSE),"")</f>
        <v/>
      </c>
      <c r="G107" s="805"/>
      <c r="H107" s="805"/>
      <c r="I107" s="554">
        <f t="shared" si="3"/>
        <v>0</v>
      </c>
      <c r="J107" s="554">
        <f t="shared" si="2"/>
        <v>0</v>
      </c>
      <c r="K107" s="554"/>
      <c r="L107" s="805"/>
    </row>
    <row r="108" ht="15.75" customHeight="1">
      <c r="A108" s="805"/>
      <c r="B108" s="1088"/>
      <c r="C108" s="805"/>
      <c r="D108" s="554" t="str">
        <f>IFERROR(VLOOKUP(C108,'INVONTERY FEB'!$A$6:$B$131,2,FALSE),"")</f>
        <v/>
      </c>
      <c r="E108" s="554" t="str">
        <f>IFERROR(VLOOKUP(D108,'INVONTERY FEB'!$B$6:$C$131,2,FALSE),"")</f>
        <v/>
      </c>
      <c r="F108" s="554" t="str">
        <f>IFERROR(VLOOKUP(D108,'INVONTERY FEB'!$B$6:$D$131,3,FALSE),"")</f>
        <v/>
      </c>
      <c r="G108" s="805"/>
      <c r="H108" s="805"/>
      <c r="I108" s="554">
        <f t="shared" si="3"/>
        <v>0</v>
      </c>
      <c r="J108" s="554">
        <f t="shared" si="2"/>
        <v>0</v>
      </c>
      <c r="K108" s="554"/>
      <c r="L108" s="805"/>
    </row>
    <row r="109" ht="15.75" customHeight="1">
      <c r="A109" s="805"/>
      <c r="B109" s="1088"/>
      <c r="C109" s="805"/>
      <c r="D109" s="554" t="str">
        <f>IFERROR(VLOOKUP(C109,'INVONTERY FEB'!$A$6:$B$131,2,FALSE),"")</f>
        <v/>
      </c>
      <c r="E109" s="554" t="str">
        <f>IFERROR(VLOOKUP(D109,'INVONTERY FEB'!$B$6:$C$131,2,FALSE),"")</f>
        <v/>
      </c>
      <c r="F109" s="554" t="str">
        <f>IFERROR(VLOOKUP(D109,'INVONTERY FEB'!$B$6:$D$131,3,FALSE),"")</f>
        <v/>
      </c>
      <c r="G109" s="805"/>
      <c r="H109" s="805"/>
      <c r="I109" s="554">
        <f t="shared" si="3"/>
        <v>0</v>
      </c>
      <c r="J109" s="554">
        <f t="shared" si="2"/>
        <v>0</v>
      </c>
      <c r="K109" s="554"/>
      <c r="L109" s="805"/>
    </row>
    <row r="110" ht="15.75" customHeight="1">
      <c r="A110" s="805"/>
      <c r="B110" s="1088"/>
      <c r="C110" s="805"/>
      <c r="D110" s="554" t="str">
        <f>IFERROR(VLOOKUP(C110,'INVONTERY FEB'!$A$6:$B$131,2,FALSE),"")</f>
        <v/>
      </c>
      <c r="E110" s="554" t="str">
        <f>IFERROR(VLOOKUP(D110,'INVONTERY FEB'!$B$6:$C$131,2,FALSE),"")</f>
        <v/>
      </c>
      <c r="F110" s="554" t="str">
        <f>IFERROR(VLOOKUP(D110,'INVONTERY FEB'!$B$6:$D$131,3,FALSE),"")</f>
        <v/>
      </c>
      <c r="G110" s="805"/>
      <c r="H110" s="805"/>
      <c r="I110" s="554">
        <f t="shared" si="3"/>
        <v>0</v>
      </c>
      <c r="J110" s="554">
        <f t="shared" si="2"/>
        <v>0</v>
      </c>
      <c r="K110" s="554"/>
      <c r="L110" s="805"/>
    </row>
    <row r="111" ht="15.75" customHeight="1">
      <c r="A111" s="805"/>
      <c r="B111" s="1088"/>
      <c r="C111" s="805"/>
      <c r="D111" s="554" t="str">
        <f>IFERROR(VLOOKUP(C111,'INVONTERY FEB'!$A$6:$B$131,2,FALSE),"")</f>
        <v/>
      </c>
      <c r="E111" s="554" t="str">
        <f>IFERROR(VLOOKUP(D111,'INVONTERY FEB'!$B$6:$C$131,2,FALSE),"")</f>
        <v/>
      </c>
      <c r="F111" s="554" t="str">
        <f>IFERROR(VLOOKUP(D111,'INVONTERY FEB'!$B$6:$D$131,3,FALSE),"")</f>
        <v/>
      </c>
      <c r="G111" s="805"/>
      <c r="H111" s="805"/>
      <c r="I111" s="554">
        <f t="shared" si="3"/>
        <v>0</v>
      </c>
      <c r="J111" s="554">
        <f t="shared" si="2"/>
        <v>0</v>
      </c>
      <c r="K111" s="554"/>
      <c r="L111" s="805"/>
    </row>
    <row r="112" ht="15.75" customHeight="1">
      <c r="A112" s="805"/>
      <c r="B112" s="1088"/>
      <c r="C112" s="805"/>
      <c r="D112" s="554" t="str">
        <f>IFERROR(VLOOKUP(C112,'INVONTERY FEB'!$A$6:$B$131,2,FALSE),"")</f>
        <v/>
      </c>
      <c r="E112" s="554" t="str">
        <f>IFERROR(VLOOKUP(D112,'INVONTERY FEB'!$B$6:$C$131,2,FALSE),"")</f>
        <v/>
      </c>
      <c r="F112" s="554" t="str">
        <f>IFERROR(VLOOKUP(D112,'INVONTERY FEB'!$B$6:$D$131,3,FALSE),"")</f>
        <v/>
      </c>
      <c r="G112" s="805"/>
      <c r="H112" s="805"/>
      <c r="I112" s="554">
        <f t="shared" si="3"/>
        <v>0</v>
      </c>
      <c r="J112" s="554">
        <f t="shared" si="2"/>
        <v>0</v>
      </c>
      <c r="K112" s="554"/>
      <c r="L112" s="805"/>
    </row>
    <row r="113" ht="15.75" customHeight="1">
      <c r="A113" s="805"/>
      <c r="B113" s="1088"/>
      <c r="C113" s="805"/>
      <c r="D113" s="554" t="str">
        <f>IFERROR(VLOOKUP(C113,'INVONTERY FEB'!$A$6:$B$131,2,FALSE),"")</f>
        <v/>
      </c>
      <c r="E113" s="554" t="str">
        <f>IFERROR(VLOOKUP(D113,'INVONTERY FEB'!$B$6:$C$131,2,FALSE),"")</f>
        <v/>
      </c>
      <c r="F113" s="554" t="str">
        <f>IFERROR(VLOOKUP(D113,'INVONTERY FEB'!$B$6:$D$131,3,FALSE),"")</f>
        <v/>
      </c>
      <c r="G113" s="805"/>
      <c r="H113" s="805"/>
      <c r="I113" s="554">
        <f t="shared" si="3"/>
        <v>0</v>
      </c>
      <c r="J113" s="554">
        <f t="shared" si="2"/>
        <v>0</v>
      </c>
      <c r="K113" s="554"/>
      <c r="L113" s="805"/>
    </row>
    <row r="114" ht="15.75" customHeight="1">
      <c r="A114" s="805"/>
      <c r="B114" s="1088"/>
      <c r="C114" s="805"/>
      <c r="D114" s="554" t="str">
        <f>IFERROR(VLOOKUP(C114,'INVONTERY FEB'!$A$6:$B$131,2,FALSE),"")</f>
        <v/>
      </c>
      <c r="E114" s="554" t="str">
        <f>IFERROR(VLOOKUP(D114,'INVONTERY FEB'!$B$6:$C$131,2,FALSE),"")</f>
        <v/>
      </c>
      <c r="F114" s="554" t="str">
        <f>IFERROR(VLOOKUP(D114,'INVONTERY FEB'!$B$6:$D$131,3,FALSE),"")</f>
        <v/>
      </c>
      <c r="G114" s="805"/>
      <c r="H114" s="805"/>
      <c r="I114" s="554">
        <f t="shared" si="3"/>
        <v>0</v>
      </c>
      <c r="J114" s="554">
        <f t="shared" si="2"/>
        <v>0</v>
      </c>
      <c r="K114" s="554"/>
      <c r="L114" s="805"/>
    </row>
    <row r="115" ht="15.75" customHeight="1">
      <c r="A115" s="805"/>
      <c r="B115" s="1088"/>
      <c r="C115" s="805"/>
      <c r="D115" s="554" t="str">
        <f>IFERROR(VLOOKUP(C115,'INVONTERY FEB'!$A$6:$B$131,2,FALSE),"")</f>
        <v/>
      </c>
      <c r="E115" s="554" t="str">
        <f>IFERROR(VLOOKUP(D115,'INVONTERY FEB'!$B$6:$C$131,2,FALSE),"")</f>
        <v/>
      </c>
      <c r="F115" s="554" t="str">
        <f>IFERROR(VLOOKUP(D115,'INVONTERY FEB'!$B$6:$D$131,3,FALSE),"")</f>
        <v/>
      </c>
      <c r="G115" s="554"/>
      <c r="H115" s="805"/>
      <c r="I115" s="554">
        <f t="shared" si="3"/>
        <v>0</v>
      </c>
      <c r="J115" s="554">
        <f t="shared" si="2"/>
        <v>0</v>
      </c>
      <c r="K115" s="554"/>
      <c r="L115" s="805"/>
    </row>
    <row r="116" ht="15.75" customHeight="1">
      <c r="A116" s="805"/>
      <c r="B116" s="1088"/>
      <c r="C116" s="805"/>
      <c r="D116" s="554" t="str">
        <f>IFERROR(VLOOKUP(C116,'INVONTERY FEB'!$A$6:$B$131,2,FALSE),"")</f>
        <v/>
      </c>
      <c r="E116" s="554" t="str">
        <f>IFERROR(VLOOKUP(D116,'INVONTERY FEB'!$B$6:$C$131,2,FALSE),"")</f>
        <v/>
      </c>
      <c r="F116" s="554" t="str">
        <f>IFERROR(VLOOKUP(D116,'INVONTERY FEB'!$B$6:$D$131,3,FALSE),"")</f>
        <v/>
      </c>
      <c r="G116" s="554"/>
      <c r="H116" s="805"/>
      <c r="I116" s="554">
        <f t="shared" si="3"/>
        <v>0</v>
      </c>
      <c r="J116" s="554">
        <f t="shared" si="2"/>
        <v>0</v>
      </c>
      <c r="K116" s="554"/>
      <c r="L116" s="805"/>
    </row>
    <row r="117" ht="15.75" customHeight="1">
      <c r="A117" s="805"/>
      <c r="B117" s="1088"/>
      <c r="C117" s="805"/>
      <c r="D117" s="554" t="str">
        <f>IFERROR(VLOOKUP(C117,'INVONTERY FEB'!$A$6:$B$131,2,FALSE),"")</f>
        <v/>
      </c>
      <c r="E117" s="554" t="str">
        <f>IFERROR(VLOOKUP(D117,'INVONTERY FEB'!$B$6:$C$131,2,FALSE),"")</f>
        <v/>
      </c>
      <c r="F117" s="554" t="str">
        <f>IFERROR(VLOOKUP(D117,'INVONTERY FEB'!$B$6:$D$131,3,FALSE),"")</f>
        <v/>
      </c>
      <c r="G117" s="554"/>
      <c r="H117" s="805"/>
      <c r="I117" s="554">
        <f t="shared" si="3"/>
        <v>0</v>
      </c>
      <c r="J117" s="554">
        <f t="shared" si="2"/>
        <v>0</v>
      </c>
      <c r="K117" s="554"/>
      <c r="L117" s="805"/>
    </row>
    <row r="118" ht="15.75" customHeight="1">
      <c r="A118" s="805"/>
      <c r="B118" s="1088"/>
      <c r="C118" s="805"/>
      <c r="D118" s="554" t="str">
        <f>IFERROR(VLOOKUP(C118,'INVONTERY FEB'!$A$6:$B$131,2,FALSE),"")</f>
        <v/>
      </c>
      <c r="E118" s="554" t="str">
        <f>IFERROR(VLOOKUP(D118,'INVONTERY FEB'!$B$6:$C$131,2,FALSE),"")</f>
        <v/>
      </c>
      <c r="F118" s="554" t="str">
        <f>IFERROR(VLOOKUP(D118,'INVONTERY FEB'!$B$6:$D$131,3,FALSE),"")</f>
        <v/>
      </c>
      <c r="G118" s="554"/>
      <c r="H118" s="805"/>
      <c r="I118" s="554">
        <f t="shared" si="3"/>
        <v>0</v>
      </c>
      <c r="J118" s="554">
        <f t="shared" si="2"/>
        <v>0</v>
      </c>
      <c r="K118" s="554"/>
      <c r="L118" s="805"/>
    </row>
    <row r="119" ht="15.75" customHeight="1">
      <c r="A119" s="805"/>
      <c r="B119" s="1088"/>
      <c r="C119" s="805"/>
      <c r="D119" s="554" t="str">
        <f>IFERROR(VLOOKUP(C119,'INVONTERY FEB'!$A$6:$B$131,2,FALSE),"")</f>
        <v/>
      </c>
      <c r="E119" s="554" t="str">
        <f>IFERROR(VLOOKUP(D119,'INVONTERY FEB'!$B$6:$C$131,2,FALSE),"")</f>
        <v/>
      </c>
      <c r="F119" s="554" t="str">
        <f>IFERROR(VLOOKUP(D119,'INVONTERY FEB'!$B$6:$D$131,3,FALSE),"")</f>
        <v/>
      </c>
      <c r="G119" s="805"/>
      <c r="H119" s="805"/>
      <c r="I119" s="554">
        <f t="shared" si="3"/>
        <v>0</v>
      </c>
      <c r="J119" s="554">
        <f t="shared" si="2"/>
        <v>0</v>
      </c>
      <c r="K119" s="554"/>
      <c r="L119" s="805"/>
    </row>
    <row r="120" ht="15.75" customHeight="1">
      <c r="A120" s="805"/>
      <c r="B120" s="1088"/>
      <c r="C120" s="805"/>
      <c r="D120" s="554" t="str">
        <f>IFERROR(VLOOKUP(C120,'INVONTERY FEB'!$A$6:$B$131,2,FALSE),"")</f>
        <v/>
      </c>
      <c r="E120" s="554" t="str">
        <f>IFERROR(VLOOKUP(D120,'INVONTERY FEB'!$B$6:$C$131,2,FALSE),"")</f>
        <v/>
      </c>
      <c r="F120" s="554" t="str">
        <f>IFERROR(VLOOKUP(D120,'INVONTERY FEB'!$B$6:$D$131,3,FALSE),"")</f>
        <v/>
      </c>
      <c r="G120" s="805"/>
      <c r="H120" s="805"/>
      <c r="I120" s="554">
        <f t="shared" si="3"/>
        <v>0</v>
      </c>
      <c r="J120" s="554">
        <f t="shared" si="2"/>
        <v>0</v>
      </c>
      <c r="K120" s="554"/>
      <c r="L120" s="805"/>
    </row>
    <row r="121" ht="15.75" customHeight="1">
      <c r="A121" s="805"/>
      <c r="B121" s="1088"/>
      <c r="C121" s="805"/>
      <c r="D121" s="554" t="str">
        <f>IFERROR(VLOOKUP(C121,'INVONTERY FEB'!$A$6:$B$131,2,FALSE),"")</f>
        <v/>
      </c>
      <c r="E121" s="554" t="str">
        <f>IFERROR(VLOOKUP(D121,'INVONTERY FEB'!$B$6:$C$131,2,FALSE),"")</f>
        <v/>
      </c>
      <c r="F121" s="554" t="str">
        <f>IFERROR(VLOOKUP(D121,'INVONTERY FEB'!$B$6:$D$131,3,FALSE),"")</f>
        <v/>
      </c>
      <c r="G121" s="805"/>
      <c r="H121" s="805"/>
      <c r="I121" s="554">
        <f t="shared" si="3"/>
        <v>0</v>
      </c>
      <c r="J121" s="554">
        <f t="shared" si="2"/>
        <v>0</v>
      </c>
      <c r="K121" s="554"/>
      <c r="L121" s="805"/>
    </row>
    <row r="122" ht="15.75" customHeight="1">
      <c r="A122" s="805"/>
      <c r="B122" s="1088"/>
      <c r="C122" s="805"/>
      <c r="D122" s="554" t="str">
        <f>IFERROR(VLOOKUP(C122,'INVONTERY FEB'!$A$6:$B$131,2,FALSE),"")</f>
        <v/>
      </c>
      <c r="E122" s="554" t="str">
        <f>IFERROR(VLOOKUP(D122,'INVONTERY FEB'!$B$6:$C$131,2,FALSE),"")</f>
        <v/>
      </c>
      <c r="F122" s="554" t="str">
        <f>IFERROR(VLOOKUP(D122,'INVONTERY FEB'!$B$6:$D$131,3,FALSE),"")</f>
        <v/>
      </c>
      <c r="G122" s="805"/>
      <c r="H122" s="805"/>
      <c r="I122" s="554">
        <f t="shared" si="3"/>
        <v>0</v>
      </c>
      <c r="J122" s="554">
        <f t="shared" si="2"/>
        <v>0</v>
      </c>
      <c r="K122" s="554"/>
      <c r="L122" s="805"/>
    </row>
    <row r="123" ht="15.75" customHeight="1">
      <c r="A123" s="805"/>
      <c r="B123" s="1088"/>
      <c r="C123" s="805"/>
      <c r="D123" s="554" t="str">
        <f>IFERROR(VLOOKUP(C123,'INVONTERY FEB'!$A$6:$B$131,2,FALSE),"")</f>
        <v/>
      </c>
      <c r="E123" s="554" t="str">
        <f>IFERROR(VLOOKUP(D123,'INVONTERY FEB'!$B$6:$C$131,2,FALSE),"")</f>
        <v/>
      </c>
      <c r="F123" s="554" t="str">
        <f>IFERROR(VLOOKUP(D123,'INVONTERY FEB'!$B$6:$D$131,3,FALSE),"")</f>
        <v/>
      </c>
      <c r="G123" s="805"/>
      <c r="H123" s="805"/>
      <c r="I123" s="554">
        <f t="shared" si="3"/>
        <v>0</v>
      </c>
      <c r="J123" s="554">
        <f t="shared" si="2"/>
        <v>0</v>
      </c>
      <c r="K123" s="554"/>
      <c r="L123" s="805"/>
    </row>
    <row r="124" ht="15.75" customHeight="1">
      <c r="A124" s="805"/>
      <c r="B124" s="1088"/>
      <c r="C124" s="805"/>
      <c r="D124" s="554" t="str">
        <f>IFERROR(VLOOKUP(C124,'INVONTERY FEB'!$A$6:$B$131,2,FALSE),"")</f>
        <v/>
      </c>
      <c r="E124" s="554" t="str">
        <f>IFERROR(VLOOKUP(D124,'INVONTERY FEB'!$B$6:$C$131,2,FALSE),"")</f>
        <v/>
      </c>
      <c r="F124" s="554" t="str">
        <f>IFERROR(VLOOKUP(D124,'INVONTERY FEB'!$B$6:$D$131,3,FALSE),"")</f>
        <v/>
      </c>
      <c r="G124" s="805"/>
      <c r="H124" s="805"/>
      <c r="I124" s="554">
        <f t="shared" si="3"/>
        <v>0</v>
      </c>
      <c r="J124" s="554">
        <f t="shared" si="2"/>
        <v>0</v>
      </c>
      <c r="K124" s="554"/>
      <c r="L124" s="805"/>
    </row>
    <row r="125" ht="15.75" customHeight="1">
      <c r="A125" s="805"/>
      <c r="B125" s="1088"/>
      <c r="C125" s="805"/>
      <c r="D125" s="554" t="str">
        <f>IFERROR(VLOOKUP(C125,'INVONTERY FEB'!$A$6:$B$131,2,FALSE),"")</f>
        <v/>
      </c>
      <c r="E125" s="554" t="str">
        <f>IFERROR(VLOOKUP(D125,'INVONTERY FEB'!$B$6:$C$131,2,FALSE),"")</f>
        <v/>
      </c>
      <c r="F125" s="554" t="str">
        <f>IFERROR(VLOOKUP(D125,'INVONTERY FEB'!$B$6:$D$131,3,FALSE),"")</f>
        <v/>
      </c>
      <c r="G125" s="805"/>
      <c r="H125" s="805"/>
      <c r="I125" s="554">
        <f t="shared" si="3"/>
        <v>0</v>
      </c>
      <c r="J125" s="554">
        <f t="shared" si="2"/>
        <v>0</v>
      </c>
      <c r="K125" s="554"/>
      <c r="L125" s="805"/>
    </row>
    <row r="126" ht="15.75" customHeight="1">
      <c r="A126" s="805"/>
      <c r="B126" s="1088"/>
      <c r="C126" s="805"/>
      <c r="D126" s="554" t="str">
        <f>IFERROR(VLOOKUP(C126,'INVONTERY FEB'!$A$6:$B$131,2,FALSE),"")</f>
        <v/>
      </c>
      <c r="E126" s="554" t="str">
        <f>IFERROR(VLOOKUP(D126,'INVONTERY FEB'!$B$6:$C$131,2,FALSE),"")</f>
        <v/>
      </c>
      <c r="F126" s="554" t="str">
        <f>IFERROR(VLOOKUP(D126,'INVONTERY FEB'!$B$6:$D$131,3,FALSE),"")</f>
        <v/>
      </c>
      <c r="G126" s="805"/>
      <c r="H126" s="805"/>
      <c r="I126" s="554">
        <f t="shared" si="3"/>
        <v>0</v>
      </c>
      <c r="J126" s="554">
        <f t="shared" si="2"/>
        <v>0</v>
      </c>
      <c r="K126" s="554"/>
      <c r="L126" s="805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ht="15.75" customHeight="1">
      <c r="A127" s="805"/>
      <c r="B127" s="1088"/>
      <c r="C127" s="805"/>
      <c r="D127" s="554" t="str">
        <f>IFERROR(VLOOKUP(C127,'INVONTERY FEB'!$A$6:$B$131,2,FALSE),"")</f>
        <v/>
      </c>
      <c r="E127" s="554" t="str">
        <f>IFERROR(VLOOKUP(D127,'INVONTERY FEB'!$B$6:$C$131,2,FALSE),"")</f>
        <v/>
      </c>
      <c r="F127" s="554" t="str">
        <f>IFERROR(VLOOKUP(D127,'INVONTERY FEB'!$B$6:$D$131,3,FALSE),"")</f>
        <v/>
      </c>
      <c r="G127" s="805"/>
      <c r="H127" s="805"/>
      <c r="I127" s="554">
        <f t="shared" si="3"/>
        <v>0</v>
      </c>
      <c r="J127" s="554">
        <f t="shared" si="2"/>
        <v>0</v>
      </c>
      <c r="K127" s="554"/>
      <c r="L127" s="805"/>
    </row>
    <row r="128" ht="15.75" customHeight="1">
      <c r="A128" s="805"/>
      <c r="B128" s="1088"/>
      <c r="C128" s="805"/>
      <c r="D128" s="554" t="str">
        <f>IFERROR(VLOOKUP(C128,'INVONTERY FEB'!$A$6:$B$131,2,FALSE),"")</f>
        <v/>
      </c>
      <c r="E128" s="554" t="str">
        <f>IFERROR(VLOOKUP(D128,'INVONTERY FEB'!$B$6:$C$131,2,FALSE),"")</f>
        <v/>
      </c>
      <c r="F128" s="554" t="str">
        <f>IFERROR(VLOOKUP(D128,'INVONTERY FEB'!$B$6:$D$131,3,FALSE),"")</f>
        <v/>
      </c>
      <c r="G128" s="805"/>
      <c r="H128" s="805"/>
      <c r="I128" s="554">
        <f t="shared" si="3"/>
        <v>0</v>
      </c>
      <c r="J128" s="554">
        <f t="shared" si="2"/>
        <v>0</v>
      </c>
      <c r="K128" s="554"/>
      <c r="L128" s="805"/>
    </row>
    <row r="129" ht="15.75" customHeight="1">
      <c r="A129" s="805"/>
      <c r="B129" s="1088"/>
      <c r="C129" s="805"/>
      <c r="D129" s="554" t="str">
        <f>IFERROR(VLOOKUP(C129,'INVONTERY FEB'!$A$6:$B$131,2,FALSE),"")</f>
        <v/>
      </c>
      <c r="E129" s="554" t="str">
        <f>IFERROR(VLOOKUP(D129,'INVONTERY FEB'!$B$6:$C$131,2,FALSE),"")</f>
        <v/>
      </c>
      <c r="F129" s="554" t="str">
        <f>IFERROR(VLOOKUP(D129,'INVONTERY FEB'!$B$6:$D$131,3,FALSE),"")</f>
        <v/>
      </c>
      <c r="G129" s="805"/>
      <c r="H129" s="805"/>
      <c r="I129" s="554">
        <f t="shared" si="3"/>
        <v>0</v>
      </c>
      <c r="J129" s="554">
        <f t="shared" si="2"/>
        <v>0</v>
      </c>
      <c r="K129" s="554"/>
      <c r="L129" s="805"/>
    </row>
    <row r="130" ht="15.75" customHeight="1">
      <c r="A130" s="805"/>
      <c r="B130" s="1088"/>
      <c r="C130" s="805"/>
      <c r="D130" s="554" t="str">
        <f>IFERROR(VLOOKUP(C130,'INVONTERY FEB'!$A$6:$B$131,2,FALSE),"")</f>
        <v/>
      </c>
      <c r="E130" s="554" t="str">
        <f>IFERROR(VLOOKUP(D130,'INVONTERY FEB'!$B$6:$C$131,2,FALSE),"")</f>
        <v/>
      </c>
      <c r="F130" s="554" t="str">
        <f>IFERROR(VLOOKUP(D130,'INVONTERY FEB'!$B$6:$D$131,3,FALSE),"")</f>
        <v/>
      </c>
      <c r="G130" s="805"/>
      <c r="H130" s="805"/>
      <c r="I130" s="554">
        <f t="shared" si="3"/>
        <v>0</v>
      </c>
      <c r="J130" s="554">
        <f t="shared" si="2"/>
        <v>0</v>
      </c>
      <c r="K130" s="554"/>
      <c r="L130" s="805"/>
    </row>
    <row r="131" ht="15.75" customHeight="1">
      <c r="A131" s="805"/>
      <c r="B131" s="1088"/>
      <c r="C131" s="805"/>
      <c r="D131" s="554" t="str">
        <f>IFERROR(VLOOKUP(C131,'INVONTERY FEB'!$A$6:$B$131,2,FALSE),"")</f>
        <v/>
      </c>
      <c r="E131" s="554" t="str">
        <f>IFERROR(VLOOKUP(D131,'INVONTERY FEB'!$B$6:$C$131,2,FALSE),"")</f>
        <v/>
      </c>
      <c r="F131" s="554" t="str">
        <f>IFERROR(VLOOKUP(D131,'INVONTERY FEB'!$B$6:$D$131,3,FALSE),"")</f>
        <v/>
      </c>
      <c r="G131" s="805"/>
      <c r="H131" s="805"/>
      <c r="I131" s="554">
        <f t="shared" si="3"/>
        <v>0</v>
      </c>
      <c r="J131" s="554">
        <f t="shared" si="2"/>
        <v>0</v>
      </c>
      <c r="K131" s="554"/>
      <c r="L131" s="805"/>
    </row>
    <row r="132" ht="15.75" customHeight="1">
      <c r="A132" s="805"/>
      <c r="B132" s="1088"/>
      <c r="C132" s="805"/>
      <c r="D132" s="554" t="str">
        <f>IFERROR(VLOOKUP(C132,'INVONTERY FEB'!$A$6:$B$131,2,FALSE),"")</f>
        <v/>
      </c>
      <c r="E132" s="554" t="str">
        <f>IFERROR(VLOOKUP(D132,'INVONTERY FEB'!$B$6:$C$131,2,FALSE),"")</f>
        <v/>
      </c>
      <c r="F132" s="554" t="str">
        <f>IFERROR(VLOOKUP(D132,'INVONTERY FEB'!$B$6:$D$131,3,FALSE),"")</f>
        <v/>
      </c>
      <c r="G132" s="805"/>
      <c r="H132" s="805"/>
      <c r="I132" s="554">
        <f t="shared" si="3"/>
        <v>0</v>
      </c>
      <c r="J132" s="554">
        <f t="shared" si="2"/>
        <v>0</v>
      </c>
      <c r="K132" s="554"/>
      <c r="L132" s="805"/>
    </row>
    <row r="133" ht="15.75" customHeight="1">
      <c r="A133" s="805"/>
      <c r="B133" s="1088"/>
      <c r="C133" s="805"/>
      <c r="D133" s="554" t="str">
        <f>IFERROR(VLOOKUP(C133,'INVONTERY FEB'!$A$6:$B$131,2,FALSE),"")</f>
        <v/>
      </c>
      <c r="E133" s="554" t="str">
        <f>IFERROR(VLOOKUP(D133,'INVONTERY FEB'!$B$6:$C$131,2,FALSE),"")</f>
        <v/>
      </c>
      <c r="F133" s="554" t="str">
        <f>IFERROR(VLOOKUP(D133,'INVONTERY FEB'!$B$6:$D$131,3,FALSE),"")</f>
        <v/>
      </c>
      <c r="G133" s="805"/>
      <c r="H133" s="805"/>
      <c r="I133" s="554">
        <f t="shared" si="3"/>
        <v>0</v>
      </c>
      <c r="J133" s="554">
        <f t="shared" si="2"/>
        <v>0</v>
      </c>
      <c r="K133" s="554"/>
      <c r="L133" s="805"/>
    </row>
    <row r="134" ht="15.75" customHeight="1">
      <c r="A134" s="805"/>
      <c r="B134" s="1088"/>
      <c r="C134" s="805"/>
      <c r="D134" s="554" t="str">
        <f>IFERROR(VLOOKUP(C134,'INVONTERY FEB'!$A$6:$B$131,2,FALSE),"")</f>
        <v/>
      </c>
      <c r="E134" s="554" t="str">
        <f>IFERROR(VLOOKUP(D134,'INVONTERY FEB'!$B$6:$C$131,2,FALSE),"")</f>
        <v/>
      </c>
      <c r="F134" s="554" t="str">
        <f>IFERROR(VLOOKUP(D134,'INVONTERY FEB'!$B$6:$D$131,3,FALSE),"")</f>
        <v/>
      </c>
      <c r="G134" s="805"/>
      <c r="H134" s="805"/>
      <c r="I134" s="554">
        <f t="shared" si="3"/>
        <v>0</v>
      </c>
      <c r="J134" s="554">
        <f t="shared" si="2"/>
        <v>0</v>
      </c>
      <c r="K134" s="554"/>
      <c r="L134" s="805"/>
    </row>
    <row r="135" ht="15.75" customHeight="1">
      <c r="A135" s="805"/>
      <c r="B135" s="1088"/>
      <c r="C135" s="805"/>
      <c r="D135" s="554" t="str">
        <f>IFERROR(VLOOKUP(C135,'INVONTERY FEB'!$A$6:$B$131,2,FALSE),"")</f>
        <v/>
      </c>
      <c r="E135" s="554" t="str">
        <f>IFERROR(VLOOKUP(D135,'INVONTERY FEB'!$B$6:$C$131,2,FALSE),"")</f>
        <v/>
      </c>
      <c r="F135" s="554" t="str">
        <f>IFERROR(VLOOKUP(D135,'INVONTERY FEB'!$B$6:$D$131,3,FALSE),"")</f>
        <v/>
      </c>
      <c r="G135" s="805"/>
      <c r="H135" s="805"/>
      <c r="I135" s="554">
        <f t="shared" si="3"/>
        <v>0</v>
      </c>
      <c r="J135" s="554">
        <f t="shared" si="2"/>
        <v>0</v>
      </c>
      <c r="K135" s="554"/>
      <c r="L135" s="805"/>
    </row>
    <row r="136" ht="15.75" customHeight="1">
      <c r="A136" s="805"/>
      <c r="B136" s="1088"/>
      <c r="C136" s="805"/>
      <c r="D136" s="554" t="str">
        <f>IFERROR(VLOOKUP(C136,'INVONTERY FEB'!$A$6:$B$131,2,FALSE),"")</f>
        <v/>
      </c>
      <c r="E136" s="554" t="str">
        <f>IFERROR(VLOOKUP(D136,'INVONTERY FEB'!$B$6:$C$131,2,FALSE),"")</f>
        <v/>
      </c>
      <c r="F136" s="554" t="str">
        <f>IFERROR(VLOOKUP(D136,'INVONTERY FEB'!$B$6:$D$131,3,FALSE),"")</f>
        <v/>
      </c>
      <c r="G136" s="805"/>
      <c r="H136" s="805"/>
      <c r="I136" s="554">
        <f t="shared" si="3"/>
        <v>0</v>
      </c>
      <c r="J136" s="554">
        <f t="shared" si="2"/>
        <v>0</v>
      </c>
      <c r="K136" s="554"/>
      <c r="L136" s="805"/>
    </row>
    <row r="137" ht="15.75" customHeight="1">
      <c r="A137" s="805"/>
      <c r="B137" s="1088"/>
      <c r="C137" s="805"/>
      <c r="D137" s="554" t="str">
        <f>IFERROR(VLOOKUP(C137,'INVONTERY FEB'!$A$6:$B$131,2,FALSE),"")</f>
        <v/>
      </c>
      <c r="E137" s="554" t="str">
        <f>IFERROR(VLOOKUP(D137,'INVONTERY FEB'!$B$6:$C$131,2,FALSE),"")</f>
        <v/>
      </c>
      <c r="F137" s="554" t="str">
        <f>IFERROR(VLOOKUP(D137,'INVONTERY FEB'!$B$6:$D$131,3,FALSE),"")</f>
        <v/>
      </c>
      <c r="G137" s="805"/>
      <c r="H137" s="805"/>
      <c r="I137" s="554">
        <f t="shared" si="3"/>
        <v>0</v>
      </c>
      <c r="J137" s="554">
        <f t="shared" si="2"/>
        <v>0</v>
      </c>
      <c r="K137" s="554"/>
      <c r="L137" s="805"/>
    </row>
    <row r="138" ht="15.75" customHeight="1">
      <c r="A138" s="805"/>
      <c r="B138" s="1088"/>
      <c r="C138" s="805"/>
      <c r="D138" s="554" t="str">
        <f>IFERROR(VLOOKUP(C138,'INVONTERY FEB'!$A$6:$B$131,2,FALSE),"")</f>
        <v/>
      </c>
      <c r="E138" s="554" t="str">
        <f>IFERROR(VLOOKUP(D138,'INVONTERY FEB'!$B$6:$C$131,2,FALSE),"")</f>
        <v/>
      </c>
      <c r="F138" s="554" t="str">
        <f>IFERROR(VLOOKUP(D138,'INVONTERY FEB'!$B$6:$D$131,3,FALSE),"")</f>
        <v/>
      </c>
      <c r="G138" s="805"/>
      <c r="H138" s="805"/>
      <c r="I138" s="554">
        <f t="shared" si="3"/>
        <v>0</v>
      </c>
      <c r="J138" s="554">
        <f t="shared" si="2"/>
        <v>0</v>
      </c>
      <c r="K138" s="554"/>
      <c r="L138" s="805"/>
    </row>
    <row r="139" ht="15.75" customHeight="1">
      <c r="A139" s="805"/>
      <c r="B139" s="1088"/>
      <c r="C139" s="805"/>
      <c r="D139" s="554" t="str">
        <f>IFERROR(VLOOKUP(C139,'INVONTERY FEB'!$A$6:$B$131,2,FALSE),"")</f>
        <v/>
      </c>
      <c r="E139" s="554" t="str">
        <f>IFERROR(VLOOKUP(D139,'INVONTERY FEB'!$B$6:$C$131,2,FALSE),"")</f>
        <v/>
      </c>
      <c r="F139" s="554" t="str">
        <f>IFERROR(VLOOKUP(D139,'INVONTERY FEB'!$B$6:$D$131,3,FALSE),"")</f>
        <v/>
      </c>
      <c r="G139" s="805"/>
      <c r="H139" s="805"/>
      <c r="I139" s="554">
        <f t="shared" si="3"/>
        <v>0</v>
      </c>
      <c r="J139" s="554">
        <f t="shared" si="2"/>
        <v>0</v>
      </c>
      <c r="K139" s="554"/>
      <c r="L139" s="805"/>
    </row>
    <row r="140" ht="15.75" customHeight="1">
      <c r="A140" s="805"/>
      <c r="B140" s="1088"/>
      <c r="C140" s="805"/>
      <c r="D140" s="554" t="str">
        <f>IFERROR(VLOOKUP(C140,'INVONTERY FEB'!$A$6:$B$131,2,FALSE),"")</f>
        <v/>
      </c>
      <c r="E140" s="554" t="str">
        <f>IFERROR(VLOOKUP(D140,'INVONTERY FEB'!$B$6:$C$131,2,FALSE),"")</f>
        <v/>
      </c>
      <c r="F140" s="554" t="str">
        <f>IFERROR(VLOOKUP(D140,'INVONTERY FEB'!$B$6:$D$131,3,FALSE),"")</f>
        <v/>
      </c>
      <c r="G140" s="805"/>
      <c r="H140" s="805"/>
      <c r="I140" s="554">
        <f t="shared" si="3"/>
        <v>0</v>
      </c>
      <c r="J140" s="554">
        <f t="shared" si="2"/>
        <v>0</v>
      </c>
      <c r="K140" s="554"/>
      <c r="L140" s="805"/>
    </row>
    <row r="141" ht="15.75" customHeight="1">
      <c r="A141" s="805"/>
      <c r="B141" s="1088"/>
      <c r="C141" s="805"/>
      <c r="D141" s="554" t="str">
        <f>IFERROR(VLOOKUP(C141,'INVONTERY FEB'!$A$6:$B$131,2,FALSE),"")</f>
        <v/>
      </c>
      <c r="E141" s="554" t="str">
        <f>IFERROR(VLOOKUP(D141,'INVONTERY FEB'!$B$6:$C$131,2,FALSE),"")</f>
        <v/>
      </c>
      <c r="F141" s="554" t="str">
        <f>IFERROR(VLOOKUP(D141,'INVONTERY FEB'!$B$6:$D$131,3,FALSE),"")</f>
        <v/>
      </c>
      <c r="G141" s="805"/>
      <c r="H141" s="805"/>
      <c r="I141" s="554">
        <f t="shared" si="3"/>
        <v>0</v>
      </c>
      <c r="J141" s="554">
        <f t="shared" si="2"/>
        <v>0</v>
      </c>
      <c r="K141" s="554"/>
      <c r="L141" s="805"/>
    </row>
    <row r="142" ht="15.75" customHeight="1">
      <c r="A142" s="805"/>
      <c r="B142" s="1088"/>
      <c r="C142" s="805"/>
      <c r="D142" s="554" t="str">
        <f>IFERROR(VLOOKUP(C142,'INVONTERY FEB'!$A$6:$B$131,2,FALSE),"")</f>
        <v/>
      </c>
      <c r="E142" s="554" t="str">
        <f>IFERROR(VLOOKUP(D142,'INVONTERY FEB'!$B$6:$C$131,2,FALSE),"")</f>
        <v/>
      </c>
      <c r="F142" s="554" t="str">
        <f>IFERROR(VLOOKUP(D142,'INVONTERY FEB'!$B$6:$D$131,3,FALSE),"")</f>
        <v/>
      </c>
      <c r="G142" s="805"/>
      <c r="H142" s="805"/>
      <c r="I142" s="554">
        <f t="shared" si="3"/>
        <v>0</v>
      </c>
      <c r="J142" s="554">
        <f t="shared" si="2"/>
        <v>0</v>
      </c>
      <c r="K142" s="554"/>
      <c r="L142" s="805"/>
    </row>
    <row r="143" ht="15.75" customHeight="1">
      <c r="A143" s="805"/>
      <c r="B143" s="1088"/>
      <c r="C143" s="805"/>
      <c r="D143" s="554" t="str">
        <f>IFERROR(VLOOKUP(C143,'INVONTERY FEB'!$A$6:$B$131,2,FALSE),"")</f>
        <v/>
      </c>
      <c r="E143" s="554" t="str">
        <f>IFERROR(VLOOKUP(D143,'INVONTERY FEB'!$B$6:$C$131,2,FALSE),"")</f>
        <v/>
      </c>
      <c r="F143" s="554" t="str">
        <f>IFERROR(VLOOKUP(D143,'INVONTERY FEB'!$B$6:$D$131,3,FALSE),"")</f>
        <v/>
      </c>
      <c r="G143" s="805"/>
      <c r="H143" s="805"/>
      <c r="I143" s="554">
        <f t="shared" si="3"/>
        <v>0</v>
      </c>
      <c r="J143" s="554">
        <f t="shared" si="2"/>
        <v>0</v>
      </c>
      <c r="K143" s="554"/>
      <c r="L143" s="805"/>
    </row>
    <row r="144" ht="15.75" customHeight="1">
      <c r="A144" s="805"/>
      <c r="B144" s="1088"/>
      <c r="C144" s="805"/>
      <c r="D144" s="554" t="str">
        <f>IFERROR(VLOOKUP(C144,'INVONTERY FEB'!$A$6:$B$131,2,FALSE),"")</f>
        <v/>
      </c>
      <c r="E144" s="554" t="str">
        <f>IFERROR(VLOOKUP(D144,'INVONTERY FEB'!$B$6:$C$131,2,FALSE),"")</f>
        <v/>
      </c>
      <c r="F144" s="554" t="str">
        <f>IFERROR(VLOOKUP(D144,'INVONTERY FEB'!$B$6:$D$131,3,FALSE),"")</f>
        <v/>
      </c>
      <c r="G144" s="805"/>
      <c r="H144" s="805"/>
      <c r="I144" s="554">
        <f t="shared" si="3"/>
        <v>0</v>
      </c>
      <c r="J144" s="554">
        <f t="shared" si="2"/>
        <v>0</v>
      </c>
      <c r="K144" s="554"/>
      <c r="L144" s="805"/>
    </row>
    <row r="145" ht="15.75" customHeight="1">
      <c r="A145" s="805"/>
      <c r="B145" s="1088"/>
      <c r="C145" s="805"/>
      <c r="D145" s="554" t="str">
        <f>IFERROR(VLOOKUP(C145,'INVONTERY FEB'!$A$6:$B$131,2,FALSE),"")</f>
        <v/>
      </c>
      <c r="E145" s="554" t="str">
        <f>IFERROR(VLOOKUP(D145,'INVONTERY FEB'!$B$6:$C$131,2,FALSE),"")</f>
        <v/>
      </c>
      <c r="F145" s="554" t="str">
        <f>IFERROR(VLOOKUP(D145,'INVONTERY FEB'!$B$6:$D$131,3,FALSE),"")</f>
        <v/>
      </c>
      <c r="G145" s="805"/>
      <c r="H145" s="805"/>
      <c r="I145" s="554">
        <f t="shared" si="3"/>
        <v>0</v>
      </c>
      <c r="J145" s="554">
        <f t="shared" si="2"/>
        <v>0</v>
      </c>
      <c r="K145" s="554"/>
      <c r="L145" s="805"/>
    </row>
    <row r="146" ht="15.75" customHeight="1">
      <c r="A146" s="805"/>
      <c r="B146" s="1088"/>
      <c r="C146" s="805"/>
      <c r="D146" s="554" t="str">
        <f>IFERROR(VLOOKUP(C146,'INVONTERY FEB'!$A$6:$B$131,2,FALSE),"")</f>
        <v/>
      </c>
      <c r="E146" s="554" t="str">
        <f>IFERROR(VLOOKUP(D146,'INVONTERY FEB'!$B$6:$C$131,2,FALSE),"")</f>
        <v/>
      </c>
      <c r="F146" s="554" t="str">
        <f>IFERROR(VLOOKUP(D146,'INVONTERY FEB'!$B$6:$D$131,3,FALSE),"")</f>
        <v/>
      </c>
      <c r="G146" s="805"/>
      <c r="H146" s="805"/>
      <c r="I146" s="554">
        <f t="shared" si="3"/>
        <v>0</v>
      </c>
      <c r="J146" s="554">
        <f t="shared" si="2"/>
        <v>0</v>
      </c>
      <c r="K146" s="554"/>
      <c r="L146" s="805"/>
    </row>
    <row r="147" ht="15.75" customHeight="1">
      <c r="A147" s="805"/>
      <c r="B147" s="1088"/>
      <c r="C147" s="805"/>
      <c r="D147" s="554" t="str">
        <f>IFERROR(VLOOKUP(C147,'INVONTERY FEB'!$A$6:$B$131,2,FALSE),"")</f>
        <v/>
      </c>
      <c r="E147" s="554" t="str">
        <f>IFERROR(VLOOKUP(D147,'INVONTERY FEB'!$B$6:$C$131,2,FALSE),"")</f>
        <v/>
      </c>
      <c r="F147" s="554" t="str">
        <f>IFERROR(VLOOKUP(D147,'INVONTERY FEB'!$B$6:$D$131,3,FALSE),"")</f>
        <v/>
      </c>
      <c r="G147" s="805"/>
      <c r="H147" s="805"/>
      <c r="I147" s="554">
        <f t="shared" si="3"/>
        <v>0</v>
      </c>
      <c r="J147" s="554">
        <f t="shared" si="2"/>
        <v>0</v>
      </c>
      <c r="K147" s="554"/>
      <c r="L147" s="805"/>
    </row>
    <row r="148" ht="15.75" customHeight="1">
      <c r="A148" s="805"/>
      <c r="B148" s="1088"/>
      <c r="C148" s="805"/>
      <c r="D148" s="554" t="str">
        <f>IFERROR(VLOOKUP(C148,'INVONTERY FEB'!$A$6:$B$131,2,FALSE),"")</f>
        <v/>
      </c>
      <c r="E148" s="554" t="str">
        <f>IFERROR(VLOOKUP(D148,'INVONTERY FEB'!$B$6:$C$131,2,FALSE),"")</f>
        <v/>
      </c>
      <c r="F148" s="554" t="str">
        <f>IFERROR(VLOOKUP(D148,'INVONTERY FEB'!$B$6:$D$131,3,FALSE),"")</f>
        <v/>
      </c>
      <c r="G148" s="805"/>
      <c r="H148" s="805"/>
      <c r="I148" s="554">
        <f t="shared" si="3"/>
        <v>0</v>
      </c>
      <c r="J148" s="554">
        <f t="shared" si="2"/>
        <v>0</v>
      </c>
      <c r="K148" s="554"/>
      <c r="L148" s="805"/>
    </row>
    <row r="149" ht="15.75" customHeight="1">
      <c r="A149" s="805"/>
      <c r="B149" s="1088"/>
      <c r="C149" s="805"/>
      <c r="D149" s="554" t="str">
        <f>IFERROR(VLOOKUP(C149,'INVONTERY FEB'!$A$6:$B$131,2,FALSE),"")</f>
        <v/>
      </c>
      <c r="E149" s="554" t="str">
        <f>IFERROR(VLOOKUP(D149,'INVONTERY FEB'!$B$6:$C$131,2,FALSE),"")</f>
        <v/>
      </c>
      <c r="F149" s="554" t="str">
        <f>IFERROR(VLOOKUP(D149,'INVONTERY FEB'!$B$6:$D$131,3,FALSE),"")</f>
        <v/>
      </c>
      <c r="G149" s="805"/>
      <c r="H149" s="805"/>
      <c r="I149" s="554">
        <f t="shared" si="3"/>
        <v>0</v>
      </c>
      <c r="J149" s="554">
        <f t="shared" si="2"/>
        <v>0</v>
      </c>
      <c r="K149" s="554"/>
      <c r="L149" s="805"/>
    </row>
    <row r="150" ht="15.75" customHeight="1">
      <c r="A150" s="805"/>
      <c r="B150" s="1088"/>
      <c r="C150" s="805"/>
      <c r="D150" s="554" t="str">
        <f>IFERROR(VLOOKUP(C150,'INVONTERY FEB'!$A$6:$B$131,2,FALSE),"")</f>
        <v/>
      </c>
      <c r="E150" s="554" t="str">
        <f>IFERROR(VLOOKUP(D150,'INVONTERY FEB'!$B$6:$C$131,2,FALSE),"")</f>
        <v/>
      </c>
      <c r="F150" s="554" t="str">
        <f>IFERROR(VLOOKUP(D150,'INVONTERY FEB'!$B$6:$D$131,3,FALSE),"")</f>
        <v/>
      </c>
      <c r="G150" s="805"/>
      <c r="H150" s="805"/>
      <c r="I150" s="554">
        <f t="shared" si="3"/>
        <v>0</v>
      </c>
      <c r="J150" s="554">
        <f t="shared" si="2"/>
        <v>0</v>
      </c>
      <c r="K150" s="554"/>
      <c r="L150" s="805"/>
    </row>
    <row r="151" ht="15.75" customHeight="1">
      <c r="A151" s="805"/>
      <c r="B151" s="1088"/>
      <c r="C151" s="805"/>
      <c r="D151" s="554" t="str">
        <f>IFERROR(VLOOKUP(C151,'INVONTERY FEB'!$A$6:$B$131,2,FALSE),"")</f>
        <v/>
      </c>
      <c r="E151" s="554" t="str">
        <f>IFERROR(VLOOKUP(D151,'INVONTERY FEB'!$B$6:$C$131,2,FALSE),"")</f>
        <v/>
      </c>
      <c r="F151" s="554" t="str">
        <f>IFERROR(VLOOKUP(D151,'INVONTERY FEB'!$B$6:$D$131,3,FALSE),"")</f>
        <v/>
      </c>
      <c r="G151" s="805"/>
      <c r="H151" s="805"/>
      <c r="I151" s="554">
        <f t="shared" si="3"/>
        <v>0</v>
      </c>
      <c r="J151" s="554">
        <f t="shared" si="2"/>
        <v>0</v>
      </c>
      <c r="K151" s="554"/>
      <c r="L151" s="805"/>
    </row>
    <row r="152" ht="15.75" customHeight="1">
      <c r="A152" s="805"/>
      <c r="B152" s="1088"/>
      <c r="C152" s="805"/>
      <c r="D152" s="554" t="str">
        <f>IFERROR(VLOOKUP(C152,'INVONTERY FEB'!$A$6:$B$131,2,FALSE),"")</f>
        <v/>
      </c>
      <c r="E152" s="554" t="str">
        <f>IFERROR(VLOOKUP(D152,'INVONTERY FEB'!$B$6:$C$131,2,FALSE),"")</f>
        <v/>
      </c>
      <c r="F152" s="554" t="str">
        <f>IFERROR(VLOOKUP(D152,'INVONTERY FEB'!$B$6:$D$131,3,FALSE),"")</f>
        <v/>
      </c>
      <c r="G152" s="805"/>
      <c r="H152" s="805"/>
      <c r="I152" s="554">
        <f t="shared" si="3"/>
        <v>0</v>
      </c>
      <c r="J152" s="554">
        <f t="shared" si="2"/>
        <v>0</v>
      </c>
      <c r="K152" s="554"/>
      <c r="L152" s="805"/>
    </row>
    <row r="153" ht="15.75" customHeight="1">
      <c r="A153" s="805"/>
      <c r="B153" s="1088"/>
      <c r="C153" s="805"/>
      <c r="D153" s="554" t="str">
        <f>IFERROR(VLOOKUP(C153,'INVONTERY FEB'!$A$6:$B$131,2,FALSE),"")</f>
        <v/>
      </c>
      <c r="E153" s="554" t="str">
        <f>IFERROR(VLOOKUP(D153,'INVONTERY FEB'!$B$6:$C$131,2,FALSE),"")</f>
        <v/>
      </c>
      <c r="F153" s="554" t="str">
        <f>IFERROR(VLOOKUP(D153,'INVONTERY FEB'!$B$6:$D$131,3,FALSE),"")</f>
        <v/>
      </c>
      <c r="G153" s="805"/>
      <c r="H153" s="805"/>
      <c r="I153" s="554">
        <f t="shared" si="3"/>
        <v>0</v>
      </c>
      <c r="J153" s="554">
        <f t="shared" si="2"/>
        <v>0</v>
      </c>
      <c r="K153" s="554"/>
      <c r="L153" s="805"/>
    </row>
    <row r="154" ht="15.75" customHeight="1">
      <c r="A154" s="805"/>
      <c r="B154" s="1088"/>
      <c r="C154" s="805"/>
      <c r="D154" s="554" t="str">
        <f>IFERROR(VLOOKUP(C154,'INVONTERY FEB'!$A$6:$B$131,2,FALSE),"")</f>
        <v/>
      </c>
      <c r="E154" s="554" t="str">
        <f>IFERROR(VLOOKUP(D154,'INVONTERY FEB'!$B$6:$C$131,2,FALSE),"")</f>
        <v/>
      </c>
      <c r="F154" s="554" t="str">
        <f>IFERROR(VLOOKUP(D154,'INVONTERY FEB'!$B$6:$D$131,3,FALSE),"")</f>
        <v/>
      </c>
      <c r="G154" s="805"/>
      <c r="H154" s="805"/>
      <c r="I154" s="554">
        <f t="shared" si="3"/>
        <v>0</v>
      </c>
      <c r="J154" s="554">
        <f t="shared" si="2"/>
        <v>0</v>
      </c>
      <c r="K154" s="554"/>
      <c r="L154" s="805"/>
    </row>
    <row r="155" ht="15.75" customHeight="1">
      <c r="A155" s="805"/>
      <c r="B155" s="1088"/>
      <c r="C155" s="805"/>
      <c r="D155" s="554" t="str">
        <f>IFERROR(VLOOKUP(C155,'INVONTERY FEB'!$A$6:$B$131,2,FALSE),"")</f>
        <v/>
      </c>
      <c r="E155" s="554" t="str">
        <f>IFERROR(VLOOKUP(D155,'INVONTERY FEB'!$B$6:$C$131,2,FALSE),"")</f>
        <v/>
      </c>
      <c r="F155" s="554" t="str">
        <f>IFERROR(VLOOKUP(D155,'INVONTERY FEB'!$B$6:$D$131,3,FALSE),"")</f>
        <v/>
      </c>
      <c r="G155" s="805"/>
      <c r="H155" s="805"/>
      <c r="I155" s="554">
        <f t="shared" si="3"/>
        <v>0</v>
      </c>
      <c r="J155" s="554">
        <f t="shared" si="2"/>
        <v>0</v>
      </c>
      <c r="K155" s="554"/>
      <c r="L155" s="805"/>
    </row>
    <row r="156" ht="15.75" customHeight="1">
      <c r="A156" s="805"/>
      <c r="B156" s="1088"/>
      <c r="C156" s="805"/>
      <c r="D156" s="554" t="str">
        <f>IFERROR(VLOOKUP(C156,'INVONTERY FEB'!$A$6:$B$131,2,FALSE),"")</f>
        <v/>
      </c>
      <c r="E156" s="554" t="str">
        <f>IFERROR(VLOOKUP(D156,'INVONTERY FEB'!$B$6:$C$131,2,FALSE),"")</f>
        <v/>
      </c>
      <c r="F156" s="554" t="str">
        <f>IFERROR(VLOOKUP(D156,'INVONTERY FEB'!$B$6:$D$131,3,FALSE),"")</f>
        <v/>
      </c>
      <c r="G156" s="805"/>
      <c r="H156" s="805"/>
      <c r="I156" s="554">
        <f t="shared" si="3"/>
        <v>0</v>
      </c>
      <c r="J156" s="554">
        <f t="shared" si="2"/>
        <v>0</v>
      </c>
      <c r="K156" s="554"/>
      <c r="L156" s="805"/>
    </row>
    <row r="157" ht="15.75" customHeight="1">
      <c r="A157" s="805"/>
      <c r="B157" s="1088"/>
      <c r="C157" s="805"/>
      <c r="D157" s="554" t="str">
        <f>IFERROR(VLOOKUP(C157,'INVONTERY FEB'!$A$6:$B$131,2,FALSE),"")</f>
        <v/>
      </c>
      <c r="E157" s="554" t="str">
        <f>IFERROR(VLOOKUP(D157,'INVONTERY FEB'!$B$6:$C$131,2,FALSE),"")</f>
        <v/>
      </c>
      <c r="F157" s="554" t="str">
        <f>IFERROR(VLOOKUP(D157,'INVONTERY FEB'!$B$6:$D$131,3,FALSE),"")</f>
        <v/>
      </c>
      <c r="G157" s="805"/>
      <c r="H157" s="805"/>
      <c r="I157" s="554">
        <f t="shared" si="3"/>
        <v>0</v>
      </c>
      <c r="J157" s="554">
        <f t="shared" si="2"/>
        <v>0</v>
      </c>
      <c r="K157" s="554"/>
      <c r="L157" s="805"/>
    </row>
    <row r="158" ht="15.75" customHeight="1">
      <c r="A158" s="805"/>
      <c r="B158" s="1088"/>
      <c r="C158" s="805"/>
      <c r="D158" s="554" t="str">
        <f>IFERROR(VLOOKUP(C158,'INVONTERY FEB'!$A$6:$B$131,2,FALSE),"")</f>
        <v/>
      </c>
      <c r="E158" s="554" t="str">
        <f>IFERROR(VLOOKUP(D158,'INVONTERY FEB'!$B$6:$C$131,2,FALSE),"")</f>
        <v/>
      </c>
      <c r="F158" s="554" t="str">
        <f>IFERROR(VLOOKUP(D158,'INVONTERY FEB'!$B$6:$D$131,3,FALSE),"")</f>
        <v/>
      </c>
      <c r="G158" s="805"/>
      <c r="H158" s="805"/>
      <c r="I158" s="554">
        <f t="shared" si="3"/>
        <v>0</v>
      </c>
      <c r="J158" s="554">
        <f t="shared" si="2"/>
        <v>0</v>
      </c>
      <c r="K158" s="554"/>
      <c r="L158" s="805"/>
    </row>
    <row r="159" ht="15.75" customHeight="1">
      <c r="A159" s="805"/>
      <c r="B159" s="1088"/>
      <c r="C159" s="805"/>
      <c r="D159" s="554" t="str">
        <f>IFERROR(VLOOKUP(C159,'INVONTERY FEB'!$A$6:$B$131,2,FALSE),"")</f>
        <v/>
      </c>
      <c r="E159" s="554" t="str">
        <f>IFERROR(VLOOKUP(D159,'INVONTERY FEB'!$B$6:$C$131,2,FALSE),"")</f>
        <v/>
      </c>
      <c r="F159" s="554" t="str">
        <f>IFERROR(VLOOKUP(D159,'INVONTERY FEB'!$B$6:$D$131,3,FALSE),"")</f>
        <v/>
      </c>
      <c r="G159" s="805"/>
      <c r="H159" s="805"/>
      <c r="I159" s="554">
        <f t="shared" si="3"/>
        <v>0</v>
      </c>
      <c r="J159" s="554">
        <f t="shared" si="2"/>
        <v>0</v>
      </c>
      <c r="K159" s="554"/>
      <c r="L159" s="805"/>
    </row>
    <row r="160" ht="15.75" customHeight="1">
      <c r="A160" s="805"/>
      <c r="B160" s="1088"/>
      <c r="C160" s="805"/>
      <c r="D160" s="554" t="str">
        <f>IFERROR(VLOOKUP(C160,'INVONTERY FEB'!$A$6:$B$131,2,FALSE),"")</f>
        <v/>
      </c>
      <c r="E160" s="554" t="str">
        <f>IFERROR(VLOOKUP(D160,'INVONTERY FEB'!$B$6:$C$131,2,FALSE),"")</f>
        <v/>
      </c>
      <c r="F160" s="554" t="str">
        <f>IFERROR(VLOOKUP(D160,'INVONTERY FEB'!$B$6:$D$131,3,FALSE),"")</f>
        <v/>
      </c>
      <c r="G160" s="805"/>
      <c r="H160" s="805"/>
      <c r="I160" s="554">
        <f t="shared" si="3"/>
        <v>0</v>
      </c>
      <c r="J160" s="554">
        <f t="shared" si="2"/>
        <v>0</v>
      </c>
      <c r="K160" s="554"/>
      <c r="L160" s="805"/>
    </row>
    <row r="161" ht="15.75" customHeight="1">
      <c r="A161" s="805"/>
      <c r="B161" s="1088"/>
      <c r="C161" s="805"/>
      <c r="D161" s="554" t="str">
        <f>IFERROR(VLOOKUP(C161,'INVONTERY FEB'!$A$6:$B$131,2,FALSE),"")</f>
        <v/>
      </c>
      <c r="E161" s="554" t="str">
        <f>IFERROR(VLOOKUP(D161,'INVONTERY FEB'!$B$6:$C$131,2,FALSE),"")</f>
        <v/>
      </c>
      <c r="F161" s="554" t="str">
        <f>IFERROR(VLOOKUP(D161,'INVONTERY FEB'!$B$6:$D$131,3,FALSE),"")</f>
        <v/>
      </c>
      <c r="G161" s="805"/>
      <c r="H161" s="805"/>
      <c r="I161" s="554">
        <f t="shared" si="3"/>
        <v>0</v>
      </c>
      <c r="J161" s="554">
        <f t="shared" si="2"/>
        <v>0</v>
      </c>
      <c r="K161" s="554"/>
      <c r="L161" s="805"/>
    </row>
    <row r="162" ht="15.75" customHeight="1">
      <c r="A162" s="805"/>
      <c r="B162" s="1088"/>
      <c r="C162" s="805"/>
      <c r="D162" s="554" t="str">
        <f>IFERROR(VLOOKUP(C162,'INVONTERY FEB'!$A$6:$B$131,2,FALSE),"")</f>
        <v/>
      </c>
      <c r="E162" s="554" t="str">
        <f>IFERROR(VLOOKUP(D162,'INVONTERY FEB'!$B$6:$C$131,2,FALSE),"")</f>
        <v/>
      </c>
      <c r="F162" s="554" t="str">
        <f>IFERROR(VLOOKUP(D162,'INVONTERY FEB'!$B$6:$D$131,3,FALSE),"")</f>
        <v/>
      </c>
      <c r="G162" s="805"/>
      <c r="H162" s="805"/>
      <c r="I162" s="554">
        <f t="shared" si="3"/>
        <v>0</v>
      </c>
      <c r="J162" s="554">
        <f t="shared" si="2"/>
        <v>0</v>
      </c>
      <c r="K162" s="554"/>
      <c r="L162" s="805"/>
    </row>
    <row r="163" ht="15.75" customHeight="1">
      <c r="A163" s="805"/>
      <c r="B163" s="1088"/>
      <c r="C163" s="805"/>
      <c r="D163" s="554" t="str">
        <f>IFERROR(VLOOKUP(C163,'INVONTERY FEB'!$A$6:$B$131,2,FALSE),"")</f>
        <v/>
      </c>
      <c r="E163" s="554" t="str">
        <f>IFERROR(VLOOKUP(D163,'INVONTERY FEB'!$B$6:$C$131,2,FALSE),"")</f>
        <v/>
      </c>
      <c r="F163" s="554" t="str">
        <f>IFERROR(VLOOKUP(D163,'INVONTERY FEB'!$B$6:$D$131,3,FALSE),"")</f>
        <v/>
      </c>
      <c r="G163" s="805"/>
      <c r="H163" s="805"/>
      <c r="I163" s="554">
        <f t="shared" si="3"/>
        <v>0</v>
      </c>
      <c r="J163" s="554">
        <f t="shared" si="2"/>
        <v>0</v>
      </c>
      <c r="K163" s="554"/>
      <c r="L163" s="805"/>
    </row>
    <row r="164" ht="15.75" customHeight="1">
      <c r="A164" s="805"/>
      <c r="B164" s="1088"/>
      <c r="C164" s="805"/>
      <c r="D164" s="554" t="str">
        <f>IFERROR(VLOOKUP(C164,'INVONTERY FEB'!$A$6:$B$131,2,FALSE),"")</f>
        <v/>
      </c>
      <c r="E164" s="554" t="str">
        <f>IFERROR(VLOOKUP(D164,'INVONTERY FEB'!$B$6:$C$131,2,FALSE),"")</f>
        <v/>
      </c>
      <c r="F164" s="554" t="str">
        <f>IFERROR(VLOOKUP(D164,'INVONTERY FEB'!$B$6:$D$131,3,FALSE),"")</f>
        <v/>
      </c>
      <c r="G164" s="805"/>
      <c r="H164" s="805"/>
      <c r="I164" s="554">
        <f t="shared" si="3"/>
        <v>0</v>
      </c>
      <c r="J164" s="554">
        <f t="shared" si="2"/>
        <v>0</v>
      </c>
      <c r="K164" s="554"/>
      <c r="L164" s="805"/>
    </row>
    <row r="165" ht="15.75" customHeight="1">
      <c r="A165" s="805"/>
      <c r="B165" s="1088"/>
      <c r="C165" s="805"/>
      <c r="D165" s="554" t="str">
        <f>IFERROR(VLOOKUP(C165,'INVONTERY FEB'!$A$6:$B$131,2,FALSE),"")</f>
        <v/>
      </c>
      <c r="E165" s="554" t="str">
        <f>IFERROR(VLOOKUP(D165,'INVONTERY FEB'!$B$6:$C$131,2,FALSE),"")</f>
        <v/>
      </c>
      <c r="F165" s="554" t="str">
        <f>IFERROR(VLOOKUP(D165,'INVONTERY FEB'!$B$6:$D$131,3,FALSE),"")</f>
        <v/>
      </c>
      <c r="G165" s="805"/>
      <c r="H165" s="805"/>
      <c r="I165" s="554">
        <f t="shared" si="3"/>
        <v>0</v>
      </c>
      <c r="J165" s="554">
        <f t="shared" si="2"/>
        <v>0</v>
      </c>
      <c r="K165" s="554"/>
      <c r="L165" s="805"/>
    </row>
    <row r="166" ht="15.75" customHeight="1">
      <c r="A166" s="805"/>
      <c r="B166" s="1088"/>
      <c r="C166" s="805"/>
      <c r="D166" s="554" t="str">
        <f>IFERROR(VLOOKUP(C166,'INVONTERY FEB'!$A$6:$B$131,2,FALSE),"")</f>
        <v/>
      </c>
      <c r="E166" s="554" t="str">
        <f>IFERROR(VLOOKUP(D166,'INVONTERY FEB'!$B$6:$C$131,2,FALSE),"")</f>
        <v/>
      </c>
      <c r="F166" s="554" t="str">
        <f>IFERROR(VLOOKUP(D166,'INVONTERY FEB'!$B$6:$D$131,3,FALSE),"")</f>
        <v/>
      </c>
      <c r="G166" s="805"/>
      <c r="H166" s="805"/>
      <c r="I166" s="554">
        <f t="shared" si="3"/>
        <v>0</v>
      </c>
      <c r="J166" s="554">
        <f t="shared" si="2"/>
        <v>0</v>
      </c>
      <c r="K166" s="554"/>
      <c r="L166" s="805"/>
    </row>
    <row r="167" ht="15.75" customHeight="1">
      <c r="A167" s="805"/>
      <c r="B167" s="1088"/>
      <c r="C167" s="805"/>
      <c r="D167" s="554" t="str">
        <f>IFERROR(VLOOKUP(C167,'INVONTERY FEB'!$A$6:$B$131,2,FALSE),"")</f>
        <v/>
      </c>
      <c r="E167" s="554" t="str">
        <f>IFERROR(VLOOKUP(D167,'INVONTERY FEB'!$B$6:$C$131,2,FALSE),"")</f>
        <v/>
      </c>
      <c r="F167" s="554" t="str">
        <f>IFERROR(VLOOKUP(D167,'INVONTERY FEB'!$B$6:$D$131,3,FALSE),"")</f>
        <v/>
      </c>
      <c r="G167" s="805"/>
      <c r="H167" s="805"/>
      <c r="I167" s="554">
        <f t="shared" si="3"/>
        <v>0</v>
      </c>
      <c r="J167" s="554">
        <f t="shared" si="2"/>
        <v>0</v>
      </c>
      <c r="K167" s="554"/>
      <c r="L167" s="805"/>
    </row>
    <row r="168" ht="15.75" customHeight="1">
      <c r="A168" s="805"/>
      <c r="B168" s="1088"/>
      <c r="C168" s="805"/>
      <c r="D168" s="554" t="str">
        <f>IFERROR(VLOOKUP(C168,'INVONTERY FEB'!$A$6:$B$131,2,FALSE),"")</f>
        <v/>
      </c>
      <c r="E168" s="554" t="str">
        <f>IFERROR(VLOOKUP(D168,'INVONTERY FEB'!$B$6:$C$131,2,FALSE),"")</f>
        <v/>
      </c>
      <c r="F168" s="554" t="str">
        <f>IFERROR(VLOOKUP(D168,'INVONTERY FEB'!$B$6:$D$131,3,FALSE),"")</f>
        <v/>
      </c>
      <c r="G168" s="805"/>
      <c r="H168" s="805"/>
      <c r="I168" s="554">
        <f t="shared" si="3"/>
        <v>0</v>
      </c>
      <c r="J168" s="554">
        <f t="shared" si="2"/>
        <v>0</v>
      </c>
      <c r="K168" s="554"/>
      <c r="L168" s="805"/>
    </row>
    <row r="169" ht="15.75" customHeight="1">
      <c r="A169" s="805"/>
      <c r="B169" s="1088"/>
      <c r="C169" s="805"/>
      <c r="D169" s="554" t="str">
        <f>IFERROR(VLOOKUP(C169,'INVONTERY FEB'!$A$6:$B$131,2,FALSE),"")</f>
        <v/>
      </c>
      <c r="E169" s="554" t="str">
        <f>IFERROR(VLOOKUP(D169,'INVONTERY FEB'!$B$6:$C$131,2,FALSE),"")</f>
        <v/>
      </c>
      <c r="F169" s="554" t="str">
        <f>IFERROR(VLOOKUP(D169,'INVONTERY FEB'!$B$6:$D$131,3,FALSE),"")</f>
        <v/>
      </c>
      <c r="G169" s="805"/>
      <c r="H169" s="805"/>
      <c r="I169" s="554">
        <f t="shared" si="3"/>
        <v>0</v>
      </c>
      <c r="J169" s="554">
        <f t="shared" si="2"/>
        <v>0</v>
      </c>
      <c r="K169" s="554"/>
      <c r="L169" s="805"/>
    </row>
    <row r="170" ht="15.75" customHeight="1">
      <c r="A170" s="805"/>
      <c r="B170" s="1088"/>
      <c r="C170" s="805"/>
      <c r="D170" s="554" t="str">
        <f>IFERROR(VLOOKUP(C170,'INVONTERY FEB'!$A$6:$B$131,2,FALSE),"")</f>
        <v/>
      </c>
      <c r="E170" s="554" t="str">
        <f>IFERROR(VLOOKUP(D170,'INVONTERY FEB'!$B$6:$C$131,2,FALSE),"")</f>
        <v/>
      </c>
      <c r="F170" s="554" t="str">
        <f>IFERROR(VLOOKUP(D170,'INVONTERY FEB'!$B$6:$D$131,3,FALSE),"")</f>
        <v/>
      </c>
      <c r="G170" s="805"/>
      <c r="H170" s="805"/>
      <c r="I170" s="554">
        <f t="shared" si="3"/>
        <v>0</v>
      </c>
      <c r="J170" s="554">
        <f t="shared" si="2"/>
        <v>0</v>
      </c>
      <c r="K170" s="554"/>
      <c r="L170" s="805"/>
    </row>
    <row r="171" ht="15.75" customHeight="1">
      <c r="A171" s="805"/>
      <c r="B171" s="1088"/>
      <c r="C171" s="805"/>
      <c r="D171" s="554" t="str">
        <f>IFERROR(VLOOKUP(C171,'INVONTERY FEB'!$A$6:$B$131,2,FALSE),"")</f>
        <v/>
      </c>
      <c r="E171" s="554" t="str">
        <f>IFERROR(VLOOKUP(D171,'INVONTERY FEB'!$B$6:$C$131,2,FALSE),"")</f>
        <v/>
      </c>
      <c r="F171" s="554" t="str">
        <f>IFERROR(VLOOKUP(D171,'INVONTERY FEB'!$B$6:$D$131,3,FALSE),"")</f>
        <v/>
      </c>
      <c r="G171" s="805"/>
      <c r="H171" s="805"/>
      <c r="I171" s="554">
        <f t="shared" si="3"/>
        <v>0</v>
      </c>
      <c r="J171" s="554">
        <f t="shared" si="2"/>
        <v>0</v>
      </c>
      <c r="K171" s="554"/>
      <c r="L171" s="805"/>
    </row>
    <row r="172" ht="15.75" customHeight="1">
      <c r="A172" s="805"/>
      <c r="B172" s="1088"/>
      <c r="C172" s="805"/>
      <c r="D172" s="554" t="str">
        <f>IFERROR(VLOOKUP(C172,'INVONTERY FEB'!$A$6:$B$131,2,FALSE),"")</f>
        <v/>
      </c>
      <c r="E172" s="554" t="str">
        <f>IFERROR(VLOOKUP(D172,'INVONTERY FEB'!$B$6:$C$131,2,FALSE),"")</f>
        <v/>
      </c>
      <c r="F172" s="554" t="str">
        <f>IFERROR(VLOOKUP(D172,'INVONTERY FEB'!$B$6:$D$131,3,FALSE),"")</f>
        <v/>
      </c>
      <c r="G172" s="805"/>
      <c r="H172" s="805"/>
      <c r="I172" s="554">
        <f t="shared" si="3"/>
        <v>0</v>
      </c>
      <c r="J172" s="554">
        <f t="shared" si="2"/>
        <v>0</v>
      </c>
      <c r="K172" s="554"/>
      <c r="L172" s="805"/>
    </row>
    <row r="173" ht="15.75" customHeight="1">
      <c r="A173" s="805"/>
      <c r="B173" s="1088"/>
      <c r="C173" s="805"/>
      <c r="D173" s="554" t="str">
        <f>IFERROR(VLOOKUP(C173,'INVONTERY FEB'!$A$6:$B$131,2,FALSE),"")</f>
        <v/>
      </c>
      <c r="E173" s="554" t="str">
        <f>IFERROR(VLOOKUP(D173,'INVONTERY FEB'!$B$6:$C$131,2,FALSE),"")</f>
        <v/>
      </c>
      <c r="F173" s="554" t="str">
        <f>IFERROR(VLOOKUP(D173,'INVONTERY FEB'!$B$6:$D$131,3,FALSE),"")</f>
        <v/>
      </c>
      <c r="G173" s="805"/>
      <c r="H173" s="805"/>
      <c r="I173" s="554">
        <f t="shared" si="3"/>
        <v>0</v>
      </c>
      <c r="J173" s="554">
        <f t="shared" si="2"/>
        <v>0</v>
      </c>
      <c r="K173" s="554"/>
      <c r="L173" s="805"/>
    </row>
    <row r="174" ht="15.75" customHeight="1">
      <c r="A174" s="805"/>
      <c r="B174" s="1088"/>
      <c r="C174" s="805"/>
      <c r="D174" s="554" t="str">
        <f>IFERROR(VLOOKUP(C174,'INVONTERY FEB'!$A$6:$B$131,2,FALSE),"")</f>
        <v/>
      </c>
      <c r="E174" s="554" t="str">
        <f>IFERROR(VLOOKUP(D174,'INVONTERY FEB'!$B$6:$C$131,2,FALSE),"")</f>
        <v/>
      </c>
      <c r="F174" s="554" t="str">
        <f>IFERROR(VLOOKUP(D174,'INVONTERY FEB'!$B$6:$D$131,3,FALSE),"")</f>
        <v/>
      </c>
      <c r="G174" s="805"/>
      <c r="H174" s="805"/>
      <c r="I174" s="554">
        <f t="shared" si="3"/>
        <v>0</v>
      </c>
      <c r="J174" s="554">
        <f t="shared" si="2"/>
        <v>0</v>
      </c>
      <c r="K174" s="554"/>
      <c r="L174" s="805"/>
    </row>
    <row r="175" ht="15.75" customHeight="1">
      <c r="A175" s="805"/>
      <c r="B175" s="1088"/>
      <c r="C175" s="805"/>
      <c r="D175" s="554" t="str">
        <f>IFERROR(VLOOKUP(C175,'INVONTERY FEB'!$A$6:$B$131,2,FALSE),"")</f>
        <v/>
      </c>
      <c r="E175" s="554" t="str">
        <f>IFERROR(VLOOKUP(D175,'INVONTERY FEB'!$B$6:$C$131,2,FALSE),"")</f>
        <v/>
      </c>
      <c r="F175" s="554" t="str">
        <f>IFERROR(VLOOKUP(D175,'INVONTERY FEB'!$B$6:$D$131,3,FALSE),"")</f>
        <v/>
      </c>
      <c r="G175" s="805"/>
      <c r="H175" s="805"/>
      <c r="I175" s="554">
        <f t="shared" si="3"/>
        <v>0</v>
      </c>
      <c r="J175" s="554">
        <f t="shared" si="2"/>
        <v>0</v>
      </c>
      <c r="K175" s="554"/>
      <c r="L175" s="805"/>
    </row>
    <row r="176" ht="15.75" customHeight="1">
      <c r="A176" s="805"/>
      <c r="B176" s="1088"/>
      <c r="C176" s="805"/>
      <c r="D176" s="554" t="str">
        <f>IFERROR(VLOOKUP(C176,'INVONTERY FEB'!$A$6:$B$131,2,FALSE),"")</f>
        <v/>
      </c>
      <c r="E176" s="554" t="str">
        <f>IFERROR(VLOOKUP(D176,'INVONTERY FEB'!$B$6:$C$131,2,FALSE),"")</f>
        <v/>
      </c>
      <c r="F176" s="554" t="str">
        <f>IFERROR(VLOOKUP(D176,'INVONTERY FEB'!$B$6:$D$131,3,FALSE),"")</f>
        <v/>
      </c>
      <c r="G176" s="805"/>
      <c r="H176" s="805"/>
      <c r="I176" s="554">
        <f t="shared" si="3"/>
        <v>0</v>
      </c>
      <c r="J176" s="554">
        <f t="shared" si="2"/>
        <v>0</v>
      </c>
      <c r="K176" s="554"/>
      <c r="L176" s="805"/>
    </row>
    <row r="177" ht="15.75" customHeight="1">
      <c r="A177" s="805"/>
      <c r="B177" s="1088"/>
      <c r="C177" s="805"/>
      <c r="D177" s="554" t="str">
        <f>IFERROR(VLOOKUP(C177,'INVONTERY FEB'!$A$6:$B$131,2,FALSE),"")</f>
        <v/>
      </c>
      <c r="E177" s="554" t="str">
        <f>IFERROR(VLOOKUP(D177,'INVONTERY FEB'!$B$6:$C$131,2,FALSE),"")</f>
        <v/>
      </c>
      <c r="F177" s="554" t="str">
        <f>IFERROR(VLOOKUP(D177,'INVONTERY FEB'!$B$6:$D$131,3,FALSE),"")</f>
        <v/>
      </c>
      <c r="G177" s="805"/>
      <c r="H177" s="805"/>
      <c r="I177" s="554">
        <f t="shared" si="3"/>
        <v>0</v>
      </c>
      <c r="J177" s="554">
        <f t="shared" si="2"/>
        <v>0</v>
      </c>
      <c r="K177" s="554"/>
      <c r="L177" s="805"/>
    </row>
    <row r="178" ht="15.75" customHeight="1">
      <c r="A178" s="805"/>
      <c r="B178" s="1088"/>
      <c r="C178" s="805"/>
      <c r="D178" s="554" t="str">
        <f>IFERROR(VLOOKUP(C178,'INVONTERY FEB'!$A$6:$B$131,2,FALSE),"")</f>
        <v/>
      </c>
      <c r="E178" s="554" t="str">
        <f>IFERROR(VLOOKUP(D178,'INVONTERY FEB'!$B$6:$C$131,2,FALSE),"")</f>
        <v/>
      </c>
      <c r="F178" s="554" t="str">
        <f>IFERROR(VLOOKUP(D178,'INVONTERY FEB'!$B$6:$D$131,3,FALSE),"")</f>
        <v/>
      </c>
      <c r="G178" s="805"/>
      <c r="H178" s="805"/>
      <c r="I178" s="554">
        <f t="shared" si="3"/>
        <v>0</v>
      </c>
      <c r="J178" s="554">
        <f t="shared" si="2"/>
        <v>0</v>
      </c>
      <c r="K178" s="554"/>
      <c r="L178" s="805"/>
    </row>
    <row r="179" ht="15.75" customHeight="1">
      <c r="A179" s="805"/>
      <c r="B179" s="1088"/>
      <c r="C179" s="805"/>
      <c r="D179" s="554" t="str">
        <f>IFERROR(VLOOKUP(C179,'INVONTERY FEB'!$A$6:$B$131,2,FALSE),"")</f>
        <v/>
      </c>
      <c r="E179" s="554" t="str">
        <f>IFERROR(VLOOKUP(D179,'INVONTERY FEB'!$B$6:$C$131,2,FALSE),"")</f>
        <v/>
      </c>
      <c r="F179" s="554" t="str">
        <f>IFERROR(VLOOKUP(D179,'INVONTERY FEB'!$B$6:$D$131,3,FALSE),"")</f>
        <v/>
      </c>
      <c r="G179" s="805"/>
      <c r="H179" s="805"/>
      <c r="I179" s="554">
        <f t="shared" si="3"/>
        <v>0</v>
      </c>
      <c r="J179" s="554">
        <f t="shared" si="2"/>
        <v>0</v>
      </c>
      <c r="K179" s="554"/>
      <c r="L179" s="805"/>
    </row>
    <row r="180" ht="15.75" customHeight="1">
      <c r="A180" s="805"/>
      <c r="B180" s="1088"/>
      <c r="C180" s="805"/>
      <c r="D180" s="554" t="str">
        <f>IFERROR(VLOOKUP(C180,'INVONTERY FEB'!$A$6:$B$131,2,FALSE),"")</f>
        <v/>
      </c>
      <c r="E180" s="554" t="str">
        <f>IFERROR(VLOOKUP(D180,'INVONTERY FEB'!$B$6:$C$131,2,FALSE),"")</f>
        <v/>
      </c>
      <c r="F180" s="554" t="str">
        <f>IFERROR(VLOOKUP(D180,'INVONTERY FEB'!$B$6:$D$131,3,FALSE),"")</f>
        <v/>
      </c>
      <c r="G180" s="805"/>
      <c r="H180" s="805"/>
      <c r="I180" s="554">
        <f t="shared" si="3"/>
        <v>0</v>
      </c>
      <c r="J180" s="554">
        <f t="shared" si="2"/>
        <v>0</v>
      </c>
      <c r="K180" s="259"/>
      <c r="L180" s="102"/>
    </row>
    <row r="181" ht="15.75" customHeight="1">
      <c r="A181" s="805"/>
      <c r="B181" s="1088"/>
      <c r="C181" s="805"/>
      <c r="D181" s="554" t="str">
        <f>IFERROR(VLOOKUP(C181,'INVONTERY FEB'!$A$6:$B$131,2,FALSE),"")</f>
        <v/>
      </c>
      <c r="E181" s="554" t="str">
        <f>IFERROR(VLOOKUP(D181,'INVONTERY FEB'!$B$6:$C$131,2,FALSE),"")</f>
        <v/>
      </c>
      <c r="F181" s="554" t="str">
        <f>IFERROR(VLOOKUP(D181,'INVONTERY FEB'!$B$6:$D$131,3,FALSE),"")</f>
        <v/>
      </c>
      <c r="G181" s="805"/>
      <c r="H181" s="805"/>
      <c r="I181" s="554">
        <f t="shared" si="3"/>
        <v>0</v>
      </c>
      <c r="J181" s="554">
        <f t="shared" si="2"/>
        <v>0</v>
      </c>
      <c r="K181" s="259"/>
      <c r="L181" s="102"/>
    </row>
    <row r="182" ht="15.75" customHeight="1">
      <c r="A182" s="805"/>
      <c r="B182" s="1088"/>
      <c r="C182" s="805"/>
      <c r="D182" s="554" t="str">
        <f>IFERROR(VLOOKUP(C182,'INVONTERY FEB'!$A$6:$B$131,2,FALSE),"")</f>
        <v/>
      </c>
      <c r="E182" s="554" t="str">
        <f>IFERROR(VLOOKUP(D182,'INVONTERY FEB'!$B$6:$C$131,2,FALSE),"")</f>
        <v/>
      </c>
      <c r="F182" s="554" t="str">
        <f>IFERROR(VLOOKUP(D182,'INVONTERY FEB'!$B$6:$D$131,3,FALSE),"")</f>
        <v/>
      </c>
      <c r="G182" s="805"/>
      <c r="H182" s="805"/>
      <c r="I182" s="554">
        <f t="shared" si="3"/>
        <v>0</v>
      </c>
      <c r="J182" s="554">
        <f t="shared" si="2"/>
        <v>0</v>
      </c>
      <c r="K182" s="259"/>
      <c r="L182" s="102"/>
    </row>
    <row r="183" ht="15.75" customHeight="1">
      <c r="A183" s="805"/>
      <c r="B183" s="1088"/>
      <c r="C183" s="805"/>
      <c r="D183" s="554" t="str">
        <f>IFERROR(VLOOKUP(C183,'INVONTERY FEB'!$A$6:$B$131,2,FALSE),"")</f>
        <v/>
      </c>
      <c r="E183" s="554" t="str">
        <f>IFERROR(VLOOKUP(D183,'INVONTERY FEB'!$B$6:$C$131,2,FALSE),"")</f>
        <v/>
      </c>
      <c r="F183" s="554" t="str">
        <f>IFERROR(VLOOKUP(D183,'INVONTERY FEB'!$B$6:$D$131,3,FALSE),"")</f>
        <v/>
      </c>
      <c r="G183" s="805"/>
      <c r="H183" s="805"/>
      <c r="I183" s="554">
        <f t="shared" si="3"/>
        <v>0</v>
      </c>
      <c r="J183" s="554">
        <f t="shared" si="2"/>
        <v>0</v>
      </c>
      <c r="K183" s="259"/>
      <c r="L183" s="102"/>
    </row>
    <row r="184" ht="15.75" customHeight="1">
      <c r="A184" s="805"/>
      <c r="B184" s="1088"/>
      <c r="C184" s="805"/>
      <c r="D184" s="554" t="str">
        <f>IFERROR(VLOOKUP(C184,'INVONTERY FEB'!$A$6:$B$131,2,FALSE),"")</f>
        <v/>
      </c>
      <c r="E184" s="554" t="str">
        <f>IFERROR(VLOOKUP(D184,'INVONTERY FEB'!$B$6:$C$131,2,FALSE),"")</f>
        <v/>
      </c>
      <c r="F184" s="554" t="str">
        <f>IFERROR(VLOOKUP(D184,'INVONTERY FEB'!$B$6:$D$131,3,FALSE),"")</f>
        <v/>
      </c>
      <c r="G184" s="805"/>
      <c r="H184" s="805"/>
      <c r="I184" s="554">
        <f t="shared" si="3"/>
        <v>0</v>
      </c>
      <c r="J184" s="554">
        <f t="shared" si="2"/>
        <v>0</v>
      </c>
      <c r="K184" s="259"/>
      <c r="L184" s="102"/>
    </row>
    <row r="185" ht="15.75" customHeight="1">
      <c r="A185" s="805"/>
      <c r="B185" s="1095"/>
      <c r="C185" s="805"/>
      <c r="D185" s="554" t="str">
        <f>IFERROR(VLOOKUP(C185,'INVONTERY FEB'!$A$6:$B$131,2,FALSE),"")</f>
        <v/>
      </c>
      <c r="E185" s="554" t="str">
        <f>IFERROR(VLOOKUP(D185,'INVONTERY FEB'!$B$6:$C$131,2,FALSE),"")</f>
        <v/>
      </c>
      <c r="F185" s="554" t="str">
        <f>IFERROR(VLOOKUP(D185,'INVONTERY FEB'!$B$6:$D$131,3,FALSE),"")</f>
        <v/>
      </c>
      <c r="G185" s="805"/>
      <c r="H185" s="805"/>
      <c r="I185" s="554">
        <f t="shared" si="3"/>
        <v>0</v>
      </c>
      <c r="J185" s="554">
        <f t="shared" si="2"/>
        <v>0</v>
      </c>
      <c r="K185" s="259"/>
      <c r="L185" s="259"/>
    </row>
    <row r="186" ht="15.75" customHeight="1">
      <c r="A186" s="805"/>
      <c r="B186" s="1095"/>
      <c r="C186" s="805"/>
      <c r="D186" s="554" t="str">
        <f>IFERROR(VLOOKUP(C186,'INVONTERY FEB'!$A$6:$B$131,2,FALSE),"")</f>
        <v/>
      </c>
      <c r="E186" s="554" t="str">
        <f>IFERROR(VLOOKUP(D186,'INVONTERY FEB'!$B$6:$C$131,2,FALSE),"")</f>
        <v/>
      </c>
      <c r="F186" s="554" t="str">
        <f>IFERROR(VLOOKUP(D186,'INVONTERY FEB'!$B$6:$D$131,3,FALSE),"")</f>
        <v/>
      </c>
      <c r="G186" s="805"/>
      <c r="H186" s="805"/>
      <c r="I186" s="554">
        <f t="shared" si="3"/>
        <v>0</v>
      </c>
      <c r="J186" s="554">
        <f t="shared" si="2"/>
        <v>0</v>
      </c>
      <c r="K186" s="259"/>
      <c r="L186" s="259"/>
    </row>
    <row r="187" ht="15.75" customHeight="1">
      <c r="A187" s="805"/>
      <c r="B187" s="1095"/>
      <c r="C187" s="805"/>
      <c r="D187" s="554" t="str">
        <f>IFERROR(VLOOKUP(C187,'INVONTERY FEB'!$A$6:$B$131,2,FALSE),"")</f>
        <v/>
      </c>
      <c r="E187" s="554" t="str">
        <f>IFERROR(VLOOKUP(D187,'INVONTERY FEB'!$B$6:$C$131,2,FALSE),"")</f>
        <v/>
      </c>
      <c r="F187" s="554" t="str">
        <f>IFERROR(VLOOKUP(D187,'INVONTERY FEB'!$B$6:$D$131,3,FALSE),"")</f>
        <v/>
      </c>
      <c r="G187" s="554"/>
      <c r="H187" s="805"/>
      <c r="I187" s="554">
        <f t="shared" si="3"/>
        <v>0</v>
      </c>
      <c r="J187" s="554">
        <f t="shared" si="2"/>
        <v>0</v>
      </c>
      <c r="K187" s="259"/>
      <c r="L187" s="102"/>
    </row>
    <row r="188" ht="15.75" customHeight="1">
      <c r="A188" s="805"/>
      <c r="B188" s="1095"/>
      <c r="C188" s="805"/>
      <c r="D188" s="554" t="str">
        <f>IFERROR(VLOOKUP(C188,'INVONTERY FEB'!$A$6:$B$131,2,FALSE),"")</f>
        <v/>
      </c>
      <c r="E188" s="554" t="str">
        <f>IFERROR(VLOOKUP(D188,'INVONTERY FEB'!$B$6:$C$131,2,FALSE),"")</f>
        <v/>
      </c>
      <c r="F188" s="554" t="str">
        <f>IFERROR(VLOOKUP(D188,'INVONTERY FEB'!$B$6:$D$131,3,FALSE),"")</f>
        <v/>
      </c>
      <c r="G188" s="805"/>
      <c r="H188" s="805"/>
      <c r="I188" s="554">
        <f t="shared" si="3"/>
        <v>0</v>
      </c>
      <c r="J188" s="554">
        <f t="shared" si="2"/>
        <v>0</v>
      </c>
      <c r="K188" s="259"/>
      <c r="L188" s="102"/>
    </row>
    <row r="189" ht="15.75" customHeight="1">
      <c r="A189" s="805"/>
      <c r="B189" s="1095"/>
      <c r="C189" s="805"/>
      <c r="D189" s="554" t="str">
        <f>IFERROR(VLOOKUP(C189,'INVONTERY FEB'!$A$6:$B$131,2,FALSE),"")</f>
        <v/>
      </c>
      <c r="E189" s="554" t="str">
        <f>IFERROR(VLOOKUP(D189,'INVONTERY FEB'!$B$6:$C$131,2,FALSE),"")</f>
        <v/>
      </c>
      <c r="F189" s="554" t="str">
        <f>IFERROR(VLOOKUP(D189,'INVONTERY FEB'!$B$6:$D$131,3,FALSE),"")</f>
        <v/>
      </c>
      <c r="G189" s="805"/>
      <c r="H189" s="805"/>
      <c r="I189" s="554">
        <f t="shared" si="3"/>
        <v>0</v>
      </c>
      <c r="J189" s="554">
        <f t="shared" si="2"/>
        <v>0</v>
      </c>
      <c r="K189" s="259"/>
      <c r="L189" s="259"/>
    </row>
    <row r="190" ht="15.75" customHeight="1">
      <c r="A190" s="805"/>
      <c r="B190" s="1095"/>
      <c r="C190" s="805"/>
      <c r="D190" s="554" t="str">
        <f>IFERROR(VLOOKUP(C190,'INVONTERY FEB'!$A$6:$B$131,2,FALSE),"")</f>
        <v/>
      </c>
      <c r="E190" s="554" t="str">
        <f>IFERROR(VLOOKUP(D190,'INVONTERY FEB'!$B$6:$C$131,2,FALSE),"")</f>
        <v/>
      </c>
      <c r="F190" s="554" t="str">
        <f>IFERROR(VLOOKUP(D190,'INVONTERY FEB'!$B$6:$D$131,3,FALSE),"")</f>
        <v/>
      </c>
      <c r="G190" s="805"/>
      <c r="H190" s="805"/>
      <c r="I190" s="554">
        <f t="shared" si="3"/>
        <v>0</v>
      </c>
      <c r="J190" s="554">
        <f t="shared" si="2"/>
        <v>0</v>
      </c>
      <c r="K190" s="259"/>
      <c r="L190" s="259"/>
    </row>
    <row r="191" ht="15.75" customHeight="1">
      <c r="A191" s="805"/>
      <c r="B191" s="1095"/>
      <c r="C191" s="805"/>
      <c r="D191" s="554" t="str">
        <f>IFERROR(VLOOKUP(C191,'INVONTERY FEB'!$A$6:$B$131,2,FALSE),"")</f>
        <v/>
      </c>
      <c r="E191" s="554" t="str">
        <f>IFERROR(VLOOKUP(D191,'INVONTERY FEB'!$B$6:$C$131,2,FALSE),"")</f>
        <v/>
      </c>
      <c r="F191" s="554" t="str">
        <f>IFERROR(VLOOKUP(D191,'INVONTERY FEB'!$B$6:$D$131,3,FALSE),"")</f>
        <v/>
      </c>
      <c r="G191" s="805"/>
      <c r="H191" s="805"/>
      <c r="I191" s="554">
        <f t="shared" si="3"/>
        <v>0</v>
      </c>
      <c r="J191" s="554">
        <f t="shared" si="2"/>
        <v>0</v>
      </c>
      <c r="K191" s="259"/>
      <c r="L191" s="102"/>
    </row>
    <row r="192" ht="15.75" customHeight="1">
      <c r="A192" s="805"/>
      <c r="B192" s="1095"/>
      <c r="C192" s="805"/>
      <c r="D192" s="554" t="str">
        <f>IFERROR(VLOOKUP(C192,'INVONTERY FEB'!$A$6:$B$131,2,FALSE),"")</f>
        <v/>
      </c>
      <c r="E192" s="554" t="str">
        <f>IFERROR(VLOOKUP(D192,'INVONTERY FEB'!$B$6:$C$131,2,FALSE),"")</f>
        <v/>
      </c>
      <c r="F192" s="554" t="str">
        <f>IFERROR(VLOOKUP(D192,'INVONTERY FEB'!$B$6:$D$131,3,FALSE),"")</f>
        <v/>
      </c>
      <c r="G192" s="805"/>
      <c r="H192" s="805"/>
      <c r="I192" s="554">
        <f t="shared" si="3"/>
        <v>0</v>
      </c>
      <c r="J192" s="554">
        <f t="shared" si="2"/>
        <v>0</v>
      </c>
      <c r="K192" s="259"/>
      <c r="L192" s="102"/>
    </row>
    <row r="193" ht="15.75" customHeight="1">
      <c r="A193" s="805"/>
      <c r="B193" s="1095"/>
      <c r="C193" s="805"/>
      <c r="D193" s="554" t="str">
        <f>IFERROR(VLOOKUP(C193,'INVONTERY FEB'!$A$6:$B$131,2,FALSE),"")</f>
        <v/>
      </c>
      <c r="E193" s="554" t="str">
        <f>IFERROR(VLOOKUP(D193,'INVONTERY FEB'!$B$6:$C$131,2,FALSE),"")</f>
        <v/>
      </c>
      <c r="F193" s="554" t="str">
        <f>IFERROR(VLOOKUP(D193,'INVONTERY FEB'!$B$6:$D$131,3,FALSE),"")</f>
        <v/>
      </c>
      <c r="G193" s="805"/>
      <c r="H193" s="805"/>
      <c r="I193" s="556">
        <f t="shared" si="3"/>
        <v>0</v>
      </c>
      <c r="J193" s="554">
        <f t="shared" si="2"/>
        <v>0</v>
      </c>
      <c r="K193" s="259"/>
      <c r="L193" s="102"/>
    </row>
    <row r="194" ht="15.75" customHeight="1">
      <c r="A194" s="805"/>
      <c r="B194" s="1095"/>
      <c r="C194" s="805"/>
      <c r="D194" s="554" t="str">
        <f>IFERROR(VLOOKUP(C194,'INVONTERY FEB'!$A$6:$B$131,2,FALSE),"")</f>
        <v/>
      </c>
      <c r="E194" s="554" t="str">
        <f>IFERROR(VLOOKUP(D194,'INVONTERY FEB'!$B$6:$C$131,2,FALSE),"")</f>
        <v/>
      </c>
      <c r="F194" s="554" t="str">
        <f>IFERROR(VLOOKUP(D194,'INVONTERY FEB'!$B$6:$D$131,3,FALSE),"")</f>
        <v/>
      </c>
      <c r="G194" s="805"/>
      <c r="H194" s="805"/>
      <c r="I194" s="554">
        <f t="shared" si="3"/>
        <v>0</v>
      </c>
      <c r="J194" s="554">
        <f t="shared" si="2"/>
        <v>0</v>
      </c>
      <c r="K194" s="259"/>
      <c r="L194" s="102"/>
    </row>
    <row r="195" ht="15.75" customHeight="1">
      <c r="A195" s="805"/>
      <c r="B195" s="1095"/>
      <c r="C195" s="805"/>
      <c r="D195" s="554" t="str">
        <f>IFERROR(VLOOKUP(C195,'INVONTERY FEB'!$A$6:$B$131,2,FALSE),"")</f>
        <v/>
      </c>
      <c r="E195" s="554" t="str">
        <f>IFERROR(VLOOKUP(D195,'INVONTERY FEB'!$B$6:$C$131,2,FALSE),"")</f>
        <v/>
      </c>
      <c r="F195" s="554" t="str">
        <f>IFERROR(VLOOKUP(D195,'INVONTERY FEB'!$B$6:$D$131,3,FALSE),"")</f>
        <v/>
      </c>
      <c r="G195" s="805"/>
      <c r="H195" s="805"/>
      <c r="I195" s="554">
        <f t="shared" si="3"/>
        <v>0</v>
      </c>
      <c r="J195" s="554">
        <f t="shared" si="2"/>
        <v>0</v>
      </c>
      <c r="K195" s="259"/>
      <c r="L195" s="102"/>
    </row>
    <row r="196" ht="15.75" customHeight="1">
      <c r="A196" s="805"/>
      <c r="B196" s="1095"/>
      <c r="C196" s="805"/>
      <c r="D196" s="554" t="str">
        <f>IFERROR(VLOOKUP(C196,'INVONTERY FEB'!$A$6:$B$131,2,FALSE),"")</f>
        <v/>
      </c>
      <c r="E196" s="554" t="str">
        <f>IFERROR(VLOOKUP(D196,'INVONTERY FEB'!$B$6:$C$131,2,FALSE),"")</f>
        <v/>
      </c>
      <c r="F196" s="554" t="str">
        <f>IFERROR(VLOOKUP(D196,'INVONTERY FEB'!$B$6:$D$131,3,FALSE),"")</f>
        <v/>
      </c>
      <c r="G196" s="805"/>
      <c r="H196" s="805"/>
      <c r="I196" s="554">
        <f t="shared" si="3"/>
        <v>0</v>
      </c>
      <c r="J196" s="554">
        <f t="shared" si="2"/>
        <v>0</v>
      </c>
      <c r="K196" s="259"/>
      <c r="L196" s="102"/>
    </row>
    <row r="197" ht="15.75" customHeight="1">
      <c r="A197" s="805"/>
      <c r="B197" s="1095"/>
      <c r="C197" s="805"/>
      <c r="D197" s="554" t="str">
        <f>IFERROR(VLOOKUP(C197,'INVONTERY FEB'!$A$6:$B$131,2,FALSE),"")</f>
        <v/>
      </c>
      <c r="E197" s="554" t="str">
        <f>IFERROR(VLOOKUP(D197,'INVONTERY FEB'!$B$6:$C$131,2,FALSE),"")</f>
        <v/>
      </c>
      <c r="F197" s="554" t="str">
        <f>IFERROR(VLOOKUP(D197,'INVONTERY FEB'!$B$6:$D$131,3,FALSE),"")</f>
        <v/>
      </c>
      <c r="G197" s="805"/>
      <c r="H197" s="805"/>
      <c r="I197" s="554">
        <f t="shared" si="3"/>
        <v>0</v>
      </c>
      <c r="J197" s="554">
        <f t="shared" si="2"/>
        <v>0</v>
      </c>
      <c r="K197" s="259"/>
      <c r="L197" s="102"/>
    </row>
    <row r="198" ht="15.75" customHeight="1">
      <c r="A198" s="805"/>
      <c r="B198" s="1095"/>
      <c r="C198" s="805"/>
      <c r="D198" s="554" t="str">
        <f>IFERROR(VLOOKUP(C198,'INVONTERY FEB'!$A$6:$B$131,2,FALSE),"")</f>
        <v/>
      </c>
      <c r="E198" s="554" t="str">
        <f>IFERROR(VLOOKUP(D198,'INVONTERY FEB'!$B$6:$C$131,2,FALSE),"")</f>
        <v/>
      </c>
      <c r="F198" s="554" t="str">
        <f>IFERROR(VLOOKUP(D198,'INVONTERY FEB'!$B$6:$D$131,3,FALSE),"")</f>
        <v/>
      </c>
      <c r="G198" s="805"/>
      <c r="H198" s="805"/>
      <c r="I198" s="554">
        <f t="shared" si="3"/>
        <v>0</v>
      </c>
      <c r="J198" s="554">
        <f t="shared" si="2"/>
        <v>0</v>
      </c>
      <c r="K198" s="259"/>
      <c r="L198" s="102"/>
    </row>
    <row r="199" ht="15.75" customHeight="1">
      <c r="A199" s="805"/>
      <c r="B199" s="1095"/>
      <c r="C199" s="805"/>
      <c r="D199" s="554" t="str">
        <f>IFERROR(VLOOKUP(C199,'INVONTERY FEB'!$A$6:$B$131,2,FALSE),"")</f>
        <v/>
      </c>
      <c r="E199" s="554" t="str">
        <f>IFERROR(VLOOKUP(D199,'INVONTERY FEB'!$B$6:$C$131,2,FALSE),"")</f>
        <v/>
      </c>
      <c r="F199" s="554" t="str">
        <f>IFERROR(VLOOKUP(D199,'INVONTERY FEB'!$B$6:$D$131,3,FALSE),"")</f>
        <v/>
      </c>
      <c r="G199" s="805"/>
      <c r="H199" s="805"/>
      <c r="I199" s="554">
        <f t="shared" si="3"/>
        <v>0</v>
      </c>
      <c r="J199" s="554">
        <f t="shared" si="2"/>
        <v>0</v>
      </c>
      <c r="K199" s="259"/>
      <c r="L199" s="102"/>
    </row>
    <row r="200" ht="15.75" customHeight="1">
      <c r="A200" s="805"/>
      <c r="B200" s="1095"/>
      <c r="C200" s="805"/>
      <c r="D200" s="554" t="str">
        <f>IFERROR(VLOOKUP(C200,'INVONTERY FEB'!$A$6:$B$131,2,FALSE),"")</f>
        <v/>
      </c>
      <c r="E200" s="554" t="str">
        <f>IFERROR(VLOOKUP(D200,'INVONTERY FEB'!$B$6:$C$131,2,FALSE),"")</f>
        <v/>
      </c>
      <c r="F200" s="554" t="str">
        <f>IFERROR(VLOOKUP(D200,'INVONTERY FEB'!$B$6:$D$131,3,FALSE),"")</f>
        <v/>
      </c>
      <c r="G200" s="805"/>
      <c r="H200" s="805"/>
      <c r="I200" s="554">
        <f t="shared" si="3"/>
        <v>0</v>
      </c>
      <c r="J200" s="554">
        <f t="shared" si="2"/>
        <v>0</v>
      </c>
      <c r="K200" s="259"/>
      <c r="L200" s="102"/>
    </row>
    <row r="201" ht="15.75" customHeight="1">
      <c r="A201" s="805"/>
      <c r="B201" s="1088"/>
      <c r="C201" s="805"/>
      <c r="D201" s="554" t="str">
        <f>IFERROR(VLOOKUP(C201,'INVONTERY FEB'!$A$6:$B$131,2,FALSE),"")</f>
        <v/>
      </c>
      <c r="E201" s="554" t="str">
        <f>IFERROR(VLOOKUP(D201,'INVONTERY FEB'!$B$6:$C$131,2,FALSE),"")</f>
        <v/>
      </c>
      <c r="F201" s="554" t="str">
        <f>IFERROR(VLOOKUP(D201,'INVONTERY FEB'!$B$6:$D$131,3,FALSE),"")</f>
        <v/>
      </c>
      <c r="G201" s="805"/>
      <c r="H201" s="805"/>
      <c r="I201" s="554">
        <f t="shared" si="3"/>
        <v>0</v>
      </c>
      <c r="J201" s="554">
        <f t="shared" si="2"/>
        <v>0</v>
      </c>
      <c r="K201" s="259"/>
      <c r="L201" s="102"/>
    </row>
    <row r="202" ht="15.75" customHeight="1">
      <c r="A202" s="805"/>
      <c r="B202" s="1088"/>
      <c r="C202" s="805"/>
      <c r="D202" s="554" t="str">
        <f>IFERROR(VLOOKUP(C202,'INVONTERY FEB'!$A$6:$B$131,2,FALSE),"")</f>
        <v/>
      </c>
      <c r="E202" s="554" t="str">
        <f>IFERROR(VLOOKUP(D202,'INVONTERY FEB'!$B$6:$C$131,2,FALSE),"")</f>
        <v/>
      </c>
      <c r="F202" s="554" t="str">
        <f>IFERROR(VLOOKUP(D202,'INVONTERY FEB'!$B$6:$D$131,3,FALSE),"")</f>
        <v/>
      </c>
      <c r="G202" s="805"/>
      <c r="H202" s="805"/>
      <c r="I202" s="554">
        <f t="shared" si="3"/>
        <v>0</v>
      </c>
      <c r="J202" s="554">
        <f t="shared" si="2"/>
        <v>0</v>
      </c>
      <c r="K202" s="259"/>
      <c r="L202" s="102"/>
    </row>
    <row r="203" ht="15.75" customHeight="1">
      <c r="A203" s="805"/>
      <c r="B203" s="1088"/>
      <c r="C203" s="805"/>
      <c r="D203" s="554" t="str">
        <f>IFERROR(VLOOKUP(C203,'INVONTERY FEB'!$A$6:$B$131,2,FALSE),"")</f>
        <v/>
      </c>
      <c r="E203" s="554" t="str">
        <f>IFERROR(VLOOKUP(D203,'INVONTERY FEB'!$B$6:$C$131,2,FALSE),"")</f>
        <v/>
      </c>
      <c r="F203" s="554" t="str">
        <f>IFERROR(VLOOKUP(D203,'INVONTERY FEB'!$B$6:$D$131,3,FALSE),"")</f>
        <v/>
      </c>
      <c r="G203" s="805"/>
      <c r="H203" s="805"/>
      <c r="I203" s="554">
        <f t="shared" si="3"/>
        <v>0</v>
      </c>
      <c r="J203" s="554">
        <f t="shared" si="2"/>
        <v>0</v>
      </c>
      <c r="K203" s="259"/>
      <c r="L203" s="102"/>
    </row>
    <row r="204" ht="15.75" customHeight="1">
      <c r="A204" s="805"/>
      <c r="B204" s="1088"/>
      <c r="C204" s="805"/>
      <c r="D204" s="554" t="str">
        <f>IFERROR(VLOOKUP(C204,'INVONTERY FEB'!$A$6:$B$131,2,FALSE),"")</f>
        <v/>
      </c>
      <c r="E204" s="554" t="str">
        <f>IFERROR(VLOOKUP(D204,'INVONTERY FEB'!$B$6:$C$131,2,FALSE),"")</f>
        <v/>
      </c>
      <c r="F204" s="554" t="str">
        <f>IFERROR(VLOOKUP(D204,'INVONTERY FEB'!$B$6:$D$131,3,FALSE),"")</f>
        <v/>
      </c>
      <c r="G204" s="805"/>
      <c r="H204" s="805"/>
      <c r="I204" s="554">
        <f t="shared" si="3"/>
        <v>0</v>
      </c>
      <c r="J204" s="554">
        <f t="shared" si="2"/>
        <v>0</v>
      </c>
      <c r="K204" s="259"/>
      <c r="L204" s="102"/>
    </row>
    <row r="205" ht="15.75" customHeight="1">
      <c r="A205" s="805"/>
      <c r="B205" s="1088"/>
      <c r="C205" s="805"/>
      <c r="D205" s="554" t="str">
        <f>IFERROR(VLOOKUP(C205,'INVONTERY FEB'!$A$6:$B$131,2,FALSE),"")</f>
        <v/>
      </c>
      <c r="E205" s="554" t="str">
        <f>IFERROR(VLOOKUP(D205,'INVONTERY FEB'!$B$6:$C$131,2,FALSE),"")</f>
        <v/>
      </c>
      <c r="F205" s="554" t="str">
        <f>IFERROR(VLOOKUP(D205,'INVONTERY FEB'!$B$6:$D$131,3,FALSE),"")</f>
        <v/>
      </c>
      <c r="G205" s="805"/>
      <c r="H205" s="805"/>
      <c r="I205" s="554">
        <f t="shared" si="3"/>
        <v>0</v>
      </c>
      <c r="J205" s="554">
        <f t="shared" si="2"/>
        <v>0</v>
      </c>
      <c r="K205" s="259"/>
      <c r="L205" s="102"/>
    </row>
    <row r="206" ht="15.75" customHeight="1">
      <c r="A206" s="805"/>
      <c r="B206" s="1088"/>
      <c r="C206" s="805"/>
      <c r="D206" s="554" t="str">
        <f>IFERROR(VLOOKUP(C206,'INVONTERY FEB'!$A$6:$B$131,2,FALSE),"")</f>
        <v/>
      </c>
      <c r="E206" s="554" t="str">
        <f>IFERROR(VLOOKUP(D206,'INVONTERY FEB'!$B$6:$C$131,2,FALSE),"")</f>
        <v/>
      </c>
      <c r="F206" s="554" t="str">
        <f>IFERROR(VLOOKUP(D206,'INVONTERY FEB'!$B$6:$D$131,3,FALSE),"")</f>
        <v/>
      </c>
      <c r="G206" s="805"/>
      <c r="H206" s="805"/>
      <c r="I206" s="554">
        <f t="shared" si="3"/>
        <v>0</v>
      </c>
      <c r="J206" s="554">
        <f t="shared" si="2"/>
        <v>0</v>
      </c>
      <c r="K206" s="259"/>
      <c r="L206" s="102"/>
    </row>
    <row r="207" ht="15.75" customHeight="1">
      <c r="A207" s="805"/>
      <c r="B207" s="1088"/>
      <c r="C207" s="805"/>
      <c r="D207" s="554" t="str">
        <f>IFERROR(VLOOKUP(C207,'INVONTERY FEB'!$A$6:$B$131,2,FALSE),"")</f>
        <v/>
      </c>
      <c r="E207" s="554" t="str">
        <f>IFERROR(VLOOKUP(D207,'INVONTERY FEB'!$B$6:$C$131,2,FALSE),"")</f>
        <v/>
      </c>
      <c r="F207" s="554" t="str">
        <f>IFERROR(VLOOKUP(D207,'INVONTERY FEB'!$B$6:$D$131,3,FALSE),"")</f>
        <v/>
      </c>
      <c r="G207" s="805"/>
      <c r="H207" s="805"/>
      <c r="I207" s="554">
        <f t="shared" si="3"/>
        <v>0</v>
      </c>
      <c r="J207" s="554">
        <f t="shared" si="2"/>
        <v>0</v>
      </c>
      <c r="K207" s="259"/>
      <c r="L207" s="102"/>
    </row>
    <row r="208" ht="15.75" customHeight="1">
      <c r="A208" s="805"/>
      <c r="B208" s="1088"/>
      <c r="C208" s="805"/>
      <c r="D208" s="554" t="str">
        <f>IFERROR(VLOOKUP(C208,'INVONTERY FEB'!$A$6:$B$131,2,FALSE),"")</f>
        <v/>
      </c>
      <c r="E208" s="554" t="str">
        <f>IFERROR(VLOOKUP(D208,'INVONTERY FEB'!$B$6:$C$131,2,FALSE),"")</f>
        <v/>
      </c>
      <c r="F208" s="554" t="str">
        <f>IFERROR(VLOOKUP(D208,'INVONTERY FEB'!$B$6:$D$131,3,FALSE),"")</f>
        <v/>
      </c>
      <c r="G208" s="805"/>
      <c r="H208" s="805"/>
      <c r="I208" s="554">
        <f t="shared" si="3"/>
        <v>0</v>
      </c>
      <c r="J208" s="554">
        <f t="shared" si="2"/>
        <v>0</v>
      </c>
      <c r="K208" s="259"/>
      <c r="L208" s="102"/>
    </row>
    <row r="209" ht="15.75" customHeight="1">
      <c r="A209" s="805"/>
      <c r="B209" s="1088"/>
      <c r="C209" s="805"/>
      <c r="D209" s="554" t="str">
        <f>IFERROR(VLOOKUP(C209,'INVONTERY FEB'!$A$6:$B$131,2,FALSE),"")</f>
        <v/>
      </c>
      <c r="E209" s="554" t="str">
        <f>IFERROR(VLOOKUP(D209,'INVONTERY FEB'!$B$6:$C$131,2,FALSE),"")</f>
        <v/>
      </c>
      <c r="F209" s="554" t="str">
        <f>IFERROR(VLOOKUP(D209,'INVONTERY FEB'!$B$6:$D$131,3,FALSE),"")</f>
        <v/>
      </c>
      <c r="G209" s="805"/>
      <c r="H209" s="805"/>
      <c r="I209" s="554">
        <f t="shared" si="3"/>
        <v>0</v>
      </c>
      <c r="J209" s="554">
        <f t="shared" si="2"/>
        <v>0</v>
      </c>
      <c r="K209" s="259"/>
      <c r="L209" s="102"/>
    </row>
    <row r="210" ht="15.75" customHeight="1">
      <c r="A210" s="805"/>
      <c r="B210" s="1088"/>
      <c r="C210" s="805"/>
      <c r="D210" s="554" t="str">
        <f>IFERROR(VLOOKUP(C210,'INVONTERY FEB'!$A$6:$B$131,2,FALSE),"")</f>
        <v/>
      </c>
      <c r="E210" s="554" t="str">
        <f>IFERROR(VLOOKUP(D210,'INVONTERY FEB'!$B$6:$C$131,2,FALSE),"")</f>
        <v/>
      </c>
      <c r="F210" s="554" t="str">
        <f>IFERROR(VLOOKUP(D210,'INVONTERY FEB'!$B$6:$D$131,3,FALSE),"")</f>
        <v/>
      </c>
      <c r="G210" s="554"/>
      <c r="H210" s="805"/>
      <c r="I210" s="554">
        <f t="shared" si="3"/>
        <v>0</v>
      </c>
      <c r="J210" s="554">
        <f t="shared" si="2"/>
        <v>0</v>
      </c>
      <c r="K210" s="259"/>
      <c r="L210" s="102"/>
    </row>
    <row r="211" ht="15.75" customHeight="1">
      <c r="A211" s="805"/>
      <c r="B211" s="1088"/>
      <c r="C211" s="805"/>
      <c r="D211" s="554" t="str">
        <f>IFERROR(VLOOKUP(C211,'INVONTERY FEB'!$A$6:$B$131,2,FALSE),"")</f>
        <v/>
      </c>
      <c r="E211" s="554" t="str">
        <f>IFERROR(VLOOKUP(D211,'INVONTERY FEB'!$B$6:$C$131,2,FALSE),"")</f>
        <v/>
      </c>
      <c r="F211" s="554" t="str">
        <f>IFERROR(VLOOKUP(D211,'INVONTERY FEB'!$B$6:$D$131,3,FALSE),"")</f>
        <v/>
      </c>
      <c r="G211" s="554"/>
      <c r="H211" s="805"/>
      <c r="I211" s="554">
        <f t="shared" si="3"/>
        <v>0</v>
      </c>
      <c r="J211" s="554">
        <f t="shared" si="2"/>
        <v>0</v>
      </c>
      <c r="K211" s="259"/>
      <c r="L211" s="102"/>
    </row>
    <row r="212" ht="15.75" customHeight="1">
      <c r="A212" s="805"/>
      <c r="B212" s="1088"/>
      <c r="C212" s="805"/>
      <c r="D212" s="554" t="str">
        <f>IFERROR(VLOOKUP(C212,'INVONTERY FEB'!$A$6:$B$131,2,FALSE),"")</f>
        <v/>
      </c>
      <c r="E212" s="554" t="str">
        <f>IFERROR(VLOOKUP(D212,'INVONTERY FEB'!$B$6:$C$131,2,FALSE),"")</f>
        <v/>
      </c>
      <c r="F212" s="554" t="str">
        <f>IFERROR(VLOOKUP(D212,'INVONTERY FEB'!$B$6:$D$131,3,FALSE),"")</f>
        <v/>
      </c>
      <c r="G212" s="554"/>
      <c r="H212" s="805"/>
      <c r="I212" s="554">
        <f t="shared" si="3"/>
        <v>0</v>
      </c>
      <c r="J212" s="554">
        <f t="shared" si="2"/>
        <v>0</v>
      </c>
      <c r="K212" s="259"/>
      <c r="L212" s="102"/>
    </row>
    <row r="213" ht="15.75" customHeight="1">
      <c r="A213" s="805"/>
      <c r="B213" s="1088"/>
      <c r="C213" s="805"/>
      <c r="D213" s="554" t="str">
        <f>IFERROR(VLOOKUP(C213,'INVONTERY FEB'!$A$6:$B$131,2,FALSE),"")</f>
        <v/>
      </c>
      <c r="E213" s="554" t="str">
        <f>IFERROR(VLOOKUP(D213,'INVONTERY FEB'!$B$6:$C$131,2,FALSE),"")</f>
        <v/>
      </c>
      <c r="F213" s="554" t="str">
        <f>IFERROR(VLOOKUP(D213,'INVONTERY FEB'!$B$6:$D$131,3,FALSE),"")</f>
        <v/>
      </c>
      <c r="G213" s="554"/>
      <c r="H213" s="805"/>
      <c r="I213" s="554">
        <f t="shared" si="3"/>
        <v>0</v>
      </c>
      <c r="J213" s="554">
        <f t="shared" si="2"/>
        <v>0</v>
      </c>
      <c r="K213" s="259"/>
      <c r="L213" s="102"/>
    </row>
    <row r="214" ht="15.75" customHeight="1">
      <c r="A214" s="805"/>
      <c r="B214" s="1088"/>
      <c r="C214" s="805"/>
      <c r="D214" s="554" t="str">
        <f>IFERROR(VLOOKUP(C214,'INVONTERY FEB'!$A$6:$B$131,2,FALSE),"")</f>
        <v/>
      </c>
      <c r="E214" s="554" t="str">
        <f>IFERROR(VLOOKUP(D214,'INVONTERY FEB'!$B$6:$C$131,2,FALSE),"")</f>
        <v/>
      </c>
      <c r="F214" s="554" t="str">
        <f>IFERROR(VLOOKUP(D214,'INVONTERY FEB'!$B$6:$D$131,3,FALSE),"")</f>
        <v/>
      </c>
      <c r="G214" s="805"/>
      <c r="H214" s="805"/>
      <c r="I214" s="554">
        <f t="shared" si="3"/>
        <v>0</v>
      </c>
      <c r="J214" s="554">
        <f t="shared" si="2"/>
        <v>0</v>
      </c>
      <c r="K214" s="259"/>
      <c r="L214" s="102"/>
    </row>
    <row r="215" ht="15.75" customHeight="1">
      <c r="A215" s="805"/>
      <c r="B215" s="1088"/>
      <c r="C215" s="805"/>
      <c r="D215" s="554" t="str">
        <f>IFERROR(VLOOKUP(C215,'INVONTERY FEB'!$A$6:$B$131,2,FALSE),"")</f>
        <v/>
      </c>
      <c r="E215" s="554" t="str">
        <f>IFERROR(VLOOKUP(D215,'INVONTERY FEB'!$B$6:$C$131,2,FALSE),"")</f>
        <v/>
      </c>
      <c r="F215" s="554" t="str">
        <f>IFERROR(VLOOKUP(D215,'INVONTERY FEB'!$B$6:$D$131,3,FALSE),"")</f>
        <v/>
      </c>
      <c r="G215" s="805"/>
      <c r="H215" s="805"/>
      <c r="I215" s="554">
        <f t="shared" si="3"/>
        <v>0</v>
      </c>
      <c r="J215" s="554">
        <f t="shared" si="2"/>
        <v>0</v>
      </c>
      <c r="K215" s="259"/>
      <c r="L215" s="102"/>
    </row>
    <row r="216" ht="15.75" customHeight="1">
      <c r="A216" s="805"/>
      <c r="B216" s="1088"/>
      <c r="C216" s="805"/>
      <c r="D216" s="554" t="str">
        <f>IFERROR(VLOOKUP(C216,'INVONTERY FEB'!$A$6:$B$131,2,FALSE),"")</f>
        <v/>
      </c>
      <c r="E216" s="554" t="str">
        <f>IFERROR(VLOOKUP(D216,'INVONTERY FEB'!$B$6:$C$131,2,FALSE),"")</f>
        <v/>
      </c>
      <c r="F216" s="554" t="str">
        <f>IFERROR(VLOOKUP(D216,'INVONTERY FEB'!$B$6:$D$131,3,FALSE),"")</f>
        <v/>
      </c>
      <c r="G216" s="805"/>
      <c r="H216" s="805"/>
      <c r="I216" s="554">
        <f t="shared" si="3"/>
        <v>0</v>
      </c>
      <c r="J216" s="554">
        <f t="shared" si="2"/>
        <v>0</v>
      </c>
      <c r="K216" s="259"/>
      <c r="L216" s="102"/>
    </row>
    <row r="217" ht="15.75" customHeight="1">
      <c r="A217" s="805"/>
      <c r="B217" s="1088"/>
      <c r="C217" s="805"/>
      <c r="D217" s="554" t="str">
        <f>IFERROR(VLOOKUP(C217,'INVONTERY FEB'!$A$6:$B$131,2,FALSE),"")</f>
        <v/>
      </c>
      <c r="E217" s="554" t="str">
        <f>IFERROR(VLOOKUP(D217,'INVONTERY FEB'!$B$6:$C$131,2,FALSE),"")</f>
        <v/>
      </c>
      <c r="F217" s="554" t="str">
        <f>IFERROR(VLOOKUP(D217,'INVONTERY FEB'!$B$6:$D$131,3,FALSE),"")</f>
        <v/>
      </c>
      <c r="G217" s="805"/>
      <c r="H217" s="805"/>
      <c r="I217" s="554">
        <f t="shared" si="3"/>
        <v>0</v>
      </c>
      <c r="J217" s="554">
        <f t="shared" si="2"/>
        <v>0</v>
      </c>
      <c r="K217" s="259"/>
      <c r="L217" s="102"/>
    </row>
    <row r="218" ht="15.75" customHeight="1">
      <c r="A218" s="805"/>
      <c r="B218" s="1088"/>
      <c r="C218" s="805"/>
      <c r="D218" s="554" t="str">
        <f>IFERROR(VLOOKUP(C218,'INVONTERY FEB'!$A$6:$B$131,2,FALSE),"")</f>
        <v/>
      </c>
      <c r="E218" s="554" t="str">
        <f>IFERROR(VLOOKUP(D218,'INVONTERY FEB'!$B$6:$C$131,2,FALSE),"")</f>
        <v/>
      </c>
      <c r="F218" s="554" t="str">
        <f>IFERROR(VLOOKUP(D218,'INVONTERY FEB'!$B$6:$D$131,3,FALSE),"")</f>
        <v/>
      </c>
      <c r="G218" s="805"/>
      <c r="H218" s="805"/>
      <c r="I218" s="554">
        <f t="shared" si="3"/>
        <v>0</v>
      </c>
      <c r="J218" s="554">
        <f t="shared" si="2"/>
        <v>0</v>
      </c>
      <c r="K218" s="259"/>
      <c r="L218" s="102"/>
    </row>
    <row r="219" ht="15.75" customHeight="1">
      <c r="A219" s="805"/>
      <c r="B219" s="1088"/>
      <c r="C219" s="805"/>
      <c r="D219" s="554" t="str">
        <f>IFERROR(VLOOKUP(C219,'INVONTERY FEB'!$A$6:$B$131,2,FALSE),"")</f>
        <v/>
      </c>
      <c r="E219" s="554" t="str">
        <f>IFERROR(VLOOKUP(D219,'INVONTERY FEB'!$B$6:$C$131,2,FALSE),"")</f>
        <v/>
      </c>
      <c r="F219" s="554" t="str">
        <f>IFERROR(VLOOKUP(D219,'INVONTERY FEB'!$B$6:$D$131,3,FALSE),"")</f>
        <v/>
      </c>
      <c r="G219" s="805"/>
      <c r="H219" s="805"/>
      <c r="I219" s="554">
        <f t="shared" si="3"/>
        <v>0</v>
      </c>
      <c r="J219" s="554">
        <f t="shared" si="2"/>
        <v>0</v>
      </c>
      <c r="K219" s="259"/>
      <c r="L219" s="102"/>
    </row>
    <row r="220" ht="15.75" customHeight="1">
      <c r="A220" s="805"/>
      <c r="B220" s="1088"/>
      <c r="C220" s="805"/>
      <c r="D220" s="554" t="str">
        <f>IFERROR(VLOOKUP(C220,'INVONTERY FEB'!$A$6:$B$131,2,FALSE),"")</f>
        <v/>
      </c>
      <c r="E220" s="554" t="str">
        <f>IFERROR(VLOOKUP(D220,'INVONTERY FEB'!$B$6:$C$131,2,FALSE),"")</f>
        <v/>
      </c>
      <c r="F220" s="554" t="str">
        <f>IFERROR(VLOOKUP(D220,'INVONTERY FEB'!$B$6:$D$131,3,FALSE),"")</f>
        <v/>
      </c>
      <c r="G220" s="805"/>
      <c r="H220" s="805"/>
      <c r="I220" s="554">
        <f t="shared" si="3"/>
        <v>0</v>
      </c>
      <c r="J220" s="554">
        <f t="shared" si="2"/>
        <v>0</v>
      </c>
      <c r="K220" s="259"/>
      <c r="L220" s="102"/>
    </row>
    <row r="221" ht="15.75" customHeight="1">
      <c r="A221" s="805"/>
      <c r="B221" s="1088"/>
      <c r="C221" s="805"/>
      <c r="D221" s="554" t="str">
        <f>IFERROR(VLOOKUP(C221,'INVONTERY FEB'!$A$6:$B$131,2,FALSE),"")</f>
        <v/>
      </c>
      <c r="E221" s="554" t="str">
        <f>IFERROR(VLOOKUP(D221,'INVONTERY FEB'!$B$6:$C$131,2,FALSE),"")</f>
        <v/>
      </c>
      <c r="F221" s="554" t="str">
        <f>IFERROR(VLOOKUP(D221,'INVONTERY FEB'!$B$6:$D$131,3,FALSE),"")</f>
        <v/>
      </c>
      <c r="G221" s="805"/>
      <c r="H221" s="805"/>
      <c r="I221" s="554">
        <f t="shared" si="3"/>
        <v>0</v>
      </c>
      <c r="J221" s="554">
        <f t="shared" si="2"/>
        <v>0</v>
      </c>
      <c r="K221" s="554"/>
      <c r="L221" s="805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ht="15.75" customHeight="1">
      <c r="A222" s="805"/>
      <c r="B222" s="1088"/>
      <c r="C222" s="805"/>
      <c r="D222" s="554" t="str">
        <f>IFERROR(VLOOKUP(C222,'INVONTERY FEB'!$A$6:$B$131,2,FALSE),"")</f>
        <v/>
      </c>
      <c r="E222" s="554" t="str">
        <f>IFERROR(VLOOKUP(D222,'INVONTERY FEB'!$B$6:$C$131,2,FALSE),"")</f>
        <v/>
      </c>
      <c r="F222" s="554" t="str">
        <f>IFERROR(VLOOKUP(D222,'INVONTERY FEB'!$B$6:$D$131,3,FALSE),"")</f>
        <v/>
      </c>
      <c r="G222" s="805"/>
      <c r="H222" s="805"/>
      <c r="I222" s="554">
        <f t="shared" si="3"/>
        <v>0</v>
      </c>
      <c r="J222" s="554">
        <f t="shared" si="2"/>
        <v>0</v>
      </c>
      <c r="K222" s="259"/>
      <c r="L222" s="102"/>
    </row>
    <row r="223" ht="15.75" customHeight="1">
      <c r="A223" s="805"/>
      <c r="B223" s="1088"/>
      <c r="C223" s="805"/>
      <c r="D223" s="554" t="str">
        <f>IFERROR(VLOOKUP(C223,'INVONTERY FEB'!$A$6:$B$131,2,FALSE),"")</f>
        <v/>
      </c>
      <c r="E223" s="554" t="str">
        <f>IFERROR(VLOOKUP(D223,'INVONTERY FEB'!$B$6:$C$131,2,FALSE),"")</f>
        <v/>
      </c>
      <c r="F223" s="554" t="str">
        <f>IFERROR(VLOOKUP(D223,'INVONTERY FEB'!$B$6:$D$131,3,FALSE),"")</f>
        <v/>
      </c>
      <c r="G223" s="805"/>
      <c r="H223" s="805"/>
      <c r="I223" s="554">
        <f t="shared" si="3"/>
        <v>0</v>
      </c>
      <c r="J223" s="554">
        <f t="shared" si="2"/>
        <v>0</v>
      </c>
      <c r="K223" s="259"/>
      <c r="L223" s="102"/>
    </row>
    <row r="224" ht="15.75" customHeight="1">
      <c r="A224" s="805"/>
      <c r="B224" s="1088"/>
      <c r="C224" s="805"/>
      <c r="D224" s="554" t="str">
        <f>IFERROR(VLOOKUP(C224,'INVONTERY FEB'!$A$6:$B$131,2,FALSE),"")</f>
        <v/>
      </c>
      <c r="E224" s="554" t="str">
        <f>IFERROR(VLOOKUP(D224,'INVONTERY FEB'!$B$6:$C$131,2,FALSE),"")</f>
        <v/>
      </c>
      <c r="F224" s="554" t="str">
        <f>IFERROR(VLOOKUP(D224,'INVONTERY FEB'!$B$6:$D$131,3,FALSE),"")</f>
        <v/>
      </c>
      <c r="G224" s="805"/>
      <c r="H224" s="805"/>
      <c r="I224" s="554">
        <f t="shared" si="3"/>
        <v>0</v>
      </c>
      <c r="J224" s="554">
        <f t="shared" si="2"/>
        <v>0</v>
      </c>
      <c r="K224" s="259"/>
      <c r="L224" s="102"/>
    </row>
    <row r="225" ht="15.75" customHeight="1">
      <c r="A225" s="805"/>
      <c r="B225" s="1088"/>
      <c r="C225" s="805"/>
      <c r="D225" s="554" t="str">
        <f>IFERROR(VLOOKUP(C225,'INVONTERY FEB'!$A$6:$B$131,2,FALSE),"")</f>
        <v/>
      </c>
      <c r="E225" s="554" t="str">
        <f>IFERROR(VLOOKUP(D225,'INVONTERY FEB'!$B$6:$C$131,2,FALSE),"")</f>
        <v/>
      </c>
      <c r="F225" s="554" t="str">
        <f>IFERROR(VLOOKUP(D225,'INVONTERY FEB'!$B$6:$D$131,3,FALSE),"")</f>
        <v/>
      </c>
      <c r="G225" s="805"/>
      <c r="H225" s="805"/>
      <c r="I225" s="554">
        <f t="shared" si="3"/>
        <v>0</v>
      </c>
      <c r="J225" s="554">
        <f t="shared" si="2"/>
        <v>0</v>
      </c>
      <c r="K225" s="259"/>
      <c r="L225" s="102"/>
    </row>
    <row r="226" ht="15.75" customHeight="1">
      <c r="A226" s="805"/>
      <c r="B226" s="1088"/>
      <c r="C226" s="805"/>
      <c r="D226" s="554" t="str">
        <f>IFERROR(VLOOKUP(C226,'INVONTERY FEB'!$A$6:$B$131,2,FALSE),"")</f>
        <v/>
      </c>
      <c r="E226" s="554" t="str">
        <f>IFERROR(VLOOKUP(D226,'INVONTERY FEB'!$B$6:$C$131,2,FALSE),"")</f>
        <v/>
      </c>
      <c r="F226" s="554" t="str">
        <f>IFERROR(VLOOKUP(D226,'INVONTERY FEB'!$B$6:$D$131,3,FALSE),"")</f>
        <v/>
      </c>
      <c r="G226" s="805"/>
      <c r="H226" s="805"/>
      <c r="I226" s="554">
        <f t="shared" si="3"/>
        <v>0</v>
      </c>
      <c r="J226" s="554">
        <f t="shared" si="2"/>
        <v>0</v>
      </c>
      <c r="K226" s="259"/>
      <c r="L226" s="102"/>
    </row>
    <row r="227" ht="15.75" customHeight="1">
      <c r="A227" s="805"/>
      <c r="B227" s="1088"/>
      <c r="C227" s="805"/>
      <c r="D227" s="554" t="str">
        <f>IFERROR(VLOOKUP(C227,'INVONTERY FEB'!$A$6:$B$131,2,FALSE),"")</f>
        <v/>
      </c>
      <c r="E227" s="554" t="str">
        <f>IFERROR(VLOOKUP(D227,'INVONTERY FEB'!$B$6:$C$131,2,FALSE),"")</f>
        <v/>
      </c>
      <c r="F227" s="554" t="str">
        <f>IFERROR(VLOOKUP(D227,'INVONTERY FEB'!$B$6:$D$131,3,FALSE),"")</f>
        <v/>
      </c>
      <c r="G227" s="805"/>
      <c r="H227" s="805"/>
      <c r="I227" s="554">
        <f t="shared" si="3"/>
        <v>0</v>
      </c>
      <c r="J227" s="554">
        <f t="shared" si="2"/>
        <v>0</v>
      </c>
      <c r="K227" s="259"/>
      <c r="L227" s="102"/>
    </row>
    <row r="228" ht="15.75" customHeight="1">
      <c r="A228" s="805"/>
      <c r="B228" s="1088"/>
      <c r="C228" s="805"/>
      <c r="D228" s="554" t="str">
        <f>IFERROR(VLOOKUP(C228,'INVONTERY FEB'!$A$6:$B$131,2,FALSE),"")</f>
        <v/>
      </c>
      <c r="E228" s="554" t="str">
        <f>IFERROR(VLOOKUP(D228,'INVONTERY FEB'!$B$6:$C$131,2,FALSE),"")</f>
        <v/>
      </c>
      <c r="F228" s="554" t="str">
        <f>IFERROR(VLOOKUP(D228,'INVONTERY FEB'!$B$6:$D$131,3,FALSE),"")</f>
        <v/>
      </c>
      <c r="G228" s="805"/>
      <c r="H228" s="805"/>
      <c r="I228" s="554">
        <f t="shared" si="3"/>
        <v>0</v>
      </c>
      <c r="J228" s="554">
        <f t="shared" si="2"/>
        <v>0</v>
      </c>
      <c r="K228" s="259"/>
      <c r="L228" s="102"/>
    </row>
    <row r="229" ht="15.75" customHeight="1">
      <c r="A229" s="805"/>
      <c r="B229" s="1088"/>
      <c r="C229" s="805"/>
      <c r="D229" s="554" t="str">
        <f>IFERROR(VLOOKUP(C229,'INVONTERY FEB'!$A$6:$B$131,2,FALSE),"")</f>
        <v/>
      </c>
      <c r="E229" s="554" t="str">
        <f>IFERROR(VLOOKUP(D229,'INVONTERY FEB'!$B$6:$C$131,2,FALSE),"")</f>
        <v/>
      </c>
      <c r="F229" s="554" t="str">
        <f>IFERROR(VLOOKUP(D229,'INVONTERY FEB'!$B$6:$D$131,3,FALSE),"")</f>
        <v/>
      </c>
      <c r="G229" s="805"/>
      <c r="H229" s="805"/>
      <c r="I229" s="554">
        <f t="shared" si="3"/>
        <v>0</v>
      </c>
      <c r="J229" s="554">
        <f t="shared" si="2"/>
        <v>0</v>
      </c>
      <c r="K229" s="259"/>
      <c r="L229" s="102"/>
    </row>
    <row r="230" ht="15.75" customHeight="1">
      <c r="A230" s="805"/>
      <c r="B230" s="1088"/>
      <c r="C230" s="805"/>
      <c r="D230" s="554" t="str">
        <f>IFERROR(VLOOKUP(C230,'INVONTERY FEB'!$A$6:$B$131,2,FALSE),"")</f>
        <v/>
      </c>
      <c r="E230" s="554" t="str">
        <f>IFERROR(VLOOKUP(D230,'INVONTERY FEB'!$B$6:$C$131,2,FALSE),"")</f>
        <v/>
      </c>
      <c r="F230" s="554" t="str">
        <f>IFERROR(VLOOKUP(D230,'INVONTERY FEB'!$B$6:$D$131,3,FALSE),"")</f>
        <v/>
      </c>
      <c r="G230" s="805"/>
      <c r="H230" s="805"/>
      <c r="I230" s="554">
        <f t="shared" si="3"/>
        <v>0</v>
      </c>
      <c r="J230" s="556">
        <f t="shared" si="2"/>
        <v>0</v>
      </c>
      <c r="K230" s="259"/>
      <c r="L230" s="102"/>
    </row>
    <row r="231" ht="15.75" customHeight="1">
      <c r="A231" s="805"/>
      <c r="B231" s="1088"/>
      <c r="C231" s="805"/>
      <c r="D231" s="554" t="str">
        <f>IFERROR(VLOOKUP(C231,'INVONTERY FEB'!$A$6:$B$131,2,FALSE),"")</f>
        <v/>
      </c>
      <c r="E231" s="554" t="str">
        <f>IFERROR(VLOOKUP(D231,'INVONTERY FEB'!$B$6:$C$131,2,FALSE),"")</f>
        <v/>
      </c>
      <c r="F231" s="554" t="str">
        <f>IFERROR(VLOOKUP(D231,'INVONTERY FEB'!$B$6:$D$131,3,FALSE),"")</f>
        <v/>
      </c>
      <c r="G231" s="805"/>
      <c r="H231" s="805"/>
      <c r="I231" s="554">
        <f t="shared" si="3"/>
        <v>0</v>
      </c>
      <c r="J231" s="556">
        <f t="shared" si="2"/>
        <v>0</v>
      </c>
      <c r="K231" s="259"/>
      <c r="L231" s="102"/>
    </row>
    <row r="232" ht="15.75" customHeight="1">
      <c r="A232" s="805"/>
      <c r="B232" s="1088"/>
      <c r="C232" s="805"/>
      <c r="D232" s="554" t="str">
        <f>IFERROR(VLOOKUP(C232,'INVONTERY FEB'!$A$6:$B$131,2,FALSE),"")</f>
        <v/>
      </c>
      <c r="E232" s="554" t="str">
        <f>IFERROR(VLOOKUP(D232,'INVONTERY FEB'!$B$6:$C$131,2,FALSE),"")</f>
        <v/>
      </c>
      <c r="F232" s="554" t="str">
        <f>IFERROR(VLOOKUP(D232,'INVONTERY FEB'!$B$6:$D$131,3,FALSE),"")</f>
        <v/>
      </c>
      <c r="G232" s="805"/>
      <c r="H232" s="805"/>
      <c r="I232" s="554">
        <f t="shared" si="3"/>
        <v>0</v>
      </c>
      <c r="J232" s="556">
        <f t="shared" si="2"/>
        <v>0</v>
      </c>
      <c r="K232" s="259"/>
      <c r="L232" s="102"/>
    </row>
    <row r="233" ht="15.75" customHeight="1">
      <c r="A233" s="805"/>
      <c r="B233" s="1088"/>
      <c r="C233" s="805"/>
      <c r="D233" s="554" t="str">
        <f>IFERROR(VLOOKUP(C233,'INVONTERY FEB'!$A$6:$B$131,2,FALSE),"")</f>
        <v/>
      </c>
      <c r="E233" s="554" t="str">
        <f>IFERROR(VLOOKUP(D233,'INVONTERY FEB'!$B$6:$C$131,2,FALSE),"")</f>
        <v/>
      </c>
      <c r="F233" s="554" t="str">
        <f>IFERROR(VLOOKUP(D233,'INVONTERY FEB'!$B$6:$D$131,3,FALSE),"")</f>
        <v/>
      </c>
      <c r="G233" s="805"/>
      <c r="H233" s="805"/>
      <c r="I233" s="554">
        <f t="shared" si="3"/>
        <v>0</v>
      </c>
      <c r="J233" s="556">
        <f t="shared" si="2"/>
        <v>0</v>
      </c>
      <c r="K233" s="259"/>
      <c r="L233" s="102"/>
    </row>
    <row r="234" ht="15.75" customHeight="1">
      <c r="A234" s="805"/>
      <c r="B234" s="1088"/>
      <c r="C234" s="805"/>
      <c r="D234" s="554" t="str">
        <f>IFERROR(VLOOKUP(C234,'INVONTERY FEB'!$A$6:$B$131,2,FALSE),"")</f>
        <v/>
      </c>
      <c r="E234" s="554" t="str">
        <f>IFERROR(VLOOKUP(D234,'INVONTERY FEB'!$B$6:$C$131,2,FALSE),"")</f>
        <v/>
      </c>
      <c r="F234" s="554" t="str">
        <f>IFERROR(VLOOKUP(D234,'INVONTERY FEB'!$B$6:$D$131,3,FALSE),"")</f>
        <v/>
      </c>
      <c r="G234" s="805"/>
      <c r="H234" s="805"/>
      <c r="I234" s="554">
        <f t="shared" si="3"/>
        <v>0</v>
      </c>
      <c r="J234" s="556">
        <f t="shared" si="2"/>
        <v>0</v>
      </c>
      <c r="K234" s="259"/>
      <c r="L234" s="102"/>
    </row>
    <row r="235" ht="15.75" customHeight="1">
      <c r="A235" s="805"/>
      <c r="B235" s="1088"/>
      <c r="C235" s="805"/>
      <c r="D235" s="554" t="str">
        <f>IFERROR(VLOOKUP(C235,'INVONTERY FEB'!$A$6:$B$131,2,FALSE),"")</f>
        <v/>
      </c>
      <c r="E235" s="554" t="str">
        <f>IFERROR(VLOOKUP(D235,'INVONTERY FEB'!$B$6:$C$131,2,FALSE),"")</f>
        <v/>
      </c>
      <c r="F235" s="554" t="str">
        <f>IFERROR(VLOOKUP(D235,'INVONTERY FEB'!$B$6:$D$131,3,FALSE),"")</f>
        <v/>
      </c>
      <c r="G235" s="805"/>
      <c r="H235" s="805"/>
      <c r="I235" s="554">
        <f t="shared" si="3"/>
        <v>0</v>
      </c>
      <c r="J235" s="556">
        <f t="shared" si="2"/>
        <v>0</v>
      </c>
      <c r="K235" s="259"/>
      <c r="L235" s="102"/>
    </row>
    <row r="236" ht="15.75" customHeight="1">
      <c r="A236" s="805"/>
      <c r="B236" s="1088"/>
      <c r="C236" s="805"/>
      <c r="D236" s="554" t="str">
        <f>IFERROR(VLOOKUP(C236,'INVONTERY FEB'!$A$6:$B$131,2,FALSE),"")</f>
        <v/>
      </c>
      <c r="E236" s="554" t="str">
        <f>IFERROR(VLOOKUP(D236,'INVONTERY FEB'!$B$6:$C$131,2,FALSE),"")</f>
        <v/>
      </c>
      <c r="F236" s="554" t="str">
        <f>IFERROR(VLOOKUP(D236,'INVONTERY FEB'!$B$6:$D$131,3,FALSE),"")</f>
        <v/>
      </c>
      <c r="G236" s="805"/>
      <c r="H236" s="805"/>
      <c r="I236" s="554">
        <f t="shared" si="3"/>
        <v>0</v>
      </c>
      <c r="J236" s="556">
        <f t="shared" si="2"/>
        <v>0</v>
      </c>
      <c r="K236" s="259"/>
      <c r="L236" s="102"/>
    </row>
    <row r="237" ht="15.75" customHeight="1">
      <c r="A237" s="805"/>
      <c r="B237" s="1088"/>
      <c r="C237" s="805"/>
      <c r="D237" s="554" t="str">
        <f>IFERROR(VLOOKUP(C237,'INVONTERY FEB'!$A$6:$B$131,2,FALSE),"")</f>
        <v/>
      </c>
      <c r="E237" s="554" t="str">
        <f>IFERROR(VLOOKUP(D237,'INVONTERY FEB'!$B$6:$C$131,2,FALSE),"")</f>
        <v/>
      </c>
      <c r="F237" s="554" t="str">
        <f>IFERROR(VLOOKUP(D237,'INVONTERY FEB'!$B$6:$D$131,3,FALSE),"")</f>
        <v/>
      </c>
      <c r="G237" s="805"/>
      <c r="H237" s="805"/>
      <c r="I237" s="554">
        <f t="shared" si="3"/>
        <v>0</v>
      </c>
      <c r="J237" s="556">
        <f t="shared" si="2"/>
        <v>0</v>
      </c>
      <c r="K237" s="259"/>
      <c r="L237" s="102"/>
    </row>
    <row r="238" ht="15.75" customHeight="1">
      <c r="A238" s="805"/>
      <c r="B238" s="1088"/>
      <c r="C238" s="805"/>
      <c r="D238" s="554" t="str">
        <f>IFERROR(VLOOKUP(C238,'INVONTERY FEB'!$A$6:$B$131,2,FALSE),"")</f>
        <v/>
      </c>
      <c r="E238" s="554" t="str">
        <f>IFERROR(VLOOKUP(D238,'INVONTERY FEB'!$B$6:$C$131,2,FALSE),"")</f>
        <v/>
      </c>
      <c r="F238" s="554" t="str">
        <f>IFERROR(VLOOKUP(D238,'INVONTERY FEB'!$B$6:$D$131,3,FALSE),"")</f>
        <v/>
      </c>
      <c r="G238" s="805"/>
      <c r="H238" s="805"/>
      <c r="I238" s="554">
        <f t="shared" si="3"/>
        <v>0</v>
      </c>
      <c r="J238" s="554">
        <f t="shared" si="2"/>
        <v>0</v>
      </c>
      <c r="K238" s="259"/>
      <c r="L238" s="102"/>
    </row>
    <row r="239" ht="15.75" customHeight="1">
      <c r="A239" s="805"/>
      <c r="B239" s="1088"/>
      <c r="C239" s="805"/>
      <c r="D239" s="554" t="str">
        <f>IFERROR(VLOOKUP(C239,'INVONTERY FEB'!$A$6:$B$131,2,FALSE),"")</f>
        <v/>
      </c>
      <c r="E239" s="554" t="str">
        <f>IFERROR(VLOOKUP(D239,'INVONTERY FEB'!$B$6:$C$131,2,FALSE),"")</f>
        <v/>
      </c>
      <c r="F239" s="554" t="str">
        <f>IFERROR(VLOOKUP(D239,'INVONTERY FEB'!$B$6:$D$131,3,FALSE),"")</f>
        <v/>
      </c>
      <c r="G239" s="805"/>
      <c r="H239" s="805"/>
      <c r="I239" s="554">
        <f t="shared" si="3"/>
        <v>0</v>
      </c>
      <c r="J239" s="554">
        <f t="shared" si="2"/>
        <v>0</v>
      </c>
      <c r="K239" s="259"/>
      <c r="L239" s="102"/>
    </row>
    <row r="240" ht="15.75" customHeight="1">
      <c r="A240" s="805"/>
      <c r="B240" s="1088"/>
      <c r="C240" s="805"/>
      <c r="D240" s="554" t="str">
        <f>IFERROR(VLOOKUP(C240,'INVONTERY FEB'!$A$6:$B$131,2,FALSE),"")</f>
        <v/>
      </c>
      <c r="E240" s="554" t="str">
        <f>IFERROR(VLOOKUP(D240,'INVONTERY FEB'!$B$6:$C$131,2,FALSE),"")</f>
        <v/>
      </c>
      <c r="F240" s="554" t="str">
        <f>IFERROR(VLOOKUP(D240,'INVONTERY FEB'!$B$6:$D$131,3,FALSE),"")</f>
        <v/>
      </c>
      <c r="G240" s="805"/>
      <c r="H240" s="805"/>
      <c r="I240" s="554">
        <f t="shared" si="3"/>
        <v>0</v>
      </c>
      <c r="J240" s="554">
        <f t="shared" si="2"/>
        <v>0</v>
      </c>
      <c r="K240" s="259"/>
      <c r="L240" s="102"/>
    </row>
    <row r="241" ht="15.75" customHeight="1">
      <c r="A241" s="805"/>
      <c r="B241" s="1088"/>
      <c r="C241" s="805"/>
      <c r="D241" s="554" t="str">
        <f>IFERROR(VLOOKUP(C241,'INVONTERY FEB'!$A$6:$B$131,2,FALSE),"")</f>
        <v/>
      </c>
      <c r="E241" s="554" t="str">
        <f>IFERROR(VLOOKUP(D241,'INVONTERY FEB'!$B$6:$C$131,2,FALSE),"")</f>
        <v/>
      </c>
      <c r="F241" s="554" t="str">
        <f>IFERROR(VLOOKUP(D241,'INVONTERY FEB'!$B$6:$D$131,3,FALSE),"")</f>
        <v/>
      </c>
      <c r="G241" s="805"/>
      <c r="H241" s="805"/>
      <c r="I241" s="554">
        <f t="shared" si="3"/>
        <v>0</v>
      </c>
      <c r="J241" s="554">
        <f t="shared" si="2"/>
        <v>0</v>
      </c>
      <c r="K241" s="259"/>
      <c r="L241" s="102"/>
    </row>
    <row r="242" ht="15.75" customHeight="1">
      <c r="A242" s="805"/>
      <c r="B242" s="1088"/>
      <c r="C242" s="805"/>
      <c r="D242" s="554" t="str">
        <f>IFERROR(VLOOKUP(C242,'INVONTERY FEB'!$A$6:$B$131,2,FALSE),"")</f>
        <v/>
      </c>
      <c r="E242" s="554" t="str">
        <f>IFERROR(VLOOKUP(D242,'INVONTERY FEB'!$B$6:$C$131,2,FALSE),"")</f>
        <v/>
      </c>
      <c r="F242" s="554" t="str">
        <f>IFERROR(VLOOKUP(D242,'INVONTERY FEB'!$B$6:$D$131,3,FALSE),"")</f>
        <v/>
      </c>
      <c r="G242" s="805"/>
      <c r="H242" s="805"/>
      <c r="I242" s="554">
        <f t="shared" si="3"/>
        <v>0</v>
      </c>
      <c r="J242" s="554">
        <f t="shared" si="2"/>
        <v>0</v>
      </c>
      <c r="K242" s="259"/>
      <c r="L242" s="102"/>
    </row>
    <row r="243" ht="15.75" customHeight="1">
      <c r="A243" s="805"/>
      <c r="B243" s="1088"/>
      <c r="C243" s="805"/>
      <c r="D243" s="554" t="str">
        <f>IFERROR(VLOOKUP(C243,'INVONTERY FEB'!$A$6:$B$131,2,FALSE),"")</f>
        <v/>
      </c>
      <c r="E243" s="554" t="str">
        <f>IFERROR(VLOOKUP(D243,'INVONTERY FEB'!$B$6:$C$131,2,FALSE),"")</f>
        <v/>
      </c>
      <c r="F243" s="554" t="str">
        <f>IFERROR(VLOOKUP(D243,'INVONTERY FEB'!$B$6:$D$131,3,FALSE),"")</f>
        <v/>
      </c>
      <c r="G243" s="805"/>
      <c r="H243" s="805"/>
      <c r="I243" s="554">
        <f t="shared" si="3"/>
        <v>0</v>
      </c>
      <c r="J243" s="554">
        <f t="shared" si="2"/>
        <v>0</v>
      </c>
      <c r="K243" s="259"/>
      <c r="L243" s="102"/>
    </row>
    <row r="244" ht="15.75" customHeight="1">
      <c r="A244" s="805"/>
      <c r="B244" s="1088"/>
      <c r="C244" s="805"/>
      <c r="D244" s="554" t="str">
        <f>IFERROR(VLOOKUP(C244,'INVONTERY FEB'!$A$6:$B$131,2,FALSE),"")</f>
        <v/>
      </c>
      <c r="E244" s="554" t="str">
        <f>IFERROR(VLOOKUP(D244,'INVONTERY FEB'!$B$6:$C$131,2,FALSE),"")</f>
        <v/>
      </c>
      <c r="F244" s="554" t="str">
        <f>IFERROR(VLOOKUP(D244,'INVONTERY FEB'!$B$6:$D$131,3,FALSE),"")</f>
        <v/>
      </c>
      <c r="G244" s="805"/>
      <c r="H244" s="805"/>
      <c r="I244" s="554">
        <f t="shared" si="3"/>
        <v>0</v>
      </c>
      <c r="J244" s="554">
        <f t="shared" si="2"/>
        <v>0</v>
      </c>
      <c r="K244" s="259"/>
      <c r="L244" s="102"/>
    </row>
    <row r="245" ht="15.75" customHeight="1">
      <c r="A245" s="805"/>
      <c r="B245" s="1088"/>
      <c r="C245" s="805"/>
      <c r="D245" s="554" t="str">
        <f>IFERROR(VLOOKUP(C245,'INVONTERY FEB'!$A$6:$B$131,2,FALSE),"")</f>
        <v/>
      </c>
      <c r="E245" s="554" t="str">
        <f>IFERROR(VLOOKUP(D245,'INVONTERY FEB'!$B$6:$C$131,2,FALSE),"")</f>
        <v/>
      </c>
      <c r="F245" s="554" t="str">
        <f>IFERROR(VLOOKUP(D245,'INVONTERY FEB'!$B$6:$D$131,3,FALSE),"")</f>
        <v/>
      </c>
      <c r="G245" s="805"/>
      <c r="H245" s="805"/>
      <c r="I245" s="554">
        <f t="shared" si="3"/>
        <v>0</v>
      </c>
      <c r="J245" s="554">
        <f t="shared" si="2"/>
        <v>0</v>
      </c>
      <c r="K245" s="259"/>
      <c r="L245" s="102"/>
    </row>
    <row r="246" ht="15.75" customHeight="1">
      <c r="A246" s="805"/>
      <c r="B246" s="1088"/>
      <c r="C246" s="805"/>
      <c r="D246" s="554" t="str">
        <f>IFERROR(VLOOKUP(C246,'INVONTERY FEB'!$A$6:$B$131,2,FALSE),"")</f>
        <v/>
      </c>
      <c r="E246" s="554" t="str">
        <f>IFERROR(VLOOKUP(D246,'INVONTERY FEB'!$B$6:$C$131,2,FALSE),"")</f>
        <v/>
      </c>
      <c r="F246" s="554" t="str">
        <f>IFERROR(VLOOKUP(D246,'INVONTERY FEB'!$B$6:$D$131,3,FALSE),"")</f>
        <v/>
      </c>
      <c r="G246" s="805"/>
      <c r="H246" s="805"/>
      <c r="I246" s="554">
        <f t="shared" si="3"/>
        <v>0</v>
      </c>
      <c r="J246" s="554">
        <f t="shared" si="2"/>
        <v>0</v>
      </c>
      <c r="K246" s="259"/>
      <c r="L246" s="102"/>
    </row>
    <row r="247" ht="15.75" customHeight="1">
      <c r="A247" s="805"/>
      <c r="B247" s="1088"/>
      <c r="C247" s="805"/>
      <c r="D247" s="554" t="str">
        <f>IFERROR(VLOOKUP(C247,'INVONTERY FEB'!$A$6:$B$131,2,FALSE),"")</f>
        <v/>
      </c>
      <c r="E247" s="554" t="str">
        <f>IFERROR(VLOOKUP(D247,'INVONTERY FEB'!$B$6:$C$131,2,FALSE),"")</f>
        <v/>
      </c>
      <c r="F247" s="554" t="str">
        <f>IFERROR(VLOOKUP(D247,'INVONTERY FEB'!$B$6:$D$131,3,FALSE),"")</f>
        <v/>
      </c>
      <c r="G247" s="805"/>
      <c r="H247" s="805"/>
      <c r="I247" s="554">
        <f t="shared" si="3"/>
        <v>0</v>
      </c>
      <c r="J247" s="554">
        <f t="shared" si="2"/>
        <v>0</v>
      </c>
      <c r="K247" s="259"/>
      <c r="L247" s="102"/>
    </row>
    <row r="248" ht="15.75" customHeight="1">
      <c r="A248" s="805"/>
      <c r="B248" s="1088"/>
      <c r="C248" s="805"/>
      <c r="D248" s="554" t="str">
        <f>IFERROR(VLOOKUP(C248,'INVONTERY FEB'!$A$6:$B$131,2,FALSE),"")</f>
        <v/>
      </c>
      <c r="E248" s="554" t="str">
        <f>IFERROR(VLOOKUP(D248,'INVONTERY FEB'!$B$6:$C$131,2,FALSE),"")</f>
        <v/>
      </c>
      <c r="F248" s="554" t="str">
        <f>IFERROR(VLOOKUP(D248,'INVONTERY FEB'!$B$6:$D$131,3,FALSE),"")</f>
        <v/>
      </c>
      <c r="G248" s="805"/>
      <c r="H248" s="805"/>
      <c r="I248" s="554">
        <f t="shared" si="3"/>
        <v>0</v>
      </c>
      <c r="J248" s="554">
        <f t="shared" si="2"/>
        <v>0</v>
      </c>
      <c r="K248" s="259"/>
      <c r="L248" s="102"/>
    </row>
    <row r="249" ht="15.75" customHeight="1">
      <c r="A249" s="805"/>
      <c r="B249" s="1088"/>
      <c r="C249" s="805"/>
      <c r="D249" s="554" t="str">
        <f>IFERROR(VLOOKUP(C249,'INVONTERY FEB'!$A$6:$B$131,2,FALSE),"")</f>
        <v/>
      </c>
      <c r="E249" s="554" t="str">
        <f>IFERROR(VLOOKUP(D249,'INVONTERY FEB'!$B$6:$C$131,2,FALSE),"")</f>
        <v/>
      </c>
      <c r="F249" s="554" t="str">
        <f>IFERROR(VLOOKUP(D249,'INVONTERY FEB'!$B$6:$D$131,3,FALSE),"")</f>
        <v/>
      </c>
      <c r="G249" s="805"/>
      <c r="H249" s="805"/>
      <c r="I249" s="554">
        <f t="shared" si="3"/>
        <v>0</v>
      </c>
      <c r="J249" s="554">
        <f t="shared" si="2"/>
        <v>0</v>
      </c>
      <c r="K249" s="259"/>
      <c r="L249" s="102"/>
    </row>
    <row r="250" ht="15.75" customHeight="1">
      <c r="A250" s="805"/>
      <c r="B250" s="1088"/>
      <c r="C250" s="805"/>
      <c r="D250" s="554" t="str">
        <f>IFERROR(VLOOKUP(C250,'INVONTERY FEB'!$A$6:$B$131,2,FALSE),"")</f>
        <v/>
      </c>
      <c r="E250" s="554" t="str">
        <f>IFERROR(VLOOKUP(D250,'INVONTERY FEB'!$B$6:$C$131,2,FALSE),"")</f>
        <v/>
      </c>
      <c r="F250" s="554" t="str">
        <f>IFERROR(VLOOKUP(D250,'INVONTERY FEB'!$B$6:$D$131,3,FALSE),"")</f>
        <v/>
      </c>
      <c r="G250" s="805"/>
      <c r="H250" s="805"/>
      <c r="I250" s="554">
        <f t="shared" si="3"/>
        <v>0</v>
      </c>
      <c r="J250" s="554">
        <f t="shared" si="2"/>
        <v>0</v>
      </c>
      <c r="K250" s="259"/>
      <c r="L250" s="102"/>
    </row>
    <row r="251" ht="15.75" customHeight="1">
      <c r="A251" s="805"/>
      <c r="B251" s="1088"/>
      <c r="C251" s="805"/>
      <c r="D251" s="554" t="str">
        <f>IFERROR(VLOOKUP(C251,'INVONTERY FEB'!$A$6:$B$131,2,FALSE),"")</f>
        <v/>
      </c>
      <c r="E251" s="554" t="str">
        <f>IFERROR(VLOOKUP(D251,'INVONTERY FEB'!$B$6:$C$131,2,FALSE),"")</f>
        <v/>
      </c>
      <c r="F251" s="554" t="str">
        <f>IFERROR(VLOOKUP(D251,'INVONTERY FEB'!$B$6:$D$131,3,FALSE),"")</f>
        <v/>
      </c>
      <c r="G251" s="805"/>
      <c r="H251" s="805"/>
      <c r="I251" s="554">
        <f t="shared" si="3"/>
        <v>0</v>
      </c>
      <c r="J251" s="554">
        <f t="shared" si="2"/>
        <v>0</v>
      </c>
      <c r="K251" s="259"/>
      <c r="L251" s="102"/>
    </row>
    <row r="252" ht="15.75" customHeight="1">
      <c r="A252" s="805"/>
      <c r="B252" s="1088"/>
      <c r="C252" s="805"/>
      <c r="D252" s="554" t="str">
        <f>IFERROR(VLOOKUP(C252,'INVONTERY FEB'!$A$6:$B$131,2,FALSE),"")</f>
        <v/>
      </c>
      <c r="E252" s="554" t="str">
        <f>IFERROR(VLOOKUP(D252,'INVONTERY FEB'!$B$6:$C$131,2,FALSE),"")</f>
        <v/>
      </c>
      <c r="F252" s="554" t="str">
        <f>IFERROR(VLOOKUP(D252,'INVONTERY FEB'!$B$6:$D$131,3,FALSE),"")</f>
        <v/>
      </c>
      <c r="G252" s="805"/>
      <c r="H252" s="805"/>
      <c r="I252" s="554">
        <f t="shared" si="3"/>
        <v>0</v>
      </c>
      <c r="J252" s="554">
        <f t="shared" si="2"/>
        <v>0</v>
      </c>
      <c r="K252" s="259"/>
      <c r="L252" s="102"/>
    </row>
    <row r="253" ht="15.75" customHeight="1">
      <c r="A253" s="805"/>
      <c r="B253" s="1088"/>
      <c r="C253" s="805"/>
      <c r="D253" s="554" t="str">
        <f>IFERROR(VLOOKUP(C253,'INVONTERY FEB'!$A$6:$B$131,2,FALSE),"")</f>
        <v/>
      </c>
      <c r="E253" s="554" t="str">
        <f>IFERROR(VLOOKUP(D253,'INVONTERY FEB'!$B$6:$C$131,2,FALSE),"")</f>
        <v/>
      </c>
      <c r="F253" s="554" t="str">
        <f>IFERROR(VLOOKUP(D253,'INVONTERY FEB'!$B$6:$D$131,3,FALSE),"")</f>
        <v/>
      </c>
      <c r="G253" s="805"/>
      <c r="H253" s="805"/>
      <c r="I253" s="554">
        <f t="shared" si="3"/>
        <v>0</v>
      </c>
      <c r="J253" s="554">
        <f t="shared" si="2"/>
        <v>0</v>
      </c>
      <c r="K253" s="259"/>
      <c r="L253" s="102"/>
    </row>
    <row r="254" ht="15.75" customHeight="1">
      <c r="A254" s="805"/>
      <c r="B254" s="1088"/>
      <c r="C254" s="805"/>
      <c r="D254" s="554" t="str">
        <f>IFERROR(VLOOKUP(C254,'INVONTERY FEB'!$A$6:$B$131,2,FALSE),"")</f>
        <v/>
      </c>
      <c r="E254" s="554" t="str">
        <f>IFERROR(VLOOKUP(D254,'INVONTERY FEB'!$B$6:$C$131,2,FALSE),"")</f>
        <v/>
      </c>
      <c r="F254" s="554" t="str">
        <f>IFERROR(VLOOKUP(D254,'INVONTERY FEB'!$B$6:$D$131,3,FALSE),"")</f>
        <v/>
      </c>
      <c r="G254" s="805"/>
      <c r="H254" s="805"/>
      <c r="I254" s="554">
        <f t="shared" si="3"/>
        <v>0</v>
      </c>
      <c r="J254" s="554">
        <f t="shared" si="2"/>
        <v>0</v>
      </c>
      <c r="K254" s="259"/>
      <c r="L254" s="102"/>
    </row>
    <row r="255" ht="15.75" customHeight="1">
      <c r="A255" s="805"/>
      <c r="B255" s="1088"/>
      <c r="C255" s="805"/>
      <c r="D255" s="554" t="str">
        <f>IFERROR(VLOOKUP(C255,'INVONTERY FEB'!$A$6:$B$131,2,FALSE),"")</f>
        <v/>
      </c>
      <c r="E255" s="554" t="str">
        <f>IFERROR(VLOOKUP(D255,'INVONTERY FEB'!$B$6:$C$131,2,FALSE),"")</f>
        <v/>
      </c>
      <c r="F255" s="554" t="str">
        <f>IFERROR(VLOOKUP(D255,'INVONTERY FEB'!$B$6:$D$131,3,FALSE),"")</f>
        <v/>
      </c>
      <c r="G255" s="805"/>
      <c r="H255" s="805"/>
      <c r="I255" s="554">
        <f t="shared" si="3"/>
        <v>0</v>
      </c>
      <c r="J255" s="554">
        <f t="shared" si="2"/>
        <v>0</v>
      </c>
      <c r="K255" s="259"/>
      <c r="L255" s="102"/>
    </row>
    <row r="256" ht="15.75" customHeight="1">
      <c r="A256" s="805"/>
      <c r="B256" s="1088"/>
      <c r="C256" s="805"/>
      <c r="D256" s="554" t="str">
        <f>IFERROR(VLOOKUP(C256,'INVONTERY FEB'!$A$6:$B$131,2,FALSE),"")</f>
        <v/>
      </c>
      <c r="E256" s="554" t="str">
        <f>IFERROR(VLOOKUP(D256,'INVONTERY FEB'!$B$6:$C$131,2,FALSE),"")</f>
        <v/>
      </c>
      <c r="F256" s="554" t="str">
        <f>IFERROR(VLOOKUP(D256,'INVONTERY FEB'!$B$6:$D$131,3,FALSE),"")</f>
        <v/>
      </c>
      <c r="G256" s="805"/>
      <c r="H256" s="805"/>
      <c r="I256" s="554">
        <f t="shared" si="3"/>
        <v>0</v>
      </c>
      <c r="J256" s="554">
        <f t="shared" si="2"/>
        <v>0</v>
      </c>
      <c r="K256" s="259"/>
      <c r="L256" s="102"/>
    </row>
    <row r="257" ht="15.75" customHeight="1">
      <c r="A257" s="805"/>
      <c r="B257" s="1088"/>
      <c r="C257" s="805"/>
      <c r="D257" s="554" t="str">
        <f>IFERROR(VLOOKUP(C257,'INVONTERY FEB'!$A$6:$B$131,2,FALSE),"")</f>
        <v/>
      </c>
      <c r="E257" s="554" t="str">
        <f>IFERROR(VLOOKUP(D257,'INVONTERY FEB'!$B$6:$C$131,2,FALSE),"")</f>
        <v/>
      </c>
      <c r="F257" s="554" t="str">
        <f>IFERROR(VLOOKUP(D257,'INVONTERY FEB'!$B$6:$D$131,3,FALSE),"")</f>
        <v/>
      </c>
      <c r="G257" s="805"/>
      <c r="H257" s="805"/>
      <c r="I257" s="554">
        <f t="shared" si="3"/>
        <v>0</v>
      </c>
      <c r="J257" s="554">
        <f t="shared" si="2"/>
        <v>0</v>
      </c>
      <c r="K257" s="259"/>
      <c r="L257" s="102"/>
    </row>
    <row r="258" ht="15.75" customHeight="1">
      <c r="A258" s="805"/>
      <c r="B258" s="1088"/>
      <c r="C258" s="805"/>
      <c r="D258" s="554" t="str">
        <f>IFERROR(VLOOKUP(C258,'INVONTERY FEB'!$A$6:$B$131,2,FALSE),"")</f>
        <v/>
      </c>
      <c r="E258" s="554" t="str">
        <f>IFERROR(VLOOKUP(D258,'INVONTERY FEB'!$B$6:$C$131,2,FALSE),"")</f>
        <v/>
      </c>
      <c r="F258" s="554" t="str">
        <f>IFERROR(VLOOKUP(D258,'INVONTERY FEB'!$B$6:$D$131,3,FALSE),"")</f>
        <v/>
      </c>
      <c r="G258" s="805"/>
      <c r="H258" s="805"/>
      <c r="I258" s="554">
        <f t="shared" si="3"/>
        <v>0</v>
      </c>
      <c r="J258" s="554">
        <f t="shared" si="2"/>
        <v>0</v>
      </c>
      <c r="K258" s="259"/>
      <c r="L258" s="102"/>
    </row>
    <row r="259" ht="15.75" customHeight="1">
      <c r="A259" s="805"/>
      <c r="B259" s="1088"/>
      <c r="C259" s="805"/>
      <c r="D259" s="554" t="str">
        <f>IFERROR(VLOOKUP(C259,'INVONTERY FEB'!$A$6:$B$131,2,FALSE),"")</f>
        <v/>
      </c>
      <c r="E259" s="554" t="str">
        <f>IFERROR(VLOOKUP(D259,'INVONTERY FEB'!$B$6:$C$131,2,FALSE),"")</f>
        <v/>
      </c>
      <c r="F259" s="554" t="str">
        <f>IFERROR(VLOOKUP(D259,'INVONTERY FEB'!$B$6:$D$131,3,FALSE),"")</f>
        <v/>
      </c>
      <c r="G259" s="805"/>
      <c r="H259" s="805"/>
      <c r="I259" s="554">
        <f t="shared" si="3"/>
        <v>0</v>
      </c>
      <c r="J259" s="554">
        <f t="shared" si="2"/>
        <v>0</v>
      </c>
      <c r="K259" s="259"/>
      <c r="L259" s="102"/>
    </row>
    <row r="260" ht="15.75" customHeight="1">
      <c r="A260" s="805"/>
      <c r="B260" s="1088"/>
      <c r="C260" s="805"/>
      <c r="D260" s="554" t="str">
        <f>IFERROR(VLOOKUP(C260,'INVONTERY FEB'!$A$6:$B$131,2,FALSE),"")</f>
        <v/>
      </c>
      <c r="E260" s="554" t="str">
        <f>IFERROR(VLOOKUP(D260,'INVONTERY FEB'!$B$6:$C$131,2,FALSE),"")</f>
        <v/>
      </c>
      <c r="F260" s="554" t="str">
        <f>IFERROR(VLOOKUP(D260,'INVONTERY FEB'!$B$6:$D$131,3,FALSE),"")</f>
        <v/>
      </c>
      <c r="G260" s="805"/>
      <c r="H260" s="805"/>
      <c r="I260" s="554">
        <f t="shared" si="3"/>
        <v>0</v>
      </c>
      <c r="J260" s="554">
        <f t="shared" si="2"/>
        <v>0</v>
      </c>
      <c r="K260" s="259"/>
      <c r="L260" s="102"/>
    </row>
    <row r="261" ht="15.75" customHeight="1">
      <c r="A261" s="805"/>
      <c r="B261" s="1088"/>
      <c r="C261" s="805"/>
      <c r="D261" s="554" t="str">
        <f>IFERROR(VLOOKUP(C261,'INVONTERY FEB'!$A$6:$B$131,2,FALSE),"")</f>
        <v/>
      </c>
      <c r="E261" s="554" t="str">
        <f>IFERROR(VLOOKUP(D261,'INVONTERY FEB'!$B$6:$C$131,2,FALSE),"")</f>
        <v/>
      </c>
      <c r="F261" s="554" t="str">
        <f>IFERROR(VLOOKUP(D261,'INVONTERY FEB'!$B$6:$D$131,3,FALSE),"")</f>
        <v/>
      </c>
      <c r="G261" s="805"/>
      <c r="H261" s="805"/>
      <c r="I261" s="554">
        <f t="shared" si="3"/>
        <v>0</v>
      </c>
      <c r="J261" s="554">
        <f t="shared" si="2"/>
        <v>0</v>
      </c>
      <c r="K261" s="259"/>
      <c r="L261" s="102"/>
    </row>
    <row r="262" ht="15.75" customHeight="1">
      <c r="A262" s="805"/>
      <c r="B262" s="1088"/>
      <c r="C262" s="805"/>
      <c r="D262" s="554" t="str">
        <f>IFERROR(VLOOKUP(C262,'INVONTERY FEB'!$A$6:$B$131,2,FALSE),"")</f>
        <v/>
      </c>
      <c r="E262" s="554" t="str">
        <f>IFERROR(VLOOKUP(D262,'INVONTERY FEB'!$B$6:$C$131,2,FALSE),"")</f>
        <v/>
      </c>
      <c r="F262" s="554" t="str">
        <f>IFERROR(VLOOKUP(D262,'INVONTERY FEB'!$B$6:$D$131,3,FALSE),"")</f>
        <v/>
      </c>
      <c r="G262" s="805"/>
      <c r="H262" s="805"/>
      <c r="I262" s="554">
        <f t="shared" si="3"/>
        <v>0</v>
      </c>
      <c r="J262" s="554">
        <f t="shared" si="2"/>
        <v>0</v>
      </c>
      <c r="K262" s="259"/>
      <c r="L262" s="102"/>
    </row>
    <row r="263" ht="15.75" customHeight="1">
      <c r="A263" s="805"/>
      <c r="B263" s="1088"/>
      <c r="C263" s="805"/>
      <c r="D263" s="554" t="str">
        <f>IFERROR(VLOOKUP(C263,'INVONTERY FEB'!$A$6:$B$131,2,FALSE),"")</f>
        <v/>
      </c>
      <c r="E263" s="554" t="str">
        <f>IFERROR(VLOOKUP(D263,'INVONTERY FEB'!$B$6:$C$131,2,FALSE),"")</f>
        <v/>
      </c>
      <c r="F263" s="554" t="str">
        <f>IFERROR(VLOOKUP(D263,'INVONTERY FEB'!$B$6:$D$131,3,FALSE),"")</f>
        <v/>
      </c>
      <c r="G263" s="805"/>
      <c r="H263" s="805"/>
      <c r="I263" s="554">
        <f t="shared" si="3"/>
        <v>0</v>
      </c>
      <c r="J263" s="554">
        <f t="shared" si="2"/>
        <v>0</v>
      </c>
      <c r="K263" s="259"/>
      <c r="L263" s="102"/>
    </row>
    <row r="264" ht="15.75" customHeight="1">
      <c r="A264" s="805"/>
      <c r="B264" s="1088"/>
      <c r="C264" s="805"/>
      <c r="D264" s="554" t="str">
        <f>IFERROR(VLOOKUP(C264,'INVONTERY FEB'!$A$6:$B$131,2,FALSE),"")</f>
        <v/>
      </c>
      <c r="E264" s="554" t="str">
        <f>IFERROR(VLOOKUP(D264,'INVONTERY FEB'!$B$6:$C$131,2,FALSE),"")</f>
        <v/>
      </c>
      <c r="F264" s="554" t="str">
        <f>IFERROR(VLOOKUP(D264,'INVONTERY FEB'!$B$6:$D$131,3,FALSE),"")</f>
        <v/>
      </c>
      <c r="G264" s="805"/>
      <c r="H264" s="805"/>
      <c r="I264" s="554">
        <f t="shared" si="3"/>
        <v>0</v>
      </c>
      <c r="J264" s="554">
        <f t="shared" si="2"/>
        <v>0</v>
      </c>
      <c r="K264" s="259"/>
      <c r="L264" s="102"/>
    </row>
    <row r="265" ht="15.75" customHeight="1">
      <c r="A265" s="805"/>
      <c r="B265" s="1088"/>
      <c r="C265" s="805"/>
      <c r="D265" s="554" t="str">
        <f>IFERROR(VLOOKUP(C265,'INVONTERY FEB'!$A$6:$B$131,2,FALSE),"")</f>
        <v/>
      </c>
      <c r="E265" s="554" t="str">
        <f>IFERROR(VLOOKUP(D265,'INVONTERY FEB'!$B$6:$C$131,2,FALSE),"")</f>
        <v/>
      </c>
      <c r="F265" s="554" t="str">
        <f>IFERROR(VLOOKUP(D265,'INVONTERY FEB'!$B$6:$D$131,3,FALSE),"")</f>
        <v/>
      </c>
      <c r="G265" s="805"/>
      <c r="H265" s="805"/>
      <c r="I265" s="554">
        <f t="shared" si="3"/>
        <v>0</v>
      </c>
      <c r="J265" s="554">
        <f t="shared" si="2"/>
        <v>0</v>
      </c>
      <c r="K265" s="259"/>
      <c r="L265" s="102"/>
    </row>
    <row r="266" ht="15.75" customHeight="1">
      <c r="A266" s="805"/>
      <c r="B266" s="1088"/>
      <c r="C266" s="805"/>
      <c r="D266" s="554" t="str">
        <f>IFERROR(VLOOKUP(C266,'INVONTERY FEB'!$A$6:$B$131,2,FALSE),"")</f>
        <v/>
      </c>
      <c r="E266" s="554" t="str">
        <f>IFERROR(VLOOKUP(D266,'INVONTERY FEB'!$B$6:$C$131,2,FALSE),"")</f>
        <v/>
      </c>
      <c r="F266" s="554" t="str">
        <f>IFERROR(VLOOKUP(D266,'INVONTERY FEB'!$B$6:$D$131,3,FALSE),"")</f>
        <v/>
      </c>
      <c r="G266" s="805"/>
      <c r="H266" s="805"/>
      <c r="I266" s="554">
        <f t="shared" si="3"/>
        <v>0</v>
      </c>
      <c r="J266" s="554">
        <f t="shared" si="2"/>
        <v>0</v>
      </c>
      <c r="K266" s="259"/>
      <c r="L266" s="102"/>
    </row>
    <row r="267" ht="15.75" customHeight="1">
      <c r="A267" s="805"/>
      <c r="B267" s="1088"/>
      <c r="C267" s="805"/>
      <c r="D267" s="554" t="str">
        <f>IFERROR(VLOOKUP(C267,'INVONTERY FEB'!$A$6:$B$131,2,FALSE),"")</f>
        <v/>
      </c>
      <c r="E267" s="554" t="str">
        <f>IFERROR(VLOOKUP(D267,'INVONTERY FEB'!$B$6:$C$131,2,FALSE),"")</f>
        <v/>
      </c>
      <c r="F267" s="554" t="str">
        <f>IFERROR(VLOOKUP(D267,'INVONTERY FEB'!$B$6:$D$131,3,FALSE),"")</f>
        <v/>
      </c>
      <c r="G267" s="805"/>
      <c r="H267" s="805"/>
      <c r="I267" s="554">
        <f t="shared" si="3"/>
        <v>0</v>
      </c>
      <c r="J267" s="554">
        <f t="shared" si="2"/>
        <v>0</v>
      </c>
      <c r="K267" s="259"/>
      <c r="L267" s="102"/>
    </row>
    <row r="268" ht="15.75" customHeight="1">
      <c r="A268" s="805"/>
      <c r="B268" s="1088"/>
      <c r="C268" s="805"/>
      <c r="D268" s="554" t="str">
        <f>IFERROR(VLOOKUP(C268,'INVONTERY FEB'!$A$6:$B$131,2,FALSE),"")</f>
        <v/>
      </c>
      <c r="E268" s="554" t="str">
        <f>IFERROR(VLOOKUP(D268,'INVONTERY FEB'!$B$6:$C$131,2,FALSE),"")</f>
        <v/>
      </c>
      <c r="F268" s="554" t="str">
        <f>IFERROR(VLOOKUP(D268,'INVONTERY FEB'!$B$6:$D$131,3,FALSE),"")</f>
        <v/>
      </c>
      <c r="G268" s="805"/>
      <c r="H268" s="805"/>
      <c r="I268" s="554">
        <f t="shared" si="3"/>
        <v>0</v>
      </c>
      <c r="J268" s="554">
        <f t="shared" si="2"/>
        <v>0</v>
      </c>
      <c r="K268" s="259"/>
      <c r="L268" s="102"/>
    </row>
    <row r="269" ht="15.75" customHeight="1">
      <c r="A269" s="805"/>
      <c r="B269" s="1088"/>
      <c r="C269" s="805"/>
      <c r="D269" s="554" t="str">
        <f>IFERROR(VLOOKUP(C269,'INVONTERY FEB'!$A$6:$B$131,2,FALSE),"")</f>
        <v/>
      </c>
      <c r="E269" s="554" t="str">
        <f>IFERROR(VLOOKUP(D269,'INVONTERY FEB'!$B$6:$C$131,2,FALSE),"")</f>
        <v/>
      </c>
      <c r="F269" s="554" t="str">
        <f>IFERROR(VLOOKUP(D269,'INVONTERY FEB'!$B$6:$D$131,3,FALSE),"")</f>
        <v/>
      </c>
      <c r="G269" s="805"/>
      <c r="H269" s="805"/>
      <c r="I269" s="554">
        <f t="shared" si="3"/>
        <v>0</v>
      </c>
      <c r="J269" s="554">
        <f t="shared" si="2"/>
        <v>0</v>
      </c>
      <c r="K269" s="259"/>
      <c r="L269" s="102"/>
    </row>
    <row r="270" ht="15.75" customHeight="1">
      <c r="A270" s="805"/>
      <c r="B270" s="1088"/>
      <c r="C270" s="805"/>
      <c r="D270" s="554" t="str">
        <f>IFERROR(VLOOKUP(C270,'INVONTERY FEB'!$A$6:$B$131,2,FALSE),"")</f>
        <v/>
      </c>
      <c r="E270" s="554" t="str">
        <f>IFERROR(VLOOKUP(D270,'INVONTERY FEB'!$B$6:$C$131,2,FALSE),"")</f>
        <v/>
      </c>
      <c r="F270" s="554" t="str">
        <f>IFERROR(VLOOKUP(D270,'INVONTERY FEB'!$B$6:$D$131,3,FALSE),"")</f>
        <v/>
      </c>
      <c r="G270" s="805"/>
      <c r="H270" s="805"/>
      <c r="I270" s="554">
        <f t="shared" si="3"/>
        <v>0</v>
      </c>
      <c r="J270" s="554">
        <f t="shared" si="2"/>
        <v>0</v>
      </c>
      <c r="K270" s="259"/>
      <c r="L270" s="102"/>
    </row>
    <row r="271" ht="15.75" customHeight="1">
      <c r="A271" s="805"/>
      <c r="B271" s="1088"/>
      <c r="C271" s="805"/>
      <c r="D271" s="554" t="str">
        <f>IFERROR(VLOOKUP(C271,'INVONTERY FEB'!$A$6:$B$131,2,FALSE),"")</f>
        <v/>
      </c>
      <c r="E271" s="554" t="str">
        <f>IFERROR(VLOOKUP(D271,'INVONTERY FEB'!$B$6:$C$131,2,FALSE),"")</f>
        <v/>
      </c>
      <c r="F271" s="554" t="str">
        <f>IFERROR(VLOOKUP(D271,'INVONTERY FEB'!$B$6:$D$131,3,FALSE),"")</f>
        <v/>
      </c>
      <c r="G271" s="805"/>
      <c r="H271" s="805"/>
      <c r="I271" s="554">
        <f t="shared" si="3"/>
        <v>0</v>
      </c>
      <c r="J271" s="554">
        <f t="shared" si="2"/>
        <v>0</v>
      </c>
      <c r="K271" s="259"/>
      <c r="L271" s="102"/>
    </row>
    <row r="272" ht="15.75" customHeight="1">
      <c r="A272" s="805"/>
      <c r="B272" s="1088"/>
      <c r="C272" s="805"/>
      <c r="D272" s="554" t="str">
        <f>IFERROR(VLOOKUP(C272,'INVONTERY FEB'!$A$6:$B$131,2,FALSE),"")</f>
        <v/>
      </c>
      <c r="E272" s="554" t="str">
        <f>IFERROR(VLOOKUP(D272,'INVONTERY FEB'!$B$6:$C$131,2,FALSE),"")</f>
        <v/>
      </c>
      <c r="F272" s="554" t="str">
        <f>IFERROR(VLOOKUP(D272,'INVONTERY FEB'!$B$6:$D$131,3,FALSE),"")</f>
        <v/>
      </c>
      <c r="G272" s="805"/>
      <c r="H272" s="805"/>
      <c r="I272" s="554">
        <f t="shared" si="3"/>
        <v>0</v>
      </c>
      <c r="J272" s="554">
        <f t="shared" si="2"/>
        <v>0</v>
      </c>
      <c r="K272" s="259"/>
      <c r="L272" s="102"/>
    </row>
    <row r="273" ht="15.75" customHeight="1">
      <c r="A273" s="805"/>
      <c r="B273" s="1088"/>
      <c r="C273" s="805"/>
      <c r="D273" s="554" t="str">
        <f>IFERROR(VLOOKUP(C273,'INVONTERY FEB'!$A$6:$B$131,2,FALSE),"")</f>
        <v/>
      </c>
      <c r="E273" s="554" t="str">
        <f>IFERROR(VLOOKUP(D273,'INVONTERY FEB'!$B$6:$C$131,2,FALSE),"")</f>
        <v/>
      </c>
      <c r="F273" s="554" t="str">
        <f>IFERROR(VLOOKUP(D273,'INVONTERY FEB'!$B$6:$D$131,3,FALSE),"")</f>
        <v/>
      </c>
      <c r="G273" s="805"/>
      <c r="H273" s="805"/>
      <c r="I273" s="554">
        <f t="shared" si="3"/>
        <v>0</v>
      </c>
      <c r="J273" s="554">
        <f t="shared" si="2"/>
        <v>0</v>
      </c>
      <c r="K273" s="259"/>
      <c r="L273" s="102"/>
    </row>
    <row r="274" ht="15.75" customHeight="1">
      <c r="A274" s="805"/>
      <c r="B274" s="1088"/>
      <c r="C274" s="805"/>
      <c r="D274" s="554" t="str">
        <f>IFERROR(VLOOKUP(C274,'INVONTERY FEB'!$A$6:$B$131,2,FALSE),"")</f>
        <v/>
      </c>
      <c r="E274" s="554" t="str">
        <f>IFERROR(VLOOKUP(D274,'INVONTERY FEB'!$B$6:$C$131,2,FALSE),"")</f>
        <v/>
      </c>
      <c r="F274" s="554" t="str">
        <f>IFERROR(VLOOKUP(D274,'INVONTERY FEB'!$B$6:$D$131,3,FALSE),"")</f>
        <v/>
      </c>
      <c r="G274" s="805"/>
      <c r="H274" s="805"/>
      <c r="I274" s="554">
        <f t="shared" si="3"/>
        <v>0</v>
      </c>
      <c r="J274" s="554">
        <f t="shared" si="2"/>
        <v>0</v>
      </c>
      <c r="K274" s="259"/>
      <c r="L274" s="102"/>
    </row>
    <row r="275" ht="15.75" customHeight="1">
      <c r="A275" s="805"/>
      <c r="B275" s="1088"/>
      <c r="C275" s="805"/>
      <c r="D275" s="554" t="str">
        <f>IFERROR(VLOOKUP(C275,'INVONTERY FEB'!$A$6:$B$131,2,FALSE),"")</f>
        <v/>
      </c>
      <c r="E275" s="554" t="str">
        <f>IFERROR(VLOOKUP(D275,'INVONTERY FEB'!$B$6:$C$131,2,FALSE),"")</f>
        <v/>
      </c>
      <c r="F275" s="554" t="str">
        <f>IFERROR(VLOOKUP(D275,'INVONTERY FEB'!$B$6:$D$131,3,FALSE),"")</f>
        <v/>
      </c>
      <c r="G275" s="805"/>
      <c r="H275" s="805"/>
      <c r="I275" s="554">
        <f t="shared" si="3"/>
        <v>0</v>
      </c>
      <c r="J275" s="554">
        <f t="shared" si="2"/>
        <v>0</v>
      </c>
      <c r="K275" s="259"/>
      <c r="L275" s="102"/>
    </row>
    <row r="276" ht="15.75" customHeight="1">
      <c r="A276" s="805"/>
      <c r="B276" s="1088"/>
      <c r="C276" s="805"/>
      <c r="D276" s="554" t="str">
        <f>IFERROR(VLOOKUP(C276,'INVONTERY FEB'!$A$6:$B$131,2,FALSE),"")</f>
        <v/>
      </c>
      <c r="E276" s="554" t="str">
        <f>IFERROR(VLOOKUP(D276,'INVONTERY FEB'!$B$6:$C$131,2,FALSE),"")</f>
        <v/>
      </c>
      <c r="F276" s="554" t="str">
        <f>IFERROR(VLOOKUP(D276,'INVONTERY FEB'!$B$6:$D$131,3,FALSE),"")</f>
        <v/>
      </c>
      <c r="G276" s="805"/>
      <c r="H276" s="805"/>
      <c r="I276" s="554">
        <f t="shared" si="3"/>
        <v>0</v>
      </c>
      <c r="J276" s="554">
        <f t="shared" si="2"/>
        <v>0</v>
      </c>
      <c r="K276" s="259"/>
      <c r="L276" s="102"/>
    </row>
    <row r="277" ht="15.75" customHeight="1">
      <c r="A277" s="805"/>
      <c r="B277" s="1095"/>
      <c r="C277" s="805"/>
      <c r="D277" s="554" t="str">
        <f>IFERROR(VLOOKUP(C277,'INVONTERY FEB'!$A$6:$B$131,2,FALSE),"")</f>
        <v/>
      </c>
      <c r="E277" s="554" t="str">
        <f>IFERROR(VLOOKUP(D277,'INVONTERY FEB'!$B$6:$C$131,2,FALSE),"")</f>
        <v/>
      </c>
      <c r="F277" s="554" t="str">
        <f>IFERROR(VLOOKUP(D277,'INVONTERY FEB'!$B$6:$D$131,3,FALSE),"")</f>
        <v/>
      </c>
      <c r="G277" s="805"/>
      <c r="H277" s="805"/>
      <c r="I277" s="554">
        <f t="shared" si="3"/>
        <v>0</v>
      </c>
      <c r="J277" s="554">
        <f t="shared" si="2"/>
        <v>0</v>
      </c>
      <c r="K277" s="259"/>
      <c r="L277" s="259"/>
    </row>
    <row r="278" ht="15.75" customHeight="1">
      <c r="A278" s="805"/>
      <c r="B278" s="1095"/>
      <c r="C278" s="805"/>
      <c r="D278" s="554" t="str">
        <f>IFERROR(VLOOKUP(C278,'INVONTERY FEB'!$A$6:$B$131,2,FALSE),"")</f>
        <v/>
      </c>
      <c r="E278" s="554" t="str">
        <f>IFERROR(VLOOKUP(D278,'INVONTERY FEB'!$B$6:$C$131,2,FALSE),"")</f>
        <v/>
      </c>
      <c r="F278" s="554" t="str">
        <f>IFERROR(VLOOKUP(D278,'INVONTERY FEB'!$B$6:$D$131,3,FALSE),"")</f>
        <v/>
      </c>
      <c r="G278" s="805"/>
      <c r="H278" s="805"/>
      <c r="I278" s="554">
        <f t="shared" si="3"/>
        <v>0</v>
      </c>
      <c r="J278" s="554">
        <f t="shared" si="2"/>
        <v>0</v>
      </c>
      <c r="K278" s="259"/>
      <c r="L278" s="259"/>
    </row>
    <row r="279" ht="15.75" customHeight="1">
      <c r="A279" s="805"/>
      <c r="B279" s="1095"/>
      <c r="C279" s="805"/>
      <c r="D279" s="554" t="str">
        <f>IFERROR(VLOOKUP(C279,'INVONTERY FEB'!$A$6:$B$131,2,FALSE),"")</f>
        <v/>
      </c>
      <c r="E279" s="554" t="str">
        <f>IFERROR(VLOOKUP(D279,'INVONTERY FEB'!$B$6:$C$131,2,FALSE),"")</f>
        <v/>
      </c>
      <c r="F279" s="554" t="str">
        <f>IFERROR(VLOOKUP(D279,'INVONTERY FEB'!$B$6:$D$131,3,FALSE),"")</f>
        <v/>
      </c>
      <c r="G279" s="554"/>
      <c r="H279" s="805"/>
      <c r="I279" s="554">
        <f t="shared" si="3"/>
        <v>0</v>
      </c>
      <c r="J279" s="554">
        <f t="shared" si="2"/>
        <v>0</v>
      </c>
      <c r="K279" s="259"/>
      <c r="L279" s="102"/>
    </row>
    <row r="280" ht="15.75" customHeight="1">
      <c r="A280" s="805"/>
      <c r="B280" s="1095"/>
      <c r="C280" s="805"/>
      <c r="D280" s="554" t="str">
        <f>IFERROR(VLOOKUP(C280,'INVONTERY FEB'!$A$6:$B$131,2,FALSE),"")</f>
        <v/>
      </c>
      <c r="E280" s="554" t="str">
        <f>IFERROR(VLOOKUP(D280,'INVONTERY FEB'!$B$6:$C$131,2,FALSE),"")</f>
        <v/>
      </c>
      <c r="F280" s="554" t="str">
        <f>IFERROR(VLOOKUP(D280,'INVONTERY FEB'!$B$6:$D$131,3,FALSE),"")</f>
        <v/>
      </c>
      <c r="G280" s="805"/>
      <c r="H280" s="805"/>
      <c r="I280" s="554">
        <f t="shared" si="3"/>
        <v>0</v>
      </c>
      <c r="J280" s="554">
        <f t="shared" si="2"/>
        <v>0</v>
      </c>
      <c r="K280" s="259"/>
      <c r="L280" s="102"/>
    </row>
    <row r="281" ht="15.75" customHeight="1">
      <c r="A281" s="805"/>
      <c r="B281" s="1095"/>
      <c r="C281" s="805"/>
      <c r="D281" s="554" t="str">
        <f>IFERROR(VLOOKUP(C281,'INVONTERY FEB'!$A$6:$B$131,2,FALSE),"")</f>
        <v/>
      </c>
      <c r="E281" s="554" t="str">
        <f>IFERROR(VLOOKUP(D281,'INVONTERY FEB'!$B$6:$C$131,2,FALSE),"")</f>
        <v/>
      </c>
      <c r="F281" s="554" t="str">
        <f>IFERROR(VLOOKUP(D281,'INVONTERY FEB'!$B$6:$D$131,3,FALSE),"")</f>
        <v/>
      </c>
      <c r="G281" s="805"/>
      <c r="H281" s="805"/>
      <c r="I281" s="554">
        <f t="shared" si="3"/>
        <v>0</v>
      </c>
      <c r="J281" s="554">
        <f t="shared" si="2"/>
        <v>0</v>
      </c>
      <c r="K281" s="259"/>
      <c r="L281" s="259"/>
    </row>
    <row r="282" ht="15.75" customHeight="1">
      <c r="A282" s="805"/>
      <c r="B282" s="1095"/>
      <c r="C282" s="805"/>
      <c r="D282" s="554" t="str">
        <f>IFERROR(VLOOKUP(C282,'INVONTERY FEB'!$A$6:$B$131,2,FALSE),"")</f>
        <v/>
      </c>
      <c r="E282" s="554" t="str">
        <f>IFERROR(VLOOKUP(D282,'INVONTERY FEB'!$B$6:$C$131,2,FALSE),"")</f>
        <v/>
      </c>
      <c r="F282" s="554" t="str">
        <f>IFERROR(VLOOKUP(D282,'INVONTERY FEB'!$B$6:$D$131,3,FALSE),"")</f>
        <v/>
      </c>
      <c r="G282" s="805"/>
      <c r="H282" s="805"/>
      <c r="I282" s="554">
        <f t="shared" si="3"/>
        <v>0</v>
      </c>
      <c r="J282" s="554">
        <f t="shared" si="2"/>
        <v>0</v>
      </c>
      <c r="K282" s="259"/>
      <c r="L282" s="259"/>
    </row>
    <row r="283" ht="15.75" customHeight="1">
      <c r="A283" s="805"/>
      <c r="B283" s="1095"/>
      <c r="C283" s="805"/>
      <c r="D283" s="554" t="str">
        <f>IFERROR(VLOOKUP(C283,'INVONTERY FEB'!$A$6:$B$131,2,FALSE),"")</f>
        <v/>
      </c>
      <c r="E283" s="554" t="str">
        <f>IFERROR(VLOOKUP(D283,'INVONTERY FEB'!$B$6:$C$131,2,FALSE),"")</f>
        <v/>
      </c>
      <c r="F283" s="554" t="str">
        <f>IFERROR(VLOOKUP(D283,'INVONTERY FEB'!$B$6:$D$131,3,FALSE),"")</f>
        <v/>
      </c>
      <c r="G283" s="805"/>
      <c r="H283" s="805"/>
      <c r="I283" s="554">
        <f t="shared" si="3"/>
        <v>0</v>
      </c>
      <c r="J283" s="554">
        <f t="shared" si="2"/>
        <v>0</v>
      </c>
      <c r="K283" s="259"/>
      <c r="L283" s="102"/>
    </row>
    <row r="284" ht="15.75" customHeight="1">
      <c r="A284" s="805"/>
      <c r="B284" s="1095"/>
      <c r="C284" s="805"/>
      <c r="D284" s="554" t="str">
        <f>IFERROR(VLOOKUP(C284,'INVONTERY FEB'!$A$6:$B$131,2,FALSE),"")</f>
        <v/>
      </c>
      <c r="E284" s="554" t="str">
        <f>IFERROR(VLOOKUP(D284,'INVONTERY FEB'!$B$6:$C$131,2,FALSE),"")</f>
        <v/>
      </c>
      <c r="F284" s="554" t="str">
        <f>IFERROR(VLOOKUP(D284,'INVONTERY FEB'!$B$6:$D$131,3,FALSE),"")</f>
        <v/>
      </c>
      <c r="G284" s="805"/>
      <c r="H284" s="805"/>
      <c r="I284" s="554">
        <f t="shared" si="3"/>
        <v>0</v>
      </c>
      <c r="J284" s="554">
        <f t="shared" si="2"/>
        <v>0</v>
      </c>
      <c r="K284" s="259"/>
      <c r="L284" s="102"/>
    </row>
    <row r="285" ht="15.75" customHeight="1">
      <c r="A285" s="805"/>
      <c r="B285" s="1095"/>
      <c r="C285" s="805"/>
      <c r="D285" s="554" t="str">
        <f>IFERROR(VLOOKUP(C285,'INVONTERY FEB'!$A$6:$B$131,2,FALSE),"")</f>
        <v/>
      </c>
      <c r="E285" s="554" t="str">
        <f>IFERROR(VLOOKUP(D285,'INVONTERY FEB'!$B$6:$C$131,2,FALSE),"")</f>
        <v/>
      </c>
      <c r="F285" s="554" t="str">
        <f>IFERROR(VLOOKUP(D285,'INVONTERY FEB'!$B$6:$D$131,3,FALSE),"")</f>
        <v/>
      </c>
      <c r="G285" s="805"/>
      <c r="H285" s="805"/>
      <c r="I285" s="556">
        <f t="shared" si="3"/>
        <v>0</v>
      </c>
      <c r="J285" s="554">
        <f t="shared" si="2"/>
        <v>0</v>
      </c>
      <c r="K285" s="259"/>
      <c r="L285" s="102"/>
    </row>
    <row r="286" ht="15.75" customHeight="1">
      <c r="A286" s="805"/>
      <c r="B286" s="1095"/>
      <c r="C286" s="805"/>
      <c r="D286" s="554" t="str">
        <f>IFERROR(VLOOKUP(C286,'INVONTERY FEB'!$A$6:$B$131,2,FALSE),"")</f>
        <v/>
      </c>
      <c r="E286" s="554" t="str">
        <f>IFERROR(VLOOKUP(D286,'INVONTERY FEB'!$B$6:$C$131,2,FALSE),"")</f>
        <v/>
      </c>
      <c r="F286" s="554" t="str">
        <f>IFERROR(VLOOKUP(D286,'INVONTERY FEB'!$B$6:$D$131,3,FALSE),"")</f>
        <v/>
      </c>
      <c r="G286" s="805"/>
      <c r="H286" s="805"/>
      <c r="I286" s="554">
        <f t="shared" si="3"/>
        <v>0</v>
      </c>
      <c r="J286" s="554">
        <f t="shared" si="2"/>
        <v>0</v>
      </c>
      <c r="K286" s="259"/>
      <c r="L286" s="102"/>
    </row>
    <row r="287" ht="15.75" customHeight="1">
      <c r="A287" s="805"/>
      <c r="B287" s="1095"/>
      <c r="C287" s="805"/>
      <c r="D287" s="554" t="str">
        <f>IFERROR(VLOOKUP(C287,'INVONTERY FEB'!$A$6:$B$131,2,FALSE),"")</f>
        <v/>
      </c>
      <c r="E287" s="554" t="str">
        <f>IFERROR(VLOOKUP(D287,'INVONTERY FEB'!$B$6:$C$131,2,FALSE),"")</f>
        <v/>
      </c>
      <c r="F287" s="554" t="str">
        <f>IFERROR(VLOOKUP(D287,'INVONTERY FEB'!$B$6:$D$131,3,FALSE),"")</f>
        <v/>
      </c>
      <c r="G287" s="805"/>
      <c r="H287" s="805"/>
      <c r="I287" s="554">
        <f t="shared" si="3"/>
        <v>0</v>
      </c>
      <c r="J287" s="554">
        <f t="shared" si="2"/>
        <v>0</v>
      </c>
      <c r="K287" s="259"/>
      <c r="L287" s="102"/>
    </row>
    <row r="288" ht="15.75" customHeight="1">
      <c r="A288" s="805"/>
      <c r="B288" s="1095"/>
      <c r="C288" s="805"/>
      <c r="D288" s="554" t="str">
        <f>IFERROR(VLOOKUP(C288,'INVONTERY FEB'!$A$6:$B$131,2,FALSE),"")</f>
        <v/>
      </c>
      <c r="E288" s="554" t="str">
        <f>IFERROR(VLOOKUP(D288,'INVONTERY FEB'!$B$6:$C$131,2,FALSE),"")</f>
        <v/>
      </c>
      <c r="F288" s="554" t="str">
        <f>IFERROR(VLOOKUP(D288,'INVONTERY FEB'!$B$6:$D$131,3,FALSE),"")</f>
        <v/>
      </c>
      <c r="G288" s="805"/>
      <c r="H288" s="805"/>
      <c r="I288" s="554">
        <f t="shared" si="3"/>
        <v>0</v>
      </c>
      <c r="J288" s="554">
        <f t="shared" si="2"/>
        <v>0</v>
      </c>
      <c r="K288" s="259"/>
      <c r="L288" s="102"/>
    </row>
    <row r="289" ht="15.75" customHeight="1">
      <c r="A289" s="805"/>
      <c r="B289" s="1095"/>
      <c r="C289" s="805"/>
      <c r="D289" s="554" t="str">
        <f>IFERROR(VLOOKUP(C289,'INVONTERY FEB'!$A$6:$B$131,2,FALSE),"")</f>
        <v/>
      </c>
      <c r="E289" s="554" t="str">
        <f>IFERROR(VLOOKUP(D289,'INVONTERY FEB'!$B$6:$C$131,2,FALSE),"")</f>
        <v/>
      </c>
      <c r="F289" s="554" t="str">
        <f>IFERROR(VLOOKUP(D289,'INVONTERY FEB'!$B$6:$D$131,3,FALSE),"")</f>
        <v/>
      </c>
      <c r="G289" s="805"/>
      <c r="H289" s="805"/>
      <c r="I289" s="554">
        <f t="shared" si="3"/>
        <v>0</v>
      </c>
      <c r="J289" s="554">
        <f t="shared" si="2"/>
        <v>0</v>
      </c>
      <c r="K289" s="259"/>
      <c r="L289" s="102"/>
    </row>
    <row r="290" ht="15.75" customHeight="1">
      <c r="A290" s="805"/>
      <c r="B290" s="1095"/>
      <c r="C290" s="805"/>
      <c r="D290" s="554" t="str">
        <f>IFERROR(VLOOKUP(C290,'INVONTERY FEB'!$A$6:$B$131,2,FALSE),"")</f>
        <v/>
      </c>
      <c r="E290" s="554" t="str">
        <f>IFERROR(VLOOKUP(D290,'INVONTERY FEB'!$B$6:$C$131,2,FALSE),"")</f>
        <v/>
      </c>
      <c r="F290" s="554" t="str">
        <f>IFERROR(VLOOKUP(D290,'INVONTERY FEB'!$B$6:$D$131,3,FALSE),"")</f>
        <v/>
      </c>
      <c r="G290" s="805"/>
      <c r="H290" s="805"/>
      <c r="I290" s="554">
        <f t="shared" si="3"/>
        <v>0</v>
      </c>
      <c r="J290" s="554">
        <f t="shared" si="2"/>
        <v>0</v>
      </c>
      <c r="K290" s="259"/>
      <c r="L290" s="102"/>
    </row>
    <row r="291" ht="15.75" customHeight="1">
      <c r="A291" s="805"/>
      <c r="B291" s="1095"/>
      <c r="C291" s="805"/>
      <c r="D291" s="554" t="str">
        <f>IFERROR(VLOOKUP(C291,'INVONTERY FEB'!$A$6:$B$131,2,FALSE),"")</f>
        <v/>
      </c>
      <c r="E291" s="554" t="str">
        <f>IFERROR(VLOOKUP(D291,'INVONTERY FEB'!$B$6:$C$131,2,FALSE),"")</f>
        <v/>
      </c>
      <c r="F291" s="554" t="str">
        <f>IFERROR(VLOOKUP(D291,'INVONTERY FEB'!$B$6:$D$131,3,FALSE),"")</f>
        <v/>
      </c>
      <c r="G291" s="805"/>
      <c r="H291" s="805"/>
      <c r="I291" s="554">
        <f t="shared" si="3"/>
        <v>0</v>
      </c>
      <c r="J291" s="554">
        <f t="shared" si="2"/>
        <v>0</v>
      </c>
      <c r="K291" s="259"/>
      <c r="L291" s="102"/>
    </row>
    <row r="292" ht="15.75" customHeight="1">
      <c r="A292" s="805"/>
      <c r="B292" s="1095"/>
      <c r="C292" s="805"/>
      <c r="D292" s="554" t="str">
        <f>IFERROR(VLOOKUP(C292,'INVONTERY FEB'!$A$6:$B$131,2,FALSE),"")</f>
        <v/>
      </c>
      <c r="E292" s="554" t="str">
        <f>IFERROR(VLOOKUP(D292,'INVONTERY FEB'!$B$6:$C$131,2,FALSE),"")</f>
        <v/>
      </c>
      <c r="F292" s="554" t="str">
        <f>IFERROR(VLOOKUP(D292,'INVONTERY FEB'!$B$6:$D$131,3,FALSE),"")</f>
        <v/>
      </c>
      <c r="G292" s="805"/>
      <c r="H292" s="805"/>
      <c r="I292" s="554">
        <f t="shared" si="3"/>
        <v>0</v>
      </c>
      <c r="J292" s="554">
        <f t="shared" si="2"/>
        <v>0</v>
      </c>
      <c r="K292" s="259"/>
      <c r="L292" s="102"/>
    </row>
    <row r="293" ht="15.75" customHeight="1">
      <c r="A293" s="805"/>
      <c r="B293" s="1088"/>
      <c r="C293" s="805"/>
      <c r="D293" s="554" t="str">
        <f>IFERROR(VLOOKUP(C293,'INVONTERY FEB'!$A$6:$B$131,2,FALSE),"")</f>
        <v/>
      </c>
      <c r="E293" s="554" t="str">
        <f>IFERROR(VLOOKUP(D293,'INVONTERY FEB'!$B$6:$C$131,2,FALSE),"")</f>
        <v/>
      </c>
      <c r="F293" s="554" t="str">
        <f>IFERROR(VLOOKUP(D293,'INVONTERY FEB'!$B$6:$D$131,3,FALSE),"")</f>
        <v/>
      </c>
      <c r="G293" s="805"/>
      <c r="H293" s="805"/>
      <c r="I293" s="554">
        <f t="shared" si="3"/>
        <v>0</v>
      </c>
      <c r="J293" s="554">
        <f t="shared" si="2"/>
        <v>0</v>
      </c>
      <c r="K293" s="259"/>
      <c r="L293" s="102"/>
    </row>
    <row r="294" ht="15.75" customHeight="1">
      <c r="A294" s="805"/>
      <c r="B294" s="1088"/>
      <c r="C294" s="805"/>
      <c r="D294" s="554" t="str">
        <f>IFERROR(VLOOKUP(C294,'INVONTERY FEB'!$A$6:$B$131,2,FALSE),"")</f>
        <v/>
      </c>
      <c r="E294" s="554" t="str">
        <f>IFERROR(VLOOKUP(D294,'INVONTERY FEB'!$B$6:$C$131,2,FALSE),"")</f>
        <v/>
      </c>
      <c r="F294" s="554" t="str">
        <f>IFERROR(VLOOKUP(D294,'INVONTERY FEB'!$B$6:$D$131,3,FALSE),"")</f>
        <v/>
      </c>
      <c r="G294" s="805"/>
      <c r="H294" s="805"/>
      <c r="I294" s="554">
        <f t="shared" si="3"/>
        <v>0</v>
      </c>
      <c r="J294" s="554">
        <f t="shared" si="2"/>
        <v>0</v>
      </c>
      <c r="K294" s="259"/>
      <c r="L294" s="102"/>
    </row>
    <row r="295" ht="15.75" customHeight="1">
      <c r="A295" s="805"/>
      <c r="B295" s="1088"/>
      <c r="C295" s="805"/>
      <c r="D295" s="554" t="str">
        <f>IFERROR(VLOOKUP(C295,'INVONTERY FEB'!$A$6:$B$131,2,FALSE),"")</f>
        <v/>
      </c>
      <c r="E295" s="554" t="str">
        <f>IFERROR(VLOOKUP(D295,'INVONTERY FEB'!$B$6:$C$131,2,FALSE),"")</f>
        <v/>
      </c>
      <c r="F295" s="554" t="str">
        <f>IFERROR(VLOOKUP(D295,'INVONTERY FEB'!$B$6:$D$131,3,FALSE),"")</f>
        <v/>
      </c>
      <c r="G295" s="805"/>
      <c r="H295" s="805"/>
      <c r="I295" s="554">
        <f t="shared" si="3"/>
        <v>0</v>
      </c>
      <c r="J295" s="554">
        <f t="shared" si="2"/>
        <v>0</v>
      </c>
      <c r="K295" s="259"/>
      <c r="L295" s="102"/>
    </row>
    <row r="296" ht="15.75" customHeight="1">
      <c r="A296" s="805"/>
      <c r="B296" s="1088"/>
      <c r="C296" s="805"/>
      <c r="D296" s="554" t="str">
        <f>IFERROR(VLOOKUP(C296,'INVONTERY FEB'!$A$6:$B$131,2,FALSE),"")</f>
        <v/>
      </c>
      <c r="E296" s="554" t="str">
        <f>IFERROR(VLOOKUP(D296,'INVONTERY FEB'!$B$6:$C$131,2,FALSE),"")</f>
        <v/>
      </c>
      <c r="F296" s="554" t="str">
        <f>IFERROR(VLOOKUP(D296,'INVONTERY FEB'!$B$6:$D$131,3,FALSE),"")</f>
        <v/>
      </c>
      <c r="G296" s="805"/>
      <c r="H296" s="805"/>
      <c r="I296" s="554">
        <f t="shared" si="3"/>
        <v>0</v>
      </c>
      <c r="J296" s="554">
        <f t="shared" si="2"/>
        <v>0</v>
      </c>
      <c r="K296" s="259"/>
      <c r="L296" s="102"/>
    </row>
    <row r="297" ht="15.75" customHeight="1">
      <c r="A297" s="805"/>
      <c r="B297" s="1088"/>
      <c r="C297" s="805"/>
      <c r="D297" s="554" t="str">
        <f>IFERROR(VLOOKUP(C297,'INVONTERY FEB'!$A$6:$B$131,2,FALSE),"")</f>
        <v/>
      </c>
      <c r="E297" s="554" t="str">
        <f>IFERROR(VLOOKUP(D297,'INVONTERY FEB'!$B$6:$C$131,2,FALSE),"")</f>
        <v/>
      </c>
      <c r="F297" s="554" t="str">
        <f>IFERROR(VLOOKUP(D297,'INVONTERY FEB'!$B$6:$D$131,3,FALSE),"")</f>
        <v/>
      </c>
      <c r="G297" s="805"/>
      <c r="H297" s="805"/>
      <c r="I297" s="554">
        <f t="shared" si="3"/>
        <v>0</v>
      </c>
      <c r="J297" s="554">
        <f t="shared" si="2"/>
        <v>0</v>
      </c>
      <c r="K297" s="259"/>
      <c r="L297" s="102"/>
    </row>
    <row r="298" ht="15.75" customHeight="1">
      <c r="A298" s="805"/>
      <c r="B298" s="1088"/>
      <c r="C298" s="805"/>
      <c r="D298" s="554" t="str">
        <f>IFERROR(VLOOKUP(C298,'INVONTERY FEB'!$A$6:$B$131,2,FALSE),"")</f>
        <v/>
      </c>
      <c r="E298" s="554" t="str">
        <f>IFERROR(VLOOKUP(D298,'INVONTERY FEB'!$B$6:$C$131,2,FALSE),"")</f>
        <v/>
      </c>
      <c r="F298" s="554" t="str">
        <f>IFERROR(VLOOKUP(D298,'INVONTERY FEB'!$B$6:$D$131,3,FALSE),"")</f>
        <v/>
      </c>
      <c r="G298" s="805"/>
      <c r="H298" s="805"/>
      <c r="I298" s="554">
        <f t="shared" si="3"/>
        <v>0</v>
      </c>
      <c r="J298" s="554">
        <f t="shared" si="2"/>
        <v>0</v>
      </c>
      <c r="K298" s="259"/>
      <c r="L298" s="102"/>
    </row>
    <row r="299" ht="15.75" customHeight="1">
      <c r="A299" s="805"/>
      <c r="B299" s="1088"/>
      <c r="C299" s="805"/>
      <c r="D299" s="554" t="str">
        <f>IFERROR(VLOOKUP(C299,'INVONTERY FEB'!$A$6:$B$131,2,FALSE),"")</f>
        <v/>
      </c>
      <c r="E299" s="554" t="str">
        <f>IFERROR(VLOOKUP(D299,'INVONTERY FEB'!$B$6:$C$131,2,FALSE),"")</f>
        <v/>
      </c>
      <c r="F299" s="554" t="str">
        <f>IFERROR(VLOOKUP(D299,'INVONTERY FEB'!$B$6:$D$131,3,FALSE),"")</f>
        <v/>
      </c>
      <c r="G299" s="805"/>
      <c r="H299" s="805"/>
      <c r="I299" s="554">
        <f t="shared" si="3"/>
        <v>0</v>
      </c>
      <c r="J299" s="554">
        <f t="shared" si="2"/>
        <v>0</v>
      </c>
      <c r="K299" s="259"/>
      <c r="L299" s="102"/>
    </row>
    <row r="300" ht="15.75" customHeight="1">
      <c r="A300" s="805"/>
      <c r="B300" s="1088"/>
      <c r="C300" s="805"/>
      <c r="D300" s="554" t="str">
        <f>IFERROR(VLOOKUP(C300,'INVONTERY FEB'!$A$6:$B$131,2,FALSE),"")</f>
        <v/>
      </c>
      <c r="E300" s="554" t="str">
        <f>IFERROR(VLOOKUP(D300,'INVONTERY FEB'!$B$6:$C$131,2,FALSE),"")</f>
        <v/>
      </c>
      <c r="F300" s="554" t="str">
        <f>IFERROR(VLOOKUP(D300,'INVONTERY FEB'!$B$6:$D$131,3,FALSE),"")</f>
        <v/>
      </c>
      <c r="G300" s="805"/>
      <c r="H300" s="805"/>
      <c r="I300" s="554">
        <f t="shared" si="3"/>
        <v>0</v>
      </c>
      <c r="J300" s="554">
        <f t="shared" si="2"/>
        <v>0</v>
      </c>
      <c r="K300" s="259"/>
      <c r="L300" s="102"/>
    </row>
    <row r="301" ht="15.75" customHeight="1">
      <c r="A301" s="805"/>
      <c r="B301" s="1088"/>
      <c r="C301" s="805"/>
      <c r="D301" s="554" t="str">
        <f>IFERROR(VLOOKUP(C301,'INVONTERY FEB'!$A$6:$B$131,2,FALSE),"")</f>
        <v/>
      </c>
      <c r="E301" s="554" t="str">
        <f>IFERROR(VLOOKUP(D301,'INVONTERY FEB'!$B$6:$C$131,2,FALSE),"")</f>
        <v/>
      </c>
      <c r="F301" s="554" t="str">
        <f>IFERROR(VLOOKUP(D301,'INVONTERY FEB'!$B$6:$D$131,3,FALSE),"")</f>
        <v/>
      </c>
      <c r="G301" s="805"/>
      <c r="H301" s="805"/>
      <c r="I301" s="554">
        <f t="shared" si="3"/>
        <v>0</v>
      </c>
      <c r="J301" s="554">
        <f t="shared" si="2"/>
        <v>0</v>
      </c>
      <c r="K301" s="259"/>
      <c r="L301" s="102"/>
    </row>
    <row r="302" ht="15.75" customHeight="1">
      <c r="A302" s="805"/>
      <c r="B302" s="1088"/>
      <c r="C302" s="805"/>
      <c r="D302" s="554" t="str">
        <f>IFERROR(VLOOKUP(C302,'INVONTERY FEB'!$A$6:$B$131,2,FALSE),"")</f>
        <v/>
      </c>
      <c r="E302" s="554" t="str">
        <f>IFERROR(VLOOKUP(D302,'INVONTERY FEB'!$B$6:$C$131,2,FALSE),"")</f>
        <v/>
      </c>
      <c r="F302" s="554" t="str">
        <f>IFERROR(VLOOKUP(D302,'INVONTERY FEB'!$B$6:$D$131,3,FALSE),"")</f>
        <v/>
      </c>
      <c r="G302" s="554"/>
      <c r="H302" s="805"/>
      <c r="I302" s="554">
        <f t="shared" si="3"/>
        <v>0</v>
      </c>
      <c r="J302" s="554">
        <f t="shared" si="2"/>
        <v>0</v>
      </c>
      <c r="K302" s="259"/>
      <c r="L302" s="102"/>
    </row>
    <row r="303" ht="15.75" customHeight="1">
      <c r="A303" s="805"/>
      <c r="B303" s="1088"/>
      <c r="C303" s="805"/>
      <c r="D303" s="554" t="str">
        <f>IFERROR(VLOOKUP(C303,'INVONTERY FEB'!$A$6:$B$131,2,FALSE),"")</f>
        <v/>
      </c>
      <c r="E303" s="554" t="str">
        <f>IFERROR(VLOOKUP(D303,'INVONTERY FEB'!$B$6:$C$131,2,FALSE),"")</f>
        <v/>
      </c>
      <c r="F303" s="554" t="str">
        <f>IFERROR(VLOOKUP(D303,'INVONTERY FEB'!$B$6:$D$131,3,FALSE),"")</f>
        <v/>
      </c>
      <c r="G303" s="554"/>
      <c r="H303" s="805"/>
      <c r="I303" s="554">
        <f t="shared" si="3"/>
        <v>0</v>
      </c>
      <c r="J303" s="554">
        <f t="shared" si="2"/>
        <v>0</v>
      </c>
      <c r="K303" s="259"/>
      <c r="L303" s="102"/>
    </row>
    <row r="304" ht="15.75" customHeight="1">
      <c r="A304" s="805"/>
      <c r="B304" s="1088"/>
      <c r="C304" s="805"/>
      <c r="D304" s="554" t="str">
        <f>IFERROR(VLOOKUP(C304,'INVONTERY FEB'!$A$6:$B$131,2,FALSE),"")</f>
        <v/>
      </c>
      <c r="E304" s="554" t="str">
        <f>IFERROR(VLOOKUP(D304,'INVONTERY FEB'!$B$6:$C$131,2,FALSE),"")</f>
        <v/>
      </c>
      <c r="F304" s="554" t="str">
        <f>IFERROR(VLOOKUP(D304,'INVONTERY FEB'!$B$6:$D$131,3,FALSE),"")</f>
        <v/>
      </c>
      <c r="G304" s="554"/>
      <c r="H304" s="805"/>
      <c r="I304" s="554">
        <f t="shared" si="3"/>
        <v>0</v>
      </c>
      <c r="J304" s="554">
        <f t="shared" si="2"/>
        <v>0</v>
      </c>
      <c r="K304" s="259"/>
      <c r="L304" s="102"/>
    </row>
    <row r="305" ht="15.75" customHeight="1">
      <c r="A305" s="805"/>
      <c r="B305" s="1088"/>
      <c r="C305" s="805"/>
      <c r="D305" s="554" t="str">
        <f>IFERROR(VLOOKUP(C305,'INVONTERY FEB'!$A$6:$B$131,2,FALSE),"")</f>
        <v/>
      </c>
      <c r="E305" s="554" t="str">
        <f>IFERROR(VLOOKUP(D305,'INVONTERY FEB'!$B$6:$C$131,2,FALSE),"")</f>
        <v/>
      </c>
      <c r="F305" s="554" t="str">
        <f>IFERROR(VLOOKUP(D305,'INVONTERY FEB'!$B$6:$D$131,3,FALSE),"")</f>
        <v/>
      </c>
      <c r="G305" s="554"/>
      <c r="H305" s="805"/>
      <c r="I305" s="554">
        <f t="shared" si="3"/>
        <v>0</v>
      </c>
      <c r="J305" s="554">
        <f t="shared" si="2"/>
        <v>0</v>
      </c>
      <c r="K305" s="259"/>
      <c r="L305" s="102"/>
    </row>
    <row r="306" ht="15.75" customHeight="1">
      <c r="A306" s="805"/>
      <c r="B306" s="1088"/>
      <c r="C306" s="805"/>
      <c r="D306" s="554" t="str">
        <f>IFERROR(VLOOKUP(C306,'INVONTERY FEB'!$A$6:$B$131,2,FALSE),"")</f>
        <v/>
      </c>
      <c r="E306" s="554" t="str">
        <f>IFERROR(VLOOKUP(D306,'INVONTERY FEB'!$B$6:$C$131,2,FALSE),"")</f>
        <v/>
      </c>
      <c r="F306" s="554" t="str">
        <f>IFERROR(VLOOKUP(D306,'INVONTERY FEB'!$B$6:$D$131,3,FALSE),"")</f>
        <v/>
      </c>
      <c r="G306" s="805"/>
      <c r="H306" s="805"/>
      <c r="I306" s="554">
        <f t="shared" si="3"/>
        <v>0</v>
      </c>
      <c r="J306" s="554">
        <f t="shared" si="2"/>
        <v>0</v>
      </c>
      <c r="K306" s="259"/>
      <c r="L306" s="102"/>
    </row>
    <row r="307" ht="15.75" customHeight="1">
      <c r="A307" s="805"/>
      <c r="B307" s="1088"/>
      <c r="C307" s="805"/>
      <c r="D307" s="554" t="str">
        <f>IFERROR(VLOOKUP(C307,'INVONTERY FEB'!$A$6:$B$131,2,FALSE),"")</f>
        <v/>
      </c>
      <c r="E307" s="554" t="str">
        <f>IFERROR(VLOOKUP(D307,'INVONTERY FEB'!$B$6:$C$131,2,FALSE),"")</f>
        <v/>
      </c>
      <c r="F307" s="554" t="str">
        <f>IFERROR(VLOOKUP(D307,'INVONTERY FEB'!$B$6:$D$131,3,FALSE),"")</f>
        <v/>
      </c>
      <c r="G307" s="805"/>
      <c r="H307" s="805"/>
      <c r="I307" s="554">
        <f t="shared" si="3"/>
        <v>0</v>
      </c>
      <c r="J307" s="554">
        <f t="shared" si="2"/>
        <v>0</v>
      </c>
      <c r="K307" s="259"/>
      <c r="L307" s="102"/>
    </row>
    <row r="308" ht="15.75" customHeight="1">
      <c r="A308" s="805"/>
      <c r="B308" s="1088"/>
      <c r="C308" s="805"/>
      <c r="D308" s="554" t="str">
        <f>IFERROR(VLOOKUP(C308,'INVONTERY FEB'!$A$6:$B$131,2,FALSE),"")</f>
        <v/>
      </c>
      <c r="E308" s="554" t="str">
        <f>IFERROR(VLOOKUP(D308,'INVONTERY FEB'!$B$6:$C$131,2,FALSE),"")</f>
        <v/>
      </c>
      <c r="F308" s="554" t="str">
        <f>IFERROR(VLOOKUP(D308,'INVONTERY FEB'!$B$6:$D$131,3,FALSE),"")</f>
        <v/>
      </c>
      <c r="G308" s="805"/>
      <c r="H308" s="805"/>
      <c r="I308" s="554">
        <f t="shared" si="3"/>
        <v>0</v>
      </c>
      <c r="J308" s="554">
        <f t="shared" si="2"/>
        <v>0</v>
      </c>
      <c r="K308" s="259"/>
      <c r="L308" s="102"/>
    </row>
    <row r="309" ht="15.75" customHeight="1">
      <c r="A309" s="805"/>
      <c r="B309" s="1088"/>
      <c r="C309" s="805"/>
      <c r="D309" s="554" t="str">
        <f>IFERROR(VLOOKUP(C309,'INVONTERY FEB'!$A$6:$B$131,2,FALSE),"")</f>
        <v/>
      </c>
      <c r="E309" s="554" t="str">
        <f>IFERROR(VLOOKUP(D309,'INVONTERY FEB'!$B$6:$C$131,2,FALSE),"")</f>
        <v/>
      </c>
      <c r="F309" s="554" t="str">
        <f>IFERROR(VLOOKUP(D309,'INVONTERY FEB'!$B$6:$D$131,3,FALSE),"")</f>
        <v/>
      </c>
      <c r="G309" s="805"/>
      <c r="H309" s="805"/>
      <c r="I309" s="554">
        <f t="shared" si="3"/>
        <v>0</v>
      </c>
      <c r="J309" s="554">
        <f t="shared" si="2"/>
        <v>0</v>
      </c>
      <c r="K309" s="259"/>
      <c r="L309" s="102"/>
    </row>
    <row r="310" ht="15.75" customHeight="1">
      <c r="A310" s="805"/>
      <c r="B310" s="1088"/>
      <c r="C310" s="805"/>
      <c r="D310" s="554" t="str">
        <f>IFERROR(VLOOKUP(C310,'INVONTERY FEB'!$A$6:$B$131,2,FALSE),"")</f>
        <v/>
      </c>
      <c r="E310" s="554" t="str">
        <f>IFERROR(VLOOKUP(D310,'INVONTERY FEB'!$B$6:$C$131,2,FALSE),"")</f>
        <v/>
      </c>
      <c r="F310" s="554" t="str">
        <f>IFERROR(VLOOKUP(D310,'INVONTERY FEB'!$B$6:$D$131,3,FALSE),"")</f>
        <v/>
      </c>
      <c r="G310" s="805"/>
      <c r="H310" s="805"/>
      <c r="I310" s="554">
        <f t="shared" si="3"/>
        <v>0</v>
      </c>
      <c r="J310" s="554">
        <f t="shared" si="2"/>
        <v>0</v>
      </c>
      <c r="K310" s="259"/>
      <c r="L310" s="102"/>
    </row>
    <row r="311" ht="15.75" customHeight="1">
      <c r="A311" s="805"/>
      <c r="B311" s="1088"/>
      <c r="C311" s="805"/>
      <c r="D311" s="554" t="str">
        <f>IFERROR(VLOOKUP(C311,'INVONTERY FEB'!$A$6:$B$131,2,FALSE),"")</f>
        <v/>
      </c>
      <c r="E311" s="554" t="str">
        <f>IFERROR(VLOOKUP(D311,'INVONTERY FEB'!$B$6:$C$131,2,FALSE),"")</f>
        <v/>
      </c>
      <c r="F311" s="554" t="str">
        <f>IFERROR(VLOOKUP(D311,'INVONTERY FEB'!$B$6:$D$131,3,FALSE),"")</f>
        <v/>
      </c>
      <c r="G311" s="805"/>
      <c r="H311" s="805"/>
      <c r="I311" s="554">
        <f t="shared" si="3"/>
        <v>0</v>
      </c>
      <c r="J311" s="554">
        <f t="shared" si="2"/>
        <v>0</v>
      </c>
      <c r="K311" s="259"/>
      <c r="L311" s="102"/>
    </row>
    <row r="312" ht="15.75" customHeight="1">
      <c r="A312" s="805"/>
      <c r="B312" s="1088"/>
      <c r="C312" s="805"/>
      <c r="D312" s="554" t="str">
        <f>IFERROR(VLOOKUP(C312,'INVONTERY FEB'!$A$6:$B$131,2,FALSE),"")</f>
        <v/>
      </c>
      <c r="E312" s="554" t="str">
        <f>IFERROR(VLOOKUP(D312,'INVONTERY FEB'!$B$6:$C$131,2,FALSE),"")</f>
        <v/>
      </c>
      <c r="F312" s="554" t="str">
        <f>IFERROR(VLOOKUP(D312,'INVONTERY FEB'!$B$6:$D$131,3,FALSE),"")</f>
        <v/>
      </c>
      <c r="G312" s="805"/>
      <c r="H312" s="805"/>
      <c r="I312" s="554">
        <f t="shared" si="3"/>
        <v>0</v>
      </c>
      <c r="J312" s="554">
        <f t="shared" si="2"/>
        <v>0</v>
      </c>
      <c r="K312" s="259"/>
      <c r="L312" s="102"/>
    </row>
    <row r="313" ht="15.75" customHeight="1">
      <c r="A313" s="805"/>
      <c r="B313" s="1088"/>
      <c r="C313" s="805"/>
      <c r="D313" s="554" t="str">
        <f>IFERROR(VLOOKUP(C313,'INVONTERY FEB'!$A$6:$B$131,2,FALSE),"")</f>
        <v/>
      </c>
      <c r="E313" s="554" t="str">
        <f>IFERROR(VLOOKUP(D313,'INVONTERY FEB'!$B$6:$C$131,2,FALSE),"")</f>
        <v/>
      </c>
      <c r="F313" s="554" t="str">
        <f>IFERROR(VLOOKUP(D313,'INVONTERY FEB'!$B$6:$D$131,3,FALSE),"")</f>
        <v/>
      </c>
      <c r="G313" s="805"/>
      <c r="H313" s="805"/>
      <c r="I313" s="554">
        <f t="shared" si="3"/>
        <v>0</v>
      </c>
      <c r="J313" s="554">
        <f t="shared" si="2"/>
        <v>0</v>
      </c>
      <c r="K313" s="554"/>
      <c r="L313" s="805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ht="15.75" customHeight="1">
      <c r="A314" s="805"/>
      <c r="B314" s="1088"/>
      <c r="C314" s="805"/>
      <c r="D314" s="554" t="str">
        <f>IFERROR(VLOOKUP(C314,'INVONTERY FEB'!$A$6:$B$131,2,FALSE),"")</f>
        <v/>
      </c>
      <c r="E314" s="554" t="str">
        <f>IFERROR(VLOOKUP(D314,'INVONTERY FEB'!$B$6:$C$131,2,FALSE),"")</f>
        <v/>
      </c>
      <c r="F314" s="554" t="str">
        <f>IFERROR(VLOOKUP(D314,'INVONTERY FEB'!$B$6:$D$131,3,FALSE),"")</f>
        <v/>
      </c>
      <c r="G314" s="805"/>
      <c r="H314" s="805"/>
      <c r="I314" s="554">
        <f t="shared" si="3"/>
        <v>0</v>
      </c>
      <c r="J314" s="554">
        <f t="shared" si="2"/>
        <v>0</v>
      </c>
      <c r="K314" s="259"/>
      <c r="L314" s="102"/>
    </row>
    <row r="315" ht="15.75" customHeight="1">
      <c r="A315" s="805"/>
      <c r="B315" s="1088"/>
      <c r="C315" s="805"/>
      <c r="D315" s="554" t="str">
        <f>IFERROR(VLOOKUP(C315,'INVONTERY FEB'!$A$6:$B$131,2,FALSE),"")</f>
        <v/>
      </c>
      <c r="E315" s="554" t="str">
        <f>IFERROR(VLOOKUP(D315,'INVONTERY FEB'!$B$6:$C$131,2,FALSE),"")</f>
        <v/>
      </c>
      <c r="F315" s="554" t="str">
        <f>IFERROR(VLOOKUP(D315,'INVONTERY FEB'!$B$6:$D$131,3,FALSE),"")</f>
        <v/>
      </c>
      <c r="G315" s="805"/>
      <c r="H315" s="805"/>
      <c r="I315" s="554">
        <f t="shared" si="3"/>
        <v>0</v>
      </c>
      <c r="J315" s="554">
        <f t="shared" si="2"/>
        <v>0</v>
      </c>
      <c r="K315" s="259"/>
      <c r="L315" s="102"/>
    </row>
    <row r="316" ht="15.75" customHeight="1">
      <c r="A316" s="805"/>
      <c r="B316" s="1088"/>
      <c r="C316" s="805"/>
      <c r="D316" s="554" t="str">
        <f>IFERROR(VLOOKUP(C316,'INVONTERY FEB'!$A$6:$B$131,2,FALSE),"")</f>
        <v/>
      </c>
      <c r="E316" s="554" t="str">
        <f>IFERROR(VLOOKUP(D316,'INVONTERY FEB'!$B$6:$C$131,2,FALSE),"")</f>
        <v/>
      </c>
      <c r="F316" s="554" t="str">
        <f>IFERROR(VLOOKUP(D316,'INVONTERY FEB'!$B$6:$D$131,3,FALSE),"")</f>
        <v/>
      </c>
      <c r="G316" s="805"/>
      <c r="H316" s="805"/>
      <c r="I316" s="554">
        <f t="shared" si="3"/>
        <v>0</v>
      </c>
      <c r="J316" s="554">
        <f t="shared" si="2"/>
        <v>0</v>
      </c>
      <c r="K316" s="259"/>
      <c r="L316" s="102"/>
    </row>
    <row r="317" ht="15.75" customHeight="1">
      <c r="A317" s="805"/>
      <c r="B317" s="1088"/>
      <c r="C317" s="805"/>
      <c r="D317" s="554" t="str">
        <f>IFERROR(VLOOKUP(C317,'INVONTERY FEB'!$A$6:$B$131,2,FALSE),"")</f>
        <v/>
      </c>
      <c r="E317" s="554" t="str">
        <f>IFERROR(VLOOKUP(D317,'INVONTERY FEB'!$B$6:$C$131,2,FALSE),"")</f>
        <v/>
      </c>
      <c r="F317" s="554" t="str">
        <f>IFERROR(VLOOKUP(D317,'INVONTERY FEB'!$B$6:$D$131,3,FALSE),"")</f>
        <v/>
      </c>
      <c r="G317" s="805"/>
      <c r="H317" s="805"/>
      <c r="I317" s="554">
        <f t="shared" si="3"/>
        <v>0</v>
      </c>
      <c r="J317" s="554">
        <f t="shared" si="2"/>
        <v>0</v>
      </c>
      <c r="K317" s="259"/>
      <c r="L317" s="102"/>
    </row>
    <row r="318" ht="15.75" customHeight="1">
      <c r="A318" s="805"/>
      <c r="B318" s="1088"/>
      <c r="C318" s="805"/>
      <c r="D318" s="554" t="str">
        <f>IFERROR(VLOOKUP(C318,'INVONTERY FEB'!$A$6:$B$131,2,FALSE),"")</f>
        <v/>
      </c>
      <c r="E318" s="554" t="str">
        <f>IFERROR(VLOOKUP(D318,'INVONTERY FEB'!$B$6:$C$131,2,FALSE),"")</f>
        <v/>
      </c>
      <c r="F318" s="554" t="str">
        <f>IFERROR(VLOOKUP(D318,'INVONTERY FEB'!$B$6:$D$131,3,FALSE),"")</f>
        <v/>
      </c>
      <c r="G318" s="805"/>
      <c r="H318" s="805"/>
      <c r="I318" s="554">
        <f t="shared" si="3"/>
        <v>0</v>
      </c>
      <c r="J318" s="554">
        <f t="shared" si="2"/>
        <v>0</v>
      </c>
      <c r="K318" s="259"/>
      <c r="L318" s="102"/>
    </row>
    <row r="319" ht="15.75" customHeight="1">
      <c r="A319" s="805"/>
      <c r="B319" s="1088"/>
      <c r="C319" s="805"/>
      <c r="D319" s="554" t="str">
        <f>IFERROR(VLOOKUP(C319,'INVONTERY FEB'!$A$6:$B$131,2,FALSE),"")</f>
        <v/>
      </c>
      <c r="E319" s="554" t="str">
        <f>IFERROR(VLOOKUP(D319,'INVONTERY FEB'!$B$6:$C$131,2,FALSE),"")</f>
        <v/>
      </c>
      <c r="F319" s="554" t="str">
        <f>IFERROR(VLOOKUP(D319,'INVONTERY FEB'!$B$6:$D$131,3,FALSE),"")</f>
        <v/>
      </c>
      <c r="G319" s="805"/>
      <c r="H319" s="805"/>
      <c r="I319" s="554">
        <f t="shared" si="3"/>
        <v>0</v>
      </c>
      <c r="J319" s="554">
        <f t="shared" si="2"/>
        <v>0</v>
      </c>
      <c r="K319" s="259"/>
      <c r="L319" s="102"/>
    </row>
    <row r="320" ht="15.75" customHeight="1">
      <c r="A320" s="805"/>
      <c r="B320" s="1088"/>
      <c r="C320" s="805"/>
      <c r="D320" s="554" t="str">
        <f>IFERROR(VLOOKUP(C320,'INVONTERY FEB'!$A$6:$B$131,2,FALSE),"")</f>
        <v/>
      </c>
      <c r="E320" s="554" t="str">
        <f>IFERROR(VLOOKUP(D320,'INVONTERY FEB'!$B$6:$C$131,2,FALSE),"")</f>
        <v/>
      </c>
      <c r="F320" s="554" t="str">
        <f>IFERROR(VLOOKUP(D320,'INVONTERY FEB'!$B$6:$D$131,3,FALSE),"")</f>
        <v/>
      </c>
      <c r="G320" s="805"/>
      <c r="H320" s="805"/>
      <c r="I320" s="554">
        <f t="shared" si="3"/>
        <v>0</v>
      </c>
      <c r="J320" s="554">
        <f t="shared" si="2"/>
        <v>0</v>
      </c>
      <c r="K320" s="259"/>
      <c r="L320" s="102"/>
    </row>
    <row r="321" ht="15.75" customHeight="1">
      <c r="A321" s="805"/>
      <c r="B321" s="1088"/>
      <c r="C321" s="805"/>
      <c r="D321" s="554" t="str">
        <f>IFERROR(VLOOKUP(C321,'INVONTERY FEB'!$A$6:$B$131,2,FALSE),"")</f>
        <v/>
      </c>
      <c r="E321" s="554" t="str">
        <f>IFERROR(VLOOKUP(D321,'INVONTERY FEB'!$B$6:$C$131,2,FALSE),"")</f>
        <v/>
      </c>
      <c r="F321" s="554" t="str">
        <f>IFERROR(VLOOKUP(D321,'INVONTERY FEB'!$B$6:$D$131,3,FALSE),"")</f>
        <v/>
      </c>
      <c r="G321" s="805"/>
      <c r="H321" s="805"/>
      <c r="I321" s="554">
        <f t="shared" si="3"/>
        <v>0</v>
      </c>
      <c r="J321" s="554">
        <f t="shared" si="2"/>
        <v>0</v>
      </c>
      <c r="K321" s="259"/>
      <c r="L321" s="102"/>
    </row>
    <row r="322" ht="15.75" customHeight="1">
      <c r="A322" s="805"/>
      <c r="B322" s="1088"/>
      <c r="C322" s="805"/>
      <c r="D322" s="554" t="str">
        <f>IFERROR(VLOOKUP(C322,'INVONTERY FEB'!$A$6:$B$131,2,FALSE),"")</f>
        <v/>
      </c>
      <c r="E322" s="554" t="str">
        <f>IFERROR(VLOOKUP(D322,'INVONTERY FEB'!$B$6:$C$131,2,FALSE),"")</f>
        <v/>
      </c>
      <c r="F322" s="554" t="str">
        <f>IFERROR(VLOOKUP(D322,'INVONTERY FEB'!$B$6:$D$131,3,FALSE),"")</f>
        <v/>
      </c>
      <c r="G322" s="805"/>
      <c r="H322" s="805"/>
      <c r="I322" s="554">
        <f t="shared" si="3"/>
        <v>0</v>
      </c>
      <c r="J322" s="556">
        <f t="shared" si="2"/>
        <v>0</v>
      </c>
      <c r="K322" s="259"/>
      <c r="L322" s="102"/>
    </row>
    <row r="323" ht="15.75" customHeight="1">
      <c r="A323" s="805"/>
      <c r="B323" s="1088"/>
      <c r="C323" s="805"/>
      <c r="D323" s="554" t="str">
        <f>IFERROR(VLOOKUP(C323,'INVONTERY FEB'!$A$6:$B$131,2,FALSE),"")</f>
        <v/>
      </c>
      <c r="E323" s="554" t="str">
        <f>IFERROR(VLOOKUP(D323,'INVONTERY FEB'!$B$6:$C$131,2,FALSE),"")</f>
        <v/>
      </c>
      <c r="F323" s="554" t="str">
        <f>IFERROR(VLOOKUP(D323,'INVONTERY FEB'!$B$6:$D$131,3,FALSE),"")</f>
        <v/>
      </c>
      <c r="G323" s="805"/>
      <c r="H323" s="805"/>
      <c r="I323" s="554">
        <f t="shared" si="3"/>
        <v>0</v>
      </c>
      <c r="J323" s="556">
        <f t="shared" si="2"/>
        <v>0</v>
      </c>
      <c r="K323" s="259"/>
      <c r="L323" s="102"/>
    </row>
    <row r="324" ht="15.75" customHeight="1">
      <c r="A324" s="805"/>
      <c r="B324" s="1088"/>
      <c r="C324" s="805"/>
      <c r="D324" s="554" t="str">
        <f>IFERROR(VLOOKUP(C324,'INVONTERY FEB'!$A$6:$B$131,2,FALSE),"")</f>
        <v/>
      </c>
      <c r="E324" s="554" t="str">
        <f>IFERROR(VLOOKUP(D324,'INVONTERY FEB'!$B$6:$C$131,2,FALSE),"")</f>
        <v/>
      </c>
      <c r="F324" s="554" t="str">
        <f>IFERROR(VLOOKUP(D324,'INVONTERY FEB'!$B$6:$D$131,3,FALSE),"")</f>
        <v/>
      </c>
      <c r="G324" s="805"/>
      <c r="H324" s="805"/>
      <c r="I324" s="554">
        <f t="shared" si="3"/>
        <v>0</v>
      </c>
      <c r="J324" s="556">
        <f t="shared" si="2"/>
        <v>0</v>
      </c>
      <c r="K324" s="259"/>
      <c r="L324" s="102"/>
    </row>
    <row r="325" ht="15.75" customHeight="1">
      <c r="A325" s="805"/>
      <c r="B325" s="1088"/>
      <c r="C325" s="805"/>
      <c r="D325" s="554" t="str">
        <f>IFERROR(VLOOKUP(C325,'INVONTERY FEB'!$A$6:$B$131,2,FALSE),"")</f>
        <v/>
      </c>
      <c r="E325" s="554" t="str">
        <f>IFERROR(VLOOKUP(D325,'INVONTERY FEB'!$B$6:$C$131,2,FALSE),"")</f>
        <v/>
      </c>
      <c r="F325" s="554" t="str">
        <f>IFERROR(VLOOKUP(D325,'INVONTERY FEB'!$B$6:$D$131,3,FALSE),"")</f>
        <v/>
      </c>
      <c r="G325" s="805"/>
      <c r="H325" s="805"/>
      <c r="I325" s="554">
        <f t="shared" si="3"/>
        <v>0</v>
      </c>
      <c r="J325" s="556">
        <f t="shared" si="2"/>
        <v>0</v>
      </c>
      <c r="K325" s="259"/>
      <c r="L325" s="102"/>
    </row>
    <row r="326" ht="15.75" customHeight="1">
      <c r="A326" s="805"/>
      <c r="B326" s="1088"/>
      <c r="C326" s="805"/>
      <c r="D326" s="554" t="str">
        <f>IFERROR(VLOOKUP(C326,'INVONTERY FEB'!$A$6:$B$131,2,FALSE),"")</f>
        <v/>
      </c>
      <c r="E326" s="554" t="str">
        <f>IFERROR(VLOOKUP(D326,'INVONTERY FEB'!$B$6:$C$131,2,FALSE),"")</f>
        <v/>
      </c>
      <c r="F326" s="554" t="str">
        <f>IFERROR(VLOOKUP(D326,'INVONTERY FEB'!$B$6:$D$131,3,FALSE),"")</f>
        <v/>
      </c>
      <c r="G326" s="805"/>
      <c r="H326" s="805"/>
      <c r="I326" s="554">
        <f t="shared" si="3"/>
        <v>0</v>
      </c>
      <c r="J326" s="556">
        <f t="shared" si="2"/>
        <v>0</v>
      </c>
      <c r="K326" s="259"/>
      <c r="L326" s="102"/>
    </row>
    <row r="327" ht="15.75" customHeight="1">
      <c r="A327" s="805"/>
      <c r="B327" s="1088"/>
      <c r="C327" s="805"/>
      <c r="D327" s="554" t="str">
        <f>IFERROR(VLOOKUP(C327,'INVONTERY FEB'!$A$6:$B$131,2,FALSE),"")</f>
        <v/>
      </c>
      <c r="E327" s="554" t="str">
        <f>IFERROR(VLOOKUP(D327,'INVONTERY FEB'!$B$6:$C$131,2,FALSE),"")</f>
        <v/>
      </c>
      <c r="F327" s="554" t="str">
        <f>IFERROR(VLOOKUP(D327,'INVONTERY FEB'!$B$6:$D$131,3,FALSE),"")</f>
        <v/>
      </c>
      <c r="G327" s="805"/>
      <c r="H327" s="805"/>
      <c r="I327" s="554">
        <f t="shared" si="3"/>
        <v>0</v>
      </c>
      <c r="J327" s="556">
        <f t="shared" si="2"/>
        <v>0</v>
      </c>
      <c r="K327" s="259"/>
      <c r="L327" s="102"/>
    </row>
    <row r="328" ht="15.75" customHeight="1">
      <c r="A328" s="805"/>
      <c r="B328" s="1088"/>
      <c r="C328" s="805"/>
      <c r="D328" s="554" t="str">
        <f>IFERROR(VLOOKUP(C328,'INVONTERY FEB'!$A$6:$B$131,2,FALSE),"")</f>
        <v/>
      </c>
      <c r="E328" s="554" t="str">
        <f>IFERROR(VLOOKUP(D328,'INVONTERY FEB'!$B$6:$C$131,2,FALSE),"")</f>
        <v/>
      </c>
      <c r="F328" s="554" t="str">
        <f>IFERROR(VLOOKUP(D328,'INVONTERY FEB'!$B$6:$D$131,3,FALSE),"")</f>
        <v/>
      </c>
      <c r="G328" s="805"/>
      <c r="H328" s="805"/>
      <c r="I328" s="554">
        <f t="shared" si="3"/>
        <v>0</v>
      </c>
      <c r="J328" s="556">
        <f t="shared" si="2"/>
        <v>0</v>
      </c>
      <c r="K328" s="259"/>
      <c r="L328" s="102"/>
    </row>
    <row r="329" ht="15.75" customHeight="1">
      <c r="A329" s="805"/>
      <c r="B329" s="1088"/>
      <c r="C329" s="805"/>
      <c r="D329" s="554" t="str">
        <f>IFERROR(VLOOKUP(C329,'INVONTERY FEB'!$A$6:$B$131,2,FALSE),"")</f>
        <v/>
      </c>
      <c r="E329" s="554" t="str">
        <f>IFERROR(VLOOKUP(D329,'INVONTERY FEB'!$B$6:$C$131,2,FALSE),"")</f>
        <v/>
      </c>
      <c r="F329" s="554" t="str">
        <f>IFERROR(VLOOKUP(D329,'INVONTERY FEB'!$B$6:$D$131,3,FALSE),"")</f>
        <v/>
      </c>
      <c r="G329" s="805"/>
      <c r="H329" s="805"/>
      <c r="I329" s="554">
        <f t="shared" si="3"/>
        <v>0</v>
      </c>
      <c r="J329" s="556">
        <f t="shared" si="2"/>
        <v>0</v>
      </c>
      <c r="K329" s="259"/>
      <c r="L329" s="102"/>
    </row>
    <row r="330" ht="15.75" customHeight="1">
      <c r="A330" s="805"/>
      <c r="B330" s="1088"/>
      <c r="C330" s="805"/>
      <c r="D330" s="554" t="str">
        <f>IFERROR(VLOOKUP(C330,'INVONTERY FEB'!$A$6:$B$131,2,FALSE),"")</f>
        <v/>
      </c>
      <c r="E330" s="554" t="str">
        <f>IFERROR(VLOOKUP(D330,'INVONTERY FEB'!$B$6:$C$131,2,FALSE),"")</f>
        <v/>
      </c>
      <c r="F330" s="554" t="str">
        <f>IFERROR(VLOOKUP(D330,'INVONTERY FEB'!$B$6:$D$131,3,FALSE),"")</f>
        <v/>
      </c>
      <c r="G330" s="805"/>
      <c r="H330" s="805"/>
      <c r="I330" s="554">
        <f t="shared" si="3"/>
        <v>0</v>
      </c>
      <c r="J330" s="554">
        <f t="shared" si="2"/>
        <v>0</v>
      </c>
      <c r="K330" s="259"/>
      <c r="L330" s="102"/>
    </row>
    <row r="331" ht="15.75" customHeight="1">
      <c r="A331" s="805"/>
      <c r="B331" s="1088"/>
      <c r="C331" s="805"/>
      <c r="D331" s="554" t="str">
        <f>IFERROR(VLOOKUP(C331,'INVONTERY FEB'!$A$6:$B$131,2,FALSE),"")</f>
        <v/>
      </c>
      <c r="E331" s="554" t="str">
        <f>IFERROR(VLOOKUP(D331,'INVONTERY FEB'!$B$6:$C$131,2,FALSE),"")</f>
        <v/>
      </c>
      <c r="F331" s="554" t="str">
        <f>IFERROR(VLOOKUP(D331,'INVONTERY FEB'!$B$6:$D$131,3,FALSE),"")</f>
        <v/>
      </c>
      <c r="G331" s="805"/>
      <c r="H331" s="805"/>
      <c r="I331" s="554">
        <f t="shared" si="3"/>
        <v>0</v>
      </c>
      <c r="J331" s="554">
        <f t="shared" si="2"/>
        <v>0</v>
      </c>
      <c r="K331" s="259"/>
      <c r="L331" s="102"/>
    </row>
    <row r="332" ht="15.75" customHeight="1">
      <c r="A332" s="805"/>
      <c r="B332" s="1088"/>
      <c r="C332" s="805"/>
      <c r="D332" s="554" t="str">
        <f>IFERROR(VLOOKUP(C332,'INVONTERY FEB'!$A$6:$B$131,2,FALSE),"")</f>
        <v/>
      </c>
      <c r="E332" s="554" t="str">
        <f>IFERROR(VLOOKUP(D332,'INVONTERY FEB'!$B$6:$C$131,2,FALSE),"")</f>
        <v/>
      </c>
      <c r="F332" s="554" t="str">
        <f>IFERROR(VLOOKUP(D332,'INVONTERY FEB'!$B$6:$D$131,3,FALSE),"")</f>
        <v/>
      </c>
      <c r="G332" s="805"/>
      <c r="H332" s="805"/>
      <c r="I332" s="554">
        <f t="shared" si="3"/>
        <v>0</v>
      </c>
      <c r="J332" s="554">
        <f t="shared" si="2"/>
        <v>0</v>
      </c>
      <c r="K332" s="259"/>
      <c r="L332" s="102"/>
    </row>
    <row r="333" ht="15.75" customHeight="1">
      <c r="A333" s="805"/>
      <c r="B333" s="1088"/>
      <c r="C333" s="805"/>
      <c r="D333" s="554" t="str">
        <f>IFERROR(VLOOKUP(C333,'INVONTERY FEB'!$A$6:$B$131,2,FALSE),"")</f>
        <v/>
      </c>
      <c r="E333" s="554" t="str">
        <f>IFERROR(VLOOKUP(D333,'INVONTERY FEB'!$B$6:$C$131,2,FALSE),"")</f>
        <v/>
      </c>
      <c r="F333" s="554" t="str">
        <f>IFERROR(VLOOKUP(D333,'INVONTERY FEB'!$B$6:$D$131,3,FALSE),"")</f>
        <v/>
      </c>
      <c r="G333" s="805"/>
      <c r="H333" s="805"/>
      <c r="I333" s="554">
        <f t="shared" si="3"/>
        <v>0</v>
      </c>
      <c r="J333" s="554">
        <f t="shared" si="2"/>
        <v>0</v>
      </c>
      <c r="K333" s="259"/>
      <c r="L333" s="102"/>
    </row>
    <row r="334" ht="15.75" customHeight="1">
      <c r="A334" s="805"/>
      <c r="B334" s="1088"/>
      <c r="C334" s="805"/>
      <c r="D334" s="554" t="str">
        <f>IFERROR(VLOOKUP(C334,'INVONTERY FEB'!$A$6:$B$131,2,FALSE),"")</f>
        <v/>
      </c>
      <c r="E334" s="554" t="str">
        <f>IFERROR(VLOOKUP(D334,'INVONTERY FEB'!$B$6:$C$131,2,FALSE),"")</f>
        <v/>
      </c>
      <c r="F334" s="554" t="str">
        <f>IFERROR(VLOOKUP(D334,'INVONTERY FEB'!$B$6:$D$131,3,FALSE),"")</f>
        <v/>
      </c>
      <c r="G334" s="805"/>
      <c r="H334" s="805"/>
      <c r="I334" s="554">
        <f t="shared" si="3"/>
        <v>0</v>
      </c>
      <c r="J334" s="554">
        <f t="shared" si="2"/>
        <v>0</v>
      </c>
      <c r="K334" s="259"/>
      <c r="L334" s="102"/>
    </row>
    <row r="335" ht="15.75" customHeight="1">
      <c r="A335" s="805"/>
      <c r="B335" s="1088"/>
      <c r="C335" s="805"/>
      <c r="D335" s="554" t="str">
        <f>IFERROR(VLOOKUP(C335,'INVONTERY FEB'!$A$6:$B$131,2,FALSE),"")</f>
        <v/>
      </c>
      <c r="E335" s="554" t="str">
        <f>IFERROR(VLOOKUP(D335,'INVONTERY FEB'!$B$6:$C$131,2,FALSE),"")</f>
        <v/>
      </c>
      <c r="F335" s="554" t="str">
        <f>IFERROR(VLOOKUP(D335,'INVONTERY FEB'!$B$6:$D$131,3,FALSE),"")</f>
        <v/>
      </c>
      <c r="G335" s="805"/>
      <c r="H335" s="805"/>
      <c r="I335" s="554">
        <f t="shared" si="3"/>
        <v>0</v>
      </c>
      <c r="J335" s="554">
        <f t="shared" si="2"/>
        <v>0</v>
      </c>
      <c r="K335" s="259"/>
      <c r="L335" s="102"/>
    </row>
    <row r="336" ht="15.75" customHeight="1">
      <c r="A336" s="805"/>
      <c r="B336" s="1088"/>
      <c r="C336" s="805"/>
      <c r="D336" s="554" t="str">
        <f>IFERROR(VLOOKUP(C336,'INVONTERY FEB'!$A$6:$B$131,2,FALSE),"")</f>
        <v/>
      </c>
      <c r="E336" s="554" t="str">
        <f>IFERROR(VLOOKUP(D336,'INVONTERY FEB'!$B$6:$C$131,2,FALSE),"")</f>
        <v/>
      </c>
      <c r="F336" s="554" t="str">
        <f>IFERROR(VLOOKUP(D336,'INVONTERY FEB'!$B$6:$D$131,3,FALSE),"")</f>
        <v/>
      </c>
      <c r="G336" s="805"/>
      <c r="H336" s="805"/>
      <c r="I336" s="554">
        <f t="shared" si="3"/>
        <v>0</v>
      </c>
      <c r="J336" s="554">
        <f t="shared" si="2"/>
        <v>0</v>
      </c>
      <c r="K336" s="259"/>
      <c r="L336" s="102"/>
    </row>
    <row r="337" ht="15.75" customHeight="1">
      <c r="A337" s="805"/>
      <c r="B337" s="1088"/>
      <c r="C337" s="805"/>
      <c r="D337" s="554" t="str">
        <f>IFERROR(VLOOKUP(C337,'INVONTERY FEB'!$A$6:$B$131,2,FALSE),"")</f>
        <v/>
      </c>
      <c r="E337" s="554" t="str">
        <f>IFERROR(VLOOKUP(D337,'INVONTERY FEB'!$B$6:$C$131,2,FALSE),"")</f>
        <v/>
      </c>
      <c r="F337" s="554" t="str">
        <f>IFERROR(VLOOKUP(D337,'INVONTERY FEB'!$B$6:$D$131,3,FALSE),"")</f>
        <v/>
      </c>
      <c r="G337" s="805"/>
      <c r="H337" s="805"/>
      <c r="I337" s="554">
        <f t="shared" si="3"/>
        <v>0</v>
      </c>
      <c r="J337" s="554">
        <f t="shared" si="2"/>
        <v>0</v>
      </c>
      <c r="K337" s="259"/>
      <c r="L337" s="102"/>
    </row>
    <row r="338" ht="15.75" customHeight="1">
      <c r="A338" s="805"/>
      <c r="B338" s="1088"/>
      <c r="C338" s="805"/>
      <c r="D338" s="554" t="str">
        <f>IFERROR(VLOOKUP(C338,'INVONTERY FEB'!$A$6:$B$131,2,FALSE),"")</f>
        <v/>
      </c>
      <c r="E338" s="554" t="str">
        <f>IFERROR(VLOOKUP(D338,'INVONTERY FEB'!$B$6:$C$131,2,FALSE),"")</f>
        <v/>
      </c>
      <c r="F338" s="554" t="str">
        <f>IFERROR(VLOOKUP(D338,'INVONTERY FEB'!$B$6:$D$131,3,FALSE),"")</f>
        <v/>
      </c>
      <c r="G338" s="805"/>
      <c r="H338" s="805"/>
      <c r="I338" s="554">
        <f t="shared" si="3"/>
        <v>0</v>
      </c>
      <c r="J338" s="554">
        <f t="shared" si="2"/>
        <v>0</v>
      </c>
      <c r="K338" s="259"/>
      <c r="L338" s="102"/>
    </row>
    <row r="339" ht="15.75" customHeight="1">
      <c r="A339" s="805"/>
      <c r="B339" s="1088"/>
      <c r="C339" s="805"/>
      <c r="D339" s="554" t="str">
        <f>IFERROR(VLOOKUP(C339,'INVONTERY FEB'!$A$6:$B$131,2,FALSE),"")</f>
        <v/>
      </c>
      <c r="E339" s="554" t="str">
        <f>IFERROR(VLOOKUP(D339,'INVONTERY FEB'!$B$6:$C$131,2,FALSE),"")</f>
        <v/>
      </c>
      <c r="F339" s="554" t="str">
        <f>IFERROR(VLOOKUP(D339,'INVONTERY FEB'!$B$6:$D$131,3,FALSE),"")</f>
        <v/>
      </c>
      <c r="G339" s="805"/>
      <c r="H339" s="805"/>
      <c r="I339" s="554">
        <f t="shared" si="3"/>
        <v>0</v>
      </c>
      <c r="J339" s="554">
        <f t="shared" si="2"/>
        <v>0</v>
      </c>
      <c r="K339" s="259"/>
      <c r="L339" s="102"/>
    </row>
    <row r="340" ht="15.75" customHeight="1">
      <c r="A340" s="805"/>
      <c r="B340" s="1088"/>
      <c r="C340" s="805"/>
      <c r="D340" s="554" t="str">
        <f>IFERROR(VLOOKUP(C340,'INVONTERY FEB'!$A$6:$B$131,2,FALSE),"")</f>
        <v/>
      </c>
      <c r="E340" s="554" t="str">
        <f>IFERROR(VLOOKUP(D340,'INVONTERY FEB'!$B$6:$C$131,2,FALSE),"")</f>
        <v/>
      </c>
      <c r="F340" s="554" t="str">
        <f>IFERROR(VLOOKUP(D340,'INVONTERY FEB'!$B$6:$D$131,3,FALSE),"")</f>
        <v/>
      </c>
      <c r="G340" s="805"/>
      <c r="H340" s="805"/>
      <c r="I340" s="554">
        <f t="shared" si="3"/>
        <v>0</v>
      </c>
      <c r="J340" s="554">
        <f t="shared" si="2"/>
        <v>0</v>
      </c>
      <c r="K340" s="259"/>
      <c r="L340" s="102"/>
    </row>
    <row r="341" ht="15.75" customHeight="1">
      <c r="A341" s="805"/>
      <c r="B341" s="1088"/>
      <c r="C341" s="805"/>
      <c r="D341" s="554" t="str">
        <f>IFERROR(VLOOKUP(C341,'INVONTERY FEB'!$A$6:$B$131,2,FALSE),"")</f>
        <v/>
      </c>
      <c r="E341" s="554" t="str">
        <f>IFERROR(VLOOKUP(D341,'INVONTERY FEB'!$B$6:$C$131,2,FALSE),"")</f>
        <v/>
      </c>
      <c r="F341" s="554" t="str">
        <f>IFERROR(VLOOKUP(D341,'INVONTERY FEB'!$B$6:$D$131,3,FALSE),"")</f>
        <v/>
      </c>
      <c r="G341" s="805"/>
      <c r="H341" s="805"/>
      <c r="I341" s="554">
        <f t="shared" si="3"/>
        <v>0</v>
      </c>
      <c r="J341" s="554">
        <f t="shared" si="2"/>
        <v>0</v>
      </c>
      <c r="K341" s="259"/>
      <c r="L341" s="102"/>
    </row>
    <row r="342" ht="15.75" customHeight="1">
      <c r="A342" s="805"/>
      <c r="B342" s="1088"/>
      <c r="C342" s="805"/>
      <c r="D342" s="554" t="str">
        <f>IFERROR(VLOOKUP(C342,'INVONTERY FEB'!$A$6:$B$131,2,FALSE),"")</f>
        <v/>
      </c>
      <c r="E342" s="554" t="str">
        <f>IFERROR(VLOOKUP(D342,'INVONTERY FEB'!$B$6:$C$131,2,FALSE),"")</f>
        <v/>
      </c>
      <c r="F342" s="554" t="str">
        <f>IFERROR(VLOOKUP(D342,'INVONTERY FEB'!$B$6:$D$131,3,FALSE),"")</f>
        <v/>
      </c>
      <c r="G342" s="805"/>
      <c r="H342" s="805"/>
      <c r="I342" s="554">
        <f t="shared" si="3"/>
        <v>0</v>
      </c>
      <c r="J342" s="554">
        <f t="shared" si="2"/>
        <v>0</v>
      </c>
      <c r="K342" s="259"/>
      <c r="L342" s="102"/>
    </row>
    <row r="343" ht="15.75" customHeight="1">
      <c r="A343" s="805"/>
      <c r="B343" s="1088"/>
      <c r="C343" s="805"/>
      <c r="D343" s="554" t="str">
        <f>IFERROR(VLOOKUP(C343,'INVONTERY FEB'!$A$6:$B$131,2,FALSE),"")</f>
        <v/>
      </c>
      <c r="E343" s="554" t="str">
        <f>IFERROR(VLOOKUP(D343,'INVONTERY FEB'!$B$6:$C$131,2,FALSE),"")</f>
        <v/>
      </c>
      <c r="F343" s="554" t="str">
        <f>IFERROR(VLOOKUP(D343,'INVONTERY FEB'!$B$6:$D$131,3,FALSE),"")</f>
        <v/>
      </c>
      <c r="G343" s="805"/>
      <c r="H343" s="805"/>
      <c r="I343" s="554">
        <f t="shared" si="3"/>
        <v>0</v>
      </c>
      <c r="J343" s="554">
        <f t="shared" si="2"/>
        <v>0</v>
      </c>
      <c r="K343" s="259"/>
      <c r="L343" s="102"/>
    </row>
    <row r="344" ht="15.75" customHeight="1">
      <c r="A344" s="805"/>
      <c r="B344" s="1088"/>
      <c r="C344" s="805"/>
      <c r="D344" s="554" t="str">
        <f>IFERROR(VLOOKUP(C344,'INVONTERY FEB'!$A$6:$B$131,2,FALSE),"")</f>
        <v/>
      </c>
      <c r="E344" s="554" t="str">
        <f>IFERROR(VLOOKUP(D344,'INVONTERY FEB'!$B$6:$C$131,2,FALSE),"")</f>
        <v/>
      </c>
      <c r="F344" s="554" t="str">
        <f>IFERROR(VLOOKUP(D344,'INVONTERY FEB'!$B$6:$D$131,3,FALSE),"")</f>
        <v/>
      </c>
      <c r="G344" s="805"/>
      <c r="H344" s="805"/>
      <c r="I344" s="554">
        <f t="shared" si="3"/>
        <v>0</v>
      </c>
      <c r="J344" s="554">
        <f t="shared" si="2"/>
        <v>0</v>
      </c>
      <c r="K344" s="259"/>
      <c r="L344" s="102"/>
    </row>
    <row r="345" ht="15.75" customHeight="1">
      <c r="A345" s="805"/>
      <c r="B345" s="1088"/>
      <c r="C345" s="805"/>
      <c r="D345" s="554" t="str">
        <f>IFERROR(VLOOKUP(C345,'INVONTERY FEB'!$A$6:$B$131,2,FALSE),"")</f>
        <v/>
      </c>
      <c r="E345" s="554" t="str">
        <f>IFERROR(VLOOKUP(D345,'INVONTERY FEB'!$B$6:$C$131,2,FALSE),"")</f>
        <v/>
      </c>
      <c r="F345" s="554" t="str">
        <f>IFERROR(VLOOKUP(D345,'INVONTERY FEB'!$B$6:$D$131,3,FALSE),"")</f>
        <v/>
      </c>
      <c r="G345" s="805"/>
      <c r="H345" s="805"/>
      <c r="I345" s="554">
        <f t="shared" si="3"/>
        <v>0</v>
      </c>
      <c r="J345" s="554">
        <f t="shared" si="2"/>
        <v>0</v>
      </c>
      <c r="K345" s="259"/>
      <c r="L345" s="102"/>
    </row>
    <row r="346" ht="15.75" customHeight="1">
      <c r="A346" s="805"/>
      <c r="B346" s="1088"/>
      <c r="C346" s="805"/>
      <c r="D346" s="554" t="str">
        <f>IFERROR(VLOOKUP(C346,'INVONTERY FEB'!$A$6:$B$131,2,FALSE),"")</f>
        <v/>
      </c>
      <c r="E346" s="554" t="str">
        <f>IFERROR(VLOOKUP(D346,'INVONTERY FEB'!$B$6:$C$131,2,FALSE),"")</f>
        <v/>
      </c>
      <c r="F346" s="554" t="str">
        <f>IFERROR(VLOOKUP(D346,'INVONTERY FEB'!$B$6:$D$131,3,FALSE),"")</f>
        <v/>
      </c>
      <c r="G346" s="805"/>
      <c r="H346" s="805"/>
      <c r="I346" s="554">
        <f t="shared" si="3"/>
        <v>0</v>
      </c>
      <c r="J346" s="554">
        <f t="shared" si="2"/>
        <v>0</v>
      </c>
      <c r="K346" s="259"/>
      <c r="L346" s="102"/>
    </row>
    <row r="347" ht="15.75" customHeight="1">
      <c r="A347" s="805"/>
      <c r="B347" s="1088"/>
      <c r="C347" s="805"/>
      <c r="D347" s="554" t="str">
        <f>IFERROR(VLOOKUP(C347,'INVONTERY FEB'!$A$6:$B$131,2,FALSE),"")</f>
        <v/>
      </c>
      <c r="E347" s="554" t="str">
        <f>IFERROR(VLOOKUP(D347,'INVONTERY FEB'!$B$6:$C$131,2,FALSE),"")</f>
        <v/>
      </c>
      <c r="F347" s="554" t="str">
        <f>IFERROR(VLOOKUP(D347,'INVONTERY FEB'!$B$6:$D$131,3,FALSE),"")</f>
        <v/>
      </c>
      <c r="G347" s="805"/>
      <c r="H347" s="805"/>
      <c r="I347" s="554">
        <f t="shared" si="3"/>
        <v>0</v>
      </c>
      <c r="J347" s="554">
        <f t="shared" si="2"/>
        <v>0</v>
      </c>
      <c r="K347" s="259"/>
      <c r="L347" s="102"/>
    </row>
    <row r="348" ht="15.75" customHeight="1">
      <c r="A348" s="805"/>
      <c r="B348" s="1088"/>
      <c r="C348" s="805"/>
      <c r="D348" s="554" t="str">
        <f>IFERROR(VLOOKUP(C348,'INVONTERY FEB'!$A$6:$B$131,2,FALSE),"")</f>
        <v/>
      </c>
      <c r="E348" s="554" t="str">
        <f>IFERROR(VLOOKUP(D348,'INVONTERY FEB'!$B$6:$C$131,2,FALSE),"")</f>
        <v/>
      </c>
      <c r="F348" s="554" t="str">
        <f>IFERROR(VLOOKUP(D348,'INVONTERY FEB'!$B$6:$D$131,3,FALSE),"")</f>
        <v/>
      </c>
      <c r="G348" s="805"/>
      <c r="H348" s="805"/>
      <c r="I348" s="554">
        <f t="shared" si="3"/>
        <v>0</v>
      </c>
      <c r="J348" s="554">
        <f t="shared" si="2"/>
        <v>0</v>
      </c>
      <c r="K348" s="259"/>
      <c r="L348" s="102"/>
    </row>
    <row r="349" ht="15.75" customHeight="1">
      <c r="A349" s="805"/>
      <c r="B349" s="1088"/>
      <c r="C349" s="805"/>
      <c r="D349" s="554" t="str">
        <f>IFERROR(VLOOKUP(C349,'INVONTERY FEB'!$A$6:$B$131,2,FALSE),"")</f>
        <v/>
      </c>
      <c r="E349" s="554" t="str">
        <f>IFERROR(VLOOKUP(D349,'INVONTERY FEB'!$B$6:$C$131,2,FALSE),"")</f>
        <v/>
      </c>
      <c r="F349" s="554" t="str">
        <f>IFERROR(VLOOKUP(D349,'INVONTERY FEB'!$B$6:$D$131,3,FALSE),"")</f>
        <v/>
      </c>
      <c r="G349" s="805"/>
      <c r="H349" s="805"/>
      <c r="I349" s="554">
        <f t="shared" si="3"/>
        <v>0</v>
      </c>
      <c r="J349" s="554">
        <f t="shared" si="2"/>
        <v>0</v>
      </c>
      <c r="K349" s="259"/>
      <c r="L349" s="102"/>
    </row>
    <row r="350" ht="15.75" customHeight="1">
      <c r="A350" s="805"/>
      <c r="B350" s="1088"/>
      <c r="C350" s="805"/>
      <c r="D350" s="554" t="str">
        <f>IFERROR(VLOOKUP(C350,'INVONTERY FEB'!$A$6:$B$131,2,FALSE),"")</f>
        <v/>
      </c>
      <c r="E350" s="554" t="str">
        <f>IFERROR(VLOOKUP(D350,'INVONTERY FEB'!$B$6:$C$131,2,FALSE),"")</f>
        <v/>
      </c>
      <c r="F350" s="554" t="str">
        <f>IFERROR(VLOOKUP(D350,'INVONTERY FEB'!$B$6:$D$131,3,FALSE),"")</f>
        <v/>
      </c>
      <c r="G350" s="805"/>
      <c r="H350" s="805"/>
      <c r="I350" s="554">
        <f t="shared" si="3"/>
        <v>0</v>
      </c>
      <c r="J350" s="554">
        <f t="shared" si="2"/>
        <v>0</v>
      </c>
      <c r="K350" s="259"/>
      <c r="L350" s="102"/>
    </row>
    <row r="351" ht="15.75" customHeight="1">
      <c r="A351" s="805"/>
      <c r="B351" s="1088"/>
      <c r="C351" s="805"/>
      <c r="D351" s="554" t="str">
        <f>IFERROR(VLOOKUP(C351,'INVONTERY FEB'!$A$6:$B$131,2,FALSE),"")</f>
        <v/>
      </c>
      <c r="E351" s="554" t="str">
        <f>IFERROR(VLOOKUP(D351,'INVONTERY FEB'!$B$6:$C$131,2,FALSE),"")</f>
        <v/>
      </c>
      <c r="F351" s="554" t="str">
        <f>IFERROR(VLOOKUP(D351,'INVONTERY FEB'!$B$6:$D$131,3,FALSE),"")</f>
        <v/>
      </c>
      <c r="G351" s="805"/>
      <c r="H351" s="805"/>
      <c r="I351" s="554">
        <f t="shared" si="3"/>
        <v>0</v>
      </c>
      <c r="J351" s="554">
        <f t="shared" si="2"/>
        <v>0</v>
      </c>
      <c r="K351" s="259"/>
      <c r="L351" s="102"/>
    </row>
    <row r="352" ht="15.75" customHeight="1">
      <c r="A352" s="805"/>
      <c r="B352" s="1088"/>
      <c r="C352" s="805"/>
      <c r="D352" s="554" t="str">
        <f>IFERROR(VLOOKUP(C352,'INVONTERY FEB'!$A$6:$B$131,2,FALSE),"")</f>
        <v/>
      </c>
      <c r="E352" s="554" t="str">
        <f>IFERROR(VLOOKUP(D352,'INVONTERY FEB'!$B$6:$C$131,2,FALSE),"")</f>
        <v/>
      </c>
      <c r="F352" s="554" t="str">
        <f>IFERROR(VLOOKUP(D352,'INVONTERY FEB'!$B$6:$D$131,3,FALSE),"")</f>
        <v/>
      </c>
      <c r="G352" s="805"/>
      <c r="H352" s="805"/>
      <c r="I352" s="554">
        <f t="shared" si="3"/>
        <v>0</v>
      </c>
      <c r="J352" s="554">
        <f t="shared" si="2"/>
        <v>0</v>
      </c>
      <c r="K352" s="259"/>
      <c r="L352" s="102"/>
    </row>
    <row r="353" ht="15.75" customHeight="1">
      <c r="A353" s="805"/>
      <c r="B353" s="1088"/>
      <c r="C353" s="805"/>
      <c r="D353" s="554" t="str">
        <f>IFERROR(VLOOKUP(C353,'INVONTERY FEB'!$A$6:$B$131,2,FALSE),"")</f>
        <v/>
      </c>
      <c r="E353" s="554" t="str">
        <f>IFERROR(VLOOKUP(D353,'INVONTERY FEB'!$B$6:$C$131,2,FALSE),"")</f>
        <v/>
      </c>
      <c r="F353" s="554" t="str">
        <f>IFERROR(VLOOKUP(D353,'INVONTERY FEB'!$B$6:$D$131,3,FALSE),"")</f>
        <v/>
      </c>
      <c r="G353" s="805"/>
      <c r="H353" s="805"/>
      <c r="I353" s="554">
        <f t="shared" si="3"/>
        <v>0</v>
      </c>
      <c r="J353" s="554">
        <f t="shared" si="2"/>
        <v>0</v>
      </c>
      <c r="K353" s="259"/>
      <c r="L353" s="102"/>
    </row>
    <row r="354" ht="15.75" customHeight="1">
      <c r="A354" s="805"/>
      <c r="B354" s="1088"/>
      <c r="C354" s="805"/>
      <c r="D354" s="554" t="str">
        <f>IFERROR(VLOOKUP(C354,'INVONTERY FEB'!$A$6:$B$131,2,FALSE),"")</f>
        <v/>
      </c>
      <c r="E354" s="554" t="str">
        <f>IFERROR(VLOOKUP(D354,'INVONTERY FEB'!$B$6:$C$131,2,FALSE),"")</f>
        <v/>
      </c>
      <c r="F354" s="554" t="str">
        <f>IFERROR(VLOOKUP(D354,'INVONTERY FEB'!$B$6:$D$131,3,FALSE),"")</f>
        <v/>
      </c>
      <c r="G354" s="805"/>
      <c r="H354" s="805"/>
      <c r="I354" s="554">
        <f t="shared" si="3"/>
        <v>0</v>
      </c>
      <c r="J354" s="554">
        <f t="shared" si="2"/>
        <v>0</v>
      </c>
      <c r="K354" s="259"/>
      <c r="L354" s="102"/>
    </row>
    <row r="355" ht="15.75" customHeight="1">
      <c r="A355" s="805"/>
      <c r="B355" s="1088"/>
      <c r="C355" s="805"/>
      <c r="D355" s="554" t="str">
        <f>IFERROR(VLOOKUP(C355,'INVONTERY FEB'!$A$6:$B$131,2,FALSE),"")</f>
        <v/>
      </c>
      <c r="E355" s="554" t="str">
        <f>IFERROR(VLOOKUP(D355,'INVONTERY FEB'!$B$6:$C$131,2,FALSE),"")</f>
        <v/>
      </c>
      <c r="F355" s="554" t="str">
        <f>IFERROR(VLOOKUP(D355,'INVONTERY FEB'!$B$6:$D$131,3,FALSE),"")</f>
        <v/>
      </c>
      <c r="G355" s="805"/>
      <c r="H355" s="805"/>
      <c r="I355" s="554">
        <f t="shared" si="3"/>
        <v>0</v>
      </c>
      <c r="J355" s="554">
        <f t="shared" si="2"/>
        <v>0</v>
      </c>
      <c r="K355" s="259"/>
      <c r="L355" s="102"/>
    </row>
    <row r="356" ht="15.75" customHeight="1">
      <c r="A356" s="805"/>
      <c r="B356" s="1088"/>
      <c r="C356" s="805"/>
      <c r="D356" s="554" t="str">
        <f>IFERROR(VLOOKUP(C356,'INVONTERY FEB'!$A$6:$B$131,2,FALSE),"")</f>
        <v/>
      </c>
      <c r="E356" s="554" t="str">
        <f>IFERROR(VLOOKUP(D356,'INVONTERY FEB'!$B$6:$C$131,2,FALSE),"")</f>
        <v/>
      </c>
      <c r="F356" s="554" t="str">
        <f>IFERROR(VLOOKUP(D356,'INVONTERY FEB'!$B$6:$D$131,3,FALSE),"")</f>
        <v/>
      </c>
      <c r="G356" s="805"/>
      <c r="H356" s="805"/>
      <c r="I356" s="554">
        <f t="shared" si="3"/>
        <v>0</v>
      </c>
      <c r="J356" s="554">
        <f t="shared" si="2"/>
        <v>0</v>
      </c>
      <c r="K356" s="259"/>
      <c r="L356" s="102"/>
    </row>
    <row r="357" ht="15.75" customHeight="1">
      <c r="A357" s="805"/>
      <c r="B357" s="1088"/>
      <c r="C357" s="805"/>
      <c r="D357" s="554" t="str">
        <f>IFERROR(VLOOKUP(C357,'INVONTERY FEB'!$A$6:$B$131,2,FALSE),"")</f>
        <v/>
      </c>
      <c r="E357" s="554" t="str">
        <f>IFERROR(VLOOKUP(D357,'INVONTERY FEB'!$B$6:$C$131,2,FALSE),"")</f>
        <v/>
      </c>
      <c r="F357" s="554" t="str">
        <f>IFERROR(VLOOKUP(D357,'INVONTERY FEB'!$B$6:$D$131,3,FALSE),"")</f>
        <v/>
      </c>
      <c r="G357" s="805"/>
      <c r="H357" s="805"/>
      <c r="I357" s="554">
        <f t="shared" si="3"/>
        <v>0</v>
      </c>
      <c r="J357" s="554">
        <f t="shared" si="2"/>
        <v>0</v>
      </c>
      <c r="K357" s="259"/>
      <c r="L357" s="102"/>
    </row>
    <row r="358" ht="15.75" customHeight="1">
      <c r="A358" s="805"/>
      <c r="B358" s="1088"/>
      <c r="C358" s="805"/>
      <c r="D358" s="554" t="str">
        <f>IFERROR(VLOOKUP(C358,'INVONTERY FEB'!$A$6:$B$131,2,FALSE),"")</f>
        <v/>
      </c>
      <c r="E358" s="554" t="str">
        <f>IFERROR(VLOOKUP(D358,'INVONTERY FEB'!$B$6:$C$131,2,FALSE),"")</f>
        <v/>
      </c>
      <c r="F358" s="554" t="str">
        <f>IFERROR(VLOOKUP(D358,'INVONTERY FEB'!$B$6:$D$131,3,FALSE),"")</f>
        <v/>
      </c>
      <c r="G358" s="805"/>
      <c r="H358" s="805"/>
      <c r="I358" s="554">
        <f t="shared" si="3"/>
        <v>0</v>
      </c>
      <c r="J358" s="554">
        <f t="shared" si="2"/>
        <v>0</v>
      </c>
      <c r="K358" s="259"/>
      <c r="L358" s="102"/>
    </row>
    <row r="359" ht="15.75" customHeight="1">
      <c r="A359" s="805"/>
      <c r="B359" s="1088"/>
      <c r="C359" s="805"/>
      <c r="D359" s="554" t="str">
        <f>IFERROR(VLOOKUP(C359,'INVONTERY FEB'!$A$6:$B$131,2,FALSE),"")</f>
        <v/>
      </c>
      <c r="E359" s="554" t="str">
        <f>IFERROR(VLOOKUP(D359,'INVONTERY FEB'!$B$6:$C$131,2,FALSE),"")</f>
        <v/>
      </c>
      <c r="F359" s="554" t="str">
        <f>IFERROR(VLOOKUP(D359,'INVONTERY FEB'!$B$6:$D$131,3,FALSE),"")</f>
        <v/>
      </c>
      <c r="G359" s="805"/>
      <c r="H359" s="805"/>
      <c r="I359" s="554">
        <f t="shared" si="3"/>
        <v>0</v>
      </c>
      <c r="J359" s="554">
        <f t="shared" si="2"/>
        <v>0</v>
      </c>
      <c r="K359" s="259"/>
      <c r="L359" s="102"/>
    </row>
    <row r="360" ht="15.75" customHeight="1">
      <c r="A360" s="805"/>
      <c r="B360" s="1088"/>
      <c r="C360" s="805"/>
      <c r="D360" s="554" t="str">
        <f>IFERROR(VLOOKUP(C360,'INVONTERY FEB'!$A$6:$B$131,2,FALSE),"")</f>
        <v/>
      </c>
      <c r="E360" s="554" t="str">
        <f>IFERROR(VLOOKUP(D360,'INVONTERY FEB'!$B$6:$C$131,2,FALSE),"")</f>
        <v/>
      </c>
      <c r="F360" s="554" t="str">
        <f>IFERROR(VLOOKUP(D360,'INVONTERY FEB'!$B$6:$D$131,3,FALSE),"")</f>
        <v/>
      </c>
      <c r="G360" s="805"/>
      <c r="H360" s="805"/>
      <c r="I360" s="554">
        <f t="shared" si="3"/>
        <v>0</v>
      </c>
      <c r="J360" s="554">
        <f t="shared" si="2"/>
        <v>0</v>
      </c>
      <c r="K360" s="259"/>
      <c r="L360" s="102"/>
    </row>
    <row r="361" ht="15.75" customHeight="1">
      <c r="A361" s="805"/>
      <c r="B361" s="1088"/>
      <c r="C361" s="805"/>
      <c r="D361" s="554" t="str">
        <f>IFERROR(VLOOKUP(C361,'INVONTERY FEB'!$A$6:$B$131,2,FALSE),"")</f>
        <v/>
      </c>
      <c r="E361" s="554" t="str">
        <f>IFERROR(VLOOKUP(D361,'INVONTERY FEB'!$B$6:$C$131,2,FALSE),"")</f>
        <v/>
      </c>
      <c r="F361" s="554" t="str">
        <f>IFERROR(VLOOKUP(D361,'INVONTERY FEB'!$B$6:$D$131,3,FALSE),"")</f>
        <v/>
      </c>
      <c r="G361" s="805"/>
      <c r="H361" s="805"/>
      <c r="I361" s="554">
        <f t="shared" si="3"/>
        <v>0</v>
      </c>
      <c r="J361" s="554">
        <f t="shared" si="2"/>
        <v>0</v>
      </c>
      <c r="K361" s="259"/>
      <c r="L361" s="102"/>
    </row>
    <row r="362" ht="15.75" customHeight="1">
      <c r="A362" s="805"/>
      <c r="B362" s="1088"/>
      <c r="C362" s="805"/>
      <c r="D362" s="554" t="str">
        <f>IFERROR(VLOOKUP(C362,'INVONTERY FEB'!$A$6:$B$131,2,FALSE),"")</f>
        <v/>
      </c>
      <c r="E362" s="554" t="str">
        <f>IFERROR(VLOOKUP(D362,'INVONTERY FEB'!$B$6:$C$131,2,FALSE),"")</f>
        <v/>
      </c>
      <c r="F362" s="554" t="str">
        <f>IFERROR(VLOOKUP(D362,'INVONTERY FEB'!$B$6:$D$131,3,FALSE),"")</f>
        <v/>
      </c>
      <c r="G362" s="805"/>
      <c r="H362" s="805"/>
      <c r="I362" s="554">
        <f t="shared" si="3"/>
        <v>0</v>
      </c>
      <c r="J362" s="554">
        <f t="shared" si="2"/>
        <v>0</v>
      </c>
      <c r="K362" s="259"/>
      <c r="L362" s="102"/>
    </row>
    <row r="363" ht="15.75" customHeight="1">
      <c r="A363" s="805"/>
      <c r="B363" s="1088"/>
      <c r="C363" s="805"/>
      <c r="D363" s="554" t="str">
        <f>IFERROR(VLOOKUP(C363,'INVONTERY FEB'!$A$6:$B$131,2,FALSE),"")</f>
        <v/>
      </c>
      <c r="E363" s="554" t="str">
        <f>IFERROR(VLOOKUP(D363,'INVONTERY FEB'!$B$6:$C$131,2,FALSE),"")</f>
        <v/>
      </c>
      <c r="F363" s="554" t="str">
        <f>IFERROR(VLOOKUP(D363,'INVONTERY FEB'!$B$6:$D$131,3,FALSE),"")</f>
        <v/>
      </c>
      <c r="G363" s="805"/>
      <c r="H363" s="805"/>
      <c r="I363" s="554">
        <f t="shared" si="3"/>
        <v>0</v>
      </c>
      <c r="J363" s="554">
        <f t="shared" si="2"/>
        <v>0</v>
      </c>
      <c r="K363" s="259"/>
      <c r="L363" s="102"/>
    </row>
    <row r="364" ht="15.75" customHeight="1">
      <c r="A364" s="805"/>
      <c r="B364" s="1088"/>
      <c r="C364" s="805"/>
      <c r="D364" s="554" t="str">
        <f>IFERROR(VLOOKUP(C364,'INVONTERY FEB'!$A$6:$B$131,2,FALSE),"")</f>
        <v/>
      </c>
      <c r="E364" s="554" t="str">
        <f>IFERROR(VLOOKUP(D364,'INVONTERY FEB'!$B$6:$C$131,2,FALSE),"")</f>
        <v/>
      </c>
      <c r="F364" s="554" t="str">
        <f>IFERROR(VLOOKUP(D364,'INVONTERY FEB'!$B$6:$D$131,3,FALSE),"")</f>
        <v/>
      </c>
      <c r="G364" s="805"/>
      <c r="H364" s="805"/>
      <c r="I364" s="554">
        <f t="shared" si="3"/>
        <v>0</v>
      </c>
      <c r="J364" s="554">
        <f t="shared" si="2"/>
        <v>0</v>
      </c>
      <c r="K364" s="259"/>
      <c r="L364" s="102"/>
    </row>
    <row r="365" ht="15.75" customHeight="1">
      <c r="A365" s="805"/>
      <c r="B365" s="1088"/>
      <c r="C365" s="805"/>
      <c r="D365" s="554" t="str">
        <f>IFERROR(VLOOKUP(C365,'INVONTERY FEB'!$A$6:$B$131,2,FALSE),"")</f>
        <v/>
      </c>
      <c r="E365" s="554" t="str">
        <f>IFERROR(VLOOKUP(D365,'INVONTERY FEB'!$B$6:$C$131,2,FALSE),"")</f>
        <v/>
      </c>
      <c r="F365" s="554" t="str">
        <f>IFERROR(VLOOKUP(D365,'INVONTERY FEB'!$B$6:$D$131,3,FALSE),"")</f>
        <v/>
      </c>
      <c r="G365" s="805"/>
      <c r="H365" s="805"/>
      <c r="I365" s="554">
        <f t="shared" si="3"/>
        <v>0</v>
      </c>
      <c r="J365" s="554">
        <f t="shared" si="2"/>
        <v>0</v>
      </c>
      <c r="K365" s="259"/>
      <c r="L365" s="102"/>
    </row>
    <row r="366" ht="15.75" customHeight="1">
      <c r="A366" s="805"/>
      <c r="B366" s="1088"/>
      <c r="C366" s="805"/>
      <c r="D366" s="554" t="str">
        <f>IFERROR(VLOOKUP(C366,'INVONTERY FEB'!$A$6:$B$131,2,FALSE),"")</f>
        <v/>
      </c>
      <c r="E366" s="554" t="str">
        <f>IFERROR(VLOOKUP(D366,'INVONTERY FEB'!$B$6:$C$131,2,FALSE),"")</f>
        <v/>
      </c>
      <c r="F366" s="554" t="str">
        <f>IFERROR(VLOOKUP(D366,'INVONTERY FEB'!$B$6:$D$131,3,FALSE),"")</f>
        <v/>
      </c>
      <c r="G366" s="805"/>
      <c r="H366" s="805"/>
      <c r="I366" s="554">
        <f t="shared" si="3"/>
        <v>0</v>
      </c>
      <c r="J366" s="554">
        <f t="shared" si="2"/>
        <v>0</v>
      </c>
      <c r="K366" s="259"/>
      <c r="L366" s="102"/>
    </row>
    <row r="367" ht="15.75" customHeight="1">
      <c r="A367" s="805"/>
      <c r="B367" s="1088"/>
      <c r="C367" s="805"/>
      <c r="D367" s="554" t="str">
        <f>IFERROR(VLOOKUP(C367,'INVONTERY FEB'!$A$6:$B$131,2,FALSE),"")</f>
        <v/>
      </c>
      <c r="E367" s="554" t="str">
        <f>IFERROR(VLOOKUP(D367,'INVONTERY FEB'!$B$6:$C$131,2,FALSE),"")</f>
        <v/>
      </c>
      <c r="F367" s="554" t="str">
        <f>IFERROR(VLOOKUP(D367,'INVONTERY FEB'!$B$6:$D$131,3,FALSE),"")</f>
        <v/>
      </c>
      <c r="G367" s="805"/>
      <c r="H367" s="805"/>
      <c r="I367" s="554">
        <f t="shared" si="3"/>
        <v>0</v>
      </c>
      <c r="J367" s="554">
        <f t="shared" si="2"/>
        <v>0</v>
      </c>
      <c r="K367" s="259"/>
      <c r="L367" s="102"/>
    </row>
    <row r="368" ht="15.75" customHeight="1">
      <c r="A368" s="805"/>
      <c r="B368" s="1088"/>
      <c r="C368" s="805"/>
      <c r="D368" s="554" t="str">
        <f>IFERROR(VLOOKUP(C368,'INVONTERY FEB'!$A$6:$B$131,2,FALSE),"")</f>
        <v/>
      </c>
      <c r="E368" s="554" t="str">
        <f>IFERROR(VLOOKUP(D368,'INVONTERY FEB'!$B$6:$C$131,2,FALSE),"")</f>
        <v/>
      </c>
      <c r="F368" s="554" t="str">
        <f>IFERROR(VLOOKUP(D368,'INVONTERY FEB'!$B$6:$D$131,3,FALSE),"")</f>
        <v/>
      </c>
      <c r="G368" s="805"/>
      <c r="H368" s="805"/>
      <c r="I368" s="554">
        <f t="shared" si="3"/>
        <v>0</v>
      </c>
      <c r="J368" s="554">
        <f t="shared" si="2"/>
        <v>0</v>
      </c>
      <c r="K368" s="259"/>
      <c r="L368" s="102"/>
    </row>
    <row r="369" ht="15.75" customHeight="1">
      <c r="A369" s="805"/>
      <c r="B369" s="1088"/>
      <c r="C369" s="805"/>
      <c r="D369" s="554" t="str">
        <f>IFERROR(VLOOKUP(C369,'INVONTERY FEB'!$A$6:$B$131,2,FALSE),"")</f>
        <v/>
      </c>
      <c r="E369" s="554" t="str">
        <f>IFERROR(VLOOKUP(D369,'INVONTERY FEB'!$B$6:$C$131,2,FALSE),"")</f>
        <v/>
      </c>
      <c r="F369" s="554" t="str">
        <f>IFERROR(VLOOKUP(D369,'INVONTERY FEB'!$B$6:$D$131,3,FALSE),"")</f>
        <v/>
      </c>
      <c r="G369" s="805"/>
      <c r="H369" s="805"/>
      <c r="I369" s="554">
        <f t="shared" si="3"/>
        <v>0</v>
      </c>
      <c r="J369" s="554">
        <f t="shared" si="2"/>
        <v>0</v>
      </c>
      <c r="K369" s="259"/>
      <c r="L369" s="102"/>
    </row>
    <row r="370" ht="15.75" customHeight="1">
      <c r="A370" s="805"/>
      <c r="B370" s="1088"/>
      <c r="C370" s="805"/>
      <c r="D370" s="554" t="str">
        <f>IFERROR(VLOOKUP(C370,'INVONTERY FEB'!$A$6:$B$131,2,FALSE),"")</f>
        <v/>
      </c>
      <c r="E370" s="554" t="str">
        <f>IFERROR(VLOOKUP(D370,'INVONTERY FEB'!$B$6:$C$131,2,FALSE),"")</f>
        <v/>
      </c>
      <c r="F370" s="554" t="str">
        <f>IFERROR(VLOOKUP(D370,'INVONTERY FEB'!$B$6:$D$131,3,FALSE),"")</f>
        <v/>
      </c>
      <c r="G370" s="805"/>
      <c r="H370" s="805"/>
      <c r="I370" s="554">
        <f t="shared" si="3"/>
        <v>0</v>
      </c>
      <c r="J370" s="554">
        <f t="shared" si="2"/>
        <v>0</v>
      </c>
      <c r="K370" s="259"/>
      <c r="L370" s="102"/>
    </row>
    <row r="371" ht="15.75" customHeight="1">
      <c r="A371" s="805"/>
      <c r="B371" s="1095"/>
      <c r="C371" s="805"/>
      <c r="D371" s="554" t="str">
        <f>IFERROR(VLOOKUP(C371,'INVONTERY FEB'!$A$6:$B$131,2,FALSE),"")</f>
        <v/>
      </c>
      <c r="E371" s="554" t="str">
        <f>IFERROR(VLOOKUP(D371,'INVONTERY FEB'!$B$6:$C$131,2,FALSE),"")</f>
        <v/>
      </c>
      <c r="F371" s="554" t="str">
        <f>IFERROR(VLOOKUP(D371,'INVONTERY FEB'!$B$6:$D$131,3,FALSE),"")</f>
        <v/>
      </c>
      <c r="G371" s="805"/>
      <c r="H371" s="805"/>
      <c r="I371" s="554">
        <f t="shared" si="3"/>
        <v>0</v>
      </c>
      <c r="J371" s="554">
        <f t="shared" si="2"/>
        <v>0</v>
      </c>
      <c r="K371" s="259"/>
      <c r="L371" s="259"/>
    </row>
    <row r="372" ht="15.75" customHeight="1">
      <c r="A372" s="805"/>
      <c r="B372" s="1095"/>
      <c r="C372" s="805"/>
      <c r="D372" s="554" t="str">
        <f>IFERROR(VLOOKUP(C372,'INVONTERY FEB'!$A$6:$B$131,2,FALSE),"")</f>
        <v/>
      </c>
      <c r="E372" s="554" t="str">
        <f>IFERROR(VLOOKUP(D372,'INVONTERY FEB'!$B$6:$C$131,2,FALSE),"")</f>
        <v/>
      </c>
      <c r="F372" s="554" t="str">
        <f>IFERROR(VLOOKUP(D372,'INVONTERY FEB'!$B$6:$D$131,3,FALSE),"")</f>
        <v/>
      </c>
      <c r="G372" s="805"/>
      <c r="H372" s="805"/>
      <c r="I372" s="554">
        <f t="shared" si="3"/>
        <v>0</v>
      </c>
      <c r="J372" s="554">
        <f t="shared" si="2"/>
        <v>0</v>
      </c>
      <c r="K372" s="259"/>
      <c r="L372" s="259"/>
    </row>
    <row r="373" ht="15.75" customHeight="1">
      <c r="A373" s="805"/>
      <c r="B373" s="1095"/>
      <c r="C373" s="805"/>
      <c r="D373" s="554" t="str">
        <f>IFERROR(VLOOKUP(C373,'INVONTERY FEB'!$A$6:$B$131,2,FALSE),"")</f>
        <v/>
      </c>
      <c r="E373" s="554" t="str">
        <f>IFERROR(VLOOKUP(D373,'INVONTERY FEB'!$B$6:$C$131,2,FALSE),"")</f>
        <v/>
      </c>
      <c r="F373" s="554" t="str">
        <f>IFERROR(VLOOKUP(D373,'INVONTERY FEB'!$B$6:$D$131,3,FALSE),"")</f>
        <v/>
      </c>
      <c r="G373" s="554"/>
      <c r="H373" s="805"/>
      <c r="I373" s="554">
        <f t="shared" si="3"/>
        <v>0</v>
      </c>
      <c r="J373" s="554">
        <f t="shared" si="2"/>
        <v>0</v>
      </c>
      <c r="K373" s="259"/>
      <c r="L373" s="102"/>
    </row>
    <row r="374" ht="15.75" customHeight="1">
      <c r="A374" s="805"/>
      <c r="B374" s="1095"/>
      <c r="C374" s="805"/>
      <c r="D374" s="554" t="str">
        <f>IFERROR(VLOOKUP(C374,'INVONTERY FEB'!$A$6:$B$131,2,FALSE),"")</f>
        <v/>
      </c>
      <c r="E374" s="554" t="str">
        <f>IFERROR(VLOOKUP(D374,'INVONTERY FEB'!$B$6:$C$131,2,FALSE),"")</f>
        <v/>
      </c>
      <c r="F374" s="554" t="str">
        <f>IFERROR(VLOOKUP(D374,'INVONTERY FEB'!$B$6:$D$131,3,FALSE),"")</f>
        <v/>
      </c>
      <c r="G374" s="805"/>
      <c r="H374" s="805"/>
      <c r="I374" s="554">
        <f t="shared" si="3"/>
        <v>0</v>
      </c>
      <c r="J374" s="554">
        <f t="shared" si="2"/>
        <v>0</v>
      </c>
      <c r="K374" s="259"/>
      <c r="L374" s="102"/>
    </row>
    <row r="375" ht="15.75" customHeight="1">
      <c r="A375" s="805"/>
      <c r="B375" s="1095"/>
      <c r="C375" s="805"/>
      <c r="D375" s="554" t="str">
        <f>IFERROR(VLOOKUP(C375,'INVONTERY FEB'!$A$6:$B$131,2,FALSE),"")</f>
        <v/>
      </c>
      <c r="E375" s="554" t="str">
        <f>IFERROR(VLOOKUP(D375,'INVONTERY FEB'!$B$6:$C$131,2,FALSE),"")</f>
        <v/>
      </c>
      <c r="F375" s="554" t="str">
        <f>IFERROR(VLOOKUP(D375,'INVONTERY FEB'!$B$6:$D$131,3,FALSE),"")</f>
        <v/>
      </c>
      <c r="G375" s="805"/>
      <c r="H375" s="805"/>
      <c r="I375" s="554">
        <f t="shared" si="3"/>
        <v>0</v>
      </c>
      <c r="J375" s="554">
        <f t="shared" si="2"/>
        <v>0</v>
      </c>
      <c r="K375" s="259"/>
      <c r="L375" s="259"/>
    </row>
    <row r="376" ht="15.75" customHeight="1">
      <c r="A376" s="805"/>
      <c r="B376" s="1095"/>
      <c r="C376" s="805"/>
      <c r="D376" s="554" t="str">
        <f>IFERROR(VLOOKUP(C376,'INVONTERY FEB'!$A$6:$B$131,2,FALSE),"")</f>
        <v/>
      </c>
      <c r="E376" s="554" t="str">
        <f>IFERROR(VLOOKUP(D376,'INVONTERY FEB'!$B$6:$C$131,2,FALSE),"")</f>
        <v/>
      </c>
      <c r="F376" s="554" t="str">
        <f>IFERROR(VLOOKUP(D376,'INVONTERY FEB'!$B$6:$D$131,3,FALSE),"")</f>
        <v/>
      </c>
      <c r="G376" s="805"/>
      <c r="H376" s="805"/>
      <c r="I376" s="554">
        <f t="shared" si="3"/>
        <v>0</v>
      </c>
      <c r="J376" s="554">
        <f t="shared" si="2"/>
        <v>0</v>
      </c>
      <c r="K376" s="259"/>
      <c r="L376" s="259"/>
    </row>
    <row r="377" ht="15.75" customHeight="1">
      <c r="A377" s="805"/>
      <c r="B377" s="1095"/>
      <c r="C377" s="805"/>
      <c r="D377" s="554" t="str">
        <f>IFERROR(VLOOKUP(C377,'INVONTERY FEB'!$A$6:$B$131,2,FALSE),"")</f>
        <v/>
      </c>
      <c r="E377" s="554" t="str">
        <f>IFERROR(VLOOKUP(D377,'INVONTERY FEB'!$B$6:$C$131,2,FALSE),"")</f>
        <v/>
      </c>
      <c r="F377" s="554" t="str">
        <f>IFERROR(VLOOKUP(D377,'INVONTERY FEB'!$B$6:$D$131,3,FALSE),"")</f>
        <v/>
      </c>
      <c r="G377" s="805"/>
      <c r="H377" s="805"/>
      <c r="I377" s="554">
        <f t="shared" si="3"/>
        <v>0</v>
      </c>
      <c r="J377" s="554">
        <f t="shared" si="2"/>
        <v>0</v>
      </c>
      <c r="K377" s="259"/>
      <c r="L377" s="102"/>
    </row>
    <row r="378" ht="15.75" customHeight="1">
      <c r="A378" s="805"/>
      <c r="B378" s="1095"/>
      <c r="C378" s="805"/>
      <c r="D378" s="554" t="str">
        <f>IFERROR(VLOOKUP(C378,'INVONTERY FEB'!$A$6:$B$131,2,FALSE),"")</f>
        <v/>
      </c>
      <c r="E378" s="554" t="str">
        <f>IFERROR(VLOOKUP(D378,'INVONTERY FEB'!$B$6:$C$131,2,FALSE),"")</f>
        <v/>
      </c>
      <c r="F378" s="554" t="str">
        <f>IFERROR(VLOOKUP(D378,'INVONTERY FEB'!$B$6:$D$131,3,FALSE),"")</f>
        <v/>
      </c>
      <c r="G378" s="805"/>
      <c r="H378" s="805"/>
      <c r="I378" s="554">
        <f t="shared" si="3"/>
        <v>0</v>
      </c>
      <c r="J378" s="554">
        <f t="shared" si="2"/>
        <v>0</v>
      </c>
      <c r="K378" s="259"/>
      <c r="L378" s="102"/>
    </row>
    <row r="379" ht="15.75" customHeight="1">
      <c r="A379" s="805"/>
      <c r="B379" s="1095"/>
      <c r="C379" s="805"/>
      <c r="D379" s="554" t="str">
        <f>IFERROR(VLOOKUP(C379,'INVONTERY FEB'!$A$6:$B$131,2,FALSE),"")</f>
        <v/>
      </c>
      <c r="E379" s="554" t="str">
        <f>IFERROR(VLOOKUP(D379,'INVONTERY FEB'!$B$6:$C$131,2,FALSE),"")</f>
        <v/>
      </c>
      <c r="F379" s="554" t="str">
        <f>IFERROR(VLOOKUP(D379,'INVONTERY FEB'!$B$6:$D$131,3,FALSE),"")</f>
        <v/>
      </c>
      <c r="G379" s="805"/>
      <c r="H379" s="805"/>
      <c r="I379" s="556">
        <f t="shared" si="3"/>
        <v>0</v>
      </c>
      <c r="J379" s="554">
        <f t="shared" si="2"/>
        <v>0</v>
      </c>
      <c r="K379" s="259"/>
      <c r="L379" s="102"/>
    </row>
    <row r="380" ht="15.75" customHeight="1">
      <c r="A380" s="805"/>
      <c r="B380" s="1095"/>
      <c r="C380" s="805"/>
      <c r="D380" s="554" t="str">
        <f>IFERROR(VLOOKUP(C380,'INVONTERY FEB'!$A$6:$B$131,2,FALSE),"")</f>
        <v/>
      </c>
      <c r="E380" s="554" t="str">
        <f>IFERROR(VLOOKUP(D380,'INVONTERY FEB'!$B$6:$C$131,2,FALSE),"")</f>
        <v/>
      </c>
      <c r="F380" s="554" t="str">
        <f>IFERROR(VLOOKUP(D380,'INVONTERY FEB'!$B$6:$D$131,3,FALSE),"")</f>
        <v/>
      </c>
      <c r="G380" s="805"/>
      <c r="H380" s="805"/>
      <c r="I380" s="554">
        <f t="shared" si="3"/>
        <v>0</v>
      </c>
      <c r="J380" s="554">
        <f t="shared" si="2"/>
        <v>0</v>
      </c>
      <c r="K380" s="259"/>
      <c r="L380" s="102"/>
    </row>
    <row r="381" ht="15.75" customHeight="1">
      <c r="A381" s="805"/>
      <c r="B381" s="1095"/>
      <c r="C381" s="805"/>
      <c r="D381" s="554" t="str">
        <f>IFERROR(VLOOKUP(C381,'INVONTERY FEB'!$A$6:$B$131,2,FALSE),"")</f>
        <v/>
      </c>
      <c r="E381" s="554" t="str">
        <f>IFERROR(VLOOKUP(D381,'INVONTERY FEB'!$B$6:$C$131,2,FALSE),"")</f>
        <v/>
      </c>
      <c r="F381" s="554" t="str">
        <f>IFERROR(VLOOKUP(D381,'INVONTERY FEB'!$B$6:$D$131,3,FALSE),"")</f>
        <v/>
      </c>
      <c r="G381" s="805"/>
      <c r="H381" s="805"/>
      <c r="I381" s="554">
        <f t="shared" si="3"/>
        <v>0</v>
      </c>
      <c r="J381" s="554">
        <f t="shared" si="2"/>
        <v>0</v>
      </c>
      <c r="K381" s="259"/>
      <c r="L381" s="102"/>
    </row>
    <row r="382" ht="15.75" customHeight="1">
      <c r="A382" s="805"/>
      <c r="B382" s="1095"/>
      <c r="C382" s="805"/>
      <c r="D382" s="554" t="str">
        <f>IFERROR(VLOOKUP(C382,'INVONTERY FEB'!$A$6:$B$131,2,FALSE),"")</f>
        <v/>
      </c>
      <c r="E382" s="554" t="str">
        <f>IFERROR(VLOOKUP(D382,'INVONTERY FEB'!$B$6:$C$131,2,FALSE),"")</f>
        <v/>
      </c>
      <c r="F382" s="554" t="str">
        <f>IFERROR(VLOOKUP(D382,'INVONTERY FEB'!$B$6:$D$131,3,FALSE),"")</f>
        <v/>
      </c>
      <c r="G382" s="805"/>
      <c r="H382" s="805"/>
      <c r="I382" s="554">
        <f t="shared" si="3"/>
        <v>0</v>
      </c>
      <c r="J382" s="554">
        <f t="shared" si="2"/>
        <v>0</v>
      </c>
      <c r="K382" s="259"/>
      <c r="L382" s="102"/>
    </row>
    <row r="383" ht="15.75" customHeight="1">
      <c r="A383" s="805"/>
      <c r="B383" s="1095"/>
      <c r="C383" s="805"/>
      <c r="D383" s="554" t="str">
        <f>IFERROR(VLOOKUP(C383,'INVONTERY FEB'!$A$6:$B$131,2,FALSE),"")</f>
        <v/>
      </c>
      <c r="E383" s="554" t="str">
        <f>IFERROR(VLOOKUP(D383,'INVONTERY FEB'!$B$6:$C$131,2,FALSE),"")</f>
        <v/>
      </c>
      <c r="F383" s="554" t="str">
        <f>IFERROR(VLOOKUP(D383,'INVONTERY FEB'!$B$6:$D$131,3,FALSE),"")</f>
        <v/>
      </c>
      <c r="G383" s="805"/>
      <c r="H383" s="805"/>
      <c r="I383" s="554">
        <f t="shared" si="3"/>
        <v>0</v>
      </c>
      <c r="J383" s="554">
        <f t="shared" si="2"/>
        <v>0</v>
      </c>
      <c r="K383" s="259"/>
      <c r="L383" s="102"/>
    </row>
    <row r="384" ht="15.75" customHeight="1">
      <c r="A384" s="805"/>
      <c r="B384" s="1095"/>
      <c r="C384" s="805"/>
      <c r="D384" s="554" t="str">
        <f>IFERROR(VLOOKUP(C384,'INVONTERY FEB'!$A$6:$B$131,2,FALSE),"")</f>
        <v/>
      </c>
      <c r="E384" s="554" t="str">
        <f>IFERROR(VLOOKUP(D384,'INVONTERY FEB'!$B$6:$C$131,2,FALSE),"")</f>
        <v/>
      </c>
      <c r="F384" s="554" t="str">
        <f>IFERROR(VLOOKUP(D384,'INVONTERY FEB'!$B$6:$D$131,3,FALSE),"")</f>
        <v/>
      </c>
      <c r="G384" s="805"/>
      <c r="H384" s="805"/>
      <c r="I384" s="554">
        <f t="shared" si="3"/>
        <v>0</v>
      </c>
      <c r="J384" s="554">
        <f t="shared" si="2"/>
        <v>0</v>
      </c>
      <c r="K384" s="259"/>
      <c r="L384" s="102"/>
    </row>
    <row r="385" ht="15.75" customHeight="1">
      <c r="A385" s="805"/>
      <c r="B385" s="1095"/>
      <c r="C385" s="805"/>
      <c r="D385" s="554" t="str">
        <f>IFERROR(VLOOKUP(C385,'INVONTERY FEB'!$A$6:$B$131,2,FALSE),"")</f>
        <v/>
      </c>
      <c r="E385" s="554" t="str">
        <f>IFERROR(VLOOKUP(D385,'INVONTERY FEB'!$B$6:$C$131,2,FALSE),"")</f>
        <v/>
      </c>
      <c r="F385" s="554" t="str">
        <f>IFERROR(VLOOKUP(D385,'INVONTERY FEB'!$B$6:$D$131,3,FALSE),"")</f>
        <v/>
      </c>
      <c r="G385" s="805"/>
      <c r="H385" s="805"/>
      <c r="I385" s="554">
        <f t="shared" si="3"/>
        <v>0</v>
      </c>
      <c r="J385" s="554">
        <f t="shared" si="2"/>
        <v>0</v>
      </c>
      <c r="K385" s="259"/>
      <c r="L385" s="102"/>
    </row>
    <row r="386" ht="15.75" customHeight="1">
      <c r="A386" s="805"/>
      <c r="B386" s="1095"/>
      <c r="C386" s="805"/>
      <c r="D386" s="554" t="str">
        <f>IFERROR(VLOOKUP(C386,'INVONTERY FEB'!$A$6:$B$131,2,FALSE),"")</f>
        <v/>
      </c>
      <c r="E386" s="554" t="str">
        <f>IFERROR(VLOOKUP(D386,'INVONTERY FEB'!$B$6:$C$131,2,FALSE),"")</f>
        <v/>
      </c>
      <c r="F386" s="554" t="str">
        <f>IFERROR(VLOOKUP(D386,'INVONTERY FEB'!$B$6:$D$131,3,FALSE),"")</f>
        <v/>
      </c>
      <c r="G386" s="805"/>
      <c r="H386" s="805"/>
      <c r="I386" s="554">
        <f t="shared" si="3"/>
        <v>0</v>
      </c>
      <c r="J386" s="554">
        <f t="shared" si="2"/>
        <v>0</v>
      </c>
      <c r="K386" s="259"/>
      <c r="L386" s="102"/>
    </row>
    <row r="387" ht="15.75" customHeight="1">
      <c r="A387" s="805"/>
      <c r="B387" s="1088"/>
      <c r="C387" s="805"/>
      <c r="D387" s="554" t="str">
        <f>IFERROR(VLOOKUP(C387,'INVONTERY FEB'!$A$6:$B$131,2,FALSE),"")</f>
        <v/>
      </c>
      <c r="E387" s="554" t="str">
        <f>IFERROR(VLOOKUP(D387,'INVONTERY FEB'!$B$6:$C$131,2,FALSE),"")</f>
        <v/>
      </c>
      <c r="F387" s="554" t="str">
        <f>IFERROR(VLOOKUP(D387,'INVONTERY FEB'!$B$6:$D$131,3,FALSE),"")</f>
        <v/>
      </c>
      <c r="G387" s="805"/>
      <c r="H387" s="805"/>
      <c r="I387" s="554">
        <f t="shared" si="3"/>
        <v>0</v>
      </c>
      <c r="J387" s="554">
        <f t="shared" si="2"/>
        <v>0</v>
      </c>
      <c r="K387" s="259"/>
      <c r="L387" s="102"/>
    </row>
    <row r="388" ht="15.75" customHeight="1">
      <c r="A388" s="805"/>
      <c r="B388" s="1088"/>
      <c r="C388" s="805"/>
      <c r="D388" s="554" t="str">
        <f>IFERROR(VLOOKUP(C388,'INVONTERY FEB'!$A$6:$B$131,2,FALSE),"")</f>
        <v/>
      </c>
      <c r="E388" s="554" t="str">
        <f>IFERROR(VLOOKUP(D388,'INVONTERY FEB'!$B$6:$C$131,2,FALSE),"")</f>
        <v/>
      </c>
      <c r="F388" s="554" t="str">
        <f>IFERROR(VLOOKUP(D388,'INVONTERY FEB'!$B$6:$D$131,3,FALSE),"")</f>
        <v/>
      </c>
      <c r="G388" s="805"/>
      <c r="H388" s="805"/>
      <c r="I388" s="554">
        <f t="shared" si="3"/>
        <v>0</v>
      </c>
      <c r="J388" s="554">
        <f t="shared" si="2"/>
        <v>0</v>
      </c>
      <c r="K388" s="259"/>
      <c r="L388" s="102"/>
    </row>
    <row r="389" ht="15.75" customHeight="1">
      <c r="A389" s="805"/>
      <c r="B389" s="1088"/>
      <c r="C389" s="805"/>
      <c r="D389" s="554" t="str">
        <f>IFERROR(VLOOKUP(C389,'INVONTERY FEB'!$A$6:$B$131,2,FALSE),"")</f>
        <v/>
      </c>
      <c r="E389" s="554" t="str">
        <f>IFERROR(VLOOKUP(D389,'INVONTERY FEB'!$B$6:$C$131,2,FALSE),"")</f>
        <v/>
      </c>
      <c r="F389" s="554" t="str">
        <f>IFERROR(VLOOKUP(D389,'INVONTERY FEB'!$B$6:$D$131,3,FALSE),"")</f>
        <v/>
      </c>
      <c r="G389" s="805"/>
      <c r="H389" s="805"/>
      <c r="I389" s="554">
        <f t="shared" si="3"/>
        <v>0</v>
      </c>
      <c r="J389" s="554">
        <f t="shared" si="2"/>
        <v>0</v>
      </c>
      <c r="K389" s="259"/>
      <c r="L389" s="102"/>
    </row>
    <row r="390" ht="15.75" customHeight="1">
      <c r="A390" s="805"/>
      <c r="B390" s="1088"/>
      <c r="C390" s="805"/>
      <c r="D390" s="554" t="str">
        <f>IFERROR(VLOOKUP(C390,'INVONTERY FEB'!$A$6:$B$131,2,FALSE),"")</f>
        <v/>
      </c>
      <c r="E390" s="554" t="str">
        <f>IFERROR(VLOOKUP(D390,'INVONTERY FEB'!$B$6:$C$131,2,FALSE),"")</f>
        <v/>
      </c>
      <c r="F390" s="554" t="str">
        <f>IFERROR(VLOOKUP(D390,'INVONTERY FEB'!$B$6:$D$131,3,FALSE),"")</f>
        <v/>
      </c>
      <c r="G390" s="805"/>
      <c r="H390" s="805"/>
      <c r="I390" s="554">
        <f t="shared" si="3"/>
        <v>0</v>
      </c>
      <c r="J390" s="554">
        <f t="shared" si="2"/>
        <v>0</v>
      </c>
      <c r="K390" s="259"/>
      <c r="L390" s="102"/>
    </row>
    <row r="391" ht="15.75" customHeight="1">
      <c r="A391" s="805"/>
      <c r="B391" s="1088"/>
      <c r="C391" s="805"/>
      <c r="D391" s="554" t="str">
        <f>IFERROR(VLOOKUP(C391,'INVONTERY FEB'!$A$6:$B$131,2,FALSE),"")</f>
        <v/>
      </c>
      <c r="E391" s="554" t="str">
        <f>IFERROR(VLOOKUP(D391,'INVONTERY FEB'!$B$6:$C$131,2,FALSE),"")</f>
        <v/>
      </c>
      <c r="F391" s="554" t="str">
        <f>IFERROR(VLOOKUP(D391,'INVONTERY FEB'!$B$6:$D$131,3,FALSE),"")</f>
        <v/>
      </c>
      <c r="G391" s="805"/>
      <c r="H391" s="805"/>
      <c r="I391" s="554">
        <f t="shared" si="3"/>
        <v>0</v>
      </c>
      <c r="J391" s="554">
        <f t="shared" si="2"/>
        <v>0</v>
      </c>
      <c r="K391" s="259"/>
      <c r="L391" s="102"/>
    </row>
    <row r="392" ht="15.75" customHeight="1">
      <c r="A392" s="805"/>
      <c r="B392" s="1088"/>
      <c r="C392" s="805"/>
      <c r="D392" s="554" t="str">
        <f>IFERROR(VLOOKUP(C392,'INVONTERY FEB'!$A$6:$B$131,2,FALSE),"")</f>
        <v/>
      </c>
      <c r="E392" s="554" t="str">
        <f>IFERROR(VLOOKUP(D392,'INVONTERY FEB'!$B$6:$C$131,2,FALSE),"")</f>
        <v/>
      </c>
      <c r="F392" s="554" t="str">
        <f>IFERROR(VLOOKUP(D392,'INVONTERY FEB'!$B$6:$D$131,3,FALSE),"")</f>
        <v/>
      </c>
      <c r="G392" s="805"/>
      <c r="H392" s="805"/>
      <c r="I392" s="554">
        <f t="shared" si="3"/>
        <v>0</v>
      </c>
      <c r="J392" s="554">
        <f t="shared" si="2"/>
        <v>0</v>
      </c>
      <c r="K392" s="259"/>
      <c r="L392" s="102"/>
    </row>
    <row r="393" ht="15.75" customHeight="1">
      <c r="A393" s="805"/>
      <c r="B393" s="1088"/>
      <c r="C393" s="805"/>
      <c r="D393" s="554" t="str">
        <f>IFERROR(VLOOKUP(C393,'INVONTERY FEB'!$A$6:$B$131,2,FALSE),"")</f>
        <v/>
      </c>
      <c r="E393" s="554" t="str">
        <f>IFERROR(VLOOKUP(D393,'INVONTERY FEB'!$B$6:$C$131,2,FALSE),"")</f>
        <v/>
      </c>
      <c r="F393" s="554" t="str">
        <f>IFERROR(VLOOKUP(D393,'INVONTERY FEB'!$B$6:$D$131,3,FALSE),"")</f>
        <v/>
      </c>
      <c r="G393" s="805"/>
      <c r="H393" s="805"/>
      <c r="I393" s="554">
        <f t="shared" si="3"/>
        <v>0</v>
      </c>
      <c r="J393" s="554">
        <f t="shared" si="2"/>
        <v>0</v>
      </c>
      <c r="K393" s="259"/>
      <c r="L393" s="102"/>
    </row>
    <row r="394" ht="15.75" customHeight="1">
      <c r="A394" s="805"/>
      <c r="B394" s="1088"/>
      <c r="C394" s="805"/>
      <c r="D394" s="554" t="str">
        <f>IFERROR(VLOOKUP(C394,'INVONTERY FEB'!$A$6:$B$131,2,FALSE),"")</f>
        <v/>
      </c>
      <c r="E394" s="554" t="str">
        <f>IFERROR(VLOOKUP(D394,'INVONTERY FEB'!$B$6:$C$131,2,FALSE),"")</f>
        <v/>
      </c>
      <c r="F394" s="554" t="str">
        <f>IFERROR(VLOOKUP(D394,'INVONTERY FEB'!$B$6:$D$131,3,FALSE),"")</f>
        <v/>
      </c>
      <c r="G394" s="805"/>
      <c r="H394" s="805"/>
      <c r="I394" s="554">
        <f t="shared" si="3"/>
        <v>0</v>
      </c>
      <c r="J394" s="554">
        <f t="shared" si="2"/>
        <v>0</v>
      </c>
      <c r="K394" s="259"/>
      <c r="L394" s="102"/>
    </row>
    <row r="395" ht="15.75" customHeight="1">
      <c r="A395" s="805"/>
      <c r="B395" s="1088"/>
      <c r="C395" s="805"/>
      <c r="D395" s="554" t="str">
        <f>IFERROR(VLOOKUP(C395,'INVONTERY FEB'!$A$6:$B$131,2,FALSE),"")</f>
        <v/>
      </c>
      <c r="E395" s="554" t="str">
        <f>IFERROR(VLOOKUP(D395,'INVONTERY FEB'!$B$6:$C$131,2,FALSE),"")</f>
        <v/>
      </c>
      <c r="F395" s="554" t="str">
        <f>IFERROR(VLOOKUP(D395,'INVONTERY FEB'!$B$6:$D$131,3,FALSE),"")</f>
        <v/>
      </c>
      <c r="G395" s="805"/>
      <c r="H395" s="805"/>
      <c r="I395" s="554">
        <f t="shared" si="3"/>
        <v>0</v>
      </c>
      <c r="J395" s="554">
        <f t="shared" si="2"/>
        <v>0</v>
      </c>
      <c r="K395" s="259"/>
      <c r="L395" s="102"/>
    </row>
    <row r="396" ht="15.75" customHeight="1">
      <c r="A396" s="805"/>
      <c r="B396" s="1088"/>
      <c r="C396" s="805"/>
      <c r="D396" s="554" t="str">
        <f>IFERROR(VLOOKUP(C396,'INVONTERY FEB'!$A$6:$B$131,2,FALSE),"")</f>
        <v/>
      </c>
      <c r="E396" s="554" t="str">
        <f>IFERROR(VLOOKUP(D396,'INVONTERY FEB'!$B$6:$C$131,2,FALSE),"")</f>
        <v/>
      </c>
      <c r="F396" s="554" t="str">
        <f>IFERROR(VLOOKUP(D396,'INVONTERY FEB'!$B$6:$D$131,3,FALSE),"")</f>
        <v/>
      </c>
      <c r="G396" s="554"/>
      <c r="H396" s="805"/>
      <c r="I396" s="554">
        <f t="shared" si="3"/>
        <v>0</v>
      </c>
      <c r="J396" s="554">
        <f t="shared" si="2"/>
        <v>0</v>
      </c>
      <c r="K396" s="259"/>
      <c r="L396" s="102"/>
    </row>
    <row r="397" ht="15.75" customHeight="1">
      <c r="A397" s="805"/>
      <c r="B397" s="1088"/>
      <c r="C397" s="805"/>
      <c r="D397" s="554" t="str">
        <f>IFERROR(VLOOKUP(C397,'INVONTERY FEB'!$A$6:$B$131,2,FALSE),"")</f>
        <v/>
      </c>
      <c r="E397" s="554" t="str">
        <f>IFERROR(VLOOKUP(D397,'INVONTERY FEB'!$B$6:$C$131,2,FALSE),"")</f>
        <v/>
      </c>
      <c r="F397" s="554" t="str">
        <f>IFERROR(VLOOKUP(D397,'INVONTERY FEB'!$B$6:$D$131,3,FALSE),"")</f>
        <v/>
      </c>
      <c r="G397" s="554"/>
      <c r="H397" s="805"/>
      <c r="I397" s="554">
        <f t="shared" si="3"/>
        <v>0</v>
      </c>
      <c r="J397" s="554">
        <f t="shared" si="2"/>
        <v>0</v>
      </c>
      <c r="K397" s="259"/>
      <c r="L397" s="102"/>
    </row>
    <row r="398" ht="15.75" customHeight="1">
      <c r="A398" s="805"/>
      <c r="B398" s="1088"/>
      <c r="C398" s="805"/>
      <c r="D398" s="554" t="str">
        <f>IFERROR(VLOOKUP(C398,'INVONTERY FEB'!$A$6:$B$131,2,FALSE),"")</f>
        <v/>
      </c>
      <c r="E398" s="554" t="str">
        <f>IFERROR(VLOOKUP(D398,'INVONTERY FEB'!$B$6:$C$131,2,FALSE),"")</f>
        <v/>
      </c>
      <c r="F398" s="554" t="str">
        <f>IFERROR(VLOOKUP(D398,'INVONTERY FEB'!$B$6:$D$131,3,FALSE),"")</f>
        <v/>
      </c>
      <c r="G398" s="554"/>
      <c r="H398" s="805"/>
      <c r="I398" s="554">
        <f t="shared" si="3"/>
        <v>0</v>
      </c>
      <c r="J398" s="554">
        <f t="shared" si="2"/>
        <v>0</v>
      </c>
      <c r="K398" s="259"/>
      <c r="L398" s="102"/>
    </row>
    <row r="399" ht="15.75" customHeight="1">
      <c r="A399" s="805"/>
      <c r="B399" s="1088"/>
      <c r="C399" s="805"/>
      <c r="D399" s="554" t="str">
        <f>IFERROR(VLOOKUP(C399,'INVONTERY FEB'!$A$6:$B$131,2,FALSE),"")</f>
        <v/>
      </c>
      <c r="E399" s="554" t="str">
        <f>IFERROR(VLOOKUP(D399,'INVONTERY FEB'!$B$6:$C$131,2,FALSE),"")</f>
        <v/>
      </c>
      <c r="F399" s="554" t="str">
        <f>IFERROR(VLOOKUP(D399,'INVONTERY FEB'!$B$6:$D$131,3,FALSE),"")</f>
        <v/>
      </c>
      <c r="G399" s="554"/>
      <c r="H399" s="805"/>
      <c r="I399" s="554">
        <f t="shared" si="3"/>
        <v>0</v>
      </c>
      <c r="J399" s="554">
        <f t="shared" si="2"/>
        <v>0</v>
      </c>
      <c r="K399" s="259"/>
      <c r="L399" s="102"/>
    </row>
    <row r="400" ht="15.75" customHeight="1">
      <c r="A400" s="805"/>
      <c r="B400" s="1088"/>
      <c r="C400" s="805"/>
      <c r="D400" s="554" t="str">
        <f>IFERROR(VLOOKUP(C400,'INVONTERY FEB'!$A$6:$B$131,2,FALSE),"")</f>
        <v/>
      </c>
      <c r="E400" s="554" t="str">
        <f>IFERROR(VLOOKUP(D400,'INVONTERY FEB'!$B$6:$C$131,2,FALSE),"")</f>
        <v/>
      </c>
      <c r="F400" s="554" t="str">
        <f>IFERROR(VLOOKUP(D400,'INVONTERY FEB'!$B$6:$D$131,3,FALSE),"")</f>
        <v/>
      </c>
      <c r="G400" s="805"/>
      <c r="H400" s="805"/>
      <c r="I400" s="554">
        <f t="shared" si="3"/>
        <v>0</v>
      </c>
      <c r="J400" s="554">
        <f t="shared" si="2"/>
        <v>0</v>
      </c>
      <c r="K400" s="259"/>
      <c r="L400" s="102"/>
    </row>
    <row r="401" ht="15.75" customHeight="1">
      <c r="A401" s="805"/>
      <c r="B401" s="1088"/>
      <c r="C401" s="805"/>
      <c r="D401" s="554" t="str">
        <f>IFERROR(VLOOKUP(C401,'INVONTERY FEB'!$A$6:$B$131,2,FALSE),"")</f>
        <v/>
      </c>
      <c r="E401" s="554" t="str">
        <f>IFERROR(VLOOKUP(D401,'INVONTERY FEB'!$B$6:$C$131,2,FALSE),"")</f>
        <v/>
      </c>
      <c r="F401" s="554" t="str">
        <f>IFERROR(VLOOKUP(D401,'INVONTERY FEB'!$B$6:$D$131,3,FALSE),"")</f>
        <v/>
      </c>
      <c r="G401" s="805"/>
      <c r="H401" s="805"/>
      <c r="I401" s="554">
        <f t="shared" si="3"/>
        <v>0</v>
      </c>
      <c r="J401" s="554">
        <f t="shared" si="2"/>
        <v>0</v>
      </c>
      <c r="K401" s="259"/>
      <c r="L401" s="102"/>
    </row>
    <row r="402" ht="15.75" customHeight="1">
      <c r="A402" s="805"/>
      <c r="B402" s="1088"/>
      <c r="C402" s="805"/>
      <c r="D402" s="554" t="str">
        <f>IFERROR(VLOOKUP(C402,'INVONTERY FEB'!$A$6:$B$131,2,FALSE),"")</f>
        <v/>
      </c>
      <c r="E402" s="554" t="str">
        <f>IFERROR(VLOOKUP(D402,'INVONTERY FEB'!$B$6:$C$131,2,FALSE),"")</f>
        <v/>
      </c>
      <c r="F402" s="554" t="str">
        <f>IFERROR(VLOOKUP(D402,'INVONTERY FEB'!$B$6:$D$131,3,FALSE),"")</f>
        <v/>
      </c>
      <c r="G402" s="805"/>
      <c r="H402" s="805"/>
      <c r="I402" s="554">
        <f t="shared" si="3"/>
        <v>0</v>
      </c>
      <c r="J402" s="554">
        <f t="shared" si="2"/>
        <v>0</v>
      </c>
      <c r="K402" s="259"/>
      <c r="L402" s="102"/>
    </row>
    <row r="403" ht="15.75" customHeight="1">
      <c r="A403" s="805"/>
      <c r="B403" s="1088"/>
      <c r="C403" s="805"/>
      <c r="D403" s="554" t="str">
        <f>IFERROR(VLOOKUP(C403,'INVONTERY FEB'!$A$6:$B$131,2,FALSE),"")</f>
        <v/>
      </c>
      <c r="E403" s="554" t="str">
        <f>IFERROR(VLOOKUP(D403,'INVONTERY FEB'!$B$6:$C$131,2,FALSE),"")</f>
        <v/>
      </c>
      <c r="F403" s="554" t="str">
        <f>IFERROR(VLOOKUP(D403,'INVONTERY FEB'!$B$6:$D$131,3,FALSE),"")</f>
        <v/>
      </c>
      <c r="G403" s="805"/>
      <c r="H403" s="805"/>
      <c r="I403" s="554">
        <f t="shared" si="3"/>
        <v>0</v>
      </c>
      <c r="J403" s="554">
        <f t="shared" si="2"/>
        <v>0</v>
      </c>
      <c r="K403" s="259"/>
      <c r="L403" s="102"/>
    </row>
    <row r="404" ht="15.75" customHeight="1">
      <c r="A404" s="805"/>
      <c r="B404" s="1088"/>
      <c r="C404" s="805"/>
      <c r="D404" s="554" t="str">
        <f>IFERROR(VLOOKUP(C404,'INVONTERY FEB'!$A$6:$B$131,2,FALSE),"")</f>
        <v/>
      </c>
      <c r="E404" s="554" t="str">
        <f>IFERROR(VLOOKUP(D404,'INVONTERY FEB'!$B$6:$C$131,2,FALSE),"")</f>
        <v/>
      </c>
      <c r="F404" s="554" t="str">
        <f>IFERROR(VLOOKUP(D404,'INVONTERY FEB'!$B$6:$D$131,3,FALSE),"")</f>
        <v/>
      </c>
      <c r="G404" s="805"/>
      <c r="H404" s="805"/>
      <c r="I404" s="554">
        <f t="shared" si="3"/>
        <v>0</v>
      </c>
      <c r="J404" s="554">
        <f t="shared" si="2"/>
        <v>0</v>
      </c>
      <c r="K404" s="259"/>
      <c r="L404" s="102"/>
    </row>
    <row r="405" ht="15.75" customHeight="1">
      <c r="A405" s="805"/>
      <c r="B405" s="1088"/>
      <c r="C405" s="805"/>
      <c r="D405" s="554" t="str">
        <f>IFERROR(VLOOKUP(C405,'INVONTERY FEB'!$A$6:$B$131,2,FALSE),"")</f>
        <v/>
      </c>
      <c r="E405" s="554" t="str">
        <f>IFERROR(VLOOKUP(D405,'INVONTERY FEB'!$B$6:$C$131,2,FALSE),"")</f>
        <v/>
      </c>
      <c r="F405" s="554" t="str">
        <f>IFERROR(VLOOKUP(D405,'INVONTERY FEB'!$B$6:$D$131,3,FALSE),"")</f>
        <v/>
      </c>
      <c r="G405" s="805"/>
      <c r="H405" s="805"/>
      <c r="I405" s="554">
        <f t="shared" si="3"/>
        <v>0</v>
      </c>
      <c r="J405" s="554">
        <f t="shared" si="2"/>
        <v>0</v>
      </c>
      <c r="K405" s="259"/>
      <c r="L405" s="102"/>
    </row>
    <row r="406" ht="15.75" customHeight="1">
      <c r="A406" s="805"/>
      <c r="B406" s="1088"/>
      <c r="C406" s="805"/>
      <c r="D406" s="554" t="str">
        <f>IFERROR(VLOOKUP(C406,'INVONTERY FEB'!$A$6:$B$131,2,FALSE),"")</f>
        <v/>
      </c>
      <c r="E406" s="554" t="str">
        <f>IFERROR(VLOOKUP(D406,'INVONTERY FEB'!$B$6:$C$131,2,FALSE),"")</f>
        <v/>
      </c>
      <c r="F406" s="554" t="str">
        <f>IFERROR(VLOOKUP(D406,'INVONTERY FEB'!$B$6:$D$131,3,FALSE),"")</f>
        <v/>
      </c>
      <c r="G406" s="805"/>
      <c r="H406" s="805"/>
      <c r="I406" s="554">
        <f t="shared" si="3"/>
        <v>0</v>
      </c>
      <c r="J406" s="554">
        <f t="shared" si="2"/>
        <v>0</v>
      </c>
      <c r="K406" s="259"/>
      <c r="L406" s="102"/>
    </row>
    <row r="407" ht="15.75" customHeight="1">
      <c r="A407" s="805"/>
      <c r="B407" s="1088"/>
      <c r="C407" s="805"/>
      <c r="D407" s="554" t="str">
        <f>IFERROR(VLOOKUP(C407,'INVONTERY FEB'!$A$6:$B$131,2,FALSE),"")</f>
        <v/>
      </c>
      <c r="E407" s="554" t="str">
        <f>IFERROR(VLOOKUP(D407,'INVONTERY FEB'!$B$6:$C$131,2,FALSE),"")</f>
        <v/>
      </c>
      <c r="F407" s="554" t="str">
        <f>IFERROR(VLOOKUP(D407,'INVONTERY FEB'!$B$6:$D$131,3,FALSE),"")</f>
        <v/>
      </c>
      <c r="G407" s="805"/>
      <c r="H407" s="805"/>
      <c r="I407" s="554">
        <f t="shared" si="3"/>
        <v>0</v>
      </c>
      <c r="J407" s="554">
        <f t="shared" si="2"/>
        <v>0</v>
      </c>
      <c r="K407" s="554"/>
      <c r="L407" s="805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ht="15.75" customHeight="1">
      <c r="A408" s="805"/>
      <c r="B408" s="1088"/>
      <c r="C408" s="805"/>
      <c r="D408" s="554" t="str">
        <f>IFERROR(VLOOKUP(C408,'INVONTERY FEB'!$A$6:$B$131,2,FALSE),"")</f>
        <v/>
      </c>
      <c r="E408" s="554" t="str">
        <f>IFERROR(VLOOKUP(D408,'INVONTERY FEB'!$B$6:$C$131,2,FALSE),"")</f>
        <v/>
      </c>
      <c r="F408" s="554" t="str">
        <f>IFERROR(VLOOKUP(D408,'INVONTERY FEB'!$B$6:$D$131,3,FALSE),"")</f>
        <v/>
      </c>
      <c r="G408" s="805"/>
      <c r="H408" s="805"/>
      <c r="I408" s="554">
        <f t="shared" si="3"/>
        <v>0</v>
      </c>
      <c r="J408" s="554">
        <f t="shared" si="2"/>
        <v>0</v>
      </c>
      <c r="K408" s="259"/>
      <c r="L408" s="102"/>
    </row>
    <row r="409" ht="15.75" customHeight="1">
      <c r="A409" s="805"/>
      <c r="B409" s="1088"/>
      <c r="C409" s="805"/>
      <c r="D409" s="554" t="str">
        <f>IFERROR(VLOOKUP(C409,'INVONTERY FEB'!$A$6:$B$131,2,FALSE),"")</f>
        <v/>
      </c>
      <c r="E409" s="554" t="str">
        <f>IFERROR(VLOOKUP(D409,'INVONTERY FEB'!$B$6:$C$131,2,FALSE),"")</f>
        <v/>
      </c>
      <c r="F409" s="554" t="str">
        <f>IFERROR(VLOOKUP(D409,'INVONTERY FEB'!$B$6:$D$131,3,FALSE),"")</f>
        <v/>
      </c>
      <c r="G409" s="805"/>
      <c r="H409" s="805"/>
      <c r="I409" s="554">
        <f t="shared" si="3"/>
        <v>0</v>
      </c>
      <c r="J409" s="554">
        <f t="shared" si="2"/>
        <v>0</v>
      </c>
      <c r="K409" s="259"/>
      <c r="L409" s="102"/>
    </row>
    <row r="410" ht="15.75" customHeight="1">
      <c r="A410" s="805"/>
      <c r="B410" s="1088"/>
      <c r="C410" s="805"/>
      <c r="D410" s="554" t="str">
        <f>IFERROR(VLOOKUP(C410,'INVONTERY FEB'!$A$6:$B$131,2,FALSE),"")</f>
        <v/>
      </c>
      <c r="E410" s="554" t="str">
        <f>IFERROR(VLOOKUP(D410,'INVONTERY FEB'!$B$6:$C$131,2,FALSE),"")</f>
        <v/>
      </c>
      <c r="F410" s="554" t="str">
        <f>IFERROR(VLOOKUP(D410,'INVONTERY FEB'!$B$6:$D$131,3,FALSE),"")</f>
        <v/>
      </c>
      <c r="G410" s="805"/>
      <c r="H410" s="805"/>
      <c r="I410" s="554">
        <f t="shared" si="3"/>
        <v>0</v>
      </c>
      <c r="J410" s="554">
        <f t="shared" si="2"/>
        <v>0</v>
      </c>
      <c r="K410" s="259"/>
      <c r="L410" s="102"/>
    </row>
    <row r="411" ht="15.75" customHeight="1">
      <c r="A411" s="805"/>
      <c r="B411" s="1088"/>
      <c r="C411" s="805"/>
      <c r="D411" s="554" t="str">
        <f>IFERROR(VLOOKUP(C411,'INVONTERY FEB'!$A$6:$B$131,2,FALSE),"")</f>
        <v/>
      </c>
      <c r="E411" s="554" t="str">
        <f>IFERROR(VLOOKUP(D411,'INVONTERY FEB'!$B$6:$C$131,2,FALSE),"")</f>
        <v/>
      </c>
      <c r="F411" s="554" t="str">
        <f>IFERROR(VLOOKUP(D411,'INVONTERY FEB'!$B$6:$D$131,3,FALSE),"")</f>
        <v/>
      </c>
      <c r="G411" s="805"/>
      <c r="H411" s="805"/>
      <c r="I411" s="554">
        <f t="shared" si="3"/>
        <v>0</v>
      </c>
      <c r="J411" s="554">
        <f t="shared" si="2"/>
        <v>0</v>
      </c>
      <c r="K411" s="259"/>
      <c r="L411" s="102"/>
    </row>
    <row r="412" ht="15.75" customHeight="1">
      <c r="A412" s="805"/>
      <c r="B412" s="1088"/>
      <c r="C412" s="805"/>
      <c r="D412" s="554" t="str">
        <f>IFERROR(VLOOKUP(C412,'INVONTERY FEB'!$A$6:$B$131,2,FALSE),"")</f>
        <v/>
      </c>
      <c r="E412" s="554" t="str">
        <f>IFERROR(VLOOKUP(D412,'INVONTERY FEB'!$B$6:$C$131,2,FALSE),"")</f>
        <v/>
      </c>
      <c r="F412" s="554" t="str">
        <f>IFERROR(VLOOKUP(D412,'INVONTERY FEB'!$B$6:$D$131,3,FALSE),"")</f>
        <v/>
      </c>
      <c r="G412" s="805"/>
      <c r="H412" s="805"/>
      <c r="I412" s="554">
        <f t="shared" si="3"/>
        <v>0</v>
      </c>
      <c r="J412" s="554">
        <f t="shared" si="2"/>
        <v>0</v>
      </c>
      <c r="K412" s="259"/>
      <c r="L412" s="102"/>
    </row>
    <row r="413" ht="15.75" customHeight="1">
      <c r="A413" s="805"/>
      <c r="B413" s="1088"/>
      <c r="C413" s="805"/>
      <c r="D413" s="554" t="str">
        <f>IFERROR(VLOOKUP(C413,'INVONTERY FEB'!$A$6:$B$131,2,FALSE),"")</f>
        <v/>
      </c>
      <c r="E413" s="554" t="str">
        <f>IFERROR(VLOOKUP(D413,'INVONTERY FEB'!$B$6:$C$131,2,FALSE),"")</f>
        <v/>
      </c>
      <c r="F413" s="554" t="str">
        <f>IFERROR(VLOOKUP(D413,'INVONTERY FEB'!$B$6:$D$131,3,FALSE),"")</f>
        <v/>
      </c>
      <c r="G413" s="805"/>
      <c r="H413" s="805"/>
      <c r="I413" s="554">
        <f t="shared" si="3"/>
        <v>0</v>
      </c>
      <c r="J413" s="554">
        <f t="shared" si="2"/>
        <v>0</v>
      </c>
      <c r="K413" s="259"/>
      <c r="L413" s="102"/>
    </row>
    <row r="414" ht="15.75" customHeight="1">
      <c r="A414" s="805"/>
      <c r="B414" s="1088"/>
      <c r="C414" s="805"/>
      <c r="D414" s="554" t="str">
        <f>IFERROR(VLOOKUP(C414,'INVONTERY FEB'!$A$6:$B$131,2,FALSE),"")</f>
        <v/>
      </c>
      <c r="E414" s="554" t="str">
        <f>IFERROR(VLOOKUP(D414,'INVONTERY FEB'!$B$6:$C$131,2,FALSE),"")</f>
        <v/>
      </c>
      <c r="F414" s="554" t="str">
        <f>IFERROR(VLOOKUP(D414,'INVONTERY FEB'!$B$6:$D$131,3,FALSE),"")</f>
        <v/>
      </c>
      <c r="G414" s="805"/>
      <c r="H414" s="805"/>
      <c r="I414" s="554">
        <f t="shared" si="3"/>
        <v>0</v>
      </c>
      <c r="J414" s="554">
        <f t="shared" si="2"/>
        <v>0</v>
      </c>
      <c r="K414" s="259"/>
      <c r="L414" s="102"/>
    </row>
    <row r="415" ht="15.75" customHeight="1">
      <c r="A415" s="805"/>
      <c r="B415" s="1088"/>
      <c r="C415" s="805"/>
      <c r="D415" s="554" t="str">
        <f>IFERROR(VLOOKUP(C415,'INVONTERY FEB'!$A$6:$B$131,2,FALSE),"")</f>
        <v/>
      </c>
      <c r="E415" s="554" t="str">
        <f>IFERROR(VLOOKUP(D415,'INVONTERY FEB'!$B$6:$C$131,2,FALSE),"")</f>
        <v/>
      </c>
      <c r="F415" s="554" t="str">
        <f>IFERROR(VLOOKUP(D415,'INVONTERY FEB'!$B$6:$D$131,3,FALSE),"")</f>
        <v/>
      </c>
      <c r="G415" s="805"/>
      <c r="H415" s="805"/>
      <c r="I415" s="554">
        <f t="shared" si="3"/>
        <v>0</v>
      </c>
      <c r="J415" s="554">
        <f t="shared" si="2"/>
        <v>0</v>
      </c>
      <c r="K415" s="259"/>
      <c r="L415" s="102"/>
    </row>
    <row r="416" ht="15.75" customHeight="1">
      <c r="A416" s="805"/>
      <c r="B416" s="1088"/>
      <c r="C416" s="805"/>
      <c r="D416" s="554" t="str">
        <f>IFERROR(VLOOKUP(C416,'INVONTERY FEB'!$A$6:$B$131,2,FALSE),"")</f>
        <v/>
      </c>
      <c r="E416" s="554" t="str">
        <f>IFERROR(VLOOKUP(D416,'INVONTERY FEB'!$B$6:$C$131,2,FALSE),"")</f>
        <v/>
      </c>
      <c r="F416" s="554" t="str">
        <f>IFERROR(VLOOKUP(D416,'INVONTERY FEB'!$B$6:$D$131,3,FALSE),"")</f>
        <v/>
      </c>
      <c r="G416" s="805"/>
      <c r="H416" s="805"/>
      <c r="I416" s="554">
        <f t="shared" si="3"/>
        <v>0</v>
      </c>
      <c r="J416" s="556">
        <f t="shared" si="2"/>
        <v>0</v>
      </c>
      <c r="K416" s="259"/>
      <c r="L416" s="102"/>
    </row>
    <row r="417" ht="15.75" customHeight="1">
      <c r="A417" s="805"/>
      <c r="B417" s="1088"/>
      <c r="C417" s="805"/>
      <c r="D417" s="554" t="str">
        <f>IFERROR(VLOOKUP(C417,'INVONTERY FEB'!$A$6:$B$131,2,FALSE),"")</f>
        <v/>
      </c>
      <c r="E417" s="554" t="str">
        <f>IFERROR(VLOOKUP(D417,'INVONTERY FEB'!$B$6:$C$131,2,FALSE),"")</f>
        <v/>
      </c>
      <c r="F417" s="554" t="str">
        <f>IFERROR(VLOOKUP(D417,'INVONTERY FEB'!$B$6:$D$131,3,FALSE),"")</f>
        <v/>
      </c>
      <c r="G417" s="805"/>
      <c r="H417" s="805"/>
      <c r="I417" s="554">
        <f t="shared" si="3"/>
        <v>0</v>
      </c>
      <c r="J417" s="556">
        <f t="shared" si="2"/>
        <v>0</v>
      </c>
      <c r="K417" s="259"/>
      <c r="L417" s="102"/>
    </row>
    <row r="418" ht="15.75" customHeight="1">
      <c r="A418" s="805"/>
      <c r="B418" s="1088"/>
      <c r="C418" s="805"/>
      <c r="D418" s="554" t="str">
        <f>IFERROR(VLOOKUP(C418,'INVONTERY FEB'!$A$6:$B$131,2,FALSE),"")</f>
        <v/>
      </c>
      <c r="E418" s="554" t="str">
        <f>IFERROR(VLOOKUP(D418,'INVONTERY FEB'!$B$6:$C$131,2,FALSE),"")</f>
        <v/>
      </c>
      <c r="F418" s="554" t="str">
        <f>IFERROR(VLOOKUP(D418,'INVONTERY FEB'!$B$6:$D$131,3,FALSE),"")</f>
        <v/>
      </c>
      <c r="G418" s="805"/>
      <c r="H418" s="805"/>
      <c r="I418" s="554">
        <f t="shared" si="3"/>
        <v>0</v>
      </c>
      <c r="J418" s="556">
        <f t="shared" si="2"/>
        <v>0</v>
      </c>
      <c r="K418" s="259"/>
      <c r="L418" s="102"/>
    </row>
    <row r="419" ht="15.75" customHeight="1">
      <c r="A419" s="805"/>
      <c r="B419" s="1088"/>
      <c r="C419" s="805"/>
      <c r="D419" s="554" t="str">
        <f>IFERROR(VLOOKUP(C419,'INVONTERY FEB'!$A$6:$B$131,2,FALSE),"")</f>
        <v/>
      </c>
      <c r="E419" s="554" t="str">
        <f>IFERROR(VLOOKUP(D419,'INVONTERY FEB'!$B$6:$C$131,2,FALSE),"")</f>
        <v/>
      </c>
      <c r="F419" s="554" t="str">
        <f>IFERROR(VLOOKUP(D419,'INVONTERY FEB'!$B$6:$D$131,3,FALSE),"")</f>
        <v/>
      </c>
      <c r="G419" s="805"/>
      <c r="H419" s="805"/>
      <c r="I419" s="554">
        <f t="shared" si="3"/>
        <v>0</v>
      </c>
      <c r="J419" s="556">
        <f t="shared" si="2"/>
        <v>0</v>
      </c>
      <c r="K419" s="259"/>
      <c r="L419" s="102"/>
    </row>
    <row r="420" ht="15.75" customHeight="1">
      <c r="A420" s="805"/>
      <c r="B420" s="1088"/>
      <c r="C420" s="805"/>
      <c r="D420" s="554" t="str">
        <f>IFERROR(VLOOKUP(C420,'INVONTERY FEB'!$A$6:$B$131,2,FALSE),"")</f>
        <v/>
      </c>
      <c r="E420" s="554" t="str">
        <f>IFERROR(VLOOKUP(D420,'INVONTERY FEB'!$B$6:$C$131,2,FALSE),"")</f>
        <v/>
      </c>
      <c r="F420" s="554" t="str">
        <f>IFERROR(VLOOKUP(D420,'INVONTERY FEB'!$B$6:$D$131,3,FALSE),"")</f>
        <v/>
      </c>
      <c r="G420" s="805"/>
      <c r="H420" s="805"/>
      <c r="I420" s="554">
        <f t="shared" si="3"/>
        <v>0</v>
      </c>
      <c r="J420" s="556">
        <f t="shared" si="2"/>
        <v>0</v>
      </c>
      <c r="K420" s="259"/>
      <c r="L420" s="102"/>
    </row>
    <row r="421" ht="15.75" customHeight="1">
      <c r="A421" s="805"/>
      <c r="B421" s="1088"/>
      <c r="C421" s="805"/>
      <c r="D421" s="554" t="str">
        <f>IFERROR(VLOOKUP(C421,'INVONTERY FEB'!$A$6:$B$131,2,FALSE),"")</f>
        <v/>
      </c>
      <c r="E421" s="554" t="str">
        <f>IFERROR(VLOOKUP(D421,'INVONTERY FEB'!$B$6:$C$131,2,FALSE),"")</f>
        <v/>
      </c>
      <c r="F421" s="554" t="str">
        <f>IFERROR(VLOOKUP(D421,'INVONTERY FEB'!$B$6:$D$131,3,FALSE),"")</f>
        <v/>
      </c>
      <c r="G421" s="805"/>
      <c r="H421" s="805"/>
      <c r="I421" s="554">
        <f t="shared" si="3"/>
        <v>0</v>
      </c>
      <c r="J421" s="556">
        <f t="shared" si="2"/>
        <v>0</v>
      </c>
      <c r="K421" s="259"/>
      <c r="L421" s="102"/>
    </row>
    <row r="422" ht="15.75" customHeight="1">
      <c r="A422" s="805"/>
      <c r="B422" s="1088"/>
      <c r="C422" s="805"/>
      <c r="D422" s="554" t="str">
        <f>IFERROR(VLOOKUP(C422,'INVONTERY FEB'!$A$6:$B$131,2,FALSE),"")</f>
        <v/>
      </c>
      <c r="E422" s="554" t="str">
        <f>IFERROR(VLOOKUP(D422,'INVONTERY FEB'!$B$6:$C$131,2,FALSE),"")</f>
        <v/>
      </c>
      <c r="F422" s="554" t="str">
        <f>IFERROR(VLOOKUP(D422,'INVONTERY FEB'!$B$6:$D$131,3,FALSE),"")</f>
        <v/>
      </c>
      <c r="G422" s="805"/>
      <c r="H422" s="805"/>
      <c r="I422" s="554">
        <f t="shared" si="3"/>
        <v>0</v>
      </c>
      <c r="J422" s="556">
        <f t="shared" si="2"/>
        <v>0</v>
      </c>
      <c r="K422" s="259"/>
      <c r="L422" s="102"/>
    </row>
    <row r="423" ht="15.75" customHeight="1">
      <c r="A423" s="805"/>
      <c r="B423" s="1088"/>
      <c r="C423" s="805"/>
      <c r="D423" s="554" t="str">
        <f>IFERROR(VLOOKUP(C423,'INVONTERY FEB'!$A$6:$B$131,2,FALSE),"")</f>
        <v/>
      </c>
      <c r="E423" s="554" t="str">
        <f>IFERROR(VLOOKUP(D423,'INVONTERY FEB'!$B$6:$C$131,2,FALSE),"")</f>
        <v/>
      </c>
      <c r="F423" s="554" t="str">
        <f>IFERROR(VLOOKUP(D423,'INVONTERY FEB'!$B$6:$D$131,3,FALSE),"")</f>
        <v/>
      </c>
      <c r="G423" s="805"/>
      <c r="H423" s="805"/>
      <c r="I423" s="554">
        <f t="shared" si="3"/>
        <v>0</v>
      </c>
      <c r="J423" s="556">
        <f t="shared" si="2"/>
        <v>0</v>
      </c>
      <c r="K423" s="259"/>
      <c r="L423" s="102"/>
    </row>
    <row r="424" ht="15.75" customHeight="1">
      <c r="A424" s="805"/>
      <c r="B424" s="1088"/>
      <c r="C424" s="805"/>
      <c r="D424" s="554" t="str">
        <f>IFERROR(VLOOKUP(C424,'INVONTERY FEB'!$A$6:$B$131,2,FALSE),"")</f>
        <v/>
      </c>
      <c r="E424" s="554" t="str">
        <f>IFERROR(VLOOKUP(D424,'INVONTERY FEB'!$B$6:$C$131,2,FALSE),"")</f>
        <v/>
      </c>
      <c r="F424" s="554" t="str">
        <f>IFERROR(VLOOKUP(D424,'INVONTERY FEB'!$B$6:$D$131,3,FALSE),"")</f>
        <v/>
      </c>
      <c r="G424" s="805"/>
      <c r="H424" s="805"/>
      <c r="I424" s="554">
        <f t="shared" si="3"/>
        <v>0</v>
      </c>
      <c r="J424" s="554">
        <f t="shared" si="2"/>
        <v>0</v>
      </c>
      <c r="K424" s="259"/>
      <c r="L424" s="102"/>
    </row>
    <row r="425" ht="15.75" customHeight="1">
      <c r="A425" s="805"/>
      <c r="B425" s="1088"/>
      <c r="C425" s="805"/>
      <c r="D425" s="554" t="str">
        <f>IFERROR(VLOOKUP(C425,'INVONTERY FEB'!$A$6:$B$131,2,FALSE),"")</f>
        <v/>
      </c>
      <c r="E425" s="554" t="str">
        <f>IFERROR(VLOOKUP(D425,'INVONTERY FEB'!$B$6:$C$131,2,FALSE),"")</f>
        <v/>
      </c>
      <c r="F425" s="554" t="str">
        <f>IFERROR(VLOOKUP(D425,'INVONTERY FEB'!$B$6:$D$131,3,FALSE),"")</f>
        <v/>
      </c>
      <c r="G425" s="805"/>
      <c r="H425" s="805"/>
      <c r="I425" s="554">
        <f t="shared" si="3"/>
        <v>0</v>
      </c>
      <c r="J425" s="554">
        <f t="shared" si="2"/>
        <v>0</v>
      </c>
      <c r="K425" s="259"/>
      <c r="L425" s="102"/>
    </row>
    <row r="426" ht="15.75" customHeight="1">
      <c r="A426" s="805"/>
      <c r="B426" s="1088"/>
      <c r="C426" s="805"/>
      <c r="D426" s="554" t="str">
        <f>IFERROR(VLOOKUP(C426,'INVONTERY FEB'!$A$6:$B$131,2,FALSE),"")</f>
        <v/>
      </c>
      <c r="E426" s="554" t="str">
        <f>IFERROR(VLOOKUP(D426,'INVONTERY FEB'!$B$6:$C$131,2,FALSE),"")</f>
        <v/>
      </c>
      <c r="F426" s="554" t="str">
        <f>IFERROR(VLOOKUP(D426,'INVONTERY FEB'!$B$6:$D$131,3,FALSE),"")</f>
        <v/>
      </c>
      <c r="G426" s="805"/>
      <c r="H426" s="805"/>
      <c r="I426" s="554">
        <f t="shared" si="3"/>
        <v>0</v>
      </c>
      <c r="J426" s="554">
        <f t="shared" si="2"/>
        <v>0</v>
      </c>
      <c r="K426" s="259"/>
      <c r="L426" s="102"/>
    </row>
    <row r="427" ht="15.75" customHeight="1">
      <c r="A427" s="805"/>
      <c r="B427" s="1088"/>
      <c r="C427" s="805"/>
      <c r="D427" s="554" t="str">
        <f>IFERROR(VLOOKUP(C427,'INVONTERY FEB'!$A$6:$B$131,2,FALSE),"")</f>
        <v/>
      </c>
      <c r="E427" s="554" t="str">
        <f>IFERROR(VLOOKUP(D427,'INVONTERY FEB'!$B$6:$C$131,2,FALSE),"")</f>
        <v/>
      </c>
      <c r="F427" s="554" t="str">
        <f>IFERROR(VLOOKUP(D427,'INVONTERY FEB'!$B$6:$D$131,3,FALSE),"")</f>
        <v/>
      </c>
      <c r="G427" s="805"/>
      <c r="H427" s="805"/>
      <c r="I427" s="554">
        <f t="shared" si="3"/>
        <v>0</v>
      </c>
      <c r="J427" s="554">
        <f t="shared" si="2"/>
        <v>0</v>
      </c>
      <c r="K427" s="259"/>
      <c r="L427" s="102"/>
    </row>
    <row r="428" ht="15.75" customHeight="1">
      <c r="A428" s="805"/>
      <c r="B428" s="1088"/>
      <c r="C428" s="805"/>
      <c r="D428" s="554" t="str">
        <f>IFERROR(VLOOKUP(C428,'INVONTERY FEB'!$A$6:$B$131,2,FALSE),"")</f>
        <v/>
      </c>
      <c r="E428" s="554" t="str">
        <f>IFERROR(VLOOKUP(D428,'INVONTERY FEB'!$B$6:$C$131,2,FALSE),"")</f>
        <v/>
      </c>
      <c r="F428" s="554" t="str">
        <f>IFERROR(VLOOKUP(D428,'INVONTERY FEB'!$B$6:$D$131,3,FALSE),"")</f>
        <v/>
      </c>
      <c r="G428" s="805"/>
      <c r="H428" s="805"/>
      <c r="I428" s="554">
        <f t="shared" si="3"/>
        <v>0</v>
      </c>
      <c r="J428" s="554">
        <f t="shared" si="2"/>
        <v>0</v>
      </c>
      <c r="K428" s="259"/>
      <c r="L428" s="102"/>
    </row>
    <row r="429" ht="15.75" customHeight="1">
      <c r="A429" s="805"/>
      <c r="B429" s="1088"/>
      <c r="C429" s="805"/>
      <c r="D429" s="554" t="str">
        <f>IFERROR(VLOOKUP(C429,'INVONTERY FEB'!$A$6:$B$131,2,FALSE),"")</f>
        <v/>
      </c>
      <c r="E429" s="554" t="str">
        <f>IFERROR(VLOOKUP(D429,'INVONTERY FEB'!$B$6:$C$131,2,FALSE),"")</f>
        <v/>
      </c>
      <c r="F429" s="554" t="str">
        <f>IFERROR(VLOOKUP(D429,'INVONTERY FEB'!$B$6:$D$131,3,FALSE),"")</f>
        <v/>
      </c>
      <c r="G429" s="805"/>
      <c r="H429" s="805"/>
      <c r="I429" s="554">
        <f t="shared" si="3"/>
        <v>0</v>
      </c>
      <c r="J429" s="554">
        <f t="shared" si="2"/>
        <v>0</v>
      </c>
      <c r="K429" s="259"/>
      <c r="L429" s="102"/>
    </row>
    <row r="430" ht="15.75" customHeight="1">
      <c r="A430" s="805"/>
      <c r="B430" s="1088"/>
      <c r="C430" s="805"/>
      <c r="D430" s="554" t="str">
        <f>IFERROR(VLOOKUP(C430,'INVONTERY FEB'!$A$6:$B$131,2,FALSE),"")</f>
        <v/>
      </c>
      <c r="E430" s="554" t="str">
        <f>IFERROR(VLOOKUP(D430,'INVONTERY FEB'!$B$6:$C$131,2,FALSE),"")</f>
        <v/>
      </c>
      <c r="F430" s="554" t="str">
        <f>IFERROR(VLOOKUP(D430,'INVONTERY FEB'!$B$6:$D$131,3,FALSE),"")</f>
        <v/>
      </c>
      <c r="G430" s="805"/>
      <c r="H430" s="805"/>
      <c r="I430" s="554">
        <f t="shared" si="3"/>
        <v>0</v>
      </c>
      <c r="J430" s="554">
        <f t="shared" si="2"/>
        <v>0</v>
      </c>
      <c r="K430" s="259"/>
      <c r="L430" s="102"/>
    </row>
    <row r="431" ht="15.75" customHeight="1">
      <c r="A431" s="805"/>
      <c r="B431" s="1088"/>
      <c r="C431" s="805"/>
      <c r="D431" s="554" t="str">
        <f>IFERROR(VLOOKUP(C431,'INVONTERY FEB'!$A$6:$B$131,2,FALSE),"")</f>
        <v/>
      </c>
      <c r="E431" s="554" t="str">
        <f>IFERROR(VLOOKUP(D431,'INVONTERY FEB'!$B$6:$C$131,2,FALSE),"")</f>
        <v/>
      </c>
      <c r="F431" s="554" t="str">
        <f>IFERROR(VLOOKUP(D431,'INVONTERY FEB'!$B$6:$D$131,3,FALSE),"")</f>
        <v/>
      </c>
      <c r="G431" s="805"/>
      <c r="H431" s="805"/>
      <c r="I431" s="554">
        <f t="shared" si="3"/>
        <v>0</v>
      </c>
      <c r="J431" s="554">
        <f t="shared" si="2"/>
        <v>0</v>
      </c>
      <c r="K431" s="259"/>
      <c r="L431" s="102"/>
    </row>
    <row r="432" ht="15.75" customHeight="1">
      <c r="A432" s="805"/>
      <c r="B432" s="1088"/>
      <c r="C432" s="805"/>
      <c r="D432" s="554" t="str">
        <f>IFERROR(VLOOKUP(C432,'INVONTERY FEB'!$A$6:$B$131,2,FALSE),"")</f>
        <v/>
      </c>
      <c r="E432" s="554" t="str">
        <f>IFERROR(VLOOKUP(D432,'INVONTERY FEB'!$B$6:$C$131,2,FALSE),"")</f>
        <v/>
      </c>
      <c r="F432" s="554" t="str">
        <f>IFERROR(VLOOKUP(D432,'INVONTERY FEB'!$B$6:$D$131,3,FALSE),"")</f>
        <v/>
      </c>
      <c r="G432" s="805"/>
      <c r="H432" s="805"/>
      <c r="I432" s="554">
        <f t="shared" si="3"/>
        <v>0</v>
      </c>
      <c r="J432" s="554">
        <f t="shared" si="2"/>
        <v>0</v>
      </c>
      <c r="K432" s="259"/>
      <c r="L432" s="102"/>
    </row>
    <row r="433" ht="15.75" customHeight="1">
      <c r="A433" s="805"/>
      <c r="B433" s="1088"/>
      <c r="C433" s="805"/>
      <c r="D433" s="554" t="str">
        <f>IFERROR(VLOOKUP(C433,'INVONTERY FEB'!$A$6:$B$131,2,FALSE),"")</f>
        <v/>
      </c>
      <c r="E433" s="554" t="str">
        <f>IFERROR(VLOOKUP(D433,'INVONTERY FEB'!$B$6:$C$131,2,FALSE),"")</f>
        <v/>
      </c>
      <c r="F433" s="554" t="str">
        <f>IFERROR(VLOOKUP(D433,'INVONTERY FEB'!$B$6:$D$131,3,FALSE),"")</f>
        <v/>
      </c>
      <c r="G433" s="805"/>
      <c r="H433" s="805"/>
      <c r="I433" s="554">
        <f t="shared" si="3"/>
        <v>0</v>
      </c>
      <c r="J433" s="554">
        <f t="shared" si="2"/>
        <v>0</v>
      </c>
      <c r="K433" s="259"/>
      <c r="L433" s="102"/>
    </row>
    <row r="434" ht="15.75" customHeight="1">
      <c r="A434" s="805"/>
      <c r="B434" s="1088"/>
      <c r="C434" s="805"/>
      <c r="D434" s="554" t="str">
        <f>IFERROR(VLOOKUP(C434,'INVONTERY FEB'!$A$6:$B$131,2,FALSE),"")</f>
        <v/>
      </c>
      <c r="E434" s="554" t="str">
        <f>IFERROR(VLOOKUP(D434,'INVONTERY FEB'!$B$6:$C$131,2,FALSE),"")</f>
        <v/>
      </c>
      <c r="F434" s="554" t="str">
        <f>IFERROR(VLOOKUP(D434,'INVONTERY FEB'!$B$6:$D$131,3,FALSE),"")</f>
        <v/>
      </c>
      <c r="G434" s="805"/>
      <c r="H434" s="805"/>
      <c r="I434" s="554">
        <f t="shared" si="3"/>
        <v>0</v>
      </c>
      <c r="J434" s="554">
        <f t="shared" si="2"/>
        <v>0</v>
      </c>
      <c r="K434" s="259"/>
      <c r="L434" s="102"/>
    </row>
    <row r="435" ht="15.75" customHeight="1">
      <c r="A435" s="805"/>
      <c r="B435" s="1088"/>
      <c r="C435" s="805"/>
      <c r="D435" s="554" t="str">
        <f>IFERROR(VLOOKUP(C435,'INVONTERY FEB'!$A$6:$B$131,2,FALSE),"")</f>
        <v/>
      </c>
      <c r="E435" s="554" t="str">
        <f>IFERROR(VLOOKUP(D435,'INVONTERY FEB'!$B$6:$C$131,2,FALSE),"")</f>
        <v/>
      </c>
      <c r="F435" s="554" t="str">
        <f>IFERROR(VLOOKUP(D435,'INVONTERY FEB'!$B$6:$D$131,3,FALSE),"")</f>
        <v/>
      </c>
      <c r="G435" s="805"/>
      <c r="H435" s="805"/>
      <c r="I435" s="554">
        <f t="shared" si="3"/>
        <v>0</v>
      </c>
      <c r="J435" s="554">
        <f t="shared" si="2"/>
        <v>0</v>
      </c>
      <c r="K435" s="259"/>
      <c r="L435" s="102"/>
    </row>
    <row r="436" ht="15.75" customHeight="1">
      <c r="A436" s="805"/>
      <c r="B436" s="1088"/>
      <c r="C436" s="805"/>
      <c r="D436" s="554" t="str">
        <f>IFERROR(VLOOKUP(C436,'INVONTERY FEB'!$A$6:$B$131,2,FALSE),"")</f>
        <v/>
      </c>
      <c r="E436" s="554" t="str">
        <f>IFERROR(VLOOKUP(D436,'INVONTERY FEB'!$B$6:$C$131,2,FALSE),"")</f>
        <v/>
      </c>
      <c r="F436" s="554" t="str">
        <f>IFERROR(VLOOKUP(D436,'INVONTERY FEB'!$B$6:$D$131,3,FALSE),"")</f>
        <v/>
      </c>
      <c r="G436" s="805"/>
      <c r="H436" s="805"/>
      <c r="I436" s="554">
        <f t="shared" si="3"/>
        <v>0</v>
      </c>
      <c r="J436" s="554">
        <f t="shared" si="2"/>
        <v>0</v>
      </c>
      <c r="K436" s="259"/>
      <c r="L436" s="102"/>
    </row>
    <row r="437" ht="15.75" customHeight="1">
      <c r="A437" s="805"/>
      <c r="B437" s="1088"/>
      <c r="C437" s="805"/>
      <c r="D437" s="554" t="str">
        <f>IFERROR(VLOOKUP(C437,'INVONTERY FEB'!$A$6:$B$131,2,FALSE),"")</f>
        <v/>
      </c>
      <c r="E437" s="554" t="str">
        <f>IFERROR(VLOOKUP(D437,'INVONTERY FEB'!$B$6:$C$131,2,FALSE),"")</f>
        <v/>
      </c>
      <c r="F437" s="554" t="str">
        <f>IFERROR(VLOOKUP(D437,'INVONTERY FEB'!$B$6:$D$131,3,FALSE),"")</f>
        <v/>
      </c>
      <c r="G437" s="805"/>
      <c r="H437" s="805"/>
      <c r="I437" s="554">
        <f t="shared" si="3"/>
        <v>0</v>
      </c>
      <c r="J437" s="554">
        <f t="shared" si="2"/>
        <v>0</v>
      </c>
      <c r="K437" s="259"/>
      <c r="L437" s="102"/>
    </row>
    <row r="438" ht="15.75" customHeight="1">
      <c r="A438" s="805"/>
      <c r="B438" s="1088"/>
      <c r="C438" s="805"/>
      <c r="D438" s="554" t="str">
        <f>IFERROR(VLOOKUP(C438,'INVONTERY FEB'!$A$6:$B$131,2,FALSE),"")</f>
        <v/>
      </c>
      <c r="E438" s="554" t="str">
        <f>IFERROR(VLOOKUP(D438,'INVONTERY FEB'!$B$6:$C$131,2,FALSE),"")</f>
        <v/>
      </c>
      <c r="F438" s="554" t="str">
        <f>IFERROR(VLOOKUP(D438,'INVONTERY FEB'!$B$6:$D$131,3,FALSE),"")</f>
        <v/>
      </c>
      <c r="G438" s="805"/>
      <c r="H438" s="805"/>
      <c r="I438" s="554">
        <f t="shared" si="3"/>
        <v>0</v>
      </c>
      <c r="J438" s="554">
        <f t="shared" si="2"/>
        <v>0</v>
      </c>
      <c r="K438" s="259"/>
      <c r="L438" s="102"/>
    </row>
    <row r="439" ht="15.75" customHeight="1">
      <c r="A439" s="805"/>
      <c r="B439" s="1088"/>
      <c r="C439" s="805"/>
      <c r="D439" s="554" t="str">
        <f>IFERROR(VLOOKUP(C439,'INVONTERY FEB'!$A$6:$B$131,2,FALSE),"")</f>
        <v/>
      </c>
      <c r="E439" s="554" t="str">
        <f>IFERROR(VLOOKUP(D439,'INVONTERY FEB'!$B$6:$C$131,2,FALSE),"")</f>
        <v/>
      </c>
      <c r="F439" s="554" t="str">
        <f>IFERROR(VLOOKUP(D439,'INVONTERY FEB'!$B$6:$D$131,3,FALSE),"")</f>
        <v/>
      </c>
      <c r="G439" s="805"/>
      <c r="H439" s="805"/>
      <c r="I439" s="554">
        <f t="shared" si="3"/>
        <v>0</v>
      </c>
      <c r="J439" s="554">
        <f t="shared" si="2"/>
        <v>0</v>
      </c>
      <c r="K439" s="259"/>
      <c r="L439" s="102"/>
    </row>
    <row r="440" ht="15.75" customHeight="1">
      <c r="A440" s="805"/>
      <c r="B440" s="1088"/>
      <c r="C440" s="805"/>
      <c r="D440" s="554" t="str">
        <f>IFERROR(VLOOKUP(C440,'INVONTERY FEB'!$A$6:$B$131,2,FALSE),"")</f>
        <v/>
      </c>
      <c r="E440" s="554" t="str">
        <f>IFERROR(VLOOKUP(D440,'INVONTERY FEB'!$B$6:$C$131,2,FALSE),"")</f>
        <v/>
      </c>
      <c r="F440" s="554" t="str">
        <f>IFERROR(VLOOKUP(D440,'INVONTERY FEB'!$B$6:$D$131,3,FALSE),"")</f>
        <v/>
      </c>
      <c r="G440" s="805"/>
      <c r="H440" s="805"/>
      <c r="I440" s="554">
        <f t="shared" si="3"/>
        <v>0</v>
      </c>
      <c r="J440" s="554">
        <f t="shared" si="2"/>
        <v>0</v>
      </c>
      <c r="K440" s="259"/>
      <c r="L440" s="102"/>
    </row>
    <row r="441" ht="15.75" customHeight="1">
      <c r="A441" s="805"/>
      <c r="B441" s="1088"/>
      <c r="C441" s="805"/>
      <c r="D441" s="554" t="str">
        <f>IFERROR(VLOOKUP(C441,'INVONTERY FEB'!$A$6:$B$131,2,FALSE),"")</f>
        <v/>
      </c>
      <c r="E441" s="554" t="str">
        <f>IFERROR(VLOOKUP(D441,'INVONTERY FEB'!$B$6:$C$131,2,FALSE),"")</f>
        <v/>
      </c>
      <c r="F441" s="554" t="str">
        <f>IFERROR(VLOOKUP(D441,'INVONTERY FEB'!$B$6:$D$131,3,FALSE),"")</f>
        <v/>
      </c>
      <c r="G441" s="805"/>
      <c r="H441" s="805"/>
      <c r="I441" s="554">
        <f t="shared" si="3"/>
        <v>0</v>
      </c>
      <c r="J441" s="554">
        <f t="shared" si="2"/>
        <v>0</v>
      </c>
      <c r="K441" s="259"/>
      <c r="L441" s="102"/>
    </row>
    <row r="442" ht="15.75" customHeight="1">
      <c r="A442" s="805"/>
      <c r="B442" s="1088"/>
      <c r="C442" s="805"/>
      <c r="D442" s="554" t="str">
        <f>IFERROR(VLOOKUP(C442,'INVONTERY FEB'!$A$6:$B$131,2,FALSE),"")</f>
        <v/>
      </c>
      <c r="E442" s="554" t="str">
        <f>IFERROR(VLOOKUP(D442,'INVONTERY FEB'!$B$6:$C$131,2,FALSE),"")</f>
        <v/>
      </c>
      <c r="F442" s="554" t="str">
        <f>IFERROR(VLOOKUP(D442,'INVONTERY FEB'!$B$6:$D$131,3,FALSE),"")</f>
        <v/>
      </c>
      <c r="G442" s="805"/>
      <c r="H442" s="805"/>
      <c r="I442" s="554">
        <f t="shared" si="3"/>
        <v>0</v>
      </c>
      <c r="J442" s="554">
        <f t="shared" si="2"/>
        <v>0</v>
      </c>
      <c r="K442" s="259"/>
      <c r="L442" s="102"/>
    </row>
    <row r="443" ht="15.75" customHeight="1">
      <c r="A443" s="805"/>
      <c r="B443" s="1088"/>
      <c r="C443" s="805"/>
      <c r="D443" s="554" t="str">
        <f>IFERROR(VLOOKUP(C443,'INVONTERY FEB'!$A$6:$B$131,2,FALSE),"")</f>
        <v/>
      </c>
      <c r="E443" s="554" t="str">
        <f>IFERROR(VLOOKUP(D443,'INVONTERY FEB'!$B$6:$C$131,2,FALSE),"")</f>
        <v/>
      </c>
      <c r="F443" s="554" t="str">
        <f>IFERROR(VLOOKUP(D443,'INVONTERY FEB'!$B$6:$D$131,3,FALSE),"")</f>
        <v/>
      </c>
      <c r="G443" s="805"/>
      <c r="H443" s="805"/>
      <c r="I443" s="554">
        <f t="shared" si="3"/>
        <v>0</v>
      </c>
      <c r="J443" s="554">
        <f t="shared" si="2"/>
        <v>0</v>
      </c>
      <c r="K443" s="259"/>
      <c r="L443" s="102"/>
    </row>
    <row r="444" ht="15.75" customHeight="1">
      <c r="A444" s="805"/>
      <c r="B444" s="1088"/>
      <c r="C444" s="805"/>
      <c r="D444" s="554" t="str">
        <f>IFERROR(VLOOKUP(C444,'INVONTERY FEB'!$A$6:$B$131,2,FALSE),"")</f>
        <v/>
      </c>
      <c r="E444" s="554" t="str">
        <f>IFERROR(VLOOKUP(D444,'INVONTERY FEB'!$B$6:$C$131,2,FALSE),"")</f>
        <v/>
      </c>
      <c r="F444" s="554" t="str">
        <f>IFERROR(VLOOKUP(D444,'INVONTERY FEB'!$B$6:$D$131,3,FALSE),"")</f>
        <v/>
      </c>
      <c r="G444" s="805"/>
      <c r="H444" s="805"/>
      <c r="I444" s="554">
        <f t="shared" si="3"/>
        <v>0</v>
      </c>
      <c r="J444" s="554">
        <f t="shared" si="2"/>
        <v>0</v>
      </c>
      <c r="K444" s="259"/>
      <c r="L444" s="102"/>
    </row>
    <row r="445" ht="15.75" customHeight="1">
      <c r="A445" s="805"/>
      <c r="B445" s="1088"/>
      <c r="C445" s="805"/>
      <c r="D445" s="554" t="str">
        <f>IFERROR(VLOOKUP(C445,'INVONTERY FEB'!$A$6:$B$131,2,FALSE),"")</f>
        <v/>
      </c>
      <c r="E445" s="554" t="str">
        <f>IFERROR(VLOOKUP(D445,'INVONTERY FEB'!$B$6:$C$131,2,FALSE),"")</f>
        <v/>
      </c>
      <c r="F445" s="554" t="str">
        <f>IFERROR(VLOOKUP(D445,'INVONTERY FEB'!$B$6:$D$131,3,FALSE),"")</f>
        <v/>
      </c>
      <c r="G445" s="805"/>
      <c r="H445" s="805"/>
      <c r="I445" s="554">
        <f t="shared" si="3"/>
        <v>0</v>
      </c>
      <c r="J445" s="554">
        <f t="shared" si="2"/>
        <v>0</v>
      </c>
      <c r="K445" s="259"/>
      <c r="L445" s="102"/>
    </row>
    <row r="446" ht="15.75" customHeight="1">
      <c r="A446" s="805"/>
      <c r="B446" s="1088"/>
      <c r="C446" s="805"/>
      <c r="D446" s="554" t="str">
        <f>IFERROR(VLOOKUP(C446,'INVONTERY FEB'!$A$6:$B$131,2,FALSE),"")</f>
        <v/>
      </c>
      <c r="E446" s="554" t="str">
        <f>IFERROR(VLOOKUP(D446,'INVONTERY FEB'!$B$6:$C$131,2,FALSE),"")</f>
        <v/>
      </c>
      <c r="F446" s="554" t="str">
        <f>IFERROR(VLOOKUP(D446,'INVONTERY FEB'!$B$6:$D$131,3,FALSE),"")</f>
        <v/>
      </c>
      <c r="G446" s="805"/>
      <c r="H446" s="805"/>
      <c r="I446" s="554">
        <f t="shared" si="3"/>
        <v>0</v>
      </c>
      <c r="J446" s="554">
        <f t="shared" si="2"/>
        <v>0</v>
      </c>
      <c r="K446" s="259"/>
      <c r="L446" s="102"/>
    </row>
    <row r="447" ht="15.75" customHeight="1">
      <c r="A447" s="805"/>
      <c r="B447" s="1088"/>
      <c r="C447" s="805"/>
      <c r="D447" s="554" t="str">
        <f>IFERROR(VLOOKUP(C447,'INVONTERY FEB'!$A$6:$B$131,2,FALSE),"")</f>
        <v/>
      </c>
      <c r="E447" s="554" t="str">
        <f>IFERROR(VLOOKUP(D447,'INVONTERY FEB'!$B$6:$C$131,2,FALSE),"")</f>
        <v/>
      </c>
      <c r="F447" s="554" t="str">
        <f>IFERROR(VLOOKUP(D447,'INVONTERY FEB'!$B$6:$D$131,3,FALSE),"")</f>
        <v/>
      </c>
      <c r="G447" s="805"/>
      <c r="H447" s="805"/>
      <c r="I447" s="554">
        <f t="shared" si="3"/>
        <v>0</v>
      </c>
      <c r="J447" s="554">
        <f t="shared" si="2"/>
        <v>0</v>
      </c>
      <c r="K447" s="259"/>
      <c r="L447" s="102"/>
    </row>
    <row r="448" ht="15.75" customHeight="1">
      <c r="A448" s="805"/>
      <c r="B448" s="1088"/>
      <c r="C448" s="805"/>
      <c r="D448" s="554" t="str">
        <f>IFERROR(VLOOKUP(C448,'INVONTERY FEB'!$A$6:$B$131,2,FALSE),"")</f>
        <v/>
      </c>
      <c r="E448" s="554" t="str">
        <f>IFERROR(VLOOKUP(D448,'INVONTERY FEB'!$B$6:$C$131,2,FALSE),"")</f>
        <v/>
      </c>
      <c r="F448" s="554" t="str">
        <f>IFERROR(VLOOKUP(D448,'INVONTERY FEB'!$B$6:$D$131,3,FALSE),"")</f>
        <v/>
      </c>
      <c r="G448" s="805"/>
      <c r="H448" s="805"/>
      <c r="I448" s="554">
        <f t="shared" si="3"/>
        <v>0</v>
      </c>
      <c r="J448" s="554">
        <f t="shared" si="2"/>
        <v>0</v>
      </c>
      <c r="K448" s="259"/>
      <c r="L448" s="102"/>
    </row>
    <row r="449" ht="15.75" customHeight="1">
      <c r="A449" s="805"/>
      <c r="B449" s="1088"/>
      <c r="C449" s="805"/>
      <c r="D449" s="554" t="str">
        <f>IFERROR(VLOOKUP(C449,'INVONTERY FEB'!$A$6:$B$131,2,FALSE),"")</f>
        <v/>
      </c>
      <c r="E449" s="554" t="str">
        <f>IFERROR(VLOOKUP(D449,'INVONTERY FEB'!$B$6:$C$131,2,FALSE),"")</f>
        <v/>
      </c>
      <c r="F449" s="554" t="str">
        <f>IFERROR(VLOOKUP(D449,'INVONTERY FEB'!$B$6:$D$131,3,FALSE),"")</f>
        <v/>
      </c>
      <c r="G449" s="805"/>
      <c r="H449" s="805"/>
      <c r="I449" s="554">
        <f t="shared" si="3"/>
        <v>0</v>
      </c>
      <c r="J449" s="554">
        <f t="shared" si="2"/>
        <v>0</v>
      </c>
      <c r="K449" s="259"/>
      <c r="L449" s="102"/>
    </row>
    <row r="450" ht="15.75" customHeight="1">
      <c r="A450" s="805"/>
      <c r="B450" s="1088"/>
      <c r="C450" s="805"/>
      <c r="D450" s="554" t="str">
        <f>IFERROR(VLOOKUP(C450,'INVONTERY FEB'!$A$6:$B$131,2,FALSE),"")</f>
        <v/>
      </c>
      <c r="E450" s="554" t="str">
        <f>IFERROR(VLOOKUP(D450,'INVONTERY FEB'!$B$6:$C$131,2,FALSE),"")</f>
        <v/>
      </c>
      <c r="F450" s="554" t="str">
        <f>IFERROR(VLOOKUP(D450,'INVONTERY FEB'!$B$6:$D$131,3,FALSE),"")</f>
        <v/>
      </c>
      <c r="G450" s="805"/>
      <c r="H450" s="805"/>
      <c r="I450" s="554">
        <f t="shared" si="3"/>
        <v>0</v>
      </c>
      <c r="J450" s="554">
        <f t="shared" si="2"/>
        <v>0</v>
      </c>
      <c r="K450" s="259"/>
      <c r="L450" s="102"/>
    </row>
    <row r="451" ht="15.75" customHeight="1">
      <c r="A451" s="805"/>
      <c r="B451" s="1088"/>
      <c r="C451" s="805"/>
      <c r="D451" s="554" t="str">
        <f>IFERROR(VLOOKUP(C451,'INVONTERY FEB'!$A$6:$B$131,2,FALSE),"")</f>
        <v/>
      </c>
      <c r="E451" s="554" t="str">
        <f>IFERROR(VLOOKUP(D451,'INVONTERY FEB'!$B$6:$C$131,2,FALSE),"")</f>
        <v/>
      </c>
      <c r="F451" s="554" t="str">
        <f>IFERROR(VLOOKUP(D451,'INVONTERY FEB'!$B$6:$D$131,3,FALSE),"")</f>
        <v/>
      </c>
      <c r="G451" s="805"/>
      <c r="H451" s="805"/>
      <c r="I451" s="554">
        <f t="shared" si="3"/>
        <v>0</v>
      </c>
      <c r="J451" s="554">
        <f t="shared" si="2"/>
        <v>0</v>
      </c>
      <c r="K451" s="259"/>
      <c r="L451" s="102"/>
    </row>
    <row r="452" ht="15.75" customHeight="1">
      <c r="A452" s="805"/>
      <c r="B452" s="1088"/>
      <c r="C452" s="805"/>
      <c r="D452" s="554" t="str">
        <f>IFERROR(VLOOKUP(C452,'INVONTERY FEB'!$A$6:$B$131,2,FALSE),"")</f>
        <v/>
      </c>
      <c r="E452" s="554" t="str">
        <f>IFERROR(VLOOKUP(D452,'INVONTERY FEB'!$B$6:$C$131,2,FALSE),"")</f>
        <v/>
      </c>
      <c r="F452" s="554" t="str">
        <f>IFERROR(VLOOKUP(D452,'INVONTERY FEB'!$B$6:$D$131,3,FALSE),"")</f>
        <v/>
      </c>
      <c r="G452" s="805"/>
      <c r="H452" s="805"/>
      <c r="I452" s="554">
        <f t="shared" si="3"/>
        <v>0</v>
      </c>
      <c r="J452" s="554">
        <f t="shared" si="2"/>
        <v>0</v>
      </c>
      <c r="K452" s="259"/>
      <c r="L452" s="102"/>
    </row>
    <row r="453" ht="15.75" customHeight="1">
      <c r="A453" s="805"/>
      <c r="B453" s="1088"/>
      <c r="C453" s="805"/>
      <c r="D453" s="554" t="str">
        <f>IFERROR(VLOOKUP(C453,'INVONTERY FEB'!$A$6:$B$131,2,FALSE),"")</f>
        <v/>
      </c>
      <c r="E453" s="554" t="str">
        <f>IFERROR(VLOOKUP(D453,'INVONTERY FEB'!$B$6:$C$131,2,FALSE),"")</f>
        <v/>
      </c>
      <c r="F453" s="554" t="str">
        <f>IFERROR(VLOOKUP(D453,'INVONTERY FEB'!$B$6:$D$131,3,FALSE),"")</f>
        <v/>
      </c>
      <c r="G453" s="805"/>
      <c r="H453" s="805"/>
      <c r="I453" s="554">
        <f t="shared" si="3"/>
        <v>0</v>
      </c>
      <c r="J453" s="554">
        <f t="shared" si="2"/>
        <v>0</v>
      </c>
      <c r="K453" s="259"/>
      <c r="L453" s="102"/>
    </row>
    <row r="454" ht="15.75" customHeight="1">
      <c r="A454" s="805"/>
      <c r="B454" s="1088"/>
      <c r="C454" s="805"/>
      <c r="D454" s="554" t="str">
        <f>IFERROR(VLOOKUP(C454,'INVONTERY FEB'!$A$6:$B$131,2,FALSE),"")</f>
        <v/>
      </c>
      <c r="E454" s="554" t="str">
        <f>IFERROR(VLOOKUP(D454,'INVONTERY FEB'!$B$6:$C$131,2,FALSE),"")</f>
        <v/>
      </c>
      <c r="F454" s="554" t="str">
        <f>IFERROR(VLOOKUP(D454,'INVONTERY FEB'!$B$6:$D$131,3,FALSE),"")</f>
        <v/>
      </c>
      <c r="G454" s="805"/>
      <c r="H454" s="805"/>
      <c r="I454" s="554">
        <f t="shared" si="3"/>
        <v>0</v>
      </c>
      <c r="J454" s="554">
        <f t="shared" si="2"/>
        <v>0</v>
      </c>
      <c r="K454" s="259"/>
      <c r="L454" s="102"/>
    </row>
    <row r="455" ht="15.75" customHeight="1">
      <c r="A455" s="805"/>
      <c r="B455" s="1088"/>
      <c r="C455" s="805"/>
      <c r="D455" s="554" t="str">
        <f>IFERROR(VLOOKUP(C455,'INVONTERY FEB'!$A$6:$B$131,2,FALSE),"")</f>
        <v/>
      </c>
      <c r="E455" s="554" t="str">
        <f>IFERROR(VLOOKUP(D455,'INVONTERY FEB'!$B$6:$C$131,2,FALSE),"")</f>
        <v/>
      </c>
      <c r="F455" s="554" t="str">
        <f>IFERROR(VLOOKUP(D455,'INVONTERY FEB'!$B$6:$D$131,3,FALSE),"")</f>
        <v/>
      </c>
      <c r="G455" s="805"/>
      <c r="H455" s="805"/>
      <c r="I455" s="554">
        <f t="shared" si="3"/>
        <v>0</v>
      </c>
      <c r="J455" s="554">
        <f t="shared" si="2"/>
        <v>0</v>
      </c>
      <c r="K455" s="259"/>
      <c r="L455" s="102"/>
    </row>
    <row r="456" ht="15.75" customHeight="1">
      <c r="A456" s="805"/>
      <c r="B456" s="1088"/>
      <c r="C456" s="805"/>
      <c r="D456" s="554" t="str">
        <f>IFERROR(VLOOKUP(C456,'INVONTERY FEB'!$A$6:$B$131,2,FALSE),"")</f>
        <v/>
      </c>
      <c r="E456" s="554" t="str">
        <f>IFERROR(VLOOKUP(D456,'INVONTERY FEB'!$B$6:$C$131,2,FALSE),"")</f>
        <v/>
      </c>
      <c r="F456" s="554" t="str">
        <f>IFERROR(VLOOKUP(D456,'INVONTERY FEB'!$B$6:$D$131,3,FALSE),"")</f>
        <v/>
      </c>
      <c r="G456" s="805"/>
      <c r="H456" s="805"/>
      <c r="I456" s="554">
        <f t="shared" si="3"/>
        <v>0</v>
      </c>
      <c r="J456" s="554">
        <f t="shared" si="2"/>
        <v>0</v>
      </c>
      <c r="K456" s="259"/>
      <c r="L456" s="102"/>
    </row>
    <row r="457" ht="15.75" customHeight="1">
      <c r="A457" s="805"/>
      <c r="B457" s="1088"/>
      <c r="C457" s="805"/>
      <c r="D457" s="554" t="str">
        <f>IFERROR(VLOOKUP(C457,'INVONTERY FEB'!$A$6:$B$131,2,FALSE),"")</f>
        <v/>
      </c>
      <c r="E457" s="554" t="str">
        <f>IFERROR(VLOOKUP(D457,'INVONTERY FEB'!$B$6:$C$131,2,FALSE),"")</f>
        <v/>
      </c>
      <c r="F457" s="554" t="str">
        <f>IFERROR(VLOOKUP(D457,'INVONTERY FEB'!$B$6:$D$131,3,FALSE),"")</f>
        <v/>
      </c>
      <c r="G457" s="805"/>
      <c r="H457" s="805"/>
      <c r="I457" s="554">
        <f t="shared" si="3"/>
        <v>0</v>
      </c>
      <c r="J457" s="554">
        <f t="shared" si="2"/>
        <v>0</v>
      </c>
      <c r="K457" s="259"/>
      <c r="L457" s="102"/>
    </row>
    <row r="458" ht="15.75" customHeight="1">
      <c r="A458" s="805"/>
      <c r="B458" s="1088"/>
      <c r="C458" s="805"/>
      <c r="D458" s="554" t="str">
        <f>IFERROR(VLOOKUP(C458,'INVONTERY FEB'!$A$6:$B$131,2,FALSE),"")</f>
        <v/>
      </c>
      <c r="E458" s="554" t="str">
        <f>IFERROR(VLOOKUP(D458,'INVONTERY FEB'!$B$6:$C$131,2,FALSE),"")</f>
        <v/>
      </c>
      <c r="F458" s="554" t="str">
        <f>IFERROR(VLOOKUP(D458,'INVONTERY FEB'!$B$6:$D$131,3,FALSE),"")</f>
        <v/>
      </c>
      <c r="G458" s="805"/>
      <c r="H458" s="805"/>
      <c r="I458" s="554">
        <f t="shared" si="3"/>
        <v>0</v>
      </c>
      <c r="J458" s="554">
        <f t="shared" si="2"/>
        <v>0</v>
      </c>
      <c r="K458" s="259"/>
      <c r="L458" s="102"/>
    </row>
    <row r="459" ht="15.75" customHeight="1">
      <c r="A459" s="805"/>
      <c r="B459" s="1088"/>
      <c r="C459" s="805"/>
      <c r="D459" s="554" t="str">
        <f>IFERROR(VLOOKUP(C459,'INVONTERY FEB'!$A$6:$B$131,2,FALSE),"")</f>
        <v/>
      </c>
      <c r="E459" s="554" t="str">
        <f>IFERROR(VLOOKUP(D459,'INVONTERY FEB'!$B$6:$C$131,2,FALSE),"")</f>
        <v/>
      </c>
      <c r="F459" s="554" t="str">
        <f>IFERROR(VLOOKUP(D459,'INVONTERY FEB'!$B$6:$D$131,3,FALSE),"")</f>
        <v/>
      </c>
      <c r="G459" s="805"/>
      <c r="H459" s="805"/>
      <c r="I459" s="554">
        <f t="shared" si="3"/>
        <v>0</v>
      </c>
      <c r="J459" s="554">
        <f t="shared" si="2"/>
        <v>0</v>
      </c>
      <c r="K459" s="259"/>
      <c r="L459" s="102"/>
    </row>
    <row r="460" ht="15.75" customHeight="1">
      <c r="A460" s="805"/>
      <c r="B460" s="1088"/>
      <c r="C460" s="805"/>
      <c r="D460" s="554" t="str">
        <f>IFERROR(VLOOKUP(C460,'INVONTERY FEB'!$A$6:$B$131,2,FALSE),"")</f>
        <v/>
      </c>
      <c r="E460" s="554" t="str">
        <f>IFERROR(VLOOKUP(D460,'INVONTERY FEB'!$B$6:$C$131,2,FALSE),"")</f>
        <v/>
      </c>
      <c r="F460" s="554" t="str">
        <f>IFERROR(VLOOKUP(D460,'INVONTERY FEB'!$B$6:$D$131,3,FALSE),"")</f>
        <v/>
      </c>
      <c r="G460" s="805"/>
      <c r="H460" s="805"/>
      <c r="I460" s="554">
        <f t="shared" si="3"/>
        <v>0</v>
      </c>
      <c r="J460" s="554">
        <f t="shared" si="2"/>
        <v>0</v>
      </c>
      <c r="K460" s="259"/>
      <c r="L460" s="102"/>
    </row>
    <row r="461" ht="15.75" customHeight="1">
      <c r="A461" s="805"/>
      <c r="B461" s="1088"/>
      <c r="C461" s="805"/>
      <c r="D461" s="554" t="str">
        <f>IFERROR(VLOOKUP(C461,'INVONTERY FEB'!$A$6:$B$131,2,FALSE),"")</f>
        <v/>
      </c>
      <c r="E461" s="554" t="str">
        <f>IFERROR(VLOOKUP(D461,'INVONTERY FEB'!$B$6:$C$131,2,FALSE),"")</f>
        <v/>
      </c>
      <c r="F461" s="554" t="str">
        <f>IFERROR(VLOOKUP(D461,'INVONTERY FEB'!$B$6:$D$131,3,FALSE),"")</f>
        <v/>
      </c>
      <c r="G461" s="805"/>
      <c r="H461" s="805"/>
      <c r="I461" s="554">
        <f t="shared" si="3"/>
        <v>0</v>
      </c>
      <c r="J461" s="554">
        <f t="shared" si="2"/>
        <v>0</v>
      </c>
      <c r="K461" s="259"/>
      <c r="L461" s="102"/>
    </row>
    <row r="462" ht="15.75" customHeight="1">
      <c r="A462" s="805"/>
      <c r="B462" s="1088"/>
      <c r="C462" s="805"/>
      <c r="D462" s="554" t="str">
        <f>IFERROR(VLOOKUP(C462,'INVONTERY FEB'!$A$6:$B$131,2,FALSE),"")</f>
        <v/>
      </c>
      <c r="E462" s="554" t="str">
        <f>IFERROR(VLOOKUP(D462,'INVONTERY FEB'!$B$6:$C$131,2,FALSE),"")</f>
        <v/>
      </c>
      <c r="F462" s="554" t="str">
        <f>IFERROR(VLOOKUP(D462,'INVONTERY FEB'!$B$6:$D$131,3,FALSE),"")</f>
        <v/>
      </c>
      <c r="G462" s="805"/>
      <c r="H462" s="805"/>
      <c r="I462" s="554">
        <f t="shared" si="3"/>
        <v>0</v>
      </c>
      <c r="J462" s="554">
        <f t="shared" si="2"/>
        <v>0</v>
      </c>
      <c r="K462" s="259"/>
      <c r="L462" s="102"/>
    </row>
    <row r="463" ht="15.75" customHeight="1">
      <c r="A463" s="805"/>
      <c r="B463" s="1088"/>
      <c r="C463" s="805"/>
      <c r="D463" s="554" t="str">
        <f>IFERROR(VLOOKUP(C463,'INVONTERY FEB'!$A$6:$B$131,2,FALSE),"")</f>
        <v/>
      </c>
      <c r="E463" s="554" t="str">
        <f>IFERROR(VLOOKUP(D463,'INVONTERY FEB'!$B$6:$C$131,2,FALSE),"")</f>
        <v/>
      </c>
      <c r="F463" s="554" t="str">
        <f>IFERROR(VLOOKUP(D463,'INVONTERY FEB'!$B$6:$D$131,3,FALSE),"")</f>
        <v/>
      </c>
      <c r="G463" s="805"/>
      <c r="H463" s="805"/>
      <c r="I463" s="554">
        <f t="shared" si="3"/>
        <v>0</v>
      </c>
      <c r="J463" s="554">
        <f t="shared" si="2"/>
        <v>0</v>
      </c>
      <c r="K463" s="259"/>
      <c r="L463" s="102"/>
    </row>
    <row r="464" ht="15.75" customHeight="1">
      <c r="A464" s="805"/>
      <c r="B464" s="1088"/>
      <c r="C464" s="805"/>
      <c r="D464" s="554" t="str">
        <f>IFERROR(VLOOKUP(C464,'INVONTERY FEB'!$A$6:$B$131,2,FALSE),"")</f>
        <v/>
      </c>
      <c r="E464" s="554" t="str">
        <f>IFERROR(VLOOKUP(D464,'INVONTERY FEB'!$B$6:$C$131,2,FALSE),"")</f>
        <v/>
      </c>
      <c r="F464" s="554" t="str">
        <f>IFERROR(VLOOKUP(D464,'INVONTERY FEB'!$B$6:$D$131,3,FALSE),"")</f>
        <v/>
      </c>
      <c r="G464" s="805"/>
      <c r="H464" s="805"/>
      <c r="I464" s="554">
        <f t="shared" si="3"/>
        <v>0</v>
      </c>
      <c r="J464" s="554">
        <f t="shared" si="2"/>
        <v>0</v>
      </c>
      <c r="K464" s="259"/>
      <c r="L464" s="102"/>
    </row>
    <row r="465" ht="15.75" customHeight="1">
      <c r="A465" s="805"/>
      <c r="B465" s="1088"/>
      <c r="C465" s="805"/>
      <c r="D465" s="554" t="str">
        <f>IFERROR(VLOOKUP(C465,'INVONTERY FEB'!$A$6:$B$131,2,FALSE),"")</f>
        <v/>
      </c>
      <c r="E465" s="554" t="str">
        <f>IFERROR(VLOOKUP(D465,'INVONTERY FEB'!$B$6:$C$131,2,FALSE),"")</f>
        <v/>
      </c>
      <c r="F465" s="554" t="str">
        <f>IFERROR(VLOOKUP(D465,'INVONTERY FEB'!$B$6:$D$131,3,FALSE),"")</f>
        <v/>
      </c>
      <c r="G465" s="805"/>
      <c r="H465" s="805"/>
      <c r="I465" s="554">
        <f t="shared" si="3"/>
        <v>0</v>
      </c>
      <c r="J465" s="554">
        <f t="shared" si="2"/>
        <v>0</v>
      </c>
      <c r="K465" s="259"/>
      <c r="L465" s="102"/>
    </row>
    <row r="466" ht="15.75" customHeight="1">
      <c r="A466" s="805"/>
      <c r="B466" s="1088"/>
      <c r="C466" s="805"/>
      <c r="D466" s="554" t="str">
        <f>IFERROR(VLOOKUP(C466,'INVONTERY FEB'!$A$6:$B$131,2,FALSE),"")</f>
        <v/>
      </c>
      <c r="E466" s="554" t="str">
        <f>IFERROR(VLOOKUP(D466,'INVONTERY FEB'!$B$6:$C$131,2,FALSE),"")</f>
        <v/>
      </c>
      <c r="F466" s="554" t="str">
        <f>IFERROR(VLOOKUP(D466,'INVONTERY FEB'!$B$6:$D$131,3,FALSE),"")</f>
        <v/>
      </c>
      <c r="G466" s="805"/>
      <c r="H466" s="805"/>
      <c r="I466" s="554">
        <f t="shared" si="3"/>
        <v>0</v>
      </c>
      <c r="J466" s="554">
        <f t="shared" si="2"/>
        <v>0</v>
      </c>
      <c r="K466" s="259"/>
      <c r="L466" s="102"/>
    </row>
    <row r="467" ht="15.75" customHeight="1">
      <c r="A467" s="805"/>
      <c r="B467" s="1088"/>
      <c r="C467" s="805"/>
      <c r="D467" s="554" t="str">
        <f>IFERROR(VLOOKUP(C467,'INVONTERY FEB'!$A$6:$B$131,2,FALSE),"")</f>
        <v/>
      </c>
      <c r="E467" s="554" t="str">
        <f>IFERROR(VLOOKUP(D467,'INVONTERY FEB'!$B$6:$C$131,2,FALSE),"")</f>
        <v/>
      </c>
      <c r="F467" s="554" t="str">
        <f>IFERROR(VLOOKUP(D467,'INVONTERY FEB'!$B$6:$D$131,3,FALSE),"")</f>
        <v/>
      </c>
      <c r="G467" s="805"/>
      <c r="H467" s="805"/>
      <c r="I467" s="554">
        <f t="shared" si="3"/>
        <v>0</v>
      </c>
      <c r="J467" s="554">
        <f t="shared" si="2"/>
        <v>0</v>
      </c>
      <c r="K467" s="259"/>
      <c r="L467" s="102"/>
    </row>
    <row r="468" ht="15.75" customHeight="1">
      <c r="A468" s="805"/>
      <c r="B468" s="1088"/>
      <c r="C468" s="805"/>
      <c r="D468" s="554" t="str">
        <f>IFERROR(VLOOKUP(C468,'INVONTERY FEB'!$A$6:$B$131,2,FALSE),"")</f>
        <v/>
      </c>
      <c r="E468" s="554" t="str">
        <f>IFERROR(VLOOKUP(D468,'INVONTERY FEB'!$B$6:$C$131,2,FALSE),"")</f>
        <v/>
      </c>
      <c r="F468" s="554" t="str">
        <f>IFERROR(VLOOKUP(D468,'INVONTERY FEB'!$B$6:$D$131,3,FALSE),"")</f>
        <v/>
      </c>
      <c r="G468" s="805"/>
      <c r="H468" s="805"/>
      <c r="I468" s="554">
        <f t="shared" si="3"/>
        <v>0</v>
      </c>
      <c r="J468" s="554">
        <f t="shared" si="2"/>
        <v>0</v>
      </c>
      <c r="K468" s="259"/>
      <c r="L468" s="102"/>
    </row>
    <row r="469" ht="15.75" customHeight="1">
      <c r="A469" s="805"/>
      <c r="B469" s="1088"/>
      <c r="C469" s="805"/>
      <c r="D469" s="554" t="str">
        <f>IFERROR(VLOOKUP(C469,'INVONTERY FEB'!$A$6:$B$131,2,FALSE),"")</f>
        <v/>
      </c>
      <c r="E469" s="554" t="str">
        <f>IFERROR(VLOOKUP(D469,'INVONTERY FEB'!$B$6:$C$131,2,FALSE),"")</f>
        <v/>
      </c>
      <c r="F469" s="554" t="str">
        <f>IFERROR(VLOOKUP(D469,'INVONTERY FEB'!$B$6:$D$131,3,FALSE),"")</f>
        <v/>
      </c>
      <c r="G469" s="805"/>
      <c r="H469" s="805"/>
      <c r="I469" s="554">
        <f t="shared" si="3"/>
        <v>0</v>
      </c>
      <c r="J469" s="554">
        <f t="shared" si="2"/>
        <v>0</v>
      </c>
      <c r="K469" s="259"/>
      <c r="L469" s="102"/>
    </row>
    <row r="470" ht="15.75" customHeight="1">
      <c r="A470" s="805"/>
      <c r="B470" s="1088"/>
      <c r="C470" s="805"/>
      <c r="D470" s="554" t="str">
        <f>IFERROR(VLOOKUP(C470,'INVONTERY FEB'!$A$6:$B$131,2,FALSE),"")</f>
        <v/>
      </c>
      <c r="E470" s="554" t="str">
        <f>IFERROR(VLOOKUP(D470,'INVONTERY FEB'!$B$6:$C$131,2,FALSE),"")</f>
        <v/>
      </c>
      <c r="F470" s="554" t="str">
        <f>IFERROR(VLOOKUP(D470,'INVONTERY FEB'!$B$6:$D$131,3,FALSE),"")</f>
        <v/>
      </c>
      <c r="G470" s="805"/>
      <c r="H470" s="805"/>
      <c r="I470" s="554">
        <f t="shared" si="3"/>
        <v>0</v>
      </c>
      <c r="J470" s="554">
        <f t="shared" si="2"/>
        <v>0</v>
      </c>
      <c r="K470" s="259"/>
      <c r="L470" s="102"/>
    </row>
    <row r="471" ht="15.75" customHeight="1">
      <c r="A471" s="805"/>
      <c r="B471" s="1088"/>
      <c r="C471" s="805"/>
      <c r="D471" s="554" t="str">
        <f>IFERROR(VLOOKUP(C471,'INVONTERY FEB'!$A$6:$B$131,2,FALSE),"")</f>
        <v/>
      </c>
      <c r="E471" s="554" t="str">
        <f>IFERROR(VLOOKUP(D471,'INVONTERY FEB'!$B$6:$C$131,2,FALSE),"")</f>
        <v/>
      </c>
      <c r="F471" s="554" t="str">
        <f>IFERROR(VLOOKUP(D471,'INVONTERY FEB'!$B$6:$D$131,3,FALSE),"")</f>
        <v/>
      </c>
      <c r="G471" s="805"/>
      <c r="H471" s="805"/>
      <c r="I471" s="554">
        <f t="shared" si="3"/>
        <v>0</v>
      </c>
      <c r="J471" s="554">
        <f t="shared" si="2"/>
        <v>0</v>
      </c>
      <c r="K471" s="259"/>
      <c r="L471" s="102"/>
    </row>
    <row r="472" ht="15.75" customHeight="1">
      <c r="A472" s="805"/>
      <c r="B472" s="1088"/>
      <c r="C472" s="805"/>
      <c r="D472" s="554" t="str">
        <f>IFERROR(VLOOKUP(C472,'INVONTERY FEB'!$A$6:$B$131,2,FALSE),"")</f>
        <v/>
      </c>
      <c r="E472" s="554" t="str">
        <f>IFERROR(VLOOKUP(D472,'INVONTERY FEB'!$B$6:$C$131,2,FALSE),"")</f>
        <v/>
      </c>
      <c r="F472" s="554" t="str">
        <f>IFERROR(VLOOKUP(D472,'INVONTERY FEB'!$B$6:$D$131,3,FALSE),"")</f>
        <v/>
      </c>
      <c r="G472" s="805"/>
      <c r="H472" s="805"/>
      <c r="I472" s="554">
        <f t="shared" si="3"/>
        <v>0</v>
      </c>
      <c r="J472" s="554">
        <f t="shared" si="2"/>
        <v>0</v>
      </c>
      <c r="K472" s="259"/>
      <c r="L472" s="102"/>
    </row>
    <row r="473" ht="15.75" customHeight="1">
      <c r="A473" s="805"/>
      <c r="B473" s="1088"/>
      <c r="C473" s="805"/>
      <c r="D473" s="554" t="str">
        <f>IFERROR(VLOOKUP(C473,'INVONTERY FEB'!$A$6:$B$131,2,FALSE),"")</f>
        <v/>
      </c>
      <c r="E473" s="554" t="str">
        <f>IFERROR(VLOOKUP(D473,'INVONTERY FEB'!$B$6:$C$131,2,FALSE),"")</f>
        <v/>
      </c>
      <c r="F473" s="554" t="str">
        <f>IFERROR(VLOOKUP(D473,'INVONTERY FEB'!$B$6:$D$131,3,FALSE),"")</f>
        <v/>
      </c>
      <c r="G473" s="805"/>
      <c r="H473" s="805"/>
      <c r="I473" s="554">
        <f t="shared" si="3"/>
        <v>0</v>
      </c>
      <c r="J473" s="554">
        <f t="shared" si="2"/>
        <v>0</v>
      </c>
      <c r="K473" s="259"/>
      <c r="L473" s="102"/>
    </row>
    <row r="474" ht="15.75" customHeight="1">
      <c r="A474" s="805"/>
      <c r="B474" s="1088"/>
      <c r="C474" s="805"/>
      <c r="D474" s="554" t="str">
        <f>IFERROR(VLOOKUP(C474,'INVONTERY FEB'!$A$6:$B$131,2,FALSE),"")</f>
        <v/>
      </c>
      <c r="E474" s="554" t="str">
        <f>IFERROR(VLOOKUP(D474,'INVONTERY FEB'!$B$6:$C$131,2,FALSE),"")</f>
        <v/>
      </c>
      <c r="F474" s="554" t="str">
        <f>IFERROR(VLOOKUP(D474,'INVONTERY FEB'!$B$6:$D$131,3,FALSE),"")</f>
        <v/>
      </c>
      <c r="G474" s="805"/>
      <c r="H474" s="805"/>
      <c r="I474" s="554">
        <f t="shared" si="3"/>
        <v>0</v>
      </c>
      <c r="J474" s="554">
        <f t="shared" si="2"/>
        <v>0</v>
      </c>
      <c r="K474" s="259"/>
      <c r="L474" s="102"/>
    </row>
    <row r="475" ht="15.75" customHeight="1">
      <c r="A475" s="805"/>
      <c r="B475" s="1088"/>
      <c r="C475" s="805"/>
      <c r="D475" s="554" t="str">
        <f>IFERROR(VLOOKUP(C475,'INVONTERY FEB'!$A$6:$B$131,2,FALSE),"")</f>
        <v/>
      </c>
      <c r="E475" s="554" t="str">
        <f>IFERROR(VLOOKUP(D475,'INVONTERY FEB'!$B$6:$C$131,2,FALSE),"")</f>
        <v/>
      </c>
      <c r="F475" s="554" t="str">
        <f>IFERROR(VLOOKUP(D475,'INVONTERY FEB'!$B$6:$D$131,3,FALSE),"")</f>
        <v/>
      </c>
      <c r="G475" s="805"/>
      <c r="H475" s="805"/>
      <c r="I475" s="554">
        <f t="shared" si="3"/>
        <v>0</v>
      </c>
      <c r="J475" s="554">
        <f t="shared" si="2"/>
        <v>0</v>
      </c>
      <c r="K475" s="259"/>
      <c r="L475" s="102"/>
    </row>
    <row r="476" ht="15.75" customHeight="1">
      <c r="A476" s="805"/>
      <c r="B476" s="1088"/>
      <c r="C476" s="805"/>
      <c r="D476" s="554" t="str">
        <f>IFERROR(VLOOKUP(C476,'INVONTERY FEB'!$A$6:$B$131,2,FALSE),"")</f>
        <v/>
      </c>
      <c r="E476" s="554" t="str">
        <f>IFERROR(VLOOKUP(D476,'INVONTERY FEB'!$B$6:$C$131,2,FALSE),"")</f>
        <v/>
      </c>
      <c r="F476" s="554" t="str">
        <f>IFERROR(VLOOKUP(D476,'INVONTERY FEB'!$B$6:$D$131,3,FALSE),"")</f>
        <v/>
      </c>
      <c r="G476" s="805"/>
      <c r="H476" s="805"/>
      <c r="I476" s="554">
        <f t="shared" si="3"/>
        <v>0</v>
      </c>
      <c r="J476" s="554">
        <f t="shared" si="2"/>
        <v>0</v>
      </c>
      <c r="K476" s="259"/>
      <c r="L476" s="102"/>
    </row>
    <row r="477" ht="15.75" customHeight="1">
      <c r="A477" s="805"/>
      <c r="B477" s="1088"/>
      <c r="C477" s="805"/>
      <c r="D477" s="554" t="str">
        <f>IFERROR(VLOOKUP(C477,'INVONTERY FEB'!$A$6:$B$131,2,FALSE),"")</f>
        <v/>
      </c>
      <c r="E477" s="554" t="str">
        <f>IFERROR(VLOOKUP(D477,'INVONTERY FEB'!$B$6:$C$131,2,FALSE),"")</f>
        <v/>
      </c>
      <c r="F477" s="554" t="str">
        <f>IFERROR(VLOOKUP(D477,'INVONTERY FEB'!$B$6:$D$131,3,FALSE),"")</f>
        <v/>
      </c>
      <c r="G477" s="805"/>
      <c r="H477" s="805"/>
      <c r="I477" s="554">
        <f t="shared" si="3"/>
        <v>0</v>
      </c>
      <c r="J477" s="554">
        <f t="shared" si="2"/>
        <v>0</v>
      </c>
      <c r="K477" s="259"/>
      <c r="L477" s="102"/>
    </row>
    <row r="478" ht="15.75" customHeight="1">
      <c r="A478" s="805"/>
      <c r="B478" s="1088"/>
      <c r="C478" s="805"/>
      <c r="D478" s="554" t="str">
        <f>IFERROR(VLOOKUP(C478,'INVONTERY FEB'!$A$6:$B$131,2,FALSE),"")</f>
        <v/>
      </c>
      <c r="E478" s="554" t="str">
        <f>IFERROR(VLOOKUP(D478,'INVONTERY FEB'!$B$6:$C$131,2,FALSE),"")</f>
        <v/>
      </c>
      <c r="F478" s="554" t="str">
        <f>IFERROR(VLOOKUP(D478,'INVONTERY FEB'!$B$6:$D$131,3,FALSE),"")</f>
        <v/>
      </c>
      <c r="G478" s="805"/>
      <c r="H478" s="805"/>
      <c r="I478" s="554">
        <f t="shared" si="3"/>
        <v>0</v>
      </c>
      <c r="J478" s="554">
        <f t="shared" si="2"/>
        <v>0</v>
      </c>
      <c r="K478" s="259"/>
      <c r="L478" s="102"/>
    </row>
    <row r="479" ht="15.75" customHeight="1">
      <c r="A479" s="805"/>
      <c r="B479" s="1088"/>
      <c r="C479" s="805"/>
      <c r="D479" s="554" t="str">
        <f>IFERROR(VLOOKUP(C479,'INVONTERY FEB'!$A$6:$B$131,2,FALSE),"")</f>
        <v/>
      </c>
      <c r="E479" s="554" t="str">
        <f>IFERROR(VLOOKUP(D479,'INVONTERY FEB'!$B$6:$C$131,2,FALSE),"")</f>
        <v/>
      </c>
      <c r="F479" s="554" t="str">
        <f>IFERROR(VLOOKUP(D479,'INVONTERY FEB'!$B$6:$D$131,3,FALSE),"")</f>
        <v/>
      </c>
      <c r="G479" s="805"/>
      <c r="H479" s="805"/>
      <c r="I479" s="554">
        <f t="shared" si="3"/>
        <v>0</v>
      </c>
      <c r="J479" s="554">
        <f t="shared" si="2"/>
        <v>0</v>
      </c>
      <c r="K479" s="259"/>
      <c r="L479" s="102"/>
    </row>
    <row r="480" ht="15.75" customHeight="1">
      <c r="A480" s="805"/>
      <c r="B480" s="1088"/>
      <c r="C480" s="805"/>
      <c r="D480" s="554" t="str">
        <f>IFERROR(VLOOKUP(C480,'INVONTERY FEB'!$A$6:$B$131,2,FALSE),"")</f>
        <v/>
      </c>
      <c r="E480" s="554" t="str">
        <f>IFERROR(VLOOKUP(D480,'INVONTERY FEB'!$B$6:$C$131,2,FALSE),"")</f>
        <v/>
      </c>
      <c r="F480" s="554" t="str">
        <f>IFERROR(VLOOKUP(D480,'INVONTERY FEB'!$B$6:$D$131,3,FALSE),"")</f>
        <v/>
      </c>
      <c r="G480" s="805"/>
      <c r="H480" s="805"/>
      <c r="I480" s="554">
        <f t="shared" si="3"/>
        <v>0</v>
      </c>
      <c r="J480" s="554">
        <f t="shared" si="2"/>
        <v>0</v>
      </c>
      <c r="K480" s="259"/>
      <c r="L480" s="102"/>
    </row>
    <row r="481" ht="15.75" customHeight="1">
      <c r="A481" s="805"/>
      <c r="B481" s="1088"/>
      <c r="C481" s="805"/>
      <c r="D481" s="554" t="str">
        <f>IFERROR(VLOOKUP(C481,'INVONTERY FEB'!$A$6:$B$131,2,FALSE),"")</f>
        <v/>
      </c>
      <c r="E481" s="554" t="str">
        <f>IFERROR(VLOOKUP(D481,'INVONTERY FEB'!$B$6:$C$131,2,FALSE),"")</f>
        <v/>
      </c>
      <c r="F481" s="554" t="str">
        <f>IFERROR(VLOOKUP(D481,'INVONTERY FEB'!$B$6:$D$131,3,FALSE),"")</f>
        <v/>
      </c>
      <c r="G481" s="805"/>
      <c r="H481" s="805"/>
      <c r="I481" s="554">
        <f t="shared" si="3"/>
        <v>0</v>
      </c>
      <c r="J481" s="554">
        <f t="shared" si="2"/>
        <v>0</v>
      </c>
      <c r="K481" s="259"/>
      <c r="L481" s="102"/>
    </row>
    <row r="482" ht="15.75" customHeight="1">
      <c r="A482" s="805"/>
      <c r="B482" s="1088"/>
      <c r="C482" s="805"/>
      <c r="D482" s="554" t="str">
        <f>IFERROR(VLOOKUP(C482,'INVONTERY FEB'!$A$6:$B$131,2,FALSE),"")</f>
        <v/>
      </c>
      <c r="E482" s="554" t="str">
        <f>IFERROR(VLOOKUP(D482,'INVONTERY FEB'!$B$6:$C$131,2,FALSE),"")</f>
        <v/>
      </c>
      <c r="F482" s="554" t="str">
        <f>IFERROR(VLOOKUP(D482,'INVONTERY FEB'!$B$6:$D$131,3,FALSE),"")</f>
        <v/>
      </c>
      <c r="G482" s="805"/>
      <c r="H482" s="805"/>
      <c r="I482" s="554">
        <f t="shared" si="3"/>
        <v>0</v>
      </c>
      <c r="J482" s="554">
        <f t="shared" si="2"/>
        <v>0</v>
      </c>
      <c r="K482" s="259"/>
      <c r="L482" s="102"/>
    </row>
    <row r="483" ht="15.75" customHeight="1">
      <c r="A483" s="805"/>
      <c r="B483" s="1088"/>
      <c r="C483" s="805"/>
      <c r="D483" s="554" t="str">
        <f>IFERROR(VLOOKUP(C483,'INVONTERY FEB'!$A$6:$B$131,2,FALSE),"")</f>
        <v/>
      </c>
      <c r="E483" s="554" t="str">
        <f>IFERROR(VLOOKUP(D483,'INVONTERY FEB'!$B$6:$C$131,2,FALSE),"")</f>
        <v/>
      </c>
      <c r="F483" s="554" t="str">
        <f>IFERROR(VLOOKUP(D483,'INVONTERY FEB'!$B$6:$D$131,3,FALSE),"")</f>
        <v/>
      </c>
      <c r="G483" s="805"/>
      <c r="H483" s="805"/>
      <c r="I483" s="554">
        <f t="shared" si="3"/>
        <v>0</v>
      </c>
      <c r="J483" s="554">
        <f t="shared" si="2"/>
        <v>0</v>
      </c>
      <c r="K483" s="259"/>
      <c r="L483" s="102"/>
    </row>
    <row r="484" ht="15.75" customHeight="1">
      <c r="A484" s="805"/>
      <c r="B484" s="1088"/>
      <c r="C484" s="805"/>
      <c r="D484" s="554" t="str">
        <f>IFERROR(VLOOKUP(C484,'INVONTERY FEB'!$A$6:$B$131,2,FALSE),"")</f>
        <v/>
      </c>
      <c r="E484" s="554" t="str">
        <f>IFERROR(VLOOKUP(D484,'INVONTERY FEB'!$B$6:$C$131,2,FALSE),"")</f>
        <v/>
      </c>
      <c r="F484" s="554" t="str">
        <f>IFERROR(VLOOKUP(D484,'INVONTERY FEB'!$B$6:$D$131,3,FALSE),"")</f>
        <v/>
      </c>
      <c r="G484" s="805"/>
      <c r="H484" s="805"/>
      <c r="I484" s="554">
        <f t="shared" si="3"/>
        <v>0</v>
      </c>
      <c r="J484" s="554">
        <f t="shared" si="2"/>
        <v>0</v>
      </c>
      <c r="K484" s="259"/>
      <c r="L484" s="102"/>
    </row>
    <row r="485" ht="15.75" customHeight="1">
      <c r="A485" s="805"/>
      <c r="B485" s="1088"/>
      <c r="C485" s="805"/>
      <c r="D485" s="554" t="str">
        <f>IFERROR(VLOOKUP(C485,'INVONTERY FEB'!$A$6:$B$131,2,FALSE),"")</f>
        <v/>
      </c>
      <c r="E485" s="554" t="str">
        <f>IFERROR(VLOOKUP(D485,'INVONTERY FEB'!$B$6:$C$131,2,FALSE),"")</f>
        <v/>
      </c>
      <c r="F485" s="554" t="str">
        <f>IFERROR(VLOOKUP(D485,'INVONTERY FEB'!$B$6:$D$131,3,FALSE),"")</f>
        <v/>
      </c>
      <c r="G485" s="805"/>
      <c r="H485" s="805"/>
      <c r="I485" s="554">
        <f t="shared" si="3"/>
        <v>0</v>
      </c>
      <c r="J485" s="554">
        <f t="shared" si="2"/>
        <v>0</v>
      </c>
      <c r="K485" s="259"/>
      <c r="L485" s="102"/>
    </row>
    <row r="486" ht="15.75" customHeight="1">
      <c r="A486" s="805"/>
      <c r="B486" s="1088"/>
      <c r="C486" s="805"/>
      <c r="D486" s="554" t="str">
        <f>IFERROR(VLOOKUP(C486,'INVONTERY FEB'!$A$6:$B$131,2,FALSE),"")</f>
        <v/>
      </c>
      <c r="E486" s="554" t="str">
        <f>IFERROR(VLOOKUP(D486,'INVONTERY FEB'!$B$6:$C$131,2,FALSE),"")</f>
        <v/>
      </c>
      <c r="F486" s="554" t="str">
        <f>IFERROR(VLOOKUP(D486,'INVONTERY FEB'!$B$6:$D$131,3,FALSE),"")</f>
        <v/>
      </c>
      <c r="G486" s="805"/>
      <c r="H486" s="805"/>
      <c r="I486" s="554">
        <f t="shared" si="3"/>
        <v>0</v>
      </c>
      <c r="J486" s="554">
        <f t="shared" si="2"/>
        <v>0</v>
      </c>
      <c r="K486" s="259"/>
      <c r="L486" s="102"/>
    </row>
    <row r="487" ht="15.75" customHeight="1">
      <c r="A487" s="805"/>
      <c r="B487" s="1088"/>
      <c r="C487" s="805"/>
      <c r="D487" s="554" t="str">
        <f>IFERROR(VLOOKUP(C487,'INVONTERY FEB'!$A$6:$B$131,2,FALSE),"")</f>
        <v/>
      </c>
      <c r="E487" s="554" t="str">
        <f>IFERROR(VLOOKUP(D487,'INVONTERY FEB'!$B$6:$C$131,2,FALSE),"")</f>
        <v/>
      </c>
      <c r="F487" s="554" t="str">
        <f>IFERROR(VLOOKUP(D487,'INVONTERY FEB'!$B$6:$D$131,3,FALSE),"")</f>
        <v/>
      </c>
      <c r="G487" s="805"/>
      <c r="H487" s="805"/>
      <c r="I487" s="554">
        <f t="shared" si="3"/>
        <v>0</v>
      </c>
      <c r="J487" s="554">
        <f t="shared" si="2"/>
        <v>0</v>
      </c>
      <c r="K487" s="259"/>
      <c r="L487" s="102"/>
    </row>
    <row r="488" ht="15.75" customHeight="1">
      <c r="A488" s="1096"/>
      <c r="B488" s="1097"/>
      <c r="C488" s="1097"/>
      <c r="D488" s="1097"/>
      <c r="E488" s="1098" t="s">
        <v>669</v>
      </c>
      <c r="F488" s="2"/>
      <c r="G488" s="2"/>
      <c r="H488" s="2"/>
      <c r="I488" s="1099">
        <f t="shared" ref="I488:K488" si="4">SUM(I6:I480)</f>
        <v>0</v>
      </c>
      <c r="J488" s="1100">
        <f t="shared" si="4"/>
        <v>0</v>
      </c>
      <c r="K488" s="1100">
        <f t="shared" si="4"/>
        <v>0</v>
      </c>
      <c r="L488" s="1101"/>
    </row>
    <row r="489" ht="15.75" customHeight="1">
      <c r="A489" s="1102" t="s">
        <v>670</v>
      </c>
      <c r="B489" s="2"/>
      <c r="C489" s="2"/>
      <c r="D489" s="2"/>
      <c r="E489" s="2"/>
      <c r="F489" s="2"/>
      <c r="G489" s="2"/>
      <c r="H489" s="727"/>
      <c r="I489" s="1103">
        <f>+I488-J488</f>
        <v>0</v>
      </c>
      <c r="J489" s="1104"/>
      <c r="K489" s="1104"/>
      <c r="L489" s="1105"/>
    </row>
    <row r="490" ht="15.75" customHeight="1"/>
    <row r="491" ht="15.75" customHeight="1"/>
    <row r="492" ht="15.75" customHeight="1"/>
    <row r="493" ht="15.75" customHeight="1">
      <c r="C493" s="102"/>
      <c r="D493" s="102"/>
      <c r="E493" s="102"/>
      <c r="F493" s="102"/>
      <c r="G493" s="102"/>
      <c r="H493" s="102"/>
      <c r="I493" s="805"/>
    </row>
    <row r="494" ht="15.75" customHeight="1">
      <c r="C494" s="102"/>
      <c r="D494" s="102"/>
      <c r="E494" s="102"/>
      <c r="F494" s="102"/>
      <c r="G494" s="102"/>
      <c r="H494" s="102"/>
      <c r="I494" s="805"/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L$492"/>
  <mergeCells count="4">
    <mergeCell ref="A1:L2"/>
    <mergeCell ref="A3:L4"/>
    <mergeCell ref="E488:H488"/>
    <mergeCell ref="A489:H489"/>
  </mergeCells>
  <dataValidations>
    <dataValidation type="list" allowBlank="1" showErrorMessage="1" sqref="C6:C7 C9:C23 C27:C41 C44:C487">
      <formula1>ID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43.29"/>
    <col customWidth="1" min="4" max="4" width="9.14"/>
    <col customWidth="1" min="5" max="5" width="9.29"/>
    <col customWidth="1" min="6" max="6" width="13.14"/>
    <col customWidth="1" min="7" max="8" width="9.14"/>
    <col customWidth="1" min="9" max="9" width="45.0"/>
    <col customWidth="1" min="10" max="14" width="9.14"/>
    <col customWidth="1" min="15" max="15" width="34.14"/>
    <col customWidth="1" min="16" max="16" width="9.14"/>
    <col customWidth="1" min="17" max="17" width="13.86"/>
    <col customWidth="1" min="18" max="18" width="11.43"/>
    <col customWidth="1" min="19" max="21" width="9.14"/>
    <col customWidth="1" min="22" max="22" width="18.71"/>
    <col customWidth="1" min="23" max="23" width="19.43"/>
    <col customWidth="1" min="24" max="26" width="9.14"/>
    <col customWidth="1" min="27" max="27" width="26.71"/>
    <col customWidth="1" min="28" max="30" width="9.14"/>
    <col customWidth="1" min="31" max="31" width="12.86"/>
  </cols>
  <sheetData>
    <row r="1">
      <c r="B1" s="1106" t="s">
        <v>671</v>
      </c>
      <c r="C1" s="2"/>
      <c r="D1" s="2"/>
      <c r="E1" s="2"/>
      <c r="F1" s="3"/>
      <c r="H1" s="1106" t="s">
        <v>672</v>
      </c>
      <c r="I1" s="2"/>
      <c r="J1" s="2"/>
      <c r="K1" s="2"/>
      <c r="L1" s="3"/>
      <c r="N1" s="664"/>
      <c r="O1" s="1107" t="s">
        <v>673</v>
      </c>
      <c r="P1" s="664"/>
      <c r="Q1" s="664"/>
      <c r="R1" s="664"/>
      <c r="S1" s="664"/>
      <c r="V1" s="664"/>
      <c r="W1" s="1107" t="s">
        <v>674</v>
      </c>
      <c r="X1" s="664"/>
    </row>
    <row r="2">
      <c r="B2" s="1108" t="s">
        <v>675</v>
      </c>
      <c r="C2" s="1109" t="s">
        <v>676</v>
      </c>
      <c r="D2" s="1110" t="s">
        <v>41</v>
      </c>
      <c r="E2" s="1109" t="s">
        <v>677</v>
      </c>
      <c r="F2" s="1111" t="s">
        <v>42</v>
      </c>
      <c r="H2" s="1108" t="s">
        <v>675</v>
      </c>
      <c r="I2" s="1109" t="s">
        <v>676</v>
      </c>
      <c r="J2" s="1110" t="s">
        <v>41</v>
      </c>
      <c r="K2" s="1109" t="s">
        <v>677</v>
      </c>
      <c r="L2" s="1111" t="s">
        <v>42</v>
      </c>
      <c r="N2" s="1112" t="s">
        <v>678</v>
      </c>
      <c r="O2" s="1112" t="s">
        <v>679</v>
      </c>
      <c r="P2" s="1112" t="s">
        <v>680</v>
      </c>
      <c r="Q2" s="1112" t="s">
        <v>681</v>
      </c>
      <c r="R2" s="1112" t="s">
        <v>682</v>
      </c>
      <c r="S2" s="1112" t="s">
        <v>683</v>
      </c>
      <c r="V2" s="664" t="s">
        <v>684</v>
      </c>
      <c r="W2" s="664" t="s">
        <v>674</v>
      </c>
      <c r="X2" s="664"/>
      <c r="AA2" s="628" t="s">
        <v>685</v>
      </c>
      <c r="AB2" s="2"/>
      <c r="AC2" s="2"/>
      <c r="AD2" s="2"/>
      <c r="AE2" s="3"/>
    </row>
    <row r="3">
      <c r="B3" s="1113">
        <v>1.0</v>
      </c>
      <c r="C3" s="1114" t="s">
        <v>177</v>
      </c>
      <c r="D3" s="1035" t="s">
        <v>210</v>
      </c>
      <c r="E3" s="1035" t="s">
        <v>686</v>
      </c>
      <c r="F3" s="1037">
        <f>2650*30</f>
        <v>79500</v>
      </c>
      <c r="H3" s="1113">
        <v>1.0</v>
      </c>
      <c r="I3" s="1114" t="s">
        <v>177</v>
      </c>
      <c r="J3" s="1035" t="s">
        <v>210</v>
      </c>
      <c r="K3" s="1115">
        <v>15.0</v>
      </c>
      <c r="L3" s="1116">
        <f>79500/2</f>
        <v>39750</v>
      </c>
      <c r="N3" s="664">
        <v>1.0</v>
      </c>
      <c r="O3" s="664" t="s">
        <v>67</v>
      </c>
      <c r="P3" s="664" t="s">
        <v>72</v>
      </c>
      <c r="Q3" s="665">
        <v>360.0</v>
      </c>
      <c r="R3" s="665">
        <v>5400.0</v>
      </c>
      <c r="S3" s="664"/>
      <c r="V3" s="664" t="s">
        <v>687</v>
      </c>
      <c r="W3" s="664" t="s">
        <v>688</v>
      </c>
      <c r="X3" s="664"/>
      <c r="AA3" s="1117" t="s">
        <v>689</v>
      </c>
      <c r="AB3" s="649" t="s">
        <v>41</v>
      </c>
      <c r="AC3" s="649" t="s">
        <v>690</v>
      </c>
      <c r="AD3" s="649" t="s">
        <v>691</v>
      </c>
      <c r="AE3" s="650" t="s">
        <v>692</v>
      </c>
    </row>
    <row r="4">
      <c r="B4" s="1118">
        <v>2.0</v>
      </c>
      <c r="C4" s="1119" t="s">
        <v>693</v>
      </c>
      <c r="D4" s="1047" t="s">
        <v>180</v>
      </c>
      <c r="E4" s="1047" t="s">
        <v>694</v>
      </c>
      <c r="F4" s="1045">
        <f>7600*3</f>
        <v>22800</v>
      </c>
      <c r="H4" s="1118">
        <v>2.0</v>
      </c>
      <c r="I4" s="1119" t="s">
        <v>693</v>
      </c>
      <c r="J4" s="1047" t="s">
        <v>180</v>
      </c>
      <c r="K4" s="1120">
        <v>3.0</v>
      </c>
      <c r="L4" s="1121">
        <f>7600*3</f>
        <v>22800</v>
      </c>
      <c r="N4" s="664">
        <v>2.0</v>
      </c>
      <c r="O4" s="664" t="s">
        <v>695</v>
      </c>
      <c r="P4" s="664" t="s">
        <v>180</v>
      </c>
      <c r="Q4" s="665" t="s">
        <v>696</v>
      </c>
      <c r="R4" s="665" t="s">
        <v>697</v>
      </c>
      <c r="S4" s="664"/>
      <c r="V4" s="664" t="s">
        <v>698</v>
      </c>
      <c r="W4" s="664" t="s">
        <v>699</v>
      </c>
      <c r="X4" s="664"/>
      <c r="AA4" s="1038" t="s">
        <v>700</v>
      </c>
      <c r="AB4" s="1035" t="s">
        <v>203</v>
      </c>
      <c r="AC4" s="1035">
        <v>1.0</v>
      </c>
      <c r="AD4" s="1035">
        <f t="shared" ref="AD4:AD33" si="1">+AE4/AC4</f>
        <v>7800</v>
      </c>
      <c r="AE4" s="1037">
        <v>7800.0</v>
      </c>
    </row>
    <row r="5">
      <c r="B5" s="1118">
        <v>3.0</v>
      </c>
      <c r="C5" s="1122" t="s">
        <v>67</v>
      </c>
      <c r="D5" s="1047" t="s">
        <v>72</v>
      </c>
      <c r="E5" s="1047" t="s">
        <v>701</v>
      </c>
      <c r="F5" s="1045">
        <v>144000.0</v>
      </c>
      <c r="H5" s="1118">
        <f t="shared" ref="H5:H11" si="2">1+H4</f>
        <v>3</v>
      </c>
      <c r="I5" s="1122" t="s">
        <v>67</v>
      </c>
      <c r="J5" s="1047" t="s">
        <v>72</v>
      </c>
      <c r="K5" s="1120">
        <v>5400.0</v>
      </c>
      <c r="L5" s="1121">
        <v>144000.0</v>
      </c>
      <c r="N5" s="664">
        <v>3.0</v>
      </c>
      <c r="O5" s="664" t="s">
        <v>702</v>
      </c>
      <c r="P5" s="664" t="s">
        <v>180</v>
      </c>
      <c r="Q5" s="665" t="s">
        <v>696</v>
      </c>
      <c r="R5" s="665" t="s">
        <v>697</v>
      </c>
      <c r="S5" s="664"/>
      <c r="V5" s="664" t="s">
        <v>703</v>
      </c>
      <c r="W5" s="664" t="s">
        <v>704</v>
      </c>
      <c r="X5" s="664"/>
      <c r="AA5" s="1046" t="s">
        <v>69</v>
      </c>
      <c r="AB5" s="1047" t="s">
        <v>178</v>
      </c>
      <c r="AC5" s="1047">
        <v>1.0</v>
      </c>
      <c r="AD5" s="1047">
        <f t="shared" si="1"/>
        <v>1250</v>
      </c>
      <c r="AE5" s="1045">
        <v>1250.0</v>
      </c>
    </row>
    <row r="6">
      <c r="B6" s="1118"/>
      <c r="C6" s="1122"/>
      <c r="D6" s="1047"/>
      <c r="E6" s="1047"/>
      <c r="F6" s="1045"/>
      <c r="H6" s="1118">
        <f t="shared" si="2"/>
        <v>4</v>
      </c>
      <c r="I6" s="1122" t="s">
        <v>149</v>
      </c>
      <c r="J6" s="1047" t="s">
        <v>705</v>
      </c>
      <c r="K6" s="1120">
        <v>2.0</v>
      </c>
      <c r="L6" s="666">
        <f>7600*2</f>
        <v>15200</v>
      </c>
      <c r="N6" s="664">
        <v>4.0</v>
      </c>
      <c r="O6" s="664" t="s">
        <v>703</v>
      </c>
      <c r="P6" s="664" t="s">
        <v>180</v>
      </c>
      <c r="Q6" s="665" t="s">
        <v>704</v>
      </c>
      <c r="R6" s="665" t="s">
        <v>706</v>
      </c>
      <c r="S6" s="664"/>
      <c r="V6" s="664" t="s">
        <v>707</v>
      </c>
      <c r="W6" s="664" t="s">
        <v>708</v>
      </c>
      <c r="X6" s="664"/>
      <c r="AA6" s="1046" t="s">
        <v>709</v>
      </c>
      <c r="AB6" s="1047" t="s">
        <v>710</v>
      </c>
      <c r="AC6" s="1047">
        <v>4.0</v>
      </c>
      <c r="AD6" s="1047">
        <f t="shared" si="1"/>
        <v>1100</v>
      </c>
      <c r="AE6" s="1045">
        <f>1100*4</f>
        <v>4400</v>
      </c>
    </row>
    <row r="7">
      <c r="B7" s="1118">
        <v>4.0</v>
      </c>
      <c r="C7" s="1122" t="s">
        <v>711</v>
      </c>
      <c r="D7" s="1047" t="s">
        <v>245</v>
      </c>
      <c r="E7" s="1047" t="s">
        <v>699</v>
      </c>
      <c r="F7" s="1045">
        <f>650*48</f>
        <v>31200</v>
      </c>
      <c r="H7" s="1118">
        <f t="shared" si="2"/>
        <v>5</v>
      </c>
      <c r="I7" s="1122" t="s">
        <v>711</v>
      </c>
      <c r="J7" s="1047" t="s">
        <v>245</v>
      </c>
      <c r="K7" s="1120">
        <v>48.0</v>
      </c>
      <c r="L7" s="1121">
        <f>650*48</f>
        <v>31200</v>
      </c>
      <c r="N7" s="664">
        <v>5.0</v>
      </c>
      <c r="O7" s="664" t="s">
        <v>707</v>
      </c>
      <c r="P7" s="664" t="s">
        <v>712</v>
      </c>
      <c r="Q7" s="665" t="s">
        <v>713</v>
      </c>
      <c r="R7" s="665" t="s">
        <v>714</v>
      </c>
      <c r="S7" s="664"/>
      <c r="V7" s="664" t="s">
        <v>702</v>
      </c>
      <c r="W7" s="664" t="s">
        <v>696</v>
      </c>
      <c r="X7" s="664"/>
      <c r="AA7" s="1046" t="s">
        <v>631</v>
      </c>
      <c r="AB7" s="1047" t="s">
        <v>172</v>
      </c>
      <c r="AC7" s="1047">
        <v>5.0</v>
      </c>
      <c r="AD7" s="1047">
        <f t="shared" si="1"/>
        <v>2700</v>
      </c>
      <c r="AE7" s="1045">
        <f>2700*AC7</f>
        <v>13500</v>
      </c>
    </row>
    <row r="8">
      <c r="B8" s="1118">
        <v>5.0</v>
      </c>
      <c r="C8" s="1122" t="s">
        <v>184</v>
      </c>
      <c r="D8" s="1047" t="s">
        <v>245</v>
      </c>
      <c r="E8" s="1047" t="s">
        <v>715</v>
      </c>
      <c r="F8" s="1045">
        <f>2560*10</f>
        <v>25600</v>
      </c>
      <c r="H8" s="1118">
        <f t="shared" si="2"/>
        <v>6</v>
      </c>
      <c r="I8" s="1122" t="s">
        <v>184</v>
      </c>
      <c r="J8" s="1047" t="s">
        <v>245</v>
      </c>
      <c r="K8" s="1120">
        <v>6.0</v>
      </c>
      <c r="L8" s="1121">
        <f>2560*6</f>
        <v>15360</v>
      </c>
      <c r="N8" s="664">
        <v>6.0</v>
      </c>
      <c r="O8" s="664" t="s">
        <v>716</v>
      </c>
      <c r="P8" s="664" t="s">
        <v>183</v>
      </c>
      <c r="Q8" s="665" t="s">
        <v>717</v>
      </c>
      <c r="R8" s="665" t="s">
        <v>718</v>
      </c>
      <c r="S8" s="664"/>
      <c r="V8" s="664" t="s">
        <v>695</v>
      </c>
      <c r="W8" s="664" t="s">
        <v>696</v>
      </c>
      <c r="X8" s="664"/>
      <c r="AA8" s="1046" t="s">
        <v>702</v>
      </c>
      <c r="AB8" s="1047" t="s">
        <v>172</v>
      </c>
      <c r="AC8" s="1047">
        <v>50.0</v>
      </c>
      <c r="AD8" s="1047">
        <f t="shared" si="1"/>
        <v>150</v>
      </c>
      <c r="AE8" s="1045">
        <v>7500.0</v>
      </c>
    </row>
    <row r="9">
      <c r="B9" s="1118">
        <v>6.0</v>
      </c>
      <c r="C9" s="1122" t="s">
        <v>191</v>
      </c>
      <c r="D9" s="1047" t="s">
        <v>183</v>
      </c>
      <c r="E9" s="1047" t="s">
        <v>718</v>
      </c>
      <c r="F9" s="1045">
        <f>2200*2</f>
        <v>4400</v>
      </c>
      <c r="H9" s="1118">
        <f t="shared" si="2"/>
        <v>7</v>
      </c>
      <c r="I9" s="1122" t="s">
        <v>191</v>
      </c>
      <c r="J9" s="1047" t="s">
        <v>183</v>
      </c>
      <c r="K9" s="1120">
        <v>2.0</v>
      </c>
      <c r="L9" s="1121">
        <f>2200*2</f>
        <v>4400</v>
      </c>
      <c r="N9" s="664">
        <v>7.0</v>
      </c>
      <c r="O9" s="664" t="s">
        <v>719</v>
      </c>
      <c r="P9" s="664" t="s">
        <v>172</v>
      </c>
      <c r="Q9" s="665">
        <f>1.5/15</f>
        <v>0.1</v>
      </c>
      <c r="R9" s="665" t="s">
        <v>720</v>
      </c>
      <c r="S9" s="664"/>
      <c r="V9" s="664" t="s">
        <v>721</v>
      </c>
      <c r="W9" s="664" t="s">
        <v>722</v>
      </c>
      <c r="X9" s="664"/>
      <c r="AA9" s="1046" t="s">
        <v>723</v>
      </c>
      <c r="AB9" s="1047" t="s">
        <v>178</v>
      </c>
      <c r="AC9" s="1047">
        <v>18.0</v>
      </c>
      <c r="AD9" s="1047">
        <f t="shared" si="1"/>
        <v>700</v>
      </c>
      <c r="AE9" s="1045">
        <f>700*AC9</f>
        <v>12600</v>
      </c>
    </row>
    <row r="10">
      <c r="B10" s="1118"/>
      <c r="C10" s="1122"/>
      <c r="D10" s="1047"/>
      <c r="E10" s="1047"/>
      <c r="F10" s="1045"/>
      <c r="H10" s="1118">
        <f t="shared" si="2"/>
        <v>8</v>
      </c>
      <c r="I10" s="1122" t="s">
        <v>724</v>
      </c>
      <c r="J10" s="1047" t="s">
        <v>705</v>
      </c>
      <c r="K10" s="1120">
        <v>1.0</v>
      </c>
      <c r="L10" s="1121">
        <v>63000.0</v>
      </c>
      <c r="N10" s="664">
        <v>8.0</v>
      </c>
      <c r="O10" s="664" t="s">
        <v>725</v>
      </c>
      <c r="P10" s="664" t="s">
        <v>72</v>
      </c>
      <c r="Q10" s="665">
        <f>800/1000</f>
        <v>0.8</v>
      </c>
      <c r="R10" s="665" t="s">
        <v>726</v>
      </c>
      <c r="S10" s="664"/>
      <c r="V10" s="664" t="s">
        <v>67</v>
      </c>
      <c r="W10" s="664" t="s">
        <v>727</v>
      </c>
      <c r="X10" s="664"/>
      <c r="AA10" s="1046" t="s">
        <v>728</v>
      </c>
      <c r="AB10" s="1047" t="s">
        <v>178</v>
      </c>
      <c r="AC10" s="1047">
        <v>24.0</v>
      </c>
      <c r="AD10" s="1047">
        <f t="shared" si="1"/>
        <v>440</v>
      </c>
      <c r="AE10" s="1045">
        <f>440*AC10</f>
        <v>10560</v>
      </c>
    </row>
    <row r="11" hidden="1">
      <c r="B11" s="1118">
        <v>7.0</v>
      </c>
      <c r="C11" s="1119" t="s">
        <v>729</v>
      </c>
      <c r="D11" s="1047" t="s">
        <v>230</v>
      </c>
      <c r="E11" s="1047" t="s">
        <v>730</v>
      </c>
      <c r="F11" s="1045">
        <f>7800*2</f>
        <v>15600</v>
      </c>
      <c r="H11" s="1118">
        <f t="shared" si="2"/>
        <v>9</v>
      </c>
      <c r="I11" s="1119"/>
      <c r="J11" s="1047"/>
      <c r="K11" s="1120"/>
      <c r="L11" s="1121"/>
      <c r="N11" s="664">
        <v>9.0</v>
      </c>
      <c r="O11" s="664"/>
      <c r="P11" s="664"/>
      <c r="Q11" s="665"/>
      <c r="R11" s="665"/>
      <c r="S11" s="664"/>
      <c r="V11" s="664"/>
      <c r="W11" s="664"/>
      <c r="X11" s="664"/>
      <c r="AA11" s="1046"/>
      <c r="AB11" s="1047"/>
      <c r="AC11" s="1047"/>
      <c r="AD11" s="1047" t="str">
        <f t="shared" si="1"/>
        <v>#DIV/0!</v>
      </c>
      <c r="AE11" s="1045"/>
    </row>
    <row r="12">
      <c r="B12" s="1118">
        <v>8.0</v>
      </c>
      <c r="C12" s="1119" t="s">
        <v>731</v>
      </c>
      <c r="D12" s="1047" t="s">
        <v>72</v>
      </c>
      <c r="E12" s="1047" t="s">
        <v>727</v>
      </c>
      <c r="F12" s="1045">
        <f>202*360</f>
        <v>72720</v>
      </c>
      <c r="H12" s="1118">
        <v>9.0</v>
      </c>
      <c r="I12" s="1119" t="s">
        <v>731</v>
      </c>
      <c r="J12" s="1047" t="s">
        <v>72</v>
      </c>
      <c r="K12" s="1120">
        <v>360.0</v>
      </c>
      <c r="L12" s="1121">
        <f>202*360</f>
        <v>72720</v>
      </c>
      <c r="N12" s="664">
        <v>10.0</v>
      </c>
      <c r="O12" s="664" t="s">
        <v>732</v>
      </c>
      <c r="P12" s="664" t="s">
        <v>72</v>
      </c>
      <c r="Q12" s="665">
        <f>800/1000</f>
        <v>0.8</v>
      </c>
      <c r="R12" s="665" t="s">
        <v>726</v>
      </c>
      <c r="S12" s="664"/>
      <c r="V12" s="664" t="s">
        <v>733</v>
      </c>
      <c r="W12" s="664" t="s">
        <v>734</v>
      </c>
      <c r="X12" s="664"/>
      <c r="AA12" s="1046" t="s">
        <v>698</v>
      </c>
      <c r="AB12" s="1047" t="s">
        <v>72</v>
      </c>
      <c r="AC12" s="1047">
        <v>240.0</v>
      </c>
      <c r="AD12" s="1047">
        <f t="shared" si="1"/>
        <v>197.9166667</v>
      </c>
      <c r="AE12" s="1045">
        <v>47500.0</v>
      </c>
    </row>
    <row r="13">
      <c r="B13" s="1118"/>
      <c r="C13" s="1119"/>
      <c r="D13" s="1047"/>
      <c r="E13" s="1047"/>
      <c r="F13" s="1045"/>
      <c r="H13" s="1118">
        <v>10.0</v>
      </c>
      <c r="I13" s="1119" t="s">
        <v>735</v>
      </c>
      <c r="J13" s="1047" t="s">
        <v>736</v>
      </c>
      <c r="K13" s="1120">
        <v>10.0</v>
      </c>
      <c r="L13" s="1121">
        <v>66000.0</v>
      </c>
      <c r="N13" s="664">
        <v>11.0</v>
      </c>
      <c r="O13" s="664" t="s">
        <v>737</v>
      </c>
      <c r="P13" s="664" t="s">
        <v>72</v>
      </c>
      <c r="Q13" s="665" t="s">
        <v>738</v>
      </c>
      <c r="R13" s="665" t="s">
        <v>739</v>
      </c>
      <c r="S13" s="664"/>
      <c r="V13" s="664" t="s">
        <v>740</v>
      </c>
      <c r="W13" s="664" t="s">
        <v>741</v>
      </c>
      <c r="X13" s="664"/>
      <c r="AA13" s="1046" t="s">
        <v>687</v>
      </c>
      <c r="AB13" s="1047" t="s">
        <v>72</v>
      </c>
      <c r="AC13" s="1047">
        <f>12*12</f>
        <v>144</v>
      </c>
      <c r="AD13" s="1047">
        <f t="shared" si="1"/>
        <v>550</v>
      </c>
      <c r="AE13" s="1045">
        <f>6600*12</f>
        <v>79200</v>
      </c>
    </row>
    <row r="14">
      <c r="B14" s="1118"/>
      <c r="C14" s="1119"/>
      <c r="D14" s="1047"/>
      <c r="E14" s="1047"/>
      <c r="F14" s="1045"/>
      <c r="H14" s="1118"/>
      <c r="I14" s="1119"/>
      <c r="J14" s="1047"/>
      <c r="K14" s="1120"/>
      <c r="L14" s="1121"/>
      <c r="N14" s="664"/>
      <c r="O14" s="664"/>
      <c r="P14" s="664"/>
      <c r="Q14" s="665"/>
      <c r="R14" s="665"/>
      <c r="S14" s="664"/>
      <c r="V14" s="664"/>
      <c r="W14" s="664"/>
      <c r="X14" s="664"/>
      <c r="AA14" s="1046" t="s">
        <v>742</v>
      </c>
      <c r="AB14" s="1047" t="s">
        <v>72</v>
      </c>
      <c r="AC14" s="1047">
        <v>24.0</v>
      </c>
      <c r="AD14" s="1047">
        <f t="shared" si="1"/>
        <v>640</v>
      </c>
      <c r="AE14" s="1045">
        <f>640*24</f>
        <v>15360</v>
      </c>
    </row>
    <row r="15">
      <c r="B15" s="1118">
        <v>9.0</v>
      </c>
      <c r="C15" s="1119" t="s">
        <v>205</v>
      </c>
      <c r="D15" s="1047" t="s">
        <v>245</v>
      </c>
      <c r="E15" s="1047" t="s">
        <v>743</v>
      </c>
      <c r="F15" s="1045">
        <v>16500.0</v>
      </c>
      <c r="H15" s="1118">
        <f>1+H13</f>
        <v>11</v>
      </c>
      <c r="I15" s="1119" t="s">
        <v>205</v>
      </c>
      <c r="J15" s="1047" t="s">
        <v>245</v>
      </c>
      <c r="K15" s="1120">
        <v>3.0</v>
      </c>
      <c r="L15" s="1121">
        <f>16500*3</f>
        <v>49500</v>
      </c>
      <c r="N15" s="664">
        <v>12.0</v>
      </c>
      <c r="O15" s="664" t="s">
        <v>698</v>
      </c>
      <c r="P15" s="664" t="s">
        <v>72</v>
      </c>
      <c r="Q15" s="665" t="s">
        <v>699</v>
      </c>
      <c r="R15" s="665" t="s">
        <v>744</v>
      </c>
      <c r="S15" s="664"/>
      <c r="V15" s="664"/>
      <c r="W15" s="664"/>
      <c r="X15" s="664"/>
      <c r="AA15" s="1046" t="s">
        <v>745</v>
      </c>
      <c r="AB15" s="1047" t="s">
        <v>183</v>
      </c>
      <c r="AC15" s="1047">
        <v>1.0</v>
      </c>
      <c r="AD15" s="1047">
        <f t="shared" si="1"/>
        <v>1940</v>
      </c>
      <c r="AE15" s="1045">
        <v>1940.0</v>
      </c>
    </row>
    <row r="16" hidden="1">
      <c r="B16" s="1118">
        <v>10.0</v>
      </c>
      <c r="C16" s="1119" t="s">
        <v>746</v>
      </c>
      <c r="D16" s="1047" t="s">
        <v>203</v>
      </c>
      <c r="E16" s="1047" t="s">
        <v>747</v>
      </c>
      <c r="F16" s="1045">
        <v>80000.0</v>
      </c>
      <c r="H16" s="1118">
        <f t="shared" ref="H16:H17" si="3">1+H15</f>
        <v>12</v>
      </c>
      <c r="I16" s="1119"/>
      <c r="J16" s="1047"/>
      <c r="K16" s="1120"/>
      <c r="L16" s="1121"/>
      <c r="N16" s="664">
        <v>13.0</v>
      </c>
      <c r="O16" s="664"/>
      <c r="P16" s="664"/>
      <c r="Q16" s="665"/>
      <c r="R16" s="665"/>
      <c r="S16" s="664"/>
      <c r="V16" s="664"/>
      <c r="W16" s="664"/>
      <c r="X16" s="664"/>
      <c r="AA16" s="1046"/>
      <c r="AB16" s="1047"/>
      <c r="AC16" s="1047"/>
      <c r="AD16" s="1047" t="str">
        <f t="shared" si="1"/>
        <v>#DIV/0!</v>
      </c>
      <c r="AE16" s="1045"/>
    </row>
    <row r="17" hidden="1">
      <c r="B17" s="1118">
        <v>11.0</v>
      </c>
      <c r="C17" s="1119" t="s">
        <v>748</v>
      </c>
      <c r="D17" s="1047" t="s">
        <v>172</v>
      </c>
      <c r="E17" s="1047" t="s">
        <v>749</v>
      </c>
      <c r="F17" s="1045">
        <v>4400.0</v>
      </c>
      <c r="H17" s="1118">
        <f t="shared" si="3"/>
        <v>13</v>
      </c>
      <c r="I17" s="1119"/>
      <c r="J17" s="1047"/>
      <c r="K17" s="1120"/>
      <c r="L17" s="1121"/>
      <c r="N17" s="664">
        <v>14.0</v>
      </c>
      <c r="O17" s="664"/>
      <c r="P17" s="664"/>
      <c r="Q17" s="665"/>
      <c r="R17" s="665"/>
      <c r="S17" s="664"/>
      <c r="V17" s="664"/>
      <c r="W17" s="664"/>
      <c r="X17" s="664"/>
      <c r="AA17" s="1046"/>
      <c r="AB17" s="1047"/>
      <c r="AC17" s="1047"/>
      <c r="AD17" s="1047" t="str">
        <f t="shared" si="1"/>
        <v>#DIV/0!</v>
      </c>
      <c r="AE17" s="1045"/>
    </row>
    <row r="18">
      <c r="B18" s="1118">
        <v>12.0</v>
      </c>
      <c r="C18" s="1119" t="s">
        <v>750</v>
      </c>
      <c r="D18" s="1047" t="s">
        <v>245</v>
      </c>
      <c r="E18" s="1047" t="s">
        <v>751</v>
      </c>
      <c r="F18" s="1045">
        <v>16000.0</v>
      </c>
      <c r="H18" s="1118">
        <v>12.0</v>
      </c>
      <c r="I18" s="1119" t="s">
        <v>750</v>
      </c>
      <c r="J18" s="1047" t="s">
        <v>245</v>
      </c>
      <c r="K18" s="1120">
        <v>3.0</v>
      </c>
      <c r="L18" s="1121">
        <v>24000.0</v>
      </c>
      <c r="N18" s="664">
        <v>15.0</v>
      </c>
      <c r="O18" s="664" t="s">
        <v>740</v>
      </c>
      <c r="P18" s="664" t="s">
        <v>190</v>
      </c>
      <c r="Q18" s="665" t="s">
        <v>752</v>
      </c>
      <c r="R18" s="665" t="s">
        <v>753</v>
      </c>
      <c r="S18" s="664"/>
      <c r="V18" s="664"/>
      <c r="W18" s="664"/>
      <c r="X18" s="664"/>
      <c r="AA18" s="1046" t="s">
        <v>707</v>
      </c>
      <c r="AB18" s="1047" t="s">
        <v>245</v>
      </c>
      <c r="AC18" s="1047">
        <v>10.0</v>
      </c>
      <c r="AD18" s="1047">
        <f t="shared" si="1"/>
        <v>2644.8</v>
      </c>
      <c r="AE18" s="1045">
        <v>26448.0</v>
      </c>
    </row>
    <row r="19">
      <c r="B19" s="1118">
        <v>13.0</v>
      </c>
      <c r="C19" s="1119" t="s">
        <v>754</v>
      </c>
      <c r="D19" s="1047" t="s">
        <v>245</v>
      </c>
      <c r="E19" s="1047" t="s">
        <v>743</v>
      </c>
      <c r="F19" s="1045">
        <v>10800.0</v>
      </c>
      <c r="H19" s="1118">
        <f t="shared" ref="H19:H22" si="4">1+H18</f>
        <v>13</v>
      </c>
      <c r="I19" s="1119" t="s">
        <v>754</v>
      </c>
      <c r="J19" s="1047" t="s">
        <v>245</v>
      </c>
      <c r="K19" s="1120">
        <v>2.0</v>
      </c>
      <c r="L19" s="1121">
        <f>10800*2</f>
        <v>21600</v>
      </c>
      <c r="N19" s="664">
        <v>16.0</v>
      </c>
      <c r="O19" s="664" t="s">
        <v>733</v>
      </c>
      <c r="P19" s="664" t="s">
        <v>190</v>
      </c>
      <c r="Q19" s="665" t="s">
        <v>755</v>
      </c>
      <c r="R19" s="665" t="s">
        <v>756</v>
      </c>
      <c r="S19" s="664"/>
      <c r="V19" s="664"/>
      <c r="W19" s="1107" t="s">
        <v>757</v>
      </c>
      <c r="X19" s="664"/>
      <c r="AA19" s="1046" t="s">
        <v>758</v>
      </c>
      <c r="AB19" s="1047" t="s">
        <v>180</v>
      </c>
      <c r="AC19" s="1047">
        <v>3.0</v>
      </c>
      <c r="AD19" s="1047">
        <f t="shared" si="1"/>
        <v>7600</v>
      </c>
      <c r="AE19" s="1045">
        <f>7600*AC19</f>
        <v>22800</v>
      </c>
    </row>
    <row r="20">
      <c r="B20" s="1118">
        <v>14.0</v>
      </c>
      <c r="C20" s="1119" t="s">
        <v>759</v>
      </c>
      <c r="D20" s="1047" t="s">
        <v>245</v>
      </c>
      <c r="E20" s="1047" t="s">
        <v>760</v>
      </c>
      <c r="F20" s="1045">
        <f>470*20</f>
        <v>9400</v>
      </c>
      <c r="H20" s="1118">
        <f t="shared" si="4"/>
        <v>14</v>
      </c>
      <c r="I20" s="1119" t="s">
        <v>759</v>
      </c>
      <c r="J20" s="1047" t="s">
        <v>245</v>
      </c>
      <c r="K20" s="1120">
        <v>10.0</v>
      </c>
      <c r="L20" s="1121">
        <f>9400/2</f>
        <v>4700</v>
      </c>
      <c r="N20" s="664">
        <v>17.0</v>
      </c>
      <c r="O20" s="664" t="s">
        <v>115</v>
      </c>
      <c r="P20" s="664" t="s">
        <v>190</v>
      </c>
      <c r="Q20" s="665" t="s">
        <v>755</v>
      </c>
      <c r="R20" s="665" t="s">
        <v>761</v>
      </c>
      <c r="S20" s="664"/>
      <c r="V20" s="664" t="s">
        <v>762</v>
      </c>
      <c r="W20" s="664" t="s">
        <v>763</v>
      </c>
      <c r="X20" s="664" t="s">
        <v>764</v>
      </c>
      <c r="AA20" s="1046" t="s">
        <v>765</v>
      </c>
      <c r="AB20" s="1047" t="s">
        <v>710</v>
      </c>
      <c r="AC20" s="1047">
        <v>2.0</v>
      </c>
      <c r="AD20" s="1047">
        <f t="shared" si="1"/>
        <v>1350</v>
      </c>
      <c r="AE20" s="1045">
        <v>2700.0</v>
      </c>
    </row>
    <row r="21" ht="15.75" customHeight="1">
      <c r="B21" s="1118"/>
      <c r="C21" s="1119"/>
      <c r="D21" s="1047"/>
      <c r="E21" s="1047"/>
      <c r="F21" s="1045"/>
      <c r="H21" s="1118">
        <f t="shared" si="4"/>
        <v>15</v>
      </c>
      <c r="I21" s="1119" t="s">
        <v>766</v>
      </c>
      <c r="J21" s="1047" t="s">
        <v>245</v>
      </c>
      <c r="K21" s="1120">
        <v>1.0</v>
      </c>
      <c r="L21" s="1121">
        <v>4200.0</v>
      </c>
      <c r="N21" s="664">
        <v>18.0</v>
      </c>
      <c r="O21" s="664" t="s">
        <v>767</v>
      </c>
      <c r="P21" s="664" t="s">
        <v>245</v>
      </c>
      <c r="Q21" s="665">
        <f>36/15</f>
        <v>2.4</v>
      </c>
      <c r="R21" s="665" t="s">
        <v>743</v>
      </c>
      <c r="S21" s="664"/>
      <c r="V21" s="664" t="s">
        <v>645</v>
      </c>
      <c r="W21" s="664">
        <v>2.0</v>
      </c>
      <c r="X21" s="664" t="s">
        <v>768</v>
      </c>
      <c r="AA21" s="1046" t="s">
        <v>769</v>
      </c>
      <c r="AB21" s="1047" t="s">
        <v>710</v>
      </c>
      <c r="AC21" s="1047">
        <v>2.0</v>
      </c>
      <c r="AD21" s="1047">
        <f t="shared" si="1"/>
        <v>970</v>
      </c>
      <c r="AE21" s="1045">
        <v>1940.0</v>
      </c>
    </row>
    <row r="22" ht="15.75" hidden="1" customHeight="1">
      <c r="B22" s="1118">
        <v>15.0</v>
      </c>
      <c r="C22" s="1119" t="s">
        <v>770</v>
      </c>
      <c r="D22" s="1047" t="s">
        <v>183</v>
      </c>
      <c r="E22" s="1047" t="s">
        <v>771</v>
      </c>
      <c r="F22" s="1045">
        <f>2200*6</f>
        <v>13200</v>
      </c>
      <c r="H22" s="1118">
        <f t="shared" si="4"/>
        <v>16</v>
      </c>
      <c r="I22" s="1119"/>
      <c r="J22" s="1047"/>
      <c r="K22" s="1120"/>
      <c r="L22" s="1121"/>
      <c r="N22" s="664">
        <v>19.0</v>
      </c>
      <c r="O22" s="664"/>
      <c r="P22" s="664"/>
      <c r="Q22" s="665"/>
      <c r="R22" s="665"/>
      <c r="S22" s="664"/>
      <c r="V22" s="664"/>
      <c r="W22" s="664"/>
      <c r="X22" s="664"/>
      <c r="AA22" s="1046"/>
      <c r="AB22" s="1047"/>
      <c r="AC22" s="1047"/>
      <c r="AD22" s="1047" t="str">
        <f t="shared" si="1"/>
        <v>#DIV/0!</v>
      </c>
      <c r="AE22" s="1045"/>
    </row>
    <row r="23" ht="15.75" customHeight="1">
      <c r="B23" s="1118">
        <v>16.0</v>
      </c>
      <c r="C23" s="1119" t="s">
        <v>231</v>
      </c>
      <c r="D23" s="1047" t="s">
        <v>172</v>
      </c>
      <c r="E23" s="1047" t="s">
        <v>772</v>
      </c>
      <c r="F23" s="1045">
        <f>2800*5</f>
        <v>14000</v>
      </c>
      <c r="H23" s="1118">
        <v>16.0</v>
      </c>
      <c r="I23" s="1119" t="s">
        <v>231</v>
      </c>
      <c r="J23" s="1047" t="s">
        <v>172</v>
      </c>
      <c r="K23" s="1120">
        <v>10.0</v>
      </c>
      <c r="L23" s="1121">
        <f>2800*10</f>
        <v>28000</v>
      </c>
      <c r="N23" s="664">
        <v>20.0</v>
      </c>
      <c r="O23" s="664" t="s">
        <v>84</v>
      </c>
      <c r="P23" s="664" t="s">
        <v>245</v>
      </c>
      <c r="Q23" s="665">
        <f>20/15</f>
        <v>1.333333333</v>
      </c>
      <c r="R23" s="665" t="s">
        <v>747</v>
      </c>
      <c r="S23" s="664"/>
      <c r="V23" s="664" t="s">
        <v>773</v>
      </c>
      <c r="W23" s="664">
        <v>1.0</v>
      </c>
      <c r="X23" s="664" t="s">
        <v>774</v>
      </c>
      <c r="AA23" s="1046" t="s">
        <v>775</v>
      </c>
      <c r="AB23" s="1047" t="s">
        <v>710</v>
      </c>
      <c r="AC23" s="1047">
        <v>2.0</v>
      </c>
      <c r="AD23" s="1047">
        <f t="shared" si="1"/>
        <v>970</v>
      </c>
      <c r="AE23" s="1045">
        <v>1940.0</v>
      </c>
    </row>
    <row r="24" ht="15.75" hidden="1" customHeight="1">
      <c r="B24" s="1118">
        <v>17.0</v>
      </c>
      <c r="C24" s="1119" t="s">
        <v>232</v>
      </c>
      <c r="D24" s="1047" t="s">
        <v>172</v>
      </c>
      <c r="E24" s="1047" t="s">
        <v>776</v>
      </c>
      <c r="F24" s="1045">
        <f>3300*2</f>
        <v>6600</v>
      </c>
      <c r="H24" s="1118">
        <f t="shared" ref="H24:H28" si="5">1+H23</f>
        <v>17</v>
      </c>
      <c r="I24" s="1119"/>
      <c r="J24" s="1047"/>
      <c r="K24" s="1120"/>
      <c r="L24" s="1121"/>
      <c r="N24" s="664">
        <v>21.0</v>
      </c>
      <c r="O24" s="664"/>
      <c r="P24" s="664"/>
      <c r="Q24" s="665"/>
      <c r="R24" s="665"/>
      <c r="S24" s="664"/>
      <c r="V24" s="664"/>
      <c r="W24" s="664"/>
      <c r="X24" s="664"/>
      <c r="AA24" s="1046"/>
      <c r="AB24" s="1047"/>
      <c r="AC24" s="1047"/>
      <c r="AD24" s="1047" t="str">
        <f t="shared" si="1"/>
        <v>#DIV/0!</v>
      </c>
      <c r="AE24" s="1045"/>
    </row>
    <row r="25" ht="15.75" hidden="1" customHeight="1">
      <c r="B25" s="1118">
        <v>18.0</v>
      </c>
      <c r="C25" s="1119" t="s">
        <v>777</v>
      </c>
      <c r="D25" s="1047" t="s">
        <v>172</v>
      </c>
      <c r="E25" s="1047" t="s">
        <v>776</v>
      </c>
      <c r="F25" s="1045">
        <f>6600*2</f>
        <v>13200</v>
      </c>
      <c r="H25" s="1118">
        <f t="shared" si="5"/>
        <v>18</v>
      </c>
      <c r="I25" s="1119"/>
      <c r="J25" s="1047"/>
      <c r="K25" s="1120"/>
      <c r="L25" s="1121"/>
      <c r="N25" s="664">
        <v>22.0</v>
      </c>
      <c r="O25" s="664"/>
      <c r="P25" s="664"/>
      <c r="Q25" s="665"/>
      <c r="R25" s="665"/>
      <c r="S25" s="664"/>
      <c r="V25" s="664"/>
      <c r="W25" s="664"/>
      <c r="X25" s="664"/>
      <c r="AA25" s="1046"/>
      <c r="AB25" s="1047"/>
      <c r="AC25" s="1047"/>
      <c r="AD25" s="1047" t="str">
        <f t="shared" si="1"/>
        <v>#DIV/0!</v>
      </c>
      <c r="AE25" s="1045"/>
    </row>
    <row r="26" ht="15.75" hidden="1" customHeight="1">
      <c r="B26" s="1118">
        <v>19.0</v>
      </c>
      <c r="C26" s="1119" t="s">
        <v>778</v>
      </c>
      <c r="D26" s="1047" t="s">
        <v>72</v>
      </c>
      <c r="E26" s="1047" t="s">
        <v>779</v>
      </c>
      <c r="F26" s="1045">
        <v>300.0</v>
      </c>
      <c r="H26" s="1118">
        <f t="shared" si="5"/>
        <v>19</v>
      </c>
      <c r="I26" s="1119"/>
      <c r="J26" s="1047"/>
      <c r="K26" s="1120"/>
      <c r="L26" s="1121"/>
      <c r="N26" s="664">
        <v>23.0</v>
      </c>
      <c r="O26" s="664"/>
      <c r="P26" s="664"/>
      <c r="Q26" s="665"/>
      <c r="R26" s="665"/>
      <c r="S26" s="664"/>
      <c r="V26" s="664"/>
      <c r="W26" s="664"/>
      <c r="X26" s="664"/>
      <c r="AA26" s="1046"/>
      <c r="AB26" s="1047"/>
      <c r="AC26" s="1047"/>
      <c r="AD26" s="1047" t="str">
        <f t="shared" si="1"/>
        <v>#DIV/0!</v>
      </c>
      <c r="AE26" s="1045"/>
    </row>
    <row r="27" ht="15.75" hidden="1" customHeight="1">
      <c r="B27" s="1118">
        <v>20.0</v>
      </c>
      <c r="C27" s="1119" t="s">
        <v>780</v>
      </c>
      <c r="D27" s="1047" t="s">
        <v>72</v>
      </c>
      <c r="E27" s="1047" t="s">
        <v>779</v>
      </c>
      <c r="F27" s="1045">
        <v>350.0</v>
      </c>
      <c r="H27" s="1118">
        <f t="shared" si="5"/>
        <v>20</v>
      </c>
      <c r="I27" s="1119"/>
      <c r="J27" s="1047"/>
      <c r="K27" s="1120"/>
      <c r="L27" s="1121"/>
      <c r="N27" s="664">
        <v>24.0</v>
      </c>
      <c r="O27" s="664"/>
      <c r="P27" s="664"/>
      <c r="Q27" s="665"/>
      <c r="R27" s="665"/>
      <c r="S27" s="664"/>
      <c r="V27" s="664"/>
      <c r="W27" s="664"/>
      <c r="X27" s="664"/>
      <c r="AA27" s="1046"/>
      <c r="AB27" s="1047"/>
      <c r="AC27" s="1047"/>
      <c r="AD27" s="1047" t="str">
        <f t="shared" si="1"/>
        <v>#DIV/0!</v>
      </c>
      <c r="AE27" s="1045"/>
    </row>
    <row r="28" ht="15.75" hidden="1" customHeight="1">
      <c r="B28" s="1118">
        <v>21.0</v>
      </c>
      <c r="C28" s="1119" t="s">
        <v>781</v>
      </c>
      <c r="D28" s="1047" t="s">
        <v>172</v>
      </c>
      <c r="E28" s="1047" t="s">
        <v>772</v>
      </c>
      <c r="F28" s="1045">
        <v>4000.0</v>
      </c>
      <c r="H28" s="1118">
        <f t="shared" si="5"/>
        <v>21</v>
      </c>
      <c r="I28" s="1119"/>
      <c r="J28" s="1047"/>
      <c r="K28" s="1120"/>
      <c r="L28" s="1121"/>
      <c r="N28" s="664">
        <v>25.0</v>
      </c>
      <c r="O28" s="664"/>
      <c r="P28" s="664"/>
      <c r="Q28" s="665"/>
      <c r="R28" s="665"/>
      <c r="S28" s="664"/>
      <c r="V28" s="664"/>
      <c r="W28" s="664"/>
      <c r="X28" s="664"/>
      <c r="AA28" s="1046"/>
      <c r="AB28" s="1047"/>
      <c r="AC28" s="1047"/>
      <c r="AD28" s="1047" t="str">
        <f t="shared" si="1"/>
        <v>#DIV/0!</v>
      </c>
      <c r="AE28" s="1045"/>
    </row>
    <row r="29" ht="15.75" customHeight="1">
      <c r="B29" s="1118">
        <v>22.0</v>
      </c>
      <c r="C29" s="1119" t="s">
        <v>721</v>
      </c>
      <c r="D29" s="1047" t="s">
        <v>187</v>
      </c>
      <c r="E29" s="1047">
        <f>12*4</f>
        <v>48</v>
      </c>
      <c r="F29" s="1045">
        <f>1570*48</f>
        <v>75360</v>
      </c>
      <c r="H29" s="1118">
        <v>17.0</v>
      </c>
      <c r="I29" s="1119" t="s">
        <v>721</v>
      </c>
      <c r="J29" s="1047" t="s">
        <v>187</v>
      </c>
      <c r="K29" s="1120">
        <v>36.0</v>
      </c>
      <c r="L29" s="666">
        <f>1570*36</f>
        <v>56520</v>
      </c>
      <c r="N29" s="664">
        <v>26.0</v>
      </c>
      <c r="O29" s="664" t="s">
        <v>687</v>
      </c>
      <c r="P29" s="664" t="s">
        <v>72</v>
      </c>
      <c r="Q29" s="665" t="s">
        <v>782</v>
      </c>
      <c r="R29" s="665" t="s">
        <v>783</v>
      </c>
      <c r="S29" s="664"/>
      <c r="V29" s="664" t="s">
        <v>636</v>
      </c>
      <c r="W29" s="664">
        <v>1.0</v>
      </c>
      <c r="X29" s="664" t="s">
        <v>784</v>
      </c>
      <c r="AA29" s="1046" t="s">
        <v>785</v>
      </c>
      <c r="AB29" s="1047" t="s">
        <v>245</v>
      </c>
      <c r="AC29" s="1047">
        <v>2.0</v>
      </c>
      <c r="AD29" s="1047">
        <f t="shared" si="1"/>
        <v>12000</v>
      </c>
      <c r="AE29" s="1045">
        <v>24000.0</v>
      </c>
    </row>
    <row r="30" ht="15.75" customHeight="1">
      <c r="B30" s="1118">
        <v>23.0</v>
      </c>
      <c r="C30" s="1119" t="s">
        <v>786</v>
      </c>
      <c r="D30" s="1047" t="s">
        <v>172</v>
      </c>
      <c r="E30" s="1047" t="s">
        <v>772</v>
      </c>
      <c r="F30" s="1045">
        <f>450*5</f>
        <v>2250</v>
      </c>
      <c r="H30" s="1118">
        <f t="shared" ref="H30:H34" si="6">1+H29</f>
        <v>18</v>
      </c>
      <c r="I30" s="1119" t="s">
        <v>786</v>
      </c>
      <c r="J30" s="1047" t="s">
        <v>172</v>
      </c>
      <c r="K30" s="1120">
        <v>20.0</v>
      </c>
      <c r="L30" s="1121">
        <v>9000.0</v>
      </c>
      <c r="N30" s="664">
        <v>27.0</v>
      </c>
      <c r="O30" s="664" t="s">
        <v>787</v>
      </c>
      <c r="P30" s="664" t="s">
        <v>72</v>
      </c>
      <c r="Q30" s="665">
        <f>2000/15</f>
        <v>133.3333333</v>
      </c>
      <c r="R30" s="665" t="s">
        <v>788</v>
      </c>
      <c r="S30" s="664"/>
      <c r="V30" s="664" t="s">
        <v>657</v>
      </c>
      <c r="W30" s="664">
        <v>0.0</v>
      </c>
      <c r="X30" s="664">
        <v>0.0</v>
      </c>
      <c r="AA30" s="1046" t="s">
        <v>789</v>
      </c>
      <c r="AB30" s="1047" t="s">
        <v>290</v>
      </c>
      <c r="AC30" s="1047">
        <v>1.0</v>
      </c>
      <c r="AD30" s="1047">
        <f t="shared" si="1"/>
        <v>4000</v>
      </c>
      <c r="AE30" s="1045">
        <v>4000.0</v>
      </c>
    </row>
    <row r="31" ht="15.75" customHeight="1">
      <c r="B31" s="1118">
        <v>24.0</v>
      </c>
      <c r="C31" s="1119" t="s">
        <v>246</v>
      </c>
      <c r="D31" s="1047" t="s">
        <v>203</v>
      </c>
      <c r="E31" s="1047">
        <v>1.0</v>
      </c>
      <c r="F31" s="1045">
        <v>1500.0</v>
      </c>
      <c r="H31" s="1118">
        <f t="shared" si="6"/>
        <v>19</v>
      </c>
      <c r="I31" s="1119" t="s">
        <v>246</v>
      </c>
      <c r="J31" s="1047" t="s">
        <v>203</v>
      </c>
      <c r="K31" s="1120">
        <v>1.0</v>
      </c>
      <c r="L31" s="1121">
        <v>1500.0</v>
      </c>
      <c r="N31" s="664">
        <v>28.0</v>
      </c>
      <c r="O31" s="664" t="s">
        <v>790</v>
      </c>
      <c r="P31" s="664" t="s">
        <v>172</v>
      </c>
      <c r="Q31" s="665">
        <f>8000/15</f>
        <v>533.3333333</v>
      </c>
      <c r="R31" s="665" t="s">
        <v>791</v>
      </c>
      <c r="S31" s="664"/>
      <c r="V31" s="664"/>
      <c r="W31" s="664"/>
      <c r="X31" s="664"/>
      <c r="AA31" s="1046" t="s">
        <v>115</v>
      </c>
      <c r="AB31" s="1047" t="s">
        <v>190</v>
      </c>
      <c r="AC31" s="1047">
        <v>15.0</v>
      </c>
      <c r="AD31" s="1047">
        <f t="shared" si="1"/>
        <v>100</v>
      </c>
      <c r="AE31" s="1045">
        <f>15*100</f>
        <v>1500</v>
      </c>
    </row>
    <row r="32" ht="15.75" customHeight="1">
      <c r="B32" s="1118">
        <v>25.0</v>
      </c>
      <c r="C32" s="1119" t="s">
        <v>792</v>
      </c>
      <c r="D32" s="1047" t="s">
        <v>72</v>
      </c>
      <c r="E32" s="1047" t="s">
        <v>738</v>
      </c>
      <c r="F32" s="1045">
        <f>1230*6</f>
        <v>7380</v>
      </c>
      <c r="H32" s="1118">
        <f t="shared" si="6"/>
        <v>20</v>
      </c>
      <c r="I32" s="1119" t="s">
        <v>793</v>
      </c>
      <c r="J32" s="1047" t="s">
        <v>72</v>
      </c>
      <c r="K32" s="1120">
        <v>1.0</v>
      </c>
      <c r="L32" s="1121">
        <v>650.0</v>
      </c>
      <c r="N32" s="664">
        <v>29.0</v>
      </c>
      <c r="O32" s="664" t="s">
        <v>794</v>
      </c>
      <c r="P32" s="664" t="s">
        <v>172</v>
      </c>
      <c r="Q32" s="665">
        <f>1000/15</f>
        <v>66.66666667</v>
      </c>
      <c r="R32" s="665" t="s">
        <v>795</v>
      </c>
      <c r="S32" s="664"/>
      <c r="V32" s="664"/>
      <c r="W32" s="664"/>
      <c r="X32" s="664"/>
      <c r="AA32" s="1046" t="s">
        <v>102</v>
      </c>
      <c r="AB32" s="1047" t="s">
        <v>172</v>
      </c>
      <c r="AC32" s="1047">
        <v>10.0</v>
      </c>
      <c r="AD32" s="1047">
        <f t="shared" si="1"/>
        <v>400</v>
      </c>
      <c r="AE32" s="1045">
        <f>10*400</f>
        <v>4000</v>
      </c>
    </row>
    <row r="33" ht="15.75" customHeight="1">
      <c r="B33" s="1118"/>
      <c r="C33" s="1119"/>
      <c r="D33" s="1047"/>
      <c r="E33" s="1047"/>
      <c r="F33" s="1045"/>
      <c r="H33" s="1118">
        <f t="shared" si="6"/>
        <v>21</v>
      </c>
      <c r="I33" s="1119" t="s">
        <v>796</v>
      </c>
      <c r="J33" s="1047" t="s">
        <v>72</v>
      </c>
      <c r="K33" s="1120">
        <v>1.0</v>
      </c>
      <c r="L33" s="1121">
        <v>650.0</v>
      </c>
      <c r="N33" s="664">
        <v>30.0</v>
      </c>
      <c r="O33" s="664" t="s">
        <v>797</v>
      </c>
      <c r="P33" s="664" t="s">
        <v>172</v>
      </c>
      <c r="Q33" s="665">
        <f>2500/15</f>
        <v>166.6666667</v>
      </c>
      <c r="R33" s="665" t="s">
        <v>798</v>
      </c>
      <c r="S33" s="664"/>
      <c r="V33" s="664"/>
      <c r="W33" s="664"/>
      <c r="X33" s="664"/>
      <c r="AA33" s="1046" t="s">
        <v>799</v>
      </c>
      <c r="AB33" s="1047" t="s">
        <v>172</v>
      </c>
      <c r="AC33" s="1047">
        <v>2.0</v>
      </c>
      <c r="AD33" s="1047">
        <f t="shared" si="1"/>
        <v>650</v>
      </c>
      <c r="AE33" s="1045">
        <f>650+650</f>
        <v>1300</v>
      </c>
    </row>
    <row r="34" ht="15.75" hidden="1" customHeight="1">
      <c r="B34" s="1118">
        <v>26.0</v>
      </c>
      <c r="C34" s="1119" t="s">
        <v>266</v>
      </c>
      <c r="D34" s="1047" t="s">
        <v>187</v>
      </c>
      <c r="E34" s="1047" t="s">
        <v>800</v>
      </c>
      <c r="F34" s="1045">
        <f>1200*3</f>
        <v>3600</v>
      </c>
      <c r="H34" s="1118">
        <f t="shared" si="6"/>
        <v>22</v>
      </c>
      <c r="I34" s="1119"/>
      <c r="J34" s="1047"/>
      <c r="K34" s="1120"/>
      <c r="L34" s="1121"/>
      <c r="N34" s="664">
        <v>31.0</v>
      </c>
      <c r="O34" s="664"/>
      <c r="P34" s="664"/>
      <c r="Q34" s="665"/>
      <c r="R34" s="665"/>
      <c r="S34" s="664"/>
      <c r="AA34" s="1021"/>
      <c r="AE34" s="1123"/>
    </row>
    <row r="35" ht="15.75" customHeight="1">
      <c r="B35" s="1118">
        <v>27.0</v>
      </c>
      <c r="C35" s="1119" t="s">
        <v>801</v>
      </c>
      <c r="D35" s="1047" t="s">
        <v>187</v>
      </c>
      <c r="E35" s="1047" t="s">
        <v>802</v>
      </c>
      <c r="F35" s="1045">
        <f>1200*6</f>
        <v>7200</v>
      </c>
      <c r="H35" s="1118">
        <v>22.0</v>
      </c>
      <c r="I35" s="1119" t="s">
        <v>801</v>
      </c>
      <c r="J35" s="1047" t="s">
        <v>187</v>
      </c>
      <c r="K35" s="1120">
        <v>6.0</v>
      </c>
      <c r="L35" s="666">
        <f>1200*6</f>
        <v>7200</v>
      </c>
      <c r="N35" s="664">
        <v>32.0</v>
      </c>
      <c r="O35" s="664" t="s">
        <v>803</v>
      </c>
      <c r="P35" s="664" t="s">
        <v>72</v>
      </c>
      <c r="Q35" s="665" t="s">
        <v>804</v>
      </c>
      <c r="R35" s="665" t="s">
        <v>805</v>
      </c>
      <c r="S35" s="664"/>
      <c r="AA35" s="628" t="s">
        <v>530</v>
      </c>
      <c r="AB35" s="727"/>
      <c r="AC35" s="1124">
        <f>SUM(AE4:AE33)</f>
        <v>292238</v>
      </c>
      <c r="AD35" s="2"/>
      <c r="AE35" s="3"/>
    </row>
    <row r="36" ht="15.75" hidden="1" customHeight="1">
      <c r="B36" s="1118">
        <v>28.0</v>
      </c>
      <c r="C36" s="1119" t="s">
        <v>268</v>
      </c>
      <c r="D36" s="1047" t="s">
        <v>187</v>
      </c>
      <c r="E36" s="1047" t="s">
        <v>779</v>
      </c>
      <c r="F36" s="1045">
        <v>3000.0</v>
      </c>
      <c r="H36" s="1118">
        <f t="shared" ref="H36:H37" si="7">1+H35</f>
        <v>23</v>
      </c>
      <c r="I36" s="1119"/>
      <c r="J36" s="1047"/>
      <c r="K36" s="1120"/>
      <c r="L36" s="1121"/>
      <c r="N36" s="664">
        <v>33.0</v>
      </c>
      <c r="O36" s="664"/>
      <c r="P36" s="664"/>
      <c r="Q36" s="665"/>
      <c r="R36" s="665"/>
      <c r="S36" s="664"/>
    </row>
    <row r="37" ht="15.75" hidden="1" customHeight="1">
      <c r="B37" s="1118">
        <v>29.0</v>
      </c>
      <c r="C37" s="1119" t="s">
        <v>269</v>
      </c>
      <c r="D37" s="1047" t="s">
        <v>172</v>
      </c>
      <c r="E37" s="1047" t="s">
        <v>772</v>
      </c>
      <c r="F37" s="1045">
        <v>800.0</v>
      </c>
      <c r="H37" s="1118">
        <f t="shared" si="7"/>
        <v>24</v>
      </c>
      <c r="I37" s="1119"/>
      <c r="J37" s="1047"/>
      <c r="K37" s="1120"/>
      <c r="L37" s="1121"/>
      <c r="N37" s="664">
        <v>34.0</v>
      </c>
      <c r="O37" s="664"/>
      <c r="P37" s="664"/>
      <c r="Q37" s="665"/>
      <c r="R37" s="665"/>
      <c r="S37" s="664"/>
    </row>
    <row r="38" ht="15.75" customHeight="1">
      <c r="B38" s="1118">
        <v>30.0</v>
      </c>
      <c r="C38" s="1119" t="s">
        <v>134</v>
      </c>
      <c r="D38" s="1047" t="s">
        <v>72</v>
      </c>
      <c r="E38" s="1047" t="s">
        <v>806</v>
      </c>
      <c r="F38" s="1045">
        <f>11804*5</f>
        <v>59020</v>
      </c>
      <c r="H38" s="1118">
        <v>23.0</v>
      </c>
      <c r="I38" s="1119" t="s">
        <v>134</v>
      </c>
      <c r="J38" s="1047" t="s">
        <v>72</v>
      </c>
      <c r="K38" s="1120">
        <v>5.0</v>
      </c>
      <c r="L38" s="1121">
        <f>11804*5</f>
        <v>59020</v>
      </c>
      <c r="N38" s="664">
        <v>35.0</v>
      </c>
      <c r="O38" s="664" t="s">
        <v>709</v>
      </c>
      <c r="P38" s="664" t="s">
        <v>187</v>
      </c>
      <c r="Q38" s="665" t="s">
        <v>807</v>
      </c>
      <c r="R38" s="665" t="s">
        <v>808</v>
      </c>
      <c r="S38" s="664"/>
    </row>
    <row r="39" ht="15.75" hidden="1" customHeight="1">
      <c r="B39" s="1118">
        <v>31.0</v>
      </c>
      <c r="C39" s="1125" t="s">
        <v>282</v>
      </c>
      <c r="D39" s="1047" t="s">
        <v>72</v>
      </c>
      <c r="E39" s="1047" t="s">
        <v>809</v>
      </c>
      <c r="F39" s="1045">
        <f>25*10</f>
        <v>250</v>
      </c>
      <c r="H39" s="1118">
        <f>1+H38</f>
        <v>24</v>
      </c>
      <c r="I39" s="1125"/>
      <c r="J39" s="1047"/>
      <c r="K39" s="1120"/>
      <c r="L39" s="1121"/>
      <c r="N39" s="664">
        <v>36.0</v>
      </c>
      <c r="O39" s="664"/>
      <c r="P39" s="664"/>
      <c r="Q39" s="665"/>
      <c r="R39" s="665"/>
      <c r="S39" s="664"/>
    </row>
    <row r="40" ht="15.75" customHeight="1">
      <c r="B40" s="1118">
        <v>32.0</v>
      </c>
      <c r="C40" s="1125" t="s">
        <v>291</v>
      </c>
      <c r="D40" s="1047" t="s">
        <v>72</v>
      </c>
      <c r="E40" s="1047" t="s">
        <v>760</v>
      </c>
      <c r="F40" s="1045">
        <v>2000.0</v>
      </c>
      <c r="H40" s="1118">
        <v>24.0</v>
      </c>
      <c r="I40" s="1125" t="s">
        <v>291</v>
      </c>
      <c r="J40" s="1047" t="s">
        <v>72</v>
      </c>
      <c r="K40" s="1120">
        <v>20.0</v>
      </c>
      <c r="L40" s="1121">
        <v>2000.0</v>
      </c>
      <c r="N40" s="664">
        <v>37.0</v>
      </c>
      <c r="O40" s="664" t="s">
        <v>810</v>
      </c>
      <c r="P40" s="664" t="s">
        <v>187</v>
      </c>
      <c r="Q40" s="665">
        <f>2700/15</f>
        <v>180</v>
      </c>
      <c r="R40" s="665" t="s">
        <v>811</v>
      </c>
      <c r="S40" s="664"/>
    </row>
    <row r="41" ht="15.75" hidden="1" customHeight="1">
      <c r="B41" s="1118">
        <v>33.0</v>
      </c>
      <c r="C41" s="1125" t="s">
        <v>284</v>
      </c>
      <c r="D41" s="1047" t="s">
        <v>72</v>
      </c>
      <c r="E41" s="1047" t="s">
        <v>809</v>
      </c>
      <c r="F41" s="1045">
        <f>30*10</f>
        <v>300</v>
      </c>
      <c r="H41" s="1118">
        <f>1+H40</f>
        <v>25</v>
      </c>
      <c r="I41" s="1125"/>
      <c r="J41" s="1047"/>
      <c r="K41" s="1120"/>
      <c r="L41" s="1121"/>
      <c r="N41" s="664">
        <v>38.0</v>
      </c>
      <c r="O41" s="664"/>
      <c r="P41" s="664"/>
      <c r="Q41" s="665"/>
      <c r="R41" s="665"/>
      <c r="S41" s="664"/>
    </row>
    <row r="42" ht="15.75" customHeight="1">
      <c r="B42" s="1118">
        <v>34.0</v>
      </c>
      <c r="C42" s="1125" t="s">
        <v>286</v>
      </c>
      <c r="D42" s="1047" t="s">
        <v>72</v>
      </c>
      <c r="E42" s="1047" t="s">
        <v>806</v>
      </c>
      <c r="F42" s="1045">
        <f>750*5</f>
        <v>3750</v>
      </c>
      <c r="H42" s="1118">
        <v>25.0</v>
      </c>
      <c r="I42" s="1125" t="s">
        <v>812</v>
      </c>
      <c r="J42" s="1047" t="s">
        <v>813</v>
      </c>
      <c r="K42" s="1120">
        <v>15.0</v>
      </c>
      <c r="L42" s="1121">
        <f>400*15</f>
        <v>6000</v>
      </c>
      <c r="N42" s="664">
        <v>39.0</v>
      </c>
      <c r="O42" s="664" t="s">
        <v>814</v>
      </c>
      <c r="P42" s="664" t="s">
        <v>72</v>
      </c>
      <c r="Q42" s="665" t="s">
        <v>815</v>
      </c>
      <c r="R42" s="665" t="s">
        <v>816</v>
      </c>
      <c r="S42" s="664"/>
    </row>
    <row r="43" ht="15.75" hidden="1" customHeight="1">
      <c r="B43" s="1118">
        <v>35.0</v>
      </c>
      <c r="C43" s="1125" t="s">
        <v>287</v>
      </c>
      <c r="D43" s="1047" t="s">
        <v>72</v>
      </c>
      <c r="E43" s="1047" t="s">
        <v>755</v>
      </c>
      <c r="F43" s="1045">
        <f>350*2</f>
        <v>700</v>
      </c>
      <c r="H43" s="1118">
        <f t="shared" ref="H43:H44" si="8">1+H42</f>
        <v>26</v>
      </c>
      <c r="I43" s="1125" t="s">
        <v>287</v>
      </c>
      <c r="J43" s="1047" t="s">
        <v>72</v>
      </c>
      <c r="K43" s="1120"/>
      <c r="L43" s="1121">
        <f>350*2</f>
        <v>700</v>
      </c>
      <c r="N43" s="664">
        <v>40.0</v>
      </c>
      <c r="O43" s="664"/>
      <c r="P43" s="664"/>
      <c r="Q43" s="665"/>
      <c r="R43" s="665"/>
      <c r="S43" s="664"/>
    </row>
    <row r="44" ht="15.75" hidden="1" customHeight="1">
      <c r="B44" s="1118">
        <v>36.0</v>
      </c>
      <c r="C44" s="1125" t="s">
        <v>289</v>
      </c>
      <c r="D44" s="1047" t="s">
        <v>72</v>
      </c>
      <c r="E44" s="1047" t="s">
        <v>817</v>
      </c>
      <c r="F44" s="1045">
        <v>3500.0</v>
      </c>
      <c r="H44" s="1118">
        <f t="shared" si="8"/>
        <v>27</v>
      </c>
      <c r="I44" s="1125"/>
      <c r="J44" s="1047"/>
      <c r="K44" s="1120"/>
      <c r="L44" s="1121"/>
      <c r="N44" s="664">
        <v>41.0</v>
      </c>
      <c r="O44" s="664"/>
      <c r="P44" s="664"/>
      <c r="Q44" s="665"/>
      <c r="R44" s="665"/>
      <c r="S44" s="664"/>
    </row>
    <row r="45" ht="15.75" customHeight="1">
      <c r="B45" s="1118">
        <v>37.0</v>
      </c>
      <c r="C45" s="1125" t="s">
        <v>818</v>
      </c>
      <c r="D45" s="1047" t="s">
        <v>72</v>
      </c>
      <c r="E45" s="1047" t="s">
        <v>817</v>
      </c>
      <c r="F45" s="1045">
        <v>4000.0</v>
      </c>
      <c r="H45" s="1118">
        <v>26.0</v>
      </c>
      <c r="I45" s="1125" t="s">
        <v>818</v>
      </c>
      <c r="J45" s="1047" t="s">
        <v>72</v>
      </c>
      <c r="K45" s="1120">
        <v>2.0</v>
      </c>
      <c r="L45" s="1121">
        <v>8000.0</v>
      </c>
      <c r="N45" s="664">
        <v>42.0</v>
      </c>
      <c r="O45" s="664" t="s">
        <v>289</v>
      </c>
      <c r="P45" s="664" t="s">
        <v>290</v>
      </c>
      <c r="Q45" s="665" t="s">
        <v>817</v>
      </c>
      <c r="R45" s="665" t="s">
        <v>817</v>
      </c>
      <c r="S45" s="664"/>
    </row>
    <row r="46" ht="15.75" customHeight="1">
      <c r="B46" s="1118">
        <v>38.0</v>
      </c>
      <c r="C46" s="1125" t="s">
        <v>280</v>
      </c>
      <c r="D46" s="1047" t="s">
        <v>72</v>
      </c>
      <c r="E46" s="1047" t="s">
        <v>819</v>
      </c>
      <c r="F46" s="1045">
        <f>30*1000</f>
        <v>30000</v>
      </c>
      <c r="H46" s="1118">
        <v>27.0</v>
      </c>
      <c r="I46" s="1125" t="s">
        <v>280</v>
      </c>
      <c r="J46" s="1047" t="s">
        <v>72</v>
      </c>
      <c r="K46" s="1120">
        <v>1000.0</v>
      </c>
      <c r="L46" s="1121">
        <f>30*1000</f>
        <v>30000</v>
      </c>
      <c r="N46" s="664">
        <v>43.0</v>
      </c>
      <c r="O46" s="664" t="s">
        <v>820</v>
      </c>
      <c r="P46" s="664" t="s">
        <v>290</v>
      </c>
      <c r="Q46" s="665" t="s">
        <v>817</v>
      </c>
      <c r="R46" s="665" t="s">
        <v>817</v>
      </c>
      <c r="S46" s="664"/>
    </row>
    <row r="47" ht="15.75" hidden="1" customHeight="1">
      <c r="B47" s="1118">
        <v>39.0</v>
      </c>
      <c r="C47" s="1125" t="s">
        <v>296</v>
      </c>
      <c r="D47" s="1047" t="s">
        <v>72</v>
      </c>
      <c r="E47" s="1047" t="s">
        <v>809</v>
      </c>
      <c r="F47" s="1045">
        <f t="shared" ref="F47:F48" si="9">30*10</f>
        <v>300</v>
      </c>
      <c r="H47" s="1118">
        <f t="shared" ref="H47:H50" si="10">1+H46</f>
        <v>28</v>
      </c>
      <c r="I47" s="1125"/>
      <c r="J47" s="1047"/>
      <c r="K47" s="1120"/>
      <c r="L47" s="1121"/>
      <c r="N47" s="664">
        <v>44.0</v>
      </c>
      <c r="O47" s="664"/>
      <c r="P47" s="664"/>
      <c r="Q47" s="665"/>
      <c r="R47" s="665"/>
      <c r="S47" s="664"/>
    </row>
    <row r="48" ht="15.75" hidden="1" customHeight="1">
      <c r="B48" s="1118">
        <v>40.0</v>
      </c>
      <c r="C48" s="1125" t="s">
        <v>296</v>
      </c>
      <c r="D48" s="1047" t="s">
        <v>72</v>
      </c>
      <c r="E48" s="1047" t="s">
        <v>809</v>
      </c>
      <c r="F48" s="1045">
        <f t="shared" si="9"/>
        <v>300</v>
      </c>
      <c r="H48" s="1118">
        <f t="shared" si="10"/>
        <v>29</v>
      </c>
      <c r="I48" s="1125"/>
      <c r="J48" s="1047"/>
      <c r="K48" s="1120"/>
      <c r="L48" s="1121"/>
      <c r="N48" s="664">
        <v>45.0</v>
      </c>
      <c r="O48" s="664"/>
      <c r="P48" s="664"/>
      <c r="Q48" s="665"/>
      <c r="R48" s="665"/>
      <c r="S48" s="664"/>
    </row>
    <row r="49" ht="15.75" hidden="1" customHeight="1">
      <c r="B49" s="1118">
        <v>41.0</v>
      </c>
      <c r="C49" s="1125" t="s">
        <v>288</v>
      </c>
      <c r="D49" s="1047" t="s">
        <v>72</v>
      </c>
      <c r="E49" s="1047" t="s">
        <v>755</v>
      </c>
      <c r="F49" s="1045">
        <v>4000.0</v>
      </c>
      <c r="H49" s="1118">
        <f t="shared" si="10"/>
        <v>30</v>
      </c>
      <c r="I49" s="1125"/>
      <c r="J49" s="1047"/>
      <c r="K49" s="1120"/>
      <c r="L49" s="1121"/>
      <c r="N49" s="664">
        <v>46.0</v>
      </c>
      <c r="O49" s="664"/>
      <c r="P49" s="664"/>
      <c r="Q49" s="665"/>
      <c r="R49" s="665"/>
      <c r="S49" s="664"/>
    </row>
    <row r="50" ht="15.75" hidden="1" customHeight="1">
      <c r="B50" s="1118">
        <v>42.0</v>
      </c>
      <c r="C50" s="1047" t="s">
        <v>812</v>
      </c>
      <c r="D50" s="1047" t="s">
        <v>172</v>
      </c>
      <c r="E50" s="1047" t="s">
        <v>688</v>
      </c>
      <c r="F50" s="1045">
        <f>380*15</f>
        <v>5700</v>
      </c>
      <c r="H50" s="1118">
        <f t="shared" si="10"/>
        <v>31</v>
      </c>
      <c r="I50" s="1047"/>
      <c r="J50" s="1047" t="s">
        <v>172</v>
      </c>
      <c r="K50" s="1120"/>
      <c r="L50" s="1121"/>
      <c r="N50" s="664">
        <v>47.0</v>
      </c>
      <c r="O50" s="664"/>
      <c r="P50" s="664"/>
      <c r="Q50" s="665"/>
      <c r="R50" s="665"/>
      <c r="S50" s="664"/>
    </row>
    <row r="51" ht="15.75" customHeight="1">
      <c r="B51" s="1118">
        <v>43.0</v>
      </c>
      <c r="C51" s="1047" t="s">
        <v>312</v>
      </c>
      <c r="D51" s="1047" t="s">
        <v>210</v>
      </c>
      <c r="E51" s="1047" t="s">
        <v>821</v>
      </c>
      <c r="F51" s="1045">
        <f>70*40</f>
        <v>2800</v>
      </c>
      <c r="H51" s="1118">
        <v>28.0</v>
      </c>
      <c r="I51" s="1047" t="s">
        <v>312</v>
      </c>
      <c r="J51" s="1047" t="s">
        <v>210</v>
      </c>
      <c r="K51" s="1120">
        <v>60.0</v>
      </c>
      <c r="L51" s="1121">
        <f>70*60</f>
        <v>4200</v>
      </c>
      <c r="N51" s="664">
        <v>48.0</v>
      </c>
      <c r="O51" s="664" t="s">
        <v>102</v>
      </c>
      <c r="P51" s="664" t="s">
        <v>172</v>
      </c>
      <c r="Q51" s="665" t="s">
        <v>795</v>
      </c>
      <c r="R51" s="665" t="s">
        <v>688</v>
      </c>
      <c r="S51" s="664"/>
    </row>
    <row r="52" ht="15.75" customHeight="1">
      <c r="B52" s="1118">
        <v>44.0</v>
      </c>
      <c r="C52" s="1047" t="s">
        <v>822</v>
      </c>
      <c r="D52" s="1047" t="s">
        <v>210</v>
      </c>
      <c r="E52" s="1047" t="s">
        <v>749</v>
      </c>
      <c r="F52" s="1045">
        <f>105*2</f>
        <v>210</v>
      </c>
      <c r="H52" s="1118">
        <f>1+H51</f>
        <v>29</v>
      </c>
      <c r="I52" s="1047" t="s">
        <v>823</v>
      </c>
      <c r="J52" s="1047" t="s">
        <v>72</v>
      </c>
      <c r="K52" s="1120">
        <v>40.0</v>
      </c>
      <c r="L52" s="1121">
        <f>55*40</f>
        <v>2200</v>
      </c>
      <c r="N52" s="664">
        <v>49.0</v>
      </c>
      <c r="O52" s="664" t="s">
        <v>824</v>
      </c>
      <c r="P52" s="664" t="s">
        <v>72</v>
      </c>
      <c r="Q52" s="665">
        <v>70.0</v>
      </c>
      <c r="R52" s="665">
        <f>70*15</f>
        <v>1050</v>
      </c>
      <c r="S52" s="664"/>
    </row>
    <row r="53" ht="15.75" customHeight="1">
      <c r="B53" s="1118">
        <v>45.0</v>
      </c>
      <c r="C53" s="1047" t="s">
        <v>825</v>
      </c>
      <c r="D53" s="1047" t="s">
        <v>210</v>
      </c>
      <c r="E53" s="1047" t="s">
        <v>821</v>
      </c>
      <c r="F53" s="1045">
        <v>2000.0</v>
      </c>
      <c r="H53" s="1118"/>
      <c r="I53" s="1047"/>
      <c r="J53" s="1047"/>
      <c r="K53" s="1120"/>
      <c r="L53" s="1121"/>
      <c r="N53" s="664">
        <v>50.0</v>
      </c>
      <c r="O53" s="664" t="s">
        <v>826</v>
      </c>
      <c r="P53" s="664" t="s">
        <v>72</v>
      </c>
      <c r="Q53" s="665">
        <v>30.0</v>
      </c>
      <c r="R53" s="665">
        <f>30*15</f>
        <v>450</v>
      </c>
      <c r="S53" s="664"/>
    </row>
    <row r="54" ht="15.75" customHeight="1">
      <c r="B54" s="1118">
        <v>46.0</v>
      </c>
      <c r="C54" s="1072" t="s">
        <v>827</v>
      </c>
      <c r="D54" s="1072"/>
      <c r="E54" s="1072"/>
      <c r="F54" s="1074">
        <v>200000.0</v>
      </c>
      <c r="H54" s="1118"/>
      <c r="I54" s="1047"/>
      <c r="J54" s="1047"/>
      <c r="K54" s="1120"/>
      <c r="L54" s="1121"/>
      <c r="N54" s="664">
        <v>51.0</v>
      </c>
      <c r="O54" s="664" t="s">
        <v>117</v>
      </c>
      <c r="P54" s="664" t="s">
        <v>190</v>
      </c>
      <c r="Q54" s="665">
        <v>1.0</v>
      </c>
      <c r="R54" s="665" t="s">
        <v>828</v>
      </c>
      <c r="S54" s="664"/>
    </row>
    <row r="55" ht="15.75" customHeight="1">
      <c r="B55" s="1118">
        <v>47.0</v>
      </c>
      <c r="C55" s="1047" t="s">
        <v>829</v>
      </c>
      <c r="D55" s="1047"/>
      <c r="E55" s="1047"/>
      <c r="F55" s="1045">
        <v>291835.0</v>
      </c>
      <c r="H55" s="1118"/>
      <c r="I55" s="1047"/>
      <c r="J55" s="1047"/>
      <c r="K55" s="1120"/>
      <c r="L55" s="1121"/>
      <c r="N55" s="664">
        <v>52.0</v>
      </c>
      <c r="O55" s="664" t="s">
        <v>263</v>
      </c>
      <c r="P55" s="664" t="s">
        <v>187</v>
      </c>
      <c r="Q55" s="665"/>
      <c r="R55" s="665" t="s">
        <v>830</v>
      </c>
      <c r="S55" s="664"/>
    </row>
    <row r="56" ht="15.75" customHeight="1">
      <c r="B56" s="1118">
        <v>48.0</v>
      </c>
      <c r="C56" s="1047" t="s">
        <v>831</v>
      </c>
      <c r="D56" s="1047"/>
      <c r="E56" s="1047"/>
      <c r="F56" s="1045">
        <v>20000.0</v>
      </c>
      <c r="H56" s="1118"/>
      <c r="I56" s="1047"/>
      <c r="J56" s="1047"/>
      <c r="K56" s="1120"/>
      <c r="L56" s="1121"/>
      <c r="N56" s="664">
        <v>53.0</v>
      </c>
      <c r="O56" s="664" t="s">
        <v>832</v>
      </c>
      <c r="P56" s="664" t="s">
        <v>187</v>
      </c>
      <c r="Q56" s="665"/>
      <c r="R56" s="665" t="s">
        <v>722</v>
      </c>
      <c r="S56" s="664"/>
    </row>
    <row r="57" ht="15.75" customHeight="1">
      <c r="B57" s="1118">
        <v>49.0</v>
      </c>
      <c r="C57" s="1047" t="s">
        <v>833</v>
      </c>
      <c r="D57" s="1047"/>
      <c r="E57" s="1047"/>
      <c r="F57" s="1045">
        <v>8000.0</v>
      </c>
      <c r="H57" s="1118">
        <f>1+H52</f>
        <v>30</v>
      </c>
      <c r="I57" s="1047" t="s">
        <v>834</v>
      </c>
      <c r="J57" s="1047" t="s">
        <v>72</v>
      </c>
      <c r="K57" s="1120">
        <v>2.0</v>
      </c>
      <c r="L57" s="1121">
        <v>600.0</v>
      </c>
      <c r="N57" s="664">
        <v>54.0</v>
      </c>
      <c r="O57" s="664" t="s">
        <v>227</v>
      </c>
      <c r="P57" s="664" t="s">
        <v>183</v>
      </c>
      <c r="Q57" s="665"/>
      <c r="R57" s="665" t="s">
        <v>835</v>
      </c>
      <c r="S57" s="664"/>
    </row>
    <row r="58" ht="15.75" customHeight="1">
      <c r="B58" s="1126">
        <v>50.0</v>
      </c>
      <c r="C58" s="1072" t="s">
        <v>836</v>
      </c>
      <c r="D58" s="1072"/>
      <c r="E58" s="1072"/>
      <c r="F58" s="1074">
        <v>8000.0</v>
      </c>
      <c r="H58" s="1118">
        <f>1+H57</f>
        <v>31</v>
      </c>
      <c r="I58" s="1072" t="s">
        <v>827</v>
      </c>
      <c r="J58" s="1072"/>
      <c r="K58" s="1127"/>
      <c r="L58" s="1128">
        <v>200000.0</v>
      </c>
      <c r="N58" s="664">
        <v>55.0</v>
      </c>
      <c r="O58" s="664" t="s">
        <v>837</v>
      </c>
      <c r="P58" s="664" t="s">
        <v>187</v>
      </c>
      <c r="Q58" s="665" t="s">
        <v>722</v>
      </c>
      <c r="R58" s="665">
        <f t="shared" ref="R58:R59" si="11">3*15</f>
        <v>45</v>
      </c>
      <c r="S58" s="664"/>
    </row>
    <row r="59" ht="15.75" customHeight="1">
      <c r="B59" s="1108" t="s">
        <v>838</v>
      </c>
      <c r="C59" s="2"/>
      <c r="D59" s="3"/>
      <c r="E59" s="1129">
        <f>SUM(F3:F58)</f>
        <v>1332325</v>
      </c>
      <c r="F59" s="3"/>
      <c r="H59" s="1108" t="s">
        <v>838</v>
      </c>
      <c r="I59" s="2"/>
      <c r="J59" s="3"/>
      <c r="K59" s="1129">
        <f>SUM(L3:L58)</f>
        <v>994670</v>
      </c>
      <c r="L59" s="3"/>
      <c r="N59" s="664">
        <v>56.0</v>
      </c>
      <c r="O59" s="664" t="s">
        <v>839</v>
      </c>
      <c r="P59" s="664" t="s">
        <v>72</v>
      </c>
      <c r="Q59" s="665" t="s">
        <v>840</v>
      </c>
      <c r="R59" s="665">
        <f t="shared" si="11"/>
        <v>45</v>
      </c>
      <c r="S59" s="664"/>
    </row>
    <row r="60" ht="15.75" customHeight="1">
      <c r="N60" s="664">
        <v>57.0</v>
      </c>
      <c r="O60" s="664" t="s">
        <v>841</v>
      </c>
      <c r="P60" s="664" t="s">
        <v>172</v>
      </c>
      <c r="Q60" s="665">
        <f>2500/15</f>
        <v>166.6666667</v>
      </c>
      <c r="R60" s="665" t="s">
        <v>798</v>
      </c>
      <c r="S60" s="664"/>
    </row>
    <row r="61" ht="15.75" customHeight="1">
      <c r="N61" s="664">
        <v>58.0</v>
      </c>
      <c r="O61" s="664" t="s">
        <v>842</v>
      </c>
      <c r="P61" s="664" t="s">
        <v>190</v>
      </c>
      <c r="Q61" s="665" t="s">
        <v>843</v>
      </c>
      <c r="R61" s="665" t="s">
        <v>844</v>
      </c>
      <c r="S61" s="664"/>
    </row>
    <row r="62" ht="15.75" customHeight="1">
      <c r="N62" s="664">
        <v>59.0</v>
      </c>
      <c r="O62" s="664" t="s">
        <v>845</v>
      </c>
      <c r="P62" s="664" t="s">
        <v>172</v>
      </c>
      <c r="Q62" s="665" t="s">
        <v>846</v>
      </c>
      <c r="R62" s="665" t="s">
        <v>741</v>
      </c>
      <c r="S62" s="664"/>
    </row>
    <row r="63" ht="15.75" customHeight="1">
      <c r="N63" s="664">
        <v>60.0</v>
      </c>
      <c r="O63" s="664" t="s">
        <v>723</v>
      </c>
      <c r="P63" s="664" t="s">
        <v>178</v>
      </c>
      <c r="Q63" s="665" t="s">
        <v>847</v>
      </c>
      <c r="R63" s="665" t="s">
        <v>848</v>
      </c>
      <c r="S63" s="664"/>
    </row>
    <row r="64" ht="15.75" customHeight="1">
      <c r="N64" s="664">
        <v>61.0</v>
      </c>
      <c r="O64" s="664" t="s">
        <v>754</v>
      </c>
      <c r="P64" s="664" t="s">
        <v>178</v>
      </c>
      <c r="Q64" s="665">
        <f>6*3</f>
        <v>18</v>
      </c>
      <c r="R64" s="665" t="s">
        <v>849</v>
      </c>
      <c r="S64" s="664"/>
    </row>
    <row r="65" ht="15.75" customHeight="1">
      <c r="N65" s="664">
        <v>62.0</v>
      </c>
      <c r="O65" s="664" t="s">
        <v>850</v>
      </c>
      <c r="P65" s="664" t="s">
        <v>210</v>
      </c>
      <c r="Q65" s="665">
        <f>70/15</f>
        <v>4.666666667</v>
      </c>
      <c r="R65" s="665" t="s">
        <v>851</v>
      </c>
      <c r="S65" s="664"/>
    </row>
    <row r="66" ht="15.75" customHeight="1">
      <c r="N66" s="664">
        <v>63.0</v>
      </c>
      <c r="O66" s="664" t="s">
        <v>823</v>
      </c>
      <c r="P66" s="664" t="s">
        <v>72</v>
      </c>
      <c r="Q66" s="665"/>
      <c r="R66" s="665">
        <v>3.0</v>
      </c>
      <c r="S66" s="664"/>
    </row>
    <row r="67" ht="15.75" customHeight="1">
      <c r="N67" s="664">
        <v>64.0</v>
      </c>
      <c r="O67" s="664" t="s">
        <v>852</v>
      </c>
      <c r="P67" s="664" t="s">
        <v>72</v>
      </c>
      <c r="Q67" s="665"/>
      <c r="R67" s="665">
        <v>2.0</v>
      </c>
      <c r="S67" s="664"/>
    </row>
    <row r="68" ht="15.75" customHeight="1">
      <c r="N68" s="664">
        <v>65.0</v>
      </c>
      <c r="O68" s="664" t="s">
        <v>853</v>
      </c>
      <c r="P68" s="664" t="s">
        <v>172</v>
      </c>
      <c r="Q68" s="665"/>
      <c r="R68" s="665" t="s">
        <v>854</v>
      </c>
      <c r="S68" s="664"/>
    </row>
    <row r="69" ht="15.75" customHeight="1">
      <c r="N69" s="664">
        <v>66.0</v>
      </c>
      <c r="O69" s="664" t="s">
        <v>246</v>
      </c>
      <c r="P69" s="664" t="s">
        <v>203</v>
      </c>
      <c r="Q69" s="665"/>
      <c r="R69" s="665">
        <v>1.0</v>
      </c>
      <c r="S69" s="664"/>
    </row>
    <row r="70" ht="15.75" customHeight="1">
      <c r="N70" s="664">
        <v>67.0</v>
      </c>
      <c r="O70" s="664" t="s">
        <v>286</v>
      </c>
      <c r="P70" s="664" t="s">
        <v>72</v>
      </c>
      <c r="Q70" s="665"/>
      <c r="R70" s="665">
        <v>5.0</v>
      </c>
      <c r="S70" s="664"/>
    </row>
    <row r="71" ht="15.75" customHeight="1">
      <c r="N71" s="664">
        <v>68.0</v>
      </c>
      <c r="O71" s="664" t="s">
        <v>825</v>
      </c>
      <c r="P71" s="664" t="s">
        <v>210</v>
      </c>
      <c r="Q71" s="665"/>
      <c r="R71" s="665" t="s">
        <v>855</v>
      </c>
      <c r="S71" s="664"/>
    </row>
    <row r="72" ht="15.75" customHeight="1">
      <c r="N72" s="664">
        <v>69.0</v>
      </c>
      <c r="O72" s="664" t="s">
        <v>69</v>
      </c>
      <c r="P72" s="664" t="s">
        <v>72</v>
      </c>
      <c r="Q72" s="665" t="s">
        <v>806</v>
      </c>
      <c r="R72" s="665">
        <f>5*15</f>
        <v>75</v>
      </c>
      <c r="S72" s="664"/>
    </row>
    <row r="73" ht="15.75" customHeight="1">
      <c r="N73" s="664">
        <v>70.0</v>
      </c>
      <c r="O73" s="664" t="s">
        <v>856</v>
      </c>
      <c r="P73" s="664" t="s">
        <v>203</v>
      </c>
      <c r="Q73" s="665" t="s">
        <v>846</v>
      </c>
      <c r="R73" s="665" t="s">
        <v>726</v>
      </c>
      <c r="S73" s="664"/>
    </row>
    <row r="74" ht="15.75" customHeight="1">
      <c r="N74" s="664">
        <v>71.0</v>
      </c>
      <c r="O74" s="664" t="s">
        <v>857</v>
      </c>
      <c r="P74" s="664" t="s">
        <v>172</v>
      </c>
      <c r="Q74" s="665">
        <f>5000/15</f>
        <v>333.3333333</v>
      </c>
      <c r="R74" s="665" t="s">
        <v>772</v>
      </c>
      <c r="S74" s="664"/>
    </row>
    <row r="75" ht="15.75" customHeight="1">
      <c r="N75" s="664">
        <v>72.0</v>
      </c>
      <c r="O75" s="664" t="s">
        <v>858</v>
      </c>
      <c r="P75" s="664" t="s">
        <v>172</v>
      </c>
      <c r="Q75" s="665">
        <f>2000/15</f>
        <v>133.3333333</v>
      </c>
      <c r="R75" s="665" t="s">
        <v>859</v>
      </c>
      <c r="S75" s="664"/>
    </row>
    <row r="76" ht="15.75" customHeight="1">
      <c r="N76" s="664">
        <v>73.0</v>
      </c>
      <c r="O76" s="664" t="s">
        <v>827</v>
      </c>
      <c r="P76" s="664"/>
      <c r="Q76" s="665"/>
      <c r="R76" s="665"/>
      <c r="S76" s="664"/>
    </row>
    <row r="77" ht="15.75" customHeight="1">
      <c r="N77" s="664">
        <v>74.0</v>
      </c>
      <c r="O77" s="664" t="s">
        <v>829</v>
      </c>
      <c r="P77" s="664"/>
      <c r="Q77" s="665"/>
      <c r="R77" s="665"/>
      <c r="S77" s="664"/>
    </row>
    <row r="78" ht="15.75" customHeight="1">
      <c r="N78" s="664">
        <v>75.0</v>
      </c>
      <c r="O78" s="664" t="s">
        <v>831</v>
      </c>
      <c r="P78" s="664"/>
      <c r="Q78" s="665"/>
      <c r="R78" s="665"/>
      <c r="S78" s="664"/>
    </row>
    <row r="79" ht="15.75" customHeight="1">
      <c r="N79" s="664">
        <v>76.0</v>
      </c>
      <c r="O79" s="664" t="s">
        <v>833</v>
      </c>
      <c r="P79" s="664"/>
      <c r="Q79" s="665"/>
      <c r="R79" s="665"/>
      <c r="S79" s="664"/>
    </row>
    <row r="80" ht="15.75" customHeight="1">
      <c r="N80" s="664">
        <v>77.0</v>
      </c>
      <c r="O80" s="664" t="s">
        <v>836</v>
      </c>
      <c r="P80" s="664"/>
      <c r="Q80" s="665"/>
      <c r="R80" s="665"/>
      <c r="S80" s="664"/>
    </row>
    <row r="81" ht="15.75" customHeight="1">
      <c r="N81" s="664">
        <v>78.0</v>
      </c>
      <c r="O81" s="664" t="s">
        <v>248</v>
      </c>
      <c r="P81" s="664" t="s">
        <v>172</v>
      </c>
      <c r="Q81" s="665">
        <f>1000/15</f>
        <v>66.66666667</v>
      </c>
      <c r="R81" s="665" t="s">
        <v>795</v>
      </c>
      <c r="S81" s="664"/>
    </row>
    <row r="82" ht="15.75" customHeight="1">
      <c r="N82" s="664">
        <v>79.0</v>
      </c>
      <c r="O82" s="664" t="s">
        <v>860</v>
      </c>
      <c r="P82" s="664" t="s">
        <v>190</v>
      </c>
      <c r="Q82" s="665"/>
      <c r="R82" s="665"/>
      <c r="S82" s="664"/>
    </row>
    <row r="83" ht="15.75" customHeight="1">
      <c r="N83" s="664">
        <v>80.0</v>
      </c>
      <c r="O83" s="664" t="s">
        <v>861</v>
      </c>
      <c r="P83" s="664" t="s">
        <v>72</v>
      </c>
      <c r="Q83" s="665"/>
      <c r="R83" s="665" t="s">
        <v>779</v>
      </c>
      <c r="S83" s="664"/>
    </row>
    <row r="84" ht="15.75" customHeight="1">
      <c r="N84" s="664">
        <v>81.0</v>
      </c>
      <c r="O84" s="664" t="s">
        <v>862</v>
      </c>
      <c r="P84" s="664" t="s">
        <v>72</v>
      </c>
      <c r="Q84" s="665"/>
      <c r="R84" s="665" t="s">
        <v>779</v>
      </c>
      <c r="S84" s="664"/>
    </row>
    <row r="85" ht="15.75" customHeight="1">
      <c r="N85" s="664">
        <v>82.0</v>
      </c>
      <c r="O85" s="664" t="s">
        <v>863</v>
      </c>
      <c r="P85" s="664" t="s">
        <v>72</v>
      </c>
      <c r="Q85" s="665"/>
      <c r="R85" s="665" t="s">
        <v>828</v>
      </c>
      <c r="S85" s="664"/>
    </row>
    <row r="86" ht="15.75" customHeight="1">
      <c r="N86" s="664">
        <v>83.0</v>
      </c>
      <c r="O86" s="664" t="s">
        <v>193</v>
      </c>
      <c r="P86" s="664" t="s">
        <v>172</v>
      </c>
      <c r="Q86" s="665"/>
      <c r="R86" s="665" t="s">
        <v>795</v>
      </c>
      <c r="S86" s="664"/>
    </row>
    <row r="87" ht="15.75" customHeight="1">
      <c r="N87" s="664">
        <v>84.0</v>
      </c>
      <c r="O87" s="664" t="s">
        <v>864</v>
      </c>
      <c r="P87" s="664" t="s">
        <v>72</v>
      </c>
      <c r="Q87" s="665"/>
      <c r="R87" s="665" t="s">
        <v>782</v>
      </c>
      <c r="S87" s="664"/>
    </row>
    <row r="88" ht="15.75" customHeight="1">
      <c r="N88" s="664">
        <v>85.0</v>
      </c>
      <c r="O88" s="664" t="s">
        <v>865</v>
      </c>
      <c r="P88" s="664"/>
      <c r="Q88" s="665"/>
      <c r="R88" s="665"/>
      <c r="S88" s="664"/>
    </row>
    <row r="89" ht="15.75" customHeight="1">
      <c r="N89" s="664">
        <v>86.0</v>
      </c>
      <c r="O89" s="664" t="s">
        <v>866</v>
      </c>
      <c r="P89" s="664" t="s">
        <v>187</v>
      </c>
      <c r="Q89" s="665">
        <f>1730/15</f>
        <v>115.3333333</v>
      </c>
      <c r="R89" s="665" t="s">
        <v>726</v>
      </c>
      <c r="S89" s="664"/>
    </row>
    <row r="90" ht="15.75" customHeight="1">
      <c r="N90" s="664">
        <v>87.0</v>
      </c>
      <c r="O90" s="664"/>
      <c r="P90" s="664"/>
      <c r="Q90" s="665"/>
      <c r="R90" s="665"/>
      <c r="S90" s="664"/>
    </row>
    <row r="91" ht="15.75" customHeight="1">
      <c r="N91" s="664">
        <v>88.0</v>
      </c>
      <c r="O91" s="664"/>
      <c r="P91" s="664"/>
      <c r="Q91" s="665"/>
      <c r="R91" s="665"/>
      <c r="S91" s="664"/>
    </row>
    <row r="92" ht="15.75" customHeight="1">
      <c r="N92" s="664">
        <v>89.0</v>
      </c>
      <c r="O92" s="664"/>
      <c r="P92" s="664"/>
      <c r="Q92" s="665"/>
      <c r="R92" s="664"/>
      <c r="S92" s="664"/>
    </row>
    <row r="93" ht="15.75" customHeight="1">
      <c r="N93" s="664"/>
      <c r="O93" s="664" t="s">
        <v>838</v>
      </c>
      <c r="P93" s="664"/>
      <c r="Q93" s="664"/>
      <c r="R93" s="664"/>
      <c r="S93" s="664"/>
    </row>
    <row r="94" ht="15.75" customHeight="1">
      <c r="N94" s="664"/>
      <c r="O94" s="664"/>
      <c r="P94" s="664"/>
      <c r="Q94" s="664"/>
      <c r="R94" s="664"/>
      <c r="S94" s="66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9:J59"/>
    <mergeCell ref="K59:L59"/>
    <mergeCell ref="B1:F1"/>
    <mergeCell ref="H1:L1"/>
    <mergeCell ref="AA2:AE2"/>
    <mergeCell ref="AA35:AB35"/>
    <mergeCell ref="AC35:AE35"/>
    <mergeCell ref="B59:D59"/>
    <mergeCell ref="E59:F59"/>
  </mergeCells>
  <printOptions horizontalCentered="1" verticalCentered="1"/>
  <pageMargins bottom="0.0" footer="0.0" header="0.0" left="0.0" right="0.0" top="0.0"/>
  <pageSetup scale="14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4.43"/>
    <col customWidth="1" min="3" max="3" width="13.43"/>
    <col customWidth="1" min="4" max="4" width="9.14"/>
    <col customWidth="1" min="5" max="5" width="24.43"/>
    <col customWidth="1" min="6" max="6" width="17.43"/>
    <col customWidth="1" min="7" max="7" width="22.14"/>
    <col customWidth="1" min="8" max="8" width="9.14"/>
    <col customWidth="1" min="9" max="9" width="22.14"/>
    <col customWidth="1" min="10" max="10" width="21.29"/>
    <col customWidth="1" min="11" max="11" width="9.14"/>
  </cols>
  <sheetData>
    <row r="1">
      <c r="A1" s="1012" t="s">
        <v>867</v>
      </c>
      <c r="B1" s="313"/>
      <c r="C1" s="510"/>
      <c r="E1" s="1130" t="s">
        <v>868</v>
      </c>
      <c r="K1" s="105"/>
    </row>
    <row r="2">
      <c r="A2" s="722">
        <v>5000.0</v>
      </c>
      <c r="B2" s="722">
        <v>19.0</v>
      </c>
      <c r="C2" s="275">
        <f t="shared" ref="C2:C8" si="1">+B2*A2</f>
        <v>95000</v>
      </c>
      <c r="E2" s="1131" t="s">
        <v>869</v>
      </c>
      <c r="F2" s="510"/>
      <c r="G2" s="1131" t="s">
        <v>870</v>
      </c>
      <c r="H2" s="510"/>
      <c r="I2" s="1131" t="s">
        <v>871</v>
      </c>
      <c r="J2" s="510"/>
    </row>
    <row r="3">
      <c r="A3" s="722">
        <v>1000.0</v>
      </c>
      <c r="B3" s="722">
        <v>47.0</v>
      </c>
      <c r="C3" s="275">
        <f t="shared" si="1"/>
        <v>47000</v>
      </c>
      <c r="E3" s="1132" t="s">
        <v>488</v>
      </c>
      <c r="F3" s="1133">
        <v>2416900.0</v>
      </c>
      <c r="G3" s="1132" t="s">
        <v>488</v>
      </c>
      <c r="H3" s="1133">
        <v>2075797.0</v>
      </c>
      <c r="I3" s="1132" t="s">
        <v>488</v>
      </c>
      <c r="J3" s="1047">
        <f t="shared" ref="J3:J5" si="2">H3-F3</f>
        <v>-341103</v>
      </c>
    </row>
    <row r="4">
      <c r="A4" s="722">
        <v>500.0</v>
      </c>
      <c r="B4" s="722">
        <v>367.0</v>
      </c>
      <c r="C4" s="275">
        <f t="shared" si="1"/>
        <v>183500</v>
      </c>
      <c r="E4" s="1132" t="s">
        <v>44</v>
      </c>
      <c r="F4" s="1133">
        <v>0.0</v>
      </c>
      <c r="G4" s="1132" t="s">
        <v>44</v>
      </c>
      <c r="H4" s="1133">
        <v>0.0</v>
      </c>
      <c r="I4" s="1132" t="s">
        <v>44</v>
      </c>
      <c r="J4" s="1047">
        <f t="shared" si="2"/>
        <v>0</v>
      </c>
    </row>
    <row r="5">
      <c r="A5" s="722">
        <v>100.0</v>
      </c>
      <c r="B5" s="722">
        <v>47.0</v>
      </c>
      <c r="C5" s="275">
        <f t="shared" si="1"/>
        <v>4700</v>
      </c>
      <c r="E5" s="1132" t="s">
        <v>490</v>
      </c>
      <c r="F5" s="210">
        <f>F3-F4</f>
        <v>2416900</v>
      </c>
      <c r="G5" s="1132" t="s">
        <v>490</v>
      </c>
      <c r="H5" s="210">
        <f>H3-H4</f>
        <v>2075797</v>
      </c>
      <c r="I5" s="1132" t="s">
        <v>490</v>
      </c>
      <c r="J5" s="1047">
        <f t="shared" si="2"/>
        <v>-341103</v>
      </c>
    </row>
    <row r="6">
      <c r="A6" s="722">
        <v>50.0</v>
      </c>
      <c r="B6" s="722">
        <v>148.0</v>
      </c>
      <c r="C6" s="275">
        <f t="shared" si="1"/>
        <v>7400</v>
      </c>
    </row>
    <row r="7">
      <c r="A7" s="722">
        <v>20.0</v>
      </c>
      <c r="B7" s="722">
        <v>16.0</v>
      </c>
      <c r="C7" s="275">
        <f t="shared" si="1"/>
        <v>320</v>
      </c>
    </row>
    <row r="8">
      <c r="A8" s="722">
        <v>10.0</v>
      </c>
      <c r="B8" s="722">
        <v>168.0</v>
      </c>
      <c r="C8" s="275">
        <f t="shared" si="1"/>
        <v>1680</v>
      </c>
    </row>
    <row r="9">
      <c r="A9" s="1134" t="s">
        <v>872</v>
      </c>
      <c r="B9" s="510"/>
      <c r="C9" s="1135">
        <f>SUM(C2:C8)</f>
        <v>339600</v>
      </c>
    </row>
    <row r="10">
      <c r="A10" s="1136" t="s">
        <v>873</v>
      </c>
      <c r="B10" s="510"/>
      <c r="C10" s="275">
        <f>'DAILY UPDATE'!BC36</f>
        <v>265</v>
      </c>
    </row>
    <row r="11">
      <c r="A11" s="1136" t="s">
        <v>874</v>
      </c>
      <c r="B11" s="510"/>
      <c r="C11" s="275">
        <f>'DAILY UPDATE'!S36</f>
        <v>12</v>
      </c>
    </row>
    <row r="12">
      <c r="A12" s="1136" t="s">
        <v>875</v>
      </c>
      <c r="B12" s="510"/>
      <c r="C12" s="275">
        <f>'DAILY UPDATE'!AK36</f>
        <v>99</v>
      </c>
    </row>
    <row r="13">
      <c r="A13" s="1136" t="s">
        <v>876</v>
      </c>
      <c r="B13" s="510"/>
      <c r="C13" s="275" t="str">
        <f>'DAILY UPDATE'!#REF!</f>
        <v>#ERROR!</v>
      </c>
    </row>
    <row r="14">
      <c r="A14" s="1136" t="s">
        <v>877</v>
      </c>
      <c r="B14" s="510"/>
      <c r="C14" s="275" t="str">
        <f>'DAILY UPDATE'!#REF!</f>
        <v>#ERROR!</v>
      </c>
      <c r="E14" s="1137" t="s">
        <v>878</v>
      </c>
      <c r="F14" s="510"/>
    </row>
    <row r="15">
      <c r="A15" s="1136" t="s">
        <v>879</v>
      </c>
      <c r="B15" s="510"/>
      <c r="C15" s="275">
        <v>500000.0</v>
      </c>
      <c r="E15" s="1047" t="s">
        <v>60</v>
      </c>
      <c r="F15" s="264" t="s">
        <v>61</v>
      </c>
    </row>
    <row r="16">
      <c r="A16" s="1136" t="s">
        <v>880</v>
      </c>
      <c r="B16" s="510"/>
      <c r="C16" s="275">
        <f>200+1000+1895+4800+5000</f>
        <v>12895</v>
      </c>
      <c r="E16" s="1047" t="s">
        <v>881</v>
      </c>
      <c r="F16" s="1047">
        <v>200.0</v>
      </c>
    </row>
    <row r="17">
      <c r="A17" s="1138" t="s">
        <v>882</v>
      </c>
      <c r="B17" s="731"/>
      <c r="C17" s="1139" t="str">
        <f>SUM(C9:C16)</f>
        <v>#ERROR!</v>
      </c>
      <c r="E17" s="1047" t="s">
        <v>883</v>
      </c>
      <c r="F17" s="1047">
        <v>1000.0</v>
      </c>
    </row>
    <row r="18">
      <c r="A18" s="1140"/>
      <c r="B18" s="734"/>
      <c r="C18" s="671"/>
      <c r="E18" s="1047" t="s">
        <v>884</v>
      </c>
      <c r="F18" s="1047">
        <v>1895.0</v>
      </c>
    </row>
    <row r="19">
      <c r="A19" s="1141" t="s">
        <v>885</v>
      </c>
      <c r="B19" s="510"/>
      <c r="C19" s="1142" t="str">
        <f>'DAILY UPDATE'!#REF!</f>
        <v>#ERROR!</v>
      </c>
      <c r="E19" s="1047" t="s">
        <v>886</v>
      </c>
      <c r="F19" s="1047">
        <v>4800.0</v>
      </c>
    </row>
    <row r="20">
      <c r="A20" s="1141" t="s">
        <v>534</v>
      </c>
      <c r="B20" s="510"/>
      <c r="C20" s="1142" t="str">
        <f>C17-C19</f>
        <v>#ERROR!</v>
      </c>
      <c r="E20" s="1047" t="s">
        <v>887</v>
      </c>
      <c r="F20" s="1047">
        <v>5000.0</v>
      </c>
    </row>
    <row r="21" ht="15.75" customHeight="1">
      <c r="E21" s="1112" t="s">
        <v>888</v>
      </c>
      <c r="F21" s="1112">
        <f>SUM(F16:F20)</f>
        <v>12895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C1"/>
    <mergeCell ref="E1:J1"/>
    <mergeCell ref="E2:F2"/>
    <mergeCell ref="G2:H2"/>
    <mergeCell ref="I2:J2"/>
    <mergeCell ref="A9:B9"/>
    <mergeCell ref="A10:B10"/>
    <mergeCell ref="A17:B18"/>
    <mergeCell ref="C17:C18"/>
    <mergeCell ref="A19:B19"/>
    <mergeCell ref="A20:B20"/>
    <mergeCell ref="A11:B11"/>
    <mergeCell ref="A12:B12"/>
    <mergeCell ref="A13:B13"/>
    <mergeCell ref="A14:B14"/>
    <mergeCell ref="E14:F14"/>
    <mergeCell ref="A15:B15"/>
    <mergeCell ref="A16:B16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0"/>
    <col customWidth="1" min="3" max="3" width="5.86"/>
    <col customWidth="1" min="4" max="13" width="8.43"/>
    <col customWidth="1" min="14" max="14" width="8.0"/>
    <col customWidth="1" min="15" max="15" width="8.43"/>
    <col customWidth="1" min="16" max="16" width="8.0"/>
    <col customWidth="1" min="17" max="17" width="9.43"/>
    <col customWidth="1" min="18" max="18" width="8.86"/>
    <col customWidth="1" min="19" max="19" width="10.29"/>
  </cols>
  <sheetData>
    <row r="1">
      <c r="B1" s="1143" t="s">
        <v>889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B2" s="1144" t="s">
        <v>37</v>
      </c>
      <c r="C2" s="1145" t="s">
        <v>890</v>
      </c>
      <c r="D2" s="1146" t="s">
        <v>891</v>
      </c>
      <c r="E2" s="1147" t="s">
        <v>62</v>
      </c>
      <c r="F2" s="1147" t="s">
        <v>892</v>
      </c>
      <c r="G2" s="1147" t="s">
        <v>893</v>
      </c>
      <c r="H2" s="1148" t="s">
        <v>894</v>
      </c>
      <c r="I2" s="1148" t="s">
        <v>62</v>
      </c>
      <c r="J2" s="1148" t="s">
        <v>892</v>
      </c>
      <c r="K2" s="1148" t="s">
        <v>893</v>
      </c>
      <c r="L2" s="1149" t="s">
        <v>895</v>
      </c>
      <c r="M2" s="1149" t="s">
        <v>62</v>
      </c>
      <c r="N2" s="1149" t="s">
        <v>892</v>
      </c>
      <c r="O2" s="1150" t="s">
        <v>893</v>
      </c>
      <c r="P2" s="1151" t="s">
        <v>896</v>
      </c>
      <c r="Q2" s="1152" t="s">
        <v>897</v>
      </c>
      <c r="R2" s="1153" t="s">
        <v>898</v>
      </c>
      <c r="S2" s="1154" t="s">
        <v>62</v>
      </c>
    </row>
    <row r="3">
      <c r="B3" s="1155">
        <v>44469.0</v>
      </c>
      <c r="C3" s="1156" t="s">
        <v>899</v>
      </c>
      <c r="D3" s="1157"/>
      <c r="E3" s="1158"/>
      <c r="F3" s="1158"/>
      <c r="G3" s="1158"/>
      <c r="H3" s="1159"/>
      <c r="I3" s="1160"/>
      <c r="J3" s="1160"/>
      <c r="K3" s="1160"/>
      <c r="L3" s="1161"/>
      <c r="M3" s="1162"/>
      <c r="N3" s="1162"/>
      <c r="O3" s="1163"/>
      <c r="P3" s="1164"/>
      <c r="Q3" s="1165"/>
      <c r="R3" s="1166"/>
      <c r="S3" s="1167"/>
    </row>
    <row r="4">
      <c r="B4" s="1168">
        <f t="shared" ref="B4:B34" si="1">1+B3</f>
        <v>44470</v>
      </c>
      <c r="C4" s="106" t="s">
        <v>900</v>
      </c>
      <c r="D4" s="1169"/>
      <c r="E4" s="1170"/>
      <c r="F4" s="1170"/>
      <c r="G4" s="1170"/>
      <c r="H4" s="1171"/>
      <c r="I4" s="1172"/>
      <c r="J4" s="1172"/>
      <c r="K4" s="1172"/>
      <c r="L4" s="1173"/>
      <c r="M4" s="1174"/>
      <c r="N4" s="1174"/>
      <c r="O4" s="1175"/>
      <c r="P4" s="1176">
        <f t="shared" ref="P4:P34" si="2">(I4-E4)*60</f>
        <v>0</v>
      </c>
      <c r="Q4" s="1177">
        <f t="shared" ref="Q4:Q34" si="3">(M4-I4)*60</f>
        <v>0</v>
      </c>
      <c r="R4" s="1178">
        <f t="shared" ref="R4:R34" si="4">SUM(E5-M4)*60</f>
        <v>0</v>
      </c>
      <c r="S4" s="1179">
        <f t="shared" ref="S4:S34" si="5">(E5-E4)*60</f>
        <v>0</v>
      </c>
    </row>
    <row r="5">
      <c r="B5" s="1168">
        <f t="shared" si="1"/>
        <v>44471</v>
      </c>
      <c r="C5" s="106" t="s">
        <v>901</v>
      </c>
      <c r="D5" s="1169"/>
      <c r="E5" s="1170"/>
      <c r="F5" s="1170"/>
      <c r="G5" s="1170"/>
      <c r="H5" s="1171"/>
      <c r="I5" s="1172"/>
      <c r="J5" s="1172"/>
      <c r="K5" s="1172"/>
      <c r="L5" s="1173"/>
      <c r="M5" s="1174"/>
      <c r="N5" s="1174"/>
      <c r="O5" s="1175"/>
      <c r="P5" s="1176">
        <f t="shared" si="2"/>
        <v>0</v>
      </c>
      <c r="Q5" s="1177">
        <f t="shared" si="3"/>
        <v>0</v>
      </c>
      <c r="R5" s="1178">
        <f t="shared" si="4"/>
        <v>0</v>
      </c>
      <c r="S5" s="1179">
        <f t="shared" si="5"/>
        <v>0</v>
      </c>
    </row>
    <row r="6">
      <c r="B6" s="1168">
        <f t="shared" si="1"/>
        <v>44472</v>
      </c>
      <c r="C6" s="106" t="s">
        <v>505</v>
      </c>
      <c r="D6" s="1169"/>
      <c r="E6" s="1170"/>
      <c r="F6" s="1170"/>
      <c r="G6" s="1170"/>
      <c r="H6" s="1171"/>
      <c r="I6" s="1172"/>
      <c r="J6" s="1172"/>
      <c r="K6" s="1172"/>
      <c r="L6" s="1173"/>
      <c r="M6" s="1174"/>
      <c r="N6" s="1174"/>
      <c r="O6" s="1175"/>
      <c r="P6" s="1176">
        <f t="shared" si="2"/>
        <v>0</v>
      </c>
      <c r="Q6" s="1177">
        <f t="shared" si="3"/>
        <v>0</v>
      </c>
      <c r="R6" s="1178">
        <f t="shared" si="4"/>
        <v>0</v>
      </c>
      <c r="S6" s="1179">
        <f t="shared" si="5"/>
        <v>0</v>
      </c>
    </row>
    <row r="7">
      <c r="B7" s="1180">
        <f t="shared" si="1"/>
        <v>44473</v>
      </c>
      <c r="C7" s="106" t="s">
        <v>902</v>
      </c>
      <c r="D7" s="1169"/>
      <c r="E7" s="1170"/>
      <c r="F7" s="1170"/>
      <c r="G7" s="1170"/>
      <c r="H7" s="1171"/>
      <c r="I7" s="1172"/>
      <c r="J7" s="1172"/>
      <c r="K7" s="1172"/>
      <c r="L7" s="1173"/>
      <c r="M7" s="1174"/>
      <c r="N7" s="1174"/>
      <c r="O7" s="1175"/>
      <c r="P7" s="1176">
        <f t="shared" si="2"/>
        <v>0</v>
      </c>
      <c r="Q7" s="1177">
        <f t="shared" si="3"/>
        <v>0</v>
      </c>
      <c r="R7" s="1178">
        <f t="shared" si="4"/>
        <v>0</v>
      </c>
      <c r="S7" s="1179">
        <f t="shared" si="5"/>
        <v>0</v>
      </c>
    </row>
    <row r="8">
      <c r="B8" s="1180">
        <f t="shared" si="1"/>
        <v>44474</v>
      </c>
      <c r="C8" s="106" t="s">
        <v>903</v>
      </c>
      <c r="D8" s="1169"/>
      <c r="E8" s="1170"/>
      <c r="F8" s="1170"/>
      <c r="G8" s="1170"/>
      <c r="H8" s="1171"/>
      <c r="I8" s="1172"/>
      <c r="J8" s="1172"/>
      <c r="K8" s="1172"/>
      <c r="L8" s="1173"/>
      <c r="M8" s="1174"/>
      <c r="N8" s="1174"/>
      <c r="O8" s="1175"/>
      <c r="P8" s="1176">
        <f t="shared" si="2"/>
        <v>0</v>
      </c>
      <c r="Q8" s="1177">
        <f t="shared" si="3"/>
        <v>0</v>
      </c>
      <c r="R8" s="1178">
        <f t="shared" si="4"/>
        <v>0</v>
      </c>
      <c r="S8" s="1179">
        <f t="shared" si="5"/>
        <v>0</v>
      </c>
    </row>
    <row r="9">
      <c r="B9" s="1180">
        <f t="shared" si="1"/>
        <v>44475</v>
      </c>
      <c r="C9" s="106" t="s">
        <v>904</v>
      </c>
      <c r="D9" s="1169"/>
      <c r="E9" s="1170"/>
      <c r="F9" s="1170"/>
      <c r="G9" s="1170"/>
      <c r="H9" s="1171"/>
      <c r="I9" s="1172"/>
      <c r="J9" s="1172"/>
      <c r="K9" s="1172"/>
      <c r="L9" s="1173"/>
      <c r="M9" s="1174"/>
      <c r="N9" s="1174"/>
      <c r="O9" s="1175"/>
      <c r="P9" s="1176">
        <f t="shared" si="2"/>
        <v>0</v>
      </c>
      <c r="Q9" s="1177">
        <f t="shared" si="3"/>
        <v>0</v>
      </c>
      <c r="R9" s="1178">
        <f t="shared" si="4"/>
        <v>0</v>
      </c>
      <c r="S9" s="1179">
        <f t="shared" si="5"/>
        <v>0</v>
      </c>
    </row>
    <row r="10">
      <c r="B10" s="1180">
        <f t="shared" si="1"/>
        <v>44476</v>
      </c>
      <c r="C10" s="106" t="s">
        <v>899</v>
      </c>
      <c r="D10" s="1169"/>
      <c r="E10" s="1170"/>
      <c r="F10" s="1170"/>
      <c r="G10" s="1170"/>
      <c r="H10" s="1171"/>
      <c r="I10" s="1172"/>
      <c r="J10" s="1172"/>
      <c r="K10" s="1172"/>
      <c r="L10" s="1173"/>
      <c r="M10" s="1174"/>
      <c r="N10" s="1174"/>
      <c r="O10" s="1175"/>
      <c r="P10" s="1176">
        <f t="shared" si="2"/>
        <v>0</v>
      </c>
      <c r="Q10" s="1177">
        <f t="shared" si="3"/>
        <v>0</v>
      </c>
      <c r="R10" s="1178">
        <f t="shared" si="4"/>
        <v>0</v>
      </c>
      <c r="S10" s="1179">
        <f t="shared" si="5"/>
        <v>0</v>
      </c>
    </row>
    <row r="11">
      <c r="B11" s="1180">
        <f t="shared" si="1"/>
        <v>44477</v>
      </c>
      <c r="C11" s="106" t="s">
        <v>900</v>
      </c>
      <c r="D11" s="1169"/>
      <c r="E11" s="1170"/>
      <c r="F11" s="1170"/>
      <c r="G11" s="1170"/>
      <c r="H11" s="1171"/>
      <c r="I11" s="1172"/>
      <c r="J11" s="1172"/>
      <c r="K11" s="1172"/>
      <c r="L11" s="1173"/>
      <c r="M11" s="1174"/>
      <c r="N11" s="1174"/>
      <c r="O11" s="1175"/>
      <c r="P11" s="1176">
        <f t="shared" si="2"/>
        <v>0</v>
      </c>
      <c r="Q11" s="1177">
        <f t="shared" si="3"/>
        <v>0</v>
      </c>
      <c r="R11" s="1178">
        <f t="shared" si="4"/>
        <v>0</v>
      </c>
      <c r="S11" s="1179">
        <f t="shared" si="5"/>
        <v>0</v>
      </c>
    </row>
    <row r="12">
      <c r="B12" s="1180">
        <f t="shared" si="1"/>
        <v>44478</v>
      </c>
      <c r="C12" s="106" t="s">
        <v>901</v>
      </c>
      <c r="D12" s="1169"/>
      <c r="E12" s="1170"/>
      <c r="F12" s="1170"/>
      <c r="G12" s="1170"/>
      <c r="H12" s="1171"/>
      <c r="I12" s="1172"/>
      <c r="J12" s="1172"/>
      <c r="K12" s="1172"/>
      <c r="L12" s="1173"/>
      <c r="M12" s="1174"/>
      <c r="N12" s="1174"/>
      <c r="O12" s="1175"/>
      <c r="P12" s="1176">
        <f t="shared" si="2"/>
        <v>0</v>
      </c>
      <c r="Q12" s="1177">
        <f t="shared" si="3"/>
        <v>0</v>
      </c>
      <c r="R12" s="1178">
        <f t="shared" si="4"/>
        <v>0</v>
      </c>
      <c r="S12" s="1179">
        <f t="shared" si="5"/>
        <v>0</v>
      </c>
    </row>
    <row r="13">
      <c r="B13" s="1168">
        <f t="shared" si="1"/>
        <v>44479</v>
      </c>
      <c r="C13" s="106" t="s">
        <v>505</v>
      </c>
      <c r="D13" s="1169"/>
      <c r="E13" s="1170"/>
      <c r="F13" s="1170"/>
      <c r="G13" s="1170"/>
      <c r="H13" s="1171"/>
      <c r="I13" s="1172"/>
      <c r="J13" s="1172"/>
      <c r="K13" s="1172"/>
      <c r="L13" s="1173"/>
      <c r="M13" s="1174"/>
      <c r="N13" s="1174"/>
      <c r="O13" s="1175"/>
      <c r="P13" s="1176">
        <f t="shared" si="2"/>
        <v>0</v>
      </c>
      <c r="Q13" s="1177">
        <f t="shared" si="3"/>
        <v>0</v>
      </c>
      <c r="R13" s="1178">
        <f t="shared" si="4"/>
        <v>0</v>
      </c>
      <c r="S13" s="1179">
        <f t="shared" si="5"/>
        <v>0</v>
      </c>
    </row>
    <row r="14">
      <c r="B14" s="1168">
        <f t="shared" si="1"/>
        <v>44480</v>
      </c>
      <c r="C14" s="106" t="s">
        <v>902</v>
      </c>
      <c r="D14" s="1169"/>
      <c r="E14" s="1170"/>
      <c r="F14" s="1170"/>
      <c r="G14" s="1170"/>
      <c r="H14" s="1171"/>
      <c r="I14" s="1172"/>
      <c r="J14" s="1172"/>
      <c r="K14" s="1172"/>
      <c r="L14" s="1173"/>
      <c r="M14" s="1174"/>
      <c r="N14" s="1174"/>
      <c r="O14" s="1175"/>
      <c r="P14" s="1181">
        <f t="shared" si="2"/>
        <v>0</v>
      </c>
      <c r="Q14" s="1182">
        <f t="shared" si="3"/>
        <v>0</v>
      </c>
      <c r="R14" s="1183">
        <f t="shared" si="4"/>
        <v>0</v>
      </c>
      <c r="S14" s="1184">
        <f t="shared" si="5"/>
        <v>0</v>
      </c>
    </row>
    <row r="15">
      <c r="B15" s="1168">
        <f t="shared" si="1"/>
        <v>44481</v>
      </c>
      <c r="C15" s="106" t="s">
        <v>903</v>
      </c>
      <c r="D15" s="1169"/>
      <c r="E15" s="1170"/>
      <c r="F15" s="1170"/>
      <c r="G15" s="1170"/>
      <c r="H15" s="1171"/>
      <c r="I15" s="1172"/>
      <c r="J15" s="1172"/>
      <c r="K15" s="1172"/>
      <c r="L15" s="1173"/>
      <c r="M15" s="1174"/>
      <c r="N15" s="1174"/>
      <c r="O15" s="1175"/>
      <c r="P15" s="1181">
        <f t="shared" si="2"/>
        <v>0</v>
      </c>
      <c r="Q15" s="1182">
        <f t="shared" si="3"/>
        <v>0</v>
      </c>
      <c r="R15" s="1183">
        <f t="shared" si="4"/>
        <v>0</v>
      </c>
      <c r="S15" s="1184">
        <f t="shared" si="5"/>
        <v>0</v>
      </c>
    </row>
    <row r="16">
      <c r="B16" s="1168">
        <f t="shared" si="1"/>
        <v>44482</v>
      </c>
      <c r="C16" s="106" t="s">
        <v>904</v>
      </c>
      <c r="D16" s="1169"/>
      <c r="E16" s="1170"/>
      <c r="F16" s="1170"/>
      <c r="G16" s="1170"/>
      <c r="H16" s="1171"/>
      <c r="I16" s="1172"/>
      <c r="J16" s="1172"/>
      <c r="K16" s="1172"/>
      <c r="L16" s="1173"/>
      <c r="M16" s="1174"/>
      <c r="N16" s="1174"/>
      <c r="O16" s="1175"/>
      <c r="P16" s="1181">
        <f t="shared" si="2"/>
        <v>0</v>
      </c>
      <c r="Q16" s="1182">
        <f t="shared" si="3"/>
        <v>0</v>
      </c>
      <c r="R16" s="1183">
        <f t="shared" si="4"/>
        <v>0</v>
      </c>
      <c r="S16" s="1184">
        <f t="shared" si="5"/>
        <v>0</v>
      </c>
    </row>
    <row r="17">
      <c r="B17" s="1168">
        <f t="shared" si="1"/>
        <v>44483</v>
      </c>
      <c r="C17" s="106" t="s">
        <v>899</v>
      </c>
      <c r="D17" s="1169"/>
      <c r="E17" s="1170"/>
      <c r="F17" s="1170"/>
      <c r="G17" s="1170"/>
      <c r="H17" s="1171"/>
      <c r="I17" s="1172"/>
      <c r="J17" s="1172"/>
      <c r="K17" s="1172"/>
      <c r="L17" s="1173"/>
      <c r="M17" s="1174"/>
      <c r="N17" s="1174"/>
      <c r="O17" s="1175"/>
      <c r="P17" s="1181">
        <f t="shared" si="2"/>
        <v>0</v>
      </c>
      <c r="Q17" s="1182">
        <f t="shared" si="3"/>
        <v>0</v>
      </c>
      <c r="R17" s="1183">
        <f t="shared" si="4"/>
        <v>0</v>
      </c>
      <c r="S17" s="1184">
        <f t="shared" si="5"/>
        <v>0</v>
      </c>
    </row>
    <row r="18">
      <c r="B18" s="1168">
        <f t="shared" si="1"/>
        <v>44484</v>
      </c>
      <c r="C18" s="106" t="s">
        <v>900</v>
      </c>
      <c r="D18" s="1169"/>
      <c r="E18" s="1170"/>
      <c r="F18" s="1170"/>
      <c r="G18" s="1170"/>
      <c r="H18" s="1171"/>
      <c r="I18" s="1172"/>
      <c r="J18" s="1172"/>
      <c r="K18" s="1172"/>
      <c r="L18" s="1173"/>
      <c r="M18" s="1174"/>
      <c r="N18" s="1174"/>
      <c r="O18" s="1175"/>
      <c r="P18" s="1181">
        <f t="shared" si="2"/>
        <v>0</v>
      </c>
      <c r="Q18" s="1182">
        <f t="shared" si="3"/>
        <v>0</v>
      </c>
      <c r="R18" s="1183">
        <f t="shared" si="4"/>
        <v>0</v>
      </c>
      <c r="S18" s="1184">
        <f t="shared" si="5"/>
        <v>0</v>
      </c>
    </row>
    <row r="19">
      <c r="B19" s="1168">
        <f t="shared" si="1"/>
        <v>44485</v>
      </c>
      <c r="C19" s="106" t="s">
        <v>901</v>
      </c>
      <c r="D19" s="1169"/>
      <c r="E19" s="1170"/>
      <c r="F19" s="1170"/>
      <c r="G19" s="1170"/>
      <c r="H19" s="1171"/>
      <c r="I19" s="1172"/>
      <c r="J19" s="1172"/>
      <c r="K19" s="1172"/>
      <c r="L19" s="1173"/>
      <c r="M19" s="1174"/>
      <c r="N19" s="1174"/>
      <c r="O19" s="1175"/>
      <c r="P19" s="1181">
        <f t="shared" si="2"/>
        <v>0</v>
      </c>
      <c r="Q19" s="1182">
        <f t="shared" si="3"/>
        <v>0</v>
      </c>
      <c r="R19" s="1183">
        <f t="shared" si="4"/>
        <v>0</v>
      </c>
      <c r="S19" s="1184">
        <f t="shared" si="5"/>
        <v>0</v>
      </c>
    </row>
    <row r="20">
      <c r="B20" s="1168">
        <f t="shared" si="1"/>
        <v>44486</v>
      </c>
      <c r="C20" s="106" t="s">
        <v>505</v>
      </c>
      <c r="D20" s="1169"/>
      <c r="E20" s="1170"/>
      <c r="F20" s="1170"/>
      <c r="G20" s="1170"/>
      <c r="H20" s="1171"/>
      <c r="I20" s="1172"/>
      <c r="J20" s="1172"/>
      <c r="K20" s="1172"/>
      <c r="L20" s="1173"/>
      <c r="M20" s="1174"/>
      <c r="N20" s="1174"/>
      <c r="O20" s="1175"/>
      <c r="P20" s="1181">
        <f t="shared" si="2"/>
        <v>0</v>
      </c>
      <c r="Q20" s="1182">
        <f t="shared" si="3"/>
        <v>0</v>
      </c>
      <c r="R20" s="1183">
        <f t="shared" si="4"/>
        <v>0</v>
      </c>
      <c r="S20" s="1184">
        <f t="shared" si="5"/>
        <v>0</v>
      </c>
    </row>
    <row r="21" ht="15.75" customHeight="1">
      <c r="B21" s="1168">
        <f t="shared" si="1"/>
        <v>44487</v>
      </c>
      <c r="C21" s="106" t="s">
        <v>902</v>
      </c>
      <c r="D21" s="1169"/>
      <c r="E21" s="1170"/>
      <c r="F21" s="1170"/>
      <c r="G21" s="1170"/>
      <c r="H21" s="1171"/>
      <c r="I21" s="1172"/>
      <c r="J21" s="1172"/>
      <c r="K21" s="1172"/>
      <c r="L21" s="1173"/>
      <c r="M21" s="1174"/>
      <c r="N21" s="1174"/>
      <c r="O21" s="1175"/>
      <c r="P21" s="1181">
        <f t="shared" si="2"/>
        <v>0</v>
      </c>
      <c r="Q21" s="1182">
        <f t="shared" si="3"/>
        <v>0</v>
      </c>
      <c r="R21" s="1183">
        <f t="shared" si="4"/>
        <v>0</v>
      </c>
      <c r="S21" s="1184">
        <f t="shared" si="5"/>
        <v>0</v>
      </c>
    </row>
    <row r="22" ht="15.75" customHeight="1">
      <c r="B22" s="1168">
        <f t="shared" si="1"/>
        <v>44488</v>
      </c>
      <c r="C22" s="106" t="s">
        <v>903</v>
      </c>
      <c r="D22" s="1169"/>
      <c r="E22" s="1170"/>
      <c r="F22" s="1170"/>
      <c r="G22" s="1170"/>
      <c r="H22" s="1171"/>
      <c r="I22" s="1172"/>
      <c r="J22" s="1172"/>
      <c r="K22" s="1172"/>
      <c r="L22" s="1173"/>
      <c r="M22" s="1174"/>
      <c r="N22" s="1174"/>
      <c r="O22" s="1175"/>
      <c r="P22" s="1181">
        <f t="shared" si="2"/>
        <v>0</v>
      </c>
      <c r="Q22" s="1182">
        <f t="shared" si="3"/>
        <v>0</v>
      </c>
      <c r="R22" s="1183">
        <f t="shared" si="4"/>
        <v>0</v>
      </c>
      <c r="S22" s="1184">
        <f t="shared" si="5"/>
        <v>0</v>
      </c>
    </row>
    <row r="23" ht="15.75" customHeight="1">
      <c r="B23" s="1180">
        <f t="shared" si="1"/>
        <v>44489</v>
      </c>
      <c r="C23" s="106" t="s">
        <v>904</v>
      </c>
      <c r="D23" s="1169"/>
      <c r="E23" s="1170"/>
      <c r="F23" s="1170"/>
      <c r="G23" s="1170"/>
      <c r="H23" s="1171"/>
      <c r="I23" s="1172"/>
      <c r="J23" s="1172"/>
      <c r="K23" s="1172"/>
      <c r="L23" s="1173"/>
      <c r="M23" s="1174"/>
      <c r="N23" s="1174"/>
      <c r="O23" s="1175"/>
      <c r="P23" s="1181">
        <f t="shared" si="2"/>
        <v>0</v>
      </c>
      <c r="Q23" s="1182">
        <f t="shared" si="3"/>
        <v>0</v>
      </c>
      <c r="R23" s="1183">
        <f t="shared" si="4"/>
        <v>0</v>
      </c>
      <c r="S23" s="1184">
        <f t="shared" si="5"/>
        <v>0</v>
      </c>
    </row>
    <row r="24" ht="15.75" customHeight="1">
      <c r="B24" s="1180">
        <f t="shared" si="1"/>
        <v>44490</v>
      </c>
      <c r="C24" s="106" t="s">
        <v>899</v>
      </c>
      <c r="D24" s="1169"/>
      <c r="E24" s="1170"/>
      <c r="F24" s="1170"/>
      <c r="G24" s="1170"/>
      <c r="H24" s="1171"/>
      <c r="I24" s="1172"/>
      <c r="J24" s="1172"/>
      <c r="K24" s="1172"/>
      <c r="L24" s="1173"/>
      <c r="M24" s="1174"/>
      <c r="N24" s="1174"/>
      <c r="O24" s="1175"/>
      <c r="P24" s="1181">
        <f t="shared" si="2"/>
        <v>0</v>
      </c>
      <c r="Q24" s="1182">
        <f t="shared" si="3"/>
        <v>0</v>
      </c>
      <c r="R24" s="1183">
        <f t="shared" si="4"/>
        <v>0</v>
      </c>
      <c r="S24" s="1184">
        <f t="shared" si="5"/>
        <v>0</v>
      </c>
    </row>
    <row r="25" ht="15.75" customHeight="1">
      <c r="B25" s="1168">
        <f t="shared" si="1"/>
        <v>44491</v>
      </c>
      <c r="C25" s="106" t="s">
        <v>900</v>
      </c>
      <c r="D25" s="1169"/>
      <c r="E25" s="1170"/>
      <c r="F25" s="1170"/>
      <c r="G25" s="1170"/>
      <c r="H25" s="1171"/>
      <c r="I25" s="1172"/>
      <c r="J25" s="1172"/>
      <c r="K25" s="1172"/>
      <c r="L25" s="1173"/>
      <c r="M25" s="1174"/>
      <c r="N25" s="1185"/>
      <c r="O25" s="1186"/>
      <c r="P25" s="1181">
        <f t="shared" si="2"/>
        <v>0</v>
      </c>
      <c r="Q25" s="1182">
        <f t="shared" si="3"/>
        <v>0</v>
      </c>
      <c r="R25" s="1183">
        <f t="shared" si="4"/>
        <v>0</v>
      </c>
      <c r="S25" s="1184">
        <f t="shared" si="5"/>
        <v>0</v>
      </c>
    </row>
    <row r="26" ht="15.75" customHeight="1">
      <c r="B26" s="1168">
        <f t="shared" si="1"/>
        <v>44492</v>
      </c>
      <c r="C26" s="106" t="s">
        <v>901</v>
      </c>
      <c r="D26" s="1169"/>
      <c r="E26" s="1170"/>
      <c r="F26" s="1170"/>
      <c r="G26" s="1170"/>
      <c r="H26" s="1171"/>
      <c r="I26" s="1172"/>
      <c r="J26" s="1172"/>
      <c r="K26" s="1172"/>
      <c r="L26" s="1173"/>
      <c r="M26" s="1174"/>
      <c r="N26" s="1185"/>
      <c r="O26" s="1186"/>
      <c r="P26" s="1181">
        <f t="shared" si="2"/>
        <v>0</v>
      </c>
      <c r="Q26" s="1182">
        <f t="shared" si="3"/>
        <v>0</v>
      </c>
      <c r="R26" s="1183">
        <f t="shared" si="4"/>
        <v>0</v>
      </c>
      <c r="S26" s="1184">
        <f t="shared" si="5"/>
        <v>0</v>
      </c>
    </row>
    <row r="27" ht="15.75" customHeight="1">
      <c r="B27" s="1168">
        <f t="shared" si="1"/>
        <v>44493</v>
      </c>
      <c r="C27" s="106" t="s">
        <v>505</v>
      </c>
      <c r="D27" s="1169"/>
      <c r="E27" s="1170"/>
      <c r="F27" s="1170"/>
      <c r="G27" s="1170"/>
      <c r="H27" s="1171"/>
      <c r="I27" s="1172"/>
      <c r="J27" s="1172"/>
      <c r="K27" s="1172"/>
      <c r="L27" s="1173"/>
      <c r="M27" s="1174"/>
      <c r="N27" s="1185"/>
      <c r="O27" s="1186"/>
      <c r="P27" s="1181">
        <f t="shared" si="2"/>
        <v>0</v>
      </c>
      <c r="Q27" s="1182">
        <f t="shared" si="3"/>
        <v>0</v>
      </c>
      <c r="R27" s="1183">
        <f t="shared" si="4"/>
        <v>0</v>
      </c>
      <c r="S27" s="1184">
        <f t="shared" si="5"/>
        <v>0</v>
      </c>
    </row>
    <row r="28" ht="15.75" customHeight="1">
      <c r="B28" s="1168">
        <f t="shared" si="1"/>
        <v>44494</v>
      </c>
      <c r="C28" s="106" t="s">
        <v>902</v>
      </c>
      <c r="D28" s="1169"/>
      <c r="E28" s="1170"/>
      <c r="F28" s="1170"/>
      <c r="G28" s="1170"/>
      <c r="H28" s="1171"/>
      <c r="I28" s="1172"/>
      <c r="J28" s="1172"/>
      <c r="K28" s="1172"/>
      <c r="L28" s="1174"/>
      <c r="M28" s="1174"/>
      <c r="N28" s="1185"/>
      <c r="O28" s="1186"/>
      <c r="P28" s="1181">
        <f t="shared" si="2"/>
        <v>0</v>
      </c>
      <c r="Q28" s="1182">
        <f t="shared" si="3"/>
        <v>0</v>
      </c>
      <c r="R28" s="1183">
        <f t="shared" si="4"/>
        <v>0</v>
      </c>
      <c r="S28" s="1184">
        <f t="shared" si="5"/>
        <v>0</v>
      </c>
    </row>
    <row r="29" ht="15.75" customHeight="1">
      <c r="B29" s="1168">
        <f t="shared" si="1"/>
        <v>44495</v>
      </c>
      <c r="C29" s="106" t="s">
        <v>903</v>
      </c>
      <c r="D29" s="1169"/>
      <c r="E29" s="1170"/>
      <c r="F29" s="1170"/>
      <c r="G29" s="1170"/>
      <c r="H29" s="1171"/>
      <c r="I29" s="1172"/>
      <c r="J29" s="1172"/>
      <c r="K29" s="1172"/>
      <c r="L29" s="1173"/>
      <c r="M29" s="1174"/>
      <c r="N29" s="1174"/>
      <c r="O29" s="1175"/>
      <c r="P29" s="1181">
        <f t="shared" si="2"/>
        <v>0</v>
      </c>
      <c r="Q29" s="1182">
        <f t="shared" si="3"/>
        <v>0</v>
      </c>
      <c r="R29" s="1183">
        <f t="shared" si="4"/>
        <v>0</v>
      </c>
      <c r="S29" s="1184">
        <f t="shared" si="5"/>
        <v>0</v>
      </c>
    </row>
    <row r="30" ht="15.75" customHeight="1">
      <c r="B30" s="1168">
        <f t="shared" si="1"/>
        <v>44496</v>
      </c>
      <c r="C30" s="106" t="s">
        <v>904</v>
      </c>
      <c r="D30" s="1169"/>
      <c r="E30" s="1170"/>
      <c r="F30" s="1170"/>
      <c r="G30" s="1170"/>
      <c r="H30" s="1171"/>
      <c r="I30" s="1172"/>
      <c r="J30" s="1172"/>
      <c r="K30" s="1172"/>
      <c r="L30" s="1173"/>
      <c r="M30" s="1174"/>
      <c r="N30" s="1174"/>
      <c r="O30" s="1175"/>
      <c r="P30" s="1181">
        <f t="shared" si="2"/>
        <v>0</v>
      </c>
      <c r="Q30" s="1182">
        <f t="shared" si="3"/>
        <v>0</v>
      </c>
      <c r="R30" s="1183">
        <f t="shared" si="4"/>
        <v>0</v>
      </c>
      <c r="S30" s="1184">
        <f t="shared" si="5"/>
        <v>0</v>
      </c>
    </row>
    <row r="31" ht="15.75" customHeight="1">
      <c r="B31" s="1168">
        <f t="shared" si="1"/>
        <v>44497</v>
      </c>
      <c r="C31" s="106" t="s">
        <v>899</v>
      </c>
      <c r="D31" s="1169"/>
      <c r="E31" s="1170"/>
      <c r="F31" s="1170"/>
      <c r="G31" s="1170"/>
      <c r="H31" s="1171"/>
      <c r="I31" s="1172"/>
      <c r="J31" s="1172"/>
      <c r="K31" s="1172"/>
      <c r="L31" s="1173"/>
      <c r="M31" s="1174"/>
      <c r="N31" s="1174"/>
      <c r="O31" s="1175"/>
      <c r="P31" s="1181">
        <f t="shared" si="2"/>
        <v>0</v>
      </c>
      <c r="Q31" s="1182">
        <f t="shared" si="3"/>
        <v>0</v>
      </c>
      <c r="R31" s="1183">
        <f t="shared" si="4"/>
        <v>0</v>
      </c>
      <c r="S31" s="1184">
        <f t="shared" si="5"/>
        <v>0</v>
      </c>
    </row>
    <row r="32" ht="15.75" customHeight="1">
      <c r="B32" s="1168">
        <f t="shared" si="1"/>
        <v>44498</v>
      </c>
      <c r="C32" s="106" t="s">
        <v>900</v>
      </c>
      <c r="D32" s="1169"/>
      <c r="E32" s="1170"/>
      <c r="F32" s="1170"/>
      <c r="G32" s="1170"/>
      <c r="H32" s="1171"/>
      <c r="I32" s="1172"/>
      <c r="J32" s="1172"/>
      <c r="K32" s="1172"/>
      <c r="L32" s="1173"/>
      <c r="M32" s="1174"/>
      <c r="N32" s="1174"/>
      <c r="O32" s="1175"/>
      <c r="P32" s="1181">
        <f t="shared" si="2"/>
        <v>0</v>
      </c>
      <c r="Q32" s="1182">
        <f t="shared" si="3"/>
        <v>0</v>
      </c>
      <c r="R32" s="1183">
        <f t="shared" si="4"/>
        <v>0</v>
      </c>
      <c r="S32" s="1184">
        <f t="shared" si="5"/>
        <v>0</v>
      </c>
    </row>
    <row r="33" ht="15.75" customHeight="1">
      <c r="B33" s="1168">
        <f t="shared" si="1"/>
        <v>44499</v>
      </c>
      <c r="C33" s="106" t="s">
        <v>901</v>
      </c>
      <c r="D33" s="1169"/>
      <c r="E33" s="1170"/>
      <c r="F33" s="1170"/>
      <c r="G33" s="1170"/>
      <c r="H33" s="1171"/>
      <c r="I33" s="1172"/>
      <c r="J33" s="1172"/>
      <c r="K33" s="1172"/>
      <c r="L33" s="1173"/>
      <c r="M33" s="1174"/>
      <c r="N33" s="1174"/>
      <c r="O33" s="1175"/>
      <c r="P33" s="1181">
        <f t="shared" si="2"/>
        <v>0</v>
      </c>
      <c r="Q33" s="1182">
        <f t="shared" si="3"/>
        <v>0</v>
      </c>
      <c r="R33" s="1183">
        <f t="shared" si="4"/>
        <v>0</v>
      </c>
      <c r="S33" s="1184">
        <f t="shared" si="5"/>
        <v>0</v>
      </c>
    </row>
    <row r="34" ht="15.75" customHeight="1">
      <c r="B34" s="1187">
        <f t="shared" si="1"/>
        <v>44500</v>
      </c>
      <c r="C34" s="106" t="s">
        <v>505</v>
      </c>
      <c r="D34" s="1169"/>
      <c r="E34" s="1170"/>
      <c r="F34" s="1170"/>
      <c r="G34" s="1170"/>
      <c r="H34" s="1171"/>
      <c r="I34" s="1172"/>
      <c r="J34" s="1172"/>
      <c r="K34" s="1172"/>
      <c r="L34" s="1174"/>
      <c r="M34" s="1174"/>
      <c r="N34" s="1174"/>
      <c r="O34" s="1175"/>
      <c r="P34" s="1188">
        <f t="shared" si="2"/>
        <v>0</v>
      </c>
      <c r="Q34" s="1189">
        <f t="shared" si="3"/>
        <v>0</v>
      </c>
      <c r="R34" s="1190">
        <f t="shared" si="4"/>
        <v>0</v>
      </c>
      <c r="S34" s="1184">
        <f t="shared" si="5"/>
        <v>0</v>
      </c>
    </row>
    <row r="35" ht="15.75" customHeight="1">
      <c r="B35" s="1191" t="s">
        <v>838</v>
      </c>
      <c r="C35" s="495"/>
      <c r="D35" s="495"/>
      <c r="E35" s="495"/>
      <c r="F35" s="495"/>
      <c r="G35" s="499"/>
      <c r="H35" s="1192"/>
      <c r="I35" s="1192"/>
      <c r="J35" s="1192"/>
      <c r="K35" s="1192"/>
      <c r="L35" s="1192"/>
      <c r="M35" s="1192"/>
      <c r="N35" s="1192"/>
      <c r="O35" s="1192"/>
      <c r="P35" s="1193">
        <f t="shared" ref="P35:S35" si="6">SUM(P4:P34)</f>
        <v>0</v>
      </c>
      <c r="Q35" s="1194">
        <f t="shared" si="6"/>
        <v>0</v>
      </c>
      <c r="R35" s="1194">
        <f t="shared" si="6"/>
        <v>0</v>
      </c>
      <c r="S35" s="1194">
        <f t="shared" si="6"/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S1"/>
    <mergeCell ref="B35:G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2006-09-15T14:00:00Z</dcterms:created>
  <dc:creator>SM-A115F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46CFB8F2C88146BAA4AE394A2B351A59_13</vt:lpwstr>
  </property>
  <property fmtid="{D5CDD505-2E9C-101B-9397-08002B2CF9AE}" pid="3" name="KSOProductBuildVer">
    <vt:lpwstr>1033-12.2.0.21546</vt:lpwstr>
  </property>
  <property fmtid="{D5CDD505-2E9C-101B-9397-08002B2CF9AE}" pid="4" name="KSOReadingLayout">
    <vt:bool>false</vt:bool>
  </property>
</Properties>
</file>