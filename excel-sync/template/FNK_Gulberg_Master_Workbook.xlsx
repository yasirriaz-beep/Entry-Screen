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ADME" sheetId="1" state="visible" r:id="rId3"/>
    <sheet name="Dashboard" sheetId="2" state="visible" r:id="rId4"/>
    <sheet name="P&amp;L Summary" sheetId="3" state="visible" r:id="rId5"/>
    <sheet name="Sales" sheetId="4" state="visible" r:id="rId6"/>
    <sheet name="Food Panda" sheetId="5" state="visible" r:id="rId7"/>
    <sheet name="Expense Entry" sheetId="6" state="visible" r:id="rId8"/>
    <sheet name="Purchase Orders" sheetId="7" state="visible" r:id="rId9"/>
    <sheet name="Payables" sheetId="8" state="visible" r:id="rId10"/>
    <sheet name="Issue Log" sheetId="9" state="visible" r:id="rId11"/>
    <sheet name="Inventory" sheetId="10" state="visible" r:id="rId12"/>
    <sheet name="Directors" sheetId="11" state="visible" r:id="rId13"/>
    <sheet name="Payroll" sheetId="12" state="visible" r:id="rId14"/>
    <sheet name="Cash Book" sheetId="13" state="visible" r:id="rId15"/>
    <sheet name="Lists" sheetId="14" state="hidden" r:id="rId16"/>
  </sheets>
  <definedNames>
    <definedName function="false" hidden="false" name="CatList" vbProcedure="false">Lists!$A$2:$A$27</definedName>
    <definedName function="false" hidden="false" name="ChargedToList" vbProcedure="false">Lists!$J$2:$J$83</definedName>
    <definedName function="false" hidden="false" name="DirectorList" vbProcedure="false">Lists!$F$2:$F$7</definedName>
    <definedName function="false" hidden="false" name="EmployeeList" vbProcedure="false">Lists!$G$2:$G$77</definedName>
    <definedName function="false" hidden="false" name="ItemCodeList" vbProcedure="false">Lists!$B$2:$B$482</definedName>
    <definedName function="false" hidden="false" name="ItemList_Full" vbProcedure="false">'Expense Entry'!$U$5:$Y$485</definedName>
    <definedName function="false" hidden="false" name="POStatusList" vbProcedure="false">Lists!$H$2:$H$4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<sst xmlns="http://schemas.openxmlformats.org/spreadsheetml/2006/main" count="8980" uniqueCount="1813">
  <si>
    <t xml:space="preserve">FORKS N KNIVES — GULBERG — CONNECTED FINANCIAL WORKBOOK</t>
  </si>
  <si>
    <t xml:space="preserve">THIS WORKBOOK IS PRE-FILLED WITH SEPTEMBER 2026 ACTUALS</t>
  </si>
  <si>
    <t xml:space="preserve">Every real September transaction from the audited 2026-SEPTEMBER-C-5 workbook (603 expense/director/payroll</t>
  </si>
  <si>
    <t xml:space="preserve">lines, tying exactly to the audited Total Expense of 13,968,109) and the real September staff roster (76</t>
  </si>
  <si>
    <t xml:space="preserve">employees) is already loaded — see Sales, Expense Entry, Directors and Payroll. The P&amp;L Summary and Dashboard are</t>
  </si>
  <si>
    <t xml:space="preserve">showing September's actual financial position right now. Keep adding new dated rows for October onward and</t>
  </si>
  <si>
    <t xml:space="preserve">everything recalculates live.</t>
  </si>
  <si>
    <t xml:space="preserve">ITEM CODES — THE BACKBONE THAT LINKS EVERYTHING</t>
  </si>
  <si>
    <t xml:space="preserve">Every one of the 481 real inventory items now has a permanent, professional Item Code — a 2-letter category</t>
  </si>
  <si>
    <t xml:space="preserve">prefix plus a 3-digit number, e.g. FD-001 (Food &amp; Beverage), PK-014 (Packaging &amp; Paper). The 10 categories are:</t>
  </si>
  <si>
    <t xml:space="preserve">FD Food &amp; Beverage, PK Packaging &amp; Paper, CL Cleaning &amp; Sanitation, PT Party &amp; Decor, ST Stationery &amp; Office</t>
  </si>
  <si>
    <t xml:space="preserve">Supplies, MK Marketing &amp; POS Materials, UN Uniform &amp; Apparel, EQ Equipment &amp; Smallwares, DV Vehicle &amp; Delivery</t>
  </si>
  <si>
    <t xml:space="preserve">Equipment, FG Fuel &amp; Gas. These replace the old flat, inconsistent inventory list and are now the single</t>
  </si>
  <si>
    <t xml:space="preserve">source of truth: the SAME code is used in Expense Entry (Item Code column), Purchase Orders, and Issue Log, so</t>
  </si>
  <si>
    <t xml:space="preserve">a purchase, an order and an issuance of 'FD-001' are unmistakably the same item everywhere. Type or pick the</t>
  </si>
  <si>
    <t xml:space="preserve">code and the Item Name, Unit and Rate fill in by themselves (no retyping, no spelling mismatches) — and the</t>
  </si>
  <si>
    <t xml:space="preserve">Inventory tab's Received / Issued / Closing columns are driven entirely by SUMIFS on that code, so every cash</t>
  </si>
  <si>
    <t xml:space="preserve">purchase, every received PO and every kitchen issuance of that item automatically moves its stock balance.</t>
  </si>
  <si>
    <t xml:space="preserve">This is what makes expenses and issuance actually mapped to Inventory, not just descriptive text.</t>
  </si>
  <si>
    <t xml:space="preserve">WHAT CHANGED IN THE INVENTORY CATEGORIES (corrected during this rebuild)</t>
  </si>
  <si>
    <t xml:space="preserve">  - Restored the restaurant's true original 9-section structure instead of the flatter, inconsistent grouping</t>
  </si>
  <si>
    <t xml:space="preserve">    the old workbook had drifted into.</t>
  </si>
  <si>
    <t xml:space="preserve">  - Split the old catch-all 'Material' category in two: everyday kitchen/front-of-house tools and smallwares</t>
  </si>
  <si>
    <t xml:space="preserve">    now sit under Equipment &amp; Smallwares; delivery bikes/vehicle gear now have their own Vehicle &amp; Delivery</t>
  </si>
  <si>
    <t xml:space="preserve">    Equipment category, so the two stop being mixed together.</t>
  </si>
  <si>
    <t xml:space="preserve">  - Renamed the old item category 'Utilities' to 'Fuel &amp; Gas' (it was cylinder gas and fuel, not electricity) —</t>
  </si>
  <si>
    <t xml:space="preserve">    this also removes the clash with the Expense Entry cash category 'Utilities (Electricity/Water)', which is</t>
  </si>
  <si>
    <t xml:space="preserve">    a service bill, not a stocked item.</t>
  </si>
  <si>
    <t xml:space="preserve">  - Corrected 7 individually miscategorized items found during review, e.g. BUTTER PAPER and WRAP PAPER moved</t>
  </si>
  <si>
    <t xml:space="preserve">    from Cleaning to Packaging &amp; Paper (they're food-contact wrap, not cleaning chemicals); TEA STANER moved</t>
  </si>
  <si>
    <t xml:space="preserve">    to Equipment &amp; Smallwares (it's a tea strainer, a kitchen tool); PARTY PACK moved to Party &amp; Decor; ACRYLIC</t>
  </si>
  <si>
    <t xml:space="preserve">    TABLE TENT, GIFT HAMPER and CAKE DISPLAY TAG moved to Marketing &amp; POS Materials (customer-facing display</t>
  </si>
  <si>
    <t xml:space="preserve">    items, not kitchen supplies).</t>
  </si>
  <si>
    <t xml:space="preserve">WHAT CHANGED IN THE EXPENSE ENTRY CATEGORY LIST (standardized to a chart-of-accounts style)</t>
  </si>
  <si>
    <t xml:space="preserve">  The old ad-hoc heads (FOOD, PAPER ITEM, M&amp;R, GOVT CHARGES, MISC, ...) are now a clean, standard list that</t>
  </si>
  <si>
    <t xml:space="preserve">  matches the corrected inventory categories one-for-one, so a direct cash expense and a stocked item always</t>
  </si>
  <si>
    <t xml:space="preserve">  speak the same language: Food, Packaging, Cleaning &amp; Sanitation, Party &amp; Decor, Stationery &amp; Office</t>
  </si>
  <si>
    <t xml:space="preserve">  Supplies, Marketing, Uniform &amp; Apparel, Equipment &amp; Smallwares, Vehicle &amp; Delivery Maintenance, Fuel &amp; Gas,</t>
  </si>
  <si>
    <t xml:space="preserve">  Payroll, Utilities (Electricity/Water), Distribution Cost, Delivery Charges, Interstore Transfers, Employee</t>
  </si>
  <si>
    <t xml:space="preserve">  Meals &amp; Medical, Charge to Restaurant, Repairs &amp; Maintenance, Government Charges &amp; Taxes, Food Panda</t>
  </si>
  <si>
    <t xml:space="preserve">  Commission, Miscellaneous, Donation — plus the 4 special workflow categories (Inventory Purchase, Director</t>
  </si>
  <si>
    <t xml:space="preserve">  Draw, Payroll/Employee Charge, Payable Payment) described below. Every September transaction has been</t>
  </si>
  <si>
    <t xml:space="preserve">  re-mapped onto this new list — the totals are unchanged, only the organization and naming are cleaner.</t>
  </si>
  <si>
    <t xml:space="preserve">HOW THE SHEETS CONNECT</t>
  </si>
  <si>
    <t xml:space="preserve">0) Sales — one row per day, by channel (Dine-in/Takeaway/Delivery/Food Panda/Third Party). Total Sale feeds</t>
  </si>
  <si>
    <t xml:space="preserve">   the Cash Book and the P&amp;L Summary automatically.</t>
  </si>
  <si>
    <t xml:space="preserve">0.5) Food Panda — settlement reconciliation, separate from the Sales tab's gross figure. Food Panda deducts</t>
  </si>
  <si>
    <t xml:space="preserve">   Commission, Fee &amp; Adjustments and Tax before anything reaches your bank account — that deduction is not a</t>
  </si>
  <si>
    <t xml:space="preserve">   cash expense Zeeshan pays, so it should NOT be booked as one going forward. This tab checks two things:</t>
  </si>
  <si>
    <t xml:space="preserve">   (1) does Food Panda's own statement add up (Gross − Commission − Fee &amp; Adj − Tax + Refund = their stated</t>
  </si>
  <si>
    <t xml:space="preserve">   Net Earning)?, and (2) does the actual bank deposit match? You only ever have to type the Gross Sale/Total</t>
  </si>
  <si>
    <t xml:space="preserve">   Earning figure plus whatever Food Panda's statement shows when it arrives — everything else is checked</t>
  </si>
  <si>
    <t xml:space="preserve">   automatically against pattern rates derived from real September statements (Frostings ≈26% commission/</t>
  </si>
  <si>
    <t xml:space="preserve">   6.2% tax; Pizza Kitchen ≈22% commission/3.7% tax). A worked example from the real 30-Sep-2026 Gulberg</t>
  </si>
  <si>
    <t xml:space="preserve">   statements is pre-loaded: Frostings reconciles exactly, but Pizza Kitchen's own numbers don't (Gross</t>
  </si>
  <si>
    <t xml:space="preserve">   27,429 − Commission 5,771 − Fee 400 − Tax 7,159 = 14,099, yet their sheet showed Net Earning 20,271 — a</t>
  </si>
  <si>
    <t xml:space="preserve">   6,172 gap) — the tab flags this automatically so these don't slip through unnoticed again.</t>
  </si>
  <si>
    <t xml:space="preserve">1) Expense Entry — the only tab Zeeshan needs. Every rupee that moves gets one row here: date, vendor,</t>
  </si>
  <si>
    <t xml:space="preserve">   category, Item Code (for stock items), amount, who it's charged to. The Category you pick decides where</t>
  </si>
  <si>
    <t xml:space="preserve">   it flows automatically:</t>
  </si>
  <si>
    <t xml:space="preserve">   - Any standard direct category (Food, Packaging, Payroll, Utilities (Electricity/Water), ...) -&gt; direct</t>
  </si>
  <si>
    <t xml:space="preserve">     cash expense, straight into the P&amp;L Summary. This is how September's real expenses are recorded here.</t>
  </si>
  <si>
    <t xml:space="preserve">   - 'Inventory Purchase'  -&gt; a cash-paid stock buy logged by Item Code. Pick the code; Item Name/Unit/Rate</t>
  </si>
  <si>
    <t xml:space="preserve">     fill in automatically. It flows into the Inventory tab as stock received (quantity only — it is</t>
  </si>
  <si>
    <t xml:space="preserve">     expensed later, when issued, via the Issue Log, not when purchased, so it is not double-counted).</t>
  </si>
  <si>
    <t xml:space="preserve">   - 'Director Draw'       -&gt; non-cash. Pick who (Charged To). Flows into the Directors tab. No cash impact.</t>
  </si>
  <si>
    <t xml:space="preserve">   - 'Payroll/Employee Charge' -&gt; non-cash. Pick the employee. Flows into the Payroll tab as a deduction</t>
  </si>
  <si>
    <t xml:space="preserve">     against their salary. No cash impact.</t>
  </si>
  <si>
    <t xml:space="preserve">   - 'Payable Payment'     -&gt; cash paid against a Purchase Order received earlier on credit. Enter the</t>
  </si>
  <si>
    <t xml:space="preserve">     Linked PO#. Reduces the balance on the Payables tab. Counts as a cash expense today. Does NOT add</t>
  </si>
  <si>
    <t xml:space="preserve">     inventory again (that already happened when the PO was marked Received).</t>
  </si>
  <si>
    <t xml:space="preserve">2) Purchase Orders — the demand -&gt; authorize -&gt; receive flow for stock bought on credit, keyed by Item Code</t>
  </si>
  <si>
    <t xml:space="preserve">   (Item Name/Unit/Rate auto-fill). Hammad raises the demand, Imran/Owner authorizes, and once Status is set</t>
  </si>
  <si>
    <t xml:space="preserve">   to 'Received' it automatically: (a) creates a row on the Payables tab for the amount owed, and (b) adds</t>
  </si>
  <si>
    <t xml:space="preserve">   the quantity to the Inventory tab for that exact Item Code.</t>
  </si>
  <si>
    <t xml:space="preserve">3) Payables — one row per Received Purchase Order, carrying the Item Code and Item Name. 'Paid to Date' pulls</t>
  </si>
  <si>
    <t xml:space="preserve">   every 'Payable Payment' entered in Expense Entry against that PO#. Balance and Status update live.</t>
  </si>
  <si>
    <t xml:space="preserve">4) Issue Log — what the store room actually hands to the kitchen each day, by Item Code (Item Name/Unit/Rate</t>
  </si>
  <si>
    <t xml:space="preserve">   auto-fill, Value = Qty x Rate). Feeds the consumption-based Cost of Goods Used section of the P&amp;L Summary</t>
  </si>
  <si>
    <t xml:space="preserve">   for whichever months use item-level tracking. (September's Food/Packaging/Cleaning/etc. costs are already</t>
  </si>
  <si>
    <t xml:space="preserve">   captured as direct expenses in Expense Entry, so this stays empty for September — using both would</t>
  </si>
  <si>
    <t xml:space="preserve">   double-count.)</t>
  </si>
  <si>
    <t xml:space="preserve">5) Inventory — one live row per Item Code: Category, Opening Stock (pre-filled with real September 1 opening</t>
  </si>
  <si>
    <t xml:space="preserve">   quantities), Received (cash + PO), Issued and Closing Stock/Value, all driven by SUMIFS against the Item</t>
  </si>
  <si>
    <t xml:space="preserve">   Code column in Expense Entry, Purchase Orders and Issue Log — so every expense and issuance is genuinely</t>
  </si>
  <si>
    <t xml:space="preserve">   mapped here, not just filed under a text name.</t>
  </si>
  <si>
    <t xml:space="preserve">6) Directors — auto-totals from Expense Entry 'Director Draw' rows, split by name; already shows real</t>
  </si>
  <si>
    <t xml:space="preserve">   September director expenses.</t>
  </si>
  <si>
    <t xml:space="preserve">   Payroll — the real September staff roster (name, department, base salary). 'Charges This Month' auto-pulls</t>
  </si>
  <si>
    <t xml:space="preserve">   'Payroll/Employee Charge' rows from Expense Entry. The actual cash payroll disbursed in September</t>
  </si>
  <si>
    <t xml:space="preserve">   (overtime, delivery riders, advances — 2,439,333 in total) is booked separately as category 'Payroll' in</t>
  </si>
  <si>
    <t xml:space="preserve">   Expense Entry and flows straight to the P&amp;L Summary; this roster is the base-salary HR reference, not</t>
  </si>
  <si>
    <t xml:space="preserve">   re-added.</t>
  </si>
  <si>
    <t xml:space="preserve">7) Cash Book — one row per day. Sales Collected pulls automatically from the Sales tab. Cash Out pulls</t>
  </si>
  <si>
    <t xml:space="preserve">   automatically from Expense Entry. Closing Cash carries forward as next day's Opening Cash.</t>
  </si>
  <si>
    <t xml:space="preserve">8) P&amp;L Summary — the one tab that rolls up every other tab, fully automatic. Revenue from the Sales tab, Cost</t>
  </si>
  <si>
    <t xml:space="preserve">   of Goods Used from the Issue Log (item-level months), direct expenses from Expense Entry, Director draws</t>
  </si>
  <si>
    <t xml:space="preserve">   from the Directors tab. It now sits right after the Dashboard so it's the first thing anyone looks for.</t>
  </si>
  <si>
    <t xml:space="preserve">9) Dashboard — the one-page live summary of the full financial position at any point in time. Nothing to</t>
  </si>
  <si>
    <t xml:space="preserve">   enter.</t>
  </si>
  <si>
    <t xml:space="preserve">DAILY ROUTINE (GOING FORWARD)</t>
  </si>
  <si>
    <t xml:space="preserve">  - Manager / Cash person: enters each day's Sales in the Sales tab.</t>
  </si>
  <si>
    <t xml:space="preserve">  - Zeeshan: logs every expense in Expense Entry as it happens.</t>
  </si>
  <si>
    <t xml:space="preserve">  - Store person: logs Issue Log entries as items go to the kitchen (if moving to item-level tracking); marks</t>
  </si>
  <si>
    <t xml:space="preserve">    Purchase Orders 'Received' when goods and an invoice arrive.</t>
  </si>
  <si>
    <t xml:space="preserve">  - Hammad: raises demand rows in Purchase Orders; reviews Expense Entry for anything that looks off.</t>
  </si>
  <si>
    <t xml:space="preserve">  - Imran / Owner: sets Purchase Order Status to 'Received' only after authorizing and physically confirming</t>
  </si>
  <si>
    <t xml:space="preserve">    receipt.</t>
  </si>
  <si>
    <t xml:space="preserve">Everything downstream (Inventory, Payables, Directors, Payroll, Cash Book, P&amp;L Summary, Dashboard) is a live formula</t>
  </si>
  <si>
    <t xml:space="preserve">— nothing there should ever be typed over.</t>
  </si>
  <si>
    <t xml:space="preserve">DASHBOARD — FORKS N KNIVES, GULBERG</t>
  </si>
  <si>
    <t xml:space="preserve">Live KPIs pulled from every tab. Nothing to enter here.</t>
  </si>
  <si>
    <t xml:space="preserve">Total Sales (Sales tab)</t>
  </si>
  <si>
    <t xml:space="preserve">Total Cost of Goods Used (P&amp;L)</t>
  </si>
  <si>
    <t xml:space="preserve">Total Direct Operating Expenses (P&amp;L)</t>
  </si>
  <si>
    <t xml:space="preserve">Operating Profit</t>
  </si>
  <si>
    <t xml:space="preserve">Total Director Draws</t>
  </si>
  <si>
    <t xml:space="preserve">Net Profit After Director Draws</t>
  </si>
  <si>
    <t xml:space="preserve">Current Closing Cash (last entered day)</t>
  </si>
  <si>
    <t xml:space="preserve">Total Inventory Value on Hand</t>
  </si>
  <si>
    <t xml:space="preserve">Total Payables Outstanding</t>
  </si>
  <si>
    <t xml:space="preserve">Open / Unreceived Purchase Orders</t>
  </si>
  <si>
    <t xml:space="preserve">P&amp;L SUMMARY — the one tab that rolls up every other tab</t>
  </si>
  <si>
    <t xml:space="preserve">Pulls live from Sales, Expense Entry, Issue Log, Directors and Payroll. Food/Packaging/Cleaning/Party &amp; Decor/Stationery/Uniform/Equipment/Vehicle/Fuel costs are consumption-based (from Issue Log) when tracked item-by-item; everything else comes straight from Expense Entry.</t>
  </si>
  <si>
    <t xml:space="preserve">REVENUE</t>
  </si>
  <si>
    <t xml:space="preserve">Sales Collected (from Sales tab)</t>
  </si>
  <si>
    <t xml:space="preserve">COST OF GOODS USED (consumption basis, from Issue Log)</t>
  </si>
  <si>
    <t xml:space="preserve">Cleaning &amp; Sanitation</t>
  </si>
  <si>
    <t xml:space="preserve">Equipment &amp; Smallwares</t>
  </si>
  <si>
    <t xml:space="preserve">Food &amp; Beverage</t>
  </si>
  <si>
    <t xml:space="preserve">Fuel &amp; Gas</t>
  </si>
  <si>
    <t xml:space="preserve">Marketing &amp; POS Materials</t>
  </si>
  <si>
    <t xml:space="preserve">Packaging &amp; Paper</t>
  </si>
  <si>
    <t xml:space="preserve">Party &amp; Decor</t>
  </si>
  <si>
    <t xml:space="preserve">Stationery &amp; Office Supplies</t>
  </si>
  <si>
    <t xml:space="preserve">Uniform &amp; Apparel</t>
  </si>
  <si>
    <t xml:space="preserve">Vehicle &amp; Delivery Equipment</t>
  </si>
  <si>
    <t xml:space="preserve">SUBTOTAL — COST OF GOODS USED</t>
  </si>
  <si>
    <t xml:space="preserve">DIRECT OPERATING EXPENSES (from Expense Entry, cash categories)</t>
  </si>
  <si>
    <t xml:space="preserve">Food</t>
  </si>
  <si>
    <t xml:space="preserve">Packaging</t>
  </si>
  <si>
    <t xml:space="preserve">Marketing</t>
  </si>
  <si>
    <t xml:space="preserve">Vehicle &amp; Delivery Maintenance</t>
  </si>
  <si>
    <t xml:space="preserve">Payroll</t>
  </si>
  <si>
    <t xml:space="preserve">Actual cash payroll paid out (per Expense Entry). The Payroll tab's base-salary roster is a separate HR reference, not re-added here.</t>
  </si>
  <si>
    <t xml:space="preserve">Utilities (Electricity/Water)</t>
  </si>
  <si>
    <t xml:space="preserve">Distribution Cost</t>
  </si>
  <si>
    <t xml:space="preserve">Delivery Charges</t>
  </si>
  <si>
    <t xml:space="preserve">Interstore Transfers</t>
  </si>
  <si>
    <t xml:space="preserve">Employee Meals &amp; Medical</t>
  </si>
  <si>
    <t xml:space="preserve">Charge to Restaurant</t>
  </si>
  <si>
    <t xml:space="preserve">Repairs &amp; Maintenance</t>
  </si>
  <si>
    <t xml:space="preserve">Government Charges &amp; Taxes</t>
  </si>
  <si>
    <t xml:space="preserve">Food Panda Commission</t>
  </si>
  <si>
    <t xml:space="preserve">Miscellaneous</t>
  </si>
  <si>
    <t xml:space="preserve">Donation</t>
  </si>
  <si>
    <t xml:space="preserve">SUBTOTAL — DIRECT OPERATING EXPENSES</t>
  </si>
  <si>
    <t xml:space="preserve">OPERATING RESULT</t>
  </si>
  <si>
    <t xml:space="preserve">TOTAL EXPENSES (COGS + Direct Opex)</t>
  </si>
  <si>
    <t xml:space="preserve">OPERATING PROFIT (Revenue - Total Expenses)</t>
  </si>
  <si>
    <t xml:space="preserve">DIRECTOR / OWNER DRAWS</t>
  </si>
  <si>
    <t xml:space="preserve">Total Director Expense (from Directors tab)</t>
  </si>
  <si>
    <t xml:space="preserve">NET RESULT</t>
  </si>
  <si>
    <t xml:space="preserve">NET PROFIT AFTER DIRECTOR DRAWS</t>
  </si>
  <si>
    <t xml:space="preserve">MEMO — CASH POSITION (ties to Cash Book, separate from accrual P&amp;L above)</t>
  </si>
  <si>
    <t xml:space="preserve">Cash In (Sales)</t>
  </si>
  <si>
    <t xml:space="preserve">Cash Out (all cash-impacting Expense Entry rows)</t>
  </si>
  <si>
    <t xml:space="preserve">Net Cash Movement</t>
  </si>
  <si>
    <t xml:space="preserve">SALES — daily sales by channel</t>
  </si>
  <si>
    <t xml:space="preserve">One row per day. Total Sale is automatic and feeds the Cash Book / P&amp;L / Dashboard. Add new dated rows as months go by.</t>
  </si>
  <si>
    <t xml:space="preserve">Date</t>
  </si>
  <si>
    <t xml:space="preserve">Dine-in</t>
  </si>
  <si>
    <t xml:space="preserve">Takeaway</t>
  </si>
  <si>
    <t xml:space="preserve">Delivery</t>
  </si>
  <si>
    <t xml:space="preserve">Food Panda</t>
  </si>
  <si>
    <t xml:space="preserve">Third Party</t>
  </si>
  <si>
    <t xml:space="preserve">Total Sale</t>
  </si>
  <si>
    <t xml:space="preserve">Notes</t>
  </si>
  <si>
    <t xml:space="preserve">Channel breakdown unavailable for this day — lump total per Sep detail report (booked under Dine-in)</t>
  </si>
  <si>
    <t xml:space="preserve">TOTAL:</t>
  </si>
  <si>
    <t xml:space="preserve">FOOD PANDA — settlement reconciliation (catches under-payment)</t>
  </si>
  <si>
    <t xml:space="preserve">Food Panda's deductions (Commission/Fee &amp; Adjustments/Tax) are NOT a cash expense Zeeshan pays -- they are subtracted before the net amount ever reaches the bank. This tab checks two things: (1) does Food Panda's own statement add up (Gross - Commission - Fee&amp;Adj - Tax + Refund = their stated Net Earning)? and (2) does the actual bank deposit match? Gross Sale/Total Earning is the only number you need going in -- everything else is either calculated from the pattern below or typed in once their statement arrives.</t>
  </si>
  <si>
    <t xml:space="preserve">PATTERN RATES (derived from real Sep-2026 statements -- edit if Food Panda changes terms)</t>
  </si>
  <si>
    <t xml:space="preserve">Brand</t>
  </si>
  <si>
    <t xml:space="preserve">Commission %</t>
  </si>
  <si>
    <t xml:space="preserve">Tax %</t>
  </si>
  <si>
    <t xml:space="preserve">Typical Fee &amp; Adj. (PKR, flat)</t>
  </si>
  <si>
    <t xml:space="preserve">Frostings</t>
  </si>
  <si>
    <t xml:space="preserve">Pizza Kitchen</t>
  </si>
  <si>
    <t xml:space="preserve">Combined / Other</t>
  </si>
  <si>
    <t xml:space="preserve">⚠ Found during the Sep-30 sample: Pizza Kitchen-Gulberg's own statement didn't add up internally (Total 27,429 − Commission 5,771 − Fee 400 − Tax 7,159 = 14,099, but their sheet showed Net Earning 20,271 -- a 6,172 PKR gap). Every other branch that day reconciled exactly. Worth confirming the real figure against Food Panda's own portal/PDF (a transcription slip is possible) -- and if it recurs, raise it with them directly.</t>
  </si>
  <si>
    <t xml:space="preserve">Period / Settlement Date</t>
  </si>
  <si>
    <t xml:space="preserve">Gross Sale
(Total Earning)</t>
  </si>
  <si>
    <t xml:space="preserve">Expected Net
(pattern estimate)</t>
  </si>
  <si>
    <t xml:space="preserve">FP Reported
Commission</t>
  </si>
  <si>
    <t xml:space="preserve">FP Reported
Fee &amp; Adj.</t>
  </si>
  <si>
    <t xml:space="preserve">FP Reported
Tax</t>
  </si>
  <si>
    <t xml:space="preserve">FP Reported
Refund (+)</t>
  </si>
  <si>
    <t xml:space="preserve">FP Reported
Net Earning</t>
  </si>
  <si>
    <t xml:space="preserve">Recomputed Net
(Gross-Comm-Fee-Tax+Refund)</t>
  </si>
  <si>
    <t xml:space="preserve">Statement
Check</t>
  </si>
  <si>
    <t xml:space="preserve">Actual Bank
Deposit Received</t>
  </si>
  <si>
    <t xml:space="preserve">Deposit vs
Recomputed Variance</t>
  </si>
  <si>
    <t xml:space="preserve">Status</t>
  </si>
  <si>
    <t xml:space="preserve">30-Sep-2026</t>
  </si>
  <si>
    <t xml:space="preserve">Worked example from the actual portal statement -- enter the real bank deposit in col L once received.</t>
  </si>
  <si>
    <t xml:space="preserve">Worked example -- this is the row that flags the statement mismatch described above.</t>
  </si>
  <si>
    <t xml:space="preserve">EXPENSE ENTRY — single input tab (Zeeshan)</t>
  </si>
  <si>
    <t xml:space="preserve">Pick a Category. For 'Inventory Purchase', pick the standard Item Code (name/unit/rate fill in automatically) -&gt; flows into the Inventory tab by code. 'Director Draw'/'Payroll/Employee Charge'=non-cash, goes to Directors/Payroll tabs. 'Payable Payment'=cash paid against a received Purchase Order (enter Linked PO#). Everything else = direct cash expense.</t>
  </si>
  <si>
    <t xml:space="preserve">#</t>
  </si>
  <si>
    <t xml:space="preserve">Vendor / Payee</t>
  </si>
  <si>
    <t xml:space="preserve">Description</t>
  </si>
  <si>
    <t xml:space="preserve">Category</t>
  </si>
  <si>
    <t xml:space="preserve">Item Code</t>
  </si>
  <si>
    <t xml:space="preserve">Item Name (auto)</t>
  </si>
  <si>
    <t xml:space="preserve">Qty</t>
  </si>
  <si>
    <t xml:space="preserve">Unit</t>
  </si>
  <si>
    <t xml:space="preserve">Rate</t>
  </si>
  <si>
    <t xml:space="preserve">Amount (PKR)</t>
  </si>
  <si>
    <t xml:space="preserve">Linked PO# (Payable Payment)</t>
  </si>
  <si>
    <t xml:space="preserve">Charged To (Director/Employee)</t>
  </si>
  <si>
    <t xml:space="preserve">Entered By</t>
  </si>
  <si>
    <t xml:space="preserve">Cash Impact</t>
  </si>
  <si>
    <t xml:space="preserve">Inventory Qty In</t>
  </si>
  <si>
    <t xml:space="preserve">ItemLUT (lookup table, do not edit)</t>
  </si>
  <si>
    <t xml:space="preserve">-</t>
  </si>
  <si>
    <t xml:space="preserve">QR JAZZ CASH PAYMENT</t>
  </si>
  <si>
    <t xml:space="preserve">Director Draw</t>
  </si>
  <si>
    <t xml:space="preserve">Yasir Sb</t>
  </si>
  <si>
    <t xml:space="preserve">Zeeshan (Sept import)</t>
  </si>
  <si>
    <t xml:space="preserve">FD-001</t>
  </si>
  <si>
    <t xml:space="preserve">CHEESE YELLOW</t>
  </si>
  <si>
    <t xml:space="preserve">CTN</t>
  </si>
  <si>
    <t xml:space="preserve">T.A INV# 03,17 MEAL FOR IMRAN TAHIR SB</t>
  </si>
  <si>
    <t xml:space="preserve">Imran Tahir</t>
  </si>
  <si>
    <t xml:space="preserve">FD-002</t>
  </si>
  <si>
    <t xml:space="preserve">CHEESE GREEN</t>
  </si>
  <si>
    <t xml:space="preserve">FNK BAKERY</t>
  </si>
  <si>
    <t xml:space="preserve">FNK BAKERY BILL PAID</t>
  </si>
  <si>
    <t xml:space="preserve">FD-003</t>
  </si>
  <si>
    <t xml:space="preserve">MALAI BOTI</t>
  </si>
  <si>
    <t xml:space="preserve">KG</t>
  </si>
  <si>
    <t xml:space="preserve">FNK GRILL</t>
  </si>
  <si>
    <t xml:space="preserve">FNK GRILL BILL PAID</t>
  </si>
  <si>
    <t xml:space="preserve">FD-004</t>
  </si>
  <si>
    <t xml:space="preserve">STEAK FILLET</t>
  </si>
  <si>
    <t xml:space="preserve">PCS</t>
  </si>
  <si>
    <t xml:space="preserve">FOOD PANDA</t>
  </si>
  <si>
    <t xml:space="preserve">FOOD PANDA SALE</t>
  </si>
  <si>
    <t xml:space="preserve">FD-005</t>
  </si>
  <si>
    <t xml:space="preserve">BEHARI CHICKEN</t>
  </si>
  <si>
    <t xml:space="preserve">MIAN &amp; SONS (BEVERAGES)</t>
  </si>
  <si>
    <t xml:space="preserve">COLA NEXT DRINK PAYMENT</t>
  </si>
  <si>
    <t xml:space="preserve">FD-006</t>
  </si>
  <si>
    <t xml:space="preserve">TIKKA TOPPING FISH AND CHICK</t>
  </si>
  <si>
    <t xml:space="preserve">BAR</t>
  </si>
  <si>
    <t xml:space="preserve">ICE FOR BAR</t>
  </si>
  <si>
    <t xml:space="preserve">FD-007</t>
  </si>
  <si>
    <t xml:space="preserve">FAJITA TOPPING FISH AND CHICK</t>
  </si>
  <si>
    <t xml:space="preserve">BREAD AND BEYOND</t>
  </si>
  <si>
    <t xml:space="preserve">BURGER BUN</t>
  </si>
  <si>
    <t xml:space="preserve">FD-008</t>
  </si>
  <si>
    <t xml:space="preserve">AL-TAYYAB DRUMMET</t>
  </si>
  <si>
    <t xml:space="preserve">STATIONERY ITEM</t>
  </si>
  <si>
    <t xml:space="preserve">BOOK BINDING SHEET AND TAPE</t>
  </si>
  <si>
    <t xml:space="preserve">FD-009</t>
  </si>
  <si>
    <t xml:space="preserve">WINGS</t>
  </si>
  <si>
    <t xml:space="preserve">PKT</t>
  </si>
  <si>
    <t xml:space="preserve">MATERIAL</t>
  </si>
  <si>
    <t xml:space="preserve">CROCKERY MATERIAL FOR KITCHEN</t>
  </si>
  <si>
    <t xml:space="preserve">FD-010</t>
  </si>
  <si>
    <t xml:space="preserve">DRUMMETTE</t>
  </si>
  <si>
    <t xml:space="preserve">MANAGEMENT</t>
  </si>
  <si>
    <t xml:space="preserve">AHSAN ZAIDI RGM</t>
  </si>
  <si>
    <t xml:space="preserve">FD-011</t>
  </si>
  <si>
    <t xml:space="preserve">SMOKED CHICKEN</t>
  </si>
  <si>
    <t xml:space="preserve">BOH</t>
  </si>
  <si>
    <t xml:space="preserve">ZEESHAN K/M</t>
  </si>
  <si>
    <t xml:space="preserve">FD-012</t>
  </si>
  <si>
    <t xml:space="preserve">SAUSAGE</t>
  </si>
  <si>
    <t xml:space="preserve">GENSET</t>
  </si>
  <si>
    <t xml:space="preserve">BETTERY FOR GENERATOR</t>
  </si>
  <si>
    <t xml:space="preserve">FD-013</t>
  </si>
  <si>
    <t xml:space="preserve">CHICKEN QEEMA K&amp;NS</t>
  </si>
  <si>
    <t xml:space="preserve">THERMAL PRINTER</t>
  </si>
  <si>
    <t xml:space="preserve">PRINTER INTERNET CONNECTOR CHANGE</t>
  </si>
  <si>
    <t xml:space="preserve">FD-014</t>
  </si>
  <si>
    <t xml:space="preserve">BIG BIRD KABAB</t>
  </si>
  <si>
    <t xml:space="preserve">MAKE TABLE</t>
  </si>
  <si>
    <t xml:space="preserve">ELECTRIC MATERIAL FOR MAKE TABLE</t>
  </si>
  <si>
    <t xml:space="preserve">FD-015</t>
  </si>
  <si>
    <t xml:space="preserve">BROAST CUT 9 PCS</t>
  </si>
  <si>
    <t xml:space="preserve">SINGLE UNIVERSLE AND THREE SHOU FOR KITCHEN</t>
  </si>
  <si>
    <t xml:space="preserve">FD-016</t>
  </si>
  <si>
    <t xml:space="preserve">TIKKA TOPPING AL-TAYYAB</t>
  </si>
  <si>
    <t xml:space="preserve">PR CLOSE</t>
  </si>
  <si>
    <t xml:space="preserve">T.A INV# 13 COMPLIMENTRY MEAL FOR QASIM SB</t>
  </si>
  <si>
    <t xml:space="preserve">FD-017</t>
  </si>
  <si>
    <t xml:space="preserve">FAJITA TOPPING AL-TAYYAB</t>
  </si>
  <si>
    <t xml:space="preserve">RIDER MILK</t>
  </si>
  <si>
    <t xml:space="preserve">MILK FOR RIDERS</t>
  </si>
  <si>
    <t xml:space="preserve">FD-018</t>
  </si>
  <si>
    <t xml:space="preserve">CHICKEN STRIPS</t>
  </si>
  <si>
    <t xml:space="preserve">FD-019</t>
  </si>
  <si>
    <t xml:space="preserve">9 PIECE CUT</t>
  </si>
  <si>
    <t xml:space="preserve">PARCAL PAYMENT FOR YASIR SB</t>
  </si>
  <si>
    <t xml:space="preserve">FD-020</t>
  </si>
  <si>
    <t xml:space="preserve">REGULAR BONLESS THIGHS</t>
  </si>
  <si>
    <t xml:space="preserve">DESI CHICKEN FOR BOSS HOME</t>
  </si>
  <si>
    <t xml:space="preserve">FD-021</t>
  </si>
  <si>
    <t xml:space="preserve">COLA NEXT 2.25 ML</t>
  </si>
  <si>
    <t xml:space="preserve">PET</t>
  </si>
  <si>
    <t xml:space="preserve">FD-022</t>
  </si>
  <si>
    <t xml:space="preserve">FIZUP  2.25 ML</t>
  </si>
  <si>
    <t xml:space="preserve">T.A INV# 09 WATER FOR IMRAN TAHIR SB</t>
  </si>
  <si>
    <t xml:space="preserve">FD-023</t>
  </si>
  <si>
    <t xml:space="preserve">COLA NEXT 1500 ML</t>
  </si>
  <si>
    <t xml:space="preserve">ASIF ENTERPRISES (OMORE)</t>
  </si>
  <si>
    <t xml:space="preserve">ICE CREAM FOR BAR</t>
  </si>
  <si>
    <t xml:space="preserve">FD-024</t>
  </si>
  <si>
    <t xml:space="preserve">FIZE UP 1500 ML</t>
  </si>
  <si>
    <t xml:space="preserve">FD-025</t>
  </si>
  <si>
    <t xml:space="preserve">COLA NEXT 1000 ML</t>
  </si>
  <si>
    <t xml:space="preserve">FD-026</t>
  </si>
  <si>
    <t xml:space="preserve">FIZE UP 1000 ML</t>
  </si>
  <si>
    <t xml:space="preserve">K&amp;N'S</t>
  </si>
  <si>
    <t xml:space="preserve">K&amp;Ns BILL PAID</t>
  </si>
  <si>
    <t xml:space="preserve">FD-027</t>
  </si>
  <si>
    <t xml:space="preserve">COLA NEXT 500 ML</t>
  </si>
  <si>
    <t xml:space="preserve">CLEANING</t>
  </si>
  <si>
    <t xml:space="preserve">FUMIGATION CHARGES PAID</t>
  </si>
  <si>
    <t xml:space="preserve">FD-028</t>
  </si>
  <si>
    <t xml:space="preserve">FIZE UP 500 ML</t>
  </si>
  <si>
    <t xml:space="preserve">WALK-IN</t>
  </si>
  <si>
    <t xml:space="preserve">WARMA AND RUBBET FOR MAKE TABLE AND WALKING DOOR</t>
  </si>
  <si>
    <t xml:space="preserve">FD-029</t>
  </si>
  <si>
    <t xml:space="preserve">COLA NEXT 300 ML</t>
  </si>
  <si>
    <t xml:space="preserve">KITCHEN WIRING</t>
  </si>
  <si>
    <t xml:space="preserve">DUCKET,FLEX PIPE AND DOUBLE BOARD SHEET FOR KITCHEN</t>
  </si>
  <si>
    <t xml:space="preserve">FD-030</t>
  </si>
  <si>
    <t xml:space="preserve">FIZE UP 300 ML</t>
  </si>
  <si>
    <t xml:space="preserve">FD-031</t>
  </si>
  <si>
    <t xml:space="preserve">WATER 1500 ML</t>
  </si>
  <si>
    <t xml:space="preserve">FOH</t>
  </si>
  <si>
    <t xml:space="preserve">NABEEL FOH SUPERVISOR</t>
  </si>
  <si>
    <t xml:space="preserve">FD-032</t>
  </si>
  <si>
    <t xml:space="preserve">WATER 500 ML</t>
  </si>
  <si>
    <t xml:space="preserve">KHALIL CASHIER</t>
  </si>
  <si>
    <t xml:space="preserve">FD-033</t>
  </si>
  <si>
    <t xml:space="preserve">AL BARKA WATER BAR</t>
  </si>
  <si>
    <t xml:space="preserve">BOT</t>
  </si>
  <si>
    <t xml:space="preserve">ARSLAN ALI K/A</t>
  </si>
  <si>
    <t xml:space="preserve">FD-034</t>
  </si>
  <si>
    <t xml:space="preserve">MIRINDA FEGILE</t>
  </si>
  <si>
    <t xml:space="preserve">CYL</t>
  </si>
  <si>
    <t xml:space="preserve">DELIVERY</t>
  </si>
  <si>
    <t xml:space="preserve">TAYYAB RIDER</t>
  </si>
  <si>
    <t xml:space="preserve">FD-035</t>
  </si>
  <si>
    <t xml:space="preserve">PEPSI 1500 ML</t>
  </si>
  <si>
    <t xml:space="preserve">FD-036</t>
  </si>
  <si>
    <t xml:space="preserve">PEPSI 1000 ML</t>
  </si>
  <si>
    <t xml:space="preserve">PROMO MEAL</t>
  </si>
  <si>
    <t xml:space="preserve">T.A INV# 05 MEAL FOR SOHAIL SERVER C/O AHSAN ZAIDI RGM</t>
  </si>
  <si>
    <t xml:space="preserve">FD-037</t>
  </si>
  <si>
    <t xml:space="preserve">PEPSI 500 ML</t>
  </si>
  <si>
    <t xml:space="preserve">SIM</t>
  </si>
  <si>
    <t xml:space="preserve">NEW SIM PURCHASE FOR JAZZ CASH</t>
  </si>
  <si>
    <t xml:space="preserve">FD-038</t>
  </si>
  <si>
    <t xml:space="preserve">GOURMENT 345 ML</t>
  </si>
  <si>
    <t xml:space="preserve">FD-039</t>
  </si>
  <si>
    <t xml:space="preserve">NUGGETS</t>
  </si>
  <si>
    <t xml:space="preserve">CASH GIVEN TO YASIR SB</t>
  </si>
  <si>
    <t xml:space="preserve">FD-040</t>
  </si>
  <si>
    <t xml:space="preserve">FRIED FLOUR</t>
  </si>
  <si>
    <t xml:space="preserve">FD-041</t>
  </si>
  <si>
    <t xml:space="preserve">MARINATED FRIED FLOUR</t>
  </si>
  <si>
    <t xml:space="preserve">BAG</t>
  </si>
  <si>
    <t xml:space="preserve">DELIVERY INV# 39 MEAL FOR HASSAN NASIR SB</t>
  </si>
  <si>
    <t xml:space="preserve">Hassan Nasir</t>
  </si>
  <si>
    <t xml:space="preserve">FD-042</t>
  </si>
  <si>
    <t xml:space="preserve">OIL 16 LITTER'S</t>
  </si>
  <si>
    <t xml:space="preserve">TIN</t>
  </si>
  <si>
    <t xml:space="preserve">T.A INV# 04 MEAL FOR IMRAN TAHIR SB</t>
  </si>
  <si>
    <t xml:space="preserve">FD-043</t>
  </si>
  <si>
    <t xml:space="preserve">GOLDEN BROWN FRIES</t>
  </si>
  <si>
    <t xml:space="preserve">FD-044</t>
  </si>
  <si>
    <t xml:space="preserve">BREAD CRUMBS</t>
  </si>
  <si>
    <t xml:space="preserve">FD-045</t>
  </si>
  <si>
    <t xml:space="preserve">OPA FRIES</t>
  </si>
  <si>
    <t xml:space="preserve">FD-046</t>
  </si>
  <si>
    <t xml:space="preserve">LONDON CAKE</t>
  </si>
  <si>
    <t xml:space="preserve">MINT FOR BAR</t>
  </si>
  <si>
    <t xml:space="preserve">FD-047</t>
  </si>
  <si>
    <t xml:space="preserve">MUFFIN</t>
  </si>
  <si>
    <t xml:space="preserve">FD-048</t>
  </si>
  <si>
    <t xml:space="preserve">SUNDAE</t>
  </si>
  <si>
    <t xml:space="preserve">BOH PAPER</t>
  </si>
  <si>
    <t xml:space="preserve">P-1</t>
  </si>
  <si>
    <t xml:space="preserve">FD-049</t>
  </si>
  <si>
    <t xml:space="preserve">KIT KAT CAKE</t>
  </si>
  <si>
    <t xml:space="preserve">FD-050</t>
  </si>
  <si>
    <t xml:space="preserve">ALMOND CAKE</t>
  </si>
  <si>
    <t xml:space="preserve">FD-051</t>
  </si>
  <si>
    <t xml:space="preserve">RED VELVET CAKE</t>
  </si>
  <si>
    <t xml:space="preserve">USMAN SERVER</t>
  </si>
  <si>
    <t xml:space="preserve">FD-052</t>
  </si>
  <si>
    <t xml:space="preserve">BUTTER SCOTCH</t>
  </si>
  <si>
    <t xml:space="preserve">BOARD FOR KITCHEN</t>
  </si>
  <si>
    <t xml:space="preserve">FD-053</t>
  </si>
  <si>
    <t xml:space="preserve">FRERRO ROACHER CAKE</t>
  </si>
  <si>
    <t xml:space="preserve">CASH COUNTER</t>
  </si>
  <si>
    <t xml:space="preserve">LIGHT FOR CASH COUNTER AND DISPATCH AREA</t>
  </si>
  <si>
    <t xml:space="preserve">FD-054</t>
  </si>
  <si>
    <t xml:space="preserve">PISTACHEW CAKE</t>
  </si>
  <si>
    <t xml:space="preserve">GMSA (LPG CYLINDERS)</t>
  </si>
  <si>
    <t xml:space="preserve">GMSA LPG CYLINDER BILL PAID</t>
  </si>
  <si>
    <t xml:space="preserve">FD-055</t>
  </si>
  <si>
    <t xml:space="preserve">LOUTUS CAKE</t>
  </si>
  <si>
    <t xml:space="preserve">T.A INV# 05 TEA FOR BOSS DRIVER</t>
  </si>
  <si>
    <t xml:space="preserve">FD-056</t>
  </si>
  <si>
    <t xml:space="preserve">CARAMEL CAKE</t>
  </si>
  <si>
    <t xml:space="preserve">FD-057</t>
  </si>
  <si>
    <t xml:space="preserve">MATILDA CAKE</t>
  </si>
  <si>
    <t xml:space="preserve">T.A INV# 02 DRINK FOR JAZZ CASH TEAM </t>
  </si>
  <si>
    <t xml:space="preserve">FD-058</t>
  </si>
  <si>
    <t xml:space="preserve">CHOCOLATE CHIP CAKE</t>
  </si>
  <si>
    <t xml:space="preserve">FD-059</t>
  </si>
  <si>
    <t xml:space="preserve">TIRAMISU CAKE</t>
  </si>
  <si>
    <t xml:space="preserve">DINE-IN INV# 52 MEAL FOR YASIR SB</t>
  </si>
  <si>
    <t xml:space="preserve">FD-060</t>
  </si>
  <si>
    <t xml:space="preserve">KULFA CAKE</t>
  </si>
  <si>
    <t xml:space="preserve">MEAL FOR YASIR SB</t>
  </si>
  <si>
    <t xml:space="preserve">FD-061</t>
  </si>
  <si>
    <t xml:space="preserve">CLASSIC CHOCOLATE</t>
  </si>
  <si>
    <t xml:space="preserve">T.A INV# 02 MEAL FOR IMRAN TAHIR SB</t>
  </si>
  <si>
    <t xml:space="preserve">FD-062</t>
  </si>
  <si>
    <t xml:space="preserve">COOKIES CREAM</t>
  </si>
  <si>
    <t xml:space="preserve">FD-063</t>
  </si>
  <si>
    <t xml:space="preserve">CUSTOMIZED CAKE</t>
  </si>
  <si>
    <t xml:space="preserve">SAUCE MATERIAL</t>
  </si>
  <si>
    <t xml:space="preserve">HONEY,BREAD CRUMS AND TOTRILLA WRAP BREAD</t>
  </si>
  <si>
    <t xml:space="preserve">FD-064</t>
  </si>
  <si>
    <t xml:space="preserve">CUSTOMIZED MUFFIN</t>
  </si>
  <si>
    <t xml:space="preserve">FD-065</t>
  </si>
  <si>
    <t xml:space="preserve">CHOCO BALL</t>
  </si>
  <si>
    <t xml:space="preserve">KOHINOOR</t>
  </si>
  <si>
    <t xml:space="preserve">DELUXE SAUCE PAYMENT</t>
  </si>
  <si>
    <t xml:space="preserve">FD-066</t>
  </si>
  <si>
    <t xml:space="preserve">LAVA CAKE</t>
  </si>
  <si>
    <t xml:space="preserve">LOCAL MARKET</t>
  </si>
  <si>
    <t xml:space="preserve">EGGS FOR KITCHEN</t>
  </si>
  <si>
    <t xml:space="preserve">FD-067</t>
  </si>
  <si>
    <t xml:space="preserve">2 POUND ORDER CAKE</t>
  </si>
  <si>
    <t xml:space="preserve">FD-068</t>
  </si>
  <si>
    <t xml:space="preserve">THREE MILK CAKE SLICE</t>
  </si>
  <si>
    <t xml:space="preserve">FD-069</t>
  </si>
  <si>
    <t xml:space="preserve">CAKE DIMI</t>
  </si>
  <si>
    <t xml:space="preserve">FD-070</t>
  </si>
  <si>
    <t xml:space="preserve">DOUBLE CHOCLATE FUDGE</t>
  </si>
  <si>
    <t xml:space="preserve">SAQIB CASHIER</t>
  </si>
  <si>
    <t xml:space="preserve">FD-071</t>
  </si>
  <si>
    <t xml:space="preserve">CADBURY CAKE</t>
  </si>
  <si>
    <t xml:space="preserve">TALHA K/A</t>
  </si>
  <si>
    <t xml:space="preserve">FD-072</t>
  </si>
  <si>
    <t xml:space="preserve">SPECIAL CAKE SLICE</t>
  </si>
  <si>
    <t xml:space="preserve">LIGHTS,BOARD FOR FRONT AREA BULDING</t>
  </si>
  <si>
    <t xml:space="preserve">FD-073</t>
  </si>
  <si>
    <t xml:space="preserve">RICH CHOCOLATE</t>
  </si>
  <si>
    <t xml:space="preserve">DINE-IN INV# 82 MEAL FOR AHSAN ZAIDI RGM</t>
  </si>
  <si>
    <t xml:space="preserve">FD-074</t>
  </si>
  <si>
    <t xml:space="preserve">GALAXY  CHOCLATE</t>
  </si>
  <si>
    <t xml:space="preserve">FD-075</t>
  </si>
  <si>
    <t xml:space="preserve">BROWINE</t>
  </si>
  <si>
    <t xml:space="preserve">CHARGE TO RESTUARENT DUE TO SYSTEM ERROR</t>
  </si>
  <si>
    <t xml:space="preserve">FD-076</t>
  </si>
  <si>
    <t xml:space="preserve">OIL 4.5 LITER</t>
  </si>
  <si>
    <t xml:space="preserve">BOTTLE</t>
  </si>
  <si>
    <t xml:space="preserve">DELIVERY INV# 49 DISCOUNT TO CUSTOMER C/O NASIR SB</t>
  </si>
  <si>
    <t xml:space="preserve">FD-077</t>
  </si>
  <si>
    <t xml:space="preserve">PIZZA FLOUR</t>
  </si>
  <si>
    <t xml:space="preserve">COMPLAIN</t>
  </si>
  <si>
    <t xml:space="preserve">DINE-IN INV# 76 PIZZA TASTE WAS  DRY AND TESTLESS</t>
  </si>
  <si>
    <t xml:space="preserve">FD-078</t>
  </si>
  <si>
    <t xml:space="preserve">DALDA OIL 5 LTR</t>
  </si>
  <si>
    <t xml:space="preserve">DINE-IN INV# 27 MEAL FOR BOSS YASIR SB</t>
  </si>
  <si>
    <t xml:space="preserve">FD-079</t>
  </si>
  <si>
    <t xml:space="preserve">NIDO MILK</t>
  </si>
  <si>
    <t xml:space="preserve">OREO BISCUT FOR BAR</t>
  </si>
  <si>
    <t xml:space="preserve">FD-080</t>
  </si>
  <si>
    <t xml:space="preserve">DOUGH BLEND</t>
  </si>
  <si>
    <t xml:space="preserve">FD-081</t>
  </si>
  <si>
    <t xml:space="preserve">SUFI SOYBEAN OIL 3 LTR</t>
  </si>
  <si>
    <t xml:space="preserve">FD-082</t>
  </si>
  <si>
    <t xml:space="preserve">CORN FLOUR</t>
  </si>
  <si>
    <t xml:space="preserve">TEA BAGS FOR BAR</t>
  </si>
  <si>
    <t xml:space="preserve">FD-083</t>
  </si>
  <si>
    <t xml:space="preserve">EUROPEAN BLACK OLIVES</t>
  </si>
  <si>
    <t xml:space="preserve">FD-084</t>
  </si>
  <si>
    <t xml:space="preserve">BLACK OLIVES</t>
  </si>
  <si>
    <t xml:space="preserve">RUBBER BAND FOR CASH COUNTER</t>
  </si>
  <si>
    <t xml:space="preserve">FD-085</t>
  </si>
  <si>
    <t xml:space="preserve">JALAPENO</t>
  </si>
  <si>
    <t xml:space="preserve">SHOE POLISH</t>
  </si>
  <si>
    <t xml:space="preserve">SHOE POLISH FOR STAFF</t>
  </si>
  <si>
    <t xml:space="preserve">FD-086</t>
  </si>
  <si>
    <t xml:space="preserve">FRUIT COCKTAIL</t>
  </si>
  <si>
    <t xml:space="preserve">FREEZER</t>
  </si>
  <si>
    <t xml:space="preserve">UNIVERSAL SWITCH FOR BAR FREEZER</t>
  </si>
  <si>
    <t xml:space="preserve">FD-087</t>
  </si>
  <si>
    <t xml:space="preserve">SWEET CORN</t>
  </si>
  <si>
    <t xml:space="preserve">FREEZER FOR BAR REPAIRING</t>
  </si>
  <si>
    <t xml:space="preserve">FD-088</t>
  </si>
  <si>
    <t xml:space="preserve">TOMATO PASTE</t>
  </si>
  <si>
    <t xml:space="preserve">800GM</t>
  </si>
  <si>
    <t xml:space="preserve">FNK SPICE</t>
  </si>
  <si>
    <t xml:space="preserve">INDIRVE CHARGES PAID FOR SPICE BUILTY TO LHR</t>
  </si>
  <si>
    <t xml:space="preserve">FD-089</t>
  </si>
  <si>
    <t xml:space="preserve">JALAPENO (3KG)</t>
  </si>
  <si>
    <t xml:space="preserve">POUCH</t>
  </si>
  <si>
    <t xml:space="preserve">AUTO RENT</t>
  </si>
  <si>
    <t xml:space="preserve">AUTO RENT FOR CHICKEN POWDER PURCHASE</t>
  </si>
  <si>
    <t xml:space="preserve">FD-090</t>
  </si>
  <si>
    <t xml:space="preserve">SHANGRILLA TOMATO PASTE</t>
  </si>
  <si>
    <t xml:space="preserve">CAN</t>
  </si>
  <si>
    <t xml:space="preserve">FD-091</t>
  </si>
  <si>
    <t xml:space="preserve">PINEAPPLE</t>
  </si>
  <si>
    <t xml:space="preserve">FEROZ RIDER</t>
  </si>
  <si>
    <t xml:space="preserve">FD-092</t>
  </si>
  <si>
    <t xml:space="preserve">WARDAH MAYONNAISE</t>
  </si>
  <si>
    <t xml:space="preserve">AFZAL SERVER</t>
  </si>
  <si>
    <t xml:space="preserve">FD-093</t>
  </si>
  <si>
    <t xml:space="preserve">CHEDDER CHEESE</t>
  </si>
  <si>
    <t xml:space="preserve">BLOCK</t>
  </si>
  <si>
    <t xml:space="preserve">MILK FOR YASIR SB</t>
  </si>
  <si>
    <t xml:space="preserve">FD-094</t>
  </si>
  <si>
    <t xml:space="preserve">IRC BUTTER</t>
  </si>
  <si>
    <t xml:space="preserve">FD-095</t>
  </si>
  <si>
    <t xml:space="preserve">OLPER MILK</t>
  </si>
  <si>
    <t xml:space="preserve">1.5 LTR</t>
  </si>
  <si>
    <t xml:space="preserve">FD-096</t>
  </si>
  <si>
    <t xml:space="preserve">DONER SAUCE</t>
  </si>
  <si>
    <t xml:space="preserve">LITER</t>
  </si>
  <si>
    <t xml:space="preserve">ICE</t>
  </si>
  <si>
    <t xml:space="preserve">FD-097</t>
  </si>
  <si>
    <t xml:space="preserve">FRESH CREAM (200 ML)</t>
  </si>
  <si>
    <t xml:space="preserve">200 ML</t>
  </si>
  <si>
    <t xml:space="preserve">FD-098</t>
  </si>
  <si>
    <t xml:space="preserve">BBQ SAUCE</t>
  </si>
  <si>
    <t xml:space="preserve">FD-099</t>
  </si>
  <si>
    <t xml:space="preserve">CHILLI SAUCE</t>
  </si>
  <si>
    <t xml:space="preserve">SOCIAL SECURITY</t>
  </si>
  <si>
    <t xml:space="preserve">SOCIAL SECURITY ADUIT YEARLY</t>
  </si>
  <si>
    <t xml:space="preserve">FD-100</t>
  </si>
  <si>
    <t xml:space="preserve">NATIONAL KETCHUP</t>
  </si>
  <si>
    <t xml:space="preserve">EMPOLYEE SALARY</t>
  </si>
  <si>
    <t xml:space="preserve">EMPOLYEE SALARY JUN</t>
  </si>
  <si>
    <t xml:space="preserve">FD-101</t>
  </si>
  <si>
    <t xml:space="preserve">EGGS</t>
  </si>
  <si>
    <t xml:space="preserve">DINE IN INV#15 MEAL FOR MANAGEMENT</t>
  </si>
  <si>
    <t xml:space="preserve">FD-102</t>
  </si>
  <si>
    <t xml:space="preserve">YELLOW MUSTERD</t>
  </si>
  <si>
    <t xml:space="preserve">JAR</t>
  </si>
  <si>
    <t xml:space="preserve">FD-103</t>
  </si>
  <si>
    <t xml:space="preserve">HONEY</t>
  </si>
  <si>
    <t xml:space="preserve">SCORING PAD</t>
  </si>
  <si>
    <t xml:space="preserve">FD-104</t>
  </si>
  <si>
    <t xml:space="preserve">TANDOORI SAUCE</t>
  </si>
  <si>
    <t xml:space="preserve">SCRUBING BRUSH</t>
  </si>
  <si>
    <t xml:space="preserve">SCRUBING BRUSH FOR BAR</t>
  </si>
  <si>
    <t xml:space="preserve">FD-105</t>
  </si>
  <si>
    <t xml:space="preserve">DELUX SAUCE</t>
  </si>
  <si>
    <t xml:space="preserve">FRYER</t>
  </si>
  <si>
    <t xml:space="preserve">SWITCH FOR FRYER</t>
  </si>
  <si>
    <t xml:space="preserve">FD-106</t>
  </si>
  <si>
    <t xml:space="preserve">WHITE SAUCE</t>
  </si>
  <si>
    <t xml:space="preserve">JUICER BASE</t>
  </si>
  <si>
    <t xml:space="preserve">BAR JUICER BLADE BASE</t>
  </si>
  <si>
    <t xml:space="preserve">FD-107</t>
  </si>
  <si>
    <t xml:space="preserve">PIZZA SAUCE</t>
  </si>
  <si>
    <t xml:space="preserve">SCOTCH TAPE</t>
  </si>
  <si>
    <t xml:space="preserve">FD-108</t>
  </si>
  <si>
    <t xml:space="preserve">PERI PERI SAUCE</t>
  </si>
  <si>
    <t xml:space="preserve">CABLE FEE</t>
  </si>
  <si>
    <t xml:space="preserve">FD-109</t>
  </si>
  <si>
    <t xml:space="preserve">VINEGAR 4 LTR</t>
  </si>
  <si>
    <t xml:space="preserve">DELIVERY INV#12 MEAL FOR SHO GULBERG</t>
  </si>
  <si>
    <t xml:space="preserve">FD-110</t>
  </si>
  <si>
    <t xml:space="preserve">MALAI WINGS SPICE</t>
  </si>
  <si>
    <t xml:space="preserve">BIKE FUEL </t>
  </si>
  <si>
    <t xml:space="preserve">BIKE FUEL FOR LOCAL MARKET PURCHASING</t>
  </si>
  <si>
    <t xml:space="preserve">FD-111</t>
  </si>
  <si>
    <t xml:space="preserve">FRESH LIME</t>
  </si>
  <si>
    <t xml:space="preserve">BOTTLE DRINKS</t>
  </si>
  <si>
    <t xml:space="preserve">DIET COKE</t>
  </si>
  <si>
    <t xml:space="preserve">FD-112</t>
  </si>
  <si>
    <t xml:space="preserve">ZINGER BURGER SAUCE</t>
  </si>
  <si>
    <t xml:space="preserve">FD-113</t>
  </si>
  <si>
    <t xml:space="preserve">FRIED WINGS SAUCE</t>
  </si>
  <si>
    <t xml:space="preserve">ANEES DELIVERY SUPERVISOR</t>
  </si>
  <si>
    <t xml:space="preserve">FD-114</t>
  </si>
  <si>
    <t xml:space="preserve">DIP ITT PERI PERI SAUCE</t>
  </si>
  <si>
    <t xml:space="preserve">BOTT</t>
  </si>
  <si>
    <t xml:space="preserve">FD-115</t>
  </si>
  <si>
    <t xml:space="preserve">WORCESTERSHIRE SAUCE</t>
  </si>
  <si>
    <t xml:space="preserve">FD-116</t>
  </si>
  <si>
    <t xml:space="preserve">MUSTARD POWDER(100 GM)</t>
  </si>
  <si>
    <t xml:space="preserve">FD-117</t>
  </si>
  <si>
    <t xml:space="preserve">CHICK PEA</t>
  </si>
  <si>
    <t xml:space="preserve">PLANTERS</t>
  </si>
  <si>
    <t xml:space="preserve">PLANTERS FOR OUTSIDE AREA</t>
  </si>
  <si>
    <t xml:space="preserve">FD-118</t>
  </si>
  <si>
    <t xml:space="preserve">SUGAR LOOSE</t>
  </si>
  <si>
    <t xml:space="preserve">DINE IN INV#100 FOR AQIB</t>
  </si>
  <si>
    <t xml:space="preserve">FD-119</t>
  </si>
  <si>
    <t xml:space="preserve">GARAM MSALA</t>
  </si>
  <si>
    <t xml:space="preserve">FD-120</t>
  </si>
  <si>
    <t xml:space="preserve">RED PEPPER</t>
  </si>
  <si>
    <t xml:space="preserve">MEDICAL</t>
  </si>
  <si>
    <t xml:space="preserve">MEDICAL AHSAN K/A</t>
  </si>
  <si>
    <t xml:space="preserve">FD-121</t>
  </si>
  <si>
    <t xml:space="preserve">FNK RECEIPE</t>
  </si>
  <si>
    <t xml:space="preserve">FD-122</t>
  </si>
  <si>
    <t xml:space="preserve">WINGS MARINATION RECEIPE</t>
  </si>
  <si>
    <t xml:space="preserve">MEAL FOR HASSAN SB</t>
  </si>
  <si>
    <t xml:space="preserve">FD-123</t>
  </si>
  <si>
    <t xml:space="preserve">SIRACHA SAUCE</t>
  </si>
  <si>
    <t xml:space="preserve">FD-124</t>
  </si>
  <si>
    <t xml:space="preserve">TURMERIC POWDER</t>
  </si>
  <si>
    <t xml:space="preserve">FD-125</t>
  </si>
  <si>
    <t xml:space="preserve">PINK SALT</t>
  </si>
  <si>
    <t xml:space="preserve">WATER</t>
  </si>
  <si>
    <t xml:space="preserve">FD-126</t>
  </si>
  <si>
    <t xml:space="preserve">PIZZA SPICE</t>
  </si>
  <si>
    <t xml:space="preserve">FD-127</t>
  </si>
  <si>
    <t xml:space="preserve">PEPRIKA POWDER</t>
  </si>
  <si>
    <t xml:space="preserve">FD-128</t>
  </si>
  <si>
    <t xml:space="preserve">CHAT MASALA</t>
  </si>
  <si>
    <t xml:space="preserve">MANAGEMENT UNIFORM</t>
  </si>
  <si>
    <t xml:space="preserve">FD-129</t>
  </si>
  <si>
    <t xml:space="preserve">CORIANDER POWDER</t>
  </si>
  <si>
    <t xml:space="preserve">BALLOON</t>
  </si>
  <si>
    <t xml:space="preserve">FD-130</t>
  </si>
  <si>
    <t xml:space="preserve">BLACK PEPPER</t>
  </si>
  <si>
    <t xml:space="preserve">EMPLOYEE SALARY</t>
  </si>
  <si>
    <t xml:space="preserve">FD-131</t>
  </si>
  <si>
    <t xml:space="preserve">WHITE PEPPER</t>
  </si>
  <si>
    <t xml:space="preserve">MICROWAVE OVEN</t>
  </si>
  <si>
    <t xml:space="preserve">MICROWAVE OVEN REPAIR</t>
  </si>
  <si>
    <t xml:space="preserve">FD-132</t>
  </si>
  <si>
    <t xml:space="preserve">SALT</t>
  </si>
  <si>
    <t xml:space="preserve">NETWORKING</t>
  </si>
  <si>
    <t xml:space="preserve">CAT-6 CABLE FOR NETWORKING</t>
  </si>
  <si>
    <t xml:space="preserve">FD-133</t>
  </si>
  <si>
    <t xml:space="preserve">GINGER POWDER</t>
  </si>
  <si>
    <t xml:space="preserve">GROUND FLOOR</t>
  </si>
  <si>
    <t xml:space="preserve">LIGHT FOR GROUND FLOOR</t>
  </si>
  <si>
    <t xml:space="preserve">FD-134</t>
  </si>
  <si>
    <t xml:space="preserve">MEAT SAUCE SPICE</t>
  </si>
  <si>
    <t xml:space="preserve">TAKE AWAY INV#09 FOR ZEESHAN ACC</t>
  </si>
  <si>
    <t xml:space="preserve">FD-135</t>
  </si>
  <si>
    <t xml:space="preserve">CHICKEN POWDER</t>
  </si>
  <si>
    <t xml:space="preserve">TEA FOR MANAGEMENT MEETING</t>
  </si>
  <si>
    <t xml:space="preserve">FD-136</t>
  </si>
  <si>
    <t xml:space="preserve">TIKKA MASLA</t>
  </si>
  <si>
    <t xml:space="preserve">FD-137</t>
  </si>
  <si>
    <t xml:space="preserve">ACHAR GOSHT MASLA</t>
  </si>
  <si>
    <t xml:space="preserve">CASH TO BOSS</t>
  </si>
  <si>
    <t xml:space="preserve">FD-138</t>
  </si>
  <si>
    <t xml:space="preserve">ZESTY FRIES BLEND</t>
  </si>
  <si>
    <t xml:space="preserve">FD-139</t>
  </si>
  <si>
    <t xml:space="preserve">MURGHI MASALA</t>
  </si>
  <si>
    <t xml:space="preserve">MEAL FOR IMRAN SB</t>
  </si>
  <si>
    <t xml:space="preserve">FD-140</t>
  </si>
  <si>
    <t xml:space="preserve">FRIED WINGS SPICE</t>
  </si>
  <si>
    <t xml:space="preserve">SHERI VEGGIE</t>
  </si>
  <si>
    <t xml:space="preserve">VEGGIES</t>
  </si>
  <si>
    <t xml:space="preserve">FD-141</t>
  </si>
  <si>
    <t xml:space="preserve">GARLIC POWDER</t>
  </si>
  <si>
    <t xml:space="preserve">FD-142</t>
  </si>
  <si>
    <t xml:space="preserve">CRUSHED CHILLI</t>
  </si>
  <si>
    <t xml:space="preserve">ICE CREAM</t>
  </si>
  <si>
    <t xml:space="preserve">FD-143</t>
  </si>
  <si>
    <t xml:space="preserve">GARLIC POWDER SACHET</t>
  </si>
  <si>
    <t xml:space="preserve">FD-144</t>
  </si>
  <si>
    <t xml:space="preserve">CRUSHED CHILLI SACHET</t>
  </si>
  <si>
    <t xml:space="preserve">FD-145</t>
  </si>
  <si>
    <t xml:space="preserve">KETCHUP SACHET</t>
  </si>
  <si>
    <t xml:space="preserve">FRESH CREAM</t>
  </si>
  <si>
    <t xml:space="preserve">FD-146</t>
  </si>
  <si>
    <t xml:space="preserve">KETCHUP POUCH 4*4</t>
  </si>
  <si>
    <t xml:space="preserve">DOUGH MATERIAL</t>
  </si>
  <si>
    <t xml:space="preserve">AL-BARKA WATER</t>
  </si>
  <si>
    <t xml:space="preserve">FD-147</t>
  </si>
  <si>
    <t xml:space="preserve">HOT SAUCE 4 LITRE</t>
  </si>
  <si>
    <t xml:space="preserve">GALLON</t>
  </si>
  <si>
    <t xml:space="preserve">METRO</t>
  </si>
  <si>
    <t xml:space="preserve">OIL 16 LTR TINS</t>
  </si>
  <si>
    <t xml:space="preserve">FD-148</t>
  </si>
  <si>
    <t xml:space="preserve">WARDAH KETCHUP</t>
  </si>
  <si>
    <t xml:space="preserve">FD-149</t>
  </si>
  <si>
    <t xml:space="preserve">HOT SAUCE 03 oz</t>
  </si>
  <si>
    <t xml:space="preserve">LIME POWDER</t>
  </si>
  <si>
    <t xml:space="preserve">FD-150</t>
  </si>
  <si>
    <t xml:space="preserve">DIPITT POUCH 4*4</t>
  </si>
  <si>
    <t xml:space="preserve">HAND WASH</t>
  </si>
  <si>
    <t xml:space="preserve">FD-151</t>
  </si>
  <si>
    <t xml:space="preserve">SINGLE CONDIMENTS</t>
  </si>
  <si>
    <t xml:space="preserve">BUILDING GLASS</t>
  </si>
  <si>
    <t xml:space="preserve">BUILDING GLASS CLEANING</t>
  </si>
  <si>
    <t xml:space="preserve">FD-152</t>
  </si>
  <si>
    <t xml:space="preserve">DOUBLE CONDIMENTS</t>
  </si>
  <si>
    <t xml:space="preserve">ANJUM DELIVERY SUPERVISOR</t>
  </si>
  <si>
    <t xml:space="preserve">FD-153</t>
  </si>
  <si>
    <t xml:space="preserve">VANILLA ICE CREAM</t>
  </si>
  <si>
    <t xml:space="preserve">NABEEL KITCHEN SUPERVISOR</t>
  </si>
  <si>
    <t xml:space="preserve">FD-154</t>
  </si>
  <si>
    <t xml:space="preserve">CHOCLATE ICE CREAM</t>
  </si>
  <si>
    <t xml:space="preserve">NUMAN K/A</t>
  </si>
  <si>
    <t xml:space="preserve">FD-155</t>
  </si>
  <si>
    <t xml:space="preserve">STRAWBERRY ICE CREAM</t>
  </si>
  <si>
    <t xml:space="preserve">SHAKEEL RIDER</t>
  </si>
  <si>
    <t xml:space="preserve">FD-156</t>
  </si>
  <si>
    <t xml:space="preserve">MANGO ICE CREAM</t>
  </si>
  <si>
    <t xml:space="preserve">MASOOM DISHWASHER REMAINING SALARY</t>
  </si>
  <si>
    <t xml:space="preserve">FD-157</t>
  </si>
  <si>
    <t xml:space="preserve">KULFA ICE CREAM</t>
  </si>
  <si>
    <t xml:space="preserve">DINE IN INV#28 MEAL FOR AHSAN RGM</t>
  </si>
  <si>
    <t xml:space="preserve">FD-158</t>
  </si>
  <si>
    <t xml:space="preserve">CHOCLATE SYRUP</t>
  </si>
  <si>
    <t xml:space="preserve">TAKE AWAY INV#05 TEA FOR SHERRY</t>
  </si>
  <si>
    <t xml:space="preserve">FD-159</t>
  </si>
  <si>
    <t xml:space="preserve">STRAWBERRY SYRUP</t>
  </si>
  <si>
    <t xml:space="preserve">FD-160</t>
  </si>
  <si>
    <t xml:space="preserve">VANILLA ROUTIN SYRUP</t>
  </si>
  <si>
    <t xml:space="preserve">1000 ML</t>
  </si>
  <si>
    <t xml:space="preserve">FD-161</t>
  </si>
  <si>
    <t xml:space="preserve">COCO CRUNCH</t>
  </si>
  <si>
    <t xml:space="preserve">FD-162</t>
  </si>
  <si>
    <t xml:space="preserve">TEA LOOSE</t>
  </si>
  <si>
    <t xml:space="preserve">BOSS HOME INTERNET BILL PAID</t>
  </si>
  <si>
    <t xml:space="preserve">FD-163</t>
  </si>
  <si>
    <t xml:space="preserve">RASPBERRY ROUTIN SYRUP</t>
  </si>
  <si>
    <t xml:space="preserve">FD-164</t>
  </si>
  <si>
    <t xml:space="preserve">COFFE JAR</t>
  </si>
  <si>
    <t xml:space="preserve">FD-165</t>
  </si>
  <si>
    <t xml:space="preserve">BULK</t>
  </si>
  <si>
    <t xml:space="preserve">FD-166</t>
  </si>
  <si>
    <t xml:space="preserve">FD-167</t>
  </si>
  <si>
    <t xml:space="preserve">CHOCOLATE TOPPING SYRUP</t>
  </si>
  <si>
    <t xml:space="preserve">WRAP BREAD</t>
  </si>
  <si>
    <t xml:space="preserve">FD-168</t>
  </si>
  <si>
    <t xml:space="preserve">OREO BISCUIT</t>
  </si>
  <si>
    <t xml:space="preserve">BOX</t>
  </si>
  <si>
    <t xml:space="preserve">FD-169</t>
  </si>
  <si>
    <t xml:space="preserve">CHOCOLATE CHIP ICE CREAM</t>
  </si>
  <si>
    <t xml:space="preserve">FD-170</t>
  </si>
  <si>
    <t xml:space="preserve">GREEN APPLE ROUTIN SYRUP</t>
  </si>
  <si>
    <t xml:space="preserve">FD-171</t>
  </si>
  <si>
    <t xml:space="preserve">CARAMEL ROUTIN SYRUP</t>
  </si>
  <si>
    <t xml:space="preserve">LPG CYL</t>
  </si>
  <si>
    <t xml:space="preserve">FD-172</t>
  </si>
  <si>
    <t xml:space="preserve">CHOCOLATE  ROUTIN SYRUP</t>
  </si>
  <si>
    <t xml:space="preserve">NAYATEL</t>
  </si>
  <si>
    <t xml:space="preserve">NAYATEL BILL PAID</t>
  </si>
  <si>
    <t xml:space="preserve">FD-173</t>
  </si>
  <si>
    <t xml:space="preserve">KIWI  ROUTIN SYRUP</t>
  </si>
  <si>
    <t xml:space="preserve">FD-174</t>
  </si>
  <si>
    <t xml:space="preserve">PINE APPLE  ROUTIN SYRUP</t>
  </si>
  <si>
    <t xml:space="preserve">WATER PUMP</t>
  </si>
  <si>
    <t xml:space="preserve">NEW WATER PUMP</t>
  </si>
  <si>
    <t xml:space="preserve">FD-175</t>
  </si>
  <si>
    <t xml:space="preserve">COCONUT ROUTIN SYRUP</t>
  </si>
  <si>
    <t xml:space="preserve">WATER PUMP INSTALATION</t>
  </si>
  <si>
    <t xml:space="preserve">FD-176</t>
  </si>
  <si>
    <t xml:space="preserve">PEACH ROUTIN SYRUP</t>
  </si>
  <si>
    <t xml:space="preserve">NEW CEILING FANS</t>
  </si>
  <si>
    <t xml:space="preserve">FD-177</t>
  </si>
  <si>
    <t xml:space="preserve">BLUE CURACAO ROUTIN SYRUP</t>
  </si>
  <si>
    <t xml:space="preserve">MATERIAL FOR CEILING FAN INSTALL(690), AUTO FARE(300)</t>
  </si>
  <si>
    <t xml:space="preserve">FD-178</t>
  </si>
  <si>
    <t xml:space="preserve">HAZELNUT ROUTIN SYRUP</t>
  </si>
  <si>
    <t xml:space="preserve">PLATTER TRAY</t>
  </si>
  <si>
    <t xml:space="preserve">PLATTER TRAY SAMPLE</t>
  </si>
  <si>
    <t xml:space="preserve">FD-179</t>
  </si>
  <si>
    <t xml:space="preserve">IRISH CREAM ROUTIN SYRUP</t>
  </si>
  <si>
    <t xml:space="preserve">BIKE FUEL</t>
  </si>
  <si>
    <t xml:space="preserve">BIKE FUEL FOR PURCHASING</t>
  </si>
  <si>
    <t xml:space="preserve">FD-180</t>
  </si>
  <si>
    <t xml:space="preserve">POMIGRANTA ROUTIN SYRUP</t>
  </si>
  <si>
    <t xml:space="preserve">AHSAN K/A</t>
  </si>
  <si>
    <t xml:space="preserve">FD-181</t>
  </si>
  <si>
    <t xml:space="preserve">MINT ROUTIN SYRUP</t>
  </si>
  <si>
    <t xml:space="preserve">MEAL FOR HAMMAD SB &amp; AHSAN SB</t>
  </si>
  <si>
    <t xml:space="preserve">FD-182</t>
  </si>
  <si>
    <t xml:space="preserve">GREEN TEA</t>
  </si>
  <si>
    <t xml:space="preserve">FD-183</t>
  </si>
  <si>
    <t xml:space="preserve">EVERYDAY TEA WHITENER POWDER</t>
  </si>
  <si>
    <t xml:space="preserve">TAKE AWAY INV#14 CPO OFFICE</t>
  </si>
  <si>
    <t xml:space="preserve">FD-184</t>
  </si>
  <si>
    <t xml:space="preserve">NASCAFE CLASSIC COFFEE</t>
  </si>
  <si>
    <t xml:space="preserve">FD-185</t>
  </si>
  <si>
    <t xml:space="preserve">NASCAFE CARDAMUM TEA</t>
  </si>
  <si>
    <t xml:space="preserve">FD-186</t>
  </si>
  <si>
    <t xml:space="preserve">NASCAFE KARAK TEA</t>
  </si>
  <si>
    <t xml:space="preserve">FD-187</t>
  </si>
  <si>
    <t xml:space="preserve">NASCAFE COFFE JAR 100 GRM</t>
  </si>
  <si>
    <t xml:space="preserve">MEAL FOR RIAZ SB</t>
  </si>
  <si>
    <t xml:space="preserve">Riaz Sb</t>
  </si>
  <si>
    <t xml:space="preserve">FD-188</t>
  </si>
  <si>
    <t xml:space="preserve">TEA BAGS</t>
  </si>
  <si>
    <t xml:space="preserve">MACARONI</t>
  </si>
  <si>
    <t xml:space="preserve">FD-189</t>
  </si>
  <si>
    <t xml:space="preserve">SUGAR SACHET</t>
  </si>
  <si>
    <t xml:space="preserve">FD-190</t>
  </si>
  <si>
    <t xml:space="preserve">VANILLA CARAMEL CRUNCH</t>
  </si>
  <si>
    <t xml:space="preserve">LTR</t>
  </si>
  <si>
    <t xml:space="preserve">FD-191</t>
  </si>
  <si>
    <t xml:space="preserve">MINT</t>
  </si>
  <si>
    <t xml:space="preserve">BUNDAL</t>
  </si>
  <si>
    <t xml:space="preserve">DELUXE SAUCE</t>
  </si>
  <si>
    <t xml:space="preserve">FD-192</t>
  </si>
  <si>
    <t xml:space="preserve">BLACK SALT</t>
  </si>
  <si>
    <t xml:space="preserve">MENU CHICKEN</t>
  </si>
  <si>
    <t xml:space="preserve">FD-193</t>
  </si>
  <si>
    <t xml:space="preserve">CAREMAL CRUNCH ICE CREAM</t>
  </si>
  <si>
    <t xml:space="preserve">FD-194</t>
  </si>
  <si>
    <t xml:space="preserve">C.SPRINKER</t>
  </si>
  <si>
    <t xml:space="preserve">FD-195</t>
  </si>
  <si>
    <t xml:space="preserve">COLD COFFEE SYRUP</t>
  </si>
  <si>
    <t xml:space="preserve">F1</t>
  </si>
  <si>
    <t xml:space="preserve">FD-196</t>
  </si>
  <si>
    <t xml:space="preserve">FETTUCCINE</t>
  </si>
  <si>
    <t xml:space="preserve">SULTANI PRINTING</t>
  </si>
  <si>
    <t xml:space="preserve">FD-197</t>
  </si>
  <si>
    <t xml:space="preserve">LASAGNA</t>
  </si>
  <si>
    <t xml:space="preserve">STAPPLER</t>
  </si>
  <si>
    <t xml:space="preserve">STAPPLER &amp; PIN OPENER</t>
  </si>
  <si>
    <t xml:space="preserve">FD-198</t>
  </si>
  <si>
    <t xml:space="preserve">SPAGHETTI (B.P)</t>
  </si>
  <si>
    <t xml:space="preserve">AQIB SUPERVISOR</t>
  </si>
  <si>
    <t xml:space="preserve">FD-199</t>
  </si>
  <si>
    <t xml:space="preserve">MACRONI</t>
  </si>
  <si>
    <t xml:space="preserve">TAKE AWAY INV#09 MEAL FOR HAMMAD SB</t>
  </si>
  <si>
    <t xml:space="preserve">FD-200</t>
  </si>
  <si>
    <t xml:space="preserve">FUSILLI 400 GM</t>
  </si>
  <si>
    <t xml:space="preserve">FD-201</t>
  </si>
  <si>
    <t xml:space="preserve">FRENCH LOAF</t>
  </si>
  <si>
    <t xml:space="preserve">TAKE AWAY INV#07 MEAL FOR IKRAM BAKERY CHEF</t>
  </si>
  <si>
    <t xml:space="preserve">FD-202</t>
  </si>
  <si>
    <t xml:space="preserve">TAKE AWAY INV#11 MEAL FOR BOSS DRIVER</t>
  </si>
  <si>
    <t xml:space="preserve">FD-203</t>
  </si>
  <si>
    <t xml:space="preserve">PLANT FOR BOSS OFFICE</t>
  </si>
  <si>
    <t xml:space="preserve">FD-204</t>
  </si>
  <si>
    <t xml:space="preserve">CAPSICUM</t>
  </si>
  <si>
    <t xml:space="preserve">FD-205</t>
  </si>
  <si>
    <t xml:space="preserve">ONION</t>
  </si>
  <si>
    <t xml:space="preserve">FD-206</t>
  </si>
  <si>
    <t xml:space="preserve">CARROT</t>
  </si>
  <si>
    <t xml:space="preserve">FD-207</t>
  </si>
  <si>
    <t xml:space="preserve">CORIANDER</t>
  </si>
  <si>
    <t xml:space="preserve">DISPOSABLE GLOVES</t>
  </si>
  <si>
    <t xml:space="preserve">FD-208</t>
  </si>
  <si>
    <t xml:space="preserve">CUCUMBER</t>
  </si>
  <si>
    <t xml:space="preserve">FD-209</t>
  </si>
  <si>
    <t xml:space="preserve">GARLIC</t>
  </si>
  <si>
    <t xml:space="preserve">BALLOONS</t>
  </si>
  <si>
    <t xml:space="preserve">FD-210</t>
  </si>
  <si>
    <t xml:space="preserve">GINGER</t>
  </si>
  <si>
    <t xml:space="preserve">LOCK</t>
  </si>
  <si>
    <t xml:space="preserve">LOCK FOR DELIVERY AREA</t>
  </si>
  <si>
    <t xml:space="preserve">FD-211</t>
  </si>
  <si>
    <t xml:space="preserve">GREEN CHILLI</t>
  </si>
  <si>
    <t xml:space="preserve">FD-212</t>
  </si>
  <si>
    <t xml:space="preserve">ICE BURG</t>
  </si>
  <si>
    <t xml:space="preserve">FD-213</t>
  </si>
  <si>
    <t xml:space="preserve">LEMON</t>
  </si>
  <si>
    <t xml:space="preserve">OTHER FACULTY</t>
  </si>
  <si>
    <t xml:space="preserve">MEHBOOB BUTT GUARD</t>
  </si>
  <si>
    <t xml:space="preserve">FD-214</t>
  </si>
  <si>
    <t xml:space="preserve">TOMATO</t>
  </si>
  <si>
    <t xml:space="preserve">FD-215</t>
  </si>
  <si>
    <t xml:space="preserve">APPLE</t>
  </si>
  <si>
    <t xml:space="preserve">FD-216</t>
  </si>
  <si>
    <t xml:space="preserve">CABBAGE</t>
  </si>
  <si>
    <t xml:space="preserve">FD-217</t>
  </si>
  <si>
    <t xml:space="preserve">MINT LEAF</t>
  </si>
  <si>
    <t xml:space="preserve">BUN</t>
  </si>
  <si>
    <t xml:space="preserve">FD-218</t>
  </si>
  <si>
    <t xml:space="preserve">POTATO</t>
  </si>
  <si>
    <t xml:space="preserve">PK-001</t>
  </si>
  <si>
    <t xml:space="preserve">JAMBO BOX</t>
  </si>
  <si>
    <t xml:space="preserve">BOSS HOME STORM FIBER BILL PAID</t>
  </si>
  <si>
    <t xml:space="preserve">PK-002</t>
  </si>
  <si>
    <t xml:space="preserve">JAMBO LINER</t>
  </si>
  <si>
    <t xml:space="preserve">STORM FIBER</t>
  </si>
  <si>
    <t xml:space="preserve">PK-003</t>
  </si>
  <si>
    <t xml:space="preserve">LARGE PIZZAA BOX</t>
  </si>
  <si>
    <t xml:space="preserve">PK-004</t>
  </si>
  <si>
    <t xml:space="preserve">LARGE LINER</t>
  </si>
  <si>
    <t xml:space="preserve">PK-005</t>
  </si>
  <si>
    <t xml:space="preserve">REGULAR PIZZA BOX</t>
  </si>
  <si>
    <t xml:space="preserve">LABOUR FOR BOSS HOUSE WORK</t>
  </si>
  <si>
    <t xml:space="preserve">PK-006</t>
  </si>
  <si>
    <t xml:space="preserve">SMALL PIZZA BOX</t>
  </si>
  <si>
    <t xml:space="preserve">BOSS OFFICE REPAIR</t>
  </si>
  <si>
    <t xml:space="preserve">PK-007</t>
  </si>
  <si>
    <t xml:space="preserve">SANDWICH BOX</t>
  </si>
  <si>
    <t xml:space="preserve">WATER FOR HASSAN SB</t>
  </si>
  <si>
    <t xml:space="preserve">PK-008</t>
  </si>
  <si>
    <t xml:space="preserve">DATES PACKING</t>
  </si>
  <si>
    <t xml:space="preserve">K&amp;Ns CHICKEN FOR BOSS HOME</t>
  </si>
  <si>
    <t xml:space="preserve">PK-009</t>
  </si>
  <si>
    <t xml:space="preserve">PLATTER BOXES</t>
  </si>
  <si>
    <t xml:space="preserve">PK-010</t>
  </si>
  <si>
    <t xml:space="preserve">PAPER NAPKIN</t>
  </si>
  <si>
    <t xml:space="preserve">PK-011</t>
  </si>
  <si>
    <t xml:space="preserve">TISSUE BOX</t>
  </si>
  <si>
    <t xml:space="preserve">PK-012</t>
  </si>
  <si>
    <t xml:space="preserve">PAPER DRINK CUP</t>
  </si>
  <si>
    <t xml:space="preserve">PK-013</t>
  </si>
  <si>
    <t xml:space="preserve">PAPER DRINK LID</t>
  </si>
  <si>
    <t xml:space="preserve">PK-014</t>
  </si>
  <si>
    <t xml:space="preserve">PAPER CUP SMALL</t>
  </si>
  <si>
    <t xml:space="preserve">PK-015</t>
  </si>
  <si>
    <t xml:space="preserve">COFEE NAPKIN</t>
  </si>
  <si>
    <t xml:space="preserve">PK-016</t>
  </si>
  <si>
    <t xml:space="preserve">SHAKE GLASS 16 OZ</t>
  </si>
  <si>
    <t xml:space="preserve">PK-017</t>
  </si>
  <si>
    <t xml:space="preserve">STRAW</t>
  </si>
  <si>
    <t xml:space="preserve">PK-018</t>
  </si>
  <si>
    <t xml:space="preserve">MAGIC STRAW</t>
  </si>
  <si>
    <t xml:space="preserve">PK-019</t>
  </si>
  <si>
    <t xml:space="preserve">DISPOSIBLE SAPOON</t>
  </si>
  <si>
    <t xml:space="preserve">PK-020</t>
  </si>
  <si>
    <t xml:space="preserve">SALAD BOWL</t>
  </si>
  <si>
    <t xml:space="preserve">FESCO BILL</t>
  </si>
  <si>
    <t xml:space="preserve">FESCO BILL PAID</t>
  </si>
  <si>
    <t xml:space="preserve">PK-021</t>
  </si>
  <si>
    <t xml:space="preserve">MINI SALD BOWL</t>
  </si>
  <si>
    <t xml:space="preserve">EOBI CHALLAN</t>
  </si>
  <si>
    <t xml:space="preserve">PK-022</t>
  </si>
  <si>
    <t xml:space="preserve">KETCHUP EMPTY BOTTLES</t>
  </si>
  <si>
    <t xml:space="preserve">DUSTERS</t>
  </si>
  <si>
    <t xml:space="preserve">PK-023</t>
  </si>
  <si>
    <t xml:space="preserve">KETCHUP BOTTLE LIDS</t>
  </si>
  <si>
    <t xml:space="preserve">GLASS WORK</t>
  </si>
  <si>
    <t xml:space="preserve">1st FLOOR GLASS WORK</t>
  </si>
  <si>
    <t xml:space="preserve">PK-024</t>
  </si>
  <si>
    <t xml:space="preserve">CUP CARRIER</t>
  </si>
  <si>
    <t xml:space="preserve">KITCHEN CLOCK REPAIR</t>
  </si>
  <si>
    <t xml:space="preserve">PK-025</t>
  </si>
  <si>
    <t xml:space="preserve">UPSIZE GLASS</t>
  </si>
  <si>
    <t xml:space="preserve">RENT</t>
  </si>
  <si>
    <t xml:space="preserve">RENT PAID FOR PIZZA FLOUR UN-LOADING</t>
  </si>
  <si>
    <t xml:space="preserve">PK-026</t>
  </si>
  <si>
    <t xml:space="preserve">CONDIMENT PACKING</t>
  </si>
  <si>
    <t xml:space="preserve">PK-027</t>
  </si>
  <si>
    <t xml:space="preserve">ZIP BAGS (SMALL)</t>
  </si>
  <si>
    <t xml:space="preserve">PK-028</t>
  </si>
  <si>
    <t xml:space="preserve">WOVEN BAGS</t>
  </si>
  <si>
    <t xml:space="preserve">PK-029</t>
  </si>
  <si>
    <t xml:space="preserve">COFFEE GLASS WITH LID</t>
  </si>
  <si>
    <t xml:space="preserve">PK-030</t>
  </si>
  <si>
    <t xml:space="preserve">SHAKE GLASS 12 OZ</t>
  </si>
  <si>
    <t xml:space="preserve">ZARISH GRO</t>
  </si>
  <si>
    <t xml:space="preserve">PK-031</t>
  </si>
  <si>
    <t xml:space="preserve">FNK PRINTED GLASS</t>
  </si>
  <si>
    <t xml:space="preserve">SHAHBAZ RIDER</t>
  </si>
  <si>
    <t xml:space="preserve">PK-032</t>
  </si>
  <si>
    <t xml:space="preserve">NEW FNK GLASS PRINT</t>
  </si>
  <si>
    <t xml:space="preserve">PK-033</t>
  </si>
  <si>
    <t xml:space="preserve">FNK PRINTED COFFEE CUP</t>
  </si>
  <si>
    <t xml:space="preserve">PK-034</t>
  </si>
  <si>
    <t xml:space="preserve">SHAKE STRAW</t>
  </si>
  <si>
    <t xml:space="preserve">SAIM RIDER</t>
  </si>
  <si>
    <t xml:space="preserve">PK-035</t>
  </si>
  <si>
    <t xml:space="preserve">F 1 (100/PKT)</t>
  </si>
  <si>
    <t xml:space="preserve">ADNAN K/A</t>
  </si>
  <si>
    <t xml:space="preserve">PK-036</t>
  </si>
  <si>
    <t xml:space="preserve">F 1 LIDS (100/PKT)</t>
  </si>
  <si>
    <t xml:space="preserve">TAKE AWAY INV#78 MEAL FOR SAMI SB</t>
  </si>
  <si>
    <t xml:space="preserve">PK-037</t>
  </si>
  <si>
    <t xml:space="preserve">F 2 (100/PKT)</t>
  </si>
  <si>
    <t xml:space="preserve">TAKE AWAY INV#01 MEAL FOR HAMZA SB</t>
  </si>
  <si>
    <t xml:space="preserve">PK-038</t>
  </si>
  <si>
    <t xml:space="preserve">F 2 LIDS (100/PKT)</t>
  </si>
  <si>
    <t xml:space="preserve">MEAL FOR HAMMAD SB</t>
  </si>
  <si>
    <t xml:space="preserve">PK-039</t>
  </si>
  <si>
    <t xml:space="preserve">P 1 &amp; LIDS (100/PKT)</t>
  </si>
  <si>
    <t xml:space="preserve">MALAI BOTI TESTING FOR AHSAN ZAIDI</t>
  </si>
  <si>
    <t xml:space="preserve">PK-040</t>
  </si>
  <si>
    <t xml:space="preserve">FOOD BAGS (100/PKT)</t>
  </si>
  <si>
    <t xml:space="preserve">COFFEE FOR BOSS DRIVER</t>
  </si>
  <si>
    <t xml:space="preserve">PK-041</t>
  </si>
  <si>
    <t xml:space="preserve">BOX SUPPORTERS (300)</t>
  </si>
  <si>
    <t xml:space="preserve">PK-042</t>
  </si>
  <si>
    <t xml:space="preserve">DONNER PACKING</t>
  </si>
  <si>
    <t xml:space="preserve">DINE IN INV#15 CUSTOMER COMPLAIN MEAL NOT PROPER BAKE</t>
  </si>
  <si>
    <t xml:space="preserve">PK-043</t>
  </si>
  <si>
    <t xml:space="preserve">ZINGER BURGER PACKING</t>
  </si>
  <si>
    <t xml:space="preserve">PK-044</t>
  </si>
  <si>
    <t xml:space="preserve">FRIED WINGS PACKING</t>
  </si>
  <si>
    <t xml:space="preserve">FACE MASK</t>
  </si>
  <si>
    <t xml:space="preserve">PK-045</t>
  </si>
  <si>
    <t xml:space="preserve">CAKE BOX PACKING</t>
  </si>
  <si>
    <t xml:space="preserve">PK-046</t>
  </si>
  <si>
    <t xml:space="preserve">CAKE SLICE PACKING</t>
  </si>
  <si>
    <t xml:space="preserve">PK-047</t>
  </si>
  <si>
    <t xml:space="preserve">MUFFIN PACKING</t>
  </si>
  <si>
    <t xml:space="preserve">PK-048</t>
  </si>
  <si>
    <t xml:space="preserve">DONUT BOX 4 PC</t>
  </si>
  <si>
    <t xml:space="preserve">PK-049</t>
  </si>
  <si>
    <t xml:space="preserve">CARRY BAG (CAKE)</t>
  </si>
  <si>
    <t xml:space="preserve">PK-050</t>
  </si>
  <si>
    <t xml:space="preserve">BROWNIE BOXES</t>
  </si>
  <si>
    <t xml:space="preserve">PK-051</t>
  </si>
  <si>
    <t xml:space="preserve">MUFFIN HOLDER</t>
  </si>
  <si>
    <t xml:space="preserve">PK-052</t>
  </si>
  <si>
    <t xml:space="preserve">PASTRY PACKING</t>
  </si>
  <si>
    <t xml:space="preserve">PK-053</t>
  </si>
  <si>
    <t xml:space="preserve">CHOCO BALL PACKING</t>
  </si>
  <si>
    <t xml:space="preserve">PK-054</t>
  </si>
  <si>
    <t xml:space="preserve">DONUT BOX 2 PC</t>
  </si>
  <si>
    <t xml:space="preserve">OIL 4.5 LTRS</t>
  </si>
  <si>
    <t xml:space="preserve">PK-055</t>
  </si>
  <si>
    <t xml:space="preserve">CUSTOMIZED CAKE BOX</t>
  </si>
  <si>
    <t xml:space="preserve">OPPA FRIES</t>
  </si>
  <si>
    <t xml:space="preserve">CL-001</t>
  </si>
  <si>
    <t xml:space="preserve">DISH WASH</t>
  </si>
  <si>
    <t xml:space="preserve">MNK ENTERPRISES</t>
  </si>
  <si>
    <t xml:space="preserve">CL-002</t>
  </si>
  <si>
    <t xml:space="preserve">FRIENDS TRADERS</t>
  </si>
  <si>
    <t xml:space="preserve">CL-003</t>
  </si>
  <si>
    <t xml:space="preserve">WATER COOLER</t>
  </si>
  <si>
    <t xml:space="preserve">COLA NEXT BILL PAID</t>
  </si>
  <si>
    <t xml:space="preserve">CL-004</t>
  </si>
  <si>
    <t xml:space="preserve">SANITIZER GEL</t>
  </si>
  <si>
    <t xml:space="preserve">CL-005</t>
  </si>
  <si>
    <t xml:space="preserve">SANITIZER SPRAY</t>
  </si>
  <si>
    <t xml:space="preserve">CL-006</t>
  </si>
  <si>
    <t xml:space="preserve">PHENYLE</t>
  </si>
  <si>
    <t xml:space="preserve">KOHINOOR INTERSTORE</t>
  </si>
  <si>
    <t xml:space="preserve">CL-007</t>
  </si>
  <si>
    <t xml:space="preserve">BLEACH</t>
  </si>
  <si>
    <t xml:space="preserve">GARBAGE LINERS LARGE</t>
  </si>
  <si>
    <t xml:space="preserve">CL-008</t>
  </si>
  <si>
    <t xml:space="preserve">AIR FRESHNER</t>
  </si>
  <si>
    <t xml:space="preserve">CL-009</t>
  </si>
  <si>
    <t xml:space="preserve">GLINT</t>
  </si>
  <si>
    <t xml:space="preserve">DISPATCH AREA</t>
  </si>
  <si>
    <t xml:space="preserve">DOOR CLOSER FOR DISPATCH AREA</t>
  </si>
  <si>
    <t xml:space="preserve">CL-010</t>
  </si>
  <si>
    <t xml:space="preserve">COBRA</t>
  </si>
  <si>
    <t xml:space="preserve">DELIVERY ORDER</t>
  </si>
  <si>
    <t xml:space="preserve">FUEL FOR DELIVERY ORDERS</t>
  </si>
  <si>
    <t xml:space="preserve">CL-011</t>
  </si>
  <si>
    <t xml:space="preserve">HARPIC</t>
  </si>
  <si>
    <t xml:space="preserve">VISHAL CASHIER</t>
  </si>
  <si>
    <t xml:space="preserve">CL-012</t>
  </si>
  <si>
    <t xml:space="preserve">CASTAIC SODA</t>
  </si>
  <si>
    <t xml:space="preserve">CL-013</t>
  </si>
  <si>
    <t xml:space="preserve">VIM</t>
  </si>
  <si>
    <t xml:space="preserve">DINE IN INV#35 MEAL FOR AHSAN RGM</t>
  </si>
  <si>
    <t xml:space="preserve">CL-014</t>
  </si>
  <si>
    <t xml:space="preserve">GLASS SHINER</t>
  </si>
  <si>
    <t xml:space="preserve">DINE IN INV#34 MEAL FOR WAPDA PERSON</t>
  </si>
  <si>
    <t xml:space="preserve">CL-015</t>
  </si>
  <si>
    <t xml:space="preserve">TOILET CLEANER</t>
  </si>
  <si>
    <t xml:space="preserve">DINE IN INV#74 SCORING PAD PIECE FOUND IN PIZZA</t>
  </si>
  <si>
    <t xml:space="preserve">CL-016</t>
  </si>
  <si>
    <t xml:space="preserve">FOOD SAFETY LARGE LINER</t>
  </si>
  <si>
    <t xml:space="preserve">TAKE AWAY INV#04 HAIR FOUND IN PIZZA</t>
  </si>
  <si>
    <t xml:space="preserve">CL-017</t>
  </si>
  <si>
    <t xml:space="preserve">FOOD SAFETY SMALL LINER</t>
  </si>
  <si>
    <t xml:space="preserve">DINE IN INV#77 BLOOD FROM WINGS</t>
  </si>
  <si>
    <t xml:space="preserve">CL-018</t>
  </si>
  <si>
    <t xml:space="preserve">GARBAGE LINER SMALL</t>
  </si>
  <si>
    <t xml:space="preserve">CL-019</t>
  </si>
  <si>
    <t xml:space="preserve">GARBAGE LINER LARGE</t>
  </si>
  <si>
    <t xml:space="preserve">CL-020</t>
  </si>
  <si>
    <t xml:space="preserve">TARPEAL</t>
  </si>
  <si>
    <t xml:space="preserve">PCS </t>
  </si>
  <si>
    <t xml:space="preserve">WATER FOR IMRAN SB</t>
  </si>
  <si>
    <t xml:space="preserve">CL-021</t>
  </si>
  <si>
    <t xml:space="preserve">CLING FLIM</t>
  </si>
  <si>
    <t xml:space="preserve">ROLL</t>
  </si>
  <si>
    <t xml:space="preserve">PT-001</t>
  </si>
  <si>
    <t xml:space="preserve">PARTY PACK</t>
  </si>
  <si>
    <t xml:space="preserve">CL-022</t>
  </si>
  <si>
    <t xml:space="preserve">TOILET ROLL</t>
  </si>
  <si>
    <t xml:space="preserve">CL-023</t>
  </si>
  <si>
    <t xml:space="preserve">CL-024</t>
  </si>
  <si>
    <t xml:space="preserve">KITCHEN ROLL</t>
  </si>
  <si>
    <t xml:space="preserve">VINEGAR</t>
  </si>
  <si>
    <t xml:space="preserve">CL-025</t>
  </si>
  <si>
    <t xml:space="preserve">VISORS</t>
  </si>
  <si>
    <t xml:space="preserve">CL-026</t>
  </si>
  <si>
    <t xml:space="preserve">DISPOSIBLE GLOVES</t>
  </si>
  <si>
    <t xml:space="preserve">LASAGNE</t>
  </si>
  <si>
    <t xml:space="preserve">CL-027</t>
  </si>
  <si>
    <t xml:space="preserve">CL-028</t>
  </si>
  <si>
    <t xml:space="preserve">CHEESE GLOVES</t>
  </si>
  <si>
    <t xml:space="preserve">SSJ TRADERS</t>
  </si>
  <si>
    <t xml:space="preserve">PAPER CUP, STRAW, SPOON, SHAKE STRAW</t>
  </si>
  <si>
    <t xml:space="preserve">CL-029</t>
  </si>
  <si>
    <t xml:space="preserve">NEWSPAPER</t>
  </si>
  <si>
    <t xml:space="preserve">VISORS &amp; BEARD MASK</t>
  </si>
  <si>
    <t xml:space="preserve">CL-030</t>
  </si>
  <si>
    <t xml:space="preserve">BEARD MASK</t>
  </si>
  <si>
    <t xml:space="preserve">CL-031</t>
  </si>
  <si>
    <t xml:space="preserve">DUSTERS PCS</t>
  </si>
  <si>
    <t xml:space="preserve">DZN</t>
  </si>
  <si>
    <t xml:space="preserve">WASA BILL</t>
  </si>
  <si>
    <t xml:space="preserve">WASA BILL PAID</t>
  </si>
  <si>
    <t xml:space="preserve">CL-032</t>
  </si>
  <si>
    <t xml:space="preserve">CL-033</t>
  </si>
  <si>
    <t xml:space="preserve">STEEL SCORING</t>
  </si>
  <si>
    <t xml:space="preserve">CL-034</t>
  </si>
  <si>
    <t xml:space="preserve">SCRUBBING BRUSH</t>
  </si>
  <si>
    <t xml:space="preserve">DELIVERY BOX</t>
  </si>
  <si>
    <t xml:space="preserve">DELIVERY BOX REPAIR</t>
  </si>
  <si>
    <t xml:space="preserve">CL-035</t>
  </si>
  <si>
    <t xml:space="preserve">WIPER</t>
  </si>
  <si>
    <t xml:space="preserve">CL-036</t>
  </si>
  <si>
    <t xml:space="preserve">MOB HANDLE</t>
  </si>
  <si>
    <t xml:space="preserve">ZEESHAN KITCHEN SUPERVISOR</t>
  </si>
  <si>
    <t xml:space="preserve">CL-037</t>
  </si>
  <si>
    <t xml:space="preserve">MOB CLIP</t>
  </si>
  <si>
    <t xml:space="preserve">CL-038</t>
  </si>
  <si>
    <t xml:space="preserve">MOB REFILL</t>
  </si>
  <si>
    <t xml:space="preserve">AMANULLAH K/A</t>
  </si>
  <si>
    <t xml:space="preserve">CL-039</t>
  </si>
  <si>
    <t xml:space="preserve">BRUSH HANDLE</t>
  </si>
  <si>
    <t xml:space="preserve">IMRAN K/A</t>
  </si>
  <si>
    <t xml:space="preserve">CL-040</t>
  </si>
  <si>
    <t xml:space="preserve">CLEANING BRUSH</t>
  </si>
  <si>
    <t xml:space="preserve">CAKE SLICE FOR BOSS DRIVER</t>
  </si>
  <si>
    <t xml:space="preserve">CL-041</t>
  </si>
  <si>
    <t xml:space="preserve">DC AND BRUSH</t>
  </si>
  <si>
    <t xml:space="preserve">TAKE AWAY INV#01 CUSTOMER COMPLAIN MEAL WAS TASTE LESS</t>
  </si>
  <si>
    <t xml:space="preserve">CL-042</t>
  </si>
  <si>
    <t xml:space="preserve">DC</t>
  </si>
  <si>
    <t xml:space="preserve">TAKE AWAY INV#24 CUSTOMER COMPLAIN BAD SMELL FROM FOOD</t>
  </si>
  <si>
    <t xml:space="preserve">CL-043</t>
  </si>
  <si>
    <t xml:space="preserve">MOB WITH HANDLE</t>
  </si>
  <si>
    <t xml:space="preserve">CL-044</t>
  </si>
  <si>
    <t xml:space="preserve">CLASS CLEANING SPRAY</t>
  </si>
  <si>
    <t xml:space="preserve">HASSAN NASIR SB</t>
  </si>
  <si>
    <t xml:space="preserve">CL-045</t>
  </si>
  <si>
    <t xml:space="preserve">ACID</t>
  </si>
  <si>
    <t xml:space="preserve">CAKE SLICE FOR IMRAN SB</t>
  </si>
  <si>
    <t xml:space="preserve">CL-046</t>
  </si>
  <si>
    <t xml:space="preserve">FLY KILLER MEDICINE</t>
  </si>
  <si>
    <t xml:space="preserve">CL-047</t>
  </si>
  <si>
    <t xml:space="preserve">MINI WIPER</t>
  </si>
  <si>
    <t xml:space="preserve">PK-056</t>
  </si>
  <si>
    <t xml:space="preserve">BUTTER PAPER(1920 PCS)</t>
  </si>
  <si>
    <t xml:space="preserve">RIM</t>
  </si>
  <si>
    <t xml:space="preserve">PK-057</t>
  </si>
  <si>
    <t xml:space="preserve">WRAP PAPER</t>
  </si>
  <si>
    <t xml:space="preserve">CLEANING MATERIAL</t>
  </si>
  <si>
    <t xml:space="preserve">CL-048</t>
  </si>
  <si>
    <t xml:space="preserve">OIL CLEANER BURCH</t>
  </si>
  <si>
    <t xml:space="preserve">FNK BLEND</t>
  </si>
  <si>
    <t xml:space="preserve">PACKING TAPE FOR LEND SECTION</t>
  </si>
  <si>
    <t xml:space="preserve">EQ-001</t>
  </si>
  <si>
    <t xml:space="preserve">TEA STANER</t>
  </si>
  <si>
    <t xml:space="preserve">BUILDING RENT</t>
  </si>
  <si>
    <t xml:space="preserve">PT-002</t>
  </si>
  <si>
    <t xml:space="preserve">PTCL BILL</t>
  </si>
  <si>
    <t xml:space="preserve">PTCL BILL PAID</t>
  </si>
  <si>
    <t xml:space="preserve">PT-003</t>
  </si>
  <si>
    <t xml:space="preserve">LPG</t>
  </si>
  <si>
    <t xml:space="preserve">PT-004</t>
  </si>
  <si>
    <t xml:space="preserve">BIRTHDAY TAG</t>
  </si>
  <si>
    <t xml:space="preserve">SOCIAL SECURITY(PESSI)</t>
  </si>
  <si>
    <t xml:space="preserve">PT-005</t>
  </si>
  <si>
    <t xml:space="preserve">ANNIVERSARY TAG</t>
  </si>
  <si>
    <t xml:space="preserve">BACK UP AREA</t>
  </si>
  <si>
    <t xml:space="preserve">LIGHT FOR BACK UP AREA</t>
  </si>
  <si>
    <t xml:space="preserve">PT-006</t>
  </si>
  <si>
    <t xml:space="preserve">SPELLING TAG</t>
  </si>
  <si>
    <t xml:space="preserve">NOUMAN K/A</t>
  </si>
  <si>
    <t xml:space="preserve">PT-007</t>
  </si>
  <si>
    <t xml:space="preserve">CRYSTAL BALLOON</t>
  </si>
  <si>
    <t xml:space="preserve">PT-008</t>
  </si>
  <si>
    <t xml:space="preserve">ROSE PETALS</t>
  </si>
  <si>
    <t xml:space="preserve">UMAIR RIDER</t>
  </si>
  <si>
    <t xml:space="preserve">PT-009</t>
  </si>
  <si>
    <t xml:space="preserve">CANDLE</t>
  </si>
  <si>
    <t xml:space="preserve">TAKE AWAY INV#03 TEA FOR BOSS DRIVER</t>
  </si>
  <si>
    <t xml:space="preserve">PT-010</t>
  </si>
  <si>
    <t xml:space="preserve">TABLE MAT</t>
  </si>
  <si>
    <t xml:space="preserve">MADE CANCEL</t>
  </si>
  <si>
    <t xml:space="preserve">TAKE AWAY INV#22 MADE CANCEL 50%</t>
  </si>
  <si>
    <t xml:space="preserve">PT-011</t>
  </si>
  <si>
    <t xml:space="preserve">PAPER TAPE</t>
  </si>
  <si>
    <t xml:space="preserve">TAKE AWAY INV#13 HAIR FOUND IN PIZZA</t>
  </si>
  <si>
    <t xml:space="preserve">PT-012</t>
  </si>
  <si>
    <t xml:space="preserve">BRIDE TO BE (SIGN)</t>
  </si>
  <si>
    <t xml:space="preserve">NESTLE WATER FOR YASIR SB</t>
  </si>
  <si>
    <t xml:space="preserve">PT-013</t>
  </si>
  <si>
    <t xml:space="preserve">HAPPY BIRTDAY (SIGN)</t>
  </si>
  <si>
    <t xml:space="preserve">PT-014</t>
  </si>
  <si>
    <t xml:space="preserve">HAPPY ANNIVERSARY (SIGN)</t>
  </si>
  <si>
    <t xml:space="preserve">PT-015</t>
  </si>
  <si>
    <t xml:space="preserve">CROWN LED NEON</t>
  </si>
  <si>
    <t xml:space="preserve">PT-016</t>
  </si>
  <si>
    <t xml:space="preserve">BALLOON MACHINE</t>
  </si>
  <si>
    <t xml:space="preserve">PT-017</t>
  </si>
  <si>
    <t xml:space="preserve">DECORATION PIPE</t>
  </si>
  <si>
    <t xml:space="preserve">PT-018</t>
  </si>
  <si>
    <t xml:space="preserve">REBAN</t>
  </si>
  <si>
    <t xml:space="preserve">PT-019</t>
  </si>
  <si>
    <t xml:space="preserve">THREAD</t>
  </si>
  <si>
    <t xml:space="preserve">HOT SAUCE 4 LTR</t>
  </si>
  <si>
    <t xml:space="preserve">PT-020</t>
  </si>
  <si>
    <t xml:space="preserve">PACKING TAPE</t>
  </si>
  <si>
    <t xml:space="preserve">PT-021</t>
  </si>
  <si>
    <t xml:space="preserve">BUTTERFLY</t>
  </si>
  <si>
    <t xml:space="preserve">ST-001</t>
  </si>
  <si>
    <t xml:space="preserve">PRINTER ROLL BOH</t>
  </si>
  <si>
    <t xml:space="preserve">FOOD SAFETY LARGE &amp; SMALL LINERS</t>
  </si>
  <si>
    <t xml:space="preserve">ST-002</t>
  </si>
  <si>
    <t xml:space="preserve">PRINTER ROLL FOH</t>
  </si>
  <si>
    <t xml:space="preserve">DOUGH BLEND BUILTY TO LAHORE</t>
  </si>
  <si>
    <t xml:space="preserve">ST-003</t>
  </si>
  <si>
    <t xml:space="preserve">CARD MACHINE ROLLS</t>
  </si>
  <si>
    <t xml:space="preserve">AIR FRESHNER REFILL</t>
  </si>
  <si>
    <t xml:space="preserve">ST-004</t>
  </si>
  <si>
    <t xml:space="preserve">MRD STICKERS (16/SHEET)</t>
  </si>
  <si>
    <t xml:space="preserve">SHEET</t>
  </si>
  <si>
    <t xml:space="preserve">GIFT VOUCHER BOOK</t>
  </si>
  <si>
    <t xml:space="preserve">ST-005</t>
  </si>
  <si>
    <t xml:space="preserve">KETCHUP MRD STICKERS</t>
  </si>
  <si>
    <t xml:space="preserve">ST-006</t>
  </si>
  <si>
    <t xml:space="preserve">ORDER BOOK</t>
  </si>
  <si>
    <t xml:space="preserve">ST-007</t>
  </si>
  <si>
    <t xml:space="preserve">INWARD BOOK</t>
  </si>
  <si>
    <t xml:space="preserve">UMAIR SERVER</t>
  </si>
  <si>
    <t xml:space="preserve">ST-008</t>
  </si>
  <si>
    <t xml:space="preserve">OUTWARD BOOK</t>
  </si>
  <si>
    <t xml:space="preserve">DINE IN INV#21 MEAL FOR AL-TAYYAB FOODS PERSON</t>
  </si>
  <si>
    <t xml:space="preserve">ST-009</t>
  </si>
  <si>
    <t xml:space="preserve">CASH MEMO</t>
  </si>
  <si>
    <t xml:space="preserve">DINE IN INV#46 CUSTOMER COMPLAIN BAD AROMA FROM DOUGH</t>
  </si>
  <si>
    <t xml:space="preserve">ST-010</t>
  </si>
  <si>
    <t xml:space="preserve">DEMAND BOOK</t>
  </si>
  <si>
    <t xml:space="preserve">ST-011</t>
  </si>
  <si>
    <t xml:space="preserve">FUMIGATION BOOK</t>
  </si>
  <si>
    <t xml:space="preserve">SPICES</t>
  </si>
  <si>
    <t xml:space="preserve">WHITE PEPPER FOR NEW LASAGNE MEAT SAUECE RECEIPE </t>
  </si>
  <si>
    <t xml:space="preserve">ST-012</t>
  </si>
  <si>
    <t xml:space="preserve">CALCULATOR</t>
  </si>
  <si>
    <t xml:space="preserve">ST-013</t>
  </si>
  <si>
    <t xml:space="preserve">A-4 PAPERS</t>
  </si>
  <si>
    <t xml:space="preserve">ST-014</t>
  </si>
  <si>
    <t xml:space="preserve">STAPLER PINS SMALL</t>
  </si>
  <si>
    <t xml:space="preserve">GLASS PAPER</t>
  </si>
  <si>
    <t xml:space="preserve">GLASS PAPER FOR DISPATCH AREA</t>
  </si>
  <si>
    <t xml:space="preserve">ST-015</t>
  </si>
  <si>
    <t xml:space="preserve">STAPLER PINS LARGE</t>
  </si>
  <si>
    <t xml:space="preserve">PARKING AREA</t>
  </si>
  <si>
    <t xml:space="preserve">CEMENT FOR PARKING AREA</t>
  </si>
  <si>
    <t xml:space="preserve">ST-016</t>
  </si>
  <si>
    <t xml:space="preserve">ORDER BOOK(NEW)</t>
  </si>
  <si>
    <t xml:space="preserve">GROUND FLOOD</t>
  </si>
  <si>
    <t xml:space="preserve">LIGHTS FOR GROUND FLOOR</t>
  </si>
  <si>
    <t xml:space="preserve">ST-017</t>
  </si>
  <si>
    <t xml:space="preserve">MARKERS</t>
  </si>
  <si>
    <t xml:space="preserve">ST-018</t>
  </si>
  <si>
    <t xml:space="preserve">STAPLER SMALL</t>
  </si>
  <si>
    <t xml:space="preserve">FAIZAN RIDER</t>
  </si>
  <si>
    <t xml:space="preserve">ST-019</t>
  </si>
  <si>
    <t xml:space="preserve">VOUCHER BOOK</t>
  </si>
  <si>
    <t xml:space="preserve">MEDICAL FOR USMAN DISHWASHER</t>
  </si>
  <si>
    <t xml:space="preserve">ST-020</t>
  </si>
  <si>
    <t xml:space="preserve">WHITENER</t>
  </si>
  <si>
    <t xml:space="preserve">ST-021</t>
  </si>
  <si>
    <t xml:space="preserve">DOCKET HANGER</t>
  </si>
  <si>
    <t xml:space="preserve">SULTANI PRINTING BILL PAID</t>
  </si>
  <si>
    <t xml:space="preserve">ST-022</t>
  </si>
  <si>
    <t xml:space="preserve">FILES</t>
  </si>
  <si>
    <t xml:space="preserve">ST-023</t>
  </si>
  <si>
    <t xml:space="preserve">RING PACKET</t>
  </si>
  <si>
    <t xml:space="preserve">CUSTOMIZE CAKE BOX</t>
  </si>
  <si>
    <t xml:space="preserve">ST-024</t>
  </si>
  <si>
    <t xml:space="preserve">SHARPNER</t>
  </si>
  <si>
    <t xml:space="preserve">HAMMAD </t>
  </si>
  <si>
    <t xml:space="preserve">ST-025</t>
  </si>
  <si>
    <t xml:space="preserve">STAMP</t>
  </si>
  <si>
    <t xml:space="preserve">ZEESHAN ACCOUNTS</t>
  </si>
  <si>
    <t xml:space="preserve">ST-026</t>
  </si>
  <si>
    <t xml:space="preserve">LETTER HEAD</t>
  </si>
  <si>
    <t xml:space="preserve">ST-027</t>
  </si>
  <si>
    <t xml:space="preserve">BIRTHDAY BOOK</t>
  </si>
  <si>
    <t xml:space="preserve">ST-028</t>
  </si>
  <si>
    <t xml:space="preserve">STAPLER LARGE</t>
  </si>
  <si>
    <t xml:space="preserve">ST-029</t>
  </si>
  <si>
    <t xml:space="preserve">DOUBLE TAPE</t>
  </si>
  <si>
    <t xml:space="preserve">ST-030</t>
  </si>
  <si>
    <t xml:space="preserve">BOOK BINDING TAPE</t>
  </si>
  <si>
    <t xml:space="preserve">MUJAHID K/A</t>
  </si>
  <si>
    <t xml:space="preserve">ST-031</t>
  </si>
  <si>
    <t xml:space="preserve">PIN OPENER</t>
  </si>
  <si>
    <t xml:space="preserve">ST-032</t>
  </si>
  <si>
    <t xml:space="preserve">BALL POINT</t>
  </si>
  <si>
    <t xml:space="preserve">HUSNAIN K/A</t>
  </si>
  <si>
    <t xml:space="preserve">ST-033</t>
  </si>
  <si>
    <t xml:space="preserve">SCISSOR</t>
  </si>
  <si>
    <t xml:space="preserve">ST-034</t>
  </si>
  <si>
    <t xml:space="preserve">BINDING SHEETS</t>
  </si>
  <si>
    <t xml:space="preserve">ST-035</t>
  </si>
  <si>
    <t xml:space="preserve">HOLE PUNCHER</t>
  </si>
  <si>
    <t xml:space="preserve">ARSALAN ALI K/A</t>
  </si>
  <si>
    <t xml:space="preserve">MK-001</t>
  </si>
  <si>
    <t xml:space="preserve">DINE IN MENU</t>
  </si>
  <si>
    <t xml:space="preserve">HAMZA K/A MORNING</t>
  </si>
  <si>
    <t xml:space="preserve">MK-002</t>
  </si>
  <si>
    <t xml:space="preserve">TABLE TENT</t>
  </si>
  <si>
    <t xml:space="preserve">HAMZA K/A NIGHT</t>
  </si>
  <si>
    <t xml:space="preserve">MK-003</t>
  </si>
  <si>
    <t xml:space="preserve">TABLE TENT MENU</t>
  </si>
  <si>
    <t xml:space="preserve">AFTAB K/A</t>
  </si>
  <si>
    <t xml:space="preserve">MK-004</t>
  </si>
  <si>
    <t xml:space="preserve">TAKE AWAY MENU</t>
  </si>
  <si>
    <t xml:space="preserve">WAQAR K/A</t>
  </si>
  <si>
    <t xml:space="preserve">MK-005</t>
  </si>
  <si>
    <t xml:space="preserve">FLEX</t>
  </si>
  <si>
    <t xml:space="preserve">MK-006</t>
  </si>
  <si>
    <t xml:space="preserve">COMMENTS CARD (100/ PKT)</t>
  </si>
  <si>
    <t xml:space="preserve">ASHIQ DISHWASHER</t>
  </si>
  <si>
    <t xml:space="preserve">MK-007</t>
  </si>
  <si>
    <t xml:space="preserve">STANDEE NEW BRANCH</t>
  </si>
  <si>
    <t xml:space="preserve">AHAD SERVER</t>
  </si>
  <si>
    <t xml:space="preserve">MK-008</t>
  </si>
  <si>
    <t xml:space="preserve">FREEZER+AC STICKER</t>
  </si>
  <si>
    <t xml:space="preserve">KAMRAN BAKERY</t>
  </si>
  <si>
    <t xml:space="preserve">MK-009</t>
  </si>
  <si>
    <t xml:space="preserve">OUTDOOR FLEX</t>
  </si>
  <si>
    <t xml:space="preserve">FAHAD ELECTRITION</t>
  </si>
  <si>
    <t xml:space="preserve">MK-010</t>
  </si>
  <si>
    <t xml:space="preserve">ARTIFICIAL CAKE GLASS</t>
  </si>
  <si>
    <t xml:space="preserve">DAWOOD DISPATCHER</t>
  </si>
  <si>
    <t xml:space="preserve">MK-011</t>
  </si>
  <si>
    <t xml:space="preserve">EMPLOYEE OF MONTH CERTIFICATE</t>
  </si>
  <si>
    <t xml:space="preserve">MK-012</t>
  </si>
  <si>
    <t xml:space="preserve">BAKERY MENU</t>
  </si>
  <si>
    <t xml:space="preserve">USMAN DISHWASHER</t>
  </si>
  <si>
    <t xml:space="preserve">MK-013</t>
  </si>
  <si>
    <t xml:space="preserve">10% OFF FLYER</t>
  </si>
  <si>
    <t xml:space="preserve">AKASH DISPATCHER</t>
  </si>
  <si>
    <t xml:space="preserve">MK-014</t>
  </si>
  <si>
    <t xml:space="preserve">MOTHER DAY FLEX</t>
  </si>
  <si>
    <t xml:space="preserve">AFZAL GUARD</t>
  </si>
  <si>
    <t xml:space="preserve">MK-015</t>
  </si>
  <si>
    <t xml:space="preserve">CREW BOX FLAYER</t>
  </si>
  <si>
    <t xml:space="preserve">ABDULLAH CASHIER</t>
  </si>
  <si>
    <t xml:space="preserve">MK-016</t>
  </si>
  <si>
    <t xml:space="preserve">BAKERY BAR MENUE BOARD</t>
  </si>
  <si>
    <t xml:space="preserve">FAISAL SERVER</t>
  </si>
  <si>
    <t xml:space="preserve">MK-017</t>
  </si>
  <si>
    <t xml:space="preserve">AZADI DEAL FLEX</t>
  </si>
  <si>
    <t xml:space="preserve">ASIF SERVER</t>
  </si>
  <si>
    <t xml:space="preserve">MK-018</t>
  </si>
  <si>
    <t xml:space="preserve">NEW MENU FLAYER</t>
  </si>
  <si>
    <t xml:space="preserve">UN-001</t>
  </si>
  <si>
    <t xml:space="preserve">RGM SHIRT</t>
  </si>
  <si>
    <t xml:space="preserve">UMAIR ASLAM RIDER</t>
  </si>
  <si>
    <t xml:space="preserve">UN-002</t>
  </si>
  <si>
    <t xml:space="preserve">MANAGMENT SHIRT</t>
  </si>
  <si>
    <t xml:space="preserve">UN-003</t>
  </si>
  <si>
    <t xml:space="preserve">SUPERVISOR SHIRT</t>
  </si>
  <si>
    <t xml:space="preserve">UN-004</t>
  </si>
  <si>
    <t xml:space="preserve">KITCHEN SUPRERVISOR SHRT</t>
  </si>
  <si>
    <t xml:space="preserve">ZEESHAN RIDER</t>
  </si>
  <si>
    <t xml:space="preserve">UN-005</t>
  </si>
  <si>
    <t xml:space="preserve">ACCOUNTS SHIRTS</t>
  </si>
  <si>
    <t xml:space="preserve">UN-006</t>
  </si>
  <si>
    <t xml:space="preserve">FOH SHIRTS</t>
  </si>
  <si>
    <t xml:space="preserve">SAIM RAZA RIDER</t>
  </si>
  <si>
    <t xml:space="preserve">UN-007</t>
  </si>
  <si>
    <t xml:space="preserve">APRON FOH</t>
  </si>
  <si>
    <t xml:space="preserve">UN-008</t>
  </si>
  <si>
    <t xml:space="preserve">TIP FOLDER</t>
  </si>
  <si>
    <t xml:space="preserve">AMAN RIDER</t>
  </si>
  <si>
    <t xml:space="preserve">UN-009</t>
  </si>
  <si>
    <t xml:space="preserve">C.C UNIFORM</t>
  </si>
  <si>
    <t xml:space="preserve">M.SHAHBAZ RIDER</t>
  </si>
  <si>
    <t xml:space="preserve">UN-010</t>
  </si>
  <si>
    <t xml:space="preserve">EMPLOYEE BADGE</t>
  </si>
  <si>
    <t xml:space="preserve">AHSAN ALI RIDER</t>
  </si>
  <si>
    <t xml:space="preserve">UN-011</t>
  </si>
  <si>
    <t xml:space="preserve">GUARD UNIFORM</t>
  </si>
  <si>
    <t xml:space="preserve">UN-012</t>
  </si>
  <si>
    <t xml:space="preserve">FOH BLUE SHIRTS</t>
  </si>
  <si>
    <t xml:space="preserve">UN-013</t>
  </si>
  <si>
    <t xml:space="preserve">NEW STAFF SHIRTS</t>
  </si>
  <si>
    <t xml:space="preserve">UN-014</t>
  </si>
  <si>
    <t xml:space="preserve">BOH SHIRTS</t>
  </si>
  <si>
    <t xml:space="preserve">UN-015</t>
  </si>
  <si>
    <t xml:space="preserve">APRON BOH</t>
  </si>
  <si>
    <t xml:space="preserve">UN-016</t>
  </si>
  <si>
    <t xml:space="preserve">FNK CAP</t>
  </si>
  <si>
    <t xml:space="preserve">UN-017</t>
  </si>
  <si>
    <t xml:space="preserve">NEW FNK CAP</t>
  </si>
  <si>
    <t xml:space="preserve">UN-018</t>
  </si>
  <si>
    <t xml:space="preserve">RAIN COAT</t>
  </si>
  <si>
    <t xml:space="preserve">UN-019</t>
  </si>
  <si>
    <t xml:space="preserve">RIDER JACKET</t>
  </si>
  <si>
    <t xml:space="preserve">UN-020</t>
  </si>
  <si>
    <t xml:space="preserve">JACKET FOR GUARD</t>
  </si>
  <si>
    <t xml:space="preserve">AHMAD FOODS (WARDA)</t>
  </si>
  <si>
    <t xml:space="preserve">WARDAH MAYO</t>
  </si>
  <si>
    <t xml:space="preserve">UN-021</t>
  </si>
  <si>
    <t xml:space="preserve">KITCHEN SHIRTS</t>
  </si>
  <si>
    <t xml:space="preserve">EQ-002</t>
  </si>
  <si>
    <t xml:space="preserve">KNIFE</t>
  </si>
  <si>
    <t xml:space="preserve">EQ-003</t>
  </si>
  <si>
    <t xml:space="preserve">DOUGH JUG</t>
  </si>
  <si>
    <t xml:space="preserve">HAMAI JALAPENO</t>
  </si>
  <si>
    <t xml:space="preserve">EQ-004</t>
  </si>
  <si>
    <t xml:space="preserve">CORK PAD XL</t>
  </si>
  <si>
    <t xml:space="preserve">CARDAMOM, CLASSIC COFFEE, EVERYDAY MILK &amp; KARAK TEA</t>
  </si>
  <si>
    <t xml:space="preserve">EQ-005</t>
  </si>
  <si>
    <t xml:space="preserve">JUMBO PAN</t>
  </si>
  <si>
    <t xml:space="preserve">EQ-006</t>
  </si>
  <si>
    <t xml:space="preserve">JUMBO SPRATER</t>
  </si>
  <si>
    <t xml:space="preserve">EQ-007</t>
  </si>
  <si>
    <t xml:space="preserve">PASTA BOWL</t>
  </si>
  <si>
    <t xml:space="preserve">PERFECT PACKAGES FNK GLASS</t>
  </si>
  <si>
    <t xml:space="preserve">FNK GLASS</t>
  </si>
  <si>
    <t xml:space="preserve">EQ-008</t>
  </si>
  <si>
    <t xml:space="preserve">LASAGNA BOWL</t>
  </si>
  <si>
    <t xml:space="preserve">F.S ENTERPRISES</t>
  </si>
  <si>
    <t xml:space="preserve">FS ENTERPRISES</t>
  </si>
  <si>
    <t xml:space="preserve">EQ-009</t>
  </si>
  <si>
    <t xml:space="preserve">WEIGHT SCALE</t>
  </si>
  <si>
    <t xml:space="preserve">HAM PAPER MART</t>
  </si>
  <si>
    <t xml:space="preserve">PRINTER ROLL</t>
  </si>
  <si>
    <t xml:space="preserve">EQ-010</t>
  </si>
  <si>
    <t xml:space="preserve">WATER CAN</t>
  </si>
  <si>
    <t xml:space="preserve">F2</t>
  </si>
  <si>
    <t xml:space="preserve">EQ-011</t>
  </si>
  <si>
    <t xml:space="preserve">OIL BRUSH</t>
  </si>
  <si>
    <t xml:space="preserve">ELITE FELLING STATION (DIESEL)</t>
  </si>
  <si>
    <t xml:space="preserve">DIESEL</t>
  </si>
  <si>
    <t xml:space="preserve">EQ-012</t>
  </si>
  <si>
    <t xml:space="preserve">RIM QIN</t>
  </si>
  <si>
    <t xml:space="preserve">EQ-013</t>
  </si>
  <si>
    <t xml:space="preserve">SAUCE BOTTLES</t>
  </si>
  <si>
    <t xml:space="preserve">EQ-014</t>
  </si>
  <si>
    <t xml:space="preserve">SPOON</t>
  </si>
  <si>
    <t xml:space="preserve">EQ-015</t>
  </si>
  <si>
    <t xml:space="preserve">PAN GRIPER</t>
  </si>
  <si>
    <t xml:space="preserve">EQ-016</t>
  </si>
  <si>
    <t xml:space="preserve">FRIED BUCKET</t>
  </si>
  <si>
    <t xml:space="preserve">LASGNA PASTA EXPERIMENT MANAGEMENT</t>
  </si>
  <si>
    <t xml:space="preserve">EQ-017</t>
  </si>
  <si>
    <t xml:space="preserve">LARGE SEPARTOR</t>
  </si>
  <si>
    <t xml:space="preserve">WATER FOR ABID MANAGER</t>
  </si>
  <si>
    <t xml:space="preserve">EQ-018</t>
  </si>
  <si>
    <t xml:space="preserve">LARGE PAN</t>
  </si>
  <si>
    <t xml:space="preserve">LASAGNE TESTING FOR ZEESHAN SUPERVISOR</t>
  </si>
  <si>
    <t xml:space="preserve">EQ-019</t>
  </si>
  <si>
    <t xml:space="preserve">REGUALR PAN</t>
  </si>
  <si>
    <t xml:space="preserve">TAKE AWAY INV#20 COMPLIMENTRY CAKE SLICE FOR CUSTOMER</t>
  </si>
  <si>
    <t xml:space="preserve">EQ-020</t>
  </si>
  <si>
    <t xml:space="preserve">REGULAR SEPARTOR</t>
  </si>
  <si>
    <t xml:space="preserve">DINE IN INV#97 HAIR FOUND IN PIZZA</t>
  </si>
  <si>
    <t xml:space="preserve">EQ-021</t>
  </si>
  <si>
    <t xml:space="preserve">CORK PAD LARGE</t>
  </si>
  <si>
    <t xml:space="preserve">TAKE AWAY INV#16 CUSTOMER COMPLAIN PIZZA WAS TASTELESS</t>
  </si>
  <si>
    <t xml:space="preserve">EQ-022</t>
  </si>
  <si>
    <t xml:space="preserve">PLATER TRAY</t>
  </si>
  <si>
    <t xml:space="preserve">TAKE AWAY INV#03 TESTING FOR SHIBLEE COLLEGE MADAM</t>
  </si>
  <si>
    <t xml:space="preserve">EQ-023</t>
  </si>
  <si>
    <t xml:space="preserve">PLATES</t>
  </si>
  <si>
    <t xml:space="preserve">GUARD UNIFORM FOR MEHBOOB BUTT GUARD</t>
  </si>
  <si>
    <t xml:space="preserve">EQ-024</t>
  </si>
  <si>
    <t xml:space="preserve">FORKS</t>
  </si>
  <si>
    <t xml:space="preserve">STAFF UNIFORM</t>
  </si>
  <si>
    <t xml:space="preserve">EQ-025</t>
  </si>
  <si>
    <t xml:space="preserve">KNIVES</t>
  </si>
  <si>
    <t xml:space="preserve">BOOK PRINTS FOR BOSS</t>
  </si>
  <si>
    <t xml:space="preserve">EQ-026</t>
  </si>
  <si>
    <t xml:space="preserve">TUMBLER</t>
  </si>
  <si>
    <t xml:space="preserve">EQ-027</t>
  </si>
  <si>
    <t xml:space="preserve">SERVICE TRAY</t>
  </si>
  <si>
    <t xml:space="preserve">EQ-028</t>
  </si>
  <si>
    <t xml:space="preserve">DINE IN SALAD BOWL</t>
  </si>
  <si>
    <t xml:space="preserve">EQ-029</t>
  </si>
  <si>
    <t xml:space="preserve">DISPOSIBLE PLATES</t>
  </si>
  <si>
    <t xml:space="preserve">EQ-030</t>
  </si>
  <si>
    <t xml:space="preserve">CAKE TRAY</t>
  </si>
  <si>
    <t xml:space="preserve">EQ-031</t>
  </si>
  <si>
    <t xml:space="preserve">PLASTIC JUG</t>
  </si>
  <si>
    <t xml:space="preserve">EQ-032</t>
  </si>
  <si>
    <t xml:space="preserve">SMALL SEPERATORS</t>
  </si>
  <si>
    <t xml:space="preserve">EQ-033</t>
  </si>
  <si>
    <t xml:space="preserve">COCK MAT REGULAR</t>
  </si>
  <si>
    <t xml:space="preserve">EQ-034</t>
  </si>
  <si>
    <t xml:space="preserve">SPATULAS</t>
  </si>
  <si>
    <t xml:space="preserve">EQ-035</t>
  </si>
  <si>
    <t xml:space="preserve">SHAKERS</t>
  </si>
  <si>
    <t xml:space="preserve">EQ-036</t>
  </si>
  <si>
    <t xml:space="preserve">SILVER SPOON</t>
  </si>
  <si>
    <t xml:space="preserve">CUMIN FOR BLEND SECTION</t>
  </si>
  <si>
    <t xml:space="preserve">EQ-037</t>
  </si>
  <si>
    <t xml:space="preserve">TEA CUP</t>
  </si>
  <si>
    <t xml:space="preserve">EQ-038</t>
  </si>
  <si>
    <t xml:space="preserve">ICE BOX</t>
  </si>
  <si>
    <t xml:space="preserve">PAINT FOR PLANTERS</t>
  </si>
  <si>
    <t xml:space="preserve">EQ-039</t>
  </si>
  <si>
    <t xml:space="preserve">OIL STAINER</t>
  </si>
  <si>
    <t xml:space="preserve">KITCHEN DRAIN</t>
  </si>
  <si>
    <t xml:space="preserve">PIPE FOR KITCHEN DRAIN</t>
  </si>
  <si>
    <t xml:space="preserve">EQ-040</t>
  </si>
  <si>
    <t xml:space="preserve">ICE CREAM SCOOPER</t>
  </si>
  <si>
    <t xml:space="preserve">WATER COOLER FOR BAR</t>
  </si>
  <si>
    <t xml:space="preserve">EQ-041</t>
  </si>
  <si>
    <t xml:space="preserve">GRINDER</t>
  </si>
  <si>
    <t xml:space="preserve">CAKE FLEX</t>
  </si>
  <si>
    <t xml:space="preserve">EQ-042</t>
  </si>
  <si>
    <t xml:space="preserve">BAKERY TRAYS</t>
  </si>
  <si>
    <t xml:space="preserve">DELIVERY PIZZA BOX WELD</t>
  </si>
  <si>
    <t xml:space="preserve">EQ-043</t>
  </si>
  <si>
    <t xml:space="preserve">ICE CREAM SPOON</t>
  </si>
  <si>
    <t xml:space="preserve">EQ-044</t>
  </si>
  <si>
    <t xml:space="preserve">VIP GLASS</t>
  </si>
  <si>
    <t xml:space="preserve">VISHAL CLEANER</t>
  </si>
  <si>
    <t xml:space="preserve">EQ-045</t>
  </si>
  <si>
    <t xml:space="preserve">CUT BORD</t>
  </si>
  <si>
    <t xml:space="preserve">NOMAN K/A</t>
  </si>
  <si>
    <t xml:space="preserve">DV-001</t>
  </si>
  <si>
    <t xml:space="preserve">BIKES</t>
  </si>
  <si>
    <t xml:space="preserve">pcs</t>
  </si>
  <si>
    <t xml:space="preserve">DV-002</t>
  </si>
  <si>
    <t xml:space="preserve">ALI BUTT RIDER</t>
  </si>
  <si>
    <t xml:space="preserve">DV-003</t>
  </si>
  <si>
    <t xml:space="preserve">DELIVERY POUCH</t>
  </si>
  <si>
    <t xml:space="preserve">TEA FOR BOSS DRIVER</t>
  </si>
  <si>
    <t xml:space="preserve">DV-004</t>
  </si>
  <si>
    <t xml:space="preserve">ENGINE OIL</t>
  </si>
  <si>
    <t xml:space="preserve">DINE IN INV#95 CUSTOMER COMPLAIN MEAL WAS NOT PROPER BAKE</t>
  </si>
  <si>
    <t xml:space="preserve">EQ-046</t>
  </si>
  <si>
    <t xml:space="preserve">GLASS</t>
  </si>
  <si>
    <t xml:space="preserve">MILK FOR BOSS</t>
  </si>
  <si>
    <t xml:space="preserve">MK-019</t>
  </si>
  <si>
    <t xml:space="preserve">ACRYLIC TABLE TENT</t>
  </si>
  <si>
    <t xml:space="preserve">MK-020</t>
  </si>
  <si>
    <t xml:space="preserve">GIFT HAMPER</t>
  </si>
  <si>
    <t xml:space="preserve">EQ-047</t>
  </si>
  <si>
    <t xml:space="preserve">JUICER JUG</t>
  </si>
  <si>
    <t xml:space="preserve">EQ-048</t>
  </si>
  <si>
    <t xml:space="preserve">JUICER JUG BASE</t>
  </si>
  <si>
    <t xml:space="preserve">EQ-049</t>
  </si>
  <si>
    <t xml:space="preserve">OIL FILTER</t>
  </si>
  <si>
    <t xml:space="preserve">EQ-050</t>
  </si>
  <si>
    <t xml:space="preserve">DIESEL FILTER</t>
  </si>
  <si>
    <t xml:space="preserve">LARGE &amp; SMALL WATER</t>
  </si>
  <si>
    <t xml:space="preserve">EQ-051</t>
  </si>
  <si>
    <t xml:space="preserve">AIR FILTER</t>
  </si>
  <si>
    <t xml:space="preserve">IRC DAIRY PRODUCTS</t>
  </si>
  <si>
    <t xml:space="preserve">IRC CHEESE PAYMENT</t>
  </si>
  <si>
    <t xml:space="preserve">EQ-052</t>
  </si>
  <si>
    <t xml:space="preserve">ENGINE OIL GENERATOR</t>
  </si>
  <si>
    <t xml:space="preserve">EQ-053</t>
  </si>
  <si>
    <t xml:space="preserve">COOL LAND</t>
  </si>
  <si>
    <t xml:space="preserve">SALES TAX</t>
  </si>
  <si>
    <t xml:space="preserve">EQ-054</t>
  </si>
  <si>
    <t xml:space="preserve">PIZZA POUCH</t>
  </si>
  <si>
    <t xml:space="preserve">CHILLER LIGHT</t>
  </si>
  <si>
    <t xml:space="preserve">CHILLER LIGHT REPAIR</t>
  </si>
  <si>
    <t xml:space="preserve">MK-021</t>
  </si>
  <si>
    <t xml:space="preserve">CAKE DISPLAY TAG</t>
  </si>
  <si>
    <t xml:space="preserve">FG-001</t>
  </si>
  <si>
    <t xml:space="preserve">FG-002</t>
  </si>
  <si>
    <t xml:space="preserve">LPG CYLINDERS</t>
  </si>
  <si>
    <t xml:space="preserve">KARAK TEA FOR HAMMAD SB</t>
  </si>
  <si>
    <t xml:space="preserve">KARAK CHAI FOR BOSS DRIVER</t>
  </si>
  <si>
    <t xml:space="preserve">DINE IN INV#58 BLOOD FROM WINGS</t>
  </si>
  <si>
    <t xml:space="preserve">DOCUMENTS CARGO C/O IMRAN SB</t>
  </si>
  <si>
    <t xml:space="preserve">EKA 3 BAGS BUILTY</t>
  </si>
  <si>
    <t xml:space="preserve">ANAS SERVER</t>
  </si>
  <si>
    <t xml:space="preserve">BIKE FUEL FOR BOSS HOME</t>
  </si>
  <si>
    <t xml:space="preserve">PLANTS</t>
  </si>
  <si>
    <t xml:space="preserve">FERTILIZER FOR PLANTS</t>
  </si>
  <si>
    <t xml:space="preserve">DINE IN INV#91 MEAL FOR AQIB SUPERVISOR C/O AHSAN ZAIDI</t>
  </si>
  <si>
    <t xml:space="preserve">TAKE AWAY INV#10 COLD COFFEE FOR BOSS DRIVER</t>
  </si>
  <si>
    <t xml:space="preserve">DELIVERY INV#67 CUSTOMER COMPLAIN BAD AROMA FROM FOOD &amp; HARD CHICKEN</t>
  </si>
  <si>
    <t xml:space="preserve">CHICKEN FOR BOSS HOME</t>
  </si>
  <si>
    <t xml:space="preserve">DRINK FOR ALI TAHIR SB</t>
  </si>
  <si>
    <t xml:space="preserve">Ali Tahir</t>
  </si>
  <si>
    <t xml:space="preserve">DISCOUNT VOUCHER</t>
  </si>
  <si>
    <t xml:space="preserve">DISCOUNT VOUCHERS</t>
  </si>
  <si>
    <t xml:space="preserve">MATCH STICK </t>
  </si>
  <si>
    <t xml:space="preserve">MATCH STICK FOR KITCHEN</t>
  </si>
  <si>
    <t xml:space="preserve">ALI SERVER</t>
  </si>
  <si>
    <t xml:space="preserve">AHMAD K/A</t>
  </si>
  <si>
    <t xml:space="preserve">ZEESHAN HAIDER RIDER</t>
  </si>
  <si>
    <t xml:space="preserve">TAKE AWAY INV#10 TEA FOR BOSS DRIVER</t>
  </si>
  <si>
    <t xml:space="preserve">AKASH SERVER</t>
  </si>
  <si>
    <t xml:space="preserve">TAKE AWAY INV#09 DUE TO PIZZA SLIP FROM SERVER HAND</t>
  </si>
  <si>
    <t xml:space="preserve">GENSET REPAIRING</t>
  </si>
  <si>
    <t xml:space="preserve">FNK SPICES PAYMENT</t>
  </si>
  <si>
    <t xml:space="preserve">AL-TAYYAB FOODS</t>
  </si>
  <si>
    <t xml:space="preserve">AL-TAYYAB CHICKEN BILL PAID</t>
  </si>
  <si>
    <t xml:space="preserve">SHANGRILLA(PIZZA SAUCE)</t>
  </si>
  <si>
    <t xml:space="preserve">SHANGRILL PIZZA SAUCE BILL PAID</t>
  </si>
  <si>
    <t xml:space="preserve">K&amp;Ns PAYMENT</t>
  </si>
  <si>
    <t xml:space="preserve">HAMZA SB</t>
  </si>
  <si>
    <t xml:space="preserve">TAKE AWAY INV#02 MEAL FOR HAMZA SB</t>
  </si>
  <si>
    <t xml:space="preserve">SAMI CALL CENTRE</t>
  </si>
  <si>
    <t xml:space="preserve">DINE IN INV#58 MEAL FOR SAMI SB CALL CENTRE</t>
  </si>
  <si>
    <t xml:space="preserve">DOMICELL PRINT C/O IMRAN SB</t>
  </si>
  <si>
    <t xml:space="preserve">BIKE FUEL FOR DELIVERY ORDER</t>
  </si>
  <si>
    <t xml:space="preserve">OIL FOR GENSET</t>
  </si>
  <si>
    <t xml:space="preserve">PREMA MILK FOR YASIR SB</t>
  </si>
  <si>
    <t xml:space="preserve">BOSS DRIVER</t>
  </si>
  <si>
    <t xml:space="preserve">TAKE AWAY INV#06 MEAL FOR BOSS DRIVER</t>
  </si>
  <si>
    <t xml:space="preserve">DELIVERY INV#06 FOR SHO GULBERG</t>
  </si>
  <si>
    <t xml:space="preserve">PLANTS FOR OUTSIDE AREA</t>
  </si>
  <si>
    <t xml:space="preserve">CHARGER FOR YASIR SB</t>
  </si>
  <si>
    <t xml:space="preserve">TAKE AWAY INV#07 FOR NASIR SB</t>
  </si>
  <si>
    <t xml:space="preserve">Nasir Sb</t>
  </si>
  <si>
    <t xml:space="preserve">TAKE AWAY INV#05 FOR IMRAN SB</t>
  </si>
  <si>
    <t xml:space="preserve">FRIED ITEMS</t>
  </si>
  <si>
    <t xml:space="preserve">GOLDEN BROWN FRIES SAMPLE</t>
  </si>
  <si>
    <t xml:space="preserve">REHMAT WHEAT PRODUCTS</t>
  </si>
  <si>
    <t xml:space="preserve">ALI ARSALAN K/A</t>
  </si>
  <si>
    <t xml:space="preserve">DELIVERY INV#41 FOR MAJID SB</t>
  </si>
  <si>
    <t xml:space="preserve">DELIVERY INV#64 FOR SHO GULBERG POLICE STATION</t>
  </si>
  <si>
    <t xml:space="preserve">DINE IN INV#67 CUSTOMER COMPLAIN BAD SMELL FROM FOOD</t>
  </si>
  <si>
    <t xml:space="preserve">BIG BIRD</t>
  </si>
  <si>
    <t xml:space="preserve">BIG BIRD PAYMENT</t>
  </si>
  <si>
    <t xml:space="preserve">UMAIR RAMZAN RIDER</t>
  </si>
  <si>
    <t xml:space="preserve">PURCHASE ORDERS — demand -&gt; authorize -&gt; receive</t>
  </si>
  <si>
    <t xml:space="preserve">Hammad raises demand, Imran/Owner authorizes, Store person marks Received when goods arrive. Pick the standard Item Code. A row with Status=Received automatically creates a Payable and adds stock to the Inventory tab.</t>
  </si>
  <si>
    <t xml:space="preserve">PO#</t>
  </si>
  <si>
    <t xml:space="preserve">Date Ordered</t>
  </si>
  <si>
    <t xml:space="preserve">Vendor</t>
  </si>
  <si>
    <t xml:space="preserve">Requested By</t>
  </si>
  <si>
    <t xml:space="preserve">Authorized By</t>
  </si>
  <si>
    <t xml:space="preserve">Date Received</t>
  </si>
  <si>
    <t xml:space="preserve">PAYABLES — auto-generated from Received Purchase Orders</t>
  </si>
  <si>
    <t xml:space="preserve">One row per Purchase Order marked Received. 'Paid to Date' pulls Payable Payment entries from Expense Entry linked by PO#.</t>
  </si>
  <si>
    <t xml:space="preserve">Item Name</t>
  </si>
  <si>
    <t xml:space="preserve">Amount Owed</t>
  </si>
  <si>
    <t xml:space="preserve">Paid to Date</t>
  </si>
  <si>
    <t xml:space="preserve">Balance</t>
  </si>
  <si>
    <t xml:space="preserve">ISSUE LOG — stock issued from store to kitchen (becomes cost of goods used)</t>
  </si>
  <si>
    <t xml:space="preserve">Store person logs what leaves the store room each day, by Item Code. This is what actually drives Food/Packaging/Cleaning/etc. cost in the P&amp;L — not the purchase date.</t>
  </si>
  <si>
    <t xml:space="preserve">Qty Issued</t>
  </si>
  <si>
    <t xml:space="preserve">Value (PKR)</t>
  </si>
  <si>
    <t xml:space="preserve">Issued By</t>
  </si>
  <si>
    <t xml:space="preserve">Category (lookup, hidden)</t>
  </si>
  <si>
    <t xml:space="preserve">INVENTORY — live stock ledger, one row per item code</t>
  </si>
  <si>
    <t xml:space="preserve">Opening Stock: enter once at month start. Received columns and Issued pull automatically from Expense Entry / Purchase Orders / Issue Log, matched by Item Code.</t>
  </si>
  <si>
    <t xml:space="preserve">Std Rate</t>
  </si>
  <si>
    <t xml:space="preserve">Opening Stock</t>
  </si>
  <si>
    <t xml:space="preserve">Received (Cash Purchase)</t>
  </si>
  <si>
    <t xml:space="preserve">Received (via PO)</t>
  </si>
  <si>
    <t xml:space="preserve">Total Received</t>
  </si>
  <si>
    <t xml:space="preserve">Issued</t>
  </si>
  <si>
    <t xml:space="preserve">Closing Stock</t>
  </si>
  <si>
    <t xml:space="preserve">Closing Value (PKR)</t>
  </si>
  <si>
    <t xml:space="preserve">TOTAL</t>
  </si>
  <si>
    <t xml:space="preserve">DIRECTORS — owner / director draws</t>
  </si>
  <si>
    <t xml:space="preserve">Auto-totals every 'Director Draw' row from Expense Entry charged to each name. Detail lives in Expense Entry.</t>
  </si>
  <si>
    <t xml:space="preserve">Director</t>
  </si>
  <si>
    <t xml:space="preserve">Total Charged This Month (PKR)</t>
  </si>
  <si>
    <t xml:space="preserve">TOTAL DIRECTOR EXPENSE</t>
  </si>
  <si>
    <t xml:space="preserve">PAYROLL — staff roster with charge-to-salary deductions</t>
  </si>
  <si>
    <t xml:space="preserve">Base Monthly Salary pre-filled from the September staff roster. 'Charges This Month' auto-pulls 'Payroll/Employee Charge' rows from Expense Entry. Net Pay = Base - Charges. Note: actual cash PAYROLL paid out in September (overtime, delivery riders, advances) is booked separately in Expense Entry under category 'Payroll' and flows to the P&amp;L directly — this roster is the base-salary reference.</t>
  </si>
  <si>
    <t xml:space="preserve">Employee</t>
  </si>
  <si>
    <t xml:space="preserve">Department</t>
  </si>
  <si>
    <t xml:space="preserve">Designation</t>
  </si>
  <si>
    <t xml:space="preserve">Base Monthly Salary (PKR)</t>
  </si>
  <si>
    <t xml:space="preserve">Charges This Month (PKR)</t>
  </si>
  <si>
    <t xml:space="preserve">Net Pay Due (PKR)</t>
  </si>
  <si>
    <t xml:space="preserve">Ahsan Zadi</t>
  </si>
  <si>
    <t xml:space="preserve">Management</t>
  </si>
  <si>
    <t xml:space="preserve">Rgm</t>
  </si>
  <si>
    <t xml:space="preserve">Abdullah</t>
  </si>
  <si>
    <t xml:space="preserve">Cash</t>
  </si>
  <si>
    <t xml:space="preserve">Cashier</t>
  </si>
  <si>
    <t xml:space="preserve">Saqib</t>
  </si>
  <si>
    <t xml:space="preserve">Kahleer</t>
  </si>
  <si>
    <t xml:space="preserve">Aqib</t>
  </si>
  <si>
    <t xml:space="preserve">Supervizer</t>
  </si>
  <si>
    <t xml:space="preserve">Supervisor</t>
  </si>
  <si>
    <t xml:space="preserve">Nabeeel</t>
  </si>
  <si>
    <t xml:space="preserve">Foh</t>
  </si>
  <si>
    <t xml:space="preserve">Salman Sitaar</t>
  </si>
  <si>
    <t xml:space="preserve">Server</t>
  </si>
  <si>
    <t xml:space="preserve">Sohail</t>
  </si>
  <si>
    <t xml:space="preserve">Usman Mahmood</t>
  </si>
  <si>
    <t xml:space="preserve">Ali Raza</t>
  </si>
  <si>
    <t xml:space="preserve">Ahad</t>
  </si>
  <si>
    <t xml:space="preserve">Faisal</t>
  </si>
  <si>
    <t xml:space="preserve">Anas</t>
  </si>
  <si>
    <t xml:space="preserve">Umair</t>
  </si>
  <si>
    <t xml:space="preserve">Asif</t>
  </si>
  <si>
    <t xml:space="preserve">Bashrat</t>
  </si>
  <si>
    <t xml:space="preserve">Hassan</t>
  </si>
  <si>
    <t xml:space="preserve">Yashwa</t>
  </si>
  <si>
    <t xml:space="preserve">Cleaner</t>
  </si>
  <si>
    <t xml:space="preserve">Kamran</t>
  </si>
  <si>
    <t xml:space="preserve">Bakery Bar</t>
  </si>
  <si>
    <t xml:space="preserve">Qasim</t>
  </si>
  <si>
    <t xml:space="preserve">Ahmad</t>
  </si>
  <si>
    <t xml:space="preserve">Drink Bar</t>
  </si>
  <si>
    <t xml:space="preserve">Zarish</t>
  </si>
  <si>
    <t xml:space="preserve">Gro</t>
  </si>
  <si>
    <t xml:space="preserve">Sohail (2)</t>
  </si>
  <si>
    <t xml:space="preserve">Masoom</t>
  </si>
  <si>
    <t xml:space="preserve">Diswasher</t>
  </si>
  <si>
    <t xml:space="preserve">Dawood</t>
  </si>
  <si>
    <t xml:space="preserve">Dispatcher</t>
  </si>
  <si>
    <t xml:space="preserve">Dawood (2)</t>
  </si>
  <si>
    <t xml:space="preserve">Akash</t>
  </si>
  <si>
    <t xml:space="preserve">Ashiq</t>
  </si>
  <si>
    <t xml:space="preserve">Usman</t>
  </si>
  <si>
    <t xml:space="preserve">Dishwasher</t>
  </si>
  <si>
    <t xml:space="preserve">Vishal</t>
  </si>
  <si>
    <t xml:space="preserve">Zeeshan Akram</t>
  </si>
  <si>
    <t xml:space="preserve">Boh</t>
  </si>
  <si>
    <t xml:space="preserve">Nabeel Ismail</t>
  </si>
  <si>
    <t xml:space="preserve">Mujahid</t>
  </si>
  <si>
    <t xml:space="preserve">Kitchen Assistant</t>
  </si>
  <si>
    <t xml:space="preserve">Adnan Younis</t>
  </si>
  <si>
    <t xml:space="preserve">Arslan Ali</t>
  </si>
  <si>
    <t xml:space="preserve">Hamza  Saeed</t>
  </si>
  <si>
    <t xml:space="preserve">Ahsaan</t>
  </si>
  <si>
    <t xml:space="preserve">Hassnain Ali</t>
  </si>
  <si>
    <t xml:space="preserve">Nouman</t>
  </si>
  <si>
    <t xml:space="preserve">Aman Ul Llaha</t>
  </si>
  <si>
    <t xml:space="preserve">Waqar</t>
  </si>
  <si>
    <t xml:space="preserve">Imran</t>
  </si>
  <si>
    <t xml:space="preserve">Hamza Night</t>
  </si>
  <si>
    <t xml:space="preserve">Haider</t>
  </si>
  <si>
    <t xml:space="preserve">Salman</t>
  </si>
  <si>
    <t xml:space="preserve">Aftab</t>
  </si>
  <si>
    <t xml:space="preserve">Ahmad (2)</t>
  </si>
  <si>
    <t xml:space="preserve">Subhan Tanveer</t>
  </si>
  <si>
    <t xml:space="preserve">Talha</t>
  </si>
  <si>
    <t xml:space="preserve">Anjum</t>
  </si>
  <si>
    <t xml:space="preserve">Umair Aslam</t>
  </si>
  <si>
    <t xml:space="preserve">Rider</t>
  </si>
  <si>
    <t xml:space="preserve">Tayyab</t>
  </si>
  <si>
    <t xml:space="preserve">Shakeel</t>
  </si>
  <si>
    <t xml:space="preserve">M.Shahbaz</t>
  </si>
  <si>
    <t xml:space="preserve">Umair Ramzan</t>
  </si>
  <si>
    <t xml:space="preserve">Saim Raza</t>
  </si>
  <si>
    <t xml:space="preserve">M.Feroz Zaheer</t>
  </si>
  <si>
    <t xml:space="preserve">M.Faizan</t>
  </si>
  <si>
    <t xml:space="preserve">Aman</t>
  </si>
  <si>
    <t xml:space="preserve">Numan</t>
  </si>
  <si>
    <t xml:space="preserve">Zeeshan Haider</t>
  </si>
  <si>
    <t xml:space="preserve">Ahsan Ali</t>
  </si>
  <si>
    <t xml:space="preserve">Abuhunana</t>
  </si>
  <si>
    <t xml:space="preserve">Afzal</t>
  </si>
  <si>
    <t xml:space="preserve">Abdul Hanan</t>
  </si>
  <si>
    <t xml:space="preserve">M.Yousaf</t>
  </si>
  <si>
    <t xml:space="preserve">Ali Haider</t>
  </si>
  <si>
    <t xml:space="preserve">Taufeeq</t>
  </si>
  <si>
    <t xml:space="preserve">Other Faculty</t>
  </si>
  <si>
    <t xml:space="preserve">Store Keeper</t>
  </si>
  <si>
    <t xml:space="preserve">Afzal (2)</t>
  </si>
  <si>
    <t xml:space="preserve">Guard</t>
  </si>
  <si>
    <t xml:space="preserve">Butt</t>
  </si>
  <si>
    <t xml:space="preserve">Fahad</t>
  </si>
  <si>
    <t xml:space="preserve">Electration</t>
  </si>
  <si>
    <t xml:space="preserve">Sherri</t>
  </si>
  <si>
    <t xml:space="preserve">Purchasing</t>
  </si>
  <si>
    <t xml:space="preserve">Qari Sb</t>
  </si>
  <si>
    <t xml:space="preserve">Hafiz</t>
  </si>
  <si>
    <t xml:space="preserve">Gardener</t>
  </si>
  <si>
    <t xml:space="preserve">Gadner</t>
  </si>
  <si>
    <t xml:space="preserve">Zeshan Azam</t>
  </si>
  <si>
    <t xml:space="preserve">Cash Department</t>
  </si>
  <si>
    <t xml:space="preserve">Cash Orgainzer</t>
  </si>
  <si>
    <t xml:space="preserve">Hammad Sb</t>
  </si>
  <si>
    <t xml:space="preserve">Hr</t>
  </si>
  <si>
    <t xml:space="preserve">CASH BOOK — daily petty cash reconciliation</t>
  </si>
  <si>
    <t xml:space="preserve">Enter each day's Date. Sales Collected pulls automatically from the Sales tab for that date. Opening Cash carries from the prior day's Closing. Cash Out pulls every cash-impacting row from Expense Entry for that date.</t>
  </si>
  <si>
    <t xml:space="preserve">Opening balance -&gt;</t>
  </si>
  <si>
    <t xml:space="preserve">Sales Collected (auto, from Sales tab)</t>
  </si>
  <si>
    <t xml:space="preserve">Total Cash In</t>
  </si>
  <si>
    <t xml:space="preserve">Cash Out (auto)</t>
  </si>
  <si>
    <t xml:space="preserve">Closing Cash</t>
  </si>
  <si>
    <t xml:space="preserve">Total Sales this month:</t>
  </si>
  <si>
    <t xml:space="preserve">Categories</t>
  </si>
  <si>
    <t xml:space="preserve">ItemCodes</t>
  </si>
  <si>
    <t xml:space="preserve">ItemUnit</t>
  </si>
  <si>
    <t xml:space="preserve">ItemRate</t>
  </si>
  <si>
    <t xml:space="preserve">ItemCategory</t>
  </si>
  <si>
    <t xml:space="preserve">Directors</t>
  </si>
  <si>
    <t xml:space="preserve">Employees</t>
  </si>
  <si>
    <t xml:space="preserve">POStatus</t>
  </si>
  <si>
    <t xml:space="preserve">PayableStatus</t>
  </si>
  <si>
    <t xml:space="preserve">ChargedToAll</t>
  </si>
  <si>
    <t xml:space="preserve">ItemName</t>
  </si>
  <si>
    <t xml:space="preserve">Inventory Purchase</t>
  </si>
  <si>
    <t xml:space="preserve">Ordered</t>
  </si>
  <si>
    <t xml:space="preserve">Unpaid</t>
  </si>
  <si>
    <t xml:space="preserve">Received</t>
  </si>
  <si>
    <t xml:space="preserve">Partial</t>
  </si>
  <si>
    <t xml:space="preserve">Payroll/Employee Charge</t>
  </si>
  <si>
    <t xml:space="preserve">Cancelled</t>
  </si>
  <si>
    <t xml:space="preserve">Paid</t>
  </si>
  <si>
    <t xml:space="preserve">Payable Payment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</si>
</sst>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yyyy\-mm\-dd"/>
    <numFmt numFmtId="167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9"/>
      <color rgb="FF808080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i val="true"/>
      <sz val="9"/>
      <color rgb="FFC00000"/>
      <name val="Cambria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DCE6F1"/>
      </patternFill>
    </fill>
    <fill>
      <patternFill patternType="solid">
        <fgColor rgb="FF2E5395"/>
        <bgColor rgb="FF1F3864"/>
      </patternFill>
    </fill>
    <fill>
      <patternFill patternType="solid">
        <fgColor rgb="FFDCE6F1"/>
        <bgColor rgb="FFE2EFDA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D1521B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A1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1.75" hidden="false" customHeight="true" outlineLevel="0" collapsed="false">
      <c r="A1" s="2" t="s">
        <v>0</v>
      </c>
    </row>
    <row r="4" customFormat="false" ht="15" hidden="false" customHeight="true" outlineLevel="0" collapsed="false">
      <c r="A4" s="3" t="s">
        <v>1</v>
      </c>
    </row>
    <row r="6" customFormat="false" ht="15" hidden="false" customHeight="true" outlineLevel="0" collapsed="false">
      <c r="A6" s="1" t="s">
        <v>2</v>
      </c>
    </row>
    <row r="7" customFormat="false" ht="15" hidden="false" customHeight="true" outlineLevel="0" collapsed="false">
      <c r="A7" s="1" t="s">
        <v>3</v>
      </c>
    </row>
    <row r="8" customFormat="false" ht="15" hidden="false" customHeight="true" outlineLevel="0" collapsed="false">
      <c r="A8" s="1" t="s">
        <v>4</v>
      </c>
    </row>
    <row r="9" customFormat="false" ht="15" hidden="false" customHeight="true" outlineLevel="0" collapsed="false">
      <c r="A9" s="1" t="s">
        <v>5</v>
      </c>
    </row>
    <row r="10" customFormat="false" ht="15" hidden="false" customHeight="true" outlineLevel="0" collapsed="false">
      <c r="A10" s="1" t="s">
        <v>6</v>
      </c>
    </row>
    <row r="12" customFormat="false" ht="15" hidden="false" customHeight="true" outlineLevel="0" collapsed="false">
      <c r="A12" s="3" t="s">
        <v>7</v>
      </c>
    </row>
    <row r="14" customFormat="false" ht="15" hidden="false" customHeight="true" outlineLevel="0" collapsed="false">
      <c r="A14" s="1" t="s">
        <v>8</v>
      </c>
    </row>
    <row r="15" customFormat="false" ht="15" hidden="false" customHeight="true" outlineLevel="0" collapsed="false">
      <c r="A15" s="1" t="s">
        <v>9</v>
      </c>
    </row>
    <row r="16" customFormat="false" ht="15" hidden="false" customHeight="true" outlineLevel="0" collapsed="false">
      <c r="A16" s="1" t="s">
        <v>10</v>
      </c>
    </row>
    <row r="17" customFormat="false" ht="15" hidden="false" customHeight="true" outlineLevel="0" collapsed="false">
      <c r="A17" s="1" t="s">
        <v>11</v>
      </c>
    </row>
    <row r="18" customFormat="false" ht="15" hidden="false" customHeight="true" outlineLevel="0" collapsed="false">
      <c r="A18" s="1" t="s">
        <v>12</v>
      </c>
    </row>
    <row r="19" customFormat="false" ht="15" hidden="false" customHeight="true" outlineLevel="0" collapsed="false">
      <c r="A19" s="1" t="s">
        <v>13</v>
      </c>
    </row>
    <row r="20" customFormat="false" ht="15" hidden="false" customHeight="true" outlineLevel="0" collapsed="false">
      <c r="A20" s="1" t="s">
        <v>14</v>
      </c>
    </row>
    <row r="21" customFormat="false" ht="15" hidden="false" customHeight="true" outlineLevel="0" collapsed="false">
      <c r="A21" s="1" t="s">
        <v>15</v>
      </c>
    </row>
    <row r="22" customFormat="false" ht="15" hidden="false" customHeight="true" outlineLevel="0" collapsed="false">
      <c r="A22" s="1" t="s">
        <v>16</v>
      </c>
    </row>
    <row r="23" customFormat="false" ht="15" hidden="false" customHeight="true" outlineLevel="0" collapsed="false">
      <c r="A23" s="1" t="s">
        <v>17</v>
      </c>
    </row>
    <row r="24" customFormat="false" ht="15" hidden="false" customHeight="true" outlineLevel="0" collapsed="false">
      <c r="A24" s="1" t="s">
        <v>18</v>
      </c>
    </row>
    <row r="26" customFormat="false" ht="15" hidden="false" customHeight="true" outlineLevel="0" collapsed="false">
      <c r="A26" s="1" t="s">
        <v>19</v>
      </c>
    </row>
    <row r="27" customFormat="false" ht="15" hidden="false" customHeight="true" outlineLevel="0" collapsed="false">
      <c r="A27" s="1" t="s">
        <v>20</v>
      </c>
    </row>
    <row r="28" customFormat="false" ht="15" hidden="false" customHeight="true" outlineLevel="0" collapsed="false">
      <c r="A28" s="1" t="s">
        <v>21</v>
      </c>
    </row>
    <row r="29" customFormat="false" ht="15" hidden="false" customHeight="true" outlineLevel="0" collapsed="false">
      <c r="A29" s="1" t="s">
        <v>22</v>
      </c>
    </row>
    <row r="30" customFormat="false" ht="15" hidden="false" customHeight="true" outlineLevel="0" collapsed="false">
      <c r="A30" s="1" t="s">
        <v>23</v>
      </c>
    </row>
    <row r="31" customFormat="false" ht="15" hidden="false" customHeight="true" outlineLevel="0" collapsed="false">
      <c r="A31" s="1" t="s">
        <v>24</v>
      </c>
    </row>
    <row r="32" customFormat="false" ht="15" hidden="false" customHeight="true" outlineLevel="0" collapsed="false">
      <c r="A32" s="1" t="s">
        <v>25</v>
      </c>
    </row>
    <row r="33" customFormat="false" ht="15" hidden="false" customHeight="true" outlineLevel="0" collapsed="false">
      <c r="A33" s="1" t="s">
        <v>26</v>
      </c>
    </row>
    <row r="34" customFormat="false" ht="15" hidden="false" customHeight="true" outlineLevel="0" collapsed="false">
      <c r="A34" s="1" t="s">
        <v>27</v>
      </c>
    </row>
    <row r="35" customFormat="false" ht="15" hidden="false" customHeight="true" outlineLevel="0" collapsed="false">
      <c r="A35" s="1" t="s">
        <v>28</v>
      </c>
    </row>
    <row r="36" customFormat="false" ht="15" hidden="false" customHeight="true" outlineLevel="0" collapsed="false">
      <c r="A36" s="1" t="s">
        <v>29</v>
      </c>
    </row>
    <row r="37" customFormat="false" ht="15" hidden="false" customHeight="true" outlineLevel="0" collapsed="false">
      <c r="A37" s="1" t="s">
        <v>30</v>
      </c>
    </row>
    <row r="38" customFormat="false" ht="15" hidden="false" customHeight="true" outlineLevel="0" collapsed="false">
      <c r="A38" s="1" t="s">
        <v>31</v>
      </c>
    </row>
    <row r="39" customFormat="false" ht="15" hidden="false" customHeight="true" outlineLevel="0" collapsed="false">
      <c r="A39" s="1" t="s">
        <v>32</v>
      </c>
    </row>
    <row r="41" customFormat="false" ht="15" hidden="false" customHeight="true" outlineLevel="0" collapsed="false">
      <c r="A41" s="1" t="s">
        <v>33</v>
      </c>
    </row>
    <row r="42" customFormat="false" ht="15" hidden="false" customHeight="true" outlineLevel="0" collapsed="false">
      <c r="A42" s="1" t="s">
        <v>34</v>
      </c>
    </row>
    <row r="43" customFormat="false" ht="15" hidden="false" customHeight="true" outlineLevel="0" collapsed="false">
      <c r="A43" s="1" t="s">
        <v>35</v>
      </c>
    </row>
    <row r="44" customFormat="false" ht="15" hidden="false" customHeight="true" outlineLevel="0" collapsed="false">
      <c r="A44" s="1" t="s">
        <v>36</v>
      </c>
    </row>
    <row r="45" customFormat="false" ht="15" hidden="false" customHeight="true" outlineLevel="0" collapsed="false">
      <c r="A45" s="1" t="s">
        <v>37</v>
      </c>
    </row>
    <row r="46" customFormat="false" ht="15" hidden="false" customHeight="true" outlineLevel="0" collapsed="false">
      <c r="A46" s="1" t="s">
        <v>38</v>
      </c>
    </row>
    <row r="47" customFormat="false" ht="15" hidden="false" customHeight="true" outlineLevel="0" collapsed="false">
      <c r="A47" s="1" t="s">
        <v>39</v>
      </c>
    </row>
    <row r="48" customFormat="false" ht="15" hidden="false" customHeight="true" outlineLevel="0" collapsed="false">
      <c r="A48" s="1" t="s">
        <v>40</v>
      </c>
    </row>
    <row r="49" customFormat="false" ht="15" hidden="false" customHeight="true" outlineLevel="0" collapsed="false">
      <c r="A49" s="1" t="s">
        <v>41</v>
      </c>
    </row>
    <row r="50" customFormat="false" ht="15" hidden="false" customHeight="true" outlineLevel="0" collapsed="false">
      <c r="A50" s="1" t="s">
        <v>42</v>
      </c>
    </row>
    <row r="52" customFormat="false" ht="15" hidden="false" customHeight="true" outlineLevel="0" collapsed="false">
      <c r="A52" s="3" t="s">
        <v>43</v>
      </c>
    </row>
    <row r="54" customFormat="false" ht="15" hidden="false" customHeight="true" outlineLevel="0" collapsed="false">
      <c r="A54" s="1" t="s">
        <v>44</v>
      </c>
    </row>
    <row r="55" customFormat="false" ht="15" hidden="false" customHeight="true" outlineLevel="0" collapsed="false">
      <c r="A55" s="1" t="s">
        <v>45</v>
      </c>
    </row>
    <row r="57" customFormat="false" ht="15" hidden="false" customHeight="true" outlineLevel="0" collapsed="false">
      <c r="A57" s="1" t="s">
        <v>46</v>
      </c>
    </row>
    <row r="58" customFormat="false" ht="15" hidden="false" customHeight="true" outlineLevel="0" collapsed="false">
      <c r="A58" s="1" t="s">
        <v>47</v>
      </c>
    </row>
    <row r="59" customFormat="false" ht="15" hidden="false" customHeight="true" outlineLevel="0" collapsed="false">
      <c r="A59" s="1" t="s">
        <v>48</v>
      </c>
    </row>
    <row r="60" customFormat="false" ht="15" hidden="false" customHeight="true" outlineLevel="0" collapsed="false">
      <c r="A60" s="1" t="s">
        <v>49</v>
      </c>
    </row>
    <row r="61" customFormat="false" ht="15" hidden="false" customHeight="true" outlineLevel="0" collapsed="false">
      <c r="A61" s="1" t="s">
        <v>50</v>
      </c>
    </row>
    <row r="62" customFormat="false" ht="15" hidden="false" customHeight="true" outlineLevel="0" collapsed="false">
      <c r="A62" s="1" t="s">
        <v>51</v>
      </c>
    </row>
    <row r="63" customFormat="false" ht="15" hidden="false" customHeight="true" outlineLevel="0" collapsed="false">
      <c r="A63" s="1" t="s">
        <v>52</v>
      </c>
    </row>
    <row r="64" customFormat="false" ht="15" hidden="false" customHeight="true" outlineLevel="0" collapsed="false">
      <c r="A64" s="1" t="s">
        <v>53</v>
      </c>
    </row>
    <row r="65" customFormat="false" ht="15" hidden="false" customHeight="true" outlineLevel="0" collapsed="false">
      <c r="A65" s="1" t="s">
        <v>54</v>
      </c>
    </row>
    <row r="66" customFormat="false" ht="15" hidden="false" customHeight="true" outlineLevel="0" collapsed="false">
      <c r="A66" s="1" t="s">
        <v>55</v>
      </c>
    </row>
    <row r="67" customFormat="false" ht="15" hidden="false" customHeight="true" outlineLevel="0" collapsed="false">
      <c r="A67" s="1" t="s">
        <v>56</v>
      </c>
    </row>
    <row r="69" customFormat="false" ht="15" hidden="false" customHeight="true" outlineLevel="0" collapsed="false">
      <c r="A69" s="1" t="s">
        <v>57</v>
      </c>
    </row>
    <row r="70" customFormat="false" ht="15" hidden="false" customHeight="true" outlineLevel="0" collapsed="false">
      <c r="A70" s="1" t="s">
        <v>58</v>
      </c>
    </row>
    <row r="71" customFormat="false" ht="15" hidden="false" customHeight="true" outlineLevel="0" collapsed="false">
      <c r="A71" s="1" t="s">
        <v>59</v>
      </c>
    </row>
    <row r="73" customFormat="false" ht="15" hidden="false" customHeight="true" outlineLevel="0" collapsed="false">
      <c r="A73" s="1" t="s">
        <v>60</v>
      </c>
    </row>
    <row r="74" customFormat="false" ht="15" hidden="false" customHeight="true" outlineLevel="0" collapsed="false">
      <c r="A74" s="1" t="s">
        <v>61</v>
      </c>
    </row>
    <row r="75" customFormat="false" ht="15" hidden="false" customHeight="true" outlineLevel="0" collapsed="false">
      <c r="A75" s="1" t="s">
        <v>62</v>
      </c>
    </row>
    <row r="76" customFormat="false" ht="15" hidden="false" customHeight="true" outlineLevel="0" collapsed="false">
      <c r="A76" s="1" t="s">
        <v>63</v>
      </c>
    </row>
    <row r="77" customFormat="false" ht="15" hidden="false" customHeight="true" outlineLevel="0" collapsed="false">
      <c r="A77" s="1" t="s">
        <v>64</v>
      </c>
    </row>
    <row r="78" customFormat="false" ht="15" hidden="false" customHeight="true" outlineLevel="0" collapsed="false">
      <c r="A78" s="1" t="s">
        <v>65</v>
      </c>
    </row>
    <row r="79" customFormat="false" ht="15" hidden="false" customHeight="true" outlineLevel="0" collapsed="false">
      <c r="A79" s="1" t="s">
        <v>66</v>
      </c>
    </row>
    <row r="80" customFormat="false" ht="15" hidden="false" customHeight="true" outlineLevel="0" collapsed="false">
      <c r="A80" s="1" t="s">
        <v>67</v>
      </c>
    </row>
    <row r="81" customFormat="false" ht="15" hidden="false" customHeight="true" outlineLevel="0" collapsed="false">
      <c r="A81" s="1" t="s">
        <v>68</v>
      </c>
    </row>
    <row r="82" customFormat="false" ht="15" hidden="false" customHeight="true" outlineLevel="0" collapsed="false">
      <c r="A82" s="1" t="s">
        <v>69</v>
      </c>
    </row>
    <row r="83" customFormat="false" ht="15" hidden="false" customHeight="true" outlineLevel="0" collapsed="false">
      <c r="A83" s="1" t="s">
        <v>70</v>
      </c>
    </row>
    <row r="85" customFormat="false" ht="15" hidden="false" customHeight="true" outlineLevel="0" collapsed="false">
      <c r="A85" s="1" t="s">
        <v>71</v>
      </c>
    </row>
    <row r="86" customFormat="false" ht="15" hidden="false" customHeight="true" outlineLevel="0" collapsed="false">
      <c r="A86" s="1" t="s">
        <v>72</v>
      </c>
    </row>
    <row r="87" customFormat="false" ht="15" hidden="false" customHeight="true" outlineLevel="0" collapsed="false">
      <c r="A87" s="1" t="s">
        <v>73</v>
      </c>
    </row>
    <row r="88" customFormat="false" ht="15" hidden="false" customHeight="true" outlineLevel="0" collapsed="false">
      <c r="A88" s="1" t="s">
        <v>74</v>
      </c>
    </row>
    <row r="90" customFormat="false" ht="15" hidden="false" customHeight="true" outlineLevel="0" collapsed="false">
      <c r="A90" s="1" t="s">
        <v>75</v>
      </c>
    </row>
    <row r="91" customFormat="false" ht="15" hidden="false" customHeight="true" outlineLevel="0" collapsed="false">
      <c r="A91" s="1" t="s">
        <v>76</v>
      </c>
    </row>
    <row r="93" customFormat="false" ht="15" hidden="false" customHeight="true" outlineLevel="0" collapsed="false">
      <c r="A93" s="1" t="s">
        <v>77</v>
      </c>
    </row>
    <row r="94" customFormat="false" ht="15" hidden="false" customHeight="true" outlineLevel="0" collapsed="false">
      <c r="A94" s="1" t="s">
        <v>78</v>
      </c>
    </row>
    <row r="95" customFormat="false" ht="15" hidden="false" customHeight="true" outlineLevel="0" collapsed="false">
      <c r="A95" s="1" t="s">
        <v>79</v>
      </c>
    </row>
    <row r="96" customFormat="false" ht="15" hidden="false" customHeight="true" outlineLevel="0" collapsed="false">
      <c r="A96" s="1" t="s">
        <v>80</v>
      </c>
    </row>
    <row r="97" customFormat="false" ht="15" hidden="false" customHeight="true" outlineLevel="0" collapsed="false">
      <c r="A97" s="1" t="s">
        <v>81</v>
      </c>
    </row>
    <row r="99" customFormat="false" ht="15" hidden="false" customHeight="true" outlineLevel="0" collapsed="false">
      <c r="A99" s="1" t="s">
        <v>82</v>
      </c>
    </row>
    <row r="100" customFormat="false" ht="15" hidden="false" customHeight="true" outlineLevel="0" collapsed="false">
      <c r="A100" s="1" t="s">
        <v>83</v>
      </c>
    </row>
    <row r="101" customFormat="false" ht="15" hidden="false" customHeight="true" outlineLevel="0" collapsed="false">
      <c r="A101" s="1" t="s">
        <v>84</v>
      </c>
    </row>
    <row r="102" customFormat="false" ht="15" hidden="false" customHeight="true" outlineLevel="0" collapsed="false">
      <c r="A102" s="1" t="s">
        <v>85</v>
      </c>
    </row>
    <row r="104" customFormat="false" ht="15" hidden="false" customHeight="true" outlineLevel="0" collapsed="false">
      <c r="A104" s="1" t="s">
        <v>86</v>
      </c>
    </row>
    <row r="105" customFormat="false" ht="15" hidden="false" customHeight="true" outlineLevel="0" collapsed="false">
      <c r="A105" s="1" t="s">
        <v>87</v>
      </c>
    </row>
    <row r="107" customFormat="false" ht="15" hidden="false" customHeight="true" outlineLevel="0" collapsed="false">
      <c r="A107" s="1" t="s">
        <v>88</v>
      </c>
    </row>
    <row r="108" customFormat="false" ht="15" hidden="false" customHeight="true" outlineLevel="0" collapsed="false">
      <c r="A108" s="1" t="s">
        <v>89</v>
      </c>
    </row>
    <row r="109" customFormat="false" ht="15" hidden="false" customHeight="true" outlineLevel="0" collapsed="false">
      <c r="A109" s="1" t="s">
        <v>90</v>
      </c>
    </row>
    <row r="110" customFormat="false" ht="15" hidden="false" customHeight="true" outlineLevel="0" collapsed="false">
      <c r="A110" s="1" t="s">
        <v>91</v>
      </c>
    </row>
    <row r="111" customFormat="false" ht="15" hidden="false" customHeight="true" outlineLevel="0" collapsed="false">
      <c r="A111" s="1" t="s">
        <v>92</v>
      </c>
    </row>
    <row r="113" customFormat="false" ht="15" hidden="false" customHeight="true" outlineLevel="0" collapsed="false">
      <c r="A113" s="1" t="s">
        <v>93</v>
      </c>
    </row>
    <row r="114" customFormat="false" ht="15" hidden="false" customHeight="true" outlineLevel="0" collapsed="false">
      <c r="A114" s="1" t="s">
        <v>94</v>
      </c>
    </row>
    <row r="116" customFormat="false" ht="15" hidden="false" customHeight="true" outlineLevel="0" collapsed="false">
      <c r="A116" s="1" t="s">
        <v>95</v>
      </c>
    </row>
    <row r="117" customFormat="false" ht="15" hidden="false" customHeight="true" outlineLevel="0" collapsed="false">
      <c r="A117" s="1" t="s">
        <v>96</v>
      </c>
    </row>
    <row r="118" customFormat="false" ht="15" hidden="false" customHeight="true" outlineLevel="0" collapsed="false">
      <c r="A118" s="1" t="s">
        <v>97</v>
      </c>
    </row>
    <row r="120" customFormat="false" ht="15" hidden="false" customHeight="true" outlineLevel="0" collapsed="false">
      <c r="A120" s="1" t="s">
        <v>98</v>
      </c>
    </row>
    <row r="121" customFormat="false" ht="15" hidden="false" customHeight="true" outlineLevel="0" collapsed="false">
      <c r="A121" s="1" t="s">
        <v>99</v>
      </c>
    </row>
    <row r="123" customFormat="false" ht="15" hidden="false" customHeight="true" outlineLevel="0" collapsed="false">
      <c r="A123" s="3" t="s">
        <v>100</v>
      </c>
    </row>
    <row r="124" customFormat="false" ht="15" hidden="false" customHeight="true" outlineLevel="0" collapsed="false">
      <c r="A124" s="1" t="s">
        <v>101</v>
      </c>
    </row>
    <row r="125" customFormat="false" ht="15" hidden="false" customHeight="true" outlineLevel="0" collapsed="false">
      <c r="A125" s="1" t="s">
        <v>102</v>
      </c>
    </row>
    <row r="126" customFormat="false" ht="15" hidden="false" customHeight="true" outlineLevel="0" collapsed="false">
      <c r="A126" s="1" t="s">
        <v>103</v>
      </c>
    </row>
    <row r="127" customFormat="false" ht="15" hidden="false" customHeight="true" outlineLevel="0" collapsed="false">
      <c r="A127" s="1" t="s">
        <v>104</v>
      </c>
    </row>
    <row r="128" customFormat="false" ht="15" hidden="false" customHeight="true" outlineLevel="0" collapsed="false">
      <c r="A128" s="1" t="s">
        <v>105</v>
      </c>
    </row>
    <row r="129" customFormat="false" ht="15" hidden="false" customHeight="true" outlineLevel="0" collapsed="false">
      <c r="A129" s="1" t="s">
        <v>106</v>
      </c>
    </row>
    <row r="130" customFormat="false" ht="15" hidden="false" customHeight="true" outlineLevel="0" collapsed="false">
      <c r="A130" s="1" t="s">
        <v>107</v>
      </c>
    </row>
    <row r="132" customFormat="false" ht="15" hidden="false" customHeight="true" outlineLevel="0" collapsed="false">
      <c r="A132" s="1" t="s">
        <v>108</v>
      </c>
    </row>
    <row r="133" customFormat="false" ht="15" hidden="false" customHeight="true" outlineLevel="0" collapsed="false">
      <c r="A133" s="1" t="s">
        <v>109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8"/>
  </cols>
  <sheetData>
    <row r="1" customFormat="false" ht="21.75" hidden="false" customHeight="true" outlineLevel="0" collapsed="false">
      <c r="A1" s="4" t="s">
        <v>110</v>
      </c>
      <c r="B1" s="4"/>
      <c r="C1" s="4"/>
      <c r="D1" s="4"/>
    </row>
    <row r="2" customFormat="false" ht="15" hidden="false" customHeight="true" outlineLevel="0" collapsed="false">
      <c r="A2" s="5" t="s">
        <v>111</v>
      </c>
      <c r="B2" s="5"/>
      <c r="C2" s="5"/>
      <c r="D2" s="5"/>
    </row>
    <row r="4" customFormat="false" ht="15" hidden="false" customHeight="true" outlineLevel="0" collapsed="false">
      <c r="A4" s="6" t="s">
        <v>112</v>
      </c>
      <c r="B4" s="7" t="n">
        <f aca="false">Sales!$G$3010</f>
        <v>14012331</v>
      </c>
    </row>
    <row r="5" customFormat="false" ht="15" hidden="false" customHeight="true" outlineLevel="0" collapsed="false">
      <c r="A5" s="6" t="s">
        <v>113</v>
      </c>
      <c r="B5" s="7" t="n">
        <f aca="false">'P&amp;L Summary'!$B$18</f>
        <v>0</v>
      </c>
    </row>
    <row r="6" customFormat="false" ht="15" hidden="false" customHeight="true" outlineLevel="0" collapsed="false">
      <c r="A6" s="6" t="s">
        <v>114</v>
      </c>
      <c r="B6" s="7" t="n">
        <f aca="false">'P&amp;L Summary'!$B$43</f>
        <v>13510202</v>
      </c>
    </row>
    <row r="7" customFormat="false" ht="15" hidden="false" customHeight="true" outlineLevel="0" collapsed="false">
      <c r="A7" s="6" t="s">
        <v>115</v>
      </c>
      <c r="B7" s="7" t="n">
        <f aca="false">'P&amp;L Summary'!$B$47</f>
        <v>502129</v>
      </c>
    </row>
    <row r="8" customFormat="false" ht="15" hidden="false" customHeight="true" outlineLevel="0" collapsed="false">
      <c r="A8" s="6" t="s">
        <v>116</v>
      </c>
      <c r="B8" s="7" t="n">
        <f aca="false">Directors!$B$11</f>
        <v>457907</v>
      </c>
    </row>
    <row r="9" customFormat="false" ht="15" hidden="false" customHeight="true" outlineLevel="0" collapsed="false">
      <c r="A9" s="6" t="s">
        <v>117</v>
      </c>
      <c r="B9" s="7" t="n">
        <f aca="false">'P&amp;L Summary'!$B$47-Directors!$B$11</f>
        <v>44222</v>
      </c>
    </row>
    <row r="10" customFormat="false" ht="15" hidden="false" customHeight="true" outlineLevel="0" collapsed="false">
      <c r="A10" s="6" t="s">
        <v>118</v>
      </c>
      <c r="B10" s="7" t="n">
        <f aca="false">IFERROR(INDEX('Cash Book'!$F$5:$F$35,MATCH(2,1/('Cash Book'!$A$5:$A$35&lt;&gt;""),1)),0)</f>
        <v>502129</v>
      </c>
    </row>
    <row r="11" customFormat="false" ht="15" hidden="false" customHeight="true" outlineLevel="0" collapsed="false">
      <c r="A11" s="6" t="s">
        <v>119</v>
      </c>
      <c r="B11" s="7" t="n">
        <f aca="false">Inventory!$L$487</f>
        <v>4433397.60650407</v>
      </c>
    </row>
    <row r="12" customFormat="false" ht="15" hidden="false" customHeight="true" outlineLevel="0" collapsed="false">
      <c r="A12" s="6" t="s">
        <v>120</v>
      </c>
      <c r="B12" s="7" t="n">
        <f aca="false">SUM(Payables!$F$5:$F$3000)</f>
        <v>0</v>
      </c>
    </row>
    <row r="13" customFormat="false" ht="15" hidden="false" customHeight="true" outlineLevel="0" collapsed="false">
      <c r="A13" s="6" t="s">
        <v>121</v>
      </c>
      <c r="B13" s="7" t="n">
        <f aca="false">COUNTIFS('Purchase Orders'!$L$5:$L$3000,"Ordered")</f>
        <v>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D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6"/>
    <col collapsed="false" customWidth="true" hidden="false" outlineLevel="0" max="3" min="3" style="1" width="10"/>
    <col collapsed="false" customWidth="true" hidden="false" outlineLevel="0" max="4" min="4" style="1" width="30"/>
  </cols>
  <sheetData>
    <row r="1" customFormat="false" ht="21.75" hidden="false" customHeight="true" outlineLevel="0" collapsed="false">
      <c r="A1" s="4" t="s">
        <v>122</v>
      </c>
      <c r="B1" s="4"/>
      <c r="C1" s="4"/>
      <c r="D1" s="4"/>
    </row>
    <row r="2" customFormat="false" ht="15" hidden="false" customHeight="true" outlineLevel="0" collapsed="false">
      <c r="A2" s="5" t="s">
        <v>123</v>
      </c>
      <c r="B2" s="5"/>
      <c r="C2" s="5"/>
      <c r="D2" s="5"/>
    </row>
    <row r="4" customFormat="false" ht="15" hidden="false" customHeight="true" outlineLevel="0" collapsed="false">
      <c r="A4" s="8" t="s">
        <v>124</v>
      </c>
      <c r="B4" s="9"/>
      <c r="C4" s="9"/>
      <c r="D4" s="9"/>
    </row>
    <row r="5" customFormat="false" ht="15" hidden="false" customHeight="true" outlineLevel="0" collapsed="false">
      <c r="A5" s="10" t="s">
        <v>125</v>
      </c>
      <c r="B5" s="11" t="n">
        <f aca="false">Sales!$G$3010</f>
        <v>14012331</v>
      </c>
      <c r="C5" s="12"/>
      <c r="D5" s="12"/>
    </row>
    <row r="7" customFormat="false" ht="15" hidden="false" customHeight="true" outlineLevel="0" collapsed="false">
      <c r="A7" s="8" t="s">
        <v>126</v>
      </c>
      <c r="B7" s="9"/>
      <c r="C7" s="9"/>
      <c r="D7" s="9"/>
    </row>
    <row r="8" customFormat="false" ht="15" hidden="false" customHeight="true" outlineLevel="0" collapsed="false">
      <c r="A8" s="12" t="s">
        <v>127</v>
      </c>
      <c r="B8" s="13" t="n">
        <f aca="false">SUMIFS('Issue Log'!$G$5:$G$6000,'Issue Log'!$J$5:$J$6000,"Cleaning &amp; Sanitation")</f>
        <v>0</v>
      </c>
      <c r="C8" s="12"/>
      <c r="D8" s="12"/>
    </row>
    <row r="9" customFormat="false" ht="15" hidden="false" customHeight="true" outlineLevel="0" collapsed="false">
      <c r="A9" s="12" t="s">
        <v>128</v>
      </c>
      <c r="B9" s="13" t="n">
        <f aca="false">SUMIFS('Issue Log'!$G$5:$G$6000,'Issue Log'!$J$5:$J$6000,"Equipment &amp; Smallwares")</f>
        <v>0</v>
      </c>
      <c r="C9" s="12"/>
      <c r="D9" s="12"/>
    </row>
    <row r="10" customFormat="false" ht="15" hidden="false" customHeight="true" outlineLevel="0" collapsed="false">
      <c r="A10" s="12" t="s">
        <v>129</v>
      </c>
      <c r="B10" s="13" t="n">
        <f aca="false">SUMIFS('Issue Log'!$G$5:$G$6000,'Issue Log'!$J$5:$J$6000,"Food &amp; Beverage")</f>
        <v>0</v>
      </c>
      <c r="C10" s="12"/>
      <c r="D10" s="12"/>
    </row>
    <row r="11" customFormat="false" ht="15" hidden="false" customHeight="true" outlineLevel="0" collapsed="false">
      <c r="A11" s="12" t="s">
        <v>130</v>
      </c>
      <c r="B11" s="13" t="n">
        <f aca="false">SUMIFS('Issue Log'!$G$5:$G$6000,'Issue Log'!$J$5:$J$6000,"Fuel &amp; Gas")</f>
        <v>0</v>
      </c>
      <c r="C11" s="12"/>
      <c r="D11" s="12"/>
    </row>
    <row r="12" customFormat="false" ht="15" hidden="false" customHeight="true" outlineLevel="0" collapsed="false">
      <c r="A12" s="12" t="s">
        <v>131</v>
      </c>
      <c r="B12" s="13" t="n">
        <f aca="false">SUMIFS('Issue Log'!$G$5:$G$6000,'Issue Log'!$J$5:$J$6000,"Marketing &amp; POS Materials")</f>
        <v>0</v>
      </c>
      <c r="C12" s="12"/>
      <c r="D12" s="12"/>
    </row>
    <row r="13" customFormat="false" ht="15" hidden="false" customHeight="true" outlineLevel="0" collapsed="false">
      <c r="A13" s="12" t="s">
        <v>132</v>
      </c>
      <c r="B13" s="13" t="n">
        <f aca="false">SUMIFS('Issue Log'!$G$5:$G$6000,'Issue Log'!$J$5:$J$6000,"Packaging &amp; Paper")</f>
        <v>0</v>
      </c>
      <c r="C13" s="12"/>
      <c r="D13" s="12"/>
    </row>
    <row r="14" customFormat="false" ht="15" hidden="false" customHeight="true" outlineLevel="0" collapsed="false">
      <c r="A14" s="12" t="s">
        <v>133</v>
      </c>
      <c r="B14" s="13" t="n">
        <f aca="false">SUMIFS('Issue Log'!$G$5:$G$6000,'Issue Log'!$J$5:$J$6000,"Party &amp; Decor")</f>
        <v>0</v>
      </c>
      <c r="C14" s="12"/>
      <c r="D14" s="12"/>
    </row>
    <row r="15" customFormat="false" ht="15" hidden="false" customHeight="true" outlineLevel="0" collapsed="false">
      <c r="A15" s="12" t="s">
        <v>134</v>
      </c>
      <c r="B15" s="13" t="n">
        <f aca="false">SUMIFS('Issue Log'!$G$5:$G$6000,'Issue Log'!$J$5:$J$6000,"Stationery &amp; Office Supplies")</f>
        <v>0</v>
      </c>
      <c r="C15" s="12"/>
      <c r="D15" s="12"/>
    </row>
    <row r="16" customFormat="false" ht="15" hidden="false" customHeight="true" outlineLevel="0" collapsed="false">
      <c r="A16" s="12" t="s">
        <v>135</v>
      </c>
      <c r="B16" s="13" t="n">
        <f aca="false">SUMIFS('Issue Log'!$G$5:$G$6000,'Issue Log'!$J$5:$J$6000,"Uniform &amp; Apparel")</f>
        <v>0</v>
      </c>
      <c r="C16" s="12"/>
      <c r="D16" s="12"/>
    </row>
    <row r="17" customFormat="false" ht="15" hidden="false" customHeight="true" outlineLevel="0" collapsed="false">
      <c r="A17" s="12" t="s">
        <v>136</v>
      </c>
      <c r="B17" s="13" t="n">
        <f aca="false">SUMIFS('Issue Log'!$G$5:$G$6000,'Issue Log'!$J$5:$J$6000,"Vehicle &amp; Delivery Equipment")</f>
        <v>0</v>
      </c>
      <c r="C17" s="12"/>
      <c r="D17" s="12"/>
    </row>
    <row r="18" customFormat="false" ht="15" hidden="false" customHeight="true" outlineLevel="0" collapsed="false">
      <c r="A18" s="14" t="s">
        <v>137</v>
      </c>
      <c r="B18" s="15" t="n">
        <f aca="false">'P&amp;L Summary'!$B$8+'P&amp;L Summary'!$B$9+'P&amp;L Summary'!$B$10+'P&amp;L Summary'!$B$11+'P&amp;L Summary'!$B$12+'P&amp;L Summary'!$B$13+'P&amp;L Summary'!$B$14+'P&amp;L Summary'!$B$15+'P&amp;L Summary'!$B$16+'P&amp;L Summary'!$B$17</f>
        <v>0</v>
      </c>
      <c r="C18" s="12"/>
      <c r="D18" s="12"/>
    </row>
    <row r="20" customFormat="false" ht="15" hidden="false" customHeight="true" outlineLevel="0" collapsed="false">
      <c r="A20" s="8" t="s">
        <v>138</v>
      </c>
      <c r="B20" s="9"/>
      <c r="C20" s="9"/>
      <c r="D20" s="9"/>
    </row>
    <row r="21" customFormat="false" ht="15" hidden="false" customHeight="true" outlineLevel="0" collapsed="false">
      <c r="A21" s="12" t="s">
        <v>139</v>
      </c>
      <c r="B21" s="13" t="n">
        <f aca="false">SUMIFS('Expense Entry'!$K$5:$K$6000,'Expense Entry'!$E$5:$E$6000,"Food")</f>
        <v>6717236</v>
      </c>
      <c r="C21" s="12"/>
      <c r="D21" s="12"/>
    </row>
    <row r="22" customFormat="false" ht="15" hidden="false" customHeight="true" outlineLevel="0" collapsed="false">
      <c r="A22" s="12" t="s">
        <v>140</v>
      </c>
      <c r="B22" s="13" t="n">
        <f aca="false">SUMIFS('Expense Entry'!$K$5:$K$6000,'Expense Entry'!$E$5:$E$6000,"Packaging")</f>
        <v>418045</v>
      </c>
      <c r="C22" s="12"/>
      <c r="D22" s="12"/>
    </row>
    <row r="23" customFormat="false" ht="15" hidden="false" customHeight="true" outlineLevel="0" collapsed="false">
      <c r="A23" s="12" t="s">
        <v>127</v>
      </c>
      <c r="B23" s="13" t="n">
        <f aca="false">SUMIFS('Expense Entry'!$K$5:$K$6000,'Expense Entry'!$E$5:$E$6000,"Cleaning &amp; Sanitation")</f>
        <v>160230</v>
      </c>
      <c r="C23" s="12"/>
      <c r="D23" s="12"/>
    </row>
    <row r="24" customFormat="false" ht="15" hidden="false" customHeight="true" outlineLevel="0" collapsed="false">
      <c r="A24" s="12" t="s">
        <v>133</v>
      </c>
      <c r="B24" s="13" t="n">
        <f aca="false">SUMIFS('Expense Entry'!$K$5:$K$6000,'Expense Entry'!$E$5:$E$6000,"Party &amp; Decor")</f>
        <v>10140</v>
      </c>
      <c r="C24" s="12"/>
      <c r="D24" s="12"/>
    </row>
    <row r="25" customFormat="false" ht="15" hidden="false" customHeight="true" outlineLevel="0" collapsed="false">
      <c r="A25" s="12" t="s">
        <v>134</v>
      </c>
      <c r="B25" s="13" t="n">
        <f aca="false">SUMIFS('Expense Entry'!$K$5:$K$6000,'Expense Entry'!$E$5:$E$6000,"Stationery &amp; Office Supplies")</f>
        <v>17600</v>
      </c>
      <c r="C25" s="12"/>
      <c r="D25" s="12"/>
    </row>
    <row r="26" customFormat="false" ht="15" hidden="false" customHeight="true" outlineLevel="0" collapsed="false">
      <c r="A26" s="12" t="s">
        <v>141</v>
      </c>
      <c r="B26" s="13" t="n">
        <f aca="false">SUMIFS('Expense Entry'!$K$5:$K$6000,'Expense Entry'!$E$5:$E$6000,"Marketing")</f>
        <v>9250</v>
      </c>
      <c r="C26" s="12"/>
      <c r="D26" s="12"/>
    </row>
    <row r="27" customFormat="false" ht="15" hidden="false" customHeight="true" outlineLevel="0" collapsed="false">
      <c r="A27" s="12" t="s">
        <v>135</v>
      </c>
      <c r="B27" s="13" t="n">
        <f aca="false">SUMIFS('Expense Entry'!$K$5:$K$6000,'Expense Entry'!$E$5:$E$6000,"Uniform &amp; Apparel")</f>
        <v>140560</v>
      </c>
      <c r="C27" s="12"/>
      <c r="D27" s="12"/>
    </row>
    <row r="28" customFormat="false" ht="15" hidden="false" customHeight="true" outlineLevel="0" collapsed="false">
      <c r="A28" s="12" t="s">
        <v>128</v>
      </c>
      <c r="B28" s="13" t="n">
        <f aca="false">SUMIFS('Expense Entry'!$K$5:$K$6000,'Expense Entry'!$E$5:$E$6000,"Equipment &amp; Smallwares")</f>
        <v>29290</v>
      </c>
      <c r="C28" s="12"/>
      <c r="D28" s="12"/>
    </row>
    <row r="29" customFormat="false" ht="15" hidden="false" customHeight="true" outlineLevel="0" collapsed="false">
      <c r="A29" s="12" t="s">
        <v>142</v>
      </c>
      <c r="B29" s="13" t="n">
        <f aca="false">SUMIFS('Expense Entry'!$K$5:$K$6000,'Expense Entry'!$E$5:$E$6000,"Vehicle &amp; Delivery Maintenance")</f>
        <v>0</v>
      </c>
      <c r="C29" s="12"/>
      <c r="D29" s="12"/>
    </row>
    <row r="30" customFormat="false" ht="15" hidden="false" customHeight="true" outlineLevel="0" collapsed="false">
      <c r="A30" s="12" t="s">
        <v>130</v>
      </c>
      <c r="B30" s="13" t="n">
        <f aca="false">SUMIFS('Expense Entry'!$K$5:$K$6000,'Expense Entry'!$E$5:$E$6000,"Fuel &amp; Gas")</f>
        <v>0</v>
      </c>
      <c r="C30" s="12"/>
      <c r="D30" s="12"/>
    </row>
    <row r="31" customFormat="false" ht="15" hidden="false" customHeight="true" outlineLevel="0" collapsed="false">
      <c r="A31" s="12" t="s">
        <v>143</v>
      </c>
      <c r="B31" s="13" t="n">
        <f aca="false">SUMIFS('Expense Entry'!$K$5:$K$6000,'Expense Entry'!$E$5:$E$6000,"Payroll")</f>
        <v>2439333</v>
      </c>
      <c r="C31" s="12"/>
      <c r="D31" s="16" t="s">
        <v>144</v>
      </c>
    </row>
    <row r="32" customFormat="false" ht="15" hidden="false" customHeight="true" outlineLevel="0" collapsed="false">
      <c r="A32" s="12" t="s">
        <v>145</v>
      </c>
      <c r="B32" s="13" t="n">
        <f aca="false">SUMIFS('Expense Entry'!$K$5:$K$6000,'Expense Entry'!$E$5:$E$6000,"Utilities (Electricity/Water)")</f>
        <v>2048915</v>
      </c>
      <c r="C32" s="12"/>
      <c r="D32" s="12"/>
    </row>
    <row r="33" customFormat="false" ht="15" hidden="false" customHeight="true" outlineLevel="0" collapsed="false">
      <c r="A33" s="12" t="s">
        <v>146</v>
      </c>
      <c r="B33" s="13" t="n">
        <f aca="false">SUMIFS('Expense Entry'!$K$5:$K$6000,'Expense Entry'!$E$5:$E$6000,"Distribution Cost")</f>
        <v>11680</v>
      </c>
      <c r="C33" s="12"/>
      <c r="D33" s="12"/>
    </row>
    <row r="34" customFormat="false" ht="15" hidden="false" customHeight="true" outlineLevel="0" collapsed="false">
      <c r="A34" s="12" t="s">
        <v>147</v>
      </c>
      <c r="B34" s="13" t="n">
        <f aca="false">SUMIFS('Expense Entry'!$K$5:$K$6000,'Expense Entry'!$E$5:$E$6000,"Delivery Charges")</f>
        <v>1850</v>
      </c>
      <c r="C34" s="12"/>
      <c r="D34" s="12"/>
    </row>
    <row r="35" customFormat="false" ht="15" hidden="false" customHeight="true" outlineLevel="0" collapsed="false">
      <c r="A35" s="12" t="s">
        <v>148</v>
      </c>
      <c r="B35" s="13" t="n">
        <f aca="false">SUMIFS('Expense Entry'!$K$5:$K$6000,'Expense Entry'!$E$5:$E$6000,"Interstore Transfers")</f>
        <v>436000</v>
      </c>
      <c r="C35" s="12"/>
      <c r="D35" s="12"/>
    </row>
    <row r="36" customFormat="false" ht="15" hidden="false" customHeight="true" outlineLevel="0" collapsed="false">
      <c r="A36" s="12" t="s">
        <v>149</v>
      </c>
      <c r="B36" s="13" t="n">
        <f aca="false">SUMIFS('Expense Entry'!$K$5:$K$6000,'Expense Entry'!$E$5:$E$6000,"Employee Meals &amp; Medical")</f>
        <v>24143</v>
      </c>
      <c r="C36" s="12"/>
      <c r="D36" s="12"/>
    </row>
    <row r="37" customFormat="false" ht="15" hidden="false" customHeight="true" outlineLevel="0" collapsed="false">
      <c r="A37" s="12" t="s">
        <v>150</v>
      </c>
      <c r="B37" s="13" t="n">
        <f aca="false">SUMIFS('Expense Entry'!$K$5:$K$6000,'Expense Entry'!$E$5:$E$6000,"Charge to Restaurant")</f>
        <v>45394</v>
      </c>
      <c r="C37" s="12"/>
      <c r="D37" s="12"/>
    </row>
    <row r="38" customFormat="false" ht="15" hidden="false" customHeight="true" outlineLevel="0" collapsed="false">
      <c r="A38" s="12" t="s">
        <v>151</v>
      </c>
      <c r="B38" s="13" t="n">
        <f aca="false">SUMIFS('Expense Entry'!$K$5:$K$6000,'Expense Entry'!$E$5:$E$6000,"Repairs &amp; Maintenance")</f>
        <v>209690</v>
      </c>
      <c r="C38" s="12"/>
      <c r="D38" s="12"/>
    </row>
    <row r="39" customFormat="false" ht="15" hidden="false" customHeight="true" outlineLevel="0" collapsed="false">
      <c r="A39" s="12" t="s">
        <v>152</v>
      </c>
      <c r="B39" s="13" t="n">
        <f aca="false">SUMIFS('Expense Entry'!$K$5:$K$6000,'Expense Entry'!$E$5:$E$6000,"Government Charges &amp; Taxes")</f>
        <v>602937</v>
      </c>
      <c r="C39" s="12"/>
      <c r="D39" s="12"/>
    </row>
    <row r="40" customFormat="false" ht="15" hidden="false" customHeight="true" outlineLevel="0" collapsed="false">
      <c r="A40" s="12" t="s">
        <v>153</v>
      </c>
      <c r="B40" s="13" t="n">
        <f aca="false">SUMIFS('Expense Entry'!$K$5:$K$6000,'Expense Entry'!$E$5:$E$6000,"Food Panda Commission")</f>
        <v>178649</v>
      </c>
      <c r="C40" s="12"/>
      <c r="D40" s="12"/>
    </row>
    <row r="41" customFormat="false" ht="15" hidden="false" customHeight="true" outlineLevel="0" collapsed="false">
      <c r="A41" s="12" t="s">
        <v>154</v>
      </c>
      <c r="B41" s="13" t="n">
        <f aca="false">SUMIFS('Expense Entry'!$K$5:$K$6000,'Expense Entry'!$E$5:$E$6000,"Miscellaneous")</f>
        <v>9260</v>
      </c>
      <c r="C41" s="12"/>
      <c r="D41" s="12"/>
    </row>
    <row r="42" customFormat="false" ht="15" hidden="false" customHeight="true" outlineLevel="0" collapsed="false">
      <c r="A42" s="12" t="s">
        <v>155</v>
      </c>
      <c r="B42" s="13" t="n">
        <f aca="false">SUMIFS('Expense Entry'!$K$5:$K$6000,'Expense Entry'!$E$5:$E$6000,"Donation")</f>
        <v>0</v>
      </c>
      <c r="C42" s="12"/>
      <c r="D42" s="12"/>
    </row>
    <row r="43" customFormat="false" ht="15" hidden="false" customHeight="true" outlineLevel="0" collapsed="false">
      <c r="A43" s="14" t="s">
        <v>156</v>
      </c>
      <c r="B43" s="15" t="n">
        <f aca="false">'P&amp;L Summary'!$B$21+'P&amp;L Summary'!$B$22+'P&amp;L Summary'!$B$23+'P&amp;L Summary'!$B$24+'P&amp;L Summary'!$B$25+'P&amp;L Summary'!$B$26+'P&amp;L Summary'!$B$27+'P&amp;L Summary'!$B$28+'P&amp;L Summary'!$B$29+'P&amp;L Summary'!$B$30+'P&amp;L Summary'!$B$31+'P&amp;L Summary'!$B$32+'P&amp;L Summary'!$B$33+'P&amp;L Summary'!$B$34+'P&amp;L Summary'!$B$35+'P&amp;L Summary'!$B$36+'P&amp;L Summary'!$B$37+'P&amp;L Summary'!$B$38+'P&amp;L Summary'!$B$39+'P&amp;L Summary'!$B$40+'P&amp;L Summary'!$B$41+'P&amp;L Summary'!$B$42</f>
        <v>13510202</v>
      </c>
      <c r="C43" s="12"/>
      <c r="D43" s="12"/>
    </row>
    <row r="45" customFormat="false" ht="15" hidden="false" customHeight="true" outlineLevel="0" collapsed="false">
      <c r="A45" s="8" t="s">
        <v>157</v>
      </c>
      <c r="B45" s="9"/>
      <c r="C45" s="9"/>
      <c r="D45" s="9"/>
    </row>
    <row r="46" customFormat="false" ht="15" hidden="false" customHeight="true" outlineLevel="0" collapsed="false">
      <c r="A46" s="6" t="s">
        <v>158</v>
      </c>
      <c r="B46" s="17" t="n">
        <f aca="false">'P&amp;L Summary'!$B$18+'P&amp;L Summary'!$B$43</f>
        <v>13510202</v>
      </c>
      <c r="C46" s="12"/>
      <c r="D46" s="12"/>
    </row>
    <row r="47" customFormat="false" ht="15" hidden="false" customHeight="true" outlineLevel="0" collapsed="false">
      <c r="A47" s="10" t="s">
        <v>159</v>
      </c>
      <c r="B47" s="11" t="n">
        <f aca="false">'P&amp;L Summary'!$B$5-'P&amp;L Summary'!$B$46</f>
        <v>502129</v>
      </c>
      <c r="C47" s="12"/>
      <c r="D47" s="12"/>
    </row>
    <row r="49" customFormat="false" ht="15" hidden="false" customHeight="true" outlineLevel="0" collapsed="false">
      <c r="A49" s="8" t="s">
        <v>160</v>
      </c>
      <c r="B49" s="9"/>
      <c r="C49" s="9"/>
      <c r="D49" s="9"/>
    </row>
    <row r="50" customFormat="false" ht="15" hidden="false" customHeight="true" outlineLevel="0" collapsed="false">
      <c r="A50" s="14" t="s">
        <v>161</v>
      </c>
      <c r="B50" s="15" t="n">
        <f aca="false">Directors!$B$11</f>
        <v>457907</v>
      </c>
      <c r="C50" s="12"/>
      <c r="D50" s="12"/>
    </row>
    <row r="52" customFormat="false" ht="15" hidden="false" customHeight="true" outlineLevel="0" collapsed="false">
      <c r="A52" s="8" t="s">
        <v>162</v>
      </c>
      <c r="B52" s="9"/>
      <c r="C52" s="9"/>
      <c r="D52" s="9"/>
    </row>
    <row r="53" customFormat="false" ht="15" hidden="false" customHeight="true" outlineLevel="0" collapsed="false">
      <c r="A53" s="10" t="s">
        <v>163</v>
      </c>
      <c r="B53" s="11" t="n">
        <f aca="false">'P&amp;L Summary'!$B$47-Directors!$B$11</f>
        <v>44222</v>
      </c>
      <c r="C53" s="12"/>
      <c r="D53" s="12"/>
    </row>
    <row r="55" customFormat="false" ht="15" hidden="false" customHeight="true" outlineLevel="0" collapsed="false">
      <c r="A55" s="8" t="s">
        <v>164</v>
      </c>
      <c r="B55" s="9"/>
      <c r="C55" s="9"/>
      <c r="D55" s="9"/>
    </row>
    <row r="56" customFormat="false" ht="15" hidden="false" customHeight="true" outlineLevel="0" collapsed="false">
      <c r="A56" s="12" t="s">
        <v>165</v>
      </c>
      <c r="B56" s="13" t="n">
        <f aca="false">Sales!$G$3010</f>
        <v>14012331</v>
      </c>
      <c r="C56" s="12"/>
      <c r="D56" s="12"/>
    </row>
    <row r="57" customFormat="false" ht="15" hidden="false" customHeight="true" outlineLevel="0" collapsed="false">
      <c r="A57" s="12" t="s">
        <v>166</v>
      </c>
      <c r="B57" s="13" t="n">
        <f aca="false">-SUM('Expense Entry'!$P$5:$P$6000)</f>
        <v>13510202</v>
      </c>
      <c r="C57" s="12"/>
      <c r="D57" s="12"/>
    </row>
    <row r="58" customFormat="false" ht="15" hidden="false" customHeight="true" outlineLevel="0" collapsed="false">
      <c r="A58" s="6" t="s">
        <v>167</v>
      </c>
      <c r="B58" s="17" t="n">
        <f aca="false">Sales!$G$3010+SUM('Expense Entry'!$P$5:$P$6000)</f>
        <v>502129</v>
      </c>
      <c r="C58" s="12"/>
      <c r="D58" s="12"/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30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2" style="1" width="13"/>
    <col collapsed="false" customWidth="true" hidden="false" outlineLevel="0" max="7" min="7" style="1" width="14"/>
    <col collapsed="false" customWidth="true" hidden="false" outlineLevel="0" max="8" min="8" style="1" width="28"/>
  </cols>
  <sheetData>
    <row r="1" customFormat="false" ht="21.75" hidden="false" customHeight="true" outlineLevel="0" collapsed="false">
      <c r="A1" s="4" t="s">
        <v>168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169</v>
      </c>
      <c r="B2" s="5"/>
      <c r="C2" s="5"/>
      <c r="D2" s="5"/>
      <c r="E2" s="5"/>
      <c r="F2" s="5"/>
      <c r="G2" s="5"/>
      <c r="H2" s="5"/>
    </row>
    <row r="4" customFormat="false" ht="15" hidden="false" customHeight="true" outlineLevel="0" collapsed="false">
      <c r="A4" s="18" t="s">
        <v>170</v>
      </c>
      <c r="B4" s="18" t="s">
        <v>171</v>
      </c>
      <c r="C4" s="18" t="s">
        <v>172</v>
      </c>
      <c r="D4" s="18" t="s">
        <v>173</v>
      </c>
      <c r="E4" s="18" t="s">
        <v>174</v>
      </c>
      <c r="F4" s="18" t="s">
        <v>175</v>
      </c>
      <c r="G4" s="18" t="s">
        <v>176</v>
      </c>
      <c r="H4" s="18" t="s">
        <v>177</v>
      </c>
    </row>
    <row r="5" customFormat="false" ht="15" hidden="false" customHeight="true" outlineLevel="0" collapsed="false">
      <c r="A5" s="19" t="n">
        <v>46266</v>
      </c>
      <c r="B5" s="13" t="n">
        <v>240340</v>
      </c>
      <c r="C5" s="13" t="n">
        <v>30409</v>
      </c>
      <c r="D5" s="13" t="n">
        <v>158049</v>
      </c>
      <c r="E5" s="13" t="n">
        <v>8036</v>
      </c>
      <c r="F5" s="13" t="n">
        <v>0</v>
      </c>
      <c r="G5" s="13" t="n">
        <f aca="false">IF($A5="","",SUM($B5:$F5))</f>
        <v>436834</v>
      </c>
      <c r="H5" s="12"/>
    </row>
    <row r="6" customFormat="false" ht="15" hidden="false" customHeight="true" outlineLevel="0" collapsed="false">
      <c r="A6" s="19" t="n">
        <v>46267</v>
      </c>
      <c r="B6" s="13" t="n">
        <v>205739</v>
      </c>
      <c r="C6" s="13" t="n">
        <v>14835</v>
      </c>
      <c r="D6" s="13" t="n">
        <v>204614</v>
      </c>
      <c r="E6" s="13" t="n">
        <v>10100</v>
      </c>
      <c r="F6" s="13" t="n">
        <v>0</v>
      </c>
      <c r="G6" s="13" t="n">
        <f aca="false">IF($A6="","",SUM($B6:$F6))</f>
        <v>435288</v>
      </c>
      <c r="H6" s="12"/>
    </row>
    <row r="7" customFormat="false" ht="15" hidden="false" customHeight="true" outlineLevel="0" collapsed="false">
      <c r="A7" s="19" t="n">
        <v>46268</v>
      </c>
      <c r="B7" s="13" t="n">
        <v>234024</v>
      </c>
      <c r="C7" s="13" t="n">
        <v>23937</v>
      </c>
      <c r="D7" s="13" t="n">
        <v>220615</v>
      </c>
      <c r="E7" s="13" t="n">
        <v>3500</v>
      </c>
      <c r="F7" s="13" t="n">
        <v>0</v>
      </c>
      <c r="G7" s="13" t="n">
        <f aca="false">IF($A7="","",SUM($B7:$F7))</f>
        <v>482076</v>
      </c>
      <c r="H7" s="12"/>
    </row>
    <row r="8" customFormat="false" ht="15" hidden="false" customHeight="true" outlineLevel="0" collapsed="false">
      <c r="A8" s="19" t="n">
        <v>46269</v>
      </c>
      <c r="B8" s="13" t="n">
        <v>310832</v>
      </c>
      <c r="C8" s="13" t="n">
        <v>29420</v>
      </c>
      <c r="D8" s="13" t="n">
        <v>183524</v>
      </c>
      <c r="E8" s="13" t="n">
        <v>3589</v>
      </c>
      <c r="F8" s="13" t="n">
        <v>0</v>
      </c>
      <c r="G8" s="13" t="n">
        <f aca="false">IF($A8="","",SUM($B8:$F8))</f>
        <v>527365</v>
      </c>
      <c r="H8" s="12"/>
    </row>
    <row r="9" customFormat="false" ht="15" hidden="false" customHeight="true" outlineLevel="0" collapsed="false">
      <c r="A9" s="19" t="n">
        <v>46270</v>
      </c>
      <c r="B9" s="13" t="n">
        <v>243677</v>
      </c>
      <c r="C9" s="13" t="n">
        <v>32128</v>
      </c>
      <c r="D9" s="13" t="n">
        <v>211739</v>
      </c>
      <c r="E9" s="13" t="n">
        <v>12056</v>
      </c>
      <c r="F9" s="13" t="n">
        <v>0</v>
      </c>
      <c r="G9" s="13" t="n">
        <f aca="false">IF($A9="","",SUM($B9:$F9))</f>
        <v>499600</v>
      </c>
      <c r="H9" s="12"/>
    </row>
    <row r="10" customFormat="false" ht="15" hidden="false" customHeight="true" outlineLevel="0" collapsed="false">
      <c r="A10" s="19" t="n">
        <v>46271</v>
      </c>
      <c r="B10" s="13" t="n">
        <v>254640</v>
      </c>
      <c r="C10" s="13" t="n">
        <v>29168</v>
      </c>
      <c r="D10" s="13" t="n">
        <v>218888</v>
      </c>
      <c r="E10" s="13" t="n">
        <v>8898</v>
      </c>
      <c r="F10" s="13" t="n">
        <v>0</v>
      </c>
      <c r="G10" s="13" t="n">
        <f aca="false">IF($A10="","",SUM($B10:$F10))</f>
        <v>511594</v>
      </c>
      <c r="H10" s="12"/>
    </row>
    <row r="11" customFormat="false" ht="15" hidden="false" customHeight="true" outlineLevel="0" collapsed="false">
      <c r="A11" s="19" t="n">
        <v>46272</v>
      </c>
      <c r="B11" s="13" t="n">
        <v>258529</v>
      </c>
      <c r="C11" s="13" t="n">
        <v>39810</v>
      </c>
      <c r="D11" s="13" t="n">
        <v>135797</v>
      </c>
      <c r="E11" s="13" t="n">
        <v>9768</v>
      </c>
      <c r="F11" s="13" t="n">
        <v>22087</v>
      </c>
      <c r="G11" s="13" t="n">
        <f aca="false">IF($A11="","",SUM($B11:$F11))</f>
        <v>465991</v>
      </c>
      <c r="H11" s="12"/>
    </row>
    <row r="12" customFormat="false" ht="15" hidden="false" customHeight="true" outlineLevel="0" collapsed="false">
      <c r="A12" s="19" t="n">
        <v>46273</v>
      </c>
      <c r="B12" s="13" t="n">
        <v>245296</v>
      </c>
      <c r="C12" s="13" t="n">
        <v>30606</v>
      </c>
      <c r="D12" s="13" t="n">
        <v>146125</v>
      </c>
      <c r="E12" s="13" t="n">
        <v>1829</v>
      </c>
      <c r="F12" s="13" t="n">
        <v>8318</v>
      </c>
      <c r="G12" s="13" t="n">
        <f aca="false">IF($A12="","",SUM($B12:$F12))</f>
        <v>432174</v>
      </c>
      <c r="H12" s="12"/>
    </row>
    <row r="13" customFormat="false" ht="15" hidden="false" customHeight="true" outlineLevel="0" collapsed="false">
      <c r="A13" s="19" t="n">
        <v>46274</v>
      </c>
      <c r="B13" s="13" t="n">
        <v>216540</v>
      </c>
      <c r="C13" s="13" t="n">
        <v>38433</v>
      </c>
      <c r="D13" s="13" t="n">
        <v>142018</v>
      </c>
      <c r="E13" s="13" t="n">
        <v>7358</v>
      </c>
      <c r="F13" s="13" t="n">
        <v>32990</v>
      </c>
      <c r="G13" s="13" t="n">
        <f aca="false">IF($A13="","",SUM($B13:$F13))</f>
        <v>437339</v>
      </c>
      <c r="H13" s="12"/>
    </row>
    <row r="14" customFormat="false" ht="15" hidden="false" customHeight="true" outlineLevel="0" collapsed="false">
      <c r="A14" s="19" t="n">
        <v>46275</v>
      </c>
      <c r="B14" s="13" t="n">
        <v>257101</v>
      </c>
      <c r="C14" s="13" t="n">
        <v>27110</v>
      </c>
      <c r="D14" s="13" t="n">
        <v>124540</v>
      </c>
      <c r="E14" s="13" t="n">
        <v>10017</v>
      </c>
      <c r="F14" s="13" t="n">
        <v>11118</v>
      </c>
      <c r="G14" s="13" t="n">
        <f aca="false">IF($A14="","",SUM($B14:$F14))</f>
        <v>429886</v>
      </c>
      <c r="H14" s="12"/>
    </row>
    <row r="15" customFormat="false" ht="15" hidden="false" customHeight="true" outlineLevel="0" collapsed="false">
      <c r="A15" s="19" t="n">
        <v>46276</v>
      </c>
      <c r="B15" s="13" t="n">
        <v>372389</v>
      </c>
      <c r="C15" s="13" t="n">
        <v>26793</v>
      </c>
      <c r="D15" s="13" t="n">
        <v>171079</v>
      </c>
      <c r="E15" s="13" t="n">
        <v>4167</v>
      </c>
      <c r="F15" s="13" t="n">
        <v>36299</v>
      </c>
      <c r="G15" s="13" t="n">
        <f aca="false">IF($A15="","",SUM($B15:$F15))</f>
        <v>610727</v>
      </c>
      <c r="H15" s="12"/>
    </row>
    <row r="16" customFormat="false" ht="15" hidden="false" customHeight="true" outlineLevel="0" collapsed="false">
      <c r="A16" s="19" t="n">
        <v>46277</v>
      </c>
      <c r="B16" s="13" t="n">
        <v>246019</v>
      </c>
      <c r="C16" s="13" t="n">
        <v>30190</v>
      </c>
      <c r="D16" s="13" t="n">
        <v>200757</v>
      </c>
      <c r="E16" s="13" t="n">
        <v>9705</v>
      </c>
      <c r="F16" s="13" t="n">
        <v>29264</v>
      </c>
      <c r="G16" s="13" t="n">
        <f aca="false">IF($A16="","",SUM($B16:$F16))</f>
        <v>515935</v>
      </c>
      <c r="H16" s="12"/>
    </row>
    <row r="17" customFormat="false" ht="15" hidden="false" customHeight="true" outlineLevel="0" collapsed="false">
      <c r="A17" s="19" t="n">
        <v>46278</v>
      </c>
      <c r="B17" s="13" t="n">
        <v>289133</v>
      </c>
      <c r="C17" s="13" t="n">
        <v>29757</v>
      </c>
      <c r="D17" s="13" t="n">
        <v>226965</v>
      </c>
      <c r="E17" s="13" t="n">
        <v>11671</v>
      </c>
      <c r="F17" s="13" t="n">
        <v>30395</v>
      </c>
      <c r="G17" s="13" t="n">
        <f aca="false">IF($A17="","",SUM($B17:$F17))</f>
        <v>587921</v>
      </c>
      <c r="H17" s="12"/>
    </row>
    <row r="18" customFormat="false" ht="15" hidden="false" customHeight="true" outlineLevel="0" collapsed="false">
      <c r="A18" s="19" t="n">
        <v>46279</v>
      </c>
      <c r="B18" s="13" t="n">
        <v>252863</v>
      </c>
      <c r="C18" s="13" t="n">
        <v>23384</v>
      </c>
      <c r="D18" s="13" t="n">
        <v>143344</v>
      </c>
      <c r="E18" s="13" t="n">
        <v>5427</v>
      </c>
      <c r="F18" s="13" t="n">
        <v>14031</v>
      </c>
      <c r="G18" s="13" t="n">
        <f aca="false">IF($A18="","",SUM($B18:$F18))</f>
        <v>439049</v>
      </c>
      <c r="H18" s="12"/>
    </row>
    <row r="19" customFormat="false" ht="15" hidden="false" customHeight="true" outlineLevel="0" collapsed="false">
      <c r="A19" s="19" t="n">
        <v>46280</v>
      </c>
      <c r="B19" s="13" t="n">
        <v>250325</v>
      </c>
      <c r="C19" s="13" t="n">
        <v>31697</v>
      </c>
      <c r="D19" s="13" t="n">
        <v>114293</v>
      </c>
      <c r="E19" s="13" t="n">
        <v>6776</v>
      </c>
      <c r="F19" s="13" t="n">
        <v>29123</v>
      </c>
      <c r="G19" s="13" t="n">
        <f aca="false">IF($A19="","",SUM($B19:$F19))</f>
        <v>432214</v>
      </c>
      <c r="H19" s="12"/>
    </row>
    <row r="20" customFormat="false" ht="15" hidden="false" customHeight="true" outlineLevel="0" collapsed="false">
      <c r="A20" s="19" t="n">
        <v>46281</v>
      </c>
      <c r="B20" s="13" t="n">
        <v>200012</v>
      </c>
      <c r="C20" s="13" t="n">
        <v>25494</v>
      </c>
      <c r="D20" s="13" t="n">
        <v>89935</v>
      </c>
      <c r="E20" s="13" t="n">
        <v>5929</v>
      </c>
      <c r="F20" s="13" t="n">
        <v>21812</v>
      </c>
      <c r="G20" s="13" t="n">
        <f aca="false">IF($A20="","",SUM($B20:$F20))</f>
        <v>343182</v>
      </c>
      <c r="H20" s="12"/>
    </row>
    <row r="21" customFormat="false" ht="15" hidden="false" customHeight="true" outlineLevel="0" collapsed="false">
      <c r="A21" s="19" t="n">
        <v>46282</v>
      </c>
      <c r="B21" s="13" t="n">
        <v>186819</v>
      </c>
      <c r="C21" s="13" t="n">
        <v>10005</v>
      </c>
      <c r="D21" s="13" t="n">
        <v>146868</v>
      </c>
      <c r="E21" s="13" t="n">
        <v>8383</v>
      </c>
      <c r="F21" s="13" t="n">
        <v>16068</v>
      </c>
      <c r="G21" s="13" t="n">
        <f aca="false">IF($A21="","",SUM($B21:$F21))</f>
        <v>368143</v>
      </c>
      <c r="H21" s="12"/>
    </row>
    <row r="22" customFormat="false" ht="15" hidden="false" customHeight="true" outlineLevel="0" collapsed="false">
      <c r="A22" s="19" t="n">
        <v>46283</v>
      </c>
      <c r="B22" s="13" t="n">
        <v>264439</v>
      </c>
      <c r="C22" s="13" t="n">
        <v>48163</v>
      </c>
      <c r="D22" s="13" t="n">
        <v>224781</v>
      </c>
      <c r="E22" s="13" t="n">
        <v>10830</v>
      </c>
      <c r="F22" s="13" t="n">
        <v>16402</v>
      </c>
      <c r="G22" s="13" t="n">
        <f aca="false">IF($A22="","",SUM($B22:$F22))</f>
        <v>564615</v>
      </c>
      <c r="H22" s="12"/>
    </row>
    <row r="23" customFormat="false" ht="15" hidden="false" customHeight="true" outlineLevel="0" collapsed="false">
      <c r="A23" s="19" t="n">
        <v>46284</v>
      </c>
      <c r="B23" s="13" t="n">
        <v>281419</v>
      </c>
      <c r="C23" s="13" t="n">
        <v>37975</v>
      </c>
      <c r="D23" s="13" t="n">
        <v>153529</v>
      </c>
      <c r="E23" s="13" t="n">
        <v>4992</v>
      </c>
      <c r="F23" s="13" t="n">
        <v>31348</v>
      </c>
      <c r="G23" s="13" t="n">
        <f aca="false">IF($A23="","",SUM($B23:$F23))</f>
        <v>509263</v>
      </c>
      <c r="H23" s="12"/>
    </row>
    <row r="24" customFormat="false" ht="15" hidden="false" customHeight="true" outlineLevel="0" collapsed="false">
      <c r="A24" s="19" t="n">
        <v>46285</v>
      </c>
      <c r="B24" s="13" t="n">
        <v>265387</v>
      </c>
      <c r="C24" s="13" t="n">
        <v>47742</v>
      </c>
      <c r="D24" s="13" t="n">
        <v>190943</v>
      </c>
      <c r="E24" s="13" t="n">
        <v>8224</v>
      </c>
      <c r="F24" s="13" t="n">
        <v>30810</v>
      </c>
      <c r="G24" s="13" t="n">
        <f aca="false">IF($A24="","",SUM($B24:$F24))</f>
        <v>543106</v>
      </c>
      <c r="H24" s="12"/>
    </row>
    <row r="25" customFormat="false" ht="15" hidden="false" customHeight="true" outlineLevel="0" collapsed="false">
      <c r="A25" s="19" t="n">
        <v>46286</v>
      </c>
      <c r="B25" s="13" t="n">
        <v>220218</v>
      </c>
      <c r="C25" s="13" t="n">
        <v>28319</v>
      </c>
      <c r="D25" s="13" t="n">
        <v>115655</v>
      </c>
      <c r="E25" s="13" t="n">
        <v>1976</v>
      </c>
      <c r="F25" s="13" t="n">
        <v>16943</v>
      </c>
      <c r="G25" s="13" t="n">
        <f aca="false">IF($A25="","",SUM($B25:$F25))</f>
        <v>383111</v>
      </c>
      <c r="H25" s="12"/>
    </row>
    <row r="26" customFormat="false" ht="15" hidden="false" customHeight="true" outlineLevel="0" collapsed="false">
      <c r="A26" s="19" t="n">
        <v>46287</v>
      </c>
      <c r="B26" s="13" t="n">
        <v>215285</v>
      </c>
      <c r="C26" s="13" t="n">
        <v>24388</v>
      </c>
      <c r="D26" s="13" t="n">
        <v>133057</v>
      </c>
      <c r="E26" s="13" t="n">
        <v>4626</v>
      </c>
      <c r="F26" s="13" t="n">
        <v>35663</v>
      </c>
      <c r="G26" s="13" t="n">
        <f aca="false">IF($A26="","",SUM($B26:$F26))</f>
        <v>413019</v>
      </c>
      <c r="H26" s="12"/>
    </row>
    <row r="27" customFormat="false" ht="15" hidden="false" customHeight="true" outlineLevel="0" collapsed="false">
      <c r="A27" s="19" t="n">
        <v>46288</v>
      </c>
      <c r="B27" s="13" t="n">
        <v>245858</v>
      </c>
      <c r="C27" s="13" t="n">
        <v>21060</v>
      </c>
      <c r="D27" s="13" t="n">
        <v>147488</v>
      </c>
      <c r="E27" s="13" t="n">
        <v>9559</v>
      </c>
      <c r="F27" s="13" t="n">
        <v>32861</v>
      </c>
      <c r="G27" s="13" t="n">
        <f aca="false">IF($A27="","",SUM($B27:$F27))</f>
        <v>456826</v>
      </c>
      <c r="H27" s="12"/>
    </row>
    <row r="28" customFormat="false" ht="15" hidden="false" customHeight="true" outlineLevel="0" collapsed="false">
      <c r="A28" s="19" t="n">
        <v>46289</v>
      </c>
      <c r="B28" s="13" t="n">
        <v>318735</v>
      </c>
      <c r="C28" s="13" t="n">
        <v>36698</v>
      </c>
      <c r="D28" s="13" t="n">
        <v>158685</v>
      </c>
      <c r="E28" s="13" t="n">
        <v>8311</v>
      </c>
      <c r="F28" s="13" t="n">
        <v>37195</v>
      </c>
      <c r="G28" s="13" t="n">
        <f aca="false">IF($A28="","",SUM($B28:$F28))</f>
        <v>559624</v>
      </c>
      <c r="H28" s="12"/>
    </row>
    <row r="29" customFormat="false" ht="15" hidden="false" customHeight="true" outlineLevel="0" collapsed="false">
      <c r="A29" s="19" t="n">
        <v>46290</v>
      </c>
      <c r="B29" s="13" t="n">
        <v>248420</v>
      </c>
      <c r="C29" s="13" t="n">
        <v>30309</v>
      </c>
      <c r="D29" s="13" t="n">
        <v>138017</v>
      </c>
      <c r="E29" s="13" t="n">
        <v>7955</v>
      </c>
      <c r="F29" s="13" t="n">
        <v>21796</v>
      </c>
      <c r="G29" s="13" t="n">
        <f aca="false">IF($A29="","",SUM($B29:$F29))</f>
        <v>446497</v>
      </c>
      <c r="H29" s="12"/>
    </row>
    <row r="30" customFormat="false" ht="15" hidden="false" customHeight="true" outlineLevel="0" collapsed="false">
      <c r="A30" s="19" t="n">
        <v>46291</v>
      </c>
      <c r="B30" s="13" t="n">
        <v>254689</v>
      </c>
      <c r="C30" s="13" t="n">
        <v>54259</v>
      </c>
      <c r="D30" s="13" t="n">
        <v>148335</v>
      </c>
      <c r="E30" s="13" t="n">
        <v>7553</v>
      </c>
      <c r="F30" s="13" t="n">
        <v>22538</v>
      </c>
      <c r="G30" s="13" t="n">
        <f aca="false">IF($A30="","",SUM($B30:$F30))</f>
        <v>487374</v>
      </c>
      <c r="H30" s="12"/>
    </row>
    <row r="31" customFormat="false" ht="15" hidden="false" customHeight="true" outlineLevel="0" collapsed="false">
      <c r="A31" s="19" t="n">
        <v>46292</v>
      </c>
      <c r="B31" s="13" t="n">
        <v>293217</v>
      </c>
      <c r="C31" s="13" t="n">
        <v>15055</v>
      </c>
      <c r="D31" s="13" t="n">
        <v>174494</v>
      </c>
      <c r="E31" s="13" t="n">
        <v>6790</v>
      </c>
      <c r="F31" s="13" t="n">
        <v>25234</v>
      </c>
      <c r="G31" s="13" t="n">
        <f aca="false">IF($A31="","",SUM($B31:$F31))</f>
        <v>514790</v>
      </c>
      <c r="H31" s="12"/>
    </row>
    <row r="32" customFormat="false" ht="15" hidden="false" customHeight="true" outlineLevel="0" collapsed="false">
      <c r="A32" s="19" t="n">
        <v>46293</v>
      </c>
      <c r="B32" s="13" t="n">
        <v>168424</v>
      </c>
      <c r="C32" s="13" t="n">
        <v>30763</v>
      </c>
      <c r="D32" s="13" t="n">
        <v>130000</v>
      </c>
      <c r="E32" s="13" t="n">
        <v>8883</v>
      </c>
      <c r="F32" s="13" t="n">
        <v>12956</v>
      </c>
      <c r="G32" s="13" t="n">
        <f aca="false">IF($A32="","",SUM($B32:$F32))</f>
        <v>351026</v>
      </c>
      <c r="H32" s="12"/>
    </row>
    <row r="33" customFormat="false" ht="15" hidden="false" customHeight="true" outlineLevel="0" collapsed="false">
      <c r="A33" s="19" t="n">
        <v>46294</v>
      </c>
      <c r="B33" s="13" t="n">
        <v>402974</v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f aca="false">IF($A33="","",SUM($B33:$F33))</f>
        <v>402974</v>
      </c>
      <c r="H33" s="12" t="s">
        <v>178</v>
      </c>
    </row>
    <row r="34" customFormat="false" ht="15" hidden="false" customHeight="true" outlineLevel="0" collapsed="false">
      <c r="A34" s="19" t="n">
        <v>46295</v>
      </c>
      <c r="B34" s="13" t="n">
        <v>424788</v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f aca="false">IF($A34="","",SUM($B34:$F34))</f>
        <v>424788</v>
      </c>
      <c r="H34" s="12" t="s">
        <v>178</v>
      </c>
    </row>
    <row r="35" customFormat="false" ht="15" hidden="false" customHeight="true" outlineLevel="0" collapsed="false">
      <c r="A35" s="19"/>
      <c r="B35" s="13"/>
      <c r="C35" s="13"/>
      <c r="D35" s="13"/>
      <c r="E35" s="13"/>
      <c r="F35" s="13"/>
      <c r="G35" s="13" t="str">
        <f aca="false">IF($A35="","",SUM($B35:$F35))</f>
        <v/>
      </c>
      <c r="H35" s="12"/>
    </row>
    <row r="36" customFormat="false" ht="15" hidden="false" customHeight="true" outlineLevel="0" collapsed="false">
      <c r="A36" s="19"/>
      <c r="B36" s="13"/>
      <c r="C36" s="13"/>
      <c r="D36" s="13"/>
      <c r="E36" s="13"/>
      <c r="F36" s="13"/>
      <c r="G36" s="13" t="str">
        <f aca="false">IF($A36="","",SUM($B36:$F36))</f>
        <v/>
      </c>
      <c r="H36" s="12"/>
    </row>
    <row r="37" customFormat="false" ht="15" hidden="false" customHeight="true" outlineLevel="0" collapsed="false">
      <c r="A37" s="19"/>
      <c r="B37" s="13"/>
      <c r="C37" s="13"/>
      <c r="D37" s="13"/>
      <c r="E37" s="13"/>
      <c r="F37" s="13"/>
      <c r="G37" s="13" t="str">
        <f aca="false">IF($A37="","",SUM($B37:$F37))</f>
        <v/>
      </c>
      <c r="H37" s="12"/>
    </row>
    <row r="38" customFormat="false" ht="15" hidden="false" customHeight="true" outlineLevel="0" collapsed="false">
      <c r="A38" s="19"/>
      <c r="B38" s="13"/>
      <c r="C38" s="13"/>
      <c r="D38" s="13"/>
      <c r="E38" s="13"/>
      <c r="F38" s="13"/>
      <c r="G38" s="13" t="str">
        <f aca="false">IF($A38="","",SUM($B38:$F38))</f>
        <v/>
      </c>
      <c r="H38" s="12"/>
    </row>
    <row r="39" customFormat="false" ht="15" hidden="false" customHeight="true" outlineLevel="0" collapsed="false">
      <c r="A39" s="19"/>
      <c r="B39" s="13"/>
      <c r="C39" s="13"/>
      <c r="D39" s="13"/>
      <c r="E39" s="13"/>
      <c r="F39" s="13"/>
      <c r="G39" s="13" t="str">
        <f aca="false">IF($A39="","",SUM($B39:$F39))</f>
        <v/>
      </c>
      <c r="H39" s="12"/>
    </row>
    <row r="40" customFormat="false" ht="15" hidden="false" customHeight="true" outlineLevel="0" collapsed="false">
      <c r="A40" s="19"/>
      <c r="B40" s="13"/>
      <c r="C40" s="13"/>
      <c r="D40" s="13"/>
      <c r="E40" s="13"/>
      <c r="F40" s="13"/>
      <c r="G40" s="13" t="str">
        <f aca="false">IF($A40="","",SUM($B40:$F40))</f>
        <v/>
      </c>
      <c r="H40" s="12"/>
    </row>
    <row r="41" customFormat="false" ht="15" hidden="false" customHeight="true" outlineLevel="0" collapsed="false">
      <c r="A41" s="19"/>
      <c r="B41" s="13"/>
      <c r="C41" s="13"/>
      <c r="D41" s="13"/>
      <c r="E41" s="13"/>
      <c r="F41" s="13"/>
      <c r="G41" s="13" t="str">
        <f aca="false">IF($A41="","",SUM($B41:$F41))</f>
        <v/>
      </c>
      <c r="H41" s="12"/>
    </row>
    <row r="42" customFormat="false" ht="15" hidden="false" customHeight="true" outlineLevel="0" collapsed="false">
      <c r="A42" s="19"/>
      <c r="B42" s="13"/>
      <c r="C42" s="13"/>
      <c r="D42" s="13"/>
      <c r="E42" s="13"/>
      <c r="F42" s="13"/>
      <c r="G42" s="13" t="str">
        <f aca="false">IF($A42="","",SUM($B42:$F42))</f>
        <v/>
      </c>
      <c r="H42" s="12"/>
    </row>
    <row r="43" customFormat="false" ht="15" hidden="false" customHeight="true" outlineLevel="0" collapsed="false">
      <c r="A43" s="19"/>
      <c r="B43" s="13"/>
      <c r="C43" s="13"/>
      <c r="D43" s="13"/>
      <c r="E43" s="13"/>
      <c r="F43" s="13"/>
      <c r="G43" s="13" t="str">
        <f aca="false">IF($A43="","",SUM($B43:$F43))</f>
        <v/>
      </c>
      <c r="H43" s="12"/>
    </row>
    <row r="44" customFormat="false" ht="15" hidden="false" customHeight="true" outlineLevel="0" collapsed="false">
      <c r="A44" s="19"/>
      <c r="B44" s="13"/>
      <c r="C44" s="13"/>
      <c r="D44" s="13"/>
      <c r="E44" s="13"/>
      <c r="F44" s="13"/>
      <c r="G44" s="13" t="str">
        <f aca="false">IF($A44="","",SUM($B44:$F44))</f>
        <v/>
      </c>
      <c r="H44" s="12"/>
    </row>
    <row r="45" customFormat="false" ht="15" hidden="false" customHeight="true" outlineLevel="0" collapsed="false">
      <c r="A45" s="19"/>
      <c r="B45" s="13"/>
      <c r="C45" s="13"/>
      <c r="D45" s="13"/>
      <c r="E45" s="13"/>
      <c r="F45" s="13"/>
      <c r="G45" s="13" t="str">
        <f aca="false">IF($A45="","",SUM($B45:$F45))</f>
        <v/>
      </c>
      <c r="H45" s="12"/>
    </row>
    <row r="46" customFormat="false" ht="15" hidden="false" customHeight="true" outlineLevel="0" collapsed="false">
      <c r="A46" s="19"/>
      <c r="B46" s="13"/>
      <c r="C46" s="13"/>
      <c r="D46" s="13"/>
      <c r="E46" s="13"/>
      <c r="F46" s="13"/>
      <c r="G46" s="13" t="str">
        <f aca="false">IF($A46="","",SUM($B46:$F46))</f>
        <v/>
      </c>
      <c r="H46" s="12"/>
    </row>
    <row r="47" customFormat="false" ht="15" hidden="false" customHeight="true" outlineLevel="0" collapsed="false">
      <c r="A47" s="19"/>
      <c r="B47" s="13"/>
      <c r="C47" s="13"/>
      <c r="D47" s="13"/>
      <c r="E47" s="13"/>
      <c r="F47" s="13"/>
      <c r="G47" s="13" t="str">
        <f aca="false">IF($A47="","",SUM($B47:$F47))</f>
        <v/>
      </c>
      <c r="H47" s="12"/>
    </row>
    <row r="48" customFormat="false" ht="15" hidden="false" customHeight="true" outlineLevel="0" collapsed="false">
      <c r="A48" s="19"/>
      <c r="B48" s="13"/>
      <c r="C48" s="13"/>
      <c r="D48" s="13"/>
      <c r="E48" s="13"/>
      <c r="F48" s="13"/>
      <c r="G48" s="13" t="str">
        <f aca="false">IF($A48="","",SUM($B48:$F48))</f>
        <v/>
      </c>
      <c r="H48" s="12"/>
    </row>
    <row r="49" customFormat="false" ht="15" hidden="false" customHeight="true" outlineLevel="0" collapsed="false">
      <c r="A49" s="19"/>
      <c r="B49" s="13"/>
      <c r="C49" s="13"/>
      <c r="D49" s="13"/>
      <c r="E49" s="13"/>
      <c r="F49" s="13"/>
      <c r="G49" s="13" t="str">
        <f aca="false">IF($A49="","",SUM($B49:$F49))</f>
        <v/>
      </c>
      <c r="H49" s="12"/>
    </row>
    <row r="50" customFormat="false" ht="15" hidden="false" customHeight="true" outlineLevel="0" collapsed="false">
      <c r="A50" s="19"/>
      <c r="B50" s="13"/>
      <c r="C50" s="13"/>
      <c r="D50" s="13"/>
      <c r="E50" s="13"/>
      <c r="F50" s="13"/>
      <c r="G50" s="13" t="str">
        <f aca="false">IF($A50="","",SUM($B50:$F50))</f>
        <v/>
      </c>
      <c r="H50" s="12"/>
    </row>
    <row r="51" customFormat="false" ht="15" hidden="false" customHeight="true" outlineLevel="0" collapsed="false">
      <c r="A51" s="19"/>
      <c r="B51" s="13"/>
      <c r="C51" s="13"/>
      <c r="D51" s="13"/>
      <c r="E51" s="13"/>
      <c r="F51" s="13"/>
      <c r="G51" s="13" t="str">
        <f aca="false">IF($A51="","",SUM($B51:$F51))</f>
        <v/>
      </c>
      <c r="H51" s="12"/>
    </row>
    <row r="52" customFormat="false" ht="15" hidden="false" customHeight="true" outlineLevel="0" collapsed="false">
      <c r="A52" s="19"/>
      <c r="B52" s="13"/>
      <c r="C52" s="13"/>
      <c r="D52" s="13"/>
      <c r="E52" s="13"/>
      <c r="F52" s="13"/>
      <c r="G52" s="13" t="str">
        <f aca="false">IF($A52="","",SUM($B52:$F52))</f>
        <v/>
      </c>
      <c r="H52" s="12"/>
    </row>
    <row r="53" customFormat="false" ht="15" hidden="false" customHeight="true" outlineLevel="0" collapsed="false">
      <c r="A53" s="19"/>
      <c r="B53" s="13"/>
      <c r="C53" s="13"/>
      <c r="D53" s="13"/>
      <c r="E53" s="13"/>
      <c r="F53" s="13"/>
      <c r="G53" s="13" t="str">
        <f aca="false">IF($A53="","",SUM($B53:$F53))</f>
        <v/>
      </c>
      <c r="H53" s="12"/>
    </row>
    <row r="54" customFormat="false" ht="15" hidden="false" customHeight="true" outlineLevel="0" collapsed="false">
      <c r="A54" s="19"/>
      <c r="B54" s="13"/>
      <c r="C54" s="13"/>
      <c r="D54" s="13"/>
      <c r="E54" s="13"/>
      <c r="F54" s="13"/>
      <c r="G54" s="13" t="str">
        <f aca="false">IF($A54="","",SUM($B54:$F54))</f>
        <v/>
      </c>
      <c r="H54" s="12"/>
    </row>
    <row r="55" customFormat="false" ht="15" hidden="false" customHeight="true" outlineLevel="0" collapsed="false">
      <c r="A55" s="19"/>
      <c r="B55" s="13"/>
      <c r="C55" s="13"/>
      <c r="D55" s="13"/>
      <c r="E55" s="13"/>
      <c r="F55" s="13"/>
      <c r="G55" s="13" t="str">
        <f aca="false">IF($A55="","",SUM($B55:$F55))</f>
        <v/>
      </c>
      <c r="H55" s="12"/>
    </row>
    <row r="56" customFormat="false" ht="15" hidden="false" customHeight="true" outlineLevel="0" collapsed="false">
      <c r="A56" s="19"/>
      <c r="B56" s="13"/>
      <c r="C56" s="13"/>
      <c r="D56" s="13"/>
      <c r="E56" s="13"/>
      <c r="F56" s="13"/>
      <c r="G56" s="13" t="str">
        <f aca="false">IF($A56="","",SUM($B56:$F56))</f>
        <v/>
      </c>
      <c r="H56" s="12"/>
    </row>
    <row r="57" customFormat="false" ht="15" hidden="false" customHeight="true" outlineLevel="0" collapsed="false">
      <c r="A57" s="19"/>
      <c r="B57" s="13"/>
      <c r="C57" s="13"/>
      <c r="D57" s="13"/>
      <c r="E57" s="13"/>
      <c r="F57" s="13"/>
      <c r="G57" s="13" t="str">
        <f aca="false">IF($A57="","",SUM($B57:$F57))</f>
        <v/>
      </c>
      <c r="H57" s="12"/>
    </row>
    <row r="58" customFormat="false" ht="15" hidden="false" customHeight="true" outlineLevel="0" collapsed="false">
      <c r="A58" s="19"/>
      <c r="B58" s="13"/>
      <c r="C58" s="13"/>
      <c r="D58" s="13"/>
      <c r="E58" s="13"/>
      <c r="F58" s="13"/>
      <c r="G58" s="13" t="str">
        <f aca="false">IF($A58="","",SUM($B58:$F58))</f>
        <v/>
      </c>
      <c r="H58" s="12"/>
    </row>
    <row r="59" customFormat="false" ht="15" hidden="false" customHeight="true" outlineLevel="0" collapsed="false">
      <c r="A59" s="19"/>
      <c r="B59" s="13"/>
      <c r="C59" s="13"/>
      <c r="D59" s="13"/>
      <c r="E59" s="13"/>
      <c r="F59" s="13"/>
      <c r="G59" s="13" t="str">
        <f aca="false">IF($A59="","",SUM($B59:$F59))</f>
        <v/>
      </c>
      <c r="H59" s="12"/>
    </row>
    <row r="60" customFormat="false" ht="15" hidden="false" customHeight="true" outlineLevel="0" collapsed="false">
      <c r="A60" s="19"/>
      <c r="B60" s="13"/>
      <c r="C60" s="13"/>
      <c r="D60" s="13"/>
      <c r="E60" s="13"/>
      <c r="F60" s="13"/>
      <c r="G60" s="13" t="str">
        <f aca="false">IF($A60="","",SUM($B60:$F60))</f>
        <v/>
      </c>
      <c r="H60" s="12"/>
    </row>
    <row r="61" customFormat="false" ht="15" hidden="false" customHeight="true" outlineLevel="0" collapsed="false">
      <c r="A61" s="19"/>
      <c r="B61" s="13"/>
      <c r="C61" s="13"/>
      <c r="D61" s="13"/>
      <c r="E61" s="13"/>
      <c r="F61" s="13"/>
      <c r="G61" s="13" t="str">
        <f aca="false">IF($A61="","",SUM($B61:$F61))</f>
        <v/>
      </c>
      <c r="H61" s="12"/>
    </row>
    <row r="62" customFormat="false" ht="15" hidden="false" customHeight="true" outlineLevel="0" collapsed="false">
      <c r="A62" s="19"/>
      <c r="B62" s="13"/>
      <c r="C62" s="13"/>
      <c r="D62" s="13"/>
      <c r="E62" s="13"/>
      <c r="F62" s="13"/>
      <c r="G62" s="13" t="str">
        <f aca="false">IF($A62="","",SUM($B62:$F62))</f>
        <v/>
      </c>
      <c r="H62" s="12"/>
    </row>
    <row r="63" customFormat="false" ht="15" hidden="false" customHeight="true" outlineLevel="0" collapsed="false">
      <c r="A63" s="19"/>
      <c r="B63" s="13"/>
      <c r="C63" s="13"/>
      <c r="D63" s="13"/>
      <c r="E63" s="13"/>
      <c r="F63" s="13"/>
      <c r="G63" s="13" t="str">
        <f aca="false">IF($A63="","",SUM($B63:$F63))</f>
        <v/>
      </c>
      <c r="H63" s="12"/>
    </row>
    <row r="64" customFormat="false" ht="15" hidden="false" customHeight="true" outlineLevel="0" collapsed="false">
      <c r="A64" s="19"/>
      <c r="B64" s="13"/>
      <c r="C64" s="13"/>
      <c r="D64" s="13"/>
      <c r="E64" s="13"/>
      <c r="F64" s="13"/>
      <c r="G64" s="13" t="str">
        <f aca="false">IF($A64="","",SUM($B64:$F64))</f>
        <v/>
      </c>
      <c r="H64" s="12"/>
    </row>
    <row r="65" customFormat="false" ht="15" hidden="false" customHeight="true" outlineLevel="0" collapsed="false">
      <c r="A65" s="19"/>
      <c r="B65" s="13"/>
      <c r="C65" s="13"/>
      <c r="D65" s="13"/>
      <c r="E65" s="13"/>
      <c r="F65" s="13"/>
      <c r="G65" s="13" t="str">
        <f aca="false">IF($A65="","",SUM($B65:$F65))</f>
        <v/>
      </c>
      <c r="H65" s="12"/>
    </row>
    <row r="66" customFormat="false" ht="15" hidden="false" customHeight="true" outlineLevel="0" collapsed="false">
      <c r="A66" s="19"/>
      <c r="B66" s="13"/>
      <c r="C66" s="13"/>
      <c r="D66" s="13"/>
      <c r="E66" s="13"/>
      <c r="F66" s="13"/>
      <c r="G66" s="13" t="str">
        <f aca="false">IF($A66="","",SUM($B66:$F66))</f>
        <v/>
      </c>
      <c r="H66" s="12"/>
    </row>
    <row r="67" customFormat="false" ht="15" hidden="false" customHeight="true" outlineLevel="0" collapsed="false">
      <c r="A67" s="19"/>
      <c r="B67" s="13"/>
      <c r="C67" s="13"/>
      <c r="D67" s="13"/>
      <c r="E67" s="13"/>
      <c r="F67" s="13"/>
      <c r="G67" s="13" t="str">
        <f aca="false">IF($A67="","",SUM($B67:$F67))</f>
        <v/>
      </c>
      <c r="H67" s="12"/>
    </row>
    <row r="68" customFormat="false" ht="15" hidden="false" customHeight="true" outlineLevel="0" collapsed="false">
      <c r="A68" s="19"/>
      <c r="B68" s="13"/>
      <c r="C68" s="13"/>
      <c r="D68" s="13"/>
      <c r="E68" s="13"/>
      <c r="F68" s="13"/>
      <c r="G68" s="13" t="str">
        <f aca="false">IF($A68="","",SUM($B68:$F68))</f>
        <v/>
      </c>
      <c r="H68" s="12"/>
    </row>
    <row r="69" customFormat="false" ht="15" hidden="false" customHeight="true" outlineLevel="0" collapsed="false">
      <c r="A69" s="19"/>
      <c r="B69" s="13"/>
      <c r="C69" s="13"/>
      <c r="D69" s="13"/>
      <c r="E69" s="13"/>
      <c r="F69" s="13"/>
      <c r="G69" s="13" t="str">
        <f aca="false">IF($A69="","",SUM($B69:$F69))</f>
        <v/>
      </c>
      <c r="H69" s="12"/>
    </row>
    <row r="70" customFormat="false" ht="15" hidden="false" customHeight="true" outlineLevel="0" collapsed="false">
      <c r="A70" s="19"/>
      <c r="B70" s="13"/>
      <c r="C70" s="13"/>
      <c r="D70" s="13"/>
      <c r="E70" s="13"/>
      <c r="F70" s="13"/>
      <c r="G70" s="13" t="str">
        <f aca="false">IF($A70="","",SUM($B70:$F70))</f>
        <v/>
      </c>
      <c r="H70" s="12"/>
    </row>
    <row r="71" customFormat="false" ht="15" hidden="false" customHeight="true" outlineLevel="0" collapsed="false">
      <c r="A71" s="19"/>
      <c r="B71" s="13"/>
      <c r="C71" s="13"/>
      <c r="D71" s="13"/>
      <c r="E71" s="13"/>
      <c r="F71" s="13"/>
      <c r="G71" s="13" t="str">
        <f aca="false">IF($A71="","",SUM($B71:$F71))</f>
        <v/>
      </c>
      <c r="H71" s="12"/>
    </row>
    <row r="72" customFormat="false" ht="15" hidden="false" customHeight="true" outlineLevel="0" collapsed="false">
      <c r="A72" s="19"/>
      <c r="B72" s="13"/>
      <c r="C72" s="13"/>
      <c r="D72" s="13"/>
      <c r="E72" s="13"/>
      <c r="F72" s="13"/>
      <c r="G72" s="13" t="str">
        <f aca="false">IF($A72="","",SUM($B72:$F72))</f>
        <v/>
      </c>
      <c r="H72" s="12"/>
    </row>
    <row r="73" customFormat="false" ht="15" hidden="false" customHeight="true" outlineLevel="0" collapsed="false">
      <c r="A73" s="19"/>
      <c r="B73" s="13"/>
      <c r="C73" s="13"/>
      <c r="D73" s="13"/>
      <c r="E73" s="13"/>
      <c r="F73" s="13"/>
      <c r="G73" s="13" t="str">
        <f aca="false">IF($A73="","",SUM($B73:$F73))</f>
        <v/>
      </c>
      <c r="H73" s="12"/>
    </row>
    <row r="74" customFormat="false" ht="15" hidden="false" customHeight="true" outlineLevel="0" collapsed="false">
      <c r="A74" s="19"/>
      <c r="B74" s="13"/>
      <c r="C74" s="13"/>
      <c r="D74" s="13"/>
      <c r="E74" s="13"/>
      <c r="F74" s="13"/>
      <c r="G74" s="13" t="str">
        <f aca="false">IF($A74="","",SUM($B74:$F74))</f>
        <v/>
      </c>
      <c r="H74" s="12"/>
    </row>
    <row r="75" customFormat="false" ht="15" hidden="false" customHeight="true" outlineLevel="0" collapsed="false">
      <c r="A75" s="19"/>
      <c r="B75" s="13"/>
      <c r="C75" s="13"/>
      <c r="D75" s="13"/>
      <c r="E75" s="13"/>
      <c r="F75" s="13"/>
      <c r="G75" s="13" t="str">
        <f aca="false">IF($A75="","",SUM($B75:$F75))</f>
        <v/>
      </c>
      <c r="H75" s="12"/>
    </row>
    <row r="76" customFormat="false" ht="15" hidden="false" customHeight="true" outlineLevel="0" collapsed="false">
      <c r="A76" s="19"/>
      <c r="B76" s="13"/>
      <c r="C76" s="13"/>
      <c r="D76" s="13"/>
      <c r="E76" s="13"/>
      <c r="F76" s="13"/>
      <c r="G76" s="13" t="str">
        <f aca="false">IF($A76="","",SUM($B76:$F76))</f>
        <v/>
      </c>
      <c r="H76" s="12"/>
    </row>
    <row r="77" customFormat="false" ht="15" hidden="false" customHeight="true" outlineLevel="0" collapsed="false">
      <c r="A77" s="19"/>
      <c r="B77" s="13"/>
      <c r="C77" s="13"/>
      <c r="D77" s="13"/>
      <c r="E77" s="13"/>
      <c r="F77" s="13"/>
      <c r="G77" s="13" t="str">
        <f aca="false">IF($A77="","",SUM($B77:$F77))</f>
        <v/>
      </c>
      <c r="H77" s="12"/>
    </row>
    <row r="78" customFormat="false" ht="15" hidden="false" customHeight="true" outlineLevel="0" collapsed="false">
      <c r="A78" s="19"/>
      <c r="B78" s="13"/>
      <c r="C78" s="13"/>
      <c r="D78" s="13"/>
      <c r="E78" s="13"/>
      <c r="F78" s="13"/>
      <c r="G78" s="13" t="str">
        <f aca="false">IF($A78="","",SUM($B78:$F78))</f>
        <v/>
      </c>
      <c r="H78" s="12"/>
    </row>
    <row r="79" customFormat="false" ht="15" hidden="false" customHeight="true" outlineLevel="0" collapsed="false">
      <c r="A79" s="19"/>
      <c r="B79" s="13"/>
      <c r="C79" s="13"/>
      <c r="D79" s="13"/>
      <c r="E79" s="13"/>
      <c r="F79" s="13"/>
      <c r="G79" s="13" t="str">
        <f aca="false">IF($A79="","",SUM($B79:$F79))</f>
        <v/>
      </c>
      <c r="H79" s="12"/>
    </row>
    <row r="80" customFormat="false" ht="15" hidden="false" customHeight="true" outlineLevel="0" collapsed="false">
      <c r="A80" s="19"/>
      <c r="B80" s="13"/>
      <c r="C80" s="13"/>
      <c r="D80" s="13"/>
      <c r="E80" s="13"/>
      <c r="F80" s="13"/>
      <c r="G80" s="13" t="str">
        <f aca="false">IF($A80="","",SUM($B80:$F80))</f>
        <v/>
      </c>
      <c r="H80" s="12"/>
    </row>
    <row r="81" customFormat="false" ht="15" hidden="false" customHeight="true" outlineLevel="0" collapsed="false">
      <c r="A81" s="19"/>
      <c r="B81" s="13"/>
      <c r="C81" s="13"/>
      <c r="D81" s="13"/>
      <c r="E81" s="13"/>
      <c r="F81" s="13"/>
      <c r="G81" s="13" t="str">
        <f aca="false">IF($A81="","",SUM($B81:$F81))</f>
        <v/>
      </c>
      <c r="H81" s="12"/>
    </row>
    <row r="82" customFormat="false" ht="15" hidden="false" customHeight="true" outlineLevel="0" collapsed="false">
      <c r="A82" s="19"/>
      <c r="B82" s="13"/>
      <c r="C82" s="13"/>
      <c r="D82" s="13"/>
      <c r="E82" s="13"/>
      <c r="F82" s="13"/>
      <c r="G82" s="13" t="str">
        <f aca="false">IF($A82="","",SUM($B82:$F82))</f>
        <v/>
      </c>
      <c r="H82" s="12"/>
    </row>
    <row r="83" customFormat="false" ht="15" hidden="false" customHeight="true" outlineLevel="0" collapsed="false">
      <c r="A83" s="19"/>
      <c r="B83" s="13"/>
      <c r="C83" s="13"/>
      <c r="D83" s="13"/>
      <c r="E83" s="13"/>
      <c r="F83" s="13"/>
      <c r="G83" s="13" t="str">
        <f aca="false">IF($A83="","",SUM($B83:$F83))</f>
        <v/>
      </c>
      <c r="H83" s="12"/>
    </row>
    <row r="84" customFormat="false" ht="15" hidden="false" customHeight="true" outlineLevel="0" collapsed="false">
      <c r="A84" s="19"/>
      <c r="B84" s="13"/>
      <c r="C84" s="13"/>
      <c r="D84" s="13"/>
      <c r="E84" s="13"/>
      <c r="F84" s="13"/>
      <c r="G84" s="13" t="str">
        <f aca="false">IF($A84="","",SUM($B84:$F84))</f>
        <v/>
      </c>
      <c r="H84" s="12"/>
    </row>
    <row r="85" customFormat="false" ht="15" hidden="false" customHeight="true" outlineLevel="0" collapsed="false">
      <c r="A85" s="19"/>
      <c r="B85" s="13"/>
      <c r="C85" s="13"/>
      <c r="D85" s="13"/>
      <c r="E85" s="13"/>
      <c r="F85" s="13"/>
      <c r="G85" s="13" t="str">
        <f aca="false">IF($A85="","",SUM($B85:$F85))</f>
        <v/>
      </c>
      <c r="H85" s="12"/>
    </row>
    <row r="86" customFormat="false" ht="15" hidden="false" customHeight="true" outlineLevel="0" collapsed="false">
      <c r="A86" s="19"/>
      <c r="B86" s="13"/>
      <c r="C86" s="13"/>
      <c r="D86" s="13"/>
      <c r="E86" s="13"/>
      <c r="F86" s="13"/>
      <c r="G86" s="13" t="str">
        <f aca="false">IF($A86="","",SUM($B86:$F86))</f>
        <v/>
      </c>
      <c r="H86" s="12"/>
    </row>
    <row r="87" customFormat="false" ht="15" hidden="false" customHeight="true" outlineLevel="0" collapsed="false">
      <c r="A87" s="19"/>
      <c r="B87" s="13"/>
      <c r="C87" s="13"/>
      <c r="D87" s="13"/>
      <c r="E87" s="13"/>
      <c r="F87" s="13"/>
      <c r="G87" s="13" t="str">
        <f aca="false">IF($A87="","",SUM($B87:$F87))</f>
        <v/>
      </c>
      <c r="H87" s="12"/>
    </row>
    <row r="88" customFormat="false" ht="15" hidden="false" customHeight="true" outlineLevel="0" collapsed="false">
      <c r="A88" s="19"/>
      <c r="B88" s="13"/>
      <c r="C88" s="13"/>
      <c r="D88" s="13"/>
      <c r="E88" s="13"/>
      <c r="F88" s="13"/>
      <c r="G88" s="13" t="str">
        <f aca="false">IF($A88="","",SUM($B88:$F88))</f>
        <v/>
      </c>
      <c r="H88" s="12"/>
    </row>
    <row r="89" customFormat="false" ht="15" hidden="false" customHeight="true" outlineLevel="0" collapsed="false">
      <c r="A89" s="19"/>
      <c r="B89" s="13"/>
      <c r="C89" s="13"/>
      <c r="D89" s="13"/>
      <c r="E89" s="13"/>
      <c r="F89" s="13"/>
      <c r="G89" s="13" t="str">
        <f aca="false">IF($A89="","",SUM($B89:$F89))</f>
        <v/>
      </c>
      <c r="H89" s="12"/>
    </row>
    <row r="90" customFormat="false" ht="15" hidden="false" customHeight="true" outlineLevel="0" collapsed="false">
      <c r="A90" s="19"/>
      <c r="B90" s="13"/>
      <c r="C90" s="13"/>
      <c r="D90" s="13"/>
      <c r="E90" s="13"/>
      <c r="F90" s="13"/>
      <c r="G90" s="13" t="str">
        <f aca="false">IF($A90="","",SUM($B90:$F90))</f>
        <v/>
      </c>
      <c r="H90" s="12"/>
    </row>
    <row r="91" customFormat="false" ht="15" hidden="false" customHeight="true" outlineLevel="0" collapsed="false">
      <c r="A91" s="19"/>
      <c r="B91" s="13"/>
      <c r="C91" s="13"/>
      <c r="D91" s="13"/>
      <c r="E91" s="13"/>
      <c r="F91" s="13"/>
      <c r="G91" s="13" t="str">
        <f aca="false">IF($A91="","",SUM($B91:$F91))</f>
        <v/>
      </c>
      <c r="H91" s="12"/>
    </row>
    <row r="92" customFormat="false" ht="15" hidden="false" customHeight="true" outlineLevel="0" collapsed="false">
      <c r="A92" s="19"/>
      <c r="B92" s="13"/>
      <c r="C92" s="13"/>
      <c r="D92" s="13"/>
      <c r="E92" s="13"/>
      <c r="F92" s="13"/>
      <c r="G92" s="13" t="str">
        <f aca="false">IF($A92="","",SUM($B92:$F92))</f>
        <v/>
      </c>
      <c r="H92" s="12"/>
    </row>
    <row r="93" customFormat="false" ht="15" hidden="false" customHeight="true" outlineLevel="0" collapsed="false">
      <c r="A93" s="19"/>
      <c r="B93" s="13"/>
      <c r="C93" s="13"/>
      <c r="D93" s="13"/>
      <c r="E93" s="13"/>
      <c r="F93" s="13"/>
      <c r="G93" s="13" t="str">
        <f aca="false">IF($A93="","",SUM($B93:$F93))</f>
        <v/>
      </c>
      <c r="H93" s="12"/>
    </row>
    <row r="94" customFormat="false" ht="15" hidden="false" customHeight="true" outlineLevel="0" collapsed="false">
      <c r="A94" s="19"/>
      <c r="B94" s="13"/>
      <c r="C94" s="13"/>
      <c r="D94" s="13"/>
      <c r="E94" s="13"/>
      <c r="F94" s="13"/>
      <c r="G94" s="13" t="str">
        <f aca="false">IF($A94="","",SUM($B94:$F94))</f>
        <v/>
      </c>
      <c r="H94" s="12"/>
    </row>
    <row r="95" customFormat="false" ht="15" hidden="false" customHeight="true" outlineLevel="0" collapsed="false">
      <c r="A95" s="19"/>
      <c r="B95" s="13"/>
      <c r="C95" s="13"/>
      <c r="D95" s="13"/>
      <c r="E95" s="13"/>
      <c r="F95" s="13"/>
      <c r="G95" s="13" t="str">
        <f aca="false">IF($A95="","",SUM($B95:$F95))</f>
        <v/>
      </c>
      <c r="H95" s="12"/>
    </row>
    <row r="96" customFormat="false" ht="15" hidden="false" customHeight="true" outlineLevel="0" collapsed="false">
      <c r="A96" s="19"/>
      <c r="B96" s="13"/>
      <c r="C96" s="13"/>
      <c r="D96" s="13"/>
      <c r="E96" s="13"/>
      <c r="F96" s="13"/>
      <c r="G96" s="13" t="str">
        <f aca="false">IF($A96="","",SUM($B96:$F96))</f>
        <v/>
      </c>
      <c r="H96" s="12"/>
    </row>
    <row r="97" customFormat="false" ht="15" hidden="false" customHeight="true" outlineLevel="0" collapsed="false">
      <c r="A97" s="19"/>
      <c r="B97" s="13"/>
      <c r="C97" s="13"/>
      <c r="D97" s="13"/>
      <c r="E97" s="13"/>
      <c r="F97" s="13"/>
      <c r="G97" s="13" t="str">
        <f aca="false">IF($A97="","",SUM($B97:$F97))</f>
        <v/>
      </c>
      <c r="H97" s="12"/>
    </row>
    <row r="98" customFormat="false" ht="15" hidden="false" customHeight="true" outlineLevel="0" collapsed="false">
      <c r="A98" s="19"/>
      <c r="B98" s="13"/>
      <c r="C98" s="13"/>
      <c r="D98" s="13"/>
      <c r="E98" s="13"/>
      <c r="F98" s="13"/>
      <c r="G98" s="13" t="str">
        <f aca="false">IF($A98="","",SUM($B98:$F98))</f>
        <v/>
      </c>
      <c r="H98" s="12"/>
    </row>
    <row r="99" customFormat="false" ht="15" hidden="false" customHeight="true" outlineLevel="0" collapsed="false">
      <c r="A99" s="19"/>
      <c r="B99" s="13"/>
      <c r="C99" s="13"/>
      <c r="D99" s="13"/>
      <c r="E99" s="13"/>
      <c r="F99" s="13"/>
      <c r="G99" s="13" t="str">
        <f aca="false">IF($A99="","",SUM($B99:$F99))</f>
        <v/>
      </c>
      <c r="H99" s="12"/>
    </row>
    <row r="100" customFormat="false" ht="15" hidden="false" customHeight="true" outlineLevel="0" collapsed="false">
      <c r="A100" s="19"/>
      <c r="B100" s="13"/>
      <c r="C100" s="13"/>
      <c r="D100" s="13"/>
      <c r="E100" s="13"/>
      <c r="F100" s="13"/>
      <c r="G100" s="13" t="str">
        <f aca="false">IF($A100="","",SUM($B100:$F100))</f>
        <v/>
      </c>
      <c r="H100" s="12"/>
    </row>
    <row r="101" customFormat="false" ht="15" hidden="false" customHeight="true" outlineLevel="0" collapsed="false">
      <c r="A101" s="19"/>
      <c r="B101" s="13"/>
      <c r="C101" s="13"/>
      <c r="D101" s="13"/>
      <c r="E101" s="13"/>
      <c r="F101" s="13"/>
      <c r="G101" s="13" t="str">
        <f aca="false">IF($A101="","",SUM($B101:$F101))</f>
        <v/>
      </c>
      <c r="H101" s="12"/>
    </row>
    <row r="102" customFormat="false" ht="15" hidden="false" customHeight="true" outlineLevel="0" collapsed="false">
      <c r="A102" s="19"/>
      <c r="B102" s="13"/>
      <c r="C102" s="13"/>
      <c r="D102" s="13"/>
      <c r="E102" s="13"/>
      <c r="F102" s="13"/>
      <c r="G102" s="13" t="str">
        <f aca="false">IF($A102="","",SUM($B102:$F102))</f>
        <v/>
      </c>
      <c r="H102" s="12"/>
    </row>
    <row r="103" customFormat="false" ht="15" hidden="false" customHeight="true" outlineLevel="0" collapsed="false">
      <c r="A103" s="19"/>
      <c r="B103" s="13"/>
      <c r="C103" s="13"/>
      <c r="D103" s="13"/>
      <c r="E103" s="13"/>
      <c r="F103" s="13"/>
      <c r="G103" s="13" t="str">
        <f aca="false">IF($A103="","",SUM($B103:$F103))</f>
        <v/>
      </c>
      <c r="H103" s="12"/>
    </row>
    <row r="104" customFormat="false" ht="15" hidden="false" customHeight="true" outlineLevel="0" collapsed="false">
      <c r="A104" s="19"/>
      <c r="B104" s="13"/>
      <c r="C104" s="13"/>
      <c r="D104" s="13"/>
      <c r="E104" s="13"/>
      <c r="F104" s="13"/>
      <c r="G104" s="13" t="str">
        <f aca="false">IF($A104="","",SUM($B104:$F104))</f>
        <v/>
      </c>
      <c r="H104" s="12"/>
    </row>
    <row r="105" customFormat="false" ht="15" hidden="false" customHeight="true" outlineLevel="0" collapsed="false">
      <c r="A105" s="19"/>
      <c r="B105" s="13"/>
      <c r="C105" s="13"/>
      <c r="D105" s="13"/>
      <c r="E105" s="13"/>
      <c r="F105" s="13"/>
      <c r="G105" s="13" t="str">
        <f aca="false">IF($A105="","",SUM($B105:$F105))</f>
        <v/>
      </c>
      <c r="H105" s="12"/>
    </row>
    <row r="106" customFormat="false" ht="15" hidden="false" customHeight="true" outlineLevel="0" collapsed="false">
      <c r="A106" s="19"/>
      <c r="B106" s="13"/>
      <c r="C106" s="13"/>
      <c r="D106" s="13"/>
      <c r="E106" s="13"/>
      <c r="F106" s="13"/>
      <c r="G106" s="13" t="str">
        <f aca="false">IF($A106="","",SUM($B106:$F106))</f>
        <v/>
      </c>
      <c r="H106" s="12"/>
    </row>
    <row r="107" customFormat="false" ht="15" hidden="false" customHeight="true" outlineLevel="0" collapsed="false">
      <c r="A107" s="19"/>
      <c r="B107" s="13"/>
      <c r="C107" s="13"/>
      <c r="D107" s="13"/>
      <c r="E107" s="13"/>
      <c r="F107" s="13"/>
      <c r="G107" s="13" t="str">
        <f aca="false">IF($A107="","",SUM($B107:$F107))</f>
        <v/>
      </c>
      <c r="H107" s="12"/>
    </row>
    <row r="108" customFormat="false" ht="15" hidden="false" customHeight="true" outlineLevel="0" collapsed="false">
      <c r="A108" s="19"/>
      <c r="B108" s="13"/>
      <c r="C108" s="13"/>
      <c r="D108" s="13"/>
      <c r="E108" s="13"/>
      <c r="F108" s="13"/>
      <c r="G108" s="13" t="str">
        <f aca="false">IF($A108="","",SUM($B108:$F108))</f>
        <v/>
      </c>
      <c r="H108" s="12"/>
    </row>
    <row r="109" customFormat="false" ht="15" hidden="false" customHeight="true" outlineLevel="0" collapsed="false">
      <c r="A109" s="19"/>
      <c r="B109" s="13"/>
      <c r="C109" s="13"/>
      <c r="D109" s="13"/>
      <c r="E109" s="13"/>
      <c r="F109" s="13"/>
      <c r="G109" s="13" t="str">
        <f aca="false">IF($A109="","",SUM($B109:$F109))</f>
        <v/>
      </c>
      <c r="H109" s="12"/>
    </row>
    <row r="110" customFormat="false" ht="15" hidden="false" customHeight="true" outlineLevel="0" collapsed="false">
      <c r="A110" s="19"/>
      <c r="B110" s="13"/>
      <c r="C110" s="13"/>
      <c r="D110" s="13"/>
      <c r="E110" s="13"/>
      <c r="F110" s="13"/>
      <c r="G110" s="13" t="str">
        <f aca="false">IF($A110="","",SUM($B110:$F110))</f>
        <v/>
      </c>
      <c r="H110" s="12"/>
    </row>
    <row r="111" customFormat="false" ht="15" hidden="false" customHeight="true" outlineLevel="0" collapsed="false">
      <c r="A111" s="19"/>
      <c r="B111" s="13"/>
      <c r="C111" s="13"/>
      <c r="D111" s="13"/>
      <c r="E111" s="13"/>
      <c r="F111" s="13"/>
      <c r="G111" s="13" t="str">
        <f aca="false">IF($A111="","",SUM($B111:$F111))</f>
        <v/>
      </c>
      <c r="H111" s="12"/>
    </row>
    <row r="112" customFormat="false" ht="15" hidden="false" customHeight="true" outlineLevel="0" collapsed="false">
      <c r="A112" s="19"/>
      <c r="B112" s="13"/>
      <c r="C112" s="13"/>
      <c r="D112" s="13"/>
      <c r="E112" s="13"/>
      <c r="F112" s="13"/>
      <c r="G112" s="13" t="str">
        <f aca="false">IF($A112="","",SUM($B112:$F112))</f>
        <v/>
      </c>
      <c r="H112" s="12"/>
    </row>
    <row r="113" customFormat="false" ht="15" hidden="false" customHeight="true" outlineLevel="0" collapsed="false">
      <c r="A113" s="19"/>
      <c r="B113" s="13"/>
      <c r="C113" s="13"/>
      <c r="D113" s="13"/>
      <c r="E113" s="13"/>
      <c r="F113" s="13"/>
      <c r="G113" s="13" t="str">
        <f aca="false">IF($A113="","",SUM($B113:$F113))</f>
        <v/>
      </c>
      <c r="H113" s="12"/>
    </row>
    <row r="114" customFormat="false" ht="15" hidden="false" customHeight="true" outlineLevel="0" collapsed="false">
      <c r="A114" s="19"/>
      <c r="B114" s="13"/>
      <c r="C114" s="13"/>
      <c r="D114" s="13"/>
      <c r="E114" s="13"/>
      <c r="F114" s="13"/>
      <c r="G114" s="13" t="str">
        <f aca="false">IF($A114="","",SUM($B114:$F114))</f>
        <v/>
      </c>
      <c r="H114" s="12"/>
    </row>
    <row r="115" customFormat="false" ht="15" hidden="false" customHeight="true" outlineLevel="0" collapsed="false">
      <c r="A115" s="19"/>
      <c r="B115" s="13"/>
      <c r="C115" s="13"/>
      <c r="D115" s="13"/>
      <c r="E115" s="13"/>
      <c r="F115" s="13"/>
      <c r="G115" s="13" t="str">
        <f aca="false">IF($A115="","",SUM($B115:$F115))</f>
        <v/>
      </c>
      <c r="H115" s="12"/>
    </row>
    <row r="116" customFormat="false" ht="15" hidden="false" customHeight="true" outlineLevel="0" collapsed="false">
      <c r="A116" s="19"/>
      <c r="B116" s="13"/>
      <c r="C116" s="13"/>
      <c r="D116" s="13"/>
      <c r="E116" s="13"/>
      <c r="F116" s="13"/>
      <c r="G116" s="13" t="str">
        <f aca="false">IF($A116="","",SUM($B116:$F116))</f>
        <v/>
      </c>
      <c r="H116" s="12"/>
    </row>
    <row r="117" customFormat="false" ht="15" hidden="false" customHeight="true" outlineLevel="0" collapsed="false">
      <c r="A117" s="19"/>
      <c r="B117" s="13"/>
      <c r="C117" s="13"/>
      <c r="D117" s="13"/>
      <c r="E117" s="13"/>
      <c r="F117" s="13"/>
      <c r="G117" s="13" t="str">
        <f aca="false">IF($A117="","",SUM($B117:$F117))</f>
        <v/>
      </c>
      <c r="H117" s="12"/>
    </row>
    <row r="118" customFormat="false" ht="15" hidden="false" customHeight="true" outlineLevel="0" collapsed="false">
      <c r="A118" s="19"/>
      <c r="B118" s="13"/>
      <c r="C118" s="13"/>
      <c r="D118" s="13"/>
      <c r="E118" s="13"/>
      <c r="F118" s="13"/>
      <c r="G118" s="13" t="str">
        <f aca="false">IF($A118="","",SUM($B118:$F118))</f>
        <v/>
      </c>
      <c r="H118" s="12"/>
    </row>
    <row r="119" customFormat="false" ht="15" hidden="false" customHeight="true" outlineLevel="0" collapsed="false">
      <c r="A119" s="19"/>
      <c r="B119" s="13"/>
      <c r="C119" s="13"/>
      <c r="D119" s="13"/>
      <c r="E119" s="13"/>
      <c r="F119" s="13"/>
      <c r="G119" s="13" t="str">
        <f aca="false">IF($A119="","",SUM($B119:$F119))</f>
        <v/>
      </c>
      <c r="H119" s="12"/>
    </row>
    <row r="120" customFormat="false" ht="15" hidden="false" customHeight="true" outlineLevel="0" collapsed="false">
      <c r="A120" s="19"/>
      <c r="B120" s="13"/>
      <c r="C120" s="13"/>
      <c r="D120" s="13"/>
      <c r="E120" s="13"/>
      <c r="F120" s="13"/>
      <c r="G120" s="13" t="str">
        <f aca="false">IF($A120="","",SUM($B120:$F120))</f>
        <v/>
      </c>
      <c r="H120" s="12"/>
    </row>
    <row r="121" customFormat="false" ht="15" hidden="false" customHeight="true" outlineLevel="0" collapsed="false">
      <c r="A121" s="19"/>
      <c r="B121" s="13"/>
      <c r="C121" s="13"/>
      <c r="D121" s="13"/>
      <c r="E121" s="13"/>
      <c r="F121" s="13"/>
      <c r="G121" s="13" t="str">
        <f aca="false">IF($A121="","",SUM($B121:$F121))</f>
        <v/>
      </c>
      <c r="H121" s="12"/>
    </row>
    <row r="122" customFormat="false" ht="15" hidden="false" customHeight="true" outlineLevel="0" collapsed="false">
      <c r="A122" s="19"/>
      <c r="B122" s="13"/>
      <c r="C122" s="13"/>
      <c r="D122" s="13"/>
      <c r="E122" s="13"/>
      <c r="F122" s="13"/>
      <c r="G122" s="13" t="str">
        <f aca="false">IF($A122="","",SUM($B122:$F122))</f>
        <v/>
      </c>
      <c r="H122" s="12"/>
    </row>
    <row r="123" customFormat="false" ht="15" hidden="false" customHeight="true" outlineLevel="0" collapsed="false">
      <c r="A123" s="19"/>
      <c r="B123" s="13"/>
      <c r="C123" s="13"/>
      <c r="D123" s="13"/>
      <c r="E123" s="13"/>
      <c r="F123" s="13"/>
      <c r="G123" s="13" t="str">
        <f aca="false">IF($A123="","",SUM($B123:$F123))</f>
        <v/>
      </c>
      <c r="H123" s="12"/>
    </row>
    <row r="124" customFormat="false" ht="15" hidden="false" customHeight="true" outlineLevel="0" collapsed="false">
      <c r="A124" s="19"/>
      <c r="B124" s="13"/>
      <c r="C124" s="13"/>
      <c r="D124" s="13"/>
      <c r="E124" s="13"/>
      <c r="F124" s="13"/>
      <c r="G124" s="13" t="str">
        <f aca="false">IF($A124="","",SUM($B124:$F124))</f>
        <v/>
      </c>
      <c r="H124" s="12"/>
    </row>
    <row r="125" customFormat="false" ht="15" hidden="false" customHeight="true" outlineLevel="0" collapsed="false">
      <c r="A125" s="19"/>
      <c r="B125" s="13"/>
      <c r="C125" s="13"/>
      <c r="D125" s="13"/>
      <c r="E125" s="13"/>
      <c r="F125" s="13"/>
      <c r="G125" s="13" t="str">
        <f aca="false">IF($A125="","",SUM($B125:$F125))</f>
        <v/>
      </c>
      <c r="H125" s="12"/>
    </row>
    <row r="126" customFormat="false" ht="15" hidden="false" customHeight="true" outlineLevel="0" collapsed="false">
      <c r="A126" s="19"/>
      <c r="B126" s="13"/>
      <c r="C126" s="13"/>
      <c r="D126" s="13"/>
      <c r="E126" s="13"/>
      <c r="F126" s="13"/>
      <c r="G126" s="13" t="str">
        <f aca="false">IF($A126="","",SUM($B126:$F126))</f>
        <v/>
      </c>
      <c r="H126" s="12"/>
    </row>
    <row r="127" customFormat="false" ht="15" hidden="false" customHeight="true" outlineLevel="0" collapsed="false">
      <c r="A127" s="19"/>
      <c r="B127" s="13"/>
      <c r="C127" s="13"/>
      <c r="D127" s="13"/>
      <c r="E127" s="13"/>
      <c r="F127" s="13"/>
      <c r="G127" s="13" t="str">
        <f aca="false">IF($A127="","",SUM($B127:$F127))</f>
        <v/>
      </c>
      <c r="H127" s="12"/>
    </row>
    <row r="128" customFormat="false" ht="15" hidden="false" customHeight="true" outlineLevel="0" collapsed="false">
      <c r="A128" s="19"/>
      <c r="B128" s="13"/>
      <c r="C128" s="13"/>
      <c r="D128" s="13"/>
      <c r="E128" s="13"/>
      <c r="F128" s="13"/>
      <c r="G128" s="13" t="str">
        <f aca="false">IF($A128="","",SUM($B128:$F128))</f>
        <v/>
      </c>
      <c r="H128" s="12"/>
    </row>
    <row r="129" customFormat="false" ht="15" hidden="false" customHeight="true" outlineLevel="0" collapsed="false">
      <c r="A129" s="19"/>
      <c r="B129" s="13"/>
      <c r="C129" s="13"/>
      <c r="D129" s="13"/>
      <c r="E129" s="13"/>
      <c r="F129" s="13"/>
      <c r="G129" s="13" t="str">
        <f aca="false">IF($A129="","",SUM($B129:$F129))</f>
        <v/>
      </c>
      <c r="H129" s="12"/>
    </row>
    <row r="130" customFormat="false" ht="15" hidden="false" customHeight="true" outlineLevel="0" collapsed="false">
      <c r="A130" s="19"/>
      <c r="B130" s="13"/>
      <c r="C130" s="13"/>
      <c r="D130" s="13"/>
      <c r="E130" s="13"/>
      <c r="F130" s="13"/>
      <c r="G130" s="13" t="str">
        <f aca="false">IF($A130="","",SUM($B130:$F130))</f>
        <v/>
      </c>
      <c r="H130" s="12"/>
    </row>
    <row r="131" customFormat="false" ht="15" hidden="false" customHeight="true" outlineLevel="0" collapsed="false">
      <c r="A131" s="19"/>
      <c r="B131" s="13"/>
      <c r="C131" s="13"/>
      <c r="D131" s="13"/>
      <c r="E131" s="13"/>
      <c r="F131" s="13"/>
      <c r="G131" s="13" t="str">
        <f aca="false">IF($A131="","",SUM($B131:$F131))</f>
        <v/>
      </c>
      <c r="H131" s="12"/>
    </row>
    <row r="132" customFormat="false" ht="15" hidden="false" customHeight="true" outlineLevel="0" collapsed="false">
      <c r="A132" s="19"/>
      <c r="B132" s="13"/>
      <c r="C132" s="13"/>
      <c r="D132" s="13"/>
      <c r="E132" s="13"/>
      <c r="F132" s="13"/>
      <c r="G132" s="13" t="str">
        <f aca="false">IF($A132="","",SUM($B132:$F132))</f>
        <v/>
      </c>
      <c r="H132" s="12"/>
    </row>
    <row r="133" customFormat="false" ht="15" hidden="false" customHeight="true" outlineLevel="0" collapsed="false">
      <c r="A133" s="19"/>
      <c r="B133" s="13"/>
      <c r="C133" s="13"/>
      <c r="D133" s="13"/>
      <c r="E133" s="13"/>
      <c r="F133" s="13"/>
      <c r="G133" s="13" t="str">
        <f aca="false">IF($A133="","",SUM($B133:$F133))</f>
        <v/>
      </c>
      <c r="H133" s="12"/>
    </row>
    <row r="134" customFormat="false" ht="15" hidden="false" customHeight="true" outlineLevel="0" collapsed="false">
      <c r="A134" s="19"/>
      <c r="B134" s="13"/>
      <c r="C134" s="13"/>
      <c r="D134" s="13"/>
      <c r="E134" s="13"/>
      <c r="F134" s="13"/>
      <c r="G134" s="13" t="str">
        <f aca="false">IF($A134="","",SUM($B134:$F134))</f>
        <v/>
      </c>
      <c r="H134" s="12"/>
    </row>
    <row r="135" customFormat="false" ht="15" hidden="false" customHeight="true" outlineLevel="0" collapsed="false">
      <c r="A135" s="19"/>
      <c r="B135" s="13"/>
      <c r="C135" s="13"/>
      <c r="D135" s="13"/>
      <c r="E135" s="13"/>
      <c r="F135" s="13"/>
      <c r="G135" s="13" t="str">
        <f aca="false">IF($A135="","",SUM($B135:$F135))</f>
        <v/>
      </c>
      <c r="H135" s="12"/>
    </row>
    <row r="136" customFormat="false" ht="15" hidden="false" customHeight="true" outlineLevel="0" collapsed="false">
      <c r="A136" s="19"/>
      <c r="B136" s="13"/>
      <c r="C136" s="13"/>
      <c r="D136" s="13"/>
      <c r="E136" s="13"/>
      <c r="F136" s="13"/>
      <c r="G136" s="13" t="str">
        <f aca="false">IF($A136="","",SUM($B136:$F136))</f>
        <v/>
      </c>
      <c r="H136" s="12"/>
    </row>
    <row r="137" customFormat="false" ht="15" hidden="false" customHeight="true" outlineLevel="0" collapsed="false">
      <c r="A137" s="19"/>
      <c r="B137" s="13"/>
      <c r="C137" s="13"/>
      <c r="D137" s="13"/>
      <c r="E137" s="13"/>
      <c r="F137" s="13"/>
      <c r="G137" s="13" t="str">
        <f aca="false">IF($A137="","",SUM($B137:$F137))</f>
        <v/>
      </c>
      <c r="H137" s="12"/>
    </row>
    <row r="138" customFormat="false" ht="15" hidden="false" customHeight="true" outlineLevel="0" collapsed="false">
      <c r="A138" s="19"/>
      <c r="B138" s="13"/>
      <c r="C138" s="13"/>
      <c r="D138" s="13"/>
      <c r="E138" s="13"/>
      <c r="F138" s="13"/>
      <c r="G138" s="13" t="str">
        <f aca="false">IF($A138="","",SUM($B138:$F138))</f>
        <v/>
      </c>
      <c r="H138" s="12"/>
    </row>
    <row r="139" customFormat="false" ht="15" hidden="false" customHeight="true" outlineLevel="0" collapsed="false">
      <c r="A139" s="19"/>
      <c r="B139" s="13"/>
      <c r="C139" s="13"/>
      <c r="D139" s="13"/>
      <c r="E139" s="13"/>
      <c r="F139" s="13"/>
      <c r="G139" s="13" t="str">
        <f aca="false">IF($A139="","",SUM($B139:$F139))</f>
        <v/>
      </c>
      <c r="H139" s="12"/>
    </row>
    <row r="140" customFormat="false" ht="15" hidden="false" customHeight="true" outlineLevel="0" collapsed="false">
      <c r="A140" s="19"/>
      <c r="B140" s="13"/>
      <c r="C140" s="13"/>
      <c r="D140" s="13"/>
      <c r="E140" s="13"/>
      <c r="F140" s="13"/>
      <c r="G140" s="13" t="str">
        <f aca="false">IF($A140="","",SUM($B140:$F140))</f>
        <v/>
      </c>
      <c r="H140" s="12"/>
    </row>
    <row r="141" customFormat="false" ht="15" hidden="false" customHeight="true" outlineLevel="0" collapsed="false">
      <c r="A141" s="19"/>
      <c r="B141" s="13"/>
      <c r="C141" s="13"/>
      <c r="D141" s="13"/>
      <c r="E141" s="13"/>
      <c r="F141" s="13"/>
      <c r="G141" s="13" t="str">
        <f aca="false">IF($A141="","",SUM($B141:$F141))</f>
        <v/>
      </c>
      <c r="H141" s="12"/>
    </row>
    <row r="142" customFormat="false" ht="15" hidden="false" customHeight="true" outlineLevel="0" collapsed="false">
      <c r="A142" s="19"/>
      <c r="B142" s="13"/>
      <c r="C142" s="13"/>
      <c r="D142" s="13"/>
      <c r="E142" s="13"/>
      <c r="F142" s="13"/>
      <c r="G142" s="13" t="str">
        <f aca="false">IF($A142="","",SUM($B142:$F142))</f>
        <v/>
      </c>
      <c r="H142" s="12"/>
    </row>
    <row r="143" customFormat="false" ht="15" hidden="false" customHeight="true" outlineLevel="0" collapsed="false">
      <c r="A143" s="19"/>
      <c r="B143" s="13"/>
      <c r="C143" s="13"/>
      <c r="D143" s="13"/>
      <c r="E143" s="13"/>
      <c r="F143" s="13"/>
      <c r="G143" s="13" t="str">
        <f aca="false">IF($A143="","",SUM($B143:$F143))</f>
        <v/>
      </c>
      <c r="H143" s="12"/>
    </row>
    <row r="144" customFormat="false" ht="15" hidden="false" customHeight="true" outlineLevel="0" collapsed="false">
      <c r="A144" s="19"/>
      <c r="B144" s="13"/>
      <c r="C144" s="13"/>
      <c r="D144" s="13"/>
      <c r="E144" s="13"/>
      <c r="F144" s="13"/>
      <c r="G144" s="13" t="str">
        <f aca="false">IF($A144="","",SUM($B144:$F144))</f>
        <v/>
      </c>
      <c r="H144" s="12"/>
    </row>
    <row r="145" customFormat="false" ht="15" hidden="false" customHeight="true" outlineLevel="0" collapsed="false">
      <c r="A145" s="19"/>
      <c r="B145" s="13"/>
      <c r="C145" s="13"/>
      <c r="D145" s="13"/>
      <c r="E145" s="13"/>
      <c r="F145" s="13"/>
      <c r="G145" s="13" t="str">
        <f aca="false">IF($A145="","",SUM($B145:$F145))</f>
        <v/>
      </c>
      <c r="H145" s="12"/>
    </row>
    <row r="146" customFormat="false" ht="15" hidden="false" customHeight="true" outlineLevel="0" collapsed="false">
      <c r="A146" s="19"/>
      <c r="B146" s="13"/>
      <c r="C146" s="13"/>
      <c r="D146" s="13"/>
      <c r="E146" s="13"/>
      <c r="F146" s="13"/>
      <c r="G146" s="13" t="str">
        <f aca="false">IF($A146="","",SUM($B146:$F146))</f>
        <v/>
      </c>
      <c r="H146" s="12"/>
    </row>
    <row r="147" customFormat="false" ht="15" hidden="false" customHeight="true" outlineLevel="0" collapsed="false">
      <c r="A147" s="19"/>
      <c r="B147" s="13"/>
      <c r="C147" s="13"/>
      <c r="D147" s="13"/>
      <c r="E147" s="13"/>
      <c r="F147" s="13"/>
      <c r="G147" s="13" t="str">
        <f aca="false">IF($A147="","",SUM($B147:$F147))</f>
        <v/>
      </c>
      <c r="H147" s="12"/>
    </row>
    <row r="148" customFormat="false" ht="15" hidden="false" customHeight="true" outlineLevel="0" collapsed="false">
      <c r="A148" s="19"/>
      <c r="B148" s="13"/>
      <c r="C148" s="13"/>
      <c r="D148" s="13"/>
      <c r="E148" s="13"/>
      <c r="F148" s="13"/>
      <c r="G148" s="13" t="str">
        <f aca="false">IF($A148="","",SUM($B148:$F148))</f>
        <v/>
      </c>
      <c r="H148" s="12"/>
    </row>
    <row r="149" customFormat="false" ht="15" hidden="false" customHeight="true" outlineLevel="0" collapsed="false">
      <c r="A149" s="19"/>
      <c r="B149" s="13"/>
      <c r="C149" s="13"/>
      <c r="D149" s="13"/>
      <c r="E149" s="13"/>
      <c r="F149" s="13"/>
      <c r="G149" s="13" t="str">
        <f aca="false">IF($A149="","",SUM($B149:$F149))</f>
        <v/>
      </c>
      <c r="H149" s="12"/>
    </row>
    <row r="150" customFormat="false" ht="15" hidden="false" customHeight="true" outlineLevel="0" collapsed="false">
      <c r="A150" s="19"/>
      <c r="B150" s="13"/>
      <c r="C150" s="13"/>
      <c r="D150" s="13"/>
      <c r="E150" s="13"/>
      <c r="F150" s="13"/>
      <c r="G150" s="13" t="str">
        <f aca="false">IF($A150="","",SUM($B150:$F150))</f>
        <v/>
      </c>
      <c r="H150" s="12"/>
    </row>
    <row r="151" customFormat="false" ht="15" hidden="false" customHeight="true" outlineLevel="0" collapsed="false">
      <c r="A151" s="19"/>
      <c r="B151" s="13"/>
      <c r="C151" s="13"/>
      <c r="D151" s="13"/>
      <c r="E151" s="13"/>
      <c r="F151" s="13"/>
      <c r="G151" s="13" t="str">
        <f aca="false">IF($A151="","",SUM($B151:$F151))</f>
        <v/>
      </c>
      <c r="H151" s="12"/>
    </row>
    <row r="152" customFormat="false" ht="15" hidden="false" customHeight="true" outlineLevel="0" collapsed="false">
      <c r="A152" s="19"/>
      <c r="B152" s="13"/>
      <c r="C152" s="13"/>
      <c r="D152" s="13"/>
      <c r="E152" s="13"/>
      <c r="F152" s="13"/>
      <c r="G152" s="13" t="str">
        <f aca="false">IF($A152="","",SUM($B152:$F152))</f>
        <v/>
      </c>
      <c r="H152" s="12"/>
    </row>
    <row r="153" customFormat="false" ht="15" hidden="false" customHeight="true" outlineLevel="0" collapsed="false">
      <c r="A153" s="19"/>
      <c r="B153" s="13"/>
      <c r="C153" s="13"/>
      <c r="D153" s="13"/>
      <c r="E153" s="13"/>
      <c r="F153" s="13"/>
      <c r="G153" s="13" t="str">
        <f aca="false">IF($A153="","",SUM($B153:$F153))</f>
        <v/>
      </c>
      <c r="H153" s="12"/>
    </row>
    <row r="154" customFormat="false" ht="15" hidden="false" customHeight="true" outlineLevel="0" collapsed="false">
      <c r="A154" s="19"/>
      <c r="B154" s="13"/>
      <c r="C154" s="13"/>
      <c r="D154" s="13"/>
      <c r="E154" s="13"/>
      <c r="F154" s="13"/>
      <c r="G154" s="13" t="str">
        <f aca="false">IF($A154="","",SUM($B154:$F154))</f>
        <v/>
      </c>
      <c r="H154" s="12"/>
    </row>
    <row r="155" customFormat="false" ht="15" hidden="false" customHeight="true" outlineLevel="0" collapsed="false">
      <c r="A155" s="19"/>
      <c r="B155" s="13"/>
      <c r="C155" s="13"/>
      <c r="D155" s="13"/>
      <c r="E155" s="13"/>
      <c r="F155" s="13"/>
      <c r="G155" s="13" t="str">
        <f aca="false">IF($A155="","",SUM($B155:$F155))</f>
        <v/>
      </c>
      <c r="H155" s="12"/>
    </row>
    <row r="156" customFormat="false" ht="15" hidden="false" customHeight="true" outlineLevel="0" collapsed="false">
      <c r="A156" s="19"/>
      <c r="B156" s="13"/>
      <c r="C156" s="13"/>
      <c r="D156" s="13"/>
      <c r="E156" s="13"/>
      <c r="F156" s="13"/>
      <c r="G156" s="13" t="str">
        <f aca="false">IF($A156="","",SUM($B156:$F156))</f>
        <v/>
      </c>
      <c r="H156" s="12"/>
    </row>
    <row r="157" customFormat="false" ht="15" hidden="false" customHeight="true" outlineLevel="0" collapsed="false">
      <c r="A157" s="19"/>
      <c r="B157" s="13"/>
      <c r="C157" s="13"/>
      <c r="D157" s="13"/>
      <c r="E157" s="13"/>
      <c r="F157" s="13"/>
      <c r="G157" s="13" t="str">
        <f aca="false">IF($A157="","",SUM($B157:$F157))</f>
        <v/>
      </c>
      <c r="H157" s="12"/>
    </row>
    <row r="158" customFormat="false" ht="15" hidden="false" customHeight="true" outlineLevel="0" collapsed="false">
      <c r="A158" s="19"/>
      <c r="B158" s="13"/>
      <c r="C158" s="13"/>
      <c r="D158" s="13"/>
      <c r="E158" s="13"/>
      <c r="F158" s="13"/>
      <c r="G158" s="13" t="str">
        <f aca="false">IF($A158="","",SUM($B158:$F158))</f>
        <v/>
      </c>
      <c r="H158" s="12"/>
    </row>
    <row r="159" customFormat="false" ht="15" hidden="false" customHeight="true" outlineLevel="0" collapsed="false">
      <c r="A159" s="19"/>
      <c r="B159" s="13"/>
      <c r="C159" s="13"/>
      <c r="D159" s="13"/>
      <c r="E159" s="13"/>
      <c r="F159" s="13"/>
      <c r="G159" s="13" t="str">
        <f aca="false">IF($A159="","",SUM($B159:$F159))</f>
        <v/>
      </c>
      <c r="H159" s="12"/>
    </row>
    <row r="160" customFormat="false" ht="15" hidden="false" customHeight="true" outlineLevel="0" collapsed="false">
      <c r="A160" s="19"/>
      <c r="B160" s="13"/>
      <c r="C160" s="13"/>
      <c r="D160" s="13"/>
      <c r="E160" s="13"/>
      <c r="F160" s="13"/>
      <c r="G160" s="13" t="str">
        <f aca="false">IF($A160="","",SUM($B160:$F160))</f>
        <v/>
      </c>
      <c r="H160" s="12"/>
    </row>
    <row r="161" customFormat="false" ht="15" hidden="false" customHeight="true" outlineLevel="0" collapsed="false">
      <c r="A161" s="19"/>
      <c r="B161" s="13"/>
      <c r="C161" s="13"/>
      <c r="D161" s="13"/>
      <c r="E161" s="13"/>
      <c r="F161" s="13"/>
      <c r="G161" s="13" t="str">
        <f aca="false">IF($A161="","",SUM($B161:$F161))</f>
        <v/>
      </c>
      <c r="H161" s="12"/>
    </row>
    <row r="162" customFormat="false" ht="15" hidden="false" customHeight="true" outlineLevel="0" collapsed="false">
      <c r="A162" s="19"/>
      <c r="B162" s="13"/>
      <c r="C162" s="13"/>
      <c r="D162" s="13"/>
      <c r="E162" s="13"/>
      <c r="F162" s="13"/>
      <c r="G162" s="13" t="str">
        <f aca="false">IF($A162="","",SUM($B162:$F162))</f>
        <v/>
      </c>
      <c r="H162" s="12"/>
    </row>
    <row r="163" customFormat="false" ht="15" hidden="false" customHeight="true" outlineLevel="0" collapsed="false">
      <c r="A163" s="19"/>
      <c r="B163" s="13"/>
      <c r="C163" s="13"/>
      <c r="D163" s="13"/>
      <c r="E163" s="13"/>
      <c r="F163" s="13"/>
      <c r="G163" s="13" t="str">
        <f aca="false">IF($A163="","",SUM($B163:$F163))</f>
        <v/>
      </c>
      <c r="H163" s="12"/>
    </row>
    <row r="164" customFormat="false" ht="15" hidden="false" customHeight="true" outlineLevel="0" collapsed="false">
      <c r="A164" s="19"/>
      <c r="B164" s="13"/>
      <c r="C164" s="13"/>
      <c r="D164" s="13"/>
      <c r="E164" s="13"/>
      <c r="F164" s="13"/>
      <c r="G164" s="13" t="str">
        <f aca="false">IF($A164="","",SUM($B164:$F164))</f>
        <v/>
      </c>
      <c r="H164" s="12"/>
    </row>
    <row r="165" customFormat="false" ht="15" hidden="false" customHeight="true" outlineLevel="0" collapsed="false">
      <c r="A165" s="19"/>
      <c r="B165" s="13"/>
      <c r="C165" s="13"/>
      <c r="D165" s="13"/>
      <c r="E165" s="13"/>
      <c r="F165" s="13"/>
      <c r="G165" s="13" t="str">
        <f aca="false">IF($A165="","",SUM($B165:$F165))</f>
        <v/>
      </c>
      <c r="H165" s="12"/>
    </row>
    <row r="166" customFormat="false" ht="15" hidden="false" customHeight="true" outlineLevel="0" collapsed="false">
      <c r="A166" s="19"/>
      <c r="B166" s="13"/>
      <c r="C166" s="13"/>
      <c r="D166" s="13"/>
      <c r="E166" s="13"/>
      <c r="F166" s="13"/>
      <c r="G166" s="13" t="str">
        <f aca="false">IF($A166="","",SUM($B166:$F166))</f>
        <v/>
      </c>
      <c r="H166" s="12"/>
    </row>
    <row r="167" customFormat="false" ht="15" hidden="false" customHeight="true" outlineLevel="0" collapsed="false">
      <c r="A167" s="19"/>
      <c r="B167" s="13"/>
      <c r="C167" s="13"/>
      <c r="D167" s="13"/>
      <c r="E167" s="13"/>
      <c r="F167" s="13"/>
      <c r="G167" s="13" t="str">
        <f aca="false">IF($A167="","",SUM($B167:$F167))</f>
        <v/>
      </c>
      <c r="H167" s="12"/>
    </row>
    <row r="168" customFormat="false" ht="15" hidden="false" customHeight="true" outlineLevel="0" collapsed="false">
      <c r="A168" s="19"/>
      <c r="B168" s="13"/>
      <c r="C168" s="13"/>
      <c r="D168" s="13"/>
      <c r="E168" s="13"/>
      <c r="F168" s="13"/>
      <c r="G168" s="13" t="str">
        <f aca="false">IF($A168="","",SUM($B168:$F168))</f>
        <v/>
      </c>
      <c r="H168" s="12"/>
    </row>
    <row r="169" customFormat="false" ht="15" hidden="false" customHeight="true" outlineLevel="0" collapsed="false">
      <c r="A169" s="19"/>
      <c r="B169" s="13"/>
      <c r="C169" s="13"/>
      <c r="D169" s="13"/>
      <c r="E169" s="13"/>
      <c r="F169" s="13"/>
      <c r="G169" s="13" t="str">
        <f aca="false">IF($A169="","",SUM($B169:$F169))</f>
        <v/>
      </c>
      <c r="H169" s="12"/>
    </row>
    <row r="170" customFormat="false" ht="15" hidden="false" customHeight="true" outlineLevel="0" collapsed="false">
      <c r="A170" s="19"/>
      <c r="B170" s="13"/>
      <c r="C170" s="13"/>
      <c r="D170" s="13"/>
      <c r="E170" s="13"/>
      <c r="F170" s="13"/>
      <c r="G170" s="13" t="str">
        <f aca="false">IF($A170="","",SUM($B170:$F170))</f>
        <v/>
      </c>
      <c r="H170" s="12"/>
    </row>
    <row r="171" customFormat="false" ht="15" hidden="false" customHeight="true" outlineLevel="0" collapsed="false">
      <c r="A171" s="19"/>
      <c r="B171" s="13"/>
      <c r="C171" s="13"/>
      <c r="D171" s="13"/>
      <c r="E171" s="13"/>
      <c r="F171" s="13"/>
      <c r="G171" s="13" t="str">
        <f aca="false">IF($A171="","",SUM($B171:$F171))</f>
        <v/>
      </c>
      <c r="H171" s="12"/>
    </row>
    <row r="172" customFormat="false" ht="15" hidden="false" customHeight="true" outlineLevel="0" collapsed="false">
      <c r="A172" s="19"/>
      <c r="B172" s="13"/>
      <c r="C172" s="13"/>
      <c r="D172" s="13"/>
      <c r="E172" s="13"/>
      <c r="F172" s="13"/>
      <c r="G172" s="13" t="str">
        <f aca="false">IF($A172="","",SUM($B172:$F172))</f>
        <v/>
      </c>
      <c r="H172" s="12"/>
    </row>
    <row r="173" customFormat="false" ht="15" hidden="false" customHeight="true" outlineLevel="0" collapsed="false">
      <c r="A173" s="19"/>
      <c r="B173" s="13"/>
      <c r="C173" s="13"/>
      <c r="D173" s="13"/>
      <c r="E173" s="13"/>
      <c r="F173" s="13"/>
      <c r="G173" s="13" t="str">
        <f aca="false">IF($A173="","",SUM($B173:$F173))</f>
        <v/>
      </c>
      <c r="H173" s="12"/>
    </row>
    <row r="174" customFormat="false" ht="15" hidden="false" customHeight="true" outlineLevel="0" collapsed="false">
      <c r="A174" s="19"/>
      <c r="B174" s="13"/>
      <c r="C174" s="13"/>
      <c r="D174" s="13"/>
      <c r="E174" s="13"/>
      <c r="F174" s="13"/>
      <c r="G174" s="13" t="str">
        <f aca="false">IF($A174="","",SUM($B174:$F174))</f>
        <v/>
      </c>
      <c r="H174" s="12"/>
    </row>
    <row r="175" customFormat="false" ht="15" hidden="false" customHeight="true" outlineLevel="0" collapsed="false">
      <c r="A175" s="19"/>
      <c r="B175" s="13"/>
      <c r="C175" s="13"/>
      <c r="D175" s="13"/>
      <c r="E175" s="13"/>
      <c r="F175" s="13"/>
      <c r="G175" s="13" t="str">
        <f aca="false">IF($A175="","",SUM($B175:$F175))</f>
        <v/>
      </c>
      <c r="H175" s="12"/>
    </row>
    <row r="176" customFormat="false" ht="15" hidden="false" customHeight="true" outlineLevel="0" collapsed="false">
      <c r="A176" s="19"/>
      <c r="B176" s="13"/>
      <c r="C176" s="13"/>
      <c r="D176" s="13"/>
      <c r="E176" s="13"/>
      <c r="F176" s="13"/>
      <c r="G176" s="13" t="str">
        <f aca="false">IF($A176="","",SUM($B176:$F176))</f>
        <v/>
      </c>
      <c r="H176" s="12"/>
    </row>
    <row r="177" customFormat="false" ht="15" hidden="false" customHeight="true" outlineLevel="0" collapsed="false">
      <c r="A177" s="19"/>
      <c r="B177" s="13"/>
      <c r="C177" s="13"/>
      <c r="D177" s="13"/>
      <c r="E177" s="13"/>
      <c r="F177" s="13"/>
      <c r="G177" s="13" t="str">
        <f aca="false">IF($A177="","",SUM($B177:$F177))</f>
        <v/>
      </c>
      <c r="H177" s="12"/>
    </row>
    <row r="178" customFormat="false" ht="15" hidden="false" customHeight="true" outlineLevel="0" collapsed="false">
      <c r="A178" s="19"/>
      <c r="B178" s="13"/>
      <c r="C178" s="13"/>
      <c r="D178" s="13"/>
      <c r="E178" s="13"/>
      <c r="F178" s="13"/>
      <c r="G178" s="13" t="str">
        <f aca="false">IF($A178="","",SUM($B178:$F178))</f>
        <v/>
      </c>
      <c r="H178" s="12"/>
    </row>
    <row r="179" customFormat="false" ht="15" hidden="false" customHeight="true" outlineLevel="0" collapsed="false">
      <c r="A179" s="19"/>
      <c r="B179" s="13"/>
      <c r="C179" s="13"/>
      <c r="D179" s="13"/>
      <c r="E179" s="13"/>
      <c r="F179" s="13"/>
      <c r="G179" s="13" t="str">
        <f aca="false">IF($A179="","",SUM($B179:$F179))</f>
        <v/>
      </c>
      <c r="H179" s="12"/>
    </row>
    <row r="180" customFormat="false" ht="15" hidden="false" customHeight="true" outlineLevel="0" collapsed="false">
      <c r="A180" s="19"/>
      <c r="B180" s="13"/>
      <c r="C180" s="13"/>
      <c r="D180" s="13"/>
      <c r="E180" s="13"/>
      <c r="F180" s="13"/>
      <c r="G180" s="13" t="str">
        <f aca="false">IF($A180="","",SUM($B180:$F180))</f>
        <v/>
      </c>
      <c r="H180" s="12"/>
    </row>
    <row r="181" customFormat="false" ht="15" hidden="false" customHeight="true" outlineLevel="0" collapsed="false">
      <c r="A181" s="19"/>
      <c r="B181" s="13"/>
      <c r="C181" s="13"/>
      <c r="D181" s="13"/>
      <c r="E181" s="13"/>
      <c r="F181" s="13"/>
      <c r="G181" s="13" t="str">
        <f aca="false">IF($A181="","",SUM($B181:$F181))</f>
        <v/>
      </c>
      <c r="H181" s="12"/>
    </row>
    <row r="182" customFormat="false" ht="15" hidden="false" customHeight="true" outlineLevel="0" collapsed="false">
      <c r="A182" s="19"/>
      <c r="B182" s="13"/>
      <c r="C182" s="13"/>
      <c r="D182" s="13"/>
      <c r="E182" s="13"/>
      <c r="F182" s="13"/>
      <c r="G182" s="13" t="str">
        <f aca="false">IF($A182="","",SUM($B182:$F182))</f>
        <v/>
      </c>
      <c r="H182" s="12"/>
    </row>
    <row r="183" customFormat="false" ht="15" hidden="false" customHeight="true" outlineLevel="0" collapsed="false">
      <c r="A183" s="19"/>
      <c r="B183" s="13"/>
      <c r="C183" s="13"/>
      <c r="D183" s="13"/>
      <c r="E183" s="13"/>
      <c r="F183" s="13"/>
      <c r="G183" s="13" t="str">
        <f aca="false">IF($A183="","",SUM($B183:$F183))</f>
        <v/>
      </c>
      <c r="H183" s="12"/>
    </row>
    <row r="184" customFormat="false" ht="15" hidden="false" customHeight="true" outlineLevel="0" collapsed="false">
      <c r="A184" s="19"/>
      <c r="B184" s="13"/>
      <c r="C184" s="13"/>
      <c r="D184" s="13"/>
      <c r="E184" s="13"/>
      <c r="F184" s="13"/>
      <c r="G184" s="13" t="str">
        <f aca="false">IF($A184="","",SUM($B184:$F184))</f>
        <v/>
      </c>
      <c r="H184" s="12"/>
    </row>
    <row r="185" customFormat="false" ht="15" hidden="false" customHeight="true" outlineLevel="0" collapsed="false">
      <c r="A185" s="19"/>
      <c r="B185" s="13"/>
      <c r="C185" s="13"/>
      <c r="D185" s="13"/>
      <c r="E185" s="13"/>
      <c r="F185" s="13"/>
      <c r="G185" s="13" t="str">
        <f aca="false">IF($A185="","",SUM($B185:$F185))</f>
        <v/>
      </c>
      <c r="H185" s="12"/>
    </row>
    <row r="186" customFormat="false" ht="15" hidden="false" customHeight="true" outlineLevel="0" collapsed="false">
      <c r="A186" s="19"/>
      <c r="B186" s="13"/>
      <c r="C186" s="13"/>
      <c r="D186" s="13"/>
      <c r="E186" s="13"/>
      <c r="F186" s="13"/>
      <c r="G186" s="13" t="str">
        <f aca="false">IF($A186="","",SUM($B186:$F186))</f>
        <v/>
      </c>
      <c r="H186" s="12"/>
    </row>
    <row r="187" customFormat="false" ht="15" hidden="false" customHeight="true" outlineLevel="0" collapsed="false">
      <c r="A187" s="19"/>
      <c r="B187" s="13"/>
      <c r="C187" s="13"/>
      <c r="D187" s="13"/>
      <c r="E187" s="13"/>
      <c r="F187" s="13"/>
      <c r="G187" s="13" t="str">
        <f aca="false">IF($A187="","",SUM($B187:$F187))</f>
        <v/>
      </c>
      <c r="H187" s="12"/>
    </row>
    <row r="188" customFormat="false" ht="15" hidden="false" customHeight="true" outlineLevel="0" collapsed="false">
      <c r="A188" s="19"/>
      <c r="B188" s="13"/>
      <c r="C188" s="13"/>
      <c r="D188" s="13"/>
      <c r="E188" s="13"/>
      <c r="F188" s="13"/>
      <c r="G188" s="13" t="str">
        <f aca="false">IF($A188="","",SUM($B188:$F188))</f>
        <v/>
      </c>
      <c r="H188" s="12"/>
    </row>
    <row r="189" customFormat="false" ht="15" hidden="false" customHeight="true" outlineLevel="0" collapsed="false">
      <c r="A189" s="19"/>
      <c r="B189" s="13"/>
      <c r="C189" s="13"/>
      <c r="D189" s="13"/>
      <c r="E189" s="13"/>
      <c r="F189" s="13"/>
      <c r="G189" s="13" t="str">
        <f aca="false">IF($A189="","",SUM($B189:$F189))</f>
        <v/>
      </c>
      <c r="H189" s="12"/>
    </row>
    <row r="190" customFormat="false" ht="15" hidden="false" customHeight="true" outlineLevel="0" collapsed="false">
      <c r="A190" s="19"/>
      <c r="B190" s="13"/>
      <c r="C190" s="13"/>
      <c r="D190" s="13"/>
      <c r="E190" s="13"/>
      <c r="F190" s="13"/>
      <c r="G190" s="13" t="str">
        <f aca="false">IF($A190="","",SUM($B190:$F190))</f>
        <v/>
      </c>
      <c r="H190" s="12"/>
    </row>
    <row r="191" customFormat="false" ht="15" hidden="false" customHeight="true" outlineLevel="0" collapsed="false">
      <c r="A191" s="19"/>
      <c r="B191" s="13"/>
      <c r="C191" s="13"/>
      <c r="D191" s="13"/>
      <c r="E191" s="13"/>
      <c r="F191" s="13"/>
      <c r="G191" s="13" t="str">
        <f aca="false">IF($A191="","",SUM($B191:$F191))</f>
        <v/>
      </c>
      <c r="H191" s="12"/>
    </row>
    <row r="192" customFormat="false" ht="15" hidden="false" customHeight="true" outlineLevel="0" collapsed="false">
      <c r="A192" s="19"/>
      <c r="B192" s="13"/>
      <c r="C192" s="13"/>
      <c r="D192" s="13"/>
      <c r="E192" s="13"/>
      <c r="F192" s="13"/>
      <c r="G192" s="13" t="str">
        <f aca="false">IF($A192="","",SUM($B192:$F192))</f>
        <v/>
      </c>
      <c r="H192" s="12"/>
    </row>
    <row r="193" customFormat="false" ht="15" hidden="false" customHeight="true" outlineLevel="0" collapsed="false">
      <c r="A193" s="19"/>
      <c r="B193" s="13"/>
      <c r="C193" s="13"/>
      <c r="D193" s="13"/>
      <c r="E193" s="13"/>
      <c r="F193" s="13"/>
      <c r="G193" s="13" t="str">
        <f aca="false">IF($A193="","",SUM($B193:$F193))</f>
        <v/>
      </c>
      <c r="H193" s="12"/>
    </row>
    <row r="194" customFormat="false" ht="15" hidden="false" customHeight="true" outlineLevel="0" collapsed="false">
      <c r="A194" s="19"/>
      <c r="B194" s="13"/>
      <c r="C194" s="13"/>
      <c r="D194" s="13"/>
      <c r="E194" s="13"/>
      <c r="F194" s="13"/>
      <c r="G194" s="13" t="str">
        <f aca="false">IF($A194="","",SUM($B194:$F194))</f>
        <v/>
      </c>
      <c r="H194" s="12"/>
    </row>
    <row r="195" customFormat="false" ht="15" hidden="false" customHeight="true" outlineLevel="0" collapsed="false">
      <c r="A195" s="19"/>
      <c r="B195" s="13"/>
      <c r="C195" s="13"/>
      <c r="D195" s="13"/>
      <c r="E195" s="13"/>
      <c r="F195" s="13"/>
      <c r="G195" s="13" t="str">
        <f aca="false">IF($A195="","",SUM($B195:$F195))</f>
        <v/>
      </c>
      <c r="H195" s="12"/>
    </row>
    <row r="196" customFormat="false" ht="15" hidden="false" customHeight="true" outlineLevel="0" collapsed="false">
      <c r="A196" s="19"/>
      <c r="B196" s="13"/>
      <c r="C196" s="13"/>
      <c r="D196" s="13"/>
      <c r="E196" s="13"/>
      <c r="F196" s="13"/>
      <c r="G196" s="13" t="str">
        <f aca="false">IF($A196="","",SUM($B196:$F196))</f>
        <v/>
      </c>
      <c r="H196" s="12"/>
    </row>
    <row r="197" customFormat="false" ht="15" hidden="false" customHeight="true" outlineLevel="0" collapsed="false">
      <c r="A197" s="19"/>
      <c r="B197" s="13"/>
      <c r="C197" s="13"/>
      <c r="D197" s="13"/>
      <c r="E197" s="13"/>
      <c r="F197" s="13"/>
      <c r="G197" s="13" t="str">
        <f aca="false">IF($A197="","",SUM($B197:$F197))</f>
        <v/>
      </c>
      <c r="H197" s="12"/>
    </row>
    <row r="198" customFormat="false" ht="15" hidden="false" customHeight="true" outlineLevel="0" collapsed="false">
      <c r="A198" s="19"/>
      <c r="B198" s="13"/>
      <c r="C198" s="13"/>
      <c r="D198" s="13"/>
      <c r="E198" s="13"/>
      <c r="F198" s="13"/>
      <c r="G198" s="13" t="str">
        <f aca="false">IF($A198="","",SUM($B198:$F198))</f>
        <v/>
      </c>
      <c r="H198" s="12"/>
    </row>
    <row r="199" customFormat="false" ht="15" hidden="false" customHeight="true" outlineLevel="0" collapsed="false">
      <c r="A199" s="19"/>
      <c r="B199" s="13"/>
      <c r="C199" s="13"/>
      <c r="D199" s="13"/>
      <c r="E199" s="13"/>
      <c r="F199" s="13"/>
      <c r="G199" s="13" t="str">
        <f aca="false">IF($A199="","",SUM($B199:$F199))</f>
        <v/>
      </c>
      <c r="H199" s="12"/>
    </row>
    <row r="200" customFormat="false" ht="15" hidden="false" customHeight="true" outlineLevel="0" collapsed="false">
      <c r="A200" s="19"/>
      <c r="B200" s="13"/>
      <c r="C200" s="13"/>
      <c r="D200" s="13"/>
      <c r="E200" s="13"/>
      <c r="F200" s="13"/>
      <c r="G200" s="13" t="str">
        <f aca="false">IF($A200="","",SUM($B200:$F200))</f>
        <v/>
      </c>
      <c r="H200" s="12"/>
    </row>
    <row r="201" customFormat="false" ht="15" hidden="false" customHeight="true" outlineLevel="0" collapsed="false">
      <c r="A201" s="19"/>
      <c r="B201" s="13"/>
      <c r="C201" s="13"/>
      <c r="D201" s="13"/>
      <c r="E201" s="13"/>
      <c r="F201" s="13"/>
      <c r="G201" s="13" t="str">
        <f aca="false">IF($A201="","",SUM($B201:$F201))</f>
        <v/>
      </c>
      <c r="H201" s="12"/>
    </row>
    <row r="202" customFormat="false" ht="15" hidden="false" customHeight="true" outlineLevel="0" collapsed="false">
      <c r="A202" s="19"/>
      <c r="B202" s="13"/>
      <c r="C202" s="13"/>
      <c r="D202" s="13"/>
      <c r="E202" s="13"/>
      <c r="F202" s="13"/>
      <c r="G202" s="13" t="str">
        <f aca="false">IF($A202="","",SUM($B202:$F202))</f>
        <v/>
      </c>
      <c r="H202" s="12"/>
    </row>
    <row r="203" customFormat="false" ht="15" hidden="false" customHeight="true" outlineLevel="0" collapsed="false">
      <c r="A203" s="19"/>
      <c r="B203" s="13"/>
      <c r="C203" s="13"/>
      <c r="D203" s="13"/>
      <c r="E203" s="13"/>
      <c r="F203" s="13"/>
      <c r="G203" s="13" t="str">
        <f aca="false">IF($A203="","",SUM($B203:$F203))</f>
        <v/>
      </c>
      <c r="H203" s="12"/>
    </row>
    <row r="204" customFormat="false" ht="15" hidden="false" customHeight="true" outlineLevel="0" collapsed="false">
      <c r="A204" s="19"/>
      <c r="B204" s="13"/>
      <c r="C204" s="13"/>
      <c r="D204" s="13"/>
      <c r="E204" s="13"/>
      <c r="F204" s="13"/>
      <c r="G204" s="13" t="str">
        <f aca="false">IF($A204="","",SUM($B204:$F204))</f>
        <v/>
      </c>
      <c r="H204" s="12"/>
    </row>
    <row r="205" customFormat="false" ht="15" hidden="false" customHeight="true" outlineLevel="0" collapsed="false">
      <c r="A205" s="19"/>
      <c r="B205" s="13"/>
      <c r="C205" s="13"/>
      <c r="D205" s="13"/>
      <c r="E205" s="13"/>
      <c r="F205" s="13"/>
      <c r="G205" s="13" t="str">
        <f aca="false">IF($A205="","",SUM($B205:$F205))</f>
        <v/>
      </c>
      <c r="H205" s="12"/>
    </row>
    <row r="206" customFormat="false" ht="15" hidden="false" customHeight="true" outlineLevel="0" collapsed="false">
      <c r="A206" s="19"/>
      <c r="B206" s="13"/>
      <c r="C206" s="13"/>
      <c r="D206" s="13"/>
      <c r="E206" s="13"/>
      <c r="F206" s="13"/>
      <c r="G206" s="13" t="str">
        <f aca="false">IF($A206="","",SUM($B206:$F206))</f>
        <v/>
      </c>
      <c r="H206" s="12"/>
    </row>
    <row r="207" customFormat="false" ht="15" hidden="false" customHeight="true" outlineLevel="0" collapsed="false">
      <c r="A207" s="19"/>
      <c r="B207" s="13"/>
      <c r="C207" s="13"/>
      <c r="D207" s="13"/>
      <c r="E207" s="13"/>
      <c r="F207" s="13"/>
      <c r="G207" s="13" t="str">
        <f aca="false">IF($A207="","",SUM($B207:$F207))</f>
        <v/>
      </c>
      <c r="H207" s="12"/>
    </row>
    <row r="208" customFormat="false" ht="15" hidden="false" customHeight="true" outlineLevel="0" collapsed="false">
      <c r="A208" s="19"/>
      <c r="B208" s="13"/>
      <c r="C208" s="13"/>
      <c r="D208" s="13"/>
      <c r="E208" s="13"/>
      <c r="F208" s="13"/>
      <c r="G208" s="13" t="str">
        <f aca="false">IF($A208="","",SUM($B208:$F208))</f>
        <v/>
      </c>
      <c r="H208" s="12"/>
    </row>
    <row r="209" customFormat="false" ht="15" hidden="false" customHeight="true" outlineLevel="0" collapsed="false">
      <c r="A209" s="19"/>
      <c r="B209" s="13"/>
      <c r="C209" s="13"/>
      <c r="D209" s="13"/>
      <c r="E209" s="13"/>
      <c r="F209" s="13"/>
      <c r="G209" s="13" t="str">
        <f aca="false">IF($A209="","",SUM($B209:$F209))</f>
        <v/>
      </c>
      <c r="H209" s="12"/>
    </row>
    <row r="210" customFormat="false" ht="15" hidden="false" customHeight="true" outlineLevel="0" collapsed="false">
      <c r="A210" s="19"/>
      <c r="B210" s="13"/>
      <c r="C210" s="13"/>
      <c r="D210" s="13"/>
      <c r="E210" s="13"/>
      <c r="F210" s="13"/>
      <c r="G210" s="13" t="str">
        <f aca="false">IF($A210="","",SUM($B210:$F210))</f>
        <v/>
      </c>
      <c r="H210" s="12"/>
    </row>
    <row r="211" customFormat="false" ht="15" hidden="false" customHeight="true" outlineLevel="0" collapsed="false">
      <c r="A211" s="19"/>
      <c r="B211" s="13"/>
      <c r="C211" s="13"/>
      <c r="D211" s="13"/>
      <c r="E211" s="13"/>
      <c r="F211" s="13"/>
      <c r="G211" s="13" t="str">
        <f aca="false">IF($A211="","",SUM($B211:$F211))</f>
        <v/>
      </c>
      <c r="H211" s="12"/>
    </row>
    <row r="212" customFormat="false" ht="15" hidden="false" customHeight="true" outlineLevel="0" collapsed="false">
      <c r="A212" s="19"/>
      <c r="B212" s="13"/>
      <c r="C212" s="13"/>
      <c r="D212" s="13"/>
      <c r="E212" s="13"/>
      <c r="F212" s="13"/>
      <c r="G212" s="13" t="str">
        <f aca="false">IF($A212="","",SUM($B212:$F212))</f>
        <v/>
      </c>
      <c r="H212" s="12"/>
    </row>
    <row r="213" customFormat="false" ht="15" hidden="false" customHeight="true" outlineLevel="0" collapsed="false">
      <c r="A213" s="19"/>
      <c r="B213" s="13"/>
      <c r="C213" s="13"/>
      <c r="D213" s="13"/>
      <c r="E213" s="13"/>
      <c r="F213" s="13"/>
      <c r="G213" s="13" t="str">
        <f aca="false">IF($A213="","",SUM($B213:$F213))</f>
        <v/>
      </c>
      <c r="H213" s="12"/>
    </row>
    <row r="214" customFormat="false" ht="15" hidden="false" customHeight="true" outlineLevel="0" collapsed="false">
      <c r="A214" s="19"/>
      <c r="B214" s="13"/>
      <c r="C214" s="13"/>
      <c r="D214" s="13"/>
      <c r="E214" s="13"/>
      <c r="F214" s="13"/>
      <c r="G214" s="13" t="str">
        <f aca="false">IF($A214="","",SUM($B214:$F214))</f>
        <v/>
      </c>
      <c r="H214" s="12"/>
    </row>
    <row r="215" customFormat="false" ht="15" hidden="false" customHeight="true" outlineLevel="0" collapsed="false">
      <c r="A215" s="19"/>
      <c r="B215" s="13"/>
      <c r="C215" s="13"/>
      <c r="D215" s="13"/>
      <c r="E215" s="13"/>
      <c r="F215" s="13"/>
      <c r="G215" s="13" t="str">
        <f aca="false">IF($A215="","",SUM($B215:$F215))</f>
        <v/>
      </c>
      <c r="H215" s="12"/>
    </row>
    <row r="216" customFormat="false" ht="15" hidden="false" customHeight="true" outlineLevel="0" collapsed="false">
      <c r="A216" s="19"/>
      <c r="B216" s="13"/>
      <c r="C216" s="13"/>
      <c r="D216" s="13"/>
      <c r="E216" s="13"/>
      <c r="F216" s="13"/>
      <c r="G216" s="13" t="str">
        <f aca="false">IF($A216="","",SUM($B216:$F216))</f>
        <v/>
      </c>
      <c r="H216" s="12"/>
    </row>
    <row r="217" customFormat="false" ht="15" hidden="false" customHeight="true" outlineLevel="0" collapsed="false">
      <c r="A217" s="19"/>
      <c r="B217" s="13"/>
      <c r="C217" s="13"/>
      <c r="D217" s="13"/>
      <c r="E217" s="13"/>
      <c r="F217" s="13"/>
      <c r="G217" s="13" t="str">
        <f aca="false">IF($A217="","",SUM($B217:$F217))</f>
        <v/>
      </c>
      <c r="H217" s="12"/>
    </row>
    <row r="218" customFormat="false" ht="15" hidden="false" customHeight="true" outlineLevel="0" collapsed="false">
      <c r="A218" s="19"/>
      <c r="B218" s="13"/>
      <c r="C218" s="13"/>
      <c r="D218" s="13"/>
      <c r="E218" s="13"/>
      <c r="F218" s="13"/>
      <c r="G218" s="13" t="str">
        <f aca="false">IF($A218="","",SUM($B218:$F218))</f>
        <v/>
      </c>
      <c r="H218" s="12"/>
    </row>
    <row r="219" customFormat="false" ht="15" hidden="false" customHeight="true" outlineLevel="0" collapsed="false">
      <c r="A219" s="19"/>
      <c r="B219" s="13"/>
      <c r="C219" s="13"/>
      <c r="D219" s="13"/>
      <c r="E219" s="13"/>
      <c r="F219" s="13"/>
      <c r="G219" s="13" t="str">
        <f aca="false">IF($A219="","",SUM($B219:$F219))</f>
        <v/>
      </c>
      <c r="H219" s="12"/>
    </row>
    <row r="220" customFormat="false" ht="15" hidden="false" customHeight="true" outlineLevel="0" collapsed="false">
      <c r="A220" s="19"/>
      <c r="B220" s="13"/>
      <c r="C220" s="13"/>
      <c r="D220" s="13"/>
      <c r="E220" s="13"/>
      <c r="F220" s="13"/>
      <c r="G220" s="13" t="str">
        <f aca="false">IF($A220="","",SUM($B220:$F220))</f>
        <v/>
      </c>
      <c r="H220" s="12"/>
    </row>
    <row r="221" customFormat="false" ht="15" hidden="false" customHeight="true" outlineLevel="0" collapsed="false">
      <c r="A221" s="19"/>
      <c r="B221" s="13"/>
      <c r="C221" s="13"/>
      <c r="D221" s="13"/>
      <c r="E221" s="13"/>
      <c r="F221" s="13"/>
      <c r="G221" s="13" t="str">
        <f aca="false">IF($A221="","",SUM($B221:$F221))</f>
        <v/>
      </c>
      <c r="H221" s="12"/>
    </row>
    <row r="222" customFormat="false" ht="15" hidden="false" customHeight="true" outlineLevel="0" collapsed="false">
      <c r="A222" s="19"/>
      <c r="B222" s="13"/>
      <c r="C222" s="13"/>
      <c r="D222" s="13"/>
      <c r="E222" s="13"/>
      <c r="F222" s="13"/>
      <c r="G222" s="13" t="str">
        <f aca="false">IF($A222="","",SUM($B222:$F222))</f>
        <v/>
      </c>
      <c r="H222" s="12"/>
    </row>
    <row r="223" customFormat="false" ht="15" hidden="false" customHeight="true" outlineLevel="0" collapsed="false">
      <c r="A223" s="19"/>
      <c r="B223" s="13"/>
      <c r="C223" s="13"/>
      <c r="D223" s="13"/>
      <c r="E223" s="13"/>
      <c r="F223" s="13"/>
      <c r="G223" s="13" t="str">
        <f aca="false">IF($A223="","",SUM($B223:$F223))</f>
        <v/>
      </c>
      <c r="H223" s="12"/>
    </row>
    <row r="224" customFormat="false" ht="15" hidden="false" customHeight="true" outlineLevel="0" collapsed="false">
      <c r="A224" s="19"/>
      <c r="B224" s="13"/>
      <c r="C224" s="13"/>
      <c r="D224" s="13"/>
      <c r="E224" s="13"/>
      <c r="F224" s="13"/>
      <c r="G224" s="13" t="str">
        <f aca="false">IF($A224="","",SUM($B224:$F224))</f>
        <v/>
      </c>
      <c r="H224" s="12"/>
    </row>
    <row r="225" customFormat="false" ht="15" hidden="false" customHeight="true" outlineLevel="0" collapsed="false">
      <c r="A225" s="19"/>
      <c r="B225" s="13"/>
      <c r="C225" s="13"/>
      <c r="D225" s="13"/>
      <c r="E225" s="13"/>
      <c r="F225" s="13"/>
      <c r="G225" s="13" t="str">
        <f aca="false">IF($A225="","",SUM($B225:$F225))</f>
        <v/>
      </c>
      <c r="H225" s="12"/>
    </row>
    <row r="226" customFormat="false" ht="15" hidden="false" customHeight="true" outlineLevel="0" collapsed="false">
      <c r="A226" s="19"/>
      <c r="B226" s="13"/>
      <c r="C226" s="13"/>
      <c r="D226" s="13"/>
      <c r="E226" s="13"/>
      <c r="F226" s="13"/>
      <c r="G226" s="13" t="str">
        <f aca="false">IF($A226="","",SUM($B226:$F226))</f>
        <v/>
      </c>
      <c r="H226" s="12"/>
    </row>
    <row r="227" customFormat="false" ht="15" hidden="false" customHeight="true" outlineLevel="0" collapsed="false">
      <c r="A227" s="19"/>
      <c r="B227" s="13"/>
      <c r="C227" s="13"/>
      <c r="D227" s="13"/>
      <c r="E227" s="13"/>
      <c r="F227" s="13"/>
      <c r="G227" s="13" t="str">
        <f aca="false">IF($A227="","",SUM($B227:$F227))</f>
        <v/>
      </c>
      <c r="H227" s="12"/>
    </row>
    <row r="228" customFormat="false" ht="15" hidden="false" customHeight="true" outlineLevel="0" collapsed="false">
      <c r="A228" s="19"/>
      <c r="B228" s="13"/>
      <c r="C228" s="13"/>
      <c r="D228" s="13"/>
      <c r="E228" s="13"/>
      <c r="F228" s="13"/>
      <c r="G228" s="13" t="str">
        <f aca="false">IF($A228="","",SUM($B228:$F228))</f>
        <v/>
      </c>
      <c r="H228" s="12"/>
    </row>
    <row r="229" customFormat="false" ht="15" hidden="false" customHeight="true" outlineLevel="0" collapsed="false">
      <c r="A229" s="19"/>
      <c r="B229" s="13"/>
      <c r="C229" s="13"/>
      <c r="D229" s="13"/>
      <c r="E229" s="13"/>
      <c r="F229" s="13"/>
      <c r="G229" s="13" t="str">
        <f aca="false">IF($A229="","",SUM($B229:$F229))</f>
        <v/>
      </c>
      <c r="H229" s="12"/>
    </row>
    <row r="230" customFormat="false" ht="15" hidden="false" customHeight="true" outlineLevel="0" collapsed="false">
      <c r="A230" s="19"/>
      <c r="B230" s="13"/>
      <c r="C230" s="13"/>
      <c r="D230" s="13"/>
      <c r="E230" s="13"/>
      <c r="F230" s="13"/>
      <c r="G230" s="13" t="str">
        <f aca="false">IF($A230="","",SUM($B230:$F230))</f>
        <v/>
      </c>
      <c r="H230" s="12"/>
    </row>
    <row r="231" customFormat="false" ht="15" hidden="false" customHeight="true" outlineLevel="0" collapsed="false">
      <c r="A231" s="19"/>
      <c r="B231" s="13"/>
      <c r="C231" s="13"/>
      <c r="D231" s="13"/>
      <c r="E231" s="13"/>
      <c r="F231" s="13"/>
      <c r="G231" s="13" t="str">
        <f aca="false">IF($A231="","",SUM($B231:$F231))</f>
        <v/>
      </c>
      <c r="H231" s="12"/>
    </row>
    <row r="232" customFormat="false" ht="15" hidden="false" customHeight="true" outlineLevel="0" collapsed="false">
      <c r="A232" s="19"/>
      <c r="B232" s="13"/>
      <c r="C232" s="13"/>
      <c r="D232" s="13"/>
      <c r="E232" s="13"/>
      <c r="F232" s="13"/>
      <c r="G232" s="13" t="str">
        <f aca="false">IF($A232="","",SUM($B232:$F232))</f>
        <v/>
      </c>
      <c r="H232" s="12"/>
    </row>
    <row r="233" customFormat="false" ht="15" hidden="false" customHeight="true" outlineLevel="0" collapsed="false">
      <c r="A233" s="19"/>
      <c r="B233" s="13"/>
      <c r="C233" s="13"/>
      <c r="D233" s="13"/>
      <c r="E233" s="13"/>
      <c r="F233" s="13"/>
      <c r="G233" s="13" t="str">
        <f aca="false">IF($A233="","",SUM($B233:$F233))</f>
        <v/>
      </c>
      <c r="H233" s="12"/>
    </row>
    <row r="234" customFormat="false" ht="15" hidden="false" customHeight="true" outlineLevel="0" collapsed="false">
      <c r="A234" s="19"/>
      <c r="B234" s="13"/>
      <c r="C234" s="13"/>
      <c r="D234" s="13"/>
      <c r="E234" s="13"/>
      <c r="F234" s="13"/>
      <c r="G234" s="13" t="str">
        <f aca="false">IF($A234="","",SUM($B234:$F234))</f>
        <v/>
      </c>
      <c r="H234" s="12"/>
    </row>
    <row r="235" customFormat="false" ht="15" hidden="false" customHeight="true" outlineLevel="0" collapsed="false">
      <c r="A235" s="19"/>
      <c r="B235" s="13"/>
      <c r="C235" s="13"/>
      <c r="D235" s="13"/>
      <c r="E235" s="13"/>
      <c r="F235" s="13"/>
      <c r="G235" s="13" t="str">
        <f aca="false">IF($A235="","",SUM($B235:$F235))</f>
        <v/>
      </c>
      <c r="H235" s="12"/>
    </row>
    <row r="236" customFormat="false" ht="15" hidden="false" customHeight="true" outlineLevel="0" collapsed="false">
      <c r="A236" s="19"/>
      <c r="B236" s="13"/>
      <c r="C236" s="13"/>
      <c r="D236" s="13"/>
      <c r="E236" s="13"/>
      <c r="F236" s="13"/>
      <c r="G236" s="13" t="str">
        <f aca="false">IF($A236="","",SUM($B236:$F236))</f>
        <v/>
      </c>
      <c r="H236" s="12"/>
    </row>
    <row r="237" customFormat="false" ht="15" hidden="false" customHeight="true" outlineLevel="0" collapsed="false">
      <c r="A237" s="19"/>
      <c r="B237" s="13"/>
      <c r="C237" s="13"/>
      <c r="D237" s="13"/>
      <c r="E237" s="13"/>
      <c r="F237" s="13"/>
      <c r="G237" s="13" t="str">
        <f aca="false">IF($A237="","",SUM($B237:$F237))</f>
        <v/>
      </c>
      <c r="H237" s="12"/>
    </row>
    <row r="238" customFormat="false" ht="15" hidden="false" customHeight="true" outlineLevel="0" collapsed="false">
      <c r="A238" s="19"/>
      <c r="B238" s="13"/>
      <c r="C238" s="13"/>
      <c r="D238" s="13"/>
      <c r="E238" s="13"/>
      <c r="F238" s="13"/>
      <c r="G238" s="13" t="str">
        <f aca="false">IF($A238="","",SUM($B238:$F238))</f>
        <v/>
      </c>
      <c r="H238" s="12"/>
    </row>
    <row r="239" customFormat="false" ht="15" hidden="false" customHeight="true" outlineLevel="0" collapsed="false">
      <c r="A239" s="19"/>
      <c r="B239" s="13"/>
      <c r="C239" s="13"/>
      <c r="D239" s="13"/>
      <c r="E239" s="13"/>
      <c r="F239" s="13"/>
      <c r="G239" s="13" t="str">
        <f aca="false">IF($A239="","",SUM($B239:$F239))</f>
        <v/>
      </c>
      <c r="H239" s="12"/>
    </row>
    <row r="240" customFormat="false" ht="15" hidden="false" customHeight="true" outlineLevel="0" collapsed="false">
      <c r="A240" s="19"/>
      <c r="B240" s="13"/>
      <c r="C240" s="13"/>
      <c r="D240" s="13"/>
      <c r="E240" s="13"/>
      <c r="F240" s="13"/>
      <c r="G240" s="13" t="str">
        <f aca="false">IF($A240="","",SUM($B240:$F240))</f>
        <v/>
      </c>
      <c r="H240" s="12"/>
    </row>
    <row r="241" customFormat="false" ht="15" hidden="false" customHeight="true" outlineLevel="0" collapsed="false">
      <c r="A241" s="19"/>
      <c r="B241" s="13"/>
      <c r="C241" s="13"/>
      <c r="D241" s="13"/>
      <c r="E241" s="13"/>
      <c r="F241" s="13"/>
      <c r="G241" s="13" t="str">
        <f aca="false">IF($A241="","",SUM($B241:$F241))</f>
        <v/>
      </c>
      <c r="H241" s="12"/>
    </row>
    <row r="242" customFormat="false" ht="15" hidden="false" customHeight="true" outlineLevel="0" collapsed="false">
      <c r="A242" s="19"/>
      <c r="B242" s="13"/>
      <c r="C242" s="13"/>
      <c r="D242" s="13"/>
      <c r="E242" s="13"/>
      <c r="F242" s="13"/>
      <c r="G242" s="13" t="str">
        <f aca="false">IF($A242="","",SUM($B242:$F242))</f>
        <v/>
      </c>
      <c r="H242" s="12"/>
    </row>
    <row r="243" customFormat="false" ht="15" hidden="false" customHeight="true" outlineLevel="0" collapsed="false">
      <c r="A243" s="19"/>
      <c r="B243" s="13"/>
      <c r="C243" s="13"/>
      <c r="D243" s="13"/>
      <c r="E243" s="13"/>
      <c r="F243" s="13"/>
      <c r="G243" s="13" t="str">
        <f aca="false">IF($A243="","",SUM($B243:$F243))</f>
        <v/>
      </c>
      <c r="H243" s="12"/>
    </row>
    <row r="244" customFormat="false" ht="15" hidden="false" customHeight="true" outlineLevel="0" collapsed="false">
      <c r="A244" s="19"/>
      <c r="B244" s="13"/>
      <c r="C244" s="13"/>
      <c r="D244" s="13"/>
      <c r="E244" s="13"/>
      <c r="F244" s="13"/>
      <c r="G244" s="13" t="str">
        <f aca="false">IF($A244="","",SUM($B244:$F244))</f>
        <v/>
      </c>
      <c r="H244" s="12"/>
    </row>
    <row r="245" customFormat="false" ht="15" hidden="false" customHeight="true" outlineLevel="0" collapsed="false">
      <c r="A245" s="19"/>
      <c r="B245" s="13"/>
      <c r="C245" s="13"/>
      <c r="D245" s="13"/>
      <c r="E245" s="13"/>
      <c r="F245" s="13"/>
      <c r="G245" s="13" t="str">
        <f aca="false">IF($A245="","",SUM($B245:$F245))</f>
        <v/>
      </c>
      <c r="H245" s="12"/>
    </row>
    <row r="246" customFormat="false" ht="15" hidden="false" customHeight="true" outlineLevel="0" collapsed="false">
      <c r="A246" s="19"/>
      <c r="B246" s="13"/>
      <c r="C246" s="13"/>
      <c r="D246" s="13"/>
      <c r="E246" s="13"/>
      <c r="F246" s="13"/>
      <c r="G246" s="13" t="str">
        <f aca="false">IF($A246="","",SUM($B246:$F246))</f>
        <v/>
      </c>
      <c r="H246" s="12"/>
    </row>
    <row r="247" customFormat="false" ht="15" hidden="false" customHeight="true" outlineLevel="0" collapsed="false">
      <c r="A247" s="19"/>
      <c r="B247" s="13"/>
      <c r="C247" s="13"/>
      <c r="D247" s="13"/>
      <c r="E247" s="13"/>
      <c r="F247" s="13"/>
      <c r="G247" s="13" t="str">
        <f aca="false">IF($A247="","",SUM($B247:$F247))</f>
        <v/>
      </c>
      <c r="H247" s="12"/>
    </row>
    <row r="248" customFormat="false" ht="15" hidden="false" customHeight="true" outlineLevel="0" collapsed="false">
      <c r="A248" s="19"/>
      <c r="B248" s="13"/>
      <c r="C248" s="13"/>
      <c r="D248" s="13"/>
      <c r="E248" s="13"/>
      <c r="F248" s="13"/>
      <c r="G248" s="13" t="str">
        <f aca="false">IF($A248="","",SUM($B248:$F248))</f>
        <v/>
      </c>
      <c r="H248" s="12"/>
    </row>
    <row r="249" customFormat="false" ht="15" hidden="false" customHeight="true" outlineLevel="0" collapsed="false">
      <c r="A249" s="19"/>
      <c r="B249" s="13"/>
      <c r="C249" s="13"/>
      <c r="D249" s="13"/>
      <c r="E249" s="13"/>
      <c r="F249" s="13"/>
      <c r="G249" s="13" t="str">
        <f aca="false">IF($A249="","",SUM($B249:$F249))</f>
        <v/>
      </c>
      <c r="H249" s="12"/>
    </row>
    <row r="250" customFormat="false" ht="15" hidden="false" customHeight="true" outlineLevel="0" collapsed="false">
      <c r="A250" s="19"/>
      <c r="B250" s="13"/>
      <c r="C250" s="13"/>
      <c r="D250" s="13"/>
      <c r="E250" s="13"/>
      <c r="F250" s="13"/>
      <c r="G250" s="13" t="str">
        <f aca="false">IF($A250="","",SUM($B250:$F250))</f>
        <v/>
      </c>
      <c r="H250" s="12"/>
    </row>
    <row r="251" customFormat="false" ht="15" hidden="false" customHeight="true" outlineLevel="0" collapsed="false">
      <c r="A251" s="19"/>
      <c r="B251" s="13"/>
      <c r="C251" s="13"/>
      <c r="D251" s="13"/>
      <c r="E251" s="13"/>
      <c r="F251" s="13"/>
      <c r="G251" s="13" t="str">
        <f aca="false">IF($A251="","",SUM($B251:$F251))</f>
        <v/>
      </c>
      <c r="H251" s="12"/>
    </row>
    <row r="252" customFormat="false" ht="15" hidden="false" customHeight="true" outlineLevel="0" collapsed="false">
      <c r="A252" s="19"/>
      <c r="B252" s="13"/>
      <c r="C252" s="13"/>
      <c r="D252" s="13"/>
      <c r="E252" s="13"/>
      <c r="F252" s="13"/>
      <c r="G252" s="13" t="str">
        <f aca="false">IF($A252="","",SUM($B252:$F252))</f>
        <v/>
      </c>
      <c r="H252" s="12"/>
    </row>
    <row r="253" customFormat="false" ht="15" hidden="false" customHeight="true" outlineLevel="0" collapsed="false">
      <c r="A253" s="19"/>
      <c r="B253" s="13"/>
      <c r="C253" s="13"/>
      <c r="D253" s="13"/>
      <c r="E253" s="13"/>
      <c r="F253" s="13"/>
      <c r="G253" s="13" t="str">
        <f aca="false">IF($A253="","",SUM($B253:$F253))</f>
        <v/>
      </c>
      <c r="H253" s="12"/>
    </row>
    <row r="254" customFormat="false" ht="15" hidden="false" customHeight="true" outlineLevel="0" collapsed="false">
      <c r="A254" s="19"/>
      <c r="B254" s="13"/>
      <c r="C254" s="13"/>
      <c r="D254" s="13"/>
      <c r="E254" s="13"/>
      <c r="F254" s="13"/>
      <c r="G254" s="13" t="str">
        <f aca="false">IF($A254="","",SUM($B254:$F254))</f>
        <v/>
      </c>
      <c r="H254" s="12"/>
    </row>
    <row r="255" customFormat="false" ht="15" hidden="false" customHeight="true" outlineLevel="0" collapsed="false">
      <c r="A255" s="19"/>
      <c r="B255" s="13"/>
      <c r="C255" s="13"/>
      <c r="D255" s="13"/>
      <c r="E255" s="13"/>
      <c r="F255" s="13"/>
      <c r="G255" s="13" t="str">
        <f aca="false">IF($A255="","",SUM($B255:$F255))</f>
        <v/>
      </c>
      <c r="H255" s="12"/>
    </row>
    <row r="256" customFormat="false" ht="15" hidden="false" customHeight="true" outlineLevel="0" collapsed="false">
      <c r="A256" s="19"/>
      <c r="B256" s="13"/>
      <c r="C256" s="13"/>
      <c r="D256" s="13"/>
      <c r="E256" s="13"/>
      <c r="F256" s="13"/>
      <c r="G256" s="13" t="str">
        <f aca="false">IF($A256="","",SUM($B256:$F256))</f>
        <v/>
      </c>
      <c r="H256" s="12"/>
    </row>
    <row r="257" customFormat="false" ht="15" hidden="false" customHeight="true" outlineLevel="0" collapsed="false">
      <c r="A257" s="19"/>
      <c r="B257" s="13"/>
      <c r="C257" s="13"/>
      <c r="D257" s="13"/>
      <c r="E257" s="13"/>
      <c r="F257" s="13"/>
      <c r="G257" s="13" t="str">
        <f aca="false">IF($A257="","",SUM($B257:$F257))</f>
        <v/>
      </c>
      <c r="H257" s="12"/>
    </row>
    <row r="258" customFormat="false" ht="15" hidden="false" customHeight="true" outlineLevel="0" collapsed="false">
      <c r="A258" s="19"/>
      <c r="B258" s="13"/>
      <c r="C258" s="13"/>
      <c r="D258" s="13"/>
      <c r="E258" s="13"/>
      <c r="F258" s="13"/>
      <c r="G258" s="13" t="str">
        <f aca="false">IF($A258="","",SUM($B258:$F258))</f>
        <v/>
      </c>
      <c r="H258" s="12"/>
    </row>
    <row r="259" customFormat="false" ht="15" hidden="false" customHeight="true" outlineLevel="0" collapsed="false">
      <c r="A259" s="19"/>
      <c r="B259" s="13"/>
      <c r="C259" s="13"/>
      <c r="D259" s="13"/>
      <c r="E259" s="13"/>
      <c r="F259" s="13"/>
      <c r="G259" s="13" t="str">
        <f aca="false">IF($A259="","",SUM($B259:$F259))</f>
        <v/>
      </c>
      <c r="H259" s="12"/>
    </row>
    <row r="260" customFormat="false" ht="15" hidden="false" customHeight="true" outlineLevel="0" collapsed="false">
      <c r="A260" s="19"/>
      <c r="B260" s="13"/>
      <c r="C260" s="13"/>
      <c r="D260" s="13"/>
      <c r="E260" s="13"/>
      <c r="F260" s="13"/>
      <c r="G260" s="13" t="str">
        <f aca="false">IF($A260="","",SUM($B260:$F260))</f>
        <v/>
      </c>
      <c r="H260" s="12"/>
    </row>
    <row r="261" customFormat="false" ht="15" hidden="false" customHeight="true" outlineLevel="0" collapsed="false">
      <c r="A261" s="19"/>
      <c r="B261" s="13"/>
      <c r="C261" s="13"/>
      <c r="D261" s="13"/>
      <c r="E261" s="13"/>
      <c r="F261" s="13"/>
      <c r="G261" s="13" t="str">
        <f aca="false">IF($A261="","",SUM($B261:$F261))</f>
        <v/>
      </c>
      <c r="H261" s="12"/>
    </row>
    <row r="262" customFormat="false" ht="15" hidden="false" customHeight="true" outlineLevel="0" collapsed="false">
      <c r="A262" s="19"/>
      <c r="B262" s="13"/>
      <c r="C262" s="13"/>
      <c r="D262" s="13"/>
      <c r="E262" s="13"/>
      <c r="F262" s="13"/>
      <c r="G262" s="13" t="str">
        <f aca="false">IF($A262="","",SUM($B262:$F262))</f>
        <v/>
      </c>
      <c r="H262" s="12"/>
    </row>
    <row r="263" customFormat="false" ht="15" hidden="false" customHeight="true" outlineLevel="0" collapsed="false">
      <c r="A263" s="19"/>
      <c r="B263" s="13"/>
      <c r="C263" s="13"/>
      <c r="D263" s="13"/>
      <c r="E263" s="13"/>
      <c r="F263" s="13"/>
      <c r="G263" s="13" t="str">
        <f aca="false">IF($A263="","",SUM($B263:$F263))</f>
        <v/>
      </c>
      <c r="H263" s="12"/>
    </row>
    <row r="264" customFormat="false" ht="15" hidden="false" customHeight="true" outlineLevel="0" collapsed="false">
      <c r="A264" s="19"/>
      <c r="B264" s="13"/>
      <c r="C264" s="13"/>
      <c r="D264" s="13"/>
      <c r="E264" s="13"/>
      <c r="F264" s="13"/>
      <c r="G264" s="13" t="str">
        <f aca="false">IF($A264="","",SUM($B264:$F264))</f>
        <v/>
      </c>
      <c r="H264" s="12"/>
    </row>
    <row r="265" customFormat="false" ht="15" hidden="false" customHeight="true" outlineLevel="0" collapsed="false">
      <c r="A265" s="19"/>
      <c r="B265" s="13"/>
      <c r="C265" s="13"/>
      <c r="D265" s="13"/>
      <c r="E265" s="13"/>
      <c r="F265" s="13"/>
      <c r="G265" s="13" t="str">
        <f aca="false">IF($A265="","",SUM($B265:$F265))</f>
        <v/>
      </c>
      <c r="H265" s="12"/>
    </row>
    <row r="266" customFormat="false" ht="15" hidden="false" customHeight="true" outlineLevel="0" collapsed="false">
      <c r="A266" s="19"/>
      <c r="B266" s="13"/>
      <c r="C266" s="13"/>
      <c r="D266" s="13"/>
      <c r="E266" s="13"/>
      <c r="F266" s="13"/>
      <c r="G266" s="13" t="str">
        <f aca="false">IF($A266="","",SUM($B266:$F266))</f>
        <v/>
      </c>
      <c r="H266" s="12"/>
    </row>
    <row r="267" customFormat="false" ht="15" hidden="false" customHeight="true" outlineLevel="0" collapsed="false">
      <c r="A267" s="19"/>
      <c r="B267" s="13"/>
      <c r="C267" s="13"/>
      <c r="D267" s="13"/>
      <c r="E267" s="13"/>
      <c r="F267" s="13"/>
      <c r="G267" s="13" t="str">
        <f aca="false">IF($A267="","",SUM($B267:$F267))</f>
        <v/>
      </c>
      <c r="H267" s="12"/>
    </row>
    <row r="268" customFormat="false" ht="15" hidden="false" customHeight="true" outlineLevel="0" collapsed="false">
      <c r="A268" s="19"/>
      <c r="B268" s="13"/>
      <c r="C268" s="13"/>
      <c r="D268" s="13"/>
      <c r="E268" s="13"/>
      <c r="F268" s="13"/>
      <c r="G268" s="13" t="str">
        <f aca="false">IF($A268="","",SUM($B268:$F268))</f>
        <v/>
      </c>
      <c r="H268" s="12"/>
    </row>
    <row r="269" customFormat="false" ht="15" hidden="false" customHeight="true" outlineLevel="0" collapsed="false">
      <c r="A269" s="19"/>
      <c r="B269" s="13"/>
      <c r="C269" s="13"/>
      <c r="D269" s="13"/>
      <c r="E269" s="13"/>
      <c r="F269" s="13"/>
      <c r="G269" s="13" t="str">
        <f aca="false">IF($A269="","",SUM($B269:$F269))</f>
        <v/>
      </c>
      <c r="H269" s="12"/>
    </row>
    <row r="270" customFormat="false" ht="15" hidden="false" customHeight="true" outlineLevel="0" collapsed="false">
      <c r="A270" s="19"/>
      <c r="B270" s="13"/>
      <c r="C270" s="13"/>
      <c r="D270" s="13"/>
      <c r="E270" s="13"/>
      <c r="F270" s="13"/>
      <c r="G270" s="13" t="str">
        <f aca="false">IF($A270="","",SUM($B270:$F270))</f>
        <v/>
      </c>
      <c r="H270" s="12"/>
    </row>
    <row r="271" customFormat="false" ht="15" hidden="false" customHeight="true" outlineLevel="0" collapsed="false">
      <c r="A271" s="19"/>
      <c r="B271" s="13"/>
      <c r="C271" s="13"/>
      <c r="D271" s="13"/>
      <c r="E271" s="13"/>
      <c r="F271" s="13"/>
      <c r="G271" s="13" t="str">
        <f aca="false">IF($A271="","",SUM($B271:$F271))</f>
        <v/>
      </c>
      <c r="H271" s="12"/>
    </row>
    <row r="272" customFormat="false" ht="15" hidden="false" customHeight="true" outlineLevel="0" collapsed="false">
      <c r="A272" s="19"/>
      <c r="B272" s="13"/>
      <c r="C272" s="13"/>
      <c r="D272" s="13"/>
      <c r="E272" s="13"/>
      <c r="F272" s="13"/>
      <c r="G272" s="13" t="str">
        <f aca="false">IF($A272="","",SUM($B272:$F272))</f>
        <v/>
      </c>
      <c r="H272" s="12"/>
    </row>
    <row r="273" customFormat="false" ht="15" hidden="false" customHeight="true" outlineLevel="0" collapsed="false">
      <c r="A273" s="19"/>
      <c r="B273" s="13"/>
      <c r="C273" s="13"/>
      <c r="D273" s="13"/>
      <c r="E273" s="13"/>
      <c r="F273" s="13"/>
      <c r="G273" s="13" t="str">
        <f aca="false">IF($A273="","",SUM($B273:$F273))</f>
        <v/>
      </c>
      <c r="H273" s="12"/>
    </row>
    <row r="274" customFormat="false" ht="15" hidden="false" customHeight="true" outlineLevel="0" collapsed="false">
      <c r="A274" s="19"/>
      <c r="B274" s="13"/>
      <c r="C274" s="13"/>
      <c r="D274" s="13"/>
      <c r="E274" s="13"/>
      <c r="F274" s="13"/>
      <c r="G274" s="13" t="str">
        <f aca="false">IF($A274="","",SUM($B274:$F274))</f>
        <v/>
      </c>
      <c r="H274" s="12"/>
    </row>
    <row r="275" customFormat="false" ht="15" hidden="false" customHeight="true" outlineLevel="0" collapsed="false">
      <c r="A275" s="19"/>
      <c r="B275" s="13"/>
      <c r="C275" s="13"/>
      <c r="D275" s="13"/>
      <c r="E275" s="13"/>
      <c r="F275" s="13"/>
      <c r="G275" s="13" t="str">
        <f aca="false">IF($A275="","",SUM($B275:$F275))</f>
        <v/>
      </c>
      <c r="H275" s="12"/>
    </row>
    <row r="276" customFormat="false" ht="15" hidden="false" customHeight="true" outlineLevel="0" collapsed="false">
      <c r="A276" s="19"/>
      <c r="B276" s="13"/>
      <c r="C276" s="13"/>
      <c r="D276" s="13"/>
      <c r="E276" s="13"/>
      <c r="F276" s="13"/>
      <c r="G276" s="13" t="str">
        <f aca="false">IF($A276="","",SUM($B276:$F276))</f>
        <v/>
      </c>
      <c r="H276" s="12"/>
    </row>
    <row r="277" customFormat="false" ht="15" hidden="false" customHeight="true" outlineLevel="0" collapsed="false">
      <c r="A277" s="19"/>
      <c r="B277" s="13"/>
      <c r="C277" s="13"/>
      <c r="D277" s="13"/>
      <c r="E277" s="13"/>
      <c r="F277" s="13"/>
      <c r="G277" s="13" t="str">
        <f aca="false">IF($A277="","",SUM($B277:$F277))</f>
        <v/>
      </c>
      <c r="H277" s="12"/>
    </row>
    <row r="278" customFormat="false" ht="15" hidden="false" customHeight="true" outlineLevel="0" collapsed="false">
      <c r="A278" s="19"/>
      <c r="B278" s="13"/>
      <c r="C278" s="13"/>
      <c r="D278" s="13"/>
      <c r="E278" s="13"/>
      <c r="F278" s="13"/>
      <c r="G278" s="13" t="str">
        <f aca="false">IF($A278="","",SUM($B278:$F278))</f>
        <v/>
      </c>
      <c r="H278" s="12"/>
    </row>
    <row r="279" customFormat="false" ht="15" hidden="false" customHeight="true" outlineLevel="0" collapsed="false">
      <c r="A279" s="19"/>
      <c r="B279" s="13"/>
      <c r="C279" s="13"/>
      <c r="D279" s="13"/>
      <c r="E279" s="13"/>
      <c r="F279" s="13"/>
      <c r="G279" s="13" t="str">
        <f aca="false">IF($A279="","",SUM($B279:$F279))</f>
        <v/>
      </c>
      <c r="H279" s="12"/>
    </row>
    <row r="280" customFormat="false" ht="15" hidden="false" customHeight="true" outlineLevel="0" collapsed="false">
      <c r="A280" s="19"/>
      <c r="B280" s="13"/>
      <c r="C280" s="13"/>
      <c r="D280" s="13"/>
      <c r="E280" s="13"/>
      <c r="F280" s="13"/>
      <c r="G280" s="13" t="str">
        <f aca="false">IF($A280="","",SUM($B280:$F280))</f>
        <v/>
      </c>
      <c r="H280" s="12"/>
    </row>
    <row r="281" customFormat="false" ht="15" hidden="false" customHeight="true" outlineLevel="0" collapsed="false">
      <c r="A281" s="19"/>
      <c r="B281" s="13"/>
      <c r="C281" s="13"/>
      <c r="D281" s="13"/>
      <c r="E281" s="13"/>
      <c r="F281" s="13"/>
      <c r="G281" s="13" t="str">
        <f aca="false">IF($A281="","",SUM($B281:$F281))</f>
        <v/>
      </c>
      <c r="H281" s="12"/>
    </row>
    <row r="282" customFormat="false" ht="15" hidden="false" customHeight="true" outlineLevel="0" collapsed="false">
      <c r="A282" s="19"/>
      <c r="B282" s="13"/>
      <c r="C282" s="13"/>
      <c r="D282" s="13"/>
      <c r="E282" s="13"/>
      <c r="F282" s="13"/>
      <c r="G282" s="13" t="str">
        <f aca="false">IF($A282="","",SUM($B282:$F282))</f>
        <v/>
      </c>
      <c r="H282" s="12"/>
    </row>
    <row r="283" customFormat="false" ht="15" hidden="false" customHeight="true" outlineLevel="0" collapsed="false">
      <c r="A283" s="19"/>
      <c r="B283" s="13"/>
      <c r="C283" s="13"/>
      <c r="D283" s="13"/>
      <c r="E283" s="13"/>
      <c r="F283" s="13"/>
      <c r="G283" s="13" t="str">
        <f aca="false">IF($A283="","",SUM($B283:$F283))</f>
        <v/>
      </c>
      <c r="H283" s="12"/>
    </row>
    <row r="284" customFormat="false" ht="15" hidden="false" customHeight="true" outlineLevel="0" collapsed="false">
      <c r="A284" s="19"/>
      <c r="B284" s="13"/>
      <c r="C284" s="13"/>
      <c r="D284" s="13"/>
      <c r="E284" s="13"/>
      <c r="F284" s="13"/>
      <c r="G284" s="13" t="str">
        <f aca="false">IF($A284="","",SUM($B284:$F284))</f>
        <v/>
      </c>
      <c r="H284" s="12"/>
    </row>
    <row r="285" customFormat="false" ht="15" hidden="false" customHeight="true" outlineLevel="0" collapsed="false">
      <c r="A285" s="19"/>
      <c r="B285" s="13"/>
      <c r="C285" s="13"/>
      <c r="D285" s="13"/>
      <c r="E285" s="13"/>
      <c r="F285" s="13"/>
      <c r="G285" s="13" t="str">
        <f aca="false">IF($A285="","",SUM($B285:$F285))</f>
        <v/>
      </c>
      <c r="H285" s="12"/>
    </row>
    <row r="286" customFormat="false" ht="15" hidden="false" customHeight="true" outlineLevel="0" collapsed="false">
      <c r="A286" s="19"/>
      <c r="B286" s="13"/>
      <c r="C286" s="13"/>
      <c r="D286" s="13"/>
      <c r="E286" s="13"/>
      <c r="F286" s="13"/>
      <c r="G286" s="13" t="str">
        <f aca="false">IF($A286="","",SUM($B286:$F286))</f>
        <v/>
      </c>
      <c r="H286" s="12"/>
    </row>
    <row r="287" customFormat="false" ht="15" hidden="false" customHeight="true" outlineLevel="0" collapsed="false">
      <c r="A287" s="19"/>
      <c r="B287" s="13"/>
      <c r="C287" s="13"/>
      <c r="D287" s="13"/>
      <c r="E287" s="13"/>
      <c r="F287" s="13"/>
      <c r="G287" s="13" t="str">
        <f aca="false">IF($A287="","",SUM($B287:$F287))</f>
        <v/>
      </c>
      <c r="H287" s="12"/>
    </row>
    <row r="288" customFormat="false" ht="15" hidden="false" customHeight="true" outlineLevel="0" collapsed="false">
      <c r="A288" s="19"/>
      <c r="B288" s="13"/>
      <c r="C288" s="13"/>
      <c r="D288" s="13"/>
      <c r="E288" s="13"/>
      <c r="F288" s="13"/>
      <c r="G288" s="13" t="str">
        <f aca="false">IF($A288="","",SUM($B288:$F288))</f>
        <v/>
      </c>
      <c r="H288" s="12"/>
    </row>
    <row r="289" customFormat="false" ht="15" hidden="false" customHeight="true" outlineLevel="0" collapsed="false">
      <c r="A289" s="19"/>
      <c r="B289" s="13"/>
      <c r="C289" s="13"/>
      <c r="D289" s="13"/>
      <c r="E289" s="13"/>
      <c r="F289" s="13"/>
      <c r="G289" s="13" t="str">
        <f aca="false">IF($A289="","",SUM($B289:$F289))</f>
        <v/>
      </c>
      <c r="H289" s="12"/>
    </row>
    <row r="290" customFormat="false" ht="15" hidden="false" customHeight="true" outlineLevel="0" collapsed="false">
      <c r="A290" s="19"/>
      <c r="B290" s="13"/>
      <c r="C290" s="13"/>
      <c r="D290" s="13"/>
      <c r="E290" s="13"/>
      <c r="F290" s="13"/>
      <c r="G290" s="13" t="str">
        <f aca="false">IF($A290="","",SUM($B290:$F290))</f>
        <v/>
      </c>
      <c r="H290" s="12"/>
    </row>
    <row r="291" customFormat="false" ht="15" hidden="false" customHeight="true" outlineLevel="0" collapsed="false">
      <c r="A291" s="19"/>
      <c r="B291" s="13"/>
      <c r="C291" s="13"/>
      <c r="D291" s="13"/>
      <c r="E291" s="13"/>
      <c r="F291" s="13"/>
      <c r="G291" s="13" t="str">
        <f aca="false">IF($A291="","",SUM($B291:$F291))</f>
        <v/>
      </c>
      <c r="H291" s="12"/>
    </row>
    <row r="292" customFormat="false" ht="15" hidden="false" customHeight="true" outlineLevel="0" collapsed="false">
      <c r="A292" s="19"/>
      <c r="B292" s="13"/>
      <c r="C292" s="13"/>
      <c r="D292" s="13"/>
      <c r="E292" s="13"/>
      <c r="F292" s="13"/>
      <c r="G292" s="13" t="str">
        <f aca="false">IF($A292="","",SUM($B292:$F292))</f>
        <v/>
      </c>
      <c r="H292" s="12"/>
    </row>
    <row r="293" customFormat="false" ht="15" hidden="false" customHeight="true" outlineLevel="0" collapsed="false">
      <c r="A293" s="19"/>
      <c r="B293" s="13"/>
      <c r="C293" s="13"/>
      <c r="D293" s="13"/>
      <c r="E293" s="13"/>
      <c r="F293" s="13"/>
      <c r="G293" s="13" t="str">
        <f aca="false">IF($A293="","",SUM($B293:$F293))</f>
        <v/>
      </c>
      <c r="H293" s="12"/>
    </row>
    <row r="294" customFormat="false" ht="15" hidden="false" customHeight="true" outlineLevel="0" collapsed="false">
      <c r="A294" s="19"/>
      <c r="B294" s="13"/>
      <c r="C294" s="13"/>
      <c r="D294" s="13"/>
      <c r="E294" s="13"/>
      <c r="F294" s="13"/>
      <c r="G294" s="13" t="str">
        <f aca="false">IF($A294="","",SUM($B294:$F294))</f>
        <v/>
      </c>
      <c r="H294" s="12"/>
    </row>
    <row r="295" customFormat="false" ht="15" hidden="false" customHeight="true" outlineLevel="0" collapsed="false">
      <c r="A295" s="19"/>
      <c r="B295" s="13"/>
      <c r="C295" s="13"/>
      <c r="D295" s="13"/>
      <c r="E295" s="13"/>
      <c r="F295" s="13"/>
      <c r="G295" s="13" t="str">
        <f aca="false">IF($A295="","",SUM($B295:$F295))</f>
        <v/>
      </c>
      <c r="H295" s="12"/>
    </row>
    <row r="296" customFormat="false" ht="15" hidden="false" customHeight="true" outlineLevel="0" collapsed="false">
      <c r="A296" s="19"/>
      <c r="B296" s="13"/>
      <c r="C296" s="13"/>
      <c r="D296" s="13"/>
      <c r="E296" s="13"/>
      <c r="F296" s="13"/>
      <c r="G296" s="13" t="str">
        <f aca="false">IF($A296="","",SUM($B296:$F296))</f>
        <v/>
      </c>
      <c r="H296" s="12"/>
    </row>
    <row r="297" customFormat="false" ht="15" hidden="false" customHeight="true" outlineLevel="0" collapsed="false">
      <c r="A297" s="19"/>
      <c r="B297" s="13"/>
      <c r="C297" s="13"/>
      <c r="D297" s="13"/>
      <c r="E297" s="13"/>
      <c r="F297" s="13"/>
      <c r="G297" s="13" t="str">
        <f aca="false">IF($A297="","",SUM($B297:$F297))</f>
        <v/>
      </c>
      <c r="H297" s="12"/>
    </row>
    <row r="298" customFormat="false" ht="15" hidden="false" customHeight="true" outlineLevel="0" collapsed="false">
      <c r="A298" s="19"/>
      <c r="B298" s="13"/>
      <c r="C298" s="13"/>
      <c r="D298" s="13"/>
      <c r="E298" s="13"/>
      <c r="F298" s="13"/>
      <c r="G298" s="13" t="str">
        <f aca="false">IF($A298="","",SUM($B298:$F298))</f>
        <v/>
      </c>
      <c r="H298" s="12"/>
    </row>
    <row r="299" customFormat="false" ht="15" hidden="false" customHeight="true" outlineLevel="0" collapsed="false">
      <c r="A299" s="19"/>
      <c r="B299" s="13"/>
      <c r="C299" s="13"/>
      <c r="D299" s="13"/>
      <c r="E299" s="13"/>
      <c r="F299" s="13"/>
      <c r="G299" s="13" t="str">
        <f aca="false">IF($A299="","",SUM($B299:$F299))</f>
        <v/>
      </c>
      <c r="H299" s="12"/>
    </row>
    <row r="300" customFormat="false" ht="15" hidden="false" customHeight="true" outlineLevel="0" collapsed="false">
      <c r="A300" s="19"/>
      <c r="B300" s="13"/>
      <c r="C300" s="13"/>
      <c r="D300" s="13"/>
      <c r="E300" s="13"/>
      <c r="F300" s="13"/>
      <c r="G300" s="13" t="str">
        <f aca="false">IF($A300="","",SUM($B300:$F300))</f>
        <v/>
      </c>
      <c r="H300" s="12"/>
    </row>
    <row r="301" customFormat="false" ht="15" hidden="false" customHeight="true" outlineLevel="0" collapsed="false">
      <c r="A301" s="19"/>
      <c r="B301" s="13"/>
      <c r="C301" s="13"/>
      <c r="D301" s="13"/>
      <c r="E301" s="13"/>
      <c r="F301" s="13"/>
      <c r="G301" s="13" t="str">
        <f aca="false">IF($A301="","",SUM($B301:$F301))</f>
        <v/>
      </c>
      <c r="H301" s="12"/>
    </row>
    <row r="302" customFormat="false" ht="15" hidden="false" customHeight="true" outlineLevel="0" collapsed="false">
      <c r="A302" s="19"/>
      <c r="B302" s="13"/>
      <c r="C302" s="13"/>
      <c r="D302" s="13"/>
      <c r="E302" s="13"/>
      <c r="F302" s="13"/>
      <c r="G302" s="13" t="str">
        <f aca="false">IF($A302="","",SUM($B302:$F302))</f>
        <v/>
      </c>
      <c r="H302" s="12"/>
    </row>
    <row r="303" customFormat="false" ht="15" hidden="false" customHeight="true" outlineLevel="0" collapsed="false">
      <c r="A303" s="19"/>
      <c r="B303" s="13"/>
      <c r="C303" s="13"/>
      <c r="D303" s="13"/>
      <c r="E303" s="13"/>
      <c r="F303" s="13"/>
      <c r="G303" s="13" t="str">
        <f aca="false">IF($A303="","",SUM($B303:$F303))</f>
        <v/>
      </c>
      <c r="H303" s="12"/>
    </row>
    <row r="304" customFormat="false" ht="15" hidden="false" customHeight="true" outlineLevel="0" collapsed="false">
      <c r="A304" s="19"/>
      <c r="B304" s="13"/>
      <c r="C304" s="13"/>
      <c r="D304" s="13"/>
      <c r="E304" s="13"/>
      <c r="F304" s="13"/>
      <c r="G304" s="13" t="str">
        <f aca="false">IF($A304="","",SUM($B304:$F304))</f>
        <v/>
      </c>
      <c r="H304" s="12"/>
    </row>
    <row r="305" customFormat="false" ht="15" hidden="false" customHeight="true" outlineLevel="0" collapsed="false">
      <c r="A305" s="19"/>
      <c r="B305" s="13"/>
      <c r="C305" s="13"/>
      <c r="D305" s="13"/>
      <c r="E305" s="13"/>
      <c r="F305" s="13"/>
      <c r="G305" s="13" t="str">
        <f aca="false">IF($A305="","",SUM($B305:$F305))</f>
        <v/>
      </c>
      <c r="H305" s="12"/>
    </row>
    <row r="306" customFormat="false" ht="15" hidden="false" customHeight="true" outlineLevel="0" collapsed="false">
      <c r="A306" s="19"/>
      <c r="B306" s="13"/>
      <c r="C306" s="13"/>
      <c r="D306" s="13"/>
      <c r="E306" s="13"/>
      <c r="F306" s="13"/>
      <c r="G306" s="13" t="str">
        <f aca="false">IF($A306="","",SUM($B306:$F306))</f>
        <v/>
      </c>
      <c r="H306" s="12"/>
    </row>
    <row r="307" customFormat="false" ht="15" hidden="false" customHeight="true" outlineLevel="0" collapsed="false">
      <c r="A307" s="19"/>
      <c r="B307" s="13"/>
      <c r="C307" s="13"/>
      <c r="D307" s="13"/>
      <c r="E307" s="13"/>
      <c r="F307" s="13"/>
      <c r="G307" s="13" t="str">
        <f aca="false">IF($A307="","",SUM($B307:$F307))</f>
        <v/>
      </c>
      <c r="H307" s="12"/>
    </row>
    <row r="308" customFormat="false" ht="15" hidden="false" customHeight="true" outlineLevel="0" collapsed="false">
      <c r="A308" s="19"/>
      <c r="B308" s="13"/>
      <c r="C308" s="13"/>
      <c r="D308" s="13"/>
      <c r="E308" s="13"/>
      <c r="F308" s="13"/>
      <c r="G308" s="13" t="str">
        <f aca="false">IF($A308="","",SUM($B308:$F308))</f>
        <v/>
      </c>
      <c r="H308" s="12"/>
    </row>
    <row r="309" customFormat="false" ht="15" hidden="false" customHeight="true" outlineLevel="0" collapsed="false">
      <c r="A309" s="19"/>
      <c r="B309" s="13"/>
      <c r="C309" s="13"/>
      <c r="D309" s="13"/>
      <c r="E309" s="13"/>
      <c r="F309" s="13"/>
      <c r="G309" s="13" t="str">
        <f aca="false">IF($A309="","",SUM($B309:$F309))</f>
        <v/>
      </c>
      <c r="H309" s="12"/>
    </row>
    <row r="310" customFormat="false" ht="15" hidden="false" customHeight="true" outlineLevel="0" collapsed="false">
      <c r="A310" s="19"/>
      <c r="B310" s="13"/>
      <c r="C310" s="13"/>
      <c r="D310" s="13"/>
      <c r="E310" s="13"/>
      <c r="F310" s="13"/>
      <c r="G310" s="13" t="str">
        <f aca="false">IF($A310="","",SUM($B310:$F310))</f>
        <v/>
      </c>
      <c r="H310" s="12"/>
    </row>
    <row r="311" customFormat="false" ht="15" hidden="false" customHeight="true" outlineLevel="0" collapsed="false">
      <c r="A311" s="19"/>
      <c r="B311" s="13"/>
      <c r="C311" s="13"/>
      <c r="D311" s="13"/>
      <c r="E311" s="13"/>
      <c r="F311" s="13"/>
      <c r="G311" s="13" t="str">
        <f aca="false">IF($A311="","",SUM($B311:$F311))</f>
        <v/>
      </c>
      <c r="H311" s="12"/>
    </row>
    <row r="312" customFormat="false" ht="15" hidden="false" customHeight="true" outlineLevel="0" collapsed="false">
      <c r="A312" s="19"/>
      <c r="B312" s="13"/>
      <c r="C312" s="13"/>
      <c r="D312" s="13"/>
      <c r="E312" s="13"/>
      <c r="F312" s="13"/>
      <c r="G312" s="13" t="str">
        <f aca="false">IF($A312="","",SUM($B312:$F312))</f>
        <v/>
      </c>
      <c r="H312" s="12"/>
    </row>
    <row r="313" customFormat="false" ht="15" hidden="false" customHeight="true" outlineLevel="0" collapsed="false">
      <c r="A313" s="19"/>
      <c r="B313" s="13"/>
      <c r="C313" s="13"/>
      <c r="D313" s="13"/>
      <c r="E313" s="13"/>
      <c r="F313" s="13"/>
      <c r="G313" s="13" t="str">
        <f aca="false">IF($A313="","",SUM($B313:$F313))</f>
        <v/>
      </c>
      <c r="H313" s="12"/>
    </row>
    <row r="314" customFormat="false" ht="15" hidden="false" customHeight="true" outlineLevel="0" collapsed="false">
      <c r="A314" s="19"/>
      <c r="B314" s="13"/>
      <c r="C314" s="13"/>
      <c r="D314" s="13"/>
      <c r="E314" s="13"/>
      <c r="F314" s="13"/>
      <c r="G314" s="13" t="str">
        <f aca="false">IF($A314="","",SUM($B314:$F314))</f>
        <v/>
      </c>
      <c r="H314" s="12"/>
    </row>
    <row r="315" customFormat="false" ht="15" hidden="false" customHeight="true" outlineLevel="0" collapsed="false">
      <c r="A315" s="19"/>
      <c r="B315" s="13"/>
      <c r="C315" s="13"/>
      <c r="D315" s="13"/>
      <c r="E315" s="13"/>
      <c r="F315" s="13"/>
      <c r="G315" s="13" t="str">
        <f aca="false">IF($A315="","",SUM($B315:$F315))</f>
        <v/>
      </c>
      <c r="H315" s="12"/>
    </row>
    <row r="316" customFormat="false" ht="15" hidden="false" customHeight="true" outlineLevel="0" collapsed="false">
      <c r="A316" s="19"/>
      <c r="B316" s="13"/>
      <c r="C316" s="13"/>
      <c r="D316" s="13"/>
      <c r="E316" s="13"/>
      <c r="F316" s="13"/>
      <c r="G316" s="13" t="str">
        <f aca="false">IF($A316="","",SUM($B316:$F316))</f>
        <v/>
      </c>
      <c r="H316" s="12"/>
    </row>
    <row r="317" customFormat="false" ht="15" hidden="false" customHeight="true" outlineLevel="0" collapsed="false">
      <c r="A317" s="19"/>
      <c r="B317" s="13"/>
      <c r="C317" s="13"/>
      <c r="D317" s="13"/>
      <c r="E317" s="13"/>
      <c r="F317" s="13"/>
      <c r="G317" s="13" t="str">
        <f aca="false">IF($A317="","",SUM($B317:$F317))</f>
        <v/>
      </c>
      <c r="H317" s="12"/>
    </row>
    <row r="318" customFormat="false" ht="15" hidden="false" customHeight="true" outlineLevel="0" collapsed="false">
      <c r="A318" s="19"/>
      <c r="B318" s="13"/>
      <c r="C318" s="13"/>
      <c r="D318" s="13"/>
      <c r="E318" s="13"/>
      <c r="F318" s="13"/>
      <c r="G318" s="13" t="str">
        <f aca="false">IF($A318="","",SUM($B318:$F318))</f>
        <v/>
      </c>
      <c r="H318" s="12"/>
    </row>
    <row r="319" customFormat="false" ht="15" hidden="false" customHeight="true" outlineLevel="0" collapsed="false">
      <c r="A319" s="19"/>
      <c r="B319" s="13"/>
      <c r="C319" s="13"/>
      <c r="D319" s="13"/>
      <c r="E319" s="13"/>
      <c r="F319" s="13"/>
      <c r="G319" s="13" t="str">
        <f aca="false">IF($A319="","",SUM($B319:$F319))</f>
        <v/>
      </c>
      <c r="H319" s="12"/>
    </row>
    <row r="320" customFormat="false" ht="15" hidden="false" customHeight="true" outlineLevel="0" collapsed="false">
      <c r="A320" s="19"/>
      <c r="B320" s="13"/>
      <c r="C320" s="13"/>
      <c r="D320" s="13"/>
      <c r="E320" s="13"/>
      <c r="F320" s="13"/>
      <c r="G320" s="13" t="str">
        <f aca="false">IF($A320="","",SUM($B320:$F320))</f>
        <v/>
      </c>
      <c r="H320" s="12"/>
    </row>
    <row r="321" customFormat="false" ht="15" hidden="false" customHeight="true" outlineLevel="0" collapsed="false">
      <c r="A321" s="19"/>
      <c r="B321" s="13"/>
      <c r="C321" s="13"/>
      <c r="D321" s="13"/>
      <c r="E321" s="13"/>
      <c r="F321" s="13"/>
      <c r="G321" s="13" t="str">
        <f aca="false">IF($A321="","",SUM($B321:$F321))</f>
        <v/>
      </c>
      <c r="H321" s="12"/>
    </row>
    <row r="322" customFormat="false" ht="15" hidden="false" customHeight="true" outlineLevel="0" collapsed="false">
      <c r="A322" s="19"/>
      <c r="B322" s="13"/>
      <c r="C322" s="13"/>
      <c r="D322" s="13"/>
      <c r="E322" s="13"/>
      <c r="F322" s="13"/>
      <c r="G322" s="13" t="str">
        <f aca="false">IF($A322="","",SUM($B322:$F322))</f>
        <v/>
      </c>
      <c r="H322" s="12"/>
    </row>
    <row r="323" customFormat="false" ht="15" hidden="false" customHeight="true" outlineLevel="0" collapsed="false">
      <c r="A323" s="19"/>
      <c r="B323" s="13"/>
      <c r="C323" s="13"/>
      <c r="D323" s="13"/>
      <c r="E323" s="13"/>
      <c r="F323" s="13"/>
      <c r="G323" s="13" t="str">
        <f aca="false">IF($A323="","",SUM($B323:$F323))</f>
        <v/>
      </c>
      <c r="H323" s="12"/>
    </row>
    <row r="324" customFormat="false" ht="15" hidden="false" customHeight="true" outlineLevel="0" collapsed="false">
      <c r="A324" s="19"/>
      <c r="B324" s="13"/>
      <c r="C324" s="13"/>
      <c r="D324" s="13"/>
      <c r="E324" s="13"/>
      <c r="F324" s="13"/>
      <c r="G324" s="13" t="str">
        <f aca="false">IF($A324="","",SUM($B324:$F324))</f>
        <v/>
      </c>
      <c r="H324" s="12"/>
    </row>
    <row r="325" customFormat="false" ht="15" hidden="false" customHeight="true" outlineLevel="0" collapsed="false">
      <c r="A325" s="19"/>
      <c r="B325" s="13"/>
      <c r="C325" s="13"/>
      <c r="D325" s="13"/>
      <c r="E325" s="13"/>
      <c r="F325" s="13"/>
      <c r="G325" s="13" t="str">
        <f aca="false">IF($A325="","",SUM($B325:$F325))</f>
        <v/>
      </c>
      <c r="H325" s="12"/>
    </row>
    <row r="326" customFormat="false" ht="15" hidden="false" customHeight="true" outlineLevel="0" collapsed="false">
      <c r="A326" s="19"/>
      <c r="B326" s="13"/>
      <c r="C326" s="13"/>
      <c r="D326" s="13"/>
      <c r="E326" s="13"/>
      <c r="F326" s="13"/>
      <c r="G326" s="13" t="str">
        <f aca="false">IF($A326="","",SUM($B326:$F326))</f>
        <v/>
      </c>
      <c r="H326" s="12"/>
    </row>
    <row r="327" customFormat="false" ht="15" hidden="false" customHeight="true" outlineLevel="0" collapsed="false">
      <c r="A327" s="19"/>
      <c r="B327" s="13"/>
      <c r="C327" s="13"/>
      <c r="D327" s="13"/>
      <c r="E327" s="13"/>
      <c r="F327" s="13"/>
      <c r="G327" s="13" t="str">
        <f aca="false">IF($A327="","",SUM($B327:$F327))</f>
        <v/>
      </c>
      <c r="H327" s="12"/>
    </row>
    <row r="328" customFormat="false" ht="15" hidden="false" customHeight="true" outlineLevel="0" collapsed="false">
      <c r="A328" s="19"/>
      <c r="B328" s="13"/>
      <c r="C328" s="13"/>
      <c r="D328" s="13"/>
      <c r="E328" s="13"/>
      <c r="F328" s="13"/>
      <c r="G328" s="13" t="str">
        <f aca="false">IF($A328="","",SUM($B328:$F328))</f>
        <v/>
      </c>
      <c r="H328" s="12"/>
    </row>
    <row r="329" customFormat="false" ht="15" hidden="false" customHeight="true" outlineLevel="0" collapsed="false">
      <c r="A329" s="19"/>
      <c r="B329" s="13"/>
      <c r="C329" s="13"/>
      <c r="D329" s="13"/>
      <c r="E329" s="13"/>
      <c r="F329" s="13"/>
      <c r="G329" s="13" t="str">
        <f aca="false">IF($A329="","",SUM($B329:$F329))</f>
        <v/>
      </c>
      <c r="H329" s="12"/>
    </row>
    <row r="330" customFormat="false" ht="15" hidden="false" customHeight="true" outlineLevel="0" collapsed="false">
      <c r="A330" s="19"/>
      <c r="B330" s="13"/>
      <c r="C330" s="13"/>
      <c r="D330" s="13"/>
      <c r="E330" s="13"/>
      <c r="F330" s="13"/>
      <c r="G330" s="13" t="str">
        <f aca="false">IF($A330="","",SUM($B330:$F330))</f>
        <v/>
      </c>
      <c r="H330" s="12"/>
    </row>
    <row r="331" customFormat="false" ht="15" hidden="false" customHeight="true" outlineLevel="0" collapsed="false">
      <c r="A331" s="19"/>
      <c r="B331" s="13"/>
      <c r="C331" s="13"/>
      <c r="D331" s="13"/>
      <c r="E331" s="13"/>
      <c r="F331" s="13"/>
      <c r="G331" s="13" t="str">
        <f aca="false">IF($A331="","",SUM($B331:$F331))</f>
        <v/>
      </c>
      <c r="H331" s="12"/>
    </row>
    <row r="332" customFormat="false" ht="15" hidden="false" customHeight="true" outlineLevel="0" collapsed="false">
      <c r="A332" s="19"/>
      <c r="B332" s="13"/>
      <c r="C332" s="13"/>
      <c r="D332" s="13"/>
      <c r="E332" s="13"/>
      <c r="F332" s="13"/>
      <c r="G332" s="13" t="str">
        <f aca="false">IF($A332="","",SUM($B332:$F332))</f>
        <v/>
      </c>
      <c r="H332" s="12"/>
    </row>
    <row r="333" customFormat="false" ht="15" hidden="false" customHeight="true" outlineLevel="0" collapsed="false">
      <c r="A333" s="19"/>
      <c r="B333" s="13"/>
      <c r="C333" s="13"/>
      <c r="D333" s="13"/>
      <c r="E333" s="13"/>
      <c r="F333" s="13"/>
      <c r="G333" s="13" t="str">
        <f aca="false">IF($A333="","",SUM($B333:$F333))</f>
        <v/>
      </c>
      <c r="H333" s="12"/>
    </row>
    <row r="334" customFormat="false" ht="15" hidden="false" customHeight="true" outlineLevel="0" collapsed="false">
      <c r="A334" s="19"/>
      <c r="B334" s="13"/>
      <c r="C334" s="13"/>
      <c r="D334" s="13"/>
      <c r="E334" s="13"/>
      <c r="F334" s="13"/>
      <c r="G334" s="13" t="str">
        <f aca="false">IF($A334="","",SUM($B334:$F334))</f>
        <v/>
      </c>
      <c r="H334" s="12"/>
    </row>
    <row r="335" customFormat="false" ht="15" hidden="false" customHeight="true" outlineLevel="0" collapsed="false">
      <c r="A335" s="19"/>
      <c r="B335" s="13"/>
      <c r="C335" s="13"/>
      <c r="D335" s="13"/>
      <c r="E335" s="13"/>
      <c r="F335" s="13"/>
      <c r="G335" s="13" t="str">
        <f aca="false">IF($A335="","",SUM($B335:$F335))</f>
        <v/>
      </c>
      <c r="H335" s="12"/>
    </row>
    <row r="336" customFormat="false" ht="15" hidden="false" customHeight="true" outlineLevel="0" collapsed="false">
      <c r="A336" s="19"/>
      <c r="B336" s="13"/>
      <c r="C336" s="13"/>
      <c r="D336" s="13"/>
      <c r="E336" s="13"/>
      <c r="F336" s="13"/>
      <c r="G336" s="13" t="str">
        <f aca="false">IF($A336="","",SUM($B336:$F336))</f>
        <v/>
      </c>
      <c r="H336" s="12"/>
    </row>
    <row r="337" customFormat="false" ht="15" hidden="false" customHeight="true" outlineLevel="0" collapsed="false">
      <c r="A337" s="19"/>
      <c r="B337" s="13"/>
      <c r="C337" s="13"/>
      <c r="D337" s="13"/>
      <c r="E337" s="13"/>
      <c r="F337" s="13"/>
      <c r="G337" s="13" t="str">
        <f aca="false">IF($A337="","",SUM($B337:$F337))</f>
        <v/>
      </c>
      <c r="H337" s="12"/>
    </row>
    <row r="338" customFormat="false" ht="15" hidden="false" customHeight="true" outlineLevel="0" collapsed="false">
      <c r="A338" s="19"/>
      <c r="B338" s="13"/>
      <c r="C338" s="13"/>
      <c r="D338" s="13"/>
      <c r="E338" s="13"/>
      <c r="F338" s="13"/>
      <c r="G338" s="13" t="str">
        <f aca="false">IF($A338="","",SUM($B338:$F338))</f>
        <v/>
      </c>
      <c r="H338" s="12"/>
    </row>
    <row r="339" customFormat="false" ht="15" hidden="false" customHeight="true" outlineLevel="0" collapsed="false">
      <c r="A339" s="19"/>
      <c r="B339" s="13"/>
      <c r="C339" s="13"/>
      <c r="D339" s="13"/>
      <c r="E339" s="13"/>
      <c r="F339" s="13"/>
      <c r="G339" s="13" t="str">
        <f aca="false">IF($A339="","",SUM($B339:$F339))</f>
        <v/>
      </c>
      <c r="H339" s="12"/>
    </row>
    <row r="340" customFormat="false" ht="15" hidden="false" customHeight="true" outlineLevel="0" collapsed="false">
      <c r="A340" s="19"/>
      <c r="B340" s="13"/>
      <c r="C340" s="13"/>
      <c r="D340" s="13"/>
      <c r="E340" s="13"/>
      <c r="F340" s="13"/>
      <c r="G340" s="13" t="str">
        <f aca="false">IF($A340="","",SUM($B340:$F340))</f>
        <v/>
      </c>
      <c r="H340" s="12"/>
    </row>
    <row r="341" customFormat="false" ht="15" hidden="false" customHeight="true" outlineLevel="0" collapsed="false">
      <c r="A341" s="19"/>
      <c r="B341" s="13"/>
      <c r="C341" s="13"/>
      <c r="D341" s="13"/>
      <c r="E341" s="13"/>
      <c r="F341" s="13"/>
      <c r="G341" s="13" t="str">
        <f aca="false">IF($A341="","",SUM($B341:$F341))</f>
        <v/>
      </c>
      <c r="H341" s="12"/>
    </row>
    <row r="342" customFormat="false" ht="15" hidden="false" customHeight="true" outlineLevel="0" collapsed="false">
      <c r="A342" s="19"/>
      <c r="B342" s="13"/>
      <c r="C342" s="13"/>
      <c r="D342" s="13"/>
      <c r="E342" s="13"/>
      <c r="F342" s="13"/>
      <c r="G342" s="13" t="str">
        <f aca="false">IF($A342="","",SUM($B342:$F342))</f>
        <v/>
      </c>
      <c r="H342" s="12"/>
    </row>
    <row r="343" customFormat="false" ht="15" hidden="false" customHeight="true" outlineLevel="0" collapsed="false">
      <c r="A343" s="19"/>
      <c r="B343" s="13"/>
      <c r="C343" s="13"/>
      <c r="D343" s="13"/>
      <c r="E343" s="13"/>
      <c r="F343" s="13"/>
      <c r="G343" s="13" t="str">
        <f aca="false">IF($A343="","",SUM($B343:$F343))</f>
        <v/>
      </c>
      <c r="H343" s="12"/>
    </row>
    <row r="344" customFormat="false" ht="15" hidden="false" customHeight="true" outlineLevel="0" collapsed="false">
      <c r="A344" s="19"/>
      <c r="B344" s="13"/>
      <c r="C344" s="13"/>
      <c r="D344" s="13"/>
      <c r="E344" s="13"/>
      <c r="F344" s="13"/>
      <c r="G344" s="13" t="str">
        <f aca="false">IF($A344="","",SUM($B344:$F344))</f>
        <v/>
      </c>
      <c r="H344" s="12"/>
    </row>
    <row r="345" customFormat="false" ht="15" hidden="false" customHeight="true" outlineLevel="0" collapsed="false">
      <c r="A345" s="19"/>
      <c r="B345" s="13"/>
      <c r="C345" s="13"/>
      <c r="D345" s="13"/>
      <c r="E345" s="13"/>
      <c r="F345" s="13"/>
      <c r="G345" s="13" t="str">
        <f aca="false">IF($A345="","",SUM($B345:$F345))</f>
        <v/>
      </c>
      <c r="H345" s="12"/>
    </row>
    <row r="346" customFormat="false" ht="15" hidden="false" customHeight="true" outlineLevel="0" collapsed="false">
      <c r="A346" s="19"/>
      <c r="B346" s="13"/>
      <c r="C346" s="13"/>
      <c r="D346" s="13"/>
      <c r="E346" s="13"/>
      <c r="F346" s="13"/>
      <c r="G346" s="13" t="str">
        <f aca="false">IF($A346="","",SUM($B346:$F346))</f>
        <v/>
      </c>
      <c r="H346" s="12"/>
    </row>
    <row r="347" customFormat="false" ht="15" hidden="false" customHeight="true" outlineLevel="0" collapsed="false">
      <c r="A347" s="19"/>
      <c r="B347" s="13"/>
      <c r="C347" s="13"/>
      <c r="D347" s="13"/>
      <c r="E347" s="13"/>
      <c r="F347" s="13"/>
      <c r="G347" s="13" t="str">
        <f aca="false">IF($A347="","",SUM($B347:$F347))</f>
        <v/>
      </c>
      <c r="H347" s="12"/>
    </row>
    <row r="348" customFormat="false" ht="15" hidden="false" customHeight="true" outlineLevel="0" collapsed="false">
      <c r="A348" s="19"/>
      <c r="B348" s="13"/>
      <c r="C348" s="13"/>
      <c r="D348" s="13"/>
      <c r="E348" s="13"/>
      <c r="F348" s="13"/>
      <c r="G348" s="13" t="str">
        <f aca="false">IF($A348="","",SUM($B348:$F348))</f>
        <v/>
      </c>
      <c r="H348" s="12"/>
    </row>
    <row r="349" customFormat="false" ht="15" hidden="false" customHeight="true" outlineLevel="0" collapsed="false">
      <c r="A349" s="19"/>
      <c r="B349" s="13"/>
      <c r="C349" s="13"/>
      <c r="D349" s="13"/>
      <c r="E349" s="13"/>
      <c r="F349" s="13"/>
      <c r="G349" s="13" t="str">
        <f aca="false">IF($A349="","",SUM($B349:$F349))</f>
        <v/>
      </c>
      <c r="H349" s="12"/>
    </row>
    <row r="350" customFormat="false" ht="15" hidden="false" customHeight="true" outlineLevel="0" collapsed="false">
      <c r="A350" s="19"/>
      <c r="B350" s="13"/>
      <c r="C350" s="13"/>
      <c r="D350" s="13"/>
      <c r="E350" s="13"/>
      <c r="F350" s="13"/>
      <c r="G350" s="13" t="str">
        <f aca="false">IF($A350="","",SUM($B350:$F350))</f>
        <v/>
      </c>
      <c r="H350" s="12"/>
    </row>
    <row r="351" customFormat="false" ht="15" hidden="false" customHeight="true" outlineLevel="0" collapsed="false">
      <c r="A351" s="19"/>
      <c r="B351" s="13"/>
      <c r="C351" s="13"/>
      <c r="D351" s="13"/>
      <c r="E351" s="13"/>
      <c r="F351" s="13"/>
      <c r="G351" s="13" t="str">
        <f aca="false">IF($A351="","",SUM($B351:$F351))</f>
        <v/>
      </c>
      <c r="H351" s="12"/>
    </row>
    <row r="352" customFormat="false" ht="15" hidden="false" customHeight="true" outlineLevel="0" collapsed="false">
      <c r="A352" s="19"/>
      <c r="B352" s="13"/>
      <c r="C352" s="13"/>
      <c r="D352" s="13"/>
      <c r="E352" s="13"/>
      <c r="F352" s="13"/>
      <c r="G352" s="13" t="str">
        <f aca="false">IF($A352="","",SUM($B352:$F352))</f>
        <v/>
      </c>
      <c r="H352" s="12"/>
    </row>
    <row r="353" customFormat="false" ht="15" hidden="false" customHeight="true" outlineLevel="0" collapsed="false">
      <c r="A353" s="19"/>
      <c r="B353" s="13"/>
      <c r="C353" s="13"/>
      <c r="D353" s="13"/>
      <c r="E353" s="13"/>
      <c r="F353" s="13"/>
      <c r="G353" s="13" t="str">
        <f aca="false">IF($A353="","",SUM($B353:$F353))</f>
        <v/>
      </c>
      <c r="H353" s="12"/>
    </row>
    <row r="354" customFormat="false" ht="15" hidden="false" customHeight="true" outlineLevel="0" collapsed="false">
      <c r="A354" s="19"/>
      <c r="B354" s="13"/>
      <c r="C354" s="13"/>
      <c r="D354" s="13"/>
      <c r="E354" s="13"/>
      <c r="F354" s="13"/>
      <c r="G354" s="13" t="str">
        <f aca="false">IF($A354="","",SUM($B354:$F354))</f>
        <v/>
      </c>
      <c r="H354" s="12"/>
    </row>
    <row r="355" customFormat="false" ht="15" hidden="false" customHeight="true" outlineLevel="0" collapsed="false">
      <c r="A355" s="19"/>
      <c r="B355" s="13"/>
      <c r="C355" s="13"/>
      <c r="D355" s="13"/>
      <c r="E355" s="13"/>
      <c r="F355" s="13"/>
      <c r="G355" s="13" t="str">
        <f aca="false">IF($A355="","",SUM($B355:$F355))</f>
        <v/>
      </c>
      <c r="H355" s="12"/>
    </row>
    <row r="356" customFormat="false" ht="15" hidden="false" customHeight="true" outlineLevel="0" collapsed="false">
      <c r="A356" s="19"/>
      <c r="B356" s="13"/>
      <c r="C356" s="13"/>
      <c r="D356" s="13"/>
      <c r="E356" s="13"/>
      <c r="F356" s="13"/>
      <c r="G356" s="13" t="str">
        <f aca="false">IF($A356="","",SUM($B356:$F356))</f>
        <v/>
      </c>
      <c r="H356" s="12"/>
    </row>
    <row r="357" customFormat="false" ht="15" hidden="false" customHeight="true" outlineLevel="0" collapsed="false">
      <c r="A357" s="19"/>
      <c r="B357" s="13"/>
      <c r="C357" s="13"/>
      <c r="D357" s="13"/>
      <c r="E357" s="13"/>
      <c r="F357" s="13"/>
      <c r="G357" s="13" t="str">
        <f aca="false">IF($A357="","",SUM($B357:$F357))</f>
        <v/>
      </c>
      <c r="H357" s="12"/>
    </row>
    <row r="358" customFormat="false" ht="15" hidden="false" customHeight="true" outlineLevel="0" collapsed="false">
      <c r="A358" s="19"/>
      <c r="B358" s="13"/>
      <c r="C358" s="13"/>
      <c r="D358" s="13"/>
      <c r="E358" s="13"/>
      <c r="F358" s="13"/>
      <c r="G358" s="13" t="str">
        <f aca="false">IF($A358="","",SUM($B358:$F358))</f>
        <v/>
      </c>
      <c r="H358" s="12"/>
    </row>
    <row r="359" customFormat="false" ht="15" hidden="false" customHeight="true" outlineLevel="0" collapsed="false">
      <c r="A359" s="19"/>
      <c r="B359" s="13"/>
      <c r="C359" s="13"/>
      <c r="D359" s="13"/>
      <c r="E359" s="13"/>
      <c r="F359" s="13"/>
      <c r="G359" s="13" t="str">
        <f aca="false">IF($A359="","",SUM($B359:$F359))</f>
        <v/>
      </c>
      <c r="H359" s="12"/>
    </row>
    <row r="360" customFormat="false" ht="15" hidden="false" customHeight="true" outlineLevel="0" collapsed="false">
      <c r="A360" s="19"/>
      <c r="B360" s="13"/>
      <c r="C360" s="13"/>
      <c r="D360" s="13"/>
      <c r="E360" s="13"/>
      <c r="F360" s="13"/>
      <c r="G360" s="13" t="str">
        <f aca="false">IF($A360="","",SUM($B360:$F360))</f>
        <v/>
      </c>
      <c r="H360" s="12"/>
    </row>
    <row r="361" customFormat="false" ht="15" hidden="false" customHeight="true" outlineLevel="0" collapsed="false">
      <c r="A361" s="19"/>
      <c r="B361" s="13"/>
      <c r="C361" s="13"/>
      <c r="D361" s="13"/>
      <c r="E361" s="13"/>
      <c r="F361" s="13"/>
      <c r="G361" s="13" t="str">
        <f aca="false">IF($A361="","",SUM($B361:$F361))</f>
        <v/>
      </c>
      <c r="H361" s="12"/>
    </row>
    <row r="362" customFormat="false" ht="15" hidden="false" customHeight="true" outlineLevel="0" collapsed="false">
      <c r="A362" s="19"/>
      <c r="B362" s="13"/>
      <c r="C362" s="13"/>
      <c r="D362" s="13"/>
      <c r="E362" s="13"/>
      <c r="F362" s="13"/>
      <c r="G362" s="13" t="str">
        <f aca="false">IF($A362="","",SUM($B362:$F362))</f>
        <v/>
      </c>
      <c r="H362" s="12"/>
    </row>
    <row r="363" customFormat="false" ht="15" hidden="false" customHeight="true" outlineLevel="0" collapsed="false">
      <c r="A363" s="19"/>
      <c r="B363" s="13"/>
      <c r="C363" s="13"/>
      <c r="D363" s="13"/>
      <c r="E363" s="13"/>
      <c r="F363" s="13"/>
      <c r="G363" s="13" t="str">
        <f aca="false">IF($A363="","",SUM($B363:$F363))</f>
        <v/>
      </c>
      <c r="H363" s="12"/>
    </row>
    <row r="364" customFormat="false" ht="15" hidden="false" customHeight="true" outlineLevel="0" collapsed="false">
      <c r="A364" s="19"/>
      <c r="B364" s="13"/>
      <c r="C364" s="13"/>
      <c r="D364" s="13"/>
      <c r="E364" s="13"/>
      <c r="F364" s="13"/>
      <c r="G364" s="13" t="str">
        <f aca="false">IF($A364="","",SUM($B364:$F364))</f>
        <v/>
      </c>
      <c r="H364" s="12"/>
    </row>
    <row r="365" customFormat="false" ht="15" hidden="false" customHeight="true" outlineLevel="0" collapsed="false">
      <c r="A365" s="19"/>
      <c r="B365" s="13"/>
      <c r="C365" s="13"/>
      <c r="D365" s="13"/>
      <c r="E365" s="13"/>
      <c r="F365" s="13"/>
      <c r="G365" s="13" t="str">
        <f aca="false">IF($A365="","",SUM($B365:$F365))</f>
        <v/>
      </c>
      <c r="H365" s="12"/>
    </row>
    <row r="366" customFormat="false" ht="15" hidden="false" customHeight="true" outlineLevel="0" collapsed="false">
      <c r="A366" s="19"/>
      <c r="B366" s="13"/>
      <c r="C366" s="13"/>
      <c r="D366" s="13"/>
      <c r="E366" s="13"/>
      <c r="F366" s="13"/>
      <c r="G366" s="13" t="str">
        <f aca="false">IF($A366="","",SUM($B366:$F366))</f>
        <v/>
      </c>
      <c r="H366" s="12"/>
    </row>
    <row r="367" customFormat="false" ht="15" hidden="false" customHeight="true" outlineLevel="0" collapsed="false">
      <c r="A367" s="19"/>
      <c r="B367" s="13"/>
      <c r="C367" s="13"/>
      <c r="D367" s="13"/>
      <c r="E367" s="13"/>
      <c r="F367" s="13"/>
      <c r="G367" s="13" t="str">
        <f aca="false">IF($A367="","",SUM($B367:$F367))</f>
        <v/>
      </c>
      <c r="H367" s="12"/>
    </row>
    <row r="368" customFormat="false" ht="15" hidden="false" customHeight="true" outlineLevel="0" collapsed="false">
      <c r="A368" s="19"/>
      <c r="B368" s="13"/>
      <c r="C368" s="13"/>
      <c r="D368" s="13"/>
      <c r="E368" s="13"/>
      <c r="F368" s="13"/>
      <c r="G368" s="13" t="str">
        <f aca="false">IF($A368="","",SUM($B368:$F368))</f>
        <v/>
      </c>
      <c r="H368" s="12"/>
    </row>
    <row r="369" customFormat="false" ht="15" hidden="false" customHeight="true" outlineLevel="0" collapsed="false">
      <c r="A369" s="19"/>
      <c r="B369" s="13"/>
      <c r="C369" s="13"/>
      <c r="D369" s="13"/>
      <c r="E369" s="13"/>
      <c r="F369" s="13"/>
      <c r="G369" s="13" t="str">
        <f aca="false">IF($A369="","",SUM($B369:$F369))</f>
        <v/>
      </c>
      <c r="H369" s="12"/>
    </row>
    <row r="370" customFormat="false" ht="15" hidden="false" customHeight="true" outlineLevel="0" collapsed="false">
      <c r="A370" s="19"/>
      <c r="B370" s="13"/>
      <c r="C370" s="13"/>
      <c r="D370" s="13"/>
      <c r="E370" s="13"/>
      <c r="F370" s="13"/>
      <c r="G370" s="13" t="str">
        <f aca="false">IF($A370="","",SUM($B370:$F370))</f>
        <v/>
      </c>
      <c r="H370" s="12"/>
    </row>
    <row r="371" customFormat="false" ht="15" hidden="false" customHeight="true" outlineLevel="0" collapsed="false">
      <c r="A371" s="19"/>
      <c r="B371" s="13"/>
      <c r="C371" s="13"/>
      <c r="D371" s="13"/>
      <c r="E371" s="13"/>
      <c r="F371" s="13"/>
      <c r="G371" s="13" t="str">
        <f aca="false">IF($A371="","",SUM($B371:$F371))</f>
        <v/>
      </c>
      <c r="H371" s="12"/>
    </row>
    <row r="372" customFormat="false" ht="15" hidden="false" customHeight="true" outlineLevel="0" collapsed="false">
      <c r="A372" s="19"/>
      <c r="B372" s="13"/>
      <c r="C372" s="13"/>
      <c r="D372" s="13"/>
      <c r="E372" s="13"/>
      <c r="F372" s="13"/>
      <c r="G372" s="13" t="str">
        <f aca="false">IF($A372="","",SUM($B372:$F372))</f>
        <v/>
      </c>
      <c r="H372" s="12"/>
    </row>
    <row r="373" customFormat="false" ht="15" hidden="false" customHeight="true" outlineLevel="0" collapsed="false">
      <c r="A373" s="19"/>
      <c r="B373" s="13"/>
      <c r="C373" s="13"/>
      <c r="D373" s="13"/>
      <c r="E373" s="13"/>
      <c r="F373" s="13"/>
      <c r="G373" s="13" t="str">
        <f aca="false">IF($A373="","",SUM($B373:$F373))</f>
        <v/>
      </c>
      <c r="H373" s="12"/>
    </row>
    <row r="374" customFormat="false" ht="15" hidden="false" customHeight="true" outlineLevel="0" collapsed="false">
      <c r="A374" s="19"/>
      <c r="B374" s="13"/>
      <c r="C374" s="13"/>
      <c r="D374" s="13"/>
      <c r="E374" s="13"/>
      <c r="F374" s="13"/>
      <c r="G374" s="13" t="str">
        <f aca="false">IF($A374="","",SUM($B374:$F374))</f>
        <v/>
      </c>
      <c r="H374" s="12"/>
    </row>
    <row r="375" customFormat="false" ht="15" hidden="false" customHeight="true" outlineLevel="0" collapsed="false">
      <c r="A375" s="19"/>
      <c r="B375" s="13"/>
      <c r="C375" s="13"/>
      <c r="D375" s="13"/>
      <c r="E375" s="13"/>
      <c r="F375" s="13"/>
      <c r="G375" s="13" t="str">
        <f aca="false">IF($A375="","",SUM($B375:$F375))</f>
        <v/>
      </c>
      <c r="H375" s="12"/>
    </row>
    <row r="376" customFormat="false" ht="15" hidden="false" customHeight="true" outlineLevel="0" collapsed="false">
      <c r="A376" s="19"/>
      <c r="B376" s="13"/>
      <c r="C376" s="13"/>
      <c r="D376" s="13"/>
      <c r="E376" s="13"/>
      <c r="F376" s="13"/>
      <c r="G376" s="13" t="str">
        <f aca="false">IF($A376="","",SUM($B376:$F376))</f>
        <v/>
      </c>
      <c r="H376" s="12"/>
    </row>
    <row r="377" customFormat="false" ht="15" hidden="false" customHeight="true" outlineLevel="0" collapsed="false">
      <c r="A377" s="19"/>
      <c r="B377" s="13"/>
      <c r="C377" s="13"/>
      <c r="D377" s="13"/>
      <c r="E377" s="13"/>
      <c r="F377" s="13"/>
      <c r="G377" s="13" t="str">
        <f aca="false">IF($A377="","",SUM($B377:$F377))</f>
        <v/>
      </c>
      <c r="H377" s="12"/>
    </row>
    <row r="378" customFormat="false" ht="15" hidden="false" customHeight="true" outlineLevel="0" collapsed="false">
      <c r="A378" s="19"/>
      <c r="B378" s="13"/>
      <c r="C378" s="13"/>
      <c r="D378" s="13"/>
      <c r="E378" s="13"/>
      <c r="F378" s="13"/>
      <c r="G378" s="13" t="str">
        <f aca="false">IF($A378="","",SUM($B378:$F378))</f>
        <v/>
      </c>
      <c r="H378" s="12"/>
    </row>
    <row r="379" customFormat="false" ht="15" hidden="false" customHeight="true" outlineLevel="0" collapsed="false">
      <c r="A379" s="19"/>
      <c r="B379" s="13"/>
      <c r="C379" s="13"/>
      <c r="D379" s="13"/>
      <c r="E379" s="13"/>
      <c r="F379" s="13"/>
      <c r="G379" s="13" t="str">
        <f aca="false">IF($A379="","",SUM($B379:$F379))</f>
        <v/>
      </c>
      <c r="H379" s="12"/>
    </row>
    <row r="380" customFormat="false" ht="15" hidden="false" customHeight="true" outlineLevel="0" collapsed="false">
      <c r="A380" s="19"/>
      <c r="B380" s="13"/>
      <c r="C380" s="13"/>
      <c r="D380" s="13"/>
      <c r="E380" s="13"/>
      <c r="F380" s="13"/>
      <c r="G380" s="13" t="str">
        <f aca="false">IF($A380="","",SUM($B380:$F380))</f>
        <v/>
      </c>
      <c r="H380" s="12"/>
    </row>
    <row r="381" customFormat="false" ht="15" hidden="false" customHeight="true" outlineLevel="0" collapsed="false">
      <c r="A381" s="19"/>
      <c r="B381" s="13"/>
      <c r="C381" s="13"/>
      <c r="D381" s="13"/>
      <c r="E381" s="13"/>
      <c r="F381" s="13"/>
      <c r="G381" s="13" t="str">
        <f aca="false">IF($A381="","",SUM($B381:$F381))</f>
        <v/>
      </c>
      <c r="H381" s="12"/>
    </row>
    <row r="382" customFormat="false" ht="15" hidden="false" customHeight="true" outlineLevel="0" collapsed="false">
      <c r="A382" s="19"/>
      <c r="B382" s="13"/>
      <c r="C382" s="13"/>
      <c r="D382" s="13"/>
      <c r="E382" s="13"/>
      <c r="F382" s="13"/>
      <c r="G382" s="13" t="str">
        <f aca="false">IF($A382="","",SUM($B382:$F382))</f>
        <v/>
      </c>
      <c r="H382" s="12"/>
    </row>
    <row r="383" customFormat="false" ht="15" hidden="false" customHeight="true" outlineLevel="0" collapsed="false">
      <c r="A383" s="19"/>
      <c r="B383" s="13"/>
      <c r="C383" s="13"/>
      <c r="D383" s="13"/>
      <c r="E383" s="13"/>
      <c r="F383" s="13"/>
      <c r="G383" s="13" t="str">
        <f aca="false">IF($A383="","",SUM($B383:$F383))</f>
        <v/>
      </c>
      <c r="H383" s="12"/>
    </row>
    <row r="384" customFormat="false" ht="15" hidden="false" customHeight="true" outlineLevel="0" collapsed="false">
      <c r="A384" s="19"/>
      <c r="B384" s="13"/>
      <c r="C384" s="13"/>
      <c r="D384" s="13"/>
      <c r="E384" s="13"/>
      <c r="F384" s="13"/>
      <c r="G384" s="13" t="str">
        <f aca="false">IF($A384="","",SUM($B384:$F384))</f>
        <v/>
      </c>
      <c r="H384" s="12"/>
    </row>
    <row r="385" customFormat="false" ht="15" hidden="false" customHeight="true" outlineLevel="0" collapsed="false">
      <c r="A385" s="19"/>
      <c r="B385" s="13"/>
      <c r="C385" s="13"/>
      <c r="D385" s="13"/>
      <c r="E385" s="13"/>
      <c r="F385" s="13"/>
      <c r="G385" s="13" t="str">
        <f aca="false">IF($A385="","",SUM($B385:$F385))</f>
        <v/>
      </c>
      <c r="H385" s="12"/>
    </row>
    <row r="386" customFormat="false" ht="15" hidden="false" customHeight="true" outlineLevel="0" collapsed="false">
      <c r="A386" s="19"/>
      <c r="B386" s="13"/>
      <c r="C386" s="13"/>
      <c r="D386" s="13"/>
      <c r="E386" s="13"/>
      <c r="F386" s="13"/>
      <c r="G386" s="13" t="str">
        <f aca="false">IF($A386="","",SUM($B386:$F386))</f>
        <v/>
      </c>
      <c r="H386" s="12"/>
    </row>
    <row r="387" customFormat="false" ht="15" hidden="false" customHeight="true" outlineLevel="0" collapsed="false">
      <c r="A387" s="19"/>
      <c r="B387" s="13"/>
      <c r="C387" s="13"/>
      <c r="D387" s="13"/>
      <c r="E387" s="13"/>
      <c r="F387" s="13"/>
      <c r="G387" s="13" t="str">
        <f aca="false">IF($A387="","",SUM($B387:$F387))</f>
        <v/>
      </c>
      <c r="H387" s="12"/>
    </row>
    <row r="388" customFormat="false" ht="15" hidden="false" customHeight="true" outlineLevel="0" collapsed="false">
      <c r="A388" s="19"/>
      <c r="B388" s="13"/>
      <c r="C388" s="13"/>
      <c r="D388" s="13"/>
      <c r="E388" s="13"/>
      <c r="F388" s="13"/>
      <c r="G388" s="13" t="str">
        <f aca="false">IF($A388="","",SUM($B388:$F388))</f>
        <v/>
      </c>
      <c r="H388" s="12"/>
    </row>
    <row r="389" customFormat="false" ht="15" hidden="false" customHeight="true" outlineLevel="0" collapsed="false">
      <c r="A389" s="19"/>
      <c r="B389" s="13"/>
      <c r="C389" s="13"/>
      <c r="D389" s="13"/>
      <c r="E389" s="13"/>
      <c r="F389" s="13"/>
      <c r="G389" s="13" t="str">
        <f aca="false">IF($A389="","",SUM($B389:$F389))</f>
        <v/>
      </c>
      <c r="H389" s="12"/>
    </row>
    <row r="390" customFormat="false" ht="15" hidden="false" customHeight="true" outlineLevel="0" collapsed="false">
      <c r="A390" s="19"/>
      <c r="B390" s="13"/>
      <c r="C390" s="13"/>
      <c r="D390" s="13"/>
      <c r="E390" s="13"/>
      <c r="F390" s="13"/>
      <c r="G390" s="13" t="str">
        <f aca="false">IF($A390="","",SUM($B390:$F390))</f>
        <v/>
      </c>
      <c r="H390" s="12"/>
    </row>
    <row r="391" customFormat="false" ht="15" hidden="false" customHeight="true" outlineLevel="0" collapsed="false">
      <c r="A391" s="19"/>
      <c r="B391" s="13"/>
      <c r="C391" s="13"/>
      <c r="D391" s="13"/>
      <c r="E391" s="13"/>
      <c r="F391" s="13"/>
      <c r="G391" s="13" t="str">
        <f aca="false">IF($A391="","",SUM($B391:$F391))</f>
        <v/>
      </c>
      <c r="H391" s="12"/>
    </row>
    <row r="392" customFormat="false" ht="15" hidden="false" customHeight="true" outlineLevel="0" collapsed="false">
      <c r="A392" s="19"/>
      <c r="B392" s="13"/>
      <c r="C392" s="13"/>
      <c r="D392" s="13"/>
      <c r="E392" s="13"/>
      <c r="F392" s="13"/>
      <c r="G392" s="13" t="str">
        <f aca="false">IF($A392="","",SUM($B392:$F392))</f>
        <v/>
      </c>
      <c r="H392" s="12"/>
    </row>
    <row r="393" customFormat="false" ht="15" hidden="false" customHeight="true" outlineLevel="0" collapsed="false">
      <c r="A393" s="19"/>
      <c r="B393" s="13"/>
      <c r="C393" s="13"/>
      <c r="D393" s="13"/>
      <c r="E393" s="13"/>
      <c r="F393" s="13"/>
      <c r="G393" s="13" t="str">
        <f aca="false">IF($A393="","",SUM($B393:$F393))</f>
        <v/>
      </c>
      <c r="H393" s="12"/>
    </row>
    <row r="394" customFormat="false" ht="15" hidden="false" customHeight="true" outlineLevel="0" collapsed="false">
      <c r="A394" s="19"/>
      <c r="B394" s="13"/>
      <c r="C394" s="13"/>
      <c r="D394" s="13"/>
      <c r="E394" s="13"/>
      <c r="F394" s="13"/>
      <c r="G394" s="13" t="str">
        <f aca="false">IF($A394="","",SUM($B394:$F394))</f>
        <v/>
      </c>
      <c r="H394" s="12"/>
    </row>
    <row r="395" customFormat="false" ht="15" hidden="false" customHeight="true" outlineLevel="0" collapsed="false">
      <c r="A395" s="19"/>
      <c r="B395" s="13"/>
      <c r="C395" s="13"/>
      <c r="D395" s="13"/>
      <c r="E395" s="13"/>
      <c r="F395" s="13"/>
      <c r="G395" s="13" t="str">
        <f aca="false">IF($A395="","",SUM($B395:$F395))</f>
        <v/>
      </c>
      <c r="H395" s="12"/>
    </row>
    <row r="396" customFormat="false" ht="15" hidden="false" customHeight="true" outlineLevel="0" collapsed="false">
      <c r="A396" s="19"/>
      <c r="B396" s="13"/>
      <c r="C396" s="13"/>
      <c r="D396" s="13"/>
      <c r="E396" s="13"/>
      <c r="F396" s="13"/>
      <c r="G396" s="13" t="str">
        <f aca="false">IF($A396="","",SUM($B396:$F396))</f>
        <v/>
      </c>
      <c r="H396" s="12"/>
    </row>
    <row r="397" customFormat="false" ht="15" hidden="false" customHeight="true" outlineLevel="0" collapsed="false">
      <c r="A397" s="19"/>
      <c r="B397" s="13"/>
      <c r="C397" s="13"/>
      <c r="D397" s="13"/>
      <c r="E397" s="13"/>
      <c r="F397" s="13"/>
      <c r="G397" s="13" t="str">
        <f aca="false">IF($A397="","",SUM($B397:$F397))</f>
        <v/>
      </c>
      <c r="H397" s="12"/>
    </row>
    <row r="398" customFormat="false" ht="15" hidden="false" customHeight="true" outlineLevel="0" collapsed="false">
      <c r="A398" s="19"/>
      <c r="B398" s="13"/>
      <c r="C398" s="13"/>
      <c r="D398" s="13"/>
      <c r="E398" s="13"/>
      <c r="F398" s="13"/>
      <c r="G398" s="13" t="str">
        <f aca="false">IF($A398="","",SUM($B398:$F398))</f>
        <v/>
      </c>
      <c r="H398" s="12"/>
    </row>
    <row r="399" customFormat="false" ht="15" hidden="false" customHeight="true" outlineLevel="0" collapsed="false">
      <c r="A399" s="19"/>
      <c r="B399" s="13"/>
      <c r="C399" s="13"/>
      <c r="D399" s="13"/>
      <c r="E399" s="13"/>
      <c r="F399" s="13"/>
      <c r="G399" s="13" t="str">
        <f aca="false">IF($A399="","",SUM($B399:$F399))</f>
        <v/>
      </c>
      <c r="H399" s="12"/>
    </row>
    <row r="400" customFormat="false" ht="15" hidden="false" customHeight="true" outlineLevel="0" collapsed="false">
      <c r="A400" s="19"/>
      <c r="B400" s="13"/>
      <c r="C400" s="13"/>
      <c r="D400" s="13"/>
      <c r="E400" s="13"/>
      <c r="F400" s="13"/>
      <c r="G400" s="13" t="str">
        <f aca="false">IF($A400="","",SUM($B400:$F400))</f>
        <v/>
      </c>
      <c r="H400" s="12"/>
    </row>
    <row r="401" customFormat="false" ht="15" hidden="false" customHeight="true" outlineLevel="0" collapsed="false">
      <c r="A401" s="19"/>
      <c r="B401" s="13"/>
      <c r="C401" s="13"/>
      <c r="D401" s="13"/>
      <c r="E401" s="13"/>
      <c r="F401" s="13"/>
      <c r="G401" s="13" t="str">
        <f aca="false">IF($A401="","",SUM($B401:$F401))</f>
        <v/>
      </c>
      <c r="H401" s="12"/>
    </row>
    <row r="402" customFormat="false" ht="15" hidden="false" customHeight="true" outlineLevel="0" collapsed="false">
      <c r="A402" s="19"/>
      <c r="B402" s="13"/>
      <c r="C402" s="13"/>
      <c r="D402" s="13"/>
      <c r="E402" s="13"/>
      <c r="F402" s="13"/>
      <c r="G402" s="13" t="str">
        <f aca="false">IF($A402="","",SUM($B402:$F402))</f>
        <v/>
      </c>
      <c r="H402" s="12"/>
    </row>
    <row r="403" customFormat="false" ht="15" hidden="false" customHeight="true" outlineLevel="0" collapsed="false">
      <c r="A403" s="19"/>
      <c r="B403" s="13"/>
      <c r="C403" s="13"/>
      <c r="D403" s="13"/>
      <c r="E403" s="13"/>
      <c r="F403" s="13"/>
      <c r="G403" s="13" t="str">
        <f aca="false">IF($A403="","",SUM($B403:$F403))</f>
        <v/>
      </c>
      <c r="H403" s="12"/>
    </row>
    <row r="404" customFormat="false" ht="15" hidden="false" customHeight="true" outlineLevel="0" collapsed="false">
      <c r="A404" s="19"/>
      <c r="B404" s="13"/>
      <c r="C404" s="13"/>
      <c r="D404" s="13"/>
      <c r="E404" s="13"/>
      <c r="F404" s="13"/>
      <c r="G404" s="13" t="str">
        <f aca="false">IF($A404="","",SUM($B404:$F404))</f>
        <v/>
      </c>
      <c r="H404" s="12"/>
    </row>
    <row r="406" customFormat="false" ht="15" hidden="false" customHeight="true" outlineLevel="0" collapsed="false">
      <c r="F406" s="3"/>
      <c r="G406" s="20"/>
    </row>
    <row r="3010" customFormat="false" ht="15" hidden="false" customHeight="false" outlineLevel="0" collapsed="false">
      <c r="F3010" s="1" t="s">
        <v>179</v>
      </c>
      <c r="G3010" s="1" t="n">
        <f aca="false">SUM($G$5:$G$3000)</f>
        <v>14012331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1521B"/>
    <pageSetUpPr fitToPage="false"/>
  </sheetPr>
  <dimension ref="A1:O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5"/>
    <col collapsed="false" customWidth="true" hidden="false" outlineLevel="0" max="4" min="3" style="1" width="13"/>
    <col collapsed="false" customWidth="true" hidden="false" outlineLevel="0" max="5" min="5" style="1" width="12"/>
    <col collapsed="false" customWidth="true" hidden="false" outlineLevel="0" max="6" min="6" style="1" width="11"/>
    <col collapsed="false" customWidth="true" hidden="false" outlineLevel="0" max="8" min="7" style="1" width="10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10"/>
    <col collapsed="false" customWidth="true" hidden="false" outlineLevel="0" max="13" min="12" style="1" width="13"/>
    <col collapsed="false" customWidth="true" hidden="false" outlineLevel="0" max="14" min="14" style="1" width="16"/>
    <col collapsed="false" customWidth="true" hidden="false" outlineLevel="0" max="15" min="15" style="1" width="24"/>
  </cols>
  <sheetData>
    <row r="1" customFormat="false" ht="21.75" hidden="false" customHeight="true" outlineLevel="0" collapsed="false">
      <c r="A1" s="4" t="s">
        <v>180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</row>
    <row r="2" customFormat="false" ht="15" hidden="false" customHeight="true" outlineLevel="0" collapsed="false">
      <c r="A2" s="5" t="s">
        <v>181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4" customFormat="false" ht="15" hidden="false" customHeight="true" outlineLevel="0" collapsed="false">
      <c r="A4" s="3" t="s">
        <v>182</v>
      </c>
    </row>
    <row r="5" customFormat="false" ht="41.25" hidden="false" customHeight="true" outlineLevel="0" collapsed="false">
      <c r="A5" s="21" t="s">
        <v>183</v>
      </c>
      <c r="B5" s="21" t="s">
        <v>184</v>
      </c>
      <c r="C5" s="21" t="s">
        <v>185</v>
      </c>
      <c r="D5" s="21" t="s">
        <v>186</v>
      </c>
    </row>
    <row r="6" customFormat="false" ht="15" hidden="false" customHeight="true" outlineLevel="0" collapsed="false">
      <c r="A6" s="12" t="s">
        <v>187</v>
      </c>
      <c r="B6" s="22" t="n">
        <v>0.26</v>
      </c>
      <c r="C6" s="22" t="n">
        <v>0.062</v>
      </c>
      <c r="D6" s="13" t="n">
        <v>800</v>
      </c>
    </row>
    <row r="7" customFormat="false" ht="15" hidden="false" customHeight="true" outlineLevel="0" collapsed="false">
      <c r="A7" s="12" t="s">
        <v>188</v>
      </c>
      <c r="B7" s="22" t="n">
        <v>0.22</v>
      </c>
      <c r="C7" s="22" t="n">
        <v>0.037</v>
      </c>
      <c r="D7" s="13" t="n">
        <v>400</v>
      </c>
    </row>
    <row r="8" customFormat="false" ht="15" hidden="false" customHeight="true" outlineLevel="0" collapsed="false">
      <c r="A8" s="12" t="s">
        <v>189</v>
      </c>
      <c r="B8" s="22" t="n">
        <v>0.23</v>
      </c>
      <c r="C8" s="22" t="n">
        <v>0.05</v>
      </c>
      <c r="D8" s="13" t="n">
        <v>500</v>
      </c>
    </row>
    <row r="10" customFormat="false" ht="30" hidden="false" customHeight="true" outlineLevel="0" collapsed="false">
      <c r="A10" s="23" t="s">
        <v>190</v>
      </c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</row>
    <row r="12" customFormat="false" ht="42" hidden="false" customHeight="true" outlineLevel="0" collapsed="false">
      <c r="A12" s="18" t="s">
        <v>191</v>
      </c>
      <c r="B12" s="18" t="s">
        <v>183</v>
      </c>
      <c r="C12" s="18" t="s">
        <v>192</v>
      </c>
      <c r="D12" s="18" t="s">
        <v>193</v>
      </c>
      <c r="E12" s="18" t="s">
        <v>194</v>
      </c>
      <c r="F12" s="18" t="s">
        <v>195</v>
      </c>
      <c r="G12" s="18" t="s">
        <v>196</v>
      </c>
      <c r="H12" s="18" t="s">
        <v>197</v>
      </c>
      <c r="I12" s="18" t="s">
        <v>198</v>
      </c>
      <c r="J12" s="18" t="s">
        <v>199</v>
      </c>
      <c r="K12" s="18" t="s">
        <v>200</v>
      </c>
      <c r="L12" s="18" t="s">
        <v>201</v>
      </c>
      <c r="M12" s="18" t="s">
        <v>202</v>
      </c>
      <c r="N12" s="18" t="s">
        <v>203</v>
      </c>
      <c r="O12" s="18" t="s">
        <v>177</v>
      </c>
    </row>
    <row r="13" customFormat="false" ht="15" hidden="false" customHeight="true" outlineLevel="0" collapsed="false">
      <c r="A13" s="12" t="s">
        <v>204</v>
      </c>
      <c r="B13" s="24" t="s">
        <v>187</v>
      </c>
      <c r="C13" s="13" t="n">
        <v>1782</v>
      </c>
      <c r="D13" s="13" t="n">
        <f aca="false">IF($C13="","",IF($B13="","",$C13*(1-VLOOKUP($B13,$A$6:$D$8,2,0)-VLOOKUP($B13,$A$6:$D$8,3,0))-VLOOKUP($B13,$A$6:$D$8,4,0)))</f>
        <v>408.196</v>
      </c>
      <c r="E13" s="13" t="n">
        <v>454</v>
      </c>
      <c r="F13" s="13" t="n">
        <v>800</v>
      </c>
      <c r="G13" s="13" t="n">
        <v>137</v>
      </c>
      <c r="H13" s="13" t="n">
        <v>0</v>
      </c>
      <c r="I13" s="13" t="n">
        <v>390</v>
      </c>
      <c r="J13" s="13" t="n">
        <f aca="false">IF($C13="","",$C13-$E13-$F13-$G13+$H13)</f>
        <v>391</v>
      </c>
      <c r="K13" s="12" t="str">
        <f aca="false">IF(OR($I13="",$J13=""),"",IF(ABS($I13-$J13)&lt;=2,"OK","⚠ FP statement doesn't add up -- verify"))</f>
        <v>OK</v>
      </c>
      <c r="L13" s="13"/>
      <c r="M13" s="13" t="str">
        <f aca="false">IF($L13="","",$L13-IF($J13="",$D13,$J13))</f>
        <v/>
      </c>
      <c r="N13" s="12" t="str">
        <f aca="false">IF($L13="","",IF($M13&lt;-200,"⚠ SHORT -- follow up with Food Panda",IF($M13&gt;200,"Over (unexpected)","OK")))</f>
        <v/>
      </c>
      <c r="O13" s="12" t="s">
        <v>205</v>
      </c>
    </row>
    <row r="14" customFormat="false" ht="15" hidden="false" customHeight="true" outlineLevel="0" collapsed="false">
      <c r="A14" s="12" t="s">
        <v>204</v>
      </c>
      <c r="B14" s="24" t="s">
        <v>188</v>
      </c>
      <c r="C14" s="13" t="n">
        <v>27429</v>
      </c>
      <c r="D14" s="13" t="n">
        <f aca="false">IF($C14="","",IF($B14="","",$C14*(1-VLOOKUP($B14,$A$6:$D$8,2,0)-VLOOKUP($B14,$A$6:$D$8,3,0))-VLOOKUP($B14,$A$6:$D$8,4,0)))</f>
        <v>19979.747</v>
      </c>
      <c r="E14" s="13" t="n">
        <v>5771</v>
      </c>
      <c r="F14" s="13" t="n">
        <v>400</v>
      </c>
      <c r="G14" s="13" t="n">
        <v>7159</v>
      </c>
      <c r="H14" s="13" t="n">
        <v>0</v>
      </c>
      <c r="I14" s="13" t="n">
        <v>20271</v>
      </c>
      <c r="J14" s="13" t="n">
        <f aca="false">IF($C14="","",$C14-$E14-$F14-$G14+$H14)</f>
        <v>14099</v>
      </c>
      <c r="K14" s="12" t="str">
        <f aca="false">IF(OR($I14="",$J14=""),"",IF(ABS($I14-$J14)&lt;=2,"OK","⚠ FP statement doesn't add up -- verify"))</f>
        <v>⚠ FP statement doesn't add up -- verify</v>
      </c>
      <c r="L14" s="13"/>
      <c r="M14" s="13" t="str">
        <f aca="false">IF($L14="","",$L14-IF($J14="",$D14,$J14))</f>
        <v/>
      </c>
      <c r="N14" s="12" t="str">
        <f aca="false">IF($L14="","",IF($M14&lt;-200,"⚠ SHORT -- follow up with Food Panda",IF($M14&gt;200,"Over (unexpected)","OK")))</f>
        <v/>
      </c>
      <c r="O14" s="12" t="s">
        <v>206</v>
      </c>
    </row>
    <row r="15" customFormat="false" ht="15" hidden="false" customHeight="true" outlineLevel="0" collapsed="false">
      <c r="A15" s="12"/>
      <c r="B15" s="24"/>
      <c r="C15" s="13"/>
      <c r="D15" s="13" t="str">
        <f aca="false">IF($C15="","",IF($B15="","",$C15*(1-VLOOKUP($B15,$A$6:$D$8,2,0)-VLOOKUP($B15,$A$6:$D$8,3,0))-VLOOKUP($B15,$A$6:$D$8,4,0)))</f>
        <v/>
      </c>
      <c r="E15" s="13"/>
      <c r="F15" s="13"/>
      <c r="G15" s="13"/>
      <c r="H15" s="13"/>
      <c r="I15" s="13"/>
      <c r="J15" s="13" t="str">
        <f aca="false">IF($C15="","",$C15-$E15-$F15-$G15+$H15)</f>
        <v/>
      </c>
      <c r="K15" s="12" t="str">
        <f aca="false">IF(OR($I15="",$J15=""),"",IF(ABS($I15-$J15)&lt;=2,"OK","⚠ FP statement doesn't add up -- verify"))</f>
        <v/>
      </c>
      <c r="L15" s="13"/>
      <c r="M15" s="13" t="str">
        <f aca="false">IF($L15="","",$L15-IF($J15="",$D15,$J15))</f>
        <v/>
      </c>
      <c r="N15" s="12" t="str">
        <f aca="false">IF($L15="","",IF($M15&lt;-200,"⚠ SHORT -- follow up with Food Panda",IF($M15&gt;200,"Over (unexpected)","OK")))</f>
        <v/>
      </c>
      <c r="O15" s="12"/>
    </row>
    <row r="16" customFormat="false" ht="15" hidden="false" customHeight="true" outlineLevel="0" collapsed="false">
      <c r="A16" s="12"/>
      <c r="B16" s="24"/>
      <c r="C16" s="13"/>
      <c r="D16" s="13" t="str">
        <f aca="false">IF($C16="","",IF($B16="","",$C16*(1-VLOOKUP($B16,$A$6:$D$8,2,0)-VLOOKUP($B16,$A$6:$D$8,3,0))-VLOOKUP($B16,$A$6:$D$8,4,0)))</f>
        <v/>
      </c>
      <c r="E16" s="13"/>
      <c r="F16" s="13"/>
      <c r="G16" s="13"/>
      <c r="H16" s="13"/>
      <c r="I16" s="13"/>
      <c r="J16" s="13" t="str">
        <f aca="false">IF($C16="","",$C16-$E16-$F16-$G16+$H16)</f>
        <v/>
      </c>
      <c r="K16" s="12" t="str">
        <f aca="false">IF(OR($I16="",$J16=""),"",IF(ABS($I16-$J16)&lt;=2,"OK","⚠ FP statement doesn't add up -- verify"))</f>
        <v/>
      </c>
      <c r="L16" s="13"/>
      <c r="M16" s="13" t="str">
        <f aca="false">IF($L16="","",$L16-IF($J16="",$D16,$J16))</f>
        <v/>
      </c>
      <c r="N16" s="12" t="str">
        <f aca="false">IF($L16="","",IF($M16&lt;-200,"⚠ SHORT -- follow up with Food Panda",IF($M16&gt;200,"Over (unexpected)","OK")))</f>
        <v/>
      </c>
      <c r="O16" s="12"/>
    </row>
    <row r="17" customFormat="false" ht="15" hidden="false" customHeight="true" outlineLevel="0" collapsed="false">
      <c r="A17" s="12"/>
      <c r="B17" s="24"/>
      <c r="C17" s="13"/>
      <c r="D17" s="13" t="str">
        <f aca="false">IF($C17="","",IF($B17="","",$C17*(1-VLOOKUP($B17,$A$6:$D$8,2,0)-VLOOKUP($B17,$A$6:$D$8,3,0))-VLOOKUP($B17,$A$6:$D$8,4,0)))</f>
        <v/>
      </c>
      <c r="E17" s="13"/>
      <c r="F17" s="13"/>
      <c r="G17" s="13"/>
      <c r="H17" s="13"/>
      <c r="I17" s="13"/>
      <c r="J17" s="13" t="str">
        <f aca="false">IF($C17="","",$C17-$E17-$F17-$G17+$H17)</f>
        <v/>
      </c>
      <c r="K17" s="12" t="str">
        <f aca="false">IF(OR($I17="",$J17=""),"",IF(ABS($I17-$J17)&lt;=2,"OK","⚠ FP statement doesn't add up -- verify"))</f>
        <v/>
      </c>
      <c r="L17" s="13"/>
      <c r="M17" s="13" t="str">
        <f aca="false">IF($L17="","",$L17-IF($J17="",$D17,$J17))</f>
        <v/>
      </c>
      <c r="N17" s="12" t="str">
        <f aca="false">IF($L17="","",IF($M17&lt;-200,"⚠ SHORT -- follow up with Food Panda",IF($M17&gt;200,"Over (unexpected)","OK")))</f>
        <v/>
      </c>
      <c r="O17" s="12"/>
    </row>
    <row r="18" customFormat="false" ht="15" hidden="false" customHeight="true" outlineLevel="0" collapsed="false">
      <c r="A18" s="12"/>
      <c r="B18" s="24"/>
      <c r="C18" s="13"/>
      <c r="D18" s="13" t="str">
        <f aca="false">IF($C18="","",IF($B18="","",$C18*(1-VLOOKUP($B18,$A$6:$D$8,2,0)-VLOOKUP($B18,$A$6:$D$8,3,0))-VLOOKUP($B18,$A$6:$D$8,4,0)))</f>
        <v/>
      </c>
      <c r="E18" s="13"/>
      <c r="F18" s="13"/>
      <c r="G18" s="13"/>
      <c r="H18" s="13"/>
      <c r="I18" s="13"/>
      <c r="J18" s="13" t="str">
        <f aca="false">IF($C18="","",$C18-$E18-$F18-$G18+$H18)</f>
        <v/>
      </c>
      <c r="K18" s="12" t="str">
        <f aca="false">IF(OR($I18="",$J18=""),"",IF(ABS($I18-$J18)&lt;=2,"OK","⚠ FP statement doesn't add up -- verify"))</f>
        <v/>
      </c>
      <c r="L18" s="13"/>
      <c r="M18" s="13" t="str">
        <f aca="false">IF($L18="","",$L18-IF($J18="",$D18,$J18))</f>
        <v/>
      </c>
      <c r="N18" s="12" t="str">
        <f aca="false">IF($L18="","",IF($M18&lt;-200,"⚠ SHORT -- follow up with Food Panda",IF($M18&gt;200,"Over (unexpected)","OK")))</f>
        <v/>
      </c>
      <c r="O18" s="12"/>
    </row>
    <row r="19" customFormat="false" ht="15" hidden="false" customHeight="true" outlineLevel="0" collapsed="false">
      <c r="A19" s="12"/>
      <c r="B19" s="24"/>
      <c r="C19" s="13"/>
      <c r="D19" s="13" t="str">
        <f aca="false">IF($C19="","",IF($B19="","",$C19*(1-VLOOKUP($B19,$A$6:$D$8,2,0)-VLOOKUP($B19,$A$6:$D$8,3,0))-VLOOKUP($B19,$A$6:$D$8,4,0)))</f>
        <v/>
      </c>
      <c r="E19" s="13"/>
      <c r="F19" s="13"/>
      <c r="G19" s="13"/>
      <c r="H19" s="13"/>
      <c r="I19" s="13"/>
      <c r="J19" s="13" t="str">
        <f aca="false">IF($C19="","",$C19-$E19-$F19-$G19+$H19)</f>
        <v/>
      </c>
      <c r="K19" s="12" t="str">
        <f aca="false">IF(OR($I19="",$J19=""),"",IF(ABS($I19-$J19)&lt;=2,"OK","⚠ FP statement doesn't add up -- verify"))</f>
        <v/>
      </c>
      <c r="L19" s="13"/>
      <c r="M19" s="13" t="str">
        <f aca="false">IF($L19="","",$L19-IF($J19="",$D19,$J19))</f>
        <v/>
      </c>
      <c r="N19" s="12" t="str">
        <f aca="false">IF($L19="","",IF($M19&lt;-200,"⚠ SHORT -- follow up with Food Panda",IF($M19&gt;200,"Over (unexpected)","OK")))</f>
        <v/>
      </c>
      <c r="O19" s="12"/>
    </row>
    <row r="20" customFormat="false" ht="15" hidden="false" customHeight="true" outlineLevel="0" collapsed="false">
      <c r="A20" s="12"/>
      <c r="B20" s="24"/>
      <c r="C20" s="13"/>
      <c r="D20" s="13" t="str">
        <f aca="false">IF($C20="","",IF($B20="","",$C20*(1-VLOOKUP($B20,$A$6:$D$8,2,0)-VLOOKUP($B20,$A$6:$D$8,3,0))-VLOOKUP($B20,$A$6:$D$8,4,0)))</f>
        <v/>
      </c>
      <c r="E20" s="13"/>
      <c r="F20" s="13"/>
      <c r="G20" s="13"/>
      <c r="H20" s="13"/>
      <c r="I20" s="13"/>
      <c r="J20" s="13" t="str">
        <f aca="false">IF($C20="","",$C20-$E20-$F20-$G20+$H20)</f>
        <v/>
      </c>
      <c r="K20" s="12" t="str">
        <f aca="false">IF(OR($I20="",$J20=""),"",IF(ABS($I20-$J20)&lt;=2,"OK","⚠ FP statement doesn't add up -- verify"))</f>
        <v/>
      </c>
      <c r="L20" s="13"/>
      <c r="M20" s="13" t="str">
        <f aca="false">IF($L20="","",$L20-IF($J20="",$D20,$J20))</f>
        <v/>
      </c>
      <c r="N20" s="12" t="str">
        <f aca="false">IF($L20="","",IF($M20&lt;-200,"⚠ SHORT -- follow up with Food Panda",IF($M20&gt;200,"Over (unexpected)","OK")))</f>
        <v/>
      </c>
      <c r="O20" s="12"/>
    </row>
    <row r="21" customFormat="false" ht="15" hidden="false" customHeight="true" outlineLevel="0" collapsed="false">
      <c r="A21" s="12"/>
      <c r="B21" s="24"/>
      <c r="C21" s="13"/>
      <c r="D21" s="13" t="str">
        <f aca="false">IF($C21="","",IF($B21="","",$C21*(1-VLOOKUP($B21,$A$6:$D$8,2,0)-VLOOKUP($B21,$A$6:$D$8,3,0))-VLOOKUP($B21,$A$6:$D$8,4,0)))</f>
        <v/>
      </c>
      <c r="E21" s="13"/>
      <c r="F21" s="13"/>
      <c r="G21" s="13"/>
      <c r="H21" s="13"/>
      <c r="I21" s="13"/>
      <c r="J21" s="13" t="str">
        <f aca="false">IF($C21="","",$C21-$E21-$F21-$G21+$H21)</f>
        <v/>
      </c>
      <c r="K21" s="12" t="str">
        <f aca="false">IF(OR($I21="",$J21=""),"",IF(ABS($I21-$J21)&lt;=2,"OK","⚠ FP statement doesn't add up -- verify"))</f>
        <v/>
      </c>
      <c r="L21" s="13"/>
      <c r="M21" s="13" t="str">
        <f aca="false">IF($L21="","",$L21-IF($J21="",$D21,$J21))</f>
        <v/>
      </c>
      <c r="N21" s="12" t="str">
        <f aca="false">IF($L21="","",IF($M21&lt;-200,"⚠ SHORT -- follow up with Food Panda",IF($M21&gt;200,"Over (unexpected)","OK")))</f>
        <v/>
      </c>
      <c r="O21" s="12"/>
    </row>
    <row r="22" customFormat="false" ht="15" hidden="false" customHeight="true" outlineLevel="0" collapsed="false">
      <c r="A22" s="12"/>
      <c r="B22" s="24"/>
      <c r="C22" s="13"/>
      <c r="D22" s="13" t="str">
        <f aca="false">IF($C22="","",IF($B22="","",$C22*(1-VLOOKUP($B22,$A$6:$D$8,2,0)-VLOOKUP($B22,$A$6:$D$8,3,0))-VLOOKUP($B22,$A$6:$D$8,4,0)))</f>
        <v/>
      </c>
      <c r="E22" s="13"/>
      <c r="F22" s="13"/>
      <c r="G22" s="13"/>
      <c r="H22" s="13"/>
      <c r="I22" s="13"/>
      <c r="J22" s="13" t="str">
        <f aca="false">IF($C22="","",$C22-$E22-$F22-$G22+$H22)</f>
        <v/>
      </c>
      <c r="K22" s="12" t="str">
        <f aca="false">IF(OR($I22="",$J22=""),"",IF(ABS($I22-$J22)&lt;=2,"OK","⚠ FP statement doesn't add up -- verify"))</f>
        <v/>
      </c>
      <c r="L22" s="13"/>
      <c r="M22" s="13" t="str">
        <f aca="false">IF($L22="","",$L22-IF($J22="",$D22,$J22))</f>
        <v/>
      </c>
      <c r="N22" s="12" t="str">
        <f aca="false">IF($L22="","",IF($M22&lt;-200,"⚠ SHORT -- follow up with Food Panda",IF($M22&gt;200,"Over (unexpected)","OK")))</f>
        <v/>
      </c>
      <c r="O22" s="12"/>
    </row>
    <row r="23" customFormat="false" ht="15" hidden="false" customHeight="true" outlineLevel="0" collapsed="false">
      <c r="A23" s="12"/>
      <c r="B23" s="24"/>
      <c r="C23" s="13"/>
      <c r="D23" s="13" t="str">
        <f aca="false">IF($C23="","",IF($B23="","",$C23*(1-VLOOKUP($B23,$A$6:$D$8,2,0)-VLOOKUP($B23,$A$6:$D$8,3,0))-VLOOKUP($B23,$A$6:$D$8,4,0)))</f>
        <v/>
      </c>
      <c r="E23" s="13"/>
      <c r="F23" s="13"/>
      <c r="G23" s="13"/>
      <c r="H23" s="13"/>
      <c r="I23" s="13"/>
      <c r="J23" s="13" t="str">
        <f aca="false">IF($C23="","",$C23-$E23-$F23-$G23+$H23)</f>
        <v/>
      </c>
      <c r="K23" s="12" t="str">
        <f aca="false">IF(OR($I23="",$J23=""),"",IF(ABS($I23-$J23)&lt;=2,"OK","⚠ FP statement doesn't add up -- verify"))</f>
        <v/>
      </c>
      <c r="L23" s="13"/>
      <c r="M23" s="13" t="str">
        <f aca="false">IF($L23="","",$L23-IF($J23="",$D23,$J23))</f>
        <v/>
      </c>
      <c r="N23" s="12" t="str">
        <f aca="false">IF($L23="","",IF($M23&lt;-200,"⚠ SHORT -- follow up with Food Panda",IF($M23&gt;200,"Over (unexpected)","OK")))</f>
        <v/>
      </c>
      <c r="O23" s="12"/>
    </row>
    <row r="24" customFormat="false" ht="15" hidden="false" customHeight="true" outlineLevel="0" collapsed="false">
      <c r="A24" s="12"/>
      <c r="B24" s="24"/>
      <c r="C24" s="13"/>
      <c r="D24" s="13" t="str">
        <f aca="false">IF($C24="","",IF($B24="","",$C24*(1-VLOOKUP($B24,$A$6:$D$8,2,0)-VLOOKUP($B24,$A$6:$D$8,3,0))-VLOOKUP($B24,$A$6:$D$8,4,0)))</f>
        <v/>
      </c>
      <c r="E24" s="13"/>
      <c r="F24" s="13"/>
      <c r="G24" s="13"/>
      <c r="H24" s="13"/>
      <c r="I24" s="13"/>
      <c r="J24" s="13" t="str">
        <f aca="false">IF($C24="","",$C24-$E24-$F24-$G24+$H24)</f>
        <v/>
      </c>
      <c r="K24" s="12" t="str">
        <f aca="false">IF(OR($I24="",$J24=""),"",IF(ABS($I24-$J24)&lt;=2,"OK","⚠ FP statement doesn't add up -- verify"))</f>
        <v/>
      </c>
      <c r="L24" s="13"/>
      <c r="M24" s="13" t="str">
        <f aca="false">IF($L24="","",$L24-IF($J24="",$D24,$J24))</f>
        <v/>
      </c>
      <c r="N24" s="12" t="str">
        <f aca="false">IF($L24="","",IF($M24&lt;-200,"⚠ SHORT -- follow up with Food Panda",IF($M24&gt;200,"Over (unexpected)","OK")))</f>
        <v/>
      </c>
      <c r="O24" s="12"/>
    </row>
    <row r="25" customFormat="false" ht="15" hidden="false" customHeight="true" outlineLevel="0" collapsed="false">
      <c r="A25" s="12"/>
      <c r="B25" s="24"/>
      <c r="C25" s="13"/>
      <c r="D25" s="13" t="str">
        <f aca="false">IF($C25="","",IF($B25="","",$C25*(1-VLOOKUP($B25,$A$6:$D$8,2,0)-VLOOKUP($B25,$A$6:$D$8,3,0))-VLOOKUP($B25,$A$6:$D$8,4,0)))</f>
        <v/>
      </c>
      <c r="E25" s="13"/>
      <c r="F25" s="13"/>
      <c r="G25" s="13"/>
      <c r="H25" s="13"/>
      <c r="I25" s="13"/>
      <c r="J25" s="13" t="str">
        <f aca="false">IF($C25="","",$C25-$E25-$F25-$G25+$H25)</f>
        <v/>
      </c>
      <c r="K25" s="12" t="str">
        <f aca="false">IF(OR($I25="",$J25=""),"",IF(ABS($I25-$J25)&lt;=2,"OK","⚠ FP statement doesn't add up -- verify"))</f>
        <v/>
      </c>
      <c r="L25" s="13"/>
      <c r="M25" s="13" t="str">
        <f aca="false">IF($L25="","",$L25-IF($J25="",$D25,$J25))</f>
        <v/>
      </c>
      <c r="N25" s="12" t="str">
        <f aca="false">IF($L25="","",IF($M25&lt;-200,"⚠ SHORT -- follow up with Food Panda",IF($M25&gt;200,"Over (unexpected)","OK")))</f>
        <v/>
      </c>
      <c r="O25" s="12"/>
    </row>
    <row r="26" customFormat="false" ht="15" hidden="false" customHeight="true" outlineLevel="0" collapsed="false">
      <c r="A26" s="12"/>
      <c r="B26" s="24"/>
      <c r="C26" s="13"/>
      <c r="D26" s="13" t="str">
        <f aca="false">IF($C26="","",IF($B26="","",$C26*(1-VLOOKUP($B26,$A$6:$D$8,2,0)-VLOOKUP($B26,$A$6:$D$8,3,0))-VLOOKUP($B26,$A$6:$D$8,4,0)))</f>
        <v/>
      </c>
      <c r="E26" s="13"/>
      <c r="F26" s="13"/>
      <c r="G26" s="13"/>
      <c r="H26" s="13"/>
      <c r="I26" s="13"/>
      <c r="J26" s="13" t="str">
        <f aca="false">IF($C26="","",$C26-$E26-$F26-$G26+$H26)</f>
        <v/>
      </c>
      <c r="K26" s="12" t="str">
        <f aca="false">IF(OR($I26="",$J26=""),"",IF(ABS($I26-$J26)&lt;=2,"OK","⚠ FP statement doesn't add up -- verify"))</f>
        <v/>
      </c>
      <c r="L26" s="13"/>
      <c r="M26" s="13" t="str">
        <f aca="false">IF($L26="","",$L26-IF($J26="",$D26,$J26))</f>
        <v/>
      </c>
      <c r="N26" s="12" t="str">
        <f aca="false">IF($L26="","",IF($M26&lt;-200,"⚠ SHORT -- follow up with Food Panda",IF($M26&gt;200,"Over (unexpected)","OK")))</f>
        <v/>
      </c>
      <c r="O26" s="12"/>
    </row>
    <row r="27" customFormat="false" ht="15" hidden="false" customHeight="true" outlineLevel="0" collapsed="false">
      <c r="A27" s="12"/>
      <c r="B27" s="24"/>
      <c r="C27" s="13"/>
      <c r="D27" s="13" t="str">
        <f aca="false">IF($C27="","",IF($B27="","",$C27*(1-VLOOKUP($B27,$A$6:$D$8,2,0)-VLOOKUP($B27,$A$6:$D$8,3,0))-VLOOKUP($B27,$A$6:$D$8,4,0)))</f>
        <v/>
      </c>
      <c r="E27" s="13"/>
      <c r="F27" s="13"/>
      <c r="G27" s="13"/>
      <c r="H27" s="13"/>
      <c r="I27" s="13"/>
      <c r="J27" s="13" t="str">
        <f aca="false">IF($C27="","",$C27-$E27-$F27-$G27+$H27)</f>
        <v/>
      </c>
      <c r="K27" s="12" t="str">
        <f aca="false">IF(OR($I27="",$J27=""),"",IF(ABS($I27-$J27)&lt;=2,"OK","⚠ FP statement doesn't add up -- verify"))</f>
        <v/>
      </c>
      <c r="L27" s="13"/>
      <c r="M27" s="13" t="str">
        <f aca="false">IF($L27="","",$L27-IF($J27="",$D27,$J27))</f>
        <v/>
      </c>
      <c r="N27" s="12" t="str">
        <f aca="false">IF($L27="","",IF($M27&lt;-200,"⚠ SHORT -- follow up with Food Panda",IF($M27&gt;200,"Over (unexpected)","OK")))</f>
        <v/>
      </c>
      <c r="O27" s="12"/>
    </row>
    <row r="28" customFormat="false" ht="15" hidden="false" customHeight="true" outlineLevel="0" collapsed="false">
      <c r="A28" s="12"/>
      <c r="B28" s="24"/>
      <c r="C28" s="13"/>
      <c r="D28" s="13" t="str">
        <f aca="false">IF($C28="","",IF($B28="","",$C28*(1-VLOOKUP($B28,$A$6:$D$8,2,0)-VLOOKUP($B28,$A$6:$D$8,3,0))-VLOOKUP($B28,$A$6:$D$8,4,0)))</f>
        <v/>
      </c>
      <c r="E28" s="13"/>
      <c r="F28" s="13"/>
      <c r="G28" s="13"/>
      <c r="H28" s="13"/>
      <c r="I28" s="13"/>
      <c r="J28" s="13" t="str">
        <f aca="false">IF($C28="","",$C28-$E28-$F28-$G28+$H28)</f>
        <v/>
      </c>
      <c r="K28" s="12" t="str">
        <f aca="false">IF(OR($I28="",$J28=""),"",IF(ABS($I28-$J28)&lt;=2,"OK","⚠ FP statement doesn't add up -- verify"))</f>
        <v/>
      </c>
      <c r="L28" s="13"/>
      <c r="M28" s="13" t="str">
        <f aca="false">IF($L28="","",$L28-IF($J28="",$D28,$J28))</f>
        <v/>
      </c>
      <c r="N28" s="12" t="str">
        <f aca="false">IF($L28="","",IF($M28&lt;-200,"⚠ SHORT -- follow up with Food Panda",IF($M28&gt;200,"Over (unexpected)","OK")))</f>
        <v/>
      </c>
      <c r="O28" s="12"/>
    </row>
    <row r="29" customFormat="false" ht="15" hidden="false" customHeight="true" outlineLevel="0" collapsed="false">
      <c r="A29" s="12"/>
      <c r="B29" s="24"/>
      <c r="C29" s="13"/>
      <c r="D29" s="13" t="str">
        <f aca="false">IF($C29="","",IF($B29="","",$C29*(1-VLOOKUP($B29,$A$6:$D$8,2,0)-VLOOKUP($B29,$A$6:$D$8,3,0))-VLOOKUP($B29,$A$6:$D$8,4,0)))</f>
        <v/>
      </c>
      <c r="E29" s="13"/>
      <c r="F29" s="13"/>
      <c r="G29" s="13"/>
      <c r="H29" s="13"/>
      <c r="I29" s="13"/>
      <c r="J29" s="13" t="str">
        <f aca="false">IF($C29="","",$C29-$E29-$F29-$G29+$H29)</f>
        <v/>
      </c>
      <c r="K29" s="12" t="str">
        <f aca="false">IF(OR($I29="",$J29=""),"",IF(ABS($I29-$J29)&lt;=2,"OK","⚠ FP statement doesn't add up -- verify"))</f>
        <v/>
      </c>
      <c r="L29" s="13"/>
      <c r="M29" s="13" t="str">
        <f aca="false">IF($L29="","",$L29-IF($J29="",$D29,$J29))</f>
        <v/>
      </c>
      <c r="N29" s="12" t="str">
        <f aca="false">IF($L29="","",IF($M29&lt;-200,"⚠ SHORT -- follow up with Food Panda",IF($M29&gt;200,"Over (unexpected)","OK")))</f>
        <v/>
      </c>
      <c r="O29" s="12"/>
    </row>
    <row r="30" customFormat="false" ht="15" hidden="false" customHeight="true" outlineLevel="0" collapsed="false">
      <c r="A30" s="12"/>
      <c r="B30" s="24"/>
      <c r="C30" s="13"/>
      <c r="D30" s="13" t="str">
        <f aca="false">IF($C30="","",IF($B30="","",$C30*(1-VLOOKUP($B30,$A$6:$D$8,2,0)-VLOOKUP($B30,$A$6:$D$8,3,0))-VLOOKUP($B30,$A$6:$D$8,4,0)))</f>
        <v/>
      </c>
      <c r="E30" s="13"/>
      <c r="F30" s="13"/>
      <c r="G30" s="13"/>
      <c r="H30" s="13"/>
      <c r="I30" s="13"/>
      <c r="J30" s="13" t="str">
        <f aca="false">IF($C30="","",$C30-$E30-$F30-$G30+$H30)</f>
        <v/>
      </c>
      <c r="K30" s="12" t="str">
        <f aca="false">IF(OR($I30="",$J30=""),"",IF(ABS($I30-$J30)&lt;=2,"OK","⚠ FP statement doesn't add up -- verify"))</f>
        <v/>
      </c>
      <c r="L30" s="13"/>
      <c r="M30" s="13" t="str">
        <f aca="false">IF($L30="","",$L30-IF($J30="",$D30,$J30))</f>
        <v/>
      </c>
      <c r="N30" s="12" t="str">
        <f aca="false">IF($L30="","",IF($M30&lt;-200,"⚠ SHORT -- follow up with Food Panda",IF($M30&gt;200,"Over (unexpected)","OK")))</f>
        <v/>
      </c>
      <c r="O30" s="12"/>
    </row>
    <row r="31" customFormat="false" ht="15" hidden="false" customHeight="true" outlineLevel="0" collapsed="false">
      <c r="A31" s="12"/>
      <c r="B31" s="24"/>
      <c r="C31" s="13"/>
      <c r="D31" s="13" t="str">
        <f aca="false">IF($C31="","",IF($B31="","",$C31*(1-VLOOKUP($B31,$A$6:$D$8,2,0)-VLOOKUP($B31,$A$6:$D$8,3,0))-VLOOKUP($B31,$A$6:$D$8,4,0)))</f>
        <v/>
      </c>
      <c r="E31" s="13"/>
      <c r="F31" s="13"/>
      <c r="G31" s="13"/>
      <c r="H31" s="13"/>
      <c r="I31" s="13"/>
      <c r="J31" s="13" t="str">
        <f aca="false">IF($C31="","",$C31-$E31-$F31-$G31+$H31)</f>
        <v/>
      </c>
      <c r="K31" s="12" t="str">
        <f aca="false">IF(OR($I31="",$J31=""),"",IF(ABS($I31-$J31)&lt;=2,"OK","⚠ FP statement doesn't add up -- verify"))</f>
        <v/>
      </c>
      <c r="L31" s="13"/>
      <c r="M31" s="13" t="str">
        <f aca="false">IF($L31="","",$L31-IF($J31="",$D31,$J31))</f>
        <v/>
      </c>
      <c r="N31" s="12" t="str">
        <f aca="false">IF($L31="","",IF($M31&lt;-200,"⚠ SHORT -- follow up with Food Panda",IF($M31&gt;200,"Over (unexpected)","OK")))</f>
        <v/>
      </c>
      <c r="O31" s="12"/>
    </row>
    <row r="32" customFormat="false" ht="15" hidden="false" customHeight="true" outlineLevel="0" collapsed="false">
      <c r="A32" s="12"/>
      <c r="B32" s="24"/>
      <c r="C32" s="13"/>
      <c r="D32" s="13" t="str">
        <f aca="false">IF($C32="","",IF($B32="","",$C32*(1-VLOOKUP($B32,$A$6:$D$8,2,0)-VLOOKUP($B32,$A$6:$D$8,3,0))-VLOOKUP($B32,$A$6:$D$8,4,0)))</f>
        <v/>
      </c>
      <c r="E32" s="13"/>
      <c r="F32" s="13"/>
      <c r="G32" s="13"/>
      <c r="H32" s="13"/>
      <c r="I32" s="13"/>
      <c r="J32" s="13" t="str">
        <f aca="false">IF($C32="","",$C32-$E32-$F32-$G32+$H32)</f>
        <v/>
      </c>
      <c r="K32" s="12" t="str">
        <f aca="false">IF(OR($I32="",$J32=""),"",IF(ABS($I32-$J32)&lt;=2,"OK","⚠ FP statement doesn't add up -- verify"))</f>
        <v/>
      </c>
      <c r="L32" s="13"/>
      <c r="M32" s="13" t="str">
        <f aca="false">IF($L32="","",$L32-IF($J32="",$D32,$J32))</f>
        <v/>
      </c>
      <c r="N32" s="12" t="str">
        <f aca="false">IF($L32="","",IF($M32&lt;-200,"⚠ SHORT -- follow up with Food Panda",IF($M32&gt;200,"Over (unexpected)","OK")))</f>
        <v/>
      </c>
      <c r="O32" s="12"/>
    </row>
    <row r="33" customFormat="false" ht="15" hidden="false" customHeight="true" outlineLevel="0" collapsed="false">
      <c r="A33" s="12"/>
      <c r="B33" s="24"/>
      <c r="C33" s="13"/>
      <c r="D33" s="13" t="str">
        <f aca="false">IF($C33="","",IF($B33="","",$C33*(1-VLOOKUP($B33,$A$6:$D$8,2,0)-VLOOKUP($B33,$A$6:$D$8,3,0))-VLOOKUP($B33,$A$6:$D$8,4,0)))</f>
        <v/>
      </c>
      <c r="E33" s="13"/>
      <c r="F33" s="13"/>
      <c r="G33" s="13"/>
      <c r="H33" s="13"/>
      <c r="I33" s="13"/>
      <c r="J33" s="13" t="str">
        <f aca="false">IF($C33="","",$C33-$E33-$F33-$G33+$H33)</f>
        <v/>
      </c>
      <c r="K33" s="12" t="str">
        <f aca="false">IF(OR($I33="",$J33=""),"",IF(ABS($I33-$J33)&lt;=2,"OK","⚠ FP statement doesn't add up -- verify"))</f>
        <v/>
      </c>
      <c r="L33" s="13"/>
      <c r="M33" s="13" t="str">
        <f aca="false">IF($L33="","",$L33-IF($J33="",$D33,$J33))</f>
        <v/>
      </c>
      <c r="N33" s="12" t="str">
        <f aca="false">IF($L33="","",IF($M33&lt;-200,"⚠ SHORT -- follow up with Food Panda",IF($M33&gt;200,"Over (unexpected)","OK")))</f>
        <v/>
      </c>
      <c r="O33" s="12"/>
    </row>
    <row r="34" customFormat="false" ht="15" hidden="false" customHeight="true" outlineLevel="0" collapsed="false">
      <c r="A34" s="12"/>
      <c r="B34" s="24"/>
      <c r="C34" s="13"/>
      <c r="D34" s="13" t="str">
        <f aca="false">IF($C34="","",IF($B34="","",$C34*(1-VLOOKUP($B34,$A$6:$D$8,2,0)-VLOOKUP($B34,$A$6:$D$8,3,0))-VLOOKUP($B34,$A$6:$D$8,4,0)))</f>
        <v/>
      </c>
      <c r="E34" s="13"/>
      <c r="F34" s="13"/>
      <c r="G34" s="13"/>
      <c r="H34" s="13"/>
      <c r="I34" s="13"/>
      <c r="J34" s="13" t="str">
        <f aca="false">IF($C34="","",$C34-$E34-$F34-$G34+$H34)</f>
        <v/>
      </c>
      <c r="K34" s="12" t="str">
        <f aca="false">IF(OR($I34="",$J34=""),"",IF(ABS($I34-$J34)&lt;=2,"OK","⚠ FP statement doesn't add up -- verify"))</f>
        <v/>
      </c>
      <c r="L34" s="13"/>
      <c r="M34" s="13" t="str">
        <f aca="false">IF($L34="","",$L34-IF($J34="",$D34,$J34))</f>
        <v/>
      </c>
      <c r="N34" s="12" t="str">
        <f aca="false">IF($L34="","",IF($M34&lt;-200,"⚠ SHORT -- follow up with Food Panda",IF($M34&gt;200,"Over (unexpected)","OK")))</f>
        <v/>
      </c>
      <c r="O34" s="12"/>
    </row>
    <row r="35" customFormat="false" ht="15" hidden="false" customHeight="true" outlineLevel="0" collapsed="false">
      <c r="A35" s="12"/>
      <c r="B35" s="24"/>
      <c r="C35" s="13"/>
      <c r="D35" s="13" t="str">
        <f aca="false">IF($C35="","",IF($B35="","",$C35*(1-VLOOKUP($B35,$A$6:$D$8,2,0)-VLOOKUP($B35,$A$6:$D$8,3,0))-VLOOKUP($B35,$A$6:$D$8,4,0)))</f>
        <v/>
      </c>
      <c r="E35" s="13"/>
      <c r="F35" s="13"/>
      <c r="G35" s="13"/>
      <c r="H35" s="13"/>
      <c r="I35" s="13"/>
      <c r="J35" s="13" t="str">
        <f aca="false">IF($C35="","",$C35-$E35-$F35-$G35+$H35)</f>
        <v/>
      </c>
      <c r="K35" s="12" t="str">
        <f aca="false">IF(OR($I35="",$J35=""),"",IF(ABS($I35-$J35)&lt;=2,"OK","⚠ FP statement doesn't add up -- verify"))</f>
        <v/>
      </c>
      <c r="L35" s="13"/>
      <c r="M35" s="13" t="str">
        <f aca="false">IF($L35="","",$L35-IF($J35="",$D35,$J35))</f>
        <v/>
      </c>
      <c r="N35" s="12" t="str">
        <f aca="false">IF($L35="","",IF($M35&lt;-200,"⚠ SHORT -- follow up with Food Panda",IF($M35&gt;200,"Over (unexpected)","OK")))</f>
        <v/>
      </c>
      <c r="O35" s="12"/>
    </row>
    <row r="36" customFormat="false" ht="15" hidden="false" customHeight="true" outlineLevel="0" collapsed="false">
      <c r="A36" s="12"/>
      <c r="B36" s="24"/>
      <c r="C36" s="13"/>
      <c r="D36" s="13" t="str">
        <f aca="false">IF($C36="","",IF($B36="","",$C36*(1-VLOOKUP($B36,$A$6:$D$8,2,0)-VLOOKUP($B36,$A$6:$D$8,3,0))-VLOOKUP($B36,$A$6:$D$8,4,0)))</f>
        <v/>
      </c>
      <c r="E36" s="13"/>
      <c r="F36" s="13"/>
      <c r="G36" s="13"/>
      <c r="H36" s="13"/>
      <c r="I36" s="13"/>
      <c r="J36" s="13" t="str">
        <f aca="false">IF($C36="","",$C36-$E36-$F36-$G36+$H36)</f>
        <v/>
      </c>
      <c r="K36" s="12" t="str">
        <f aca="false">IF(OR($I36="",$J36=""),"",IF(ABS($I36-$J36)&lt;=2,"OK","⚠ FP statement doesn't add up -- verify"))</f>
        <v/>
      </c>
      <c r="L36" s="13"/>
      <c r="M36" s="13" t="str">
        <f aca="false">IF($L36="","",$L36-IF($J36="",$D36,$J36))</f>
        <v/>
      </c>
      <c r="N36" s="12" t="str">
        <f aca="false">IF($L36="","",IF($M36&lt;-200,"⚠ SHORT -- follow up with Food Panda",IF($M36&gt;200,"Over (unexpected)","OK")))</f>
        <v/>
      </c>
      <c r="O36" s="12"/>
    </row>
    <row r="37" customFormat="false" ht="15" hidden="false" customHeight="true" outlineLevel="0" collapsed="false">
      <c r="A37" s="12"/>
      <c r="B37" s="24"/>
      <c r="C37" s="13"/>
      <c r="D37" s="13" t="str">
        <f aca="false">IF($C37="","",IF($B37="","",$C37*(1-VLOOKUP($B37,$A$6:$D$8,2,0)-VLOOKUP($B37,$A$6:$D$8,3,0))-VLOOKUP($B37,$A$6:$D$8,4,0)))</f>
        <v/>
      </c>
      <c r="E37" s="13"/>
      <c r="F37" s="13"/>
      <c r="G37" s="13"/>
      <c r="H37" s="13"/>
      <c r="I37" s="13"/>
      <c r="J37" s="13" t="str">
        <f aca="false">IF($C37="","",$C37-$E37-$F37-$G37+$H37)</f>
        <v/>
      </c>
      <c r="K37" s="12" t="str">
        <f aca="false">IF(OR($I37="",$J37=""),"",IF(ABS($I37-$J37)&lt;=2,"OK","⚠ FP statement doesn't add up -- verify"))</f>
        <v/>
      </c>
      <c r="L37" s="13"/>
      <c r="M37" s="13" t="str">
        <f aca="false">IF($L37="","",$L37-IF($J37="",$D37,$J37))</f>
        <v/>
      </c>
      <c r="N37" s="12" t="str">
        <f aca="false">IF($L37="","",IF($M37&lt;-200,"⚠ SHORT -- follow up with Food Panda",IF($M37&gt;200,"Over (unexpected)","OK")))</f>
        <v/>
      </c>
      <c r="O37" s="12"/>
    </row>
    <row r="38" customFormat="false" ht="15" hidden="false" customHeight="true" outlineLevel="0" collapsed="false">
      <c r="A38" s="12"/>
      <c r="B38" s="24"/>
      <c r="C38" s="13"/>
      <c r="D38" s="13" t="str">
        <f aca="false">IF($C38="","",IF($B38="","",$C38*(1-VLOOKUP($B38,$A$6:$D$8,2,0)-VLOOKUP($B38,$A$6:$D$8,3,0))-VLOOKUP($B38,$A$6:$D$8,4,0)))</f>
        <v/>
      </c>
      <c r="E38" s="13"/>
      <c r="F38" s="13"/>
      <c r="G38" s="13"/>
      <c r="H38" s="13"/>
      <c r="I38" s="13"/>
      <c r="J38" s="13" t="str">
        <f aca="false">IF($C38="","",$C38-$E38-$F38-$G38+$H38)</f>
        <v/>
      </c>
      <c r="K38" s="12" t="str">
        <f aca="false">IF(OR($I38="",$J38=""),"",IF(ABS($I38-$J38)&lt;=2,"OK","⚠ FP statement doesn't add up -- verify"))</f>
        <v/>
      </c>
      <c r="L38" s="13"/>
      <c r="M38" s="13" t="str">
        <f aca="false">IF($L38="","",$L38-IF($J38="",$D38,$J38))</f>
        <v/>
      </c>
      <c r="N38" s="12" t="str">
        <f aca="false">IF($L38="","",IF($M38&lt;-200,"⚠ SHORT -- follow up with Food Panda",IF($M38&gt;200,"Over (unexpected)","OK")))</f>
        <v/>
      </c>
      <c r="O38" s="12"/>
    </row>
    <row r="39" customFormat="false" ht="15" hidden="false" customHeight="true" outlineLevel="0" collapsed="false">
      <c r="A39" s="12"/>
      <c r="B39" s="24"/>
      <c r="C39" s="13"/>
      <c r="D39" s="13" t="str">
        <f aca="false">IF($C39="","",IF($B39="","",$C39*(1-VLOOKUP($B39,$A$6:$D$8,2,0)-VLOOKUP($B39,$A$6:$D$8,3,0))-VLOOKUP($B39,$A$6:$D$8,4,0)))</f>
        <v/>
      </c>
      <c r="E39" s="13"/>
      <c r="F39" s="13"/>
      <c r="G39" s="13"/>
      <c r="H39" s="13"/>
      <c r="I39" s="13"/>
      <c r="J39" s="13" t="str">
        <f aca="false">IF($C39="","",$C39-$E39-$F39-$G39+$H39)</f>
        <v/>
      </c>
      <c r="K39" s="12" t="str">
        <f aca="false">IF(OR($I39="",$J39=""),"",IF(ABS($I39-$J39)&lt;=2,"OK","⚠ FP statement doesn't add up -- verify"))</f>
        <v/>
      </c>
      <c r="L39" s="13"/>
      <c r="M39" s="13" t="str">
        <f aca="false">IF($L39="","",$L39-IF($J39="",$D39,$J39))</f>
        <v/>
      </c>
      <c r="N39" s="12" t="str">
        <f aca="false">IF($L39="","",IF($M39&lt;-200,"⚠ SHORT -- follow up with Food Panda",IF($M39&gt;200,"Over (unexpected)","OK")))</f>
        <v/>
      </c>
      <c r="O39" s="12"/>
    </row>
    <row r="40" customFormat="false" ht="15" hidden="false" customHeight="true" outlineLevel="0" collapsed="false">
      <c r="A40" s="12"/>
      <c r="B40" s="24"/>
      <c r="C40" s="13"/>
      <c r="D40" s="13" t="str">
        <f aca="false">IF($C40="","",IF($B40="","",$C40*(1-VLOOKUP($B40,$A$6:$D$8,2,0)-VLOOKUP($B40,$A$6:$D$8,3,0))-VLOOKUP($B40,$A$6:$D$8,4,0)))</f>
        <v/>
      </c>
      <c r="E40" s="13"/>
      <c r="F40" s="13"/>
      <c r="G40" s="13"/>
      <c r="H40" s="13"/>
      <c r="I40" s="13"/>
      <c r="J40" s="13" t="str">
        <f aca="false">IF($C40="","",$C40-$E40-$F40-$G40+$H40)</f>
        <v/>
      </c>
      <c r="K40" s="12" t="str">
        <f aca="false">IF(OR($I40="",$J40=""),"",IF(ABS($I40-$J40)&lt;=2,"OK","⚠ FP statement doesn't add up -- verify"))</f>
        <v/>
      </c>
      <c r="L40" s="13"/>
      <c r="M40" s="13" t="str">
        <f aca="false">IF($L40="","",$L40-IF($J40="",$D40,$J40))</f>
        <v/>
      </c>
      <c r="N40" s="12" t="str">
        <f aca="false">IF($L40="","",IF($M40&lt;-200,"⚠ SHORT -- follow up with Food Panda",IF($M40&gt;200,"Over (unexpected)","OK")))</f>
        <v/>
      </c>
      <c r="O40" s="12"/>
    </row>
    <row r="41" customFormat="false" ht="15" hidden="false" customHeight="true" outlineLevel="0" collapsed="false">
      <c r="A41" s="12"/>
      <c r="B41" s="24"/>
      <c r="C41" s="13"/>
      <c r="D41" s="13" t="str">
        <f aca="false">IF($C41="","",IF($B41="","",$C41*(1-VLOOKUP($B41,$A$6:$D$8,2,0)-VLOOKUP($B41,$A$6:$D$8,3,0))-VLOOKUP($B41,$A$6:$D$8,4,0)))</f>
        <v/>
      </c>
      <c r="E41" s="13"/>
      <c r="F41" s="13"/>
      <c r="G41" s="13"/>
      <c r="H41" s="13"/>
      <c r="I41" s="13"/>
      <c r="J41" s="13" t="str">
        <f aca="false">IF($C41="","",$C41-$E41-$F41-$G41+$H41)</f>
        <v/>
      </c>
      <c r="K41" s="12" t="str">
        <f aca="false">IF(OR($I41="",$J41=""),"",IF(ABS($I41-$J41)&lt;=2,"OK","⚠ FP statement doesn't add up -- verify"))</f>
        <v/>
      </c>
      <c r="L41" s="13"/>
      <c r="M41" s="13" t="str">
        <f aca="false">IF($L41="","",$L41-IF($J41="",$D41,$J41))</f>
        <v/>
      </c>
      <c r="N41" s="12" t="str">
        <f aca="false">IF($L41="","",IF($M41&lt;-200,"⚠ SHORT -- follow up with Food Panda",IF($M41&gt;200,"Over (unexpected)","OK")))</f>
        <v/>
      </c>
      <c r="O41" s="12"/>
    </row>
    <row r="42" customFormat="false" ht="15" hidden="false" customHeight="true" outlineLevel="0" collapsed="false">
      <c r="A42" s="12"/>
      <c r="B42" s="24"/>
      <c r="C42" s="13"/>
      <c r="D42" s="13" t="str">
        <f aca="false">IF($C42="","",IF($B42="","",$C42*(1-VLOOKUP($B42,$A$6:$D$8,2,0)-VLOOKUP($B42,$A$6:$D$8,3,0))-VLOOKUP($B42,$A$6:$D$8,4,0)))</f>
        <v/>
      </c>
      <c r="E42" s="13"/>
      <c r="F42" s="13"/>
      <c r="G42" s="13"/>
      <c r="H42" s="13"/>
      <c r="I42" s="13"/>
      <c r="J42" s="13" t="str">
        <f aca="false">IF($C42="","",$C42-$E42-$F42-$G42+$H42)</f>
        <v/>
      </c>
      <c r="K42" s="12" t="str">
        <f aca="false">IF(OR($I42="",$J42=""),"",IF(ABS($I42-$J42)&lt;=2,"OK","⚠ FP statement doesn't add up -- verify"))</f>
        <v/>
      </c>
      <c r="L42" s="13"/>
      <c r="M42" s="13" t="str">
        <f aca="false">IF($L42="","",$L42-IF($J42="",$D42,$J42))</f>
        <v/>
      </c>
      <c r="N42" s="12" t="str">
        <f aca="false">IF($L42="","",IF($M42&lt;-200,"⚠ SHORT -- follow up with Food Panda",IF($M42&gt;200,"Over (unexpected)","OK")))</f>
        <v/>
      </c>
      <c r="O42" s="12"/>
    </row>
    <row r="43" customFormat="false" ht="15" hidden="false" customHeight="true" outlineLevel="0" collapsed="false">
      <c r="A43" s="12"/>
      <c r="B43" s="24"/>
      <c r="C43" s="13"/>
      <c r="D43" s="13" t="str">
        <f aca="false">IF($C43="","",IF($B43="","",$C43*(1-VLOOKUP($B43,$A$6:$D$8,2,0)-VLOOKUP($B43,$A$6:$D$8,3,0))-VLOOKUP($B43,$A$6:$D$8,4,0)))</f>
        <v/>
      </c>
      <c r="E43" s="13"/>
      <c r="F43" s="13"/>
      <c r="G43" s="13"/>
      <c r="H43" s="13"/>
      <c r="I43" s="13"/>
      <c r="J43" s="13" t="str">
        <f aca="false">IF($C43="","",$C43-$E43-$F43-$G43+$H43)</f>
        <v/>
      </c>
      <c r="K43" s="12" t="str">
        <f aca="false">IF(OR($I43="",$J43=""),"",IF(ABS($I43-$J43)&lt;=2,"OK","⚠ FP statement doesn't add up -- verify"))</f>
        <v/>
      </c>
      <c r="L43" s="13"/>
      <c r="M43" s="13" t="str">
        <f aca="false">IF($L43="","",$L43-IF($J43="",$D43,$J43))</f>
        <v/>
      </c>
      <c r="N43" s="12" t="str">
        <f aca="false">IF($L43="","",IF($M43&lt;-200,"⚠ SHORT -- follow up with Food Panda",IF($M43&gt;200,"Over (unexpected)","OK")))</f>
        <v/>
      </c>
      <c r="O43" s="12"/>
    </row>
    <row r="44" customFormat="false" ht="15" hidden="false" customHeight="true" outlineLevel="0" collapsed="false">
      <c r="A44" s="12"/>
      <c r="B44" s="24"/>
      <c r="C44" s="13"/>
      <c r="D44" s="13" t="str">
        <f aca="false">IF($C44="","",IF($B44="","",$C44*(1-VLOOKUP($B44,$A$6:$D$8,2,0)-VLOOKUP($B44,$A$6:$D$8,3,0))-VLOOKUP($B44,$A$6:$D$8,4,0)))</f>
        <v/>
      </c>
      <c r="E44" s="13"/>
      <c r="F44" s="13"/>
      <c r="G44" s="13"/>
      <c r="H44" s="13"/>
      <c r="I44" s="13"/>
      <c r="J44" s="13" t="str">
        <f aca="false">IF($C44="","",$C44-$E44-$F44-$G44+$H44)</f>
        <v/>
      </c>
      <c r="K44" s="12" t="str">
        <f aca="false">IF(OR($I44="",$J44=""),"",IF(ABS($I44-$J44)&lt;=2,"OK","⚠ FP statement doesn't add up -- verify"))</f>
        <v/>
      </c>
      <c r="L44" s="13"/>
      <c r="M44" s="13" t="str">
        <f aca="false">IF($L44="","",$L44-IF($J44="",$D44,$J44))</f>
        <v/>
      </c>
      <c r="N44" s="12" t="str">
        <f aca="false">IF($L44="","",IF($M44&lt;-200,"⚠ SHORT -- follow up with Food Panda",IF($M44&gt;200,"Over (unexpected)","OK")))</f>
        <v/>
      </c>
      <c r="O44" s="12"/>
    </row>
    <row r="45" customFormat="false" ht="15" hidden="false" customHeight="true" outlineLevel="0" collapsed="false">
      <c r="A45" s="12"/>
      <c r="B45" s="24"/>
      <c r="C45" s="13"/>
      <c r="D45" s="13" t="str">
        <f aca="false">IF($C45="","",IF($B45="","",$C45*(1-VLOOKUP($B45,$A$6:$D$8,2,0)-VLOOKUP($B45,$A$6:$D$8,3,0))-VLOOKUP($B45,$A$6:$D$8,4,0)))</f>
        <v/>
      </c>
      <c r="E45" s="13"/>
      <c r="F45" s="13"/>
      <c r="G45" s="13"/>
      <c r="H45" s="13"/>
      <c r="I45" s="13"/>
      <c r="J45" s="13" t="str">
        <f aca="false">IF($C45="","",$C45-$E45-$F45-$G45+$H45)</f>
        <v/>
      </c>
      <c r="K45" s="12" t="str">
        <f aca="false">IF(OR($I45="",$J45=""),"",IF(ABS($I45-$J45)&lt;=2,"OK","⚠ FP statement doesn't add up -- verify"))</f>
        <v/>
      </c>
      <c r="L45" s="13"/>
      <c r="M45" s="13" t="str">
        <f aca="false">IF($L45="","",$L45-IF($J45="",$D45,$J45))</f>
        <v/>
      </c>
      <c r="N45" s="12" t="str">
        <f aca="false">IF($L45="","",IF($M45&lt;-200,"⚠ SHORT -- follow up with Food Panda",IF($M45&gt;200,"Over (unexpected)","OK")))</f>
        <v/>
      </c>
      <c r="O45" s="12"/>
    </row>
    <row r="46" customFormat="false" ht="15" hidden="false" customHeight="true" outlineLevel="0" collapsed="false">
      <c r="A46" s="12"/>
      <c r="B46" s="24"/>
      <c r="C46" s="13"/>
      <c r="D46" s="13" t="str">
        <f aca="false">IF($C46="","",IF($B46="","",$C46*(1-VLOOKUP($B46,$A$6:$D$8,2,0)-VLOOKUP($B46,$A$6:$D$8,3,0))-VLOOKUP($B46,$A$6:$D$8,4,0)))</f>
        <v/>
      </c>
      <c r="E46" s="13"/>
      <c r="F46" s="13"/>
      <c r="G46" s="13"/>
      <c r="H46" s="13"/>
      <c r="I46" s="13"/>
      <c r="J46" s="13" t="str">
        <f aca="false">IF($C46="","",$C46-$E46-$F46-$G46+$H46)</f>
        <v/>
      </c>
      <c r="K46" s="12" t="str">
        <f aca="false">IF(OR($I46="",$J46=""),"",IF(ABS($I46-$J46)&lt;=2,"OK","⚠ FP statement doesn't add up -- verify"))</f>
        <v/>
      </c>
      <c r="L46" s="13"/>
      <c r="M46" s="13" t="str">
        <f aca="false">IF($L46="","",$L46-IF($J46="",$D46,$J46))</f>
        <v/>
      </c>
      <c r="N46" s="12" t="str">
        <f aca="false">IF($L46="","",IF($M46&lt;-200,"⚠ SHORT -- follow up with Food Panda",IF($M46&gt;200,"Over (unexpected)","OK")))</f>
        <v/>
      </c>
      <c r="O46" s="12"/>
    </row>
    <row r="47" customFormat="false" ht="15" hidden="false" customHeight="true" outlineLevel="0" collapsed="false">
      <c r="A47" s="12"/>
      <c r="B47" s="24"/>
      <c r="C47" s="13"/>
      <c r="D47" s="13" t="str">
        <f aca="false">IF($C47="","",IF($B47="","",$C47*(1-VLOOKUP($B47,$A$6:$D$8,2,0)-VLOOKUP($B47,$A$6:$D$8,3,0))-VLOOKUP($B47,$A$6:$D$8,4,0)))</f>
        <v/>
      </c>
      <c r="E47" s="13"/>
      <c r="F47" s="13"/>
      <c r="G47" s="13"/>
      <c r="H47" s="13"/>
      <c r="I47" s="13"/>
      <c r="J47" s="13" t="str">
        <f aca="false">IF($C47="","",$C47-$E47-$F47-$G47+$H47)</f>
        <v/>
      </c>
      <c r="K47" s="12" t="str">
        <f aca="false">IF(OR($I47="",$J47=""),"",IF(ABS($I47-$J47)&lt;=2,"OK","⚠ FP statement doesn't add up -- verify"))</f>
        <v/>
      </c>
      <c r="L47" s="13"/>
      <c r="M47" s="13" t="str">
        <f aca="false">IF($L47="","",$L47-IF($J47="",$D47,$J47))</f>
        <v/>
      </c>
      <c r="N47" s="12" t="str">
        <f aca="false">IF($L47="","",IF($M47&lt;-200,"⚠ SHORT -- follow up with Food Panda",IF($M47&gt;200,"Over (unexpected)","OK")))</f>
        <v/>
      </c>
      <c r="O47" s="12"/>
    </row>
    <row r="48" customFormat="false" ht="15" hidden="false" customHeight="true" outlineLevel="0" collapsed="false">
      <c r="A48" s="12"/>
      <c r="B48" s="24"/>
      <c r="C48" s="13"/>
      <c r="D48" s="13" t="str">
        <f aca="false">IF($C48="","",IF($B48="","",$C48*(1-VLOOKUP($B48,$A$6:$D$8,2,0)-VLOOKUP($B48,$A$6:$D$8,3,0))-VLOOKUP($B48,$A$6:$D$8,4,0)))</f>
        <v/>
      </c>
      <c r="E48" s="13"/>
      <c r="F48" s="13"/>
      <c r="G48" s="13"/>
      <c r="H48" s="13"/>
      <c r="I48" s="13"/>
      <c r="J48" s="13" t="str">
        <f aca="false">IF($C48="","",$C48-$E48-$F48-$G48+$H48)</f>
        <v/>
      </c>
      <c r="K48" s="12" t="str">
        <f aca="false">IF(OR($I48="",$J48=""),"",IF(ABS($I48-$J48)&lt;=2,"OK","⚠ FP statement doesn't add up -- verify"))</f>
        <v/>
      </c>
      <c r="L48" s="13"/>
      <c r="M48" s="13" t="str">
        <f aca="false">IF($L48="","",$L48-IF($J48="",$D48,$J48))</f>
        <v/>
      </c>
      <c r="N48" s="12" t="str">
        <f aca="false">IF($L48="","",IF($M48&lt;-200,"⚠ SHORT -- follow up with Food Panda",IF($M48&gt;200,"Over (unexpected)","OK")))</f>
        <v/>
      </c>
      <c r="O48" s="12"/>
    </row>
    <row r="49" customFormat="false" ht="15" hidden="false" customHeight="true" outlineLevel="0" collapsed="false">
      <c r="A49" s="12"/>
      <c r="B49" s="24"/>
      <c r="C49" s="13"/>
      <c r="D49" s="13" t="str">
        <f aca="false">IF($C49="","",IF($B49="","",$C49*(1-VLOOKUP($B49,$A$6:$D$8,2,0)-VLOOKUP($B49,$A$6:$D$8,3,0))-VLOOKUP($B49,$A$6:$D$8,4,0)))</f>
        <v/>
      </c>
      <c r="E49" s="13"/>
      <c r="F49" s="13"/>
      <c r="G49" s="13"/>
      <c r="H49" s="13"/>
      <c r="I49" s="13"/>
      <c r="J49" s="13" t="str">
        <f aca="false">IF($C49="","",$C49-$E49-$F49-$G49+$H49)</f>
        <v/>
      </c>
      <c r="K49" s="12" t="str">
        <f aca="false">IF(OR($I49="",$J49=""),"",IF(ABS($I49-$J49)&lt;=2,"OK","⚠ FP statement doesn't add up -- verify"))</f>
        <v/>
      </c>
      <c r="L49" s="13"/>
      <c r="M49" s="13" t="str">
        <f aca="false">IF($L49="","",$L49-IF($J49="",$D49,$J49))</f>
        <v/>
      </c>
      <c r="N49" s="12" t="str">
        <f aca="false">IF($L49="","",IF($M49&lt;-200,"⚠ SHORT -- follow up with Food Panda",IF($M49&gt;200,"Over (unexpected)","OK")))</f>
        <v/>
      </c>
      <c r="O49" s="12"/>
    </row>
    <row r="50" customFormat="false" ht="15" hidden="false" customHeight="true" outlineLevel="0" collapsed="false">
      <c r="A50" s="12"/>
      <c r="B50" s="24"/>
      <c r="C50" s="13"/>
      <c r="D50" s="13" t="str">
        <f aca="false">IF($C50="","",IF($B50="","",$C50*(1-VLOOKUP($B50,$A$6:$D$8,2,0)-VLOOKUP($B50,$A$6:$D$8,3,0))-VLOOKUP($B50,$A$6:$D$8,4,0)))</f>
        <v/>
      </c>
      <c r="E50" s="13"/>
      <c r="F50" s="13"/>
      <c r="G50" s="13"/>
      <c r="H50" s="13"/>
      <c r="I50" s="13"/>
      <c r="J50" s="13" t="str">
        <f aca="false">IF($C50="","",$C50-$E50-$F50-$G50+$H50)</f>
        <v/>
      </c>
      <c r="K50" s="12" t="str">
        <f aca="false">IF(OR($I50="",$J50=""),"",IF(ABS($I50-$J50)&lt;=2,"OK","⚠ FP statement doesn't add up -- verify"))</f>
        <v/>
      </c>
      <c r="L50" s="13"/>
      <c r="M50" s="13" t="str">
        <f aca="false">IF($L50="","",$L50-IF($J50="",$D50,$J50))</f>
        <v/>
      </c>
      <c r="N50" s="12" t="str">
        <f aca="false">IF($L50="","",IF($M50&lt;-200,"⚠ SHORT -- follow up with Food Panda",IF($M50&gt;200,"Over (unexpected)","OK")))</f>
        <v/>
      </c>
      <c r="O50" s="12"/>
    </row>
    <row r="51" customFormat="false" ht="15" hidden="false" customHeight="true" outlineLevel="0" collapsed="false">
      <c r="A51" s="12"/>
      <c r="B51" s="24"/>
      <c r="C51" s="13"/>
      <c r="D51" s="13" t="str">
        <f aca="false">IF($C51="","",IF($B51="","",$C51*(1-VLOOKUP($B51,$A$6:$D$8,2,0)-VLOOKUP($B51,$A$6:$D$8,3,0))-VLOOKUP($B51,$A$6:$D$8,4,0)))</f>
        <v/>
      </c>
      <c r="E51" s="13"/>
      <c r="F51" s="13"/>
      <c r="G51" s="13"/>
      <c r="H51" s="13"/>
      <c r="I51" s="13"/>
      <c r="J51" s="13" t="str">
        <f aca="false">IF($C51="","",$C51-$E51-$F51-$G51+$H51)</f>
        <v/>
      </c>
      <c r="K51" s="12" t="str">
        <f aca="false">IF(OR($I51="",$J51=""),"",IF(ABS($I51-$J51)&lt;=2,"OK","⚠ FP statement doesn't add up -- verify"))</f>
        <v/>
      </c>
      <c r="L51" s="13"/>
      <c r="M51" s="13" t="str">
        <f aca="false">IF($L51="","",$L51-IF($J51="",$D51,$J51))</f>
        <v/>
      </c>
      <c r="N51" s="12" t="str">
        <f aca="false">IF($L51="","",IF($M51&lt;-200,"⚠ SHORT -- follow up with Food Panda",IF($M51&gt;200,"Over (unexpected)","OK")))</f>
        <v/>
      </c>
      <c r="O51" s="12"/>
    </row>
    <row r="52" customFormat="false" ht="15" hidden="false" customHeight="true" outlineLevel="0" collapsed="false">
      <c r="A52" s="12"/>
      <c r="B52" s="24"/>
      <c r="C52" s="13"/>
      <c r="D52" s="13" t="str">
        <f aca="false">IF($C52="","",IF($B52="","",$C52*(1-VLOOKUP($B52,$A$6:$D$8,2,0)-VLOOKUP($B52,$A$6:$D$8,3,0))-VLOOKUP($B52,$A$6:$D$8,4,0)))</f>
        <v/>
      </c>
      <c r="E52" s="13"/>
      <c r="F52" s="13"/>
      <c r="G52" s="13"/>
      <c r="H52" s="13"/>
      <c r="I52" s="13"/>
      <c r="J52" s="13" t="str">
        <f aca="false">IF($C52="","",$C52-$E52-$F52-$G52+$H52)</f>
        <v/>
      </c>
      <c r="K52" s="12" t="str">
        <f aca="false">IF(OR($I52="",$J52=""),"",IF(ABS($I52-$J52)&lt;=2,"OK","⚠ FP statement doesn't add up -- verify"))</f>
        <v/>
      </c>
      <c r="L52" s="13"/>
      <c r="M52" s="13" t="str">
        <f aca="false">IF($L52="","",$L52-IF($J52="",$D52,$J52))</f>
        <v/>
      </c>
      <c r="N52" s="12" t="str">
        <f aca="false">IF($L52="","",IF($M52&lt;-200,"⚠ SHORT -- follow up with Food Panda",IF($M52&gt;200,"Over (unexpected)","OK")))</f>
        <v/>
      </c>
      <c r="O52" s="12"/>
    </row>
    <row r="53" customFormat="false" ht="15" hidden="false" customHeight="true" outlineLevel="0" collapsed="false">
      <c r="A53" s="12"/>
      <c r="B53" s="24"/>
      <c r="C53" s="13"/>
      <c r="D53" s="13" t="str">
        <f aca="false">IF($C53="","",IF($B53="","",$C53*(1-VLOOKUP($B53,$A$6:$D$8,2,0)-VLOOKUP($B53,$A$6:$D$8,3,0))-VLOOKUP($B53,$A$6:$D$8,4,0)))</f>
        <v/>
      </c>
      <c r="E53" s="13"/>
      <c r="F53" s="13"/>
      <c r="G53" s="13"/>
      <c r="H53" s="13"/>
      <c r="I53" s="13"/>
      <c r="J53" s="13" t="str">
        <f aca="false">IF($C53="","",$C53-$E53-$F53-$G53+$H53)</f>
        <v/>
      </c>
      <c r="K53" s="12" t="str">
        <f aca="false">IF(OR($I53="",$J53=""),"",IF(ABS($I53-$J53)&lt;=2,"OK","⚠ FP statement doesn't add up -- verify"))</f>
        <v/>
      </c>
      <c r="L53" s="13"/>
      <c r="M53" s="13" t="str">
        <f aca="false">IF($L53="","",$L53-IF($J53="",$D53,$J53))</f>
        <v/>
      </c>
      <c r="N53" s="12" t="str">
        <f aca="false">IF($L53="","",IF($M53&lt;-200,"⚠ SHORT -- follow up with Food Panda",IF($M53&gt;200,"Over (unexpected)","OK")))</f>
        <v/>
      </c>
      <c r="O53" s="12"/>
    </row>
    <row r="54" customFormat="false" ht="15" hidden="false" customHeight="true" outlineLevel="0" collapsed="false">
      <c r="A54" s="12"/>
      <c r="B54" s="24"/>
      <c r="C54" s="13"/>
      <c r="D54" s="13" t="str">
        <f aca="false">IF($C54="","",IF($B54="","",$C54*(1-VLOOKUP($B54,$A$6:$D$8,2,0)-VLOOKUP($B54,$A$6:$D$8,3,0))-VLOOKUP($B54,$A$6:$D$8,4,0)))</f>
        <v/>
      </c>
      <c r="E54" s="13"/>
      <c r="F54" s="13"/>
      <c r="G54" s="13"/>
      <c r="H54" s="13"/>
      <c r="I54" s="13"/>
      <c r="J54" s="13" t="str">
        <f aca="false">IF($C54="","",$C54-$E54-$F54-$G54+$H54)</f>
        <v/>
      </c>
      <c r="K54" s="12" t="str">
        <f aca="false">IF(OR($I54="",$J54=""),"",IF(ABS($I54-$J54)&lt;=2,"OK","⚠ FP statement doesn't add up -- verify"))</f>
        <v/>
      </c>
      <c r="L54" s="13"/>
      <c r="M54" s="13" t="str">
        <f aca="false">IF($L54="","",$L54-IF($J54="",$D54,$J54))</f>
        <v/>
      </c>
      <c r="N54" s="12" t="str">
        <f aca="false">IF($L54="","",IF($M54&lt;-200,"⚠ SHORT -- follow up with Food Panda",IF($M54&gt;200,"Over (unexpected)","OK")))</f>
        <v/>
      </c>
      <c r="O54" s="12"/>
    </row>
    <row r="55" customFormat="false" ht="15" hidden="false" customHeight="true" outlineLevel="0" collapsed="false">
      <c r="A55" s="12"/>
      <c r="B55" s="24"/>
      <c r="C55" s="13"/>
      <c r="D55" s="13" t="str">
        <f aca="false">IF($C55="","",IF($B55="","",$C55*(1-VLOOKUP($B55,$A$6:$D$8,2,0)-VLOOKUP($B55,$A$6:$D$8,3,0))-VLOOKUP($B55,$A$6:$D$8,4,0)))</f>
        <v/>
      </c>
      <c r="E55" s="13"/>
      <c r="F55" s="13"/>
      <c r="G55" s="13"/>
      <c r="H55" s="13"/>
      <c r="I55" s="13"/>
      <c r="J55" s="13" t="str">
        <f aca="false">IF($C55="","",$C55-$E55-$F55-$G55+$H55)</f>
        <v/>
      </c>
      <c r="K55" s="12" t="str">
        <f aca="false">IF(OR($I55="",$J55=""),"",IF(ABS($I55-$J55)&lt;=2,"OK","⚠ FP statement doesn't add up -- verify"))</f>
        <v/>
      </c>
      <c r="L55" s="13"/>
      <c r="M55" s="13" t="str">
        <f aca="false">IF($L55="","",$L55-IF($J55="",$D55,$J55))</f>
        <v/>
      </c>
      <c r="N55" s="12" t="str">
        <f aca="false">IF($L55="","",IF($M55&lt;-200,"⚠ SHORT -- follow up with Food Panda",IF($M55&gt;200,"Over (unexpected)","OK")))</f>
        <v/>
      </c>
      <c r="O55" s="12"/>
    </row>
    <row r="56" customFormat="false" ht="15" hidden="false" customHeight="true" outlineLevel="0" collapsed="false">
      <c r="A56" s="12"/>
      <c r="B56" s="24"/>
      <c r="C56" s="13"/>
      <c r="D56" s="13" t="str">
        <f aca="false">IF($C56="","",IF($B56="","",$C56*(1-VLOOKUP($B56,$A$6:$D$8,2,0)-VLOOKUP($B56,$A$6:$D$8,3,0))-VLOOKUP($B56,$A$6:$D$8,4,0)))</f>
        <v/>
      </c>
      <c r="E56" s="13"/>
      <c r="F56" s="13"/>
      <c r="G56" s="13"/>
      <c r="H56" s="13"/>
      <c r="I56" s="13"/>
      <c r="J56" s="13" t="str">
        <f aca="false">IF($C56="","",$C56-$E56-$F56-$G56+$H56)</f>
        <v/>
      </c>
      <c r="K56" s="12" t="str">
        <f aca="false">IF(OR($I56="",$J56=""),"",IF(ABS($I56-$J56)&lt;=2,"OK","⚠ FP statement doesn't add up -- verify"))</f>
        <v/>
      </c>
      <c r="L56" s="13"/>
      <c r="M56" s="13" t="str">
        <f aca="false">IF($L56="","",$L56-IF($J56="",$D56,$J56))</f>
        <v/>
      </c>
      <c r="N56" s="12" t="str">
        <f aca="false">IF($L56="","",IF($M56&lt;-200,"⚠ SHORT -- follow up with Food Panda",IF($M56&gt;200,"Over (unexpected)","OK")))</f>
        <v/>
      </c>
      <c r="O56" s="12"/>
    </row>
    <row r="57" customFormat="false" ht="15" hidden="false" customHeight="true" outlineLevel="0" collapsed="false">
      <c r="A57" s="12"/>
      <c r="B57" s="24"/>
      <c r="C57" s="13"/>
      <c r="D57" s="13" t="str">
        <f aca="false">IF($C57="","",IF($B57="","",$C57*(1-VLOOKUP($B57,$A$6:$D$8,2,0)-VLOOKUP($B57,$A$6:$D$8,3,0))-VLOOKUP($B57,$A$6:$D$8,4,0)))</f>
        <v/>
      </c>
      <c r="E57" s="13"/>
      <c r="F57" s="13"/>
      <c r="G57" s="13"/>
      <c r="H57" s="13"/>
      <c r="I57" s="13"/>
      <c r="J57" s="13" t="str">
        <f aca="false">IF($C57="","",$C57-$E57-$F57-$G57+$H57)</f>
        <v/>
      </c>
      <c r="K57" s="12" t="str">
        <f aca="false">IF(OR($I57="",$J57=""),"",IF(ABS($I57-$J57)&lt;=2,"OK","⚠ FP statement doesn't add up -- verify"))</f>
        <v/>
      </c>
      <c r="L57" s="13"/>
      <c r="M57" s="13" t="str">
        <f aca="false">IF($L57="","",$L57-IF($J57="",$D57,$J57))</f>
        <v/>
      </c>
      <c r="N57" s="12" t="str">
        <f aca="false">IF($L57="","",IF($M57&lt;-200,"⚠ SHORT -- follow up with Food Panda",IF($M57&gt;200,"Over (unexpected)","OK")))</f>
        <v/>
      </c>
      <c r="O57" s="12"/>
    </row>
    <row r="58" customFormat="false" ht="15" hidden="false" customHeight="true" outlineLevel="0" collapsed="false">
      <c r="A58" s="12"/>
      <c r="B58" s="24"/>
      <c r="C58" s="13"/>
      <c r="D58" s="13" t="str">
        <f aca="false">IF($C58="","",IF($B58="","",$C58*(1-VLOOKUP($B58,$A$6:$D$8,2,0)-VLOOKUP($B58,$A$6:$D$8,3,0))-VLOOKUP($B58,$A$6:$D$8,4,0)))</f>
        <v/>
      </c>
      <c r="E58" s="13"/>
      <c r="F58" s="13"/>
      <c r="G58" s="13"/>
      <c r="H58" s="13"/>
      <c r="I58" s="13"/>
      <c r="J58" s="13" t="str">
        <f aca="false">IF($C58="","",$C58-$E58-$F58-$G58+$H58)</f>
        <v/>
      </c>
      <c r="K58" s="12" t="str">
        <f aca="false">IF(OR($I58="",$J58=""),"",IF(ABS($I58-$J58)&lt;=2,"OK","⚠ FP statement doesn't add up -- verify"))</f>
        <v/>
      </c>
      <c r="L58" s="13"/>
      <c r="M58" s="13" t="str">
        <f aca="false">IF($L58="","",$L58-IF($J58="",$D58,$J58))</f>
        <v/>
      </c>
      <c r="N58" s="12" t="str">
        <f aca="false">IF($L58="","",IF($M58&lt;-200,"⚠ SHORT -- follow up with Food Panda",IF($M58&gt;200,"Over (unexpected)","OK")))</f>
        <v/>
      </c>
      <c r="O58" s="12"/>
    </row>
    <row r="59" customFormat="false" ht="15" hidden="false" customHeight="true" outlineLevel="0" collapsed="false">
      <c r="A59" s="12"/>
      <c r="B59" s="24"/>
      <c r="C59" s="13"/>
      <c r="D59" s="13" t="str">
        <f aca="false">IF($C59="","",IF($B59="","",$C59*(1-VLOOKUP($B59,$A$6:$D$8,2,0)-VLOOKUP($B59,$A$6:$D$8,3,0))-VLOOKUP($B59,$A$6:$D$8,4,0)))</f>
        <v/>
      </c>
      <c r="E59" s="13"/>
      <c r="F59" s="13"/>
      <c r="G59" s="13"/>
      <c r="H59" s="13"/>
      <c r="I59" s="13"/>
      <c r="J59" s="13" t="str">
        <f aca="false">IF($C59="","",$C59-$E59-$F59-$G59+$H59)</f>
        <v/>
      </c>
      <c r="K59" s="12" t="str">
        <f aca="false">IF(OR($I59="",$J59=""),"",IF(ABS($I59-$J59)&lt;=2,"OK","⚠ FP statement doesn't add up -- verify"))</f>
        <v/>
      </c>
      <c r="L59" s="13"/>
      <c r="M59" s="13" t="str">
        <f aca="false">IF($L59="","",$L59-IF($J59="",$D59,$J59))</f>
        <v/>
      </c>
      <c r="N59" s="12" t="str">
        <f aca="false">IF($L59="","",IF($M59&lt;-200,"⚠ SHORT -- follow up with Food Panda",IF($M59&gt;200,"Over (unexpected)","OK")))</f>
        <v/>
      </c>
      <c r="O59" s="12"/>
    </row>
    <row r="60" customFormat="false" ht="15" hidden="false" customHeight="true" outlineLevel="0" collapsed="false">
      <c r="A60" s="12"/>
      <c r="B60" s="24"/>
      <c r="C60" s="13"/>
      <c r="D60" s="13" t="str">
        <f aca="false">IF($C60="","",IF($B60="","",$C60*(1-VLOOKUP($B60,$A$6:$D$8,2,0)-VLOOKUP($B60,$A$6:$D$8,3,0))-VLOOKUP($B60,$A$6:$D$8,4,0)))</f>
        <v/>
      </c>
      <c r="E60" s="13"/>
      <c r="F60" s="13"/>
      <c r="G60" s="13"/>
      <c r="H60" s="13"/>
      <c r="I60" s="13"/>
      <c r="J60" s="13" t="str">
        <f aca="false">IF($C60="","",$C60-$E60-$F60-$G60+$H60)</f>
        <v/>
      </c>
      <c r="K60" s="12" t="str">
        <f aca="false">IF(OR($I60="",$J60=""),"",IF(ABS($I60-$J60)&lt;=2,"OK","⚠ FP statement doesn't add up -- verify"))</f>
        <v/>
      </c>
      <c r="L60" s="13"/>
      <c r="M60" s="13" t="str">
        <f aca="false">IF($L60="","",$L60-IF($J60="",$D60,$J60))</f>
        <v/>
      </c>
      <c r="N60" s="12" t="str">
        <f aca="false">IF($L60="","",IF($M60&lt;-200,"⚠ SHORT -- follow up with Food Panda",IF($M60&gt;200,"Over (unexpected)","OK")))</f>
        <v/>
      </c>
      <c r="O60" s="12"/>
    </row>
    <row r="61" customFormat="false" ht="15" hidden="false" customHeight="true" outlineLevel="0" collapsed="false">
      <c r="A61" s="12"/>
      <c r="B61" s="24"/>
      <c r="C61" s="13"/>
      <c r="D61" s="13" t="str">
        <f aca="false">IF($C61="","",IF($B61="","",$C61*(1-VLOOKUP($B61,$A$6:$D$8,2,0)-VLOOKUP($B61,$A$6:$D$8,3,0))-VLOOKUP($B61,$A$6:$D$8,4,0)))</f>
        <v/>
      </c>
      <c r="E61" s="13"/>
      <c r="F61" s="13"/>
      <c r="G61" s="13"/>
      <c r="H61" s="13"/>
      <c r="I61" s="13"/>
      <c r="J61" s="13" t="str">
        <f aca="false">IF($C61="","",$C61-$E61-$F61-$G61+$H61)</f>
        <v/>
      </c>
      <c r="K61" s="12" t="str">
        <f aca="false">IF(OR($I61="",$J61=""),"",IF(ABS($I61-$J61)&lt;=2,"OK","⚠ FP statement doesn't add up -- verify"))</f>
        <v/>
      </c>
      <c r="L61" s="13"/>
      <c r="M61" s="13" t="str">
        <f aca="false">IF($L61="","",$L61-IF($J61="",$D61,$J61))</f>
        <v/>
      </c>
      <c r="N61" s="12" t="str">
        <f aca="false">IF($L61="","",IF($M61&lt;-200,"⚠ SHORT -- follow up with Food Panda",IF($M61&gt;200,"Over (unexpected)","OK")))</f>
        <v/>
      </c>
      <c r="O61" s="12"/>
    </row>
    <row r="62" customFormat="false" ht="15" hidden="false" customHeight="true" outlineLevel="0" collapsed="false">
      <c r="A62" s="12"/>
      <c r="B62" s="24"/>
      <c r="C62" s="13"/>
      <c r="D62" s="13" t="str">
        <f aca="false">IF($C62="","",IF($B62="","",$C62*(1-VLOOKUP($B62,$A$6:$D$8,2,0)-VLOOKUP($B62,$A$6:$D$8,3,0))-VLOOKUP($B62,$A$6:$D$8,4,0)))</f>
        <v/>
      </c>
      <c r="E62" s="13"/>
      <c r="F62" s="13"/>
      <c r="G62" s="13"/>
      <c r="H62" s="13"/>
      <c r="I62" s="13"/>
      <c r="J62" s="13" t="str">
        <f aca="false">IF($C62="","",$C62-$E62-$F62-$G62+$H62)</f>
        <v/>
      </c>
      <c r="K62" s="12" t="str">
        <f aca="false">IF(OR($I62="",$J62=""),"",IF(ABS($I62-$J62)&lt;=2,"OK","⚠ FP statement doesn't add up -- verify"))</f>
        <v/>
      </c>
      <c r="L62" s="13"/>
      <c r="M62" s="13" t="str">
        <f aca="false">IF($L62="","",$L62-IF($J62="",$D62,$J62))</f>
        <v/>
      </c>
      <c r="N62" s="12" t="str">
        <f aca="false">IF($L62="","",IF($M62&lt;-200,"⚠ SHORT -- follow up with Food Panda",IF($M62&gt;200,"Over (unexpected)","OK")))</f>
        <v/>
      </c>
      <c r="O62" s="12"/>
    </row>
    <row r="63" customFormat="false" ht="15" hidden="false" customHeight="true" outlineLevel="0" collapsed="false">
      <c r="A63" s="12"/>
      <c r="B63" s="24"/>
      <c r="C63" s="13"/>
      <c r="D63" s="13" t="str">
        <f aca="false">IF($C63="","",IF($B63="","",$C63*(1-VLOOKUP($B63,$A$6:$D$8,2,0)-VLOOKUP($B63,$A$6:$D$8,3,0))-VLOOKUP($B63,$A$6:$D$8,4,0)))</f>
        <v/>
      </c>
      <c r="E63" s="13"/>
      <c r="F63" s="13"/>
      <c r="G63" s="13"/>
      <c r="H63" s="13"/>
      <c r="I63" s="13"/>
      <c r="J63" s="13" t="str">
        <f aca="false">IF($C63="","",$C63-$E63-$F63-$G63+$H63)</f>
        <v/>
      </c>
      <c r="K63" s="12" t="str">
        <f aca="false">IF(OR($I63="",$J63=""),"",IF(ABS($I63-$J63)&lt;=2,"OK","⚠ FP statement doesn't add up -- verify"))</f>
        <v/>
      </c>
      <c r="L63" s="13"/>
      <c r="M63" s="13" t="str">
        <f aca="false">IF($L63="","",$L63-IF($J63="",$D63,$J63))</f>
        <v/>
      </c>
      <c r="N63" s="12" t="str">
        <f aca="false">IF($L63="","",IF($M63&lt;-200,"⚠ SHORT -- follow up with Food Panda",IF($M63&gt;200,"Over (unexpected)","OK")))</f>
        <v/>
      </c>
      <c r="O63" s="12"/>
    </row>
    <row r="64" customFormat="false" ht="15" hidden="false" customHeight="true" outlineLevel="0" collapsed="false">
      <c r="A64" s="12"/>
      <c r="B64" s="24"/>
      <c r="C64" s="13"/>
      <c r="D64" s="13" t="str">
        <f aca="false">IF($C64="","",IF($B64="","",$C64*(1-VLOOKUP($B64,$A$6:$D$8,2,0)-VLOOKUP($B64,$A$6:$D$8,3,0))-VLOOKUP($B64,$A$6:$D$8,4,0)))</f>
        <v/>
      </c>
      <c r="E64" s="13"/>
      <c r="F64" s="13"/>
      <c r="G64" s="13"/>
      <c r="H64" s="13"/>
      <c r="I64" s="13"/>
      <c r="J64" s="13" t="str">
        <f aca="false">IF($C64="","",$C64-$E64-$F64-$G64+$H64)</f>
        <v/>
      </c>
      <c r="K64" s="12" t="str">
        <f aca="false">IF(OR($I64="",$J64=""),"",IF(ABS($I64-$J64)&lt;=2,"OK","⚠ FP statement doesn't add up -- verify"))</f>
        <v/>
      </c>
      <c r="L64" s="13"/>
      <c r="M64" s="13" t="str">
        <f aca="false">IF($L64="","",$L64-IF($J64="",$D64,$J64))</f>
        <v/>
      </c>
      <c r="N64" s="12" t="str">
        <f aca="false">IF($L64="","",IF($M64&lt;-200,"⚠ SHORT -- follow up with Food Panda",IF($M64&gt;200,"Over (unexpected)","OK")))</f>
        <v/>
      </c>
      <c r="O64" s="12"/>
    </row>
    <row r="65" customFormat="false" ht="15" hidden="false" customHeight="true" outlineLevel="0" collapsed="false">
      <c r="A65" s="12"/>
      <c r="B65" s="24"/>
      <c r="C65" s="13"/>
      <c r="D65" s="13" t="str">
        <f aca="false">IF($C65="","",IF($B65="","",$C65*(1-VLOOKUP($B65,$A$6:$D$8,2,0)-VLOOKUP($B65,$A$6:$D$8,3,0))-VLOOKUP($B65,$A$6:$D$8,4,0)))</f>
        <v/>
      </c>
      <c r="E65" s="13"/>
      <c r="F65" s="13"/>
      <c r="G65" s="13"/>
      <c r="H65" s="13"/>
      <c r="I65" s="13"/>
      <c r="J65" s="13" t="str">
        <f aca="false">IF($C65="","",$C65-$E65-$F65-$G65+$H65)</f>
        <v/>
      </c>
      <c r="K65" s="12" t="str">
        <f aca="false">IF(OR($I65="",$J65=""),"",IF(ABS($I65-$J65)&lt;=2,"OK","⚠ FP statement doesn't add up -- verify"))</f>
        <v/>
      </c>
      <c r="L65" s="13"/>
      <c r="M65" s="13" t="str">
        <f aca="false">IF($L65="","",$L65-IF($J65="",$D65,$J65))</f>
        <v/>
      </c>
      <c r="N65" s="12" t="str">
        <f aca="false">IF($L65="","",IF($M65&lt;-200,"⚠ SHORT -- follow up with Food Panda",IF($M65&gt;200,"Over (unexpected)","OK")))</f>
        <v/>
      </c>
      <c r="O65" s="12"/>
    </row>
    <row r="66" customFormat="false" ht="15" hidden="false" customHeight="true" outlineLevel="0" collapsed="false">
      <c r="A66" s="12"/>
      <c r="B66" s="24"/>
      <c r="C66" s="13"/>
      <c r="D66" s="13" t="str">
        <f aca="false">IF($C66="","",IF($B66="","",$C66*(1-VLOOKUP($B66,$A$6:$D$8,2,0)-VLOOKUP($B66,$A$6:$D$8,3,0))-VLOOKUP($B66,$A$6:$D$8,4,0)))</f>
        <v/>
      </c>
      <c r="E66" s="13"/>
      <c r="F66" s="13"/>
      <c r="G66" s="13"/>
      <c r="H66" s="13"/>
      <c r="I66" s="13"/>
      <c r="J66" s="13" t="str">
        <f aca="false">IF($C66="","",$C66-$E66-$F66-$G66+$H66)</f>
        <v/>
      </c>
      <c r="K66" s="12" t="str">
        <f aca="false">IF(OR($I66="",$J66=""),"",IF(ABS($I66-$J66)&lt;=2,"OK","⚠ FP statement doesn't add up -- verify"))</f>
        <v/>
      </c>
      <c r="L66" s="13"/>
      <c r="M66" s="13" t="str">
        <f aca="false">IF($L66="","",$L66-IF($J66="",$D66,$J66))</f>
        <v/>
      </c>
      <c r="N66" s="12" t="str">
        <f aca="false">IF($L66="","",IF($M66&lt;-200,"⚠ SHORT -- follow up with Food Panda",IF($M66&gt;200,"Over (unexpected)","OK")))</f>
        <v/>
      </c>
      <c r="O66" s="12"/>
    </row>
    <row r="67" customFormat="false" ht="15" hidden="false" customHeight="true" outlineLevel="0" collapsed="false">
      <c r="A67" s="12"/>
      <c r="B67" s="24"/>
      <c r="C67" s="13"/>
      <c r="D67" s="13" t="str">
        <f aca="false">IF($C67="","",IF($B67="","",$C67*(1-VLOOKUP($B67,$A$6:$D$8,2,0)-VLOOKUP($B67,$A$6:$D$8,3,0))-VLOOKUP($B67,$A$6:$D$8,4,0)))</f>
        <v/>
      </c>
      <c r="E67" s="13"/>
      <c r="F67" s="13"/>
      <c r="G67" s="13"/>
      <c r="H67" s="13"/>
      <c r="I67" s="13"/>
      <c r="J67" s="13" t="str">
        <f aca="false">IF($C67="","",$C67-$E67-$F67-$G67+$H67)</f>
        <v/>
      </c>
      <c r="K67" s="12" t="str">
        <f aca="false">IF(OR($I67="",$J67=""),"",IF(ABS($I67-$J67)&lt;=2,"OK","⚠ FP statement doesn't add up -- verify"))</f>
        <v/>
      </c>
      <c r="L67" s="13"/>
      <c r="M67" s="13" t="str">
        <f aca="false">IF($L67="","",$L67-IF($J67="",$D67,$J67))</f>
        <v/>
      </c>
      <c r="N67" s="12" t="str">
        <f aca="false">IF($L67="","",IF($M67&lt;-200,"⚠ SHORT -- follow up with Food Panda",IF($M67&gt;200,"Over (unexpected)","OK")))</f>
        <v/>
      </c>
      <c r="O67" s="12"/>
    </row>
    <row r="68" customFormat="false" ht="15" hidden="false" customHeight="true" outlineLevel="0" collapsed="false">
      <c r="A68" s="12"/>
      <c r="B68" s="24"/>
      <c r="C68" s="13"/>
      <c r="D68" s="13" t="str">
        <f aca="false">IF($C68="","",IF($B68="","",$C68*(1-VLOOKUP($B68,$A$6:$D$8,2,0)-VLOOKUP($B68,$A$6:$D$8,3,0))-VLOOKUP($B68,$A$6:$D$8,4,0)))</f>
        <v/>
      </c>
      <c r="E68" s="13"/>
      <c r="F68" s="13"/>
      <c r="G68" s="13"/>
      <c r="H68" s="13"/>
      <c r="I68" s="13"/>
      <c r="J68" s="13" t="str">
        <f aca="false">IF($C68="","",$C68-$E68-$F68-$G68+$H68)</f>
        <v/>
      </c>
      <c r="K68" s="12" t="str">
        <f aca="false">IF(OR($I68="",$J68=""),"",IF(ABS($I68-$J68)&lt;=2,"OK","⚠ FP statement doesn't add up -- verify"))</f>
        <v/>
      </c>
      <c r="L68" s="13"/>
      <c r="M68" s="13" t="str">
        <f aca="false">IF($L68="","",$L68-IF($J68="",$D68,$J68))</f>
        <v/>
      </c>
      <c r="N68" s="12" t="str">
        <f aca="false">IF($L68="","",IF($M68&lt;-200,"⚠ SHORT -- follow up with Food Panda",IF($M68&gt;200,"Over (unexpected)","OK")))</f>
        <v/>
      </c>
      <c r="O68" s="12"/>
    </row>
    <row r="69" customFormat="false" ht="15" hidden="false" customHeight="true" outlineLevel="0" collapsed="false">
      <c r="A69" s="12"/>
      <c r="B69" s="24"/>
      <c r="C69" s="13"/>
      <c r="D69" s="13" t="str">
        <f aca="false">IF($C69="","",IF($B69="","",$C69*(1-VLOOKUP($B69,$A$6:$D$8,2,0)-VLOOKUP($B69,$A$6:$D$8,3,0))-VLOOKUP($B69,$A$6:$D$8,4,0)))</f>
        <v/>
      </c>
      <c r="E69" s="13"/>
      <c r="F69" s="13"/>
      <c r="G69" s="13"/>
      <c r="H69" s="13"/>
      <c r="I69" s="13"/>
      <c r="J69" s="13" t="str">
        <f aca="false">IF($C69="","",$C69-$E69-$F69-$G69+$H69)</f>
        <v/>
      </c>
      <c r="K69" s="12" t="str">
        <f aca="false">IF(OR($I69="",$J69=""),"",IF(ABS($I69-$J69)&lt;=2,"OK","⚠ FP statement doesn't add up -- verify"))</f>
        <v/>
      </c>
      <c r="L69" s="13"/>
      <c r="M69" s="13" t="str">
        <f aca="false">IF($L69="","",$L69-IF($J69="",$D69,$J69))</f>
        <v/>
      </c>
      <c r="N69" s="12" t="str">
        <f aca="false">IF($L69="","",IF($M69&lt;-200,"⚠ SHORT -- follow up with Food Panda",IF($M69&gt;200,"Over (unexpected)","OK")))</f>
        <v/>
      </c>
      <c r="O69" s="12"/>
    </row>
    <row r="70" customFormat="false" ht="15" hidden="false" customHeight="true" outlineLevel="0" collapsed="false">
      <c r="A70" s="12"/>
      <c r="B70" s="24"/>
      <c r="C70" s="13"/>
      <c r="D70" s="13" t="str">
        <f aca="false">IF($C70="","",IF($B70="","",$C70*(1-VLOOKUP($B70,$A$6:$D$8,2,0)-VLOOKUP($B70,$A$6:$D$8,3,0))-VLOOKUP($B70,$A$6:$D$8,4,0)))</f>
        <v/>
      </c>
      <c r="E70" s="13"/>
      <c r="F70" s="13"/>
      <c r="G70" s="13"/>
      <c r="H70" s="13"/>
      <c r="I70" s="13"/>
      <c r="J70" s="13" t="str">
        <f aca="false">IF($C70="","",$C70-$E70-$F70-$G70+$H70)</f>
        <v/>
      </c>
      <c r="K70" s="12" t="str">
        <f aca="false">IF(OR($I70="",$J70=""),"",IF(ABS($I70-$J70)&lt;=2,"OK","⚠ FP statement doesn't add up -- verify"))</f>
        <v/>
      </c>
      <c r="L70" s="13"/>
      <c r="M70" s="13" t="str">
        <f aca="false">IF($L70="","",$L70-IF($J70="",$D70,$J70))</f>
        <v/>
      </c>
      <c r="N70" s="12" t="str">
        <f aca="false">IF($L70="","",IF($M70&lt;-200,"⚠ SHORT -- follow up with Food Panda",IF($M70&gt;200,"Over (unexpected)","OK")))</f>
        <v/>
      </c>
      <c r="O70" s="12"/>
    </row>
    <row r="71" customFormat="false" ht="15" hidden="false" customHeight="true" outlineLevel="0" collapsed="false">
      <c r="A71" s="12"/>
      <c r="B71" s="24"/>
      <c r="C71" s="13"/>
      <c r="D71" s="13" t="str">
        <f aca="false">IF($C71="","",IF($B71="","",$C71*(1-VLOOKUP($B71,$A$6:$D$8,2,0)-VLOOKUP($B71,$A$6:$D$8,3,0))-VLOOKUP($B71,$A$6:$D$8,4,0)))</f>
        <v/>
      </c>
      <c r="E71" s="13"/>
      <c r="F71" s="13"/>
      <c r="G71" s="13"/>
      <c r="H71" s="13"/>
      <c r="I71" s="13"/>
      <c r="J71" s="13" t="str">
        <f aca="false">IF($C71="","",$C71-$E71-$F71-$G71+$H71)</f>
        <v/>
      </c>
      <c r="K71" s="12" t="str">
        <f aca="false">IF(OR($I71="",$J71=""),"",IF(ABS($I71-$J71)&lt;=2,"OK","⚠ FP statement doesn't add up -- verify"))</f>
        <v/>
      </c>
      <c r="L71" s="13"/>
      <c r="M71" s="13" t="str">
        <f aca="false">IF($L71="","",$L71-IF($J71="",$D71,$J71))</f>
        <v/>
      </c>
      <c r="N71" s="12" t="str">
        <f aca="false">IF($L71="","",IF($M71&lt;-200,"⚠ SHORT -- follow up with Food Panda",IF($M71&gt;200,"Over (unexpected)","OK")))</f>
        <v/>
      </c>
      <c r="O71" s="12"/>
    </row>
    <row r="72" customFormat="false" ht="15" hidden="false" customHeight="true" outlineLevel="0" collapsed="false">
      <c r="A72" s="12"/>
      <c r="B72" s="24"/>
      <c r="C72" s="13"/>
      <c r="D72" s="13" t="str">
        <f aca="false">IF($C72="","",IF($B72="","",$C72*(1-VLOOKUP($B72,$A$6:$D$8,2,0)-VLOOKUP($B72,$A$6:$D$8,3,0))-VLOOKUP($B72,$A$6:$D$8,4,0)))</f>
        <v/>
      </c>
      <c r="E72" s="13"/>
      <c r="F72" s="13"/>
      <c r="G72" s="13"/>
      <c r="H72" s="13"/>
      <c r="I72" s="13"/>
      <c r="J72" s="13" t="str">
        <f aca="false">IF($C72="","",$C72-$E72-$F72-$G72+$H72)</f>
        <v/>
      </c>
      <c r="K72" s="12" t="str">
        <f aca="false">IF(OR($I72="",$J72=""),"",IF(ABS($I72-$J72)&lt;=2,"OK","⚠ FP statement doesn't add up -- verify"))</f>
        <v/>
      </c>
      <c r="L72" s="13"/>
      <c r="M72" s="13" t="str">
        <f aca="false">IF($L72="","",$L72-IF($J72="",$D72,$J72))</f>
        <v/>
      </c>
      <c r="N72" s="12" t="str">
        <f aca="false">IF($L72="","",IF($M72&lt;-200,"⚠ SHORT -- follow up with Food Panda",IF($M72&gt;200,"Over (unexpected)","OK")))</f>
        <v/>
      </c>
      <c r="O72" s="12"/>
    </row>
  </sheetData>
  <mergeCells count="3">
    <mergeCell ref="A1:O1"/>
    <mergeCell ref="A2:O2"/>
    <mergeCell ref="A10:O10"/>
  </mergeCells>
  <dataValidations count="1">
    <dataValidation allowBlank="true" errorStyle="stop" operator="between" showDropDown="false" showErrorMessage="false" showInputMessage="false" sqref="B13:B72" type="list">
      <formula1>'Food Panda'!$A$6:$A$8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Y9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5"/>
    <col collapsed="false" customWidth="true" hidden="false" outlineLevel="0" max="3" min="3" style="1" width="20"/>
    <col collapsed="false" customWidth="true" hidden="false" outlineLevel="0" max="4" min="4" style="1" width="2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24"/>
    <col collapsed="false" customWidth="true" hidden="false" outlineLevel="0" max="9" min="8" style="1" width="8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20"/>
    <col collapsed="false" customWidth="true" hidden="false" outlineLevel="0" max="14" min="14" style="1" width="12"/>
    <col collapsed="false" customWidth="true" hidden="false" outlineLevel="0" max="15" min="15" style="1" width="22"/>
    <col collapsed="false" customWidth="true" hidden="false" outlineLevel="0" max="16" min="16" style="1" width="12"/>
    <col collapsed="false" customWidth="true" hidden="false" outlineLevel="0" max="17" min="17" style="1" width="13"/>
    <col collapsed="false" customWidth="true" hidden="true" outlineLevel="0" max="25" min="21" style="1" width="13"/>
  </cols>
  <sheetData>
    <row r="1" customFormat="false" ht="21.75" hidden="false" customHeight="true" outlineLevel="0" collapsed="false">
      <c r="A1" s="4" t="s">
        <v>207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customFormat="false" ht="15" hidden="false" customHeight="true" outlineLevel="0" collapsed="false">
      <c r="A2" s="5" t="s">
        <v>208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4" customFormat="false" ht="41.25" hidden="false" customHeight="true" outlineLevel="0" collapsed="false">
      <c r="A4" s="18" t="s">
        <v>170</v>
      </c>
      <c r="B4" s="18" t="s">
        <v>209</v>
      </c>
      <c r="C4" s="18" t="s">
        <v>210</v>
      </c>
      <c r="D4" s="18" t="s">
        <v>211</v>
      </c>
      <c r="E4" s="18" t="s">
        <v>212</v>
      </c>
      <c r="F4" s="18" t="s">
        <v>213</v>
      </c>
      <c r="G4" s="18" t="s">
        <v>214</v>
      </c>
      <c r="H4" s="18" t="s">
        <v>215</v>
      </c>
      <c r="I4" s="18" t="s">
        <v>216</v>
      </c>
      <c r="J4" s="18" t="s">
        <v>217</v>
      </c>
      <c r="K4" s="18" t="s">
        <v>218</v>
      </c>
      <c r="L4" s="18" t="s">
        <v>219</v>
      </c>
      <c r="M4" s="18" t="s">
        <v>220</v>
      </c>
      <c r="N4" s="18" t="s">
        <v>221</v>
      </c>
      <c r="O4" s="18" t="s">
        <v>177</v>
      </c>
      <c r="P4" s="18" t="s">
        <v>222</v>
      </c>
      <c r="Q4" s="18" t="s">
        <v>223</v>
      </c>
      <c r="U4" s="1" t="s">
        <v>224</v>
      </c>
    </row>
    <row r="5" customFormat="false" ht="15" hidden="false" customHeight="true" outlineLevel="0" collapsed="false">
      <c r="A5" s="19" t="n">
        <v>46266</v>
      </c>
      <c r="B5" s="12" t="n">
        <f aca="false">IF($A5="","",ROW()-4)</f>
        <v>1</v>
      </c>
      <c r="C5" s="12" t="s">
        <v>225</v>
      </c>
      <c r="D5" s="12" t="s">
        <v>226</v>
      </c>
      <c r="E5" s="24" t="s">
        <v>227</v>
      </c>
      <c r="F5" s="12"/>
      <c r="G5" s="12" t="str">
        <f aca="false">IFERROR(VLOOKUP($F5,ItemList_Full,2,0),"")</f>
        <v/>
      </c>
      <c r="H5" s="12"/>
      <c r="I5" s="12" t="str">
        <f aca="false">IFERROR(VLOOKUP($F5,ItemList_Full,3,0),"")</f>
        <v/>
      </c>
      <c r="J5" s="12" t="str">
        <f aca="false">IFERROR(VLOOKUP($F5,ItemList_Full,4,0),"")</f>
        <v/>
      </c>
      <c r="K5" s="13" t="n">
        <v>36390</v>
      </c>
      <c r="L5" s="12"/>
      <c r="M5" s="24" t="s">
        <v>228</v>
      </c>
      <c r="N5" s="12" t="s">
        <v>229</v>
      </c>
      <c r="O5" s="12"/>
      <c r="P5" s="13" t="n">
        <f aca="false">IF($E5="","",IF(OR($E5="Director Draw",$E5="Payroll/Employee Charge"),0,-$K5))</f>
        <v>0</v>
      </c>
      <c r="Q5" s="12" t="n">
        <f aca="false">IF($E5="Inventory Purchase",$H5,0)</f>
        <v>0</v>
      </c>
      <c r="U5" s="1" t="s">
        <v>230</v>
      </c>
      <c r="V5" s="1" t="s">
        <v>231</v>
      </c>
      <c r="W5" s="1" t="s">
        <v>232</v>
      </c>
      <c r="X5" s="1" t="n">
        <v>16900</v>
      </c>
      <c r="Y5" s="1" t="s">
        <v>129</v>
      </c>
    </row>
    <row r="6" customFormat="false" ht="15" hidden="false" customHeight="true" outlineLevel="0" collapsed="false">
      <c r="A6" s="19" t="n">
        <v>46266</v>
      </c>
      <c r="B6" s="12" t="n">
        <f aca="false">IF($A6="","",ROW()-4)</f>
        <v>2</v>
      </c>
      <c r="C6" s="12" t="s">
        <v>225</v>
      </c>
      <c r="D6" s="12" t="s">
        <v>233</v>
      </c>
      <c r="E6" s="24" t="s">
        <v>227</v>
      </c>
      <c r="F6" s="12"/>
      <c r="G6" s="12" t="str">
        <f aca="false">IFERROR(VLOOKUP($F6,ItemList_Full,2,0),"")</f>
        <v/>
      </c>
      <c r="H6" s="12"/>
      <c r="I6" s="12" t="str">
        <f aca="false">IFERROR(VLOOKUP($F6,ItemList_Full,3,0),"")</f>
        <v/>
      </c>
      <c r="J6" s="12" t="str">
        <f aca="false">IFERROR(VLOOKUP($F6,ItemList_Full,4,0),"")</f>
        <v/>
      </c>
      <c r="K6" s="13" t="n">
        <v>965</v>
      </c>
      <c r="L6" s="12"/>
      <c r="M6" s="24" t="s">
        <v>234</v>
      </c>
      <c r="N6" s="12" t="s">
        <v>229</v>
      </c>
      <c r="O6" s="12"/>
      <c r="P6" s="13" t="n">
        <f aca="false">IF($E6="","",IF(OR($E6="Director Draw",$E6="Payroll/Employee Charge"),0,-$K6))</f>
        <v>0</v>
      </c>
      <c r="Q6" s="12" t="n">
        <f aca="false">IF($E6="Inventory Purchase",$H6,0)</f>
        <v>0</v>
      </c>
      <c r="U6" s="1" t="s">
        <v>235</v>
      </c>
      <c r="V6" s="1" t="s">
        <v>236</v>
      </c>
      <c r="W6" s="1" t="s">
        <v>232</v>
      </c>
      <c r="X6" s="1" t="n">
        <v>16900</v>
      </c>
      <c r="Y6" s="1" t="s">
        <v>129</v>
      </c>
    </row>
    <row r="7" customFormat="false" ht="15" hidden="false" customHeight="true" outlineLevel="0" collapsed="false">
      <c r="A7" s="19" t="n">
        <v>46266</v>
      </c>
      <c r="B7" s="12" t="n">
        <f aca="false">IF($A7="","",ROW()-4)</f>
        <v>3</v>
      </c>
      <c r="C7" s="12" t="s">
        <v>237</v>
      </c>
      <c r="D7" s="12" t="s">
        <v>238</v>
      </c>
      <c r="E7" s="24" t="s">
        <v>139</v>
      </c>
      <c r="F7" s="12"/>
      <c r="G7" s="12" t="str">
        <f aca="false">IFERROR(VLOOKUP($F7,ItemList_Full,2,0),"")</f>
        <v/>
      </c>
      <c r="H7" s="12"/>
      <c r="I7" s="12" t="str">
        <f aca="false">IFERROR(VLOOKUP($F7,ItemList_Full,3,0),"")</f>
        <v/>
      </c>
      <c r="J7" s="12" t="str">
        <f aca="false">IFERROR(VLOOKUP($F7,ItemList_Full,4,0),"")</f>
        <v/>
      </c>
      <c r="K7" s="13" t="n">
        <v>163704</v>
      </c>
      <c r="L7" s="12"/>
      <c r="M7" s="24"/>
      <c r="N7" s="12" t="s">
        <v>229</v>
      </c>
      <c r="O7" s="12"/>
      <c r="P7" s="13" t="n">
        <f aca="false">IF($E7="","",IF(OR($E7="Director Draw",$E7="Payroll/Employee Charge"),0,-$K7))</f>
        <v>-163704</v>
      </c>
      <c r="Q7" s="12" t="n">
        <f aca="false">IF($E7="Inventory Purchase",$H7,0)</f>
        <v>0</v>
      </c>
      <c r="U7" s="1" t="s">
        <v>239</v>
      </c>
      <c r="V7" s="1" t="s">
        <v>240</v>
      </c>
      <c r="W7" s="1" t="s">
        <v>241</v>
      </c>
      <c r="X7" s="1" t="n">
        <v>1400</v>
      </c>
      <c r="Y7" s="1" t="s">
        <v>129</v>
      </c>
    </row>
    <row r="8" customFormat="false" ht="15" hidden="false" customHeight="true" outlineLevel="0" collapsed="false">
      <c r="A8" s="19" t="n">
        <v>46266</v>
      </c>
      <c r="B8" s="12" t="n">
        <f aca="false">IF($A8="","",ROW()-4)</f>
        <v>4</v>
      </c>
      <c r="C8" s="12" t="s">
        <v>242</v>
      </c>
      <c r="D8" s="12" t="s">
        <v>243</v>
      </c>
      <c r="E8" s="24" t="s">
        <v>139</v>
      </c>
      <c r="F8" s="12"/>
      <c r="G8" s="12" t="str">
        <f aca="false">IFERROR(VLOOKUP($F8,ItemList_Full,2,0),"")</f>
        <v/>
      </c>
      <c r="H8" s="12"/>
      <c r="I8" s="12" t="str">
        <f aca="false">IFERROR(VLOOKUP($F8,ItemList_Full,3,0),"")</f>
        <v/>
      </c>
      <c r="J8" s="12" t="str">
        <f aca="false">IFERROR(VLOOKUP($F8,ItemList_Full,4,0),"")</f>
        <v/>
      </c>
      <c r="K8" s="13" t="n">
        <v>17000</v>
      </c>
      <c r="L8" s="12"/>
      <c r="M8" s="24"/>
      <c r="N8" s="12" t="s">
        <v>229</v>
      </c>
      <c r="O8" s="12"/>
      <c r="P8" s="13" t="n">
        <f aca="false">IF($E8="","",IF(OR($E8="Director Draw",$E8="Payroll/Employee Charge"),0,-$K8))</f>
        <v>-17000</v>
      </c>
      <c r="Q8" s="12" t="n">
        <f aca="false">IF($E8="Inventory Purchase",$H8,0)</f>
        <v>0</v>
      </c>
      <c r="U8" s="1" t="s">
        <v>244</v>
      </c>
      <c r="V8" s="1" t="s">
        <v>245</v>
      </c>
      <c r="W8" s="1" t="s">
        <v>246</v>
      </c>
      <c r="X8" s="1" t="n">
        <v>200</v>
      </c>
      <c r="Y8" s="1" t="s">
        <v>129</v>
      </c>
    </row>
    <row r="9" customFormat="false" ht="15" hidden="false" customHeight="true" outlineLevel="0" collapsed="false">
      <c r="A9" s="19" t="n">
        <v>46266</v>
      </c>
      <c r="B9" s="12" t="n">
        <f aca="false">IF($A9="","",ROW()-4)</f>
        <v>5</v>
      </c>
      <c r="C9" s="12" t="s">
        <v>247</v>
      </c>
      <c r="D9" s="12" t="s">
        <v>248</v>
      </c>
      <c r="E9" s="24" t="s">
        <v>153</v>
      </c>
      <c r="F9" s="12"/>
      <c r="G9" s="12" t="str">
        <f aca="false">IFERROR(VLOOKUP($F9,ItemList_Full,2,0),"")</f>
        <v/>
      </c>
      <c r="H9" s="12"/>
      <c r="I9" s="12" t="str">
        <f aca="false">IFERROR(VLOOKUP($F9,ItemList_Full,3,0),"")</f>
        <v/>
      </c>
      <c r="J9" s="12" t="str">
        <f aca="false">IFERROR(VLOOKUP($F9,ItemList_Full,4,0),"")</f>
        <v/>
      </c>
      <c r="K9" s="13" t="n">
        <v>13030</v>
      </c>
      <c r="L9" s="12"/>
      <c r="M9" s="24"/>
      <c r="N9" s="12" t="s">
        <v>229</v>
      </c>
      <c r="O9" s="12"/>
      <c r="P9" s="13" t="n">
        <f aca="false">IF($E9="","",IF(OR($E9="Director Draw",$E9="Payroll/Employee Charge"),0,-$K9))</f>
        <v>-13030</v>
      </c>
      <c r="Q9" s="12" t="n">
        <f aca="false">IF($E9="Inventory Purchase",$H9,0)</f>
        <v>0</v>
      </c>
      <c r="U9" s="1" t="s">
        <v>249</v>
      </c>
      <c r="V9" s="1" t="s">
        <v>250</v>
      </c>
      <c r="W9" s="1" t="s">
        <v>241</v>
      </c>
      <c r="X9" s="1" t="n">
        <v>1150</v>
      </c>
      <c r="Y9" s="1" t="s">
        <v>129</v>
      </c>
    </row>
    <row r="10" customFormat="false" ht="15" hidden="false" customHeight="true" outlineLevel="0" collapsed="false">
      <c r="A10" s="19" t="n">
        <v>46266</v>
      </c>
      <c r="B10" s="12" t="n">
        <f aca="false">IF($A10="","",ROW()-4)</f>
        <v>6</v>
      </c>
      <c r="C10" s="12" t="s">
        <v>251</v>
      </c>
      <c r="D10" s="12" t="s">
        <v>252</v>
      </c>
      <c r="E10" s="24" t="s">
        <v>139</v>
      </c>
      <c r="F10" s="12"/>
      <c r="G10" s="12" t="str">
        <f aca="false">IFERROR(VLOOKUP($F10,ItemList_Full,2,0),"")</f>
        <v/>
      </c>
      <c r="H10" s="12"/>
      <c r="I10" s="12" t="str">
        <f aca="false">IFERROR(VLOOKUP($F10,ItemList_Full,3,0),"")</f>
        <v/>
      </c>
      <c r="J10" s="12" t="str">
        <f aca="false">IFERROR(VLOOKUP($F10,ItemList_Full,4,0),"")</f>
        <v/>
      </c>
      <c r="K10" s="13" t="n">
        <v>70000</v>
      </c>
      <c r="L10" s="12"/>
      <c r="M10" s="24"/>
      <c r="N10" s="12" t="s">
        <v>229</v>
      </c>
      <c r="O10" s="12"/>
      <c r="P10" s="13" t="n">
        <f aca="false">IF($E10="","",IF(OR($E10="Director Draw",$E10="Payroll/Employee Charge"),0,-$K10))</f>
        <v>-70000</v>
      </c>
      <c r="Q10" s="12" t="n">
        <f aca="false">IF($E10="Inventory Purchase",$H10,0)</f>
        <v>0</v>
      </c>
      <c r="U10" s="1" t="s">
        <v>253</v>
      </c>
      <c r="V10" s="1" t="s">
        <v>254</v>
      </c>
      <c r="W10" s="1" t="s">
        <v>241</v>
      </c>
      <c r="X10" s="1" t="n">
        <v>1150</v>
      </c>
      <c r="Y10" s="1" t="s">
        <v>129</v>
      </c>
    </row>
    <row r="11" customFormat="false" ht="15" hidden="false" customHeight="true" outlineLevel="0" collapsed="false">
      <c r="A11" s="19" t="n">
        <v>46266</v>
      </c>
      <c r="B11" s="12" t="n">
        <f aca="false">IF($A11="","",ROW()-4)</f>
        <v>7</v>
      </c>
      <c r="C11" s="12" t="s">
        <v>255</v>
      </c>
      <c r="D11" s="12" t="s">
        <v>256</v>
      </c>
      <c r="E11" s="24" t="s">
        <v>139</v>
      </c>
      <c r="F11" s="12"/>
      <c r="G11" s="12" t="str">
        <f aca="false">IFERROR(VLOOKUP($F11,ItemList_Full,2,0),"")</f>
        <v/>
      </c>
      <c r="H11" s="12"/>
      <c r="I11" s="12" t="str">
        <f aca="false">IFERROR(VLOOKUP($F11,ItemList_Full,3,0),"")</f>
        <v/>
      </c>
      <c r="J11" s="12" t="str">
        <f aca="false">IFERROR(VLOOKUP($F11,ItemList_Full,4,0),"")</f>
        <v/>
      </c>
      <c r="K11" s="13" t="n">
        <v>900</v>
      </c>
      <c r="L11" s="12"/>
      <c r="M11" s="24"/>
      <c r="N11" s="12" t="s">
        <v>229</v>
      </c>
      <c r="O11" s="12"/>
      <c r="P11" s="13" t="n">
        <f aca="false">IF($E11="","",IF(OR($E11="Director Draw",$E11="Payroll/Employee Charge"),0,-$K11))</f>
        <v>-900</v>
      </c>
      <c r="Q11" s="12" t="n">
        <f aca="false">IF($E11="Inventory Purchase",$H11,0)</f>
        <v>0</v>
      </c>
      <c r="U11" s="1" t="s">
        <v>257</v>
      </c>
      <c r="V11" s="1" t="s">
        <v>258</v>
      </c>
      <c r="W11" s="1" t="s">
        <v>241</v>
      </c>
      <c r="X11" s="1" t="n">
        <v>1150</v>
      </c>
      <c r="Y11" s="1" t="s">
        <v>129</v>
      </c>
    </row>
    <row r="12" customFormat="false" ht="15" hidden="false" customHeight="true" outlineLevel="0" collapsed="false">
      <c r="A12" s="19" t="n">
        <v>46266</v>
      </c>
      <c r="B12" s="12" t="n">
        <f aca="false">IF($A12="","",ROW()-4)</f>
        <v>8</v>
      </c>
      <c r="C12" s="12" t="s">
        <v>259</v>
      </c>
      <c r="D12" s="12" t="s">
        <v>260</v>
      </c>
      <c r="E12" s="24" t="s">
        <v>139</v>
      </c>
      <c r="F12" s="12"/>
      <c r="G12" s="12" t="str">
        <f aca="false">IFERROR(VLOOKUP($F12,ItemList_Full,2,0),"")</f>
        <v/>
      </c>
      <c r="H12" s="12"/>
      <c r="I12" s="12" t="str">
        <f aca="false">IFERROR(VLOOKUP($F12,ItemList_Full,3,0),"")</f>
        <v/>
      </c>
      <c r="J12" s="12" t="str">
        <f aca="false">IFERROR(VLOOKUP($F12,ItemList_Full,4,0),"")</f>
        <v/>
      </c>
      <c r="K12" s="13" t="n">
        <v>2180</v>
      </c>
      <c r="L12" s="12"/>
      <c r="M12" s="24"/>
      <c r="N12" s="12" t="s">
        <v>229</v>
      </c>
      <c r="O12" s="12"/>
      <c r="P12" s="13" t="n">
        <f aca="false">IF($E12="","",IF(OR($E12="Director Draw",$E12="Payroll/Employee Charge"),0,-$K12))</f>
        <v>-2180</v>
      </c>
      <c r="Q12" s="12" t="n">
        <f aca="false">IF($E12="Inventory Purchase",$H12,0)</f>
        <v>0</v>
      </c>
      <c r="U12" s="1" t="s">
        <v>261</v>
      </c>
      <c r="V12" s="1" t="s">
        <v>262</v>
      </c>
      <c r="W12" s="1" t="s">
        <v>241</v>
      </c>
      <c r="X12" s="1" t="n">
        <v>800</v>
      </c>
      <c r="Y12" s="1" t="s">
        <v>129</v>
      </c>
    </row>
    <row r="13" customFormat="false" ht="15" hidden="false" customHeight="true" outlineLevel="0" collapsed="false">
      <c r="A13" s="19" t="n">
        <v>46266</v>
      </c>
      <c r="B13" s="12" t="n">
        <f aca="false">IF($A13="","",ROW()-4)</f>
        <v>9</v>
      </c>
      <c r="C13" s="12" t="s">
        <v>263</v>
      </c>
      <c r="D13" s="12" t="s">
        <v>264</v>
      </c>
      <c r="E13" s="24" t="s">
        <v>134</v>
      </c>
      <c r="F13" s="12"/>
      <c r="G13" s="12" t="str">
        <f aca="false">IFERROR(VLOOKUP($F13,ItemList_Full,2,0),"")</f>
        <v/>
      </c>
      <c r="H13" s="12"/>
      <c r="I13" s="12" t="str">
        <f aca="false">IFERROR(VLOOKUP($F13,ItemList_Full,3,0),"")</f>
        <v/>
      </c>
      <c r="J13" s="12" t="str">
        <f aca="false">IFERROR(VLOOKUP($F13,ItemList_Full,4,0),"")</f>
        <v/>
      </c>
      <c r="K13" s="13" t="n">
        <v>650</v>
      </c>
      <c r="L13" s="12"/>
      <c r="M13" s="24"/>
      <c r="N13" s="12" t="s">
        <v>229</v>
      </c>
      <c r="O13" s="12"/>
      <c r="P13" s="13" t="n">
        <f aca="false">IF($E13="","",IF(OR($E13="Director Draw",$E13="Payroll/Employee Charge"),0,-$K13))</f>
        <v>-650</v>
      </c>
      <c r="Q13" s="12" t="n">
        <f aca="false">IF($E13="Inventory Purchase",$H13,0)</f>
        <v>0</v>
      </c>
      <c r="U13" s="1" t="s">
        <v>265</v>
      </c>
      <c r="V13" s="1" t="s">
        <v>266</v>
      </c>
      <c r="W13" s="1" t="s">
        <v>267</v>
      </c>
      <c r="X13" s="1" t="n">
        <v>1260</v>
      </c>
      <c r="Y13" s="1" t="s">
        <v>129</v>
      </c>
    </row>
    <row r="14" customFormat="false" ht="15" hidden="false" customHeight="true" outlineLevel="0" collapsed="false">
      <c r="A14" s="19" t="n">
        <v>46266</v>
      </c>
      <c r="B14" s="12" t="n">
        <f aca="false">IF($A14="","",ROW()-4)</f>
        <v>10</v>
      </c>
      <c r="C14" s="12" t="s">
        <v>268</v>
      </c>
      <c r="D14" s="12" t="s">
        <v>269</v>
      </c>
      <c r="E14" s="24" t="s">
        <v>128</v>
      </c>
      <c r="F14" s="12"/>
      <c r="G14" s="12" t="str">
        <f aca="false">IFERROR(VLOOKUP($F14,ItemList_Full,2,0),"")</f>
        <v/>
      </c>
      <c r="H14" s="12"/>
      <c r="I14" s="12" t="str">
        <f aca="false">IFERROR(VLOOKUP($F14,ItemList_Full,3,0),"")</f>
        <v/>
      </c>
      <c r="J14" s="12" t="str">
        <f aca="false">IFERROR(VLOOKUP($F14,ItemList_Full,4,0),"")</f>
        <v/>
      </c>
      <c r="K14" s="13" t="n">
        <v>29000</v>
      </c>
      <c r="L14" s="12"/>
      <c r="M14" s="24"/>
      <c r="N14" s="12" t="s">
        <v>229</v>
      </c>
      <c r="O14" s="12"/>
      <c r="P14" s="13" t="n">
        <f aca="false">IF($E14="","",IF(OR($E14="Director Draw",$E14="Payroll/Employee Charge"),0,-$K14))</f>
        <v>-29000</v>
      </c>
      <c r="Q14" s="12" t="n">
        <f aca="false">IF($E14="Inventory Purchase",$H14,0)</f>
        <v>0</v>
      </c>
      <c r="U14" s="1" t="s">
        <v>270</v>
      </c>
      <c r="V14" s="1" t="s">
        <v>271</v>
      </c>
      <c r="W14" s="1" t="s">
        <v>267</v>
      </c>
      <c r="X14" s="1" t="n">
        <v>1301</v>
      </c>
      <c r="Y14" s="1" t="s">
        <v>129</v>
      </c>
    </row>
    <row r="15" customFormat="false" ht="15" hidden="false" customHeight="true" outlineLevel="0" collapsed="false">
      <c r="A15" s="19" t="n">
        <v>46266</v>
      </c>
      <c r="B15" s="12" t="n">
        <f aca="false">IF($A15="","",ROW()-4)</f>
        <v>11</v>
      </c>
      <c r="C15" s="12" t="s">
        <v>272</v>
      </c>
      <c r="D15" s="12" t="s">
        <v>273</v>
      </c>
      <c r="E15" s="24" t="s">
        <v>143</v>
      </c>
      <c r="F15" s="12"/>
      <c r="G15" s="12" t="str">
        <f aca="false">IFERROR(VLOOKUP($F15,ItemList_Full,2,0),"")</f>
        <v/>
      </c>
      <c r="H15" s="12"/>
      <c r="I15" s="12" t="str">
        <f aca="false">IFERROR(VLOOKUP($F15,ItemList_Full,3,0),"")</f>
        <v/>
      </c>
      <c r="J15" s="12" t="str">
        <f aca="false">IFERROR(VLOOKUP($F15,ItemList_Full,4,0),"")</f>
        <v/>
      </c>
      <c r="K15" s="13" t="n">
        <v>600</v>
      </c>
      <c r="L15" s="12"/>
      <c r="M15" s="24"/>
      <c r="N15" s="12" t="s">
        <v>229</v>
      </c>
      <c r="O15" s="12"/>
      <c r="P15" s="13" t="n">
        <f aca="false">IF($E15="","",IF(OR($E15="Director Draw",$E15="Payroll/Employee Charge"),0,-$K15))</f>
        <v>-600</v>
      </c>
      <c r="Q15" s="12" t="n">
        <f aca="false">IF($E15="Inventory Purchase",$H15,0)</f>
        <v>0</v>
      </c>
      <c r="U15" s="1" t="s">
        <v>274</v>
      </c>
      <c r="V15" s="1" t="s">
        <v>275</v>
      </c>
      <c r="W15" s="1" t="s">
        <v>241</v>
      </c>
      <c r="X15" s="1" t="n">
        <v>1344</v>
      </c>
      <c r="Y15" s="1" t="s">
        <v>129</v>
      </c>
    </row>
    <row r="16" customFormat="false" ht="15" hidden="false" customHeight="true" outlineLevel="0" collapsed="false">
      <c r="A16" s="19" t="n">
        <v>46266</v>
      </c>
      <c r="B16" s="12" t="n">
        <f aca="false">IF($A16="","",ROW()-4)</f>
        <v>12</v>
      </c>
      <c r="C16" s="12" t="s">
        <v>276</v>
      </c>
      <c r="D16" s="12" t="s">
        <v>277</v>
      </c>
      <c r="E16" s="24" t="s">
        <v>143</v>
      </c>
      <c r="F16" s="12"/>
      <c r="G16" s="12" t="str">
        <f aca="false">IFERROR(VLOOKUP($F16,ItemList_Full,2,0),"")</f>
        <v/>
      </c>
      <c r="H16" s="12"/>
      <c r="I16" s="12" t="str">
        <f aca="false">IFERROR(VLOOKUP($F16,ItemList_Full,3,0),"")</f>
        <v/>
      </c>
      <c r="J16" s="12" t="str">
        <f aca="false">IFERROR(VLOOKUP($F16,ItemList_Full,4,0),"")</f>
        <v/>
      </c>
      <c r="K16" s="13" t="n">
        <v>200</v>
      </c>
      <c r="L16" s="12"/>
      <c r="M16" s="24"/>
      <c r="N16" s="12" t="s">
        <v>229</v>
      </c>
      <c r="O16" s="12"/>
      <c r="P16" s="13" t="n">
        <f aca="false">IF($E16="","",IF(OR($E16="Director Draw",$E16="Payroll/Employee Charge"),0,-$K16))</f>
        <v>-200</v>
      </c>
      <c r="Q16" s="12" t="n">
        <f aca="false">IF($E16="Inventory Purchase",$H16,0)</f>
        <v>0</v>
      </c>
      <c r="U16" s="1" t="s">
        <v>278</v>
      </c>
      <c r="V16" s="1" t="s">
        <v>279</v>
      </c>
      <c r="W16" s="1" t="s">
        <v>241</v>
      </c>
      <c r="X16" s="1" t="n">
        <v>1088</v>
      </c>
      <c r="Y16" s="1" t="s">
        <v>129</v>
      </c>
    </row>
    <row r="17" customFormat="false" ht="15" hidden="false" customHeight="true" outlineLevel="0" collapsed="false">
      <c r="A17" s="19" t="n">
        <v>46266</v>
      </c>
      <c r="B17" s="12" t="n">
        <f aca="false">IF($A17="","",ROW()-4)</f>
        <v>13</v>
      </c>
      <c r="C17" s="12" t="s">
        <v>280</v>
      </c>
      <c r="D17" s="12" t="s">
        <v>281</v>
      </c>
      <c r="E17" s="24" t="s">
        <v>151</v>
      </c>
      <c r="F17" s="12"/>
      <c r="G17" s="12" t="str">
        <f aca="false">IFERROR(VLOOKUP($F17,ItemList_Full,2,0),"")</f>
        <v/>
      </c>
      <c r="H17" s="12"/>
      <c r="I17" s="12" t="str">
        <f aca="false">IFERROR(VLOOKUP($F17,ItemList_Full,3,0),"")</f>
        <v/>
      </c>
      <c r="J17" s="12" t="str">
        <f aca="false">IFERROR(VLOOKUP($F17,ItemList_Full,4,0),"")</f>
        <v/>
      </c>
      <c r="K17" s="13" t="n">
        <v>25000</v>
      </c>
      <c r="L17" s="12"/>
      <c r="M17" s="24"/>
      <c r="N17" s="12" t="s">
        <v>229</v>
      </c>
      <c r="O17" s="12"/>
      <c r="P17" s="13" t="n">
        <f aca="false">IF($E17="","",IF(OR($E17="Director Draw",$E17="Payroll/Employee Charge"),0,-$K17))</f>
        <v>-25000</v>
      </c>
      <c r="Q17" s="12" t="n">
        <f aca="false">IF($E17="Inventory Purchase",$H17,0)</f>
        <v>0</v>
      </c>
      <c r="U17" s="1" t="s">
        <v>282</v>
      </c>
      <c r="V17" s="1" t="s">
        <v>283</v>
      </c>
      <c r="W17" s="1" t="s">
        <v>241</v>
      </c>
      <c r="X17" s="1" t="n">
        <v>1122</v>
      </c>
      <c r="Y17" s="1" t="s">
        <v>129</v>
      </c>
    </row>
    <row r="18" customFormat="false" ht="15" hidden="false" customHeight="true" outlineLevel="0" collapsed="false">
      <c r="A18" s="19" t="n">
        <v>46266</v>
      </c>
      <c r="B18" s="12" t="n">
        <f aca="false">IF($A18="","",ROW()-4)</f>
        <v>14</v>
      </c>
      <c r="C18" s="12" t="s">
        <v>284</v>
      </c>
      <c r="D18" s="12" t="s">
        <v>285</v>
      </c>
      <c r="E18" s="24" t="s">
        <v>151</v>
      </c>
      <c r="F18" s="12"/>
      <c r="G18" s="12" t="str">
        <f aca="false">IFERROR(VLOOKUP($F18,ItemList_Full,2,0),"")</f>
        <v/>
      </c>
      <c r="H18" s="12"/>
      <c r="I18" s="12" t="str">
        <f aca="false">IFERROR(VLOOKUP($F18,ItemList_Full,3,0),"")</f>
        <v/>
      </c>
      <c r="J18" s="12" t="str">
        <f aca="false">IFERROR(VLOOKUP($F18,ItemList_Full,4,0),"")</f>
        <v/>
      </c>
      <c r="K18" s="13" t="n">
        <v>1300</v>
      </c>
      <c r="L18" s="12"/>
      <c r="M18" s="24"/>
      <c r="N18" s="12" t="s">
        <v>229</v>
      </c>
      <c r="O18" s="12"/>
      <c r="P18" s="13" t="n">
        <f aca="false">IF($E18="","",IF(OR($E18="Director Draw",$E18="Payroll/Employee Charge"),0,-$K18))</f>
        <v>-1300</v>
      </c>
      <c r="Q18" s="12" t="n">
        <f aca="false">IF($E18="Inventory Purchase",$H18,0)</f>
        <v>0</v>
      </c>
      <c r="U18" s="1" t="s">
        <v>286</v>
      </c>
      <c r="V18" s="1" t="s">
        <v>287</v>
      </c>
      <c r="W18" s="1" t="s">
        <v>267</v>
      </c>
      <c r="X18" s="1" t="n">
        <v>1400.6</v>
      </c>
      <c r="Y18" s="1" t="s">
        <v>129</v>
      </c>
    </row>
    <row r="19" customFormat="false" ht="15" hidden="false" customHeight="true" outlineLevel="0" collapsed="false">
      <c r="A19" s="19" t="n">
        <v>46266</v>
      </c>
      <c r="B19" s="12" t="n">
        <f aca="false">IF($A19="","",ROW()-4)</f>
        <v>15</v>
      </c>
      <c r="C19" s="12" t="s">
        <v>288</v>
      </c>
      <c r="D19" s="12" t="s">
        <v>289</v>
      </c>
      <c r="E19" s="24" t="s">
        <v>151</v>
      </c>
      <c r="F19" s="12"/>
      <c r="G19" s="12" t="str">
        <f aca="false">IFERROR(VLOOKUP($F19,ItemList_Full,2,0),"")</f>
        <v/>
      </c>
      <c r="H19" s="12"/>
      <c r="I19" s="12" t="str">
        <f aca="false">IFERROR(VLOOKUP($F19,ItemList_Full,3,0),"")</f>
        <v/>
      </c>
      <c r="J19" s="12" t="str">
        <f aca="false">IFERROR(VLOOKUP($F19,ItemList_Full,4,0),"")</f>
        <v/>
      </c>
      <c r="K19" s="13" t="n">
        <v>2300</v>
      </c>
      <c r="L19" s="12"/>
      <c r="M19" s="24"/>
      <c r="N19" s="12" t="s">
        <v>229</v>
      </c>
      <c r="O19" s="12"/>
      <c r="P19" s="13" t="n">
        <f aca="false">IF($E19="","",IF(OR($E19="Director Draw",$E19="Payroll/Employee Charge"),0,-$K19))</f>
        <v>-2300</v>
      </c>
      <c r="Q19" s="12" t="n">
        <f aca="false">IF($E19="Inventory Purchase",$H19,0)</f>
        <v>0</v>
      </c>
      <c r="U19" s="1" t="s">
        <v>290</v>
      </c>
      <c r="V19" s="1" t="s">
        <v>291</v>
      </c>
      <c r="W19" s="1" t="s">
        <v>267</v>
      </c>
      <c r="X19" s="1" t="n">
        <v>1800</v>
      </c>
      <c r="Y19" s="1" t="s">
        <v>129</v>
      </c>
    </row>
    <row r="20" customFormat="false" ht="15" hidden="false" customHeight="true" outlineLevel="0" collapsed="false">
      <c r="A20" s="19" t="n">
        <v>46266</v>
      </c>
      <c r="B20" s="12" t="n">
        <f aca="false">IF($A20="","",ROW()-4)</f>
        <v>16</v>
      </c>
      <c r="C20" s="12" t="s">
        <v>276</v>
      </c>
      <c r="D20" s="12" t="s">
        <v>292</v>
      </c>
      <c r="E20" s="24" t="s">
        <v>151</v>
      </c>
      <c r="F20" s="12"/>
      <c r="G20" s="12" t="str">
        <f aca="false">IFERROR(VLOOKUP($F20,ItemList_Full,2,0),"")</f>
        <v/>
      </c>
      <c r="H20" s="12"/>
      <c r="I20" s="12" t="str">
        <f aca="false">IFERROR(VLOOKUP($F20,ItemList_Full,3,0),"")</f>
        <v/>
      </c>
      <c r="J20" s="12" t="str">
        <f aca="false">IFERROR(VLOOKUP($F20,ItemList_Full,4,0),"")</f>
        <v/>
      </c>
      <c r="K20" s="13" t="n">
        <v>920</v>
      </c>
      <c r="L20" s="12"/>
      <c r="M20" s="24"/>
      <c r="N20" s="12" t="s">
        <v>229</v>
      </c>
      <c r="O20" s="12"/>
      <c r="P20" s="13" t="n">
        <f aca="false">IF($E20="","",IF(OR($E20="Director Draw",$E20="Payroll/Employee Charge"),0,-$K20))</f>
        <v>-920</v>
      </c>
      <c r="Q20" s="12" t="n">
        <f aca="false">IF($E20="Inventory Purchase",$H20,0)</f>
        <v>0</v>
      </c>
      <c r="U20" s="1" t="s">
        <v>293</v>
      </c>
      <c r="V20" s="1" t="s">
        <v>294</v>
      </c>
      <c r="W20" s="1" t="s">
        <v>267</v>
      </c>
      <c r="X20" s="1" t="n">
        <v>1150</v>
      </c>
      <c r="Y20" s="1" t="s">
        <v>129</v>
      </c>
    </row>
    <row r="21" customFormat="false" ht="15" hidden="false" customHeight="true" outlineLevel="0" collapsed="false">
      <c r="A21" s="19" t="n">
        <v>46266</v>
      </c>
      <c r="B21" s="12" t="n">
        <f aca="false">IF($A21="","",ROW()-4)</f>
        <v>17</v>
      </c>
      <c r="C21" s="12" t="s">
        <v>295</v>
      </c>
      <c r="D21" s="12" t="s">
        <v>296</v>
      </c>
      <c r="E21" s="24" t="s">
        <v>150</v>
      </c>
      <c r="F21" s="12"/>
      <c r="G21" s="12" t="str">
        <f aca="false">IFERROR(VLOOKUP($F21,ItemList_Full,2,0),"")</f>
        <v/>
      </c>
      <c r="H21" s="12"/>
      <c r="I21" s="12" t="str">
        <f aca="false">IFERROR(VLOOKUP($F21,ItemList_Full,3,0),"")</f>
        <v/>
      </c>
      <c r="J21" s="12" t="str">
        <f aca="false">IFERROR(VLOOKUP($F21,ItemList_Full,4,0),"")</f>
        <v/>
      </c>
      <c r="K21" s="13" t="n">
        <v>575</v>
      </c>
      <c r="L21" s="12"/>
      <c r="M21" s="24"/>
      <c r="N21" s="12" t="s">
        <v>229</v>
      </c>
      <c r="O21" s="12"/>
      <c r="P21" s="13" t="n">
        <f aca="false">IF($E21="","",IF(OR($E21="Director Draw",$E21="Payroll/Employee Charge"),0,-$K21))</f>
        <v>-575</v>
      </c>
      <c r="Q21" s="12" t="n">
        <f aca="false">IF($E21="Inventory Purchase",$H21,0)</f>
        <v>0</v>
      </c>
      <c r="U21" s="1" t="s">
        <v>297</v>
      </c>
      <c r="V21" s="1" t="s">
        <v>298</v>
      </c>
      <c r="W21" s="1" t="s">
        <v>267</v>
      </c>
      <c r="X21" s="1" t="n">
        <v>1150</v>
      </c>
      <c r="Y21" s="1" t="s">
        <v>129</v>
      </c>
    </row>
    <row r="22" customFormat="false" ht="15" hidden="false" customHeight="true" outlineLevel="0" collapsed="false">
      <c r="A22" s="19" t="n">
        <v>46266</v>
      </c>
      <c r="B22" s="12" t="n">
        <f aca="false">IF($A22="","",ROW()-4)</f>
        <v>18</v>
      </c>
      <c r="C22" s="12" t="s">
        <v>299</v>
      </c>
      <c r="D22" s="12" t="s">
        <v>300</v>
      </c>
      <c r="E22" s="24" t="s">
        <v>149</v>
      </c>
      <c r="F22" s="12"/>
      <c r="G22" s="12" t="str">
        <f aca="false">IFERROR(VLOOKUP($F22,ItemList_Full,2,0),"")</f>
        <v/>
      </c>
      <c r="H22" s="12"/>
      <c r="I22" s="12" t="str">
        <f aca="false">IFERROR(VLOOKUP($F22,ItemList_Full,3,0),"")</f>
        <v/>
      </c>
      <c r="J22" s="12" t="str">
        <f aca="false">IFERROR(VLOOKUP($F22,ItemList_Full,4,0),"")</f>
        <v/>
      </c>
      <c r="K22" s="13" t="n">
        <v>200</v>
      </c>
      <c r="L22" s="12"/>
      <c r="M22" s="24"/>
      <c r="N22" s="12" t="s">
        <v>229</v>
      </c>
      <c r="O22" s="12"/>
      <c r="P22" s="13" t="n">
        <f aca="false">IF($E22="","",IF(OR($E22="Director Draw",$E22="Payroll/Employee Charge"),0,-$K22))</f>
        <v>-200</v>
      </c>
      <c r="Q22" s="12" t="n">
        <f aca="false">IF($E22="Inventory Purchase",$H22,0)</f>
        <v>0</v>
      </c>
      <c r="U22" s="1" t="s">
        <v>301</v>
      </c>
      <c r="V22" s="1" t="s">
        <v>302</v>
      </c>
      <c r="W22" s="1" t="s">
        <v>267</v>
      </c>
      <c r="X22" s="1" t="n">
        <v>974</v>
      </c>
      <c r="Y22" s="1" t="s">
        <v>129</v>
      </c>
    </row>
    <row r="23" customFormat="false" ht="15" hidden="false" customHeight="true" outlineLevel="0" collapsed="false">
      <c r="A23" s="19" t="n">
        <v>46267</v>
      </c>
      <c r="B23" s="12" t="n">
        <f aca="false">IF($A23="","",ROW()-4)</f>
        <v>19</v>
      </c>
      <c r="C23" s="12" t="s">
        <v>247</v>
      </c>
      <c r="D23" s="12" t="s">
        <v>248</v>
      </c>
      <c r="E23" s="24" t="s">
        <v>153</v>
      </c>
      <c r="F23" s="12"/>
      <c r="G23" s="12" t="str">
        <f aca="false">IFERROR(VLOOKUP($F23,ItemList_Full,2,0),"")</f>
        <v/>
      </c>
      <c r="H23" s="12"/>
      <c r="I23" s="12" t="str">
        <f aca="false">IFERROR(VLOOKUP($F23,ItemList_Full,3,0),"")</f>
        <v/>
      </c>
      <c r="J23" s="12" t="str">
        <f aca="false">IFERROR(VLOOKUP($F23,ItemList_Full,4,0),"")</f>
        <v/>
      </c>
      <c r="K23" s="13" t="n">
        <v>10100</v>
      </c>
      <c r="L23" s="12"/>
      <c r="M23" s="24"/>
      <c r="N23" s="12" t="s">
        <v>229</v>
      </c>
      <c r="O23" s="12"/>
      <c r="P23" s="13" t="n">
        <f aca="false">IF($E23="","",IF(OR($E23="Director Draw",$E23="Payroll/Employee Charge"),0,-$K23))</f>
        <v>-10100</v>
      </c>
      <c r="Q23" s="12" t="n">
        <f aca="false">IF($E23="Inventory Purchase",$H23,0)</f>
        <v>0</v>
      </c>
      <c r="U23" s="1" t="s">
        <v>303</v>
      </c>
      <c r="V23" s="1" t="s">
        <v>304</v>
      </c>
      <c r="W23" s="1" t="s">
        <v>267</v>
      </c>
      <c r="X23" s="1" t="n">
        <v>1587</v>
      </c>
      <c r="Y23" s="1" t="s">
        <v>129</v>
      </c>
    </row>
    <row r="24" customFormat="false" ht="15" hidden="false" customHeight="true" outlineLevel="0" collapsed="false">
      <c r="A24" s="19" t="n">
        <v>46267</v>
      </c>
      <c r="B24" s="12" t="n">
        <f aca="false">IF($A24="","",ROW()-4)</f>
        <v>20</v>
      </c>
      <c r="C24" s="12" t="s">
        <v>225</v>
      </c>
      <c r="D24" s="12" t="s">
        <v>305</v>
      </c>
      <c r="E24" s="24" t="s">
        <v>227</v>
      </c>
      <c r="F24" s="12"/>
      <c r="G24" s="12" t="str">
        <f aca="false">IFERROR(VLOOKUP($F24,ItemList_Full,2,0),"")</f>
        <v/>
      </c>
      <c r="H24" s="12"/>
      <c r="I24" s="12" t="str">
        <f aca="false">IFERROR(VLOOKUP($F24,ItemList_Full,3,0),"")</f>
        <v/>
      </c>
      <c r="J24" s="12" t="str">
        <f aca="false">IFERROR(VLOOKUP($F24,ItemList_Full,4,0),"")</f>
        <v/>
      </c>
      <c r="K24" s="13" t="n">
        <v>2880</v>
      </c>
      <c r="L24" s="12"/>
      <c r="M24" s="24" t="s">
        <v>228</v>
      </c>
      <c r="N24" s="12" t="s">
        <v>229</v>
      </c>
      <c r="O24" s="12"/>
      <c r="P24" s="13" t="n">
        <f aca="false">IF($E24="","",IF(OR($E24="Director Draw",$E24="Payroll/Employee Charge"),0,-$K24))</f>
        <v>0</v>
      </c>
      <c r="Q24" s="12" t="n">
        <f aca="false">IF($E24="Inventory Purchase",$H24,0)</f>
        <v>0</v>
      </c>
      <c r="U24" s="1" t="s">
        <v>306</v>
      </c>
      <c r="V24" s="1" t="s">
        <v>307</v>
      </c>
      <c r="W24" s="1" t="s">
        <v>267</v>
      </c>
      <c r="X24" s="1" t="n">
        <v>2410</v>
      </c>
      <c r="Y24" s="1" t="s">
        <v>129</v>
      </c>
    </row>
    <row r="25" customFormat="false" ht="15" hidden="false" customHeight="true" outlineLevel="0" collapsed="false">
      <c r="A25" s="19" t="n">
        <v>46267</v>
      </c>
      <c r="B25" s="12" t="n">
        <f aca="false">IF($A25="","",ROW()-4)</f>
        <v>21</v>
      </c>
      <c r="C25" s="12" t="s">
        <v>225</v>
      </c>
      <c r="D25" s="12" t="s">
        <v>308</v>
      </c>
      <c r="E25" s="24" t="s">
        <v>227</v>
      </c>
      <c r="F25" s="12"/>
      <c r="G25" s="12" t="str">
        <f aca="false">IFERROR(VLOOKUP($F25,ItemList_Full,2,0),"")</f>
        <v/>
      </c>
      <c r="H25" s="12"/>
      <c r="I25" s="12" t="str">
        <f aca="false">IFERROR(VLOOKUP($F25,ItemList_Full,3,0),"")</f>
        <v/>
      </c>
      <c r="J25" s="12" t="str">
        <f aca="false">IFERROR(VLOOKUP($F25,ItemList_Full,4,0),"")</f>
        <v/>
      </c>
      <c r="K25" s="13" t="n">
        <v>13000</v>
      </c>
      <c r="L25" s="12"/>
      <c r="M25" s="24" t="s">
        <v>228</v>
      </c>
      <c r="N25" s="12" t="s">
        <v>229</v>
      </c>
      <c r="O25" s="12"/>
      <c r="P25" s="13" t="n">
        <f aca="false">IF($E25="","",IF(OR($E25="Director Draw",$E25="Payroll/Employee Charge"),0,-$K25))</f>
        <v>0</v>
      </c>
      <c r="Q25" s="12" t="n">
        <f aca="false">IF($E25="Inventory Purchase",$H25,0)</f>
        <v>0</v>
      </c>
      <c r="U25" s="1" t="s">
        <v>309</v>
      </c>
      <c r="V25" s="1" t="s">
        <v>310</v>
      </c>
      <c r="W25" s="1" t="s">
        <v>311</v>
      </c>
      <c r="X25" s="1" t="n">
        <v>720</v>
      </c>
      <c r="Y25" s="1" t="s">
        <v>129</v>
      </c>
    </row>
    <row r="26" customFormat="false" ht="15" hidden="false" customHeight="true" outlineLevel="0" collapsed="false">
      <c r="A26" s="19" t="n">
        <v>46267</v>
      </c>
      <c r="B26" s="12" t="n">
        <f aca="false">IF($A26="","",ROW()-4)</f>
        <v>22</v>
      </c>
      <c r="C26" s="12" t="s">
        <v>225</v>
      </c>
      <c r="D26" s="12" t="s">
        <v>226</v>
      </c>
      <c r="E26" s="24" t="s">
        <v>227</v>
      </c>
      <c r="F26" s="12"/>
      <c r="G26" s="12" t="str">
        <f aca="false">IFERROR(VLOOKUP($F26,ItemList_Full,2,0),"")</f>
        <v/>
      </c>
      <c r="H26" s="12"/>
      <c r="I26" s="12" t="str">
        <f aca="false">IFERROR(VLOOKUP($F26,ItemList_Full,3,0),"")</f>
        <v/>
      </c>
      <c r="J26" s="12" t="str">
        <f aca="false">IFERROR(VLOOKUP($F26,ItemList_Full,4,0),"")</f>
        <v/>
      </c>
      <c r="K26" s="13" t="n">
        <v>840</v>
      </c>
      <c r="L26" s="12"/>
      <c r="M26" s="24" t="s">
        <v>228</v>
      </c>
      <c r="N26" s="12" t="s">
        <v>229</v>
      </c>
      <c r="O26" s="12"/>
      <c r="P26" s="13" t="n">
        <f aca="false">IF($E26="","",IF(OR($E26="Director Draw",$E26="Payroll/Employee Charge"),0,-$K26))</f>
        <v>0</v>
      </c>
      <c r="Q26" s="12" t="n">
        <f aca="false">IF($E26="Inventory Purchase",$H26,0)</f>
        <v>0</v>
      </c>
      <c r="U26" s="1" t="s">
        <v>312</v>
      </c>
      <c r="V26" s="1" t="s">
        <v>313</v>
      </c>
      <c r="W26" s="1" t="s">
        <v>311</v>
      </c>
      <c r="X26" s="1" t="n">
        <v>720</v>
      </c>
      <c r="Y26" s="1" t="s">
        <v>129</v>
      </c>
    </row>
    <row r="27" customFormat="false" ht="15" hidden="false" customHeight="true" outlineLevel="0" collapsed="false">
      <c r="A27" s="19" t="n">
        <v>46267</v>
      </c>
      <c r="B27" s="12" t="n">
        <f aca="false">IF($A27="","",ROW()-4)</f>
        <v>23</v>
      </c>
      <c r="C27" s="12" t="s">
        <v>225</v>
      </c>
      <c r="D27" s="12" t="s">
        <v>314</v>
      </c>
      <c r="E27" s="24" t="s">
        <v>227</v>
      </c>
      <c r="F27" s="12"/>
      <c r="G27" s="12" t="str">
        <f aca="false">IFERROR(VLOOKUP($F27,ItemList_Full,2,0),"")</f>
        <v/>
      </c>
      <c r="H27" s="12"/>
      <c r="I27" s="12" t="str">
        <f aca="false">IFERROR(VLOOKUP($F27,ItemList_Full,3,0),"")</f>
        <v/>
      </c>
      <c r="J27" s="12" t="str">
        <f aca="false">IFERROR(VLOOKUP($F27,ItemList_Full,4,0),"")</f>
        <v/>
      </c>
      <c r="K27" s="13" t="n">
        <v>95</v>
      </c>
      <c r="L27" s="12"/>
      <c r="M27" s="24" t="s">
        <v>234</v>
      </c>
      <c r="N27" s="12" t="s">
        <v>229</v>
      </c>
      <c r="O27" s="12"/>
      <c r="P27" s="13" t="n">
        <f aca="false">IF($E27="","",IF(OR($E27="Director Draw",$E27="Payroll/Employee Charge"),0,-$K27))</f>
        <v>0</v>
      </c>
      <c r="Q27" s="12" t="n">
        <f aca="false">IF($E27="Inventory Purchase",$H27,0)</f>
        <v>0</v>
      </c>
      <c r="U27" s="1" t="s">
        <v>315</v>
      </c>
      <c r="V27" s="1" t="s">
        <v>316</v>
      </c>
      <c r="W27" s="1" t="s">
        <v>311</v>
      </c>
      <c r="X27" s="1" t="n">
        <v>720</v>
      </c>
      <c r="Y27" s="1" t="s">
        <v>129</v>
      </c>
    </row>
    <row r="28" customFormat="false" ht="15" hidden="false" customHeight="true" outlineLevel="0" collapsed="false">
      <c r="A28" s="19" t="n">
        <v>46267</v>
      </c>
      <c r="B28" s="12" t="n">
        <f aca="false">IF($A28="","",ROW()-4)</f>
        <v>24</v>
      </c>
      <c r="C28" s="12" t="s">
        <v>317</v>
      </c>
      <c r="D28" s="12" t="s">
        <v>318</v>
      </c>
      <c r="E28" s="24" t="s">
        <v>139</v>
      </c>
      <c r="F28" s="12"/>
      <c r="G28" s="12" t="str">
        <f aca="false">IFERROR(VLOOKUP($F28,ItemList_Full,2,0),"")</f>
        <v/>
      </c>
      <c r="H28" s="12"/>
      <c r="I28" s="12" t="str">
        <f aca="false">IFERROR(VLOOKUP($F28,ItemList_Full,3,0),"")</f>
        <v/>
      </c>
      <c r="J28" s="12" t="str">
        <f aca="false">IFERROR(VLOOKUP($F28,ItemList_Full,4,0),"")</f>
        <v/>
      </c>
      <c r="K28" s="13" t="n">
        <v>11160</v>
      </c>
      <c r="L28" s="12"/>
      <c r="M28" s="24"/>
      <c r="N28" s="12" t="s">
        <v>229</v>
      </c>
      <c r="O28" s="12"/>
      <c r="P28" s="13" t="n">
        <f aca="false">IF($E28="","",IF(OR($E28="Director Draw",$E28="Payroll/Employee Charge"),0,-$K28))</f>
        <v>-11160</v>
      </c>
      <c r="Q28" s="12" t="n">
        <f aca="false">IF($E28="Inventory Purchase",$H28,0)</f>
        <v>0</v>
      </c>
      <c r="U28" s="1" t="s">
        <v>319</v>
      </c>
      <c r="V28" s="1" t="s">
        <v>320</v>
      </c>
      <c r="W28" s="1" t="s">
        <v>311</v>
      </c>
      <c r="X28" s="1" t="n">
        <v>720</v>
      </c>
      <c r="Y28" s="1" t="s">
        <v>129</v>
      </c>
    </row>
    <row r="29" customFormat="false" ht="15" hidden="false" customHeight="true" outlineLevel="0" collapsed="false">
      <c r="A29" s="19" t="n">
        <v>46267</v>
      </c>
      <c r="B29" s="12" t="n">
        <f aca="false">IF($A29="","",ROW()-4)</f>
        <v>25</v>
      </c>
      <c r="C29" s="12" t="s">
        <v>255</v>
      </c>
      <c r="D29" s="12" t="s">
        <v>256</v>
      </c>
      <c r="E29" s="24" t="s">
        <v>139</v>
      </c>
      <c r="F29" s="12"/>
      <c r="G29" s="12" t="str">
        <f aca="false">IFERROR(VLOOKUP($F29,ItemList_Full,2,0),"")</f>
        <v/>
      </c>
      <c r="H29" s="12"/>
      <c r="I29" s="12" t="str">
        <f aca="false">IFERROR(VLOOKUP($F29,ItemList_Full,3,0),"")</f>
        <v/>
      </c>
      <c r="J29" s="12" t="str">
        <f aca="false">IFERROR(VLOOKUP($F29,ItemList_Full,4,0),"")</f>
        <v/>
      </c>
      <c r="K29" s="13" t="n">
        <v>1800</v>
      </c>
      <c r="L29" s="12"/>
      <c r="M29" s="24"/>
      <c r="N29" s="12" t="s">
        <v>229</v>
      </c>
      <c r="O29" s="12"/>
      <c r="P29" s="13" t="n">
        <f aca="false">IF($E29="","",IF(OR($E29="Director Draw",$E29="Payroll/Employee Charge"),0,-$K29))</f>
        <v>-1800</v>
      </c>
      <c r="Q29" s="12" t="n">
        <f aca="false">IF($E29="Inventory Purchase",$H29,0)</f>
        <v>0</v>
      </c>
      <c r="U29" s="1" t="s">
        <v>321</v>
      </c>
      <c r="V29" s="1" t="s">
        <v>322</v>
      </c>
      <c r="W29" s="1" t="s">
        <v>311</v>
      </c>
      <c r="X29" s="1" t="n">
        <v>600</v>
      </c>
      <c r="Y29" s="1" t="s">
        <v>129</v>
      </c>
    </row>
    <row r="30" customFormat="false" ht="15" hidden="false" customHeight="true" outlineLevel="0" collapsed="false">
      <c r="A30" s="19" t="n">
        <v>46267</v>
      </c>
      <c r="B30" s="12" t="n">
        <f aca="false">IF($A30="","",ROW()-4)</f>
        <v>26</v>
      </c>
      <c r="C30" s="12" t="s">
        <v>242</v>
      </c>
      <c r="D30" s="12" t="s">
        <v>243</v>
      </c>
      <c r="E30" s="24" t="s">
        <v>139</v>
      </c>
      <c r="F30" s="12"/>
      <c r="G30" s="12" t="str">
        <f aca="false">IFERROR(VLOOKUP($F30,ItemList_Full,2,0),"")</f>
        <v/>
      </c>
      <c r="H30" s="12"/>
      <c r="I30" s="12" t="str">
        <f aca="false">IFERROR(VLOOKUP($F30,ItemList_Full,3,0),"")</f>
        <v/>
      </c>
      <c r="J30" s="12" t="str">
        <f aca="false">IFERROR(VLOOKUP($F30,ItemList_Full,4,0),"")</f>
        <v/>
      </c>
      <c r="K30" s="13" t="n">
        <v>11000</v>
      </c>
      <c r="L30" s="12"/>
      <c r="M30" s="24"/>
      <c r="N30" s="12" t="s">
        <v>229</v>
      </c>
      <c r="O30" s="12"/>
      <c r="P30" s="13" t="n">
        <f aca="false">IF($E30="","",IF(OR($E30="Director Draw",$E30="Payroll/Employee Charge"),0,-$K30))</f>
        <v>-11000</v>
      </c>
      <c r="Q30" s="12" t="n">
        <f aca="false">IF($E30="Inventory Purchase",$H30,0)</f>
        <v>0</v>
      </c>
      <c r="U30" s="1" t="s">
        <v>323</v>
      </c>
      <c r="V30" s="1" t="s">
        <v>324</v>
      </c>
      <c r="W30" s="1" t="s">
        <v>311</v>
      </c>
      <c r="X30" s="1" t="n">
        <v>600</v>
      </c>
      <c r="Y30" s="1" t="s">
        <v>129</v>
      </c>
    </row>
    <row r="31" customFormat="false" ht="15" hidden="false" customHeight="true" outlineLevel="0" collapsed="false">
      <c r="A31" s="19" t="n">
        <v>46267</v>
      </c>
      <c r="B31" s="12" t="n">
        <f aca="false">IF($A31="","",ROW()-4)</f>
        <v>27</v>
      </c>
      <c r="C31" s="12" t="s">
        <v>325</v>
      </c>
      <c r="D31" s="12" t="s">
        <v>326</v>
      </c>
      <c r="E31" s="24" t="s">
        <v>139</v>
      </c>
      <c r="F31" s="12"/>
      <c r="G31" s="12" t="str">
        <f aca="false">IFERROR(VLOOKUP($F31,ItemList_Full,2,0),"")</f>
        <v/>
      </c>
      <c r="H31" s="12"/>
      <c r="I31" s="12" t="str">
        <f aca="false">IFERROR(VLOOKUP($F31,ItemList_Full,3,0),"")</f>
        <v/>
      </c>
      <c r="J31" s="12" t="str">
        <f aca="false">IFERROR(VLOOKUP($F31,ItemList_Full,4,0),"")</f>
        <v/>
      </c>
      <c r="K31" s="13" t="n">
        <v>169000</v>
      </c>
      <c r="L31" s="12"/>
      <c r="M31" s="24"/>
      <c r="N31" s="12" t="s">
        <v>229</v>
      </c>
      <c r="O31" s="12"/>
      <c r="P31" s="13" t="n">
        <f aca="false">IF($E31="","",IF(OR($E31="Director Draw",$E31="Payroll/Employee Charge"),0,-$K31))</f>
        <v>-169000</v>
      </c>
      <c r="Q31" s="12" t="n">
        <f aca="false">IF($E31="Inventory Purchase",$H31,0)</f>
        <v>0</v>
      </c>
      <c r="U31" s="1" t="s">
        <v>327</v>
      </c>
      <c r="V31" s="1" t="s">
        <v>328</v>
      </c>
      <c r="W31" s="1" t="s">
        <v>311</v>
      </c>
      <c r="X31" s="1" t="n">
        <v>770</v>
      </c>
      <c r="Y31" s="1" t="s">
        <v>129</v>
      </c>
    </row>
    <row r="32" customFormat="false" ht="15" hidden="false" customHeight="true" outlineLevel="0" collapsed="false">
      <c r="A32" s="19" t="n">
        <v>46267</v>
      </c>
      <c r="B32" s="12" t="n">
        <f aca="false">IF($A32="","",ROW()-4)</f>
        <v>28</v>
      </c>
      <c r="C32" s="12" t="s">
        <v>329</v>
      </c>
      <c r="D32" s="12" t="s">
        <v>330</v>
      </c>
      <c r="E32" s="24" t="s">
        <v>127</v>
      </c>
      <c r="F32" s="12"/>
      <c r="G32" s="12" t="str">
        <f aca="false">IFERROR(VLOOKUP($F32,ItemList_Full,2,0),"")</f>
        <v/>
      </c>
      <c r="H32" s="12"/>
      <c r="I32" s="12" t="str">
        <f aca="false">IFERROR(VLOOKUP($F32,ItemList_Full,3,0),"")</f>
        <v/>
      </c>
      <c r="J32" s="12" t="str">
        <f aca="false">IFERROR(VLOOKUP($F32,ItemList_Full,4,0),"")</f>
        <v/>
      </c>
      <c r="K32" s="13" t="n">
        <v>10000</v>
      </c>
      <c r="L32" s="12"/>
      <c r="M32" s="24"/>
      <c r="N32" s="12" t="s">
        <v>229</v>
      </c>
      <c r="O32" s="12"/>
      <c r="P32" s="13" t="n">
        <f aca="false">IF($E32="","",IF(OR($E32="Director Draw",$E32="Payroll/Employee Charge"),0,-$K32))</f>
        <v>-10000</v>
      </c>
      <c r="Q32" s="12" t="n">
        <f aca="false">IF($E32="Inventory Purchase",$H32,0)</f>
        <v>0</v>
      </c>
      <c r="U32" s="1" t="s">
        <v>331</v>
      </c>
      <c r="V32" s="1" t="s">
        <v>332</v>
      </c>
      <c r="W32" s="1" t="s">
        <v>311</v>
      </c>
      <c r="X32" s="1" t="n">
        <v>770</v>
      </c>
      <c r="Y32" s="1" t="s">
        <v>129</v>
      </c>
    </row>
    <row r="33" customFormat="false" ht="15" hidden="false" customHeight="true" outlineLevel="0" collapsed="false">
      <c r="A33" s="19" t="n">
        <v>46267</v>
      </c>
      <c r="B33" s="12" t="n">
        <f aca="false">IF($A33="","",ROW()-4)</f>
        <v>29</v>
      </c>
      <c r="C33" s="12" t="s">
        <v>333</v>
      </c>
      <c r="D33" s="12" t="s">
        <v>334</v>
      </c>
      <c r="E33" s="24" t="s">
        <v>151</v>
      </c>
      <c r="F33" s="12"/>
      <c r="G33" s="12" t="str">
        <f aca="false">IFERROR(VLOOKUP($F33,ItemList_Full,2,0),"")</f>
        <v/>
      </c>
      <c r="H33" s="12"/>
      <c r="I33" s="12" t="str">
        <f aca="false">IFERROR(VLOOKUP($F33,ItemList_Full,3,0),"")</f>
        <v/>
      </c>
      <c r="J33" s="12" t="str">
        <f aca="false">IFERROR(VLOOKUP($F33,ItemList_Full,4,0),"")</f>
        <v/>
      </c>
      <c r="K33" s="13" t="n">
        <v>140</v>
      </c>
      <c r="L33" s="12"/>
      <c r="M33" s="24"/>
      <c r="N33" s="12" t="s">
        <v>229</v>
      </c>
      <c r="O33" s="12"/>
      <c r="P33" s="13" t="n">
        <f aca="false">IF($E33="","",IF(OR($E33="Director Draw",$E33="Payroll/Employee Charge"),0,-$K33))</f>
        <v>-140</v>
      </c>
      <c r="Q33" s="12" t="n">
        <f aca="false">IF($E33="Inventory Purchase",$H33,0)</f>
        <v>0</v>
      </c>
      <c r="U33" s="1" t="s">
        <v>335</v>
      </c>
      <c r="V33" s="1" t="s">
        <v>336</v>
      </c>
      <c r="W33" s="1" t="s">
        <v>311</v>
      </c>
      <c r="X33" s="1" t="n">
        <v>560</v>
      </c>
      <c r="Y33" s="1" t="s">
        <v>129</v>
      </c>
    </row>
    <row r="34" customFormat="false" ht="15" hidden="false" customHeight="true" outlineLevel="0" collapsed="false">
      <c r="A34" s="19" t="n">
        <v>46267</v>
      </c>
      <c r="B34" s="12" t="n">
        <f aca="false">IF($A34="","",ROW()-4)</f>
        <v>30</v>
      </c>
      <c r="C34" s="12" t="s">
        <v>337</v>
      </c>
      <c r="D34" s="12" t="s">
        <v>338</v>
      </c>
      <c r="E34" s="24" t="s">
        <v>151</v>
      </c>
      <c r="F34" s="12"/>
      <c r="G34" s="12" t="str">
        <f aca="false">IFERROR(VLOOKUP($F34,ItemList_Full,2,0),"")</f>
        <v/>
      </c>
      <c r="H34" s="12"/>
      <c r="I34" s="12" t="str">
        <f aca="false">IFERROR(VLOOKUP($F34,ItemList_Full,3,0),"")</f>
        <v/>
      </c>
      <c r="J34" s="12" t="str">
        <f aca="false">IFERROR(VLOOKUP($F34,ItemList_Full,4,0),"")</f>
        <v/>
      </c>
      <c r="K34" s="13" t="n">
        <v>2580</v>
      </c>
      <c r="L34" s="12"/>
      <c r="M34" s="24"/>
      <c r="N34" s="12" t="s">
        <v>229</v>
      </c>
      <c r="O34" s="12"/>
      <c r="P34" s="13" t="n">
        <f aca="false">IF($E34="","",IF(OR($E34="Director Draw",$E34="Payroll/Employee Charge"),0,-$K34))</f>
        <v>-2580</v>
      </c>
      <c r="Q34" s="12" t="n">
        <f aca="false">IF($E34="Inventory Purchase",$H34,0)</f>
        <v>0</v>
      </c>
      <c r="U34" s="1" t="s">
        <v>339</v>
      </c>
      <c r="V34" s="1" t="s">
        <v>340</v>
      </c>
      <c r="W34" s="1" t="s">
        <v>311</v>
      </c>
      <c r="X34" s="1" t="n">
        <v>560</v>
      </c>
      <c r="Y34" s="1" t="s">
        <v>129</v>
      </c>
    </row>
    <row r="35" customFormat="false" ht="15" hidden="false" customHeight="true" outlineLevel="0" collapsed="false">
      <c r="A35" s="19" t="n">
        <v>46267</v>
      </c>
      <c r="B35" s="12" t="n">
        <f aca="false">IF($A35="","",ROW()-4)</f>
        <v>31</v>
      </c>
      <c r="C35" s="12" t="s">
        <v>272</v>
      </c>
      <c r="D35" s="12" t="s">
        <v>273</v>
      </c>
      <c r="E35" s="24" t="s">
        <v>143</v>
      </c>
      <c r="F35" s="12"/>
      <c r="G35" s="12" t="str">
        <f aca="false">IFERROR(VLOOKUP($F35,ItemList_Full,2,0),"")</f>
        <v/>
      </c>
      <c r="H35" s="12"/>
      <c r="I35" s="12" t="str">
        <f aca="false">IFERROR(VLOOKUP($F35,ItemList_Full,3,0),"")</f>
        <v/>
      </c>
      <c r="J35" s="12" t="str">
        <f aca="false">IFERROR(VLOOKUP($F35,ItemList_Full,4,0),"")</f>
        <v/>
      </c>
      <c r="K35" s="13" t="n">
        <v>650</v>
      </c>
      <c r="L35" s="12"/>
      <c r="M35" s="24"/>
      <c r="N35" s="12" t="s">
        <v>229</v>
      </c>
      <c r="O35" s="12"/>
      <c r="P35" s="13" t="n">
        <f aca="false">IF($E35="","",IF(OR($E35="Director Draw",$E35="Payroll/Employee Charge"),0,-$K35))</f>
        <v>-650</v>
      </c>
      <c r="Q35" s="12" t="n">
        <f aca="false">IF($E35="Inventory Purchase",$H35,0)</f>
        <v>0</v>
      </c>
      <c r="U35" s="1" t="s">
        <v>341</v>
      </c>
      <c r="V35" s="1" t="s">
        <v>342</v>
      </c>
      <c r="W35" s="1" t="s">
        <v>311</v>
      </c>
      <c r="X35" s="1" t="n">
        <v>380</v>
      </c>
      <c r="Y35" s="1" t="s">
        <v>129</v>
      </c>
    </row>
    <row r="36" customFormat="false" ht="15" hidden="false" customHeight="true" outlineLevel="0" collapsed="false">
      <c r="A36" s="19" t="n">
        <v>46267</v>
      </c>
      <c r="B36" s="12" t="n">
        <f aca="false">IF($A36="","",ROW()-4)</f>
        <v>32</v>
      </c>
      <c r="C36" s="12" t="s">
        <v>343</v>
      </c>
      <c r="D36" s="12" t="s">
        <v>344</v>
      </c>
      <c r="E36" s="24" t="s">
        <v>143</v>
      </c>
      <c r="F36" s="12"/>
      <c r="G36" s="12" t="str">
        <f aca="false">IFERROR(VLOOKUP($F36,ItemList_Full,2,0),"")</f>
        <v/>
      </c>
      <c r="H36" s="12"/>
      <c r="I36" s="12" t="str">
        <f aca="false">IFERROR(VLOOKUP($F36,ItemList_Full,3,0),"")</f>
        <v/>
      </c>
      <c r="J36" s="12" t="str">
        <f aca="false">IFERROR(VLOOKUP($F36,ItemList_Full,4,0),"")</f>
        <v/>
      </c>
      <c r="K36" s="13" t="n">
        <v>550</v>
      </c>
      <c r="L36" s="12"/>
      <c r="M36" s="24"/>
      <c r="N36" s="12" t="s">
        <v>229</v>
      </c>
      <c r="O36" s="12"/>
      <c r="P36" s="13" t="n">
        <f aca="false">IF($E36="","",IF(OR($E36="Director Draw",$E36="Payroll/Employee Charge"),0,-$K36))</f>
        <v>-550</v>
      </c>
      <c r="Q36" s="12" t="n">
        <f aca="false">IF($E36="Inventory Purchase",$H36,0)</f>
        <v>0</v>
      </c>
      <c r="U36" s="1" t="s">
        <v>345</v>
      </c>
      <c r="V36" s="1" t="s">
        <v>346</v>
      </c>
      <c r="W36" s="1" t="s">
        <v>311</v>
      </c>
      <c r="X36" s="1" t="n">
        <v>380</v>
      </c>
      <c r="Y36" s="1" t="s">
        <v>129</v>
      </c>
    </row>
    <row r="37" customFormat="false" ht="15" hidden="false" customHeight="true" outlineLevel="0" collapsed="false">
      <c r="A37" s="19" t="n">
        <v>46267</v>
      </c>
      <c r="B37" s="12" t="n">
        <f aca="false">IF($A37="","",ROW()-4)</f>
        <v>33</v>
      </c>
      <c r="C37" s="12" t="s">
        <v>343</v>
      </c>
      <c r="D37" s="12" t="s">
        <v>347</v>
      </c>
      <c r="E37" s="24" t="s">
        <v>143</v>
      </c>
      <c r="F37" s="12"/>
      <c r="G37" s="12" t="str">
        <f aca="false">IFERROR(VLOOKUP($F37,ItemList_Full,2,0),"")</f>
        <v/>
      </c>
      <c r="H37" s="12"/>
      <c r="I37" s="12" t="str">
        <f aca="false">IFERROR(VLOOKUP($F37,ItemList_Full,3,0),"")</f>
        <v/>
      </c>
      <c r="J37" s="12" t="str">
        <f aca="false">IFERROR(VLOOKUP($F37,ItemList_Full,4,0),"")</f>
        <v/>
      </c>
      <c r="K37" s="13" t="n">
        <v>1450</v>
      </c>
      <c r="L37" s="12"/>
      <c r="M37" s="24"/>
      <c r="N37" s="12" t="s">
        <v>229</v>
      </c>
      <c r="O37" s="12"/>
      <c r="P37" s="13" t="n">
        <f aca="false">IF($E37="","",IF(OR($E37="Director Draw",$E37="Payroll/Employee Charge"),0,-$K37))</f>
        <v>-1450</v>
      </c>
      <c r="Q37" s="12" t="n">
        <f aca="false">IF($E37="Inventory Purchase",$H37,0)</f>
        <v>0</v>
      </c>
      <c r="U37" s="1" t="s">
        <v>348</v>
      </c>
      <c r="V37" s="1" t="s">
        <v>349</v>
      </c>
      <c r="W37" s="1" t="s">
        <v>350</v>
      </c>
      <c r="X37" s="1" t="n">
        <v>16000</v>
      </c>
      <c r="Y37" s="1" t="s">
        <v>129</v>
      </c>
    </row>
    <row r="38" customFormat="false" ht="15" hidden="false" customHeight="true" outlineLevel="0" collapsed="false">
      <c r="A38" s="19" t="n">
        <v>46267</v>
      </c>
      <c r="B38" s="12" t="n">
        <f aca="false">IF($A38="","",ROW()-4)</f>
        <v>34</v>
      </c>
      <c r="C38" s="12" t="s">
        <v>276</v>
      </c>
      <c r="D38" s="12" t="s">
        <v>351</v>
      </c>
      <c r="E38" s="24" t="s">
        <v>143</v>
      </c>
      <c r="F38" s="12"/>
      <c r="G38" s="12" t="str">
        <f aca="false">IFERROR(VLOOKUP($F38,ItemList_Full,2,0),"")</f>
        <v/>
      </c>
      <c r="H38" s="12"/>
      <c r="I38" s="12" t="str">
        <f aca="false">IFERROR(VLOOKUP($F38,ItemList_Full,3,0),"")</f>
        <v/>
      </c>
      <c r="J38" s="12" t="str">
        <f aca="false">IFERROR(VLOOKUP($F38,ItemList_Full,4,0),"")</f>
        <v/>
      </c>
      <c r="K38" s="13" t="n">
        <v>2000</v>
      </c>
      <c r="L38" s="12"/>
      <c r="M38" s="24"/>
      <c r="N38" s="12" t="s">
        <v>229</v>
      </c>
      <c r="O38" s="12"/>
      <c r="P38" s="13" t="n">
        <f aca="false">IF($E38="","",IF(OR($E38="Director Draw",$E38="Payroll/Employee Charge"),0,-$K38))</f>
        <v>-2000</v>
      </c>
      <c r="Q38" s="12" t="n">
        <f aca="false">IF($E38="Inventory Purchase",$H38,0)</f>
        <v>0</v>
      </c>
      <c r="U38" s="1" t="s">
        <v>352</v>
      </c>
      <c r="V38" s="1" t="s">
        <v>353</v>
      </c>
      <c r="W38" s="1" t="s">
        <v>354</v>
      </c>
      <c r="X38" s="1" t="n">
        <v>8211</v>
      </c>
      <c r="Y38" s="1" t="s">
        <v>129</v>
      </c>
    </row>
    <row r="39" customFormat="false" ht="15" hidden="false" customHeight="true" outlineLevel="0" collapsed="false">
      <c r="A39" s="19" t="n">
        <v>46267</v>
      </c>
      <c r="B39" s="12" t="n">
        <f aca="false">IF($A39="","",ROW()-4)</f>
        <v>35</v>
      </c>
      <c r="C39" s="12" t="s">
        <v>355</v>
      </c>
      <c r="D39" s="12" t="s">
        <v>356</v>
      </c>
      <c r="E39" s="24" t="s">
        <v>143</v>
      </c>
      <c r="F39" s="12"/>
      <c r="G39" s="12" t="str">
        <f aca="false">IFERROR(VLOOKUP($F39,ItemList_Full,2,0),"")</f>
        <v/>
      </c>
      <c r="H39" s="12"/>
      <c r="I39" s="12" t="str">
        <f aca="false">IFERROR(VLOOKUP($F39,ItemList_Full,3,0),"")</f>
        <v/>
      </c>
      <c r="J39" s="12" t="str">
        <f aca="false">IFERROR(VLOOKUP($F39,ItemList_Full,4,0),"")</f>
        <v/>
      </c>
      <c r="K39" s="13" t="n">
        <v>550</v>
      </c>
      <c r="L39" s="12"/>
      <c r="M39" s="24"/>
      <c r="N39" s="12" t="s">
        <v>229</v>
      </c>
      <c r="O39" s="12"/>
      <c r="P39" s="13" t="n">
        <f aca="false">IF($E39="","",IF(OR($E39="Director Draw",$E39="Payroll/Employee Charge"),0,-$K39))</f>
        <v>-550</v>
      </c>
      <c r="Q39" s="12" t="n">
        <f aca="false">IF($E39="Inventory Purchase",$H39,0)</f>
        <v>0</v>
      </c>
      <c r="U39" s="1" t="s">
        <v>357</v>
      </c>
      <c r="V39" s="1" t="s">
        <v>358</v>
      </c>
      <c r="W39" s="1" t="s">
        <v>311</v>
      </c>
      <c r="X39" s="1" t="n">
        <v>891</v>
      </c>
      <c r="Y39" s="1" t="s">
        <v>129</v>
      </c>
    </row>
    <row r="40" customFormat="false" ht="15" hidden="false" customHeight="true" outlineLevel="0" collapsed="false">
      <c r="A40" s="19" t="n">
        <v>46267</v>
      </c>
      <c r="B40" s="12" t="n">
        <f aca="false">IF($A40="","",ROW()-4)</f>
        <v>36</v>
      </c>
      <c r="C40" s="12" t="s">
        <v>299</v>
      </c>
      <c r="D40" s="12" t="s">
        <v>300</v>
      </c>
      <c r="E40" s="24" t="s">
        <v>149</v>
      </c>
      <c r="F40" s="12"/>
      <c r="G40" s="12" t="str">
        <f aca="false">IFERROR(VLOOKUP($F40,ItemList_Full,2,0),"")</f>
        <v/>
      </c>
      <c r="H40" s="12"/>
      <c r="I40" s="12" t="str">
        <f aca="false">IFERROR(VLOOKUP($F40,ItemList_Full,3,0),"")</f>
        <v/>
      </c>
      <c r="J40" s="12" t="str">
        <f aca="false">IFERROR(VLOOKUP($F40,ItemList_Full,4,0),"")</f>
        <v/>
      </c>
      <c r="K40" s="13" t="n">
        <v>200</v>
      </c>
      <c r="L40" s="12"/>
      <c r="M40" s="24"/>
      <c r="N40" s="12" t="s">
        <v>229</v>
      </c>
      <c r="O40" s="12"/>
      <c r="P40" s="13" t="n">
        <f aca="false">IF($E40="","",IF(OR($E40="Director Draw",$E40="Payroll/Employee Charge"),0,-$K40))</f>
        <v>-200</v>
      </c>
      <c r="Q40" s="12" t="n">
        <f aca="false">IF($E40="Inventory Purchase",$H40,0)</f>
        <v>0</v>
      </c>
      <c r="U40" s="1" t="s">
        <v>359</v>
      </c>
      <c r="V40" s="1" t="s">
        <v>360</v>
      </c>
      <c r="W40" s="1" t="s">
        <v>311</v>
      </c>
      <c r="X40" s="1" t="n">
        <v>751.666666666667</v>
      </c>
      <c r="Y40" s="1" t="s">
        <v>129</v>
      </c>
    </row>
    <row r="41" customFormat="false" ht="15" hidden="false" customHeight="true" outlineLevel="0" collapsed="false">
      <c r="A41" s="19" t="n">
        <v>46267</v>
      </c>
      <c r="B41" s="12" t="n">
        <f aca="false">IF($A41="","",ROW()-4)</f>
        <v>37</v>
      </c>
      <c r="C41" s="12" t="s">
        <v>361</v>
      </c>
      <c r="D41" s="12" t="s">
        <v>362</v>
      </c>
      <c r="E41" s="24" t="s">
        <v>149</v>
      </c>
      <c r="F41" s="12"/>
      <c r="G41" s="12" t="str">
        <f aca="false">IFERROR(VLOOKUP($F41,ItemList_Full,2,0),"")</f>
        <v/>
      </c>
      <c r="H41" s="12"/>
      <c r="I41" s="12" t="str">
        <f aca="false">IFERROR(VLOOKUP($F41,ItemList_Full,3,0),"")</f>
        <v/>
      </c>
      <c r="J41" s="12" t="str">
        <f aca="false">IFERROR(VLOOKUP($F41,ItemList_Full,4,0),"")</f>
        <v/>
      </c>
      <c r="K41" s="13" t="n">
        <v>600</v>
      </c>
      <c r="L41" s="12"/>
      <c r="M41" s="24"/>
      <c r="N41" s="12" t="s">
        <v>229</v>
      </c>
      <c r="O41" s="12"/>
      <c r="P41" s="13" t="n">
        <f aca="false">IF($E41="","",IF(OR($E41="Director Draw",$E41="Payroll/Employee Charge"),0,-$K41))</f>
        <v>-600</v>
      </c>
      <c r="Q41" s="12" t="n">
        <f aca="false">IF($E41="Inventory Purchase",$H41,0)</f>
        <v>0</v>
      </c>
      <c r="U41" s="1" t="s">
        <v>363</v>
      </c>
      <c r="V41" s="1" t="s">
        <v>364</v>
      </c>
      <c r="W41" s="1" t="s">
        <v>311</v>
      </c>
      <c r="X41" s="1" t="n">
        <v>990</v>
      </c>
      <c r="Y41" s="1" t="s">
        <v>129</v>
      </c>
    </row>
    <row r="42" customFormat="false" ht="15" hidden="false" customHeight="true" outlineLevel="0" collapsed="false">
      <c r="A42" s="19" t="n">
        <v>46267</v>
      </c>
      <c r="B42" s="12" t="n">
        <f aca="false">IF($A42="","",ROW()-4)</f>
        <v>38</v>
      </c>
      <c r="C42" s="12" t="s">
        <v>365</v>
      </c>
      <c r="D42" s="12" t="s">
        <v>366</v>
      </c>
      <c r="E42" s="24" t="s">
        <v>145</v>
      </c>
      <c r="F42" s="12"/>
      <c r="G42" s="12" t="str">
        <f aca="false">IFERROR(VLOOKUP($F42,ItemList_Full,2,0),"")</f>
        <v/>
      </c>
      <c r="H42" s="12"/>
      <c r="I42" s="12" t="str">
        <f aca="false">IFERROR(VLOOKUP($F42,ItemList_Full,3,0),"")</f>
        <v/>
      </c>
      <c r="J42" s="12" t="str">
        <f aca="false">IFERROR(VLOOKUP($F42,ItemList_Full,4,0),"")</f>
        <v/>
      </c>
      <c r="K42" s="13" t="n">
        <v>2100</v>
      </c>
      <c r="L42" s="12"/>
      <c r="M42" s="24"/>
      <c r="N42" s="12" t="s">
        <v>229</v>
      </c>
      <c r="O42" s="12"/>
      <c r="P42" s="13" t="n">
        <f aca="false">IF($E42="","",IF(OR($E42="Director Draw",$E42="Payroll/Employee Charge"),0,-$K42))</f>
        <v>-2100</v>
      </c>
      <c r="Q42" s="12" t="n">
        <f aca="false">IF($E42="Inventory Purchase",$H42,0)</f>
        <v>0</v>
      </c>
      <c r="U42" s="1" t="s">
        <v>367</v>
      </c>
      <c r="V42" s="1" t="s">
        <v>368</v>
      </c>
      <c r="W42" s="1" t="s">
        <v>311</v>
      </c>
      <c r="X42" s="1" t="n">
        <v>610</v>
      </c>
      <c r="Y42" s="1" t="s">
        <v>129</v>
      </c>
    </row>
    <row r="43" customFormat="false" ht="15" hidden="false" customHeight="true" outlineLevel="0" collapsed="false">
      <c r="A43" s="19" t="n">
        <v>46268</v>
      </c>
      <c r="B43" s="12" t="n">
        <f aca="false">IF($A43="","",ROW()-4)</f>
        <v>39</v>
      </c>
      <c r="C43" s="12" t="s">
        <v>225</v>
      </c>
      <c r="D43" s="12" t="s">
        <v>226</v>
      </c>
      <c r="E43" s="24" t="s">
        <v>227</v>
      </c>
      <c r="F43" s="12"/>
      <c r="G43" s="12" t="str">
        <f aca="false">IFERROR(VLOOKUP($F43,ItemList_Full,2,0),"")</f>
        <v/>
      </c>
      <c r="H43" s="12"/>
      <c r="I43" s="12" t="str">
        <f aca="false">IFERROR(VLOOKUP($F43,ItemList_Full,3,0),"")</f>
        <v/>
      </c>
      <c r="J43" s="12" t="str">
        <f aca="false">IFERROR(VLOOKUP($F43,ItemList_Full,4,0),"")</f>
        <v/>
      </c>
      <c r="K43" s="13" t="n">
        <v>13560</v>
      </c>
      <c r="L43" s="12"/>
      <c r="M43" s="24" t="s">
        <v>228</v>
      </c>
      <c r="N43" s="12" t="s">
        <v>229</v>
      </c>
      <c r="O43" s="12"/>
      <c r="P43" s="13" t="n">
        <f aca="false">IF($E43="","",IF(OR($E43="Director Draw",$E43="Payroll/Employee Charge"),0,-$K43))</f>
        <v>0</v>
      </c>
      <c r="Q43" s="12" t="n">
        <f aca="false">IF($E43="Inventory Purchase",$H43,0)</f>
        <v>0</v>
      </c>
      <c r="U43" s="1" t="s">
        <v>369</v>
      </c>
      <c r="V43" s="1" t="s">
        <v>370</v>
      </c>
      <c r="W43" s="1" t="s">
        <v>267</v>
      </c>
      <c r="X43" s="1" t="n">
        <v>975</v>
      </c>
      <c r="Y43" s="1" t="s">
        <v>129</v>
      </c>
    </row>
    <row r="44" customFormat="false" ht="15" hidden="false" customHeight="true" outlineLevel="0" collapsed="false">
      <c r="A44" s="19" t="n">
        <v>46268</v>
      </c>
      <c r="B44" s="12" t="n">
        <f aca="false">IF($A44="","",ROW()-4)</f>
        <v>40</v>
      </c>
      <c r="C44" s="12" t="s">
        <v>225</v>
      </c>
      <c r="D44" s="12" t="s">
        <v>371</v>
      </c>
      <c r="E44" s="24" t="s">
        <v>227</v>
      </c>
      <c r="F44" s="12"/>
      <c r="G44" s="12" t="str">
        <f aca="false">IFERROR(VLOOKUP($F44,ItemList_Full,2,0),"")</f>
        <v/>
      </c>
      <c r="H44" s="12"/>
      <c r="I44" s="12" t="str">
        <f aca="false">IFERROR(VLOOKUP($F44,ItemList_Full,3,0),"")</f>
        <v/>
      </c>
      <c r="J44" s="12" t="str">
        <f aca="false">IFERROR(VLOOKUP($F44,ItemList_Full,4,0),"")</f>
        <v/>
      </c>
      <c r="K44" s="13" t="n">
        <v>10000</v>
      </c>
      <c r="L44" s="12"/>
      <c r="M44" s="24" t="s">
        <v>228</v>
      </c>
      <c r="N44" s="12" t="s">
        <v>229</v>
      </c>
      <c r="O44" s="12"/>
      <c r="P44" s="13" t="n">
        <f aca="false">IF($E44="","",IF(OR($E44="Director Draw",$E44="Payroll/Employee Charge"),0,-$K44))</f>
        <v>0</v>
      </c>
      <c r="Q44" s="12" t="n">
        <f aca="false">IF($E44="Inventory Purchase",$H44,0)</f>
        <v>0</v>
      </c>
      <c r="U44" s="1" t="s">
        <v>372</v>
      </c>
      <c r="V44" s="1" t="s">
        <v>373</v>
      </c>
      <c r="W44" s="1" t="s">
        <v>241</v>
      </c>
      <c r="X44" s="1" t="n">
        <v>166.5</v>
      </c>
      <c r="Y44" s="1" t="s">
        <v>129</v>
      </c>
    </row>
    <row r="45" customFormat="false" ht="15" hidden="false" customHeight="true" outlineLevel="0" collapsed="false">
      <c r="A45" s="19" t="n">
        <v>46268</v>
      </c>
      <c r="B45" s="12" t="n">
        <f aca="false">IF($A45="","",ROW()-4)</f>
        <v>41</v>
      </c>
      <c r="C45" s="12" t="s">
        <v>225</v>
      </c>
      <c r="D45" s="12" t="s">
        <v>305</v>
      </c>
      <c r="E45" s="24" t="s">
        <v>227</v>
      </c>
      <c r="F45" s="12"/>
      <c r="G45" s="12" t="str">
        <f aca="false">IFERROR(VLOOKUP($F45,ItemList_Full,2,0),"")</f>
        <v/>
      </c>
      <c r="H45" s="12"/>
      <c r="I45" s="12" t="str">
        <f aca="false">IFERROR(VLOOKUP($F45,ItemList_Full,3,0),"")</f>
        <v/>
      </c>
      <c r="J45" s="12" t="str">
        <f aca="false">IFERROR(VLOOKUP($F45,ItemList_Full,4,0),"")</f>
        <v/>
      </c>
      <c r="K45" s="13" t="n">
        <v>4630</v>
      </c>
      <c r="L45" s="12"/>
      <c r="M45" s="24" t="s">
        <v>228</v>
      </c>
      <c r="N45" s="12" t="s">
        <v>229</v>
      </c>
      <c r="O45" s="12"/>
      <c r="P45" s="13" t="n">
        <f aca="false">IF($E45="","",IF(OR($E45="Director Draw",$E45="Payroll/Employee Charge"),0,-$K45))</f>
        <v>0</v>
      </c>
      <c r="Q45" s="12" t="n">
        <f aca="false">IF($E45="Inventory Purchase",$H45,0)</f>
        <v>0</v>
      </c>
      <c r="U45" s="1" t="s">
        <v>374</v>
      </c>
      <c r="V45" s="1" t="s">
        <v>375</v>
      </c>
      <c r="W45" s="1" t="s">
        <v>376</v>
      </c>
      <c r="X45" s="1" t="n">
        <v>2250</v>
      </c>
      <c r="Y45" s="1" t="s">
        <v>129</v>
      </c>
    </row>
    <row r="46" customFormat="false" ht="15" hidden="false" customHeight="true" outlineLevel="0" collapsed="false">
      <c r="A46" s="19" t="n">
        <v>46268</v>
      </c>
      <c r="B46" s="12" t="n">
        <f aca="false">IF($A46="","",ROW()-4)</f>
        <v>42</v>
      </c>
      <c r="C46" s="12" t="s">
        <v>225</v>
      </c>
      <c r="D46" s="12" t="s">
        <v>377</v>
      </c>
      <c r="E46" s="24" t="s">
        <v>227</v>
      </c>
      <c r="F46" s="12"/>
      <c r="G46" s="12" t="str">
        <f aca="false">IFERROR(VLOOKUP($F46,ItemList_Full,2,0),"")</f>
        <v/>
      </c>
      <c r="H46" s="12"/>
      <c r="I46" s="12" t="str">
        <f aca="false">IFERROR(VLOOKUP($F46,ItemList_Full,3,0),"")</f>
        <v/>
      </c>
      <c r="J46" s="12" t="str">
        <f aca="false">IFERROR(VLOOKUP($F46,ItemList_Full,4,0),"")</f>
        <v/>
      </c>
      <c r="K46" s="13" t="n">
        <v>3015</v>
      </c>
      <c r="L46" s="12"/>
      <c r="M46" s="24" t="s">
        <v>378</v>
      </c>
      <c r="N46" s="12" t="s">
        <v>229</v>
      </c>
      <c r="O46" s="12"/>
      <c r="P46" s="13" t="n">
        <f aca="false">IF($E46="","",IF(OR($E46="Director Draw",$E46="Payroll/Employee Charge"),0,-$K46))</f>
        <v>0</v>
      </c>
      <c r="Q46" s="12" t="n">
        <f aca="false">IF($E46="Inventory Purchase",$H46,0)</f>
        <v>0</v>
      </c>
      <c r="U46" s="1" t="s">
        <v>379</v>
      </c>
      <c r="V46" s="1" t="s">
        <v>380</v>
      </c>
      <c r="W46" s="1" t="s">
        <v>381</v>
      </c>
      <c r="X46" s="1" t="n">
        <v>8000</v>
      </c>
      <c r="Y46" s="1" t="s">
        <v>129</v>
      </c>
    </row>
    <row r="47" customFormat="false" ht="15" hidden="false" customHeight="true" outlineLevel="0" collapsed="false">
      <c r="A47" s="19" t="n">
        <v>46268</v>
      </c>
      <c r="B47" s="12" t="n">
        <f aca="false">IF($A47="","",ROW()-4)</f>
        <v>43</v>
      </c>
      <c r="C47" s="12" t="s">
        <v>225</v>
      </c>
      <c r="D47" s="12" t="s">
        <v>382</v>
      </c>
      <c r="E47" s="24" t="s">
        <v>227</v>
      </c>
      <c r="F47" s="12"/>
      <c r="G47" s="12" t="str">
        <f aca="false">IFERROR(VLOOKUP($F47,ItemList_Full,2,0),"")</f>
        <v/>
      </c>
      <c r="H47" s="12"/>
      <c r="I47" s="12" t="str">
        <f aca="false">IFERROR(VLOOKUP($F47,ItemList_Full,3,0),"")</f>
        <v/>
      </c>
      <c r="J47" s="12" t="str">
        <f aca="false">IFERROR(VLOOKUP($F47,ItemList_Full,4,0),"")</f>
        <v/>
      </c>
      <c r="K47" s="13" t="n">
        <v>620</v>
      </c>
      <c r="L47" s="12"/>
      <c r="M47" s="24" t="s">
        <v>234</v>
      </c>
      <c r="N47" s="12" t="s">
        <v>229</v>
      </c>
      <c r="O47" s="12"/>
      <c r="P47" s="13" t="n">
        <f aca="false">IF($E47="","",IF(OR($E47="Director Draw",$E47="Payroll/Employee Charge"),0,-$K47))</f>
        <v>0</v>
      </c>
      <c r="Q47" s="12" t="n">
        <f aca="false">IF($E47="Inventory Purchase",$H47,0)</f>
        <v>0</v>
      </c>
      <c r="U47" s="1" t="s">
        <v>383</v>
      </c>
      <c r="V47" s="1" t="s">
        <v>384</v>
      </c>
      <c r="W47" s="1" t="s">
        <v>267</v>
      </c>
      <c r="X47" s="1" t="n">
        <v>937.5</v>
      </c>
      <c r="Y47" s="1" t="s">
        <v>129</v>
      </c>
    </row>
    <row r="48" customFormat="false" ht="15" hidden="false" customHeight="true" outlineLevel="0" collapsed="false">
      <c r="A48" s="19" t="n">
        <v>46268</v>
      </c>
      <c r="B48" s="12" t="n">
        <f aca="false">IF($A48="","",ROW()-4)</f>
        <v>44</v>
      </c>
      <c r="C48" s="12" t="s">
        <v>247</v>
      </c>
      <c r="D48" s="12" t="s">
        <v>248</v>
      </c>
      <c r="E48" s="24" t="s">
        <v>153</v>
      </c>
      <c r="F48" s="12"/>
      <c r="G48" s="12" t="str">
        <f aca="false">IFERROR(VLOOKUP($F48,ItemList_Full,2,0),"")</f>
        <v/>
      </c>
      <c r="H48" s="12"/>
      <c r="I48" s="12" t="str">
        <f aca="false">IFERROR(VLOOKUP($F48,ItemList_Full,3,0),"")</f>
        <v/>
      </c>
      <c r="J48" s="12" t="str">
        <f aca="false">IFERROR(VLOOKUP($F48,ItemList_Full,4,0),"")</f>
        <v/>
      </c>
      <c r="K48" s="13" t="n">
        <v>3500</v>
      </c>
      <c r="L48" s="12"/>
      <c r="M48" s="24"/>
      <c r="N48" s="12" t="s">
        <v>229</v>
      </c>
      <c r="O48" s="12"/>
      <c r="P48" s="13" t="n">
        <f aca="false">IF($E48="","",IF(OR($E48="Director Draw",$E48="Payroll/Employee Charge"),0,-$K48))</f>
        <v>-3500</v>
      </c>
      <c r="Q48" s="12" t="n">
        <f aca="false">IF($E48="Inventory Purchase",$H48,0)</f>
        <v>0</v>
      </c>
      <c r="U48" s="1" t="s">
        <v>385</v>
      </c>
      <c r="V48" s="1" t="s">
        <v>386</v>
      </c>
      <c r="W48" s="1" t="s">
        <v>267</v>
      </c>
      <c r="X48" s="1" t="n">
        <v>740</v>
      </c>
      <c r="Y48" s="1" t="s">
        <v>129</v>
      </c>
    </row>
    <row r="49" customFormat="false" ht="15" hidden="false" customHeight="true" outlineLevel="0" collapsed="false">
      <c r="A49" s="19" t="n">
        <v>46268</v>
      </c>
      <c r="B49" s="12" t="n">
        <f aca="false">IF($A49="","",ROW()-4)</f>
        <v>45</v>
      </c>
      <c r="C49" s="12" t="s">
        <v>237</v>
      </c>
      <c r="D49" s="12" t="s">
        <v>238</v>
      </c>
      <c r="E49" s="24" t="s">
        <v>139</v>
      </c>
      <c r="F49" s="12"/>
      <c r="G49" s="12" t="str">
        <f aca="false">IFERROR(VLOOKUP($F49,ItemList_Full,2,0),"")</f>
        <v/>
      </c>
      <c r="H49" s="12"/>
      <c r="I49" s="12" t="str">
        <f aca="false">IFERROR(VLOOKUP($F49,ItemList_Full,3,0),"")</f>
        <v/>
      </c>
      <c r="J49" s="12" t="str">
        <f aca="false">IFERROR(VLOOKUP($F49,ItemList_Full,4,0),"")</f>
        <v/>
      </c>
      <c r="K49" s="13" t="n">
        <v>70497</v>
      </c>
      <c r="L49" s="12"/>
      <c r="M49" s="24"/>
      <c r="N49" s="12" t="s">
        <v>229</v>
      </c>
      <c r="O49" s="12"/>
      <c r="P49" s="13" t="n">
        <f aca="false">IF($E49="","",IF(OR($E49="Director Draw",$E49="Payroll/Employee Charge"),0,-$K49))</f>
        <v>-70497</v>
      </c>
      <c r="Q49" s="12" t="n">
        <f aca="false">IF($E49="Inventory Purchase",$H49,0)</f>
        <v>0</v>
      </c>
      <c r="U49" s="1" t="s">
        <v>387</v>
      </c>
      <c r="V49" s="1" t="s">
        <v>388</v>
      </c>
      <c r="W49" s="1" t="s">
        <v>267</v>
      </c>
      <c r="X49" s="1" t="n">
        <v>950</v>
      </c>
      <c r="Y49" s="1" t="s">
        <v>129</v>
      </c>
    </row>
    <row r="50" customFormat="false" ht="15" hidden="false" customHeight="true" outlineLevel="0" collapsed="false">
      <c r="A50" s="19" t="n">
        <v>46268</v>
      </c>
      <c r="B50" s="12" t="n">
        <f aca="false">IF($A50="","",ROW()-4)</f>
        <v>46</v>
      </c>
      <c r="C50" s="12" t="s">
        <v>242</v>
      </c>
      <c r="D50" s="12" t="s">
        <v>243</v>
      </c>
      <c r="E50" s="24" t="s">
        <v>139</v>
      </c>
      <c r="F50" s="12"/>
      <c r="G50" s="12" t="str">
        <f aca="false">IFERROR(VLOOKUP($F50,ItemList_Full,2,0),"")</f>
        <v/>
      </c>
      <c r="H50" s="12"/>
      <c r="I50" s="12" t="str">
        <f aca="false">IFERROR(VLOOKUP($F50,ItemList_Full,3,0),"")</f>
        <v/>
      </c>
      <c r="J50" s="12" t="str">
        <f aca="false">IFERROR(VLOOKUP($F50,ItemList_Full,4,0),"")</f>
        <v/>
      </c>
      <c r="K50" s="13" t="n">
        <v>30000</v>
      </c>
      <c r="L50" s="12"/>
      <c r="M50" s="24"/>
      <c r="N50" s="12" t="s">
        <v>229</v>
      </c>
      <c r="O50" s="12"/>
      <c r="P50" s="13" t="n">
        <f aca="false">IF($E50="","",IF(OR($E50="Director Draw",$E50="Payroll/Employee Charge"),0,-$K50))</f>
        <v>-30000</v>
      </c>
      <c r="Q50" s="12" t="n">
        <f aca="false">IF($E50="Inventory Purchase",$H50,0)</f>
        <v>0</v>
      </c>
      <c r="U50" s="1" t="s">
        <v>389</v>
      </c>
      <c r="V50" s="1" t="s">
        <v>390</v>
      </c>
      <c r="W50" s="1" t="s">
        <v>246</v>
      </c>
      <c r="X50" s="1" t="n">
        <v>1999</v>
      </c>
      <c r="Y50" s="1" t="s">
        <v>129</v>
      </c>
    </row>
    <row r="51" customFormat="false" ht="15" hidden="false" customHeight="true" outlineLevel="0" collapsed="false">
      <c r="A51" s="19" t="n">
        <v>46268</v>
      </c>
      <c r="B51" s="12" t="n">
        <f aca="false">IF($A51="","",ROW()-4)</f>
        <v>47</v>
      </c>
      <c r="C51" s="12" t="s">
        <v>255</v>
      </c>
      <c r="D51" s="12" t="s">
        <v>391</v>
      </c>
      <c r="E51" s="24" t="s">
        <v>139</v>
      </c>
      <c r="F51" s="12"/>
      <c r="G51" s="12" t="str">
        <f aca="false">IFERROR(VLOOKUP($F51,ItemList_Full,2,0),"")</f>
        <v/>
      </c>
      <c r="H51" s="12"/>
      <c r="I51" s="12" t="str">
        <f aca="false">IFERROR(VLOOKUP($F51,ItemList_Full,3,0),"")</f>
        <v/>
      </c>
      <c r="J51" s="12" t="str">
        <f aca="false">IFERROR(VLOOKUP($F51,ItemList_Full,4,0),"")</f>
        <v/>
      </c>
      <c r="K51" s="13" t="n">
        <v>750</v>
      </c>
      <c r="L51" s="12"/>
      <c r="M51" s="24"/>
      <c r="N51" s="12" t="s">
        <v>229</v>
      </c>
      <c r="O51" s="12"/>
      <c r="P51" s="13" t="n">
        <f aca="false">IF($E51="","",IF(OR($E51="Director Draw",$E51="Payroll/Employee Charge"),0,-$K51))</f>
        <v>-750</v>
      </c>
      <c r="Q51" s="12" t="n">
        <f aca="false">IF($E51="Inventory Purchase",$H51,0)</f>
        <v>0</v>
      </c>
      <c r="U51" s="1" t="s">
        <v>392</v>
      </c>
      <c r="V51" s="1" t="s">
        <v>393</v>
      </c>
      <c r="W51" s="1" t="s">
        <v>246</v>
      </c>
      <c r="X51" s="1" t="n">
        <v>240</v>
      </c>
      <c r="Y51" s="1" t="s">
        <v>129</v>
      </c>
    </row>
    <row r="52" customFormat="false" ht="15" hidden="false" customHeight="true" outlineLevel="0" collapsed="false">
      <c r="A52" s="19" t="n">
        <v>46268</v>
      </c>
      <c r="B52" s="12" t="n">
        <f aca="false">IF($A52="","",ROW()-4)</f>
        <v>48</v>
      </c>
      <c r="C52" s="12" t="s">
        <v>259</v>
      </c>
      <c r="D52" s="12" t="s">
        <v>260</v>
      </c>
      <c r="E52" s="24" t="s">
        <v>139</v>
      </c>
      <c r="F52" s="12"/>
      <c r="G52" s="12" t="str">
        <f aca="false">IFERROR(VLOOKUP($F52,ItemList_Full,2,0),"")</f>
        <v/>
      </c>
      <c r="H52" s="12"/>
      <c r="I52" s="12" t="str">
        <f aca="false">IFERROR(VLOOKUP($F52,ItemList_Full,3,0),"")</f>
        <v/>
      </c>
      <c r="J52" s="12" t="str">
        <f aca="false">IFERROR(VLOOKUP($F52,ItemList_Full,4,0),"")</f>
        <v/>
      </c>
      <c r="K52" s="13" t="n">
        <v>2180</v>
      </c>
      <c r="L52" s="12"/>
      <c r="M52" s="24"/>
      <c r="N52" s="12" t="s">
        <v>229</v>
      </c>
      <c r="O52" s="12"/>
      <c r="P52" s="13" t="n">
        <f aca="false">IF($E52="","",IF(OR($E52="Director Draw",$E52="Payroll/Employee Charge"),0,-$K52))</f>
        <v>-2180</v>
      </c>
      <c r="Q52" s="12" t="n">
        <f aca="false">IF($E52="Inventory Purchase",$H52,0)</f>
        <v>0</v>
      </c>
      <c r="U52" s="1" t="s">
        <v>394</v>
      </c>
      <c r="V52" s="1" t="s">
        <v>395</v>
      </c>
      <c r="W52" s="1" t="s">
        <v>246</v>
      </c>
      <c r="X52" s="1" t="n">
        <v>240</v>
      </c>
      <c r="Y52" s="1" t="s">
        <v>129</v>
      </c>
    </row>
    <row r="53" customFormat="false" ht="15" hidden="false" customHeight="true" outlineLevel="0" collapsed="false">
      <c r="A53" s="19" t="n">
        <v>46268</v>
      </c>
      <c r="B53" s="12" t="n">
        <f aca="false">IF($A53="","",ROW()-4)</f>
        <v>49</v>
      </c>
      <c r="C53" s="12" t="s">
        <v>396</v>
      </c>
      <c r="D53" s="12" t="s">
        <v>397</v>
      </c>
      <c r="E53" s="24" t="s">
        <v>140</v>
      </c>
      <c r="F53" s="12"/>
      <c r="G53" s="12" t="str">
        <f aca="false">IFERROR(VLOOKUP($F53,ItemList_Full,2,0),"")</f>
        <v/>
      </c>
      <c r="H53" s="12"/>
      <c r="I53" s="12" t="str">
        <f aca="false">IFERROR(VLOOKUP($F53,ItemList_Full,3,0),"")</f>
        <v/>
      </c>
      <c r="J53" s="12" t="str">
        <f aca="false">IFERROR(VLOOKUP($F53,ItemList_Full,4,0),"")</f>
        <v/>
      </c>
      <c r="K53" s="13" t="n">
        <v>1200</v>
      </c>
      <c r="L53" s="12"/>
      <c r="M53" s="24"/>
      <c r="N53" s="12" t="s">
        <v>229</v>
      </c>
      <c r="O53" s="12"/>
      <c r="P53" s="13" t="n">
        <f aca="false">IF($E53="","",IF(OR($E53="Director Draw",$E53="Payroll/Employee Charge"),0,-$K53))</f>
        <v>-1200</v>
      </c>
      <c r="Q53" s="12" t="n">
        <f aca="false">IF($E53="Inventory Purchase",$H53,0)</f>
        <v>0</v>
      </c>
      <c r="U53" s="1" t="s">
        <v>398</v>
      </c>
      <c r="V53" s="1" t="s">
        <v>399</v>
      </c>
      <c r="W53" s="1" t="s">
        <v>246</v>
      </c>
      <c r="X53" s="1" t="n">
        <v>1999</v>
      </c>
      <c r="Y53" s="1" t="s">
        <v>129</v>
      </c>
    </row>
    <row r="54" customFormat="false" ht="15" hidden="false" customHeight="true" outlineLevel="0" collapsed="false">
      <c r="A54" s="19" t="n">
        <v>46268</v>
      </c>
      <c r="B54" s="12" t="n">
        <f aca="false">IF($A54="","",ROW()-4)</f>
        <v>50</v>
      </c>
      <c r="C54" s="12" t="s">
        <v>272</v>
      </c>
      <c r="D54" s="12" t="s">
        <v>273</v>
      </c>
      <c r="E54" s="24" t="s">
        <v>143</v>
      </c>
      <c r="F54" s="12"/>
      <c r="G54" s="12" t="str">
        <f aca="false">IFERROR(VLOOKUP($F54,ItemList_Full,2,0),"")</f>
        <v/>
      </c>
      <c r="H54" s="12"/>
      <c r="I54" s="12" t="str">
        <f aca="false">IFERROR(VLOOKUP($F54,ItemList_Full,3,0),"")</f>
        <v/>
      </c>
      <c r="J54" s="12" t="str">
        <f aca="false">IFERROR(VLOOKUP($F54,ItemList_Full,4,0),"")</f>
        <v/>
      </c>
      <c r="K54" s="13" t="n">
        <v>100000</v>
      </c>
      <c r="L54" s="12"/>
      <c r="M54" s="24"/>
      <c r="N54" s="12" t="s">
        <v>229</v>
      </c>
      <c r="O54" s="12"/>
      <c r="P54" s="13" t="n">
        <f aca="false">IF($E54="","",IF(OR($E54="Director Draw",$E54="Payroll/Employee Charge"),0,-$K54))</f>
        <v>-100000</v>
      </c>
      <c r="Q54" s="12" t="n">
        <f aca="false">IF($E54="Inventory Purchase",$H54,0)</f>
        <v>0</v>
      </c>
      <c r="U54" s="1" t="s">
        <v>400</v>
      </c>
      <c r="V54" s="1" t="s">
        <v>401</v>
      </c>
      <c r="W54" s="1" t="s">
        <v>246</v>
      </c>
      <c r="X54" s="1" t="n">
        <v>1999</v>
      </c>
      <c r="Y54" s="1" t="s">
        <v>129</v>
      </c>
    </row>
    <row r="55" customFormat="false" ht="15" hidden="false" customHeight="true" outlineLevel="0" collapsed="false">
      <c r="A55" s="19" t="n">
        <v>46268</v>
      </c>
      <c r="B55" s="12" t="n">
        <f aca="false">IF($A55="","",ROW()-4)</f>
        <v>51</v>
      </c>
      <c r="C55" s="12" t="s">
        <v>272</v>
      </c>
      <c r="D55" s="12" t="s">
        <v>273</v>
      </c>
      <c r="E55" s="24" t="s">
        <v>143</v>
      </c>
      <c r="F55" s="12"/>
      <c r="G55" s="12" t="str">
        <f aca="false">IFERROR(VLOOKUP($F55,ItemList_Full,2,0),"")</f>
        <v/>
      </c>
      <c r="H55" s="12"/>
      <c r="I55" s="12" t="str">
        <f aca="false">IFERROR(VLOOKUP($F55,ItemList_Full,3,0),"")</f>
        <v/>
      </c>
      <c r="J55" s="12" t="str">
        <f aca="false">IFERROR(VLOOKUP($F55,ItemList_Full,4,0),"")</f>
        <v/>
      </c>
      <c r="K55" s="13" t="n">
        <v>800</v>
      </c>
      <c r="L55" s="12"/>
      <c r="M55" s="24"/>
      <c r="N55" s="12" t="s">
        <v>229</v>
      </c>
      <c r="O55" s="12"/>
      <c r="P55" s="13" t="n">
        <f aca="false">IF($E55="","",IF(OR($E55="Director Draw",$E55="Payroll/Employee Charge"),0,-$K55))</f>
        <v>-800</v>
      </c>
      <c r="Q55" s="12" t="n">
        <f aca="false">IF($E55="Inventory Purchase",$H55,0)</f>
        <v>0</v>
      </c>
      <c r="U55" s="1" t="s">
        <v>402</v>
      </c>
      <c r="V55" s="1" t="s">
        <v>403</v>
      </c>
      <c r="W55" s="1" t="s">
        <v>246</v>
      </c>
      <c r="X55" s="1" t="n">
        <v>1999</v>
      </c>
      <c r="Y55" s="1" t="s">
        <v>129</v>
      </c>
    </row>
    <row r="56" customFormat="false" ht="15" hidden="false" customHeight="true" outlineLevel="0" collapsed="false">
      <c r="A56" s="19" t="n">
        <v>46268</v>
      </c>
      <c r="B56" s="12" t="n">
        <f aca="false">IF($A56="","",ROW()-4)</f>
        <v>52</v>
      </c>
      <c r="C56" s="12" t="s">
        <v>343</v>
      </c>
      <c r="D56" s="12" t="s">
        <v>404</v>
      </c>
      <c r="E56" s="24" t="s">
        <v>143</v>
      </c>
      <c r="F56" s="12"/>
      <c r="G56" s="12" t="str">
        <f aca="false">IFERROR(VLOOKUP($F56,ItemList_Full,2,0),"")</f>
        <v/>
      </c>
      <c r="H56" s="12"/>
      <c r="I56" s="12" t="str">
        <f aca="false">IFERROR(VLOOKUP($F56,ItemList_Full,3,0),"")</f>
        <v/>
      </c>
      <c r="J56" s="12" t="str">
        <f aca="false">IFERROR(VLOOKUP($F56,ItemList_Full,4,0),"")</f>
        <v/>
      </c>
      <c r="K56" s="13" t="n">
        <v>1000</v>
      </c>
      <c r="L56" s="12"/>
      <c r="M56" s="24"/>
      <c r="N56" s="12" t="s">
        <v>229</v>
      </c>
      <c r="O56" s="12"/>
      <c r="P56" s="13" t="n">
        <f aca="false">IF($E56="","",IF(OR($E56="Director Draw",$E56="Payroll/Employee Charge"),0,-$K56))</f>
        <v>-1000</v>
      </c>
      <c r="Q56" s="12" t="n">
        <f aca="false">IF($E56="Inventory Purchase",$H56,0)</f>
        <v>0</v>
      </c>
      <c r="U56" s="1" t="s">
        <v>405</v>
      </c>
      <c r="V56" s="1" t="s">
        <v>406</v>
      </c>
      <c r="W56" s="1" t="s">
        <v>246</v>
      </c>
      <c r="X56" s="1" t="n">
        <v>1699</v>
      </c>
      <c r="Y56" s="1" t="s">
        <v>129</v>
      </c>
    </row>
    <row r="57" customFormat="false" ht="15" hidden="false" customHeight="true" outlineLevel="0" collapsed="false">
      <c r="A57" s="19" t="n">
        <v>46268</v>
      </c>
      <c r="B57" s="12" t="n">
        <f aca="false">IF($A57="","",ROW()-4)</f>
        <v>53</v>
      </c>
      <c r="C57" s="12" t="s">
        <v>337</v>
      </c>
      <c r="D57" s="12" t="s">
        <v>407</v>
      </c>
      <c r="E57" s="24" t="s">
        <v>151</v>
      </c>
      <c r="F57" s="12"/>
      <c r="G57" s="12" t="str">
        <f aca="false">IFERROR(VLOOKUP($F57,ItemList_Full,2,0),"")</f>
        <v/>
      </c>
      <c r="H57" s="12"/>
      <c r="I57" s="12" t="str">
        <f aca="false">IFERROR(VLOOKUP($F57,ItemList_Full,3,0),"")</f>
        <v/>
      </c>
      <c r="J57" s="12" t="str">
        <f aca="false">IFERROR(VLOOKUP($F57,ItemList_Full,4,0),"")</f>
        <v/>
      </c>
      <c r="K57" s="13" t="n">
        <v>80</v>
      </c>
      <c r="L57" s="12"/>
      <c r="M57" s="24"/>
      <c r="N57" s="12" t="s">
        <v>229</v>
      </c>
      <c r="O57" s="12"/>
      <c r="P57" s="13" t="n">
        <f aca="false">IF($E57="","",IF(OR($E57="Director Draw",$E57="Payroll/Employee Charge"),0,-$K57))</f>
        <v>-80</v>
      </c>
      <c r="Q57" s="12" t="n">
        <f aca="false">IF($E57="Inventory Purchase",$H57,0)</f>
        <v>0</v>
      </c>
      <c r="U57" s="1" t="s">
        <v>408</v>
      </c>
      <c r="V57" s="1" t="s">
        <v>409</v>
      </c>
      <c r="W57" s="1" t="s">
        <v>241</v>
      </c>
      <c r="X57" s="1" t="n">
        <v>1899</v>
      </c>
      <c r="Y57" s="1" t="s">
        <v>129</v>
      </c>
    </row>
    <row r="58" customFormat="false" ht="15" hidden="false" customHeight="true" outlineLevel="0" collapsed="false">
      <c r="A58" s="19" t="n">
        <v>46268</v>
      </c>
      <c r="B58" s="12" t="n">
        <f aca="false">IF($A58="","",ROW()-4)</f>
        <v>54</v>
      </c>
      <c r="C58" s="12" t="s">
        <v>410</v>
      </c>
      <c r="D58" s="12" t="s">
        <v>411</v>
      </c>
      <c r="E58" s="24" t="s">
        <v>151</v>
      </c>
      <c r="F58" s="12"/>
      <c r="G58" s="12" t="str">
        <f aca="false">IFERROR(VLOOKUP($F58,ItemList_Full,2,0),"")</f>
        <v/>
      </c>
      <c r="H58" s="12"/>
      <c r="I58" s="12" t="str">
        <f aca="false">IFERROR(VLOOKUP($F58,ItemList_Full,3,0),"")</f>
        <v/>
      </c>
      <c r="J58" s="12" t="str">
        <f aca="false">IFERROR(VLOOKUP($F58,ItemList_Full,4,0),"")</f>
        <v/>
      </c>
      <c r="K58" s="13" t="n">
        <v>1200</v>
      </c>
      <c r="L58" s="12"/>
      <c r="M58" s="24"/>
      <c r="N58" s="12" t="s">
        <v>229</v>
      </c>
      <c r="O58" s="12"/>
      <c r="P58" s="13" t="n">
        <f aca="false">IF($E58="","",IF(OR($E58="Director Draw",$E58="Payroll/Employee Charge"),0,-$K58))</f>
        <v>-1200</v>
      </c>
      <c r="Q58" s="12" t="n">
        <f aca="false">IF($E58="Inventory Purchase",$H58,0)</f>
        <v>0</v>
      </c>
      <c r="U58" s="1" t="s">
        <v>412</v>
      </c>
      <c r="V58" s="1" t="s">
        <v>413</v>
      </c>
      <c r="W58" s="1" t="s">
        <v>246</v>
      </c>
      <c r="X58" s="1" t="n">
        <v>1999</v>
      </c>
      <c r="Y58" s="1" t="s">
        <v>129</v>
      </c>
    </row>
    <row r="59" customFormat="false" ht="15" hidden="false" customHeight="true" outlineLevel="0" collapsed="false">
      <c r="A59" s="19" t="n">
        <v>46268</v>
      </c>
      <c r="B59" s="12" t="n">
        <f aca="false">IF($A59="","",ROW()-4)</f>
        <v>55</v>
      </c>
      <c r="C59" s="12" t="s">
        <v>414</v>
      </c>
      <c r="D59" s="12" t="s">
        <v>415</v>
      </c>
      <c r="E59" s="24" t="s">
        <v>145</v>
      </c>
      <c r="F59" s="12"/>
      <c r="G59" s="12" t="str">
        <f aca="false">IFERROR(VLOOKUP($F59,ItemList_Full,2,0),"")</f>
        <v/>
      </c>
      <c r="H59" s="12"/>
      <c r="I59" s="12" t="str">
        <f aca="false">IFERROR(VLOOKUP($F59,ItemList_Full,3,0),"")</f>
        <v/>
      </c>
      <c r="J59" s="12" t="str">
        <f aca="false">IFERROR(VLOOKUP($F59,ItemList_Full,4,0),"")</f>
        <v/>
      </c>
      <c r="K59" s="13" t="n">
        <v>87168</v>
      </c>
      <c r="L59" s="12"/>
      <c r="M59" s="24"/>
      <c r="N59" s="12" t="s">
        <v>229</v>
      </c>
      <c r="O59" s="12"/>
      <c r="P59" s="13" t="n">
        <f aca="false">IF($E59="","",IF(OR($E59="Director Draw",$E59="Payroll/Employee Charge"),0,-$K59))</f>
        <v>-87168</v>
      </c>
      <c r="Q59" s="12" t="n">
        <f aca="false">IF($E59="Inventory Purchase",$H59,0)</f>
        <v>0</v>
      </c>
      <c r="U59" s="1" t="s">
        <v>416</v>
      </c>
      <c r="V59" s="1" t="s">
        <v>417</v>
      </c>
      <c r="W59" s="1" t="s">
        <v>246</v>
      </c>
      <c r="X59" s="1" t="n">
        <v>1999</v>
      </c>
      <c r="Y59" s="1" t="s">
        <v>129</v>
      </c>
    </row>
    <row r="60" customFormat="false" ht="15" hidden="false" customHeight="true" outlineLevel="0" collapsed="false">
      <c r="A60" s="19" t="n">
        <v>46268</v>
      </c>
      <c r="B60" s="12" t="n">
        <f aca="false">IF($A60="","",ROW()-4)</f>
        <v>56</v>
      </c>
      <c r="C60" s="12" t="s">
        <v>361</v>
      </c>
      <c r="D60" s="12" t="s">
        <v>418</v>
      </c>
      <c r="E60" s="24" t="s">
        <v>149</v>
      </c>
      <c r="F60" s="12"/>
      <c r="G60" s="12" t="str">
        <f aca="false">IFERROR(VLOOKUP($F60,ItemList_Full,2,0),"")</f>
        <v/>
      </c>
      <c r="H60" s="12"/>
      <c r="I60" s="12" t="str">
        <f aca="false">IFERROR(VLOOKUP($F60,ItemList_Full,3,0),"")</f>
        <v/>
      </c>
      <c r="J60" s="12" t="str">
        <f aca="false">IFERROR(VLOOKUP($F60,ItemList_Full,4,0),"")</f>
        <v/>
      </c>
      <c r="K60" s="13" t="n">
        <v>200</v>
      </c>
      <c r="L60" s="12"/>
      <c r="M60" s="24"/>
      <c r="N60" s="12" t="s">
        <v>229</v>
      </c>
      <c r="O60" s="12"/>
      <c r="P60" s="13" t="n">
        <f aca="false">IF($E60="","",IF(OR($E60="Director Draw",$E60="Payroll/Employee Charge"),0,-$K60))</f>
        <v>-200</v>
      </c>
      <c r="Q60" s="12" t="n">
        <f aca="false">IF($E60="Inventory Purchase",$H60,0)</f>
        <v>0</v>
      </c>
      <c r="U60" s="1" t="s">
        <v>419</v>
      </c>
      <c r="V60" s="1" t="s">
        <v>420</v>
      </c>
      <c r="W60" s="1" t="s">
        <v>246</v>
      </c>
      <c r="X60" s="1" t="n">
        <v>1799</v>
      </c>
      <c r="Y60" s="1" t="s">
        <v>129</v>
      </c>
    </row>
    <row r="61" customFormat="false" ht="15" hidden="false" customHeight="true" outlineLevel="0" collapsed="false">
      <c r="A61" s="19" t="n">
        <v>46268</v>
      </c>
      <c r="B61" s="12" t="n">
        <f aca="false">IF($A61="","",ROW()-4)</f>
        <v>57</v>
      </c>
      <c r="C61" s="12" t="s">
        <v>299</v>
      </c>
      <c r="D61" s="12" t="s">
        <v>300</v>
      </c>
      <c r="E61" s="24" t="s">
        <v>149</v>
      </c>
      <c r="F61" s="12"/>
      <c r="G61" s="12" t="str">
        <f aca="false">IFERROR(VLOOKUP($F61,ItemList_Full,2,0),"")</f>
        <v/>
      </c>
      <c r="H61" s="12"/>
      <c r="I61" s="12" t="str">
        <f aca="false">IFERROR(VLOOKUP($F61,ItemList_Full,3,0),"")</f>
        <v/>
      </c>
      <c r="J61" s="12" t="str">
        <f aca="false">IFERROR(VLOOKUP($F61,ItemList_Full,4,0),"")</f>
        <v/>
      </c>
      <c r="K61" s="13" t="n">
        <v>200</v>
      </c>
      <c r="L61" s="12"/>
      <c r="M61" s="24"/>
      <c r="N61" s="12" t="s">
        <v>229</v>
      </c>
      <c r="O61" s="12"/>
      <c r="P61" s="13" t="n">
        <f aca="false">IF($E61="","",IF(OR($E61="Director Draw",$E61="Payroll/Employee Charge"),0,-$K61))</f>
        <v>-200</v>
      </c>
      <c r="Q61" s="12" t="n">
        <f aca="false">IF($E61="Inventory Purchase",$H61,0)</f>
        <v>0</v>
      </c>
      <c r="U61" s="1" t="s">
        <v>421</v>
      </c>
      <c r="V61" s="1" t="s">
        <v>422</v>
      </c>
      <c r="W61" s="1" t="s">
        <v>246</v>
      </c>
      <c r="X61" s="1" t="n">
        <v>1999</v>
      </c>
      <c r="Y61" s="1" t="s">
        <v>129</v>
      </c>
    </row>
    <row r="62" customFormat="false" ht="15" hidden="false" customHeight="true" outlineLevel="0" collapsed="false">
      <c r="A62" s="19" t="n">
        <v>46268</v>
      </c>
      <c r="B62" s="12" t="n">
        <f aca="false">IF($A62="","",ROW()-4)</f>
        <v>58</v>
      </c>
      <c r="C62" s="12" t="s">
        <v>361</v>
      </c>
      <c r="D62" s="12" t="s">
        <v>423</v>
      </c>
      <c r="E62" s="24" t="s">
        <v>149</v>
      </c>
      <c r="F62" s="12"/>
      <c r="G62" s="12" t="str">
        <f aca="false">IFERROR(VLOOKUP($F62,ItemList_Full,2,0),"")</f>
        <v/>
      </c>
      <c r="H62" s="12"/>
      <c r="I62" s="12" t="str">
        <f aca="false">IFERROR(VLOOKUP($F62,ItemList_Full,3,0),"")</f>
        <v/>
      </c>
      <c r="J62" s="12" t="str">
        <f aca="false">IFERROR(VLOOKUP($F62,ItemList_Full,4,0),"")</f>
        <v/>
      </c>
      <c r="K62" s="13" t="n">
        <v>1400</v>
      </c>
      <c r="L62" s="12"/>
      <c r="M62" s="24"/>
      <c r="N62" s="12" t="s">
        <v>229</v>
      </c>
      <c r="O62" s="12"/>
      <c r="P62" s="13" t="n">
        <f aca="false">IF($E62="","",IF(OR($E62="Director Draw",$E62="Payroll/Employee Charge"),0,-$K62))</f>
        <v>-1400</v>
      </c>
      <c r="Q62" s="12" t="n">
        <f aca="false">IF($E62="Inventory Purchase",$H62,0)</f>
        <v>0</v>
      </c>
      <c r="U62" s="1" t="s">
        <v>424</v>
      </c>
      <c r="V62" s="1" t="s">
        <v>425</v>
      </c>
      <c r="W62" s="1" t="s">
        <v>246</v>
      </c>
      <c r="X62" s="1" t="n">
        <v>1799</v>
      </c>
      <c r="Y62" s="1" t="s">
        <v>129</v>
      </c>
    </row>
    <row r="63" customFormat="false" ht="15" hidden="false" customHeight="true" outlineLevel="0" collapsed="false">
      <c r="A63" s="19" t="n">
        <v>46269</v>
      </c>
      <c r="B63" s="12" t="n">
        <f aca="false">IF($A63="","",ROW()-4)</f>
        <v>59</v>
      </c>
      <c r="C63" s="12" t="s">
        <v>225</v>
      </c>
      <c r="D63" s="12" t="s">
        <v>226</v>
      </c>
      <c r="E63" s="24" t="s">
        <v>227</v>
      </c>
      <c r="F63" s="12"/>
      <c r="G63" s="12" t="str">
        <f aca="false">IFERROR(VLOOKUP($F63,ItemList_Full,2,0),"")</f>
        <v/>
      </c>
      <c r="H63" s="12"/>
      <c r="I63" s="12" t="str">
        <f aca="false">IFERROR(VLOOKUP($F63,ItemList_Full,3,0),"")</f>
        <v/>
      </c>
      <c r="J63" s="12" t="str">
        <f aca="false">IFERROR(VLOOKUP($F63,ItemList_Full,4,0),"")</f>
        <v/>
      </c>
      <c r="K63" s="13" t="n">
        <v>5855</v>
      </c>
      <c r="L63" s="12"/>
      <c r="M63" s="24" t="s">
        <v>228</v>
      </c>
      <c r="N63" s="12" t="s">
        <v>229</v>
      </c>
      <c r="O63" s="12"/>
      <c r="P63" s="13" t="n">
        <f aca="false">IF($E63="","",IF(OR($E63="Director Draw",$E63="Payroll/Employee Charge"),0,-$K63))</f>
        <v>0</v>
      </c>
      <c r="Q63" s="12" t="n">
        <f aca="false">IF($E63="Inventory Purchase",$H63,0)</f>
        <v>0</v>
      </c>
      <c r="U63" s="1" t="s">
        <v>426</v>
      </c>
      <c r="V63" s="1" t="s">
        <v>427</v>
      </c>
      <c r="W63" s="1" t="s">
        <v>246</v>
      </c>
      <c r="X63" s="1" t="n">
        <v>1999</v>
      </c>
      <c r="Y63" s="1" t="s">
        <v>129</v>
      </c>
    </row>
    <row r="64" customFormat="false" ht="15" hidden="false" customHeight="true" outlineLevel="0" collapsed="false">
      <c r="A64" s="19" t="n">
        <v>46269</v>
      </c>
      <c r="B64" s="12" t="n">
        <f aca="false">IF($A64="","",ROW()-4)</f>
        <v>60</v>
      </c>
      <c r="C64" s="12" t="s">
        <v>225</v>
      </c>
      <c r="D64" s="12" t="s">
        <v>428</v>
      </c>
      <c r="E64" s="24" t="s">
        <v>227</v>
      </c>
      <c r="F64" s="12"/>
      <c r="G64" s="12" t="str">
        <f aca="false">IFERROR(VLOOKUP($F64,ItemList_Full,2,0),"")</f>
        <v/>
      </c>
      <c r="H64" s="12"/>
      <c r="I64" s="12" t="str">
        <f aca="false">IFERROR(VLOOKUP($F64,ItemList_Full,3,0),"")</f>
        <v/>
      </c>
      <c r="J64" s="12" t="str">
        <f aca="false">IFERROR(VLOOKUP($F64,ItemList_Full,4,0),"")</f>
        <v/>
      </c>
      <c r="K64" s="13" t="n">
        <v>1305</v>
      </c>
      <c r="L64" s="12"/>
      <c r="M64" s="24" t="s">
        <v>228</v>
      </c>
      <c r="N64" s="12" t="s">
        <v>229</v>
      </c>
      <c r="O64" s="12"/>
      <c r="P64" s="13" t="n">
        <f aca="false">IF($E64="","",IF(OR($E64="Director Draw",$E64="Payroll/Employee Charge"),0,-$K64))</f>
        <v>0</v>
      </c>
      <c r="Q64" s="12" t="n">
        <f aca="false">IF($E64="Inventory Purchase",$H64,0)</f>
        <v>0</v>
      </c>
      <c r="U64" s="1" t="s">
        <v>429</v>
      </c>
      <c r="V64" s="1" t="s">
        <v>430</v>
      </c>
      <c r="W64" s="1" t="s">
        <v>246</v>
      </c>
      <c r="X64" s="1" t="n">
        <v>1599</v>
      </c>
      <c r="Y64" s="1" t="s">
        <v>129</v>
      </c>
    </row>
    <row r="65" customFormat="false" ht="15" hidden="false" customHeight="true" outlineLevel="0" collapsed="false">
      <c r="A65" s="19" t="n">
        <v>46269</v>
      </c>
      <c r="B65" s="12" t="n">
        <f aca="false">IF($A65="","",ROW()-4)</f>
        <v>61</v>
      </c>
      <c r="C65" s="12" t="s">
        <v>225</v>
      </c>
      <c r="D65" s="12" t="s">
        <v>431</v>
      </c>
      <c r="E65" s="24" t="s">
        <v>227</v>
      </c>
      <c r="F65" s="12"/>
      <c r="G65" s="12" t="str">
        <f aca="false">IFERROR(VLOOKUP($F65,ItemList_Full,2,0),"")</f>
        <v/>
      </c>
      <c r="H65" s="12"/>
      <c r="I65" s="12" t="str">
        <f aca="false">IFERROR(VLOOKUP($F65,ItemList_Full,3,0),"")</f>
        <v/>
      </c>
      <c r="J65" s="12" t="str">
        <f aca="false">IFERROR(VLOOKUP($F65,ItemList_Full,4,0),"")</f>
        <v/>
      </c>
      <c r="K65" s="13" t="n">
        <v>3276</v>
      </c>
      <c r="L65" s="12"/>
      <c r="M65" s="24" t="s">
        <v>228</v>
      </c>
      <c r="N65" s="12" t="s">
        <v>229</v>
      </c>
      <c r="O65" s="12"/>
      <c r="P65" s="13" t="n">
        <f aca="false">IF($E65="","",IF(OR($E65="Director Draw",$E65="Payroll/Employee Charge"),0,-$K65))</f>
        <v>0</v>
      </c>
      <c r="Q65" s="12" t="n">
        <f aca="false">IF($E65="Inventory Purchase",$H65,0)</f>
        <v>0</v>
      </c>
      <c r="U65" s="1" t="s">
        <v>432</v>
      </c>
      <c r="V65" s="1" t="s">
        <v>433</v>
      </c>
      <c r="W65" s="1" t="s">
        <v>246</v>
      </c>
      <c r="X65" s="1" t="n">
        <v>1599</v>
      </c>
      <c r="Y65" s="1" t="s">
        <v>129</v>
      </c>
    </row>
    <row r="66" customFormat="false" ht="15" hidden="false" customHeight="true" outlineLevel="0" collapsed="false">
      <c r="A66" s="19" t="n">
        <v>46269</v>
      </c>
      <c r="B66" s="12" t="n">
        <f aca="false">IF($A66="","",ROW()-4)</f>
        <v>62</v>
      </c>
      <c r="C66" s="12" t="s">
        <v>225</v>
      </c>
      <c r="D66" s="12" t="s">
        <v>434</v>
      </c>
      <c r="E66" s="24" t="s">
        <v>227</v>
      </c>
      <c r="F66" s="12"/>
      <c r="G66" s="12" t="str">
        <f aca="false">IFERROR(VLOOKUP($F66,ItemList_Full,2,0),"")</f>
        <v/>
      </c>
      <c r="H66" s="12"/>
      <c r="I66" s="12" t="str">
        <f aca="false">IFERROR(VLOOKUP($F66,ItemList_Full,3,0),"")</f>
        <v/>
      </c>
      <c r="J66" s="12" t="str">
        <f aca="false">IFERROR(VLOOKUP($F66,ItemList_Full,4,0),"")</f>
        <v/>
      </c>
      <c r="K66" s="13" t="n">
        <v>395</v>
      </c>
      <c r="L66" s="12"/>
      <c r="M66" s="24" t="s">
        <v>234</v>
      </c>
      <c r="N66" s="12" t="s">
        <v>229</v>
      </c>
      <c r="O66" s="12"/>
      <c r="P66" s="13" t="n">
        <f aca="false">IF($E66="","",IF(OR($E66="Director Draw",$E66="Payroll/Employee Charge"),0,-$K66))</f>
        <v>0</v>
      </c>
      <c r="Q66" s="12" t="n">
        <f aca="false">IF($E66="Inventory Purchase",$H66,0)</f>
        <v>0</v>
      </c>
      <c r="U66" s="1" t="s">
        <v>435</v>
      </c>
      <c r="V66" s="1" t="s">
        <v>436</v>
      </c>
      <c r="W66" s="1" t="s">
        <v>246</v>
      </c>
      <c r="X66" s="1" t="n">
        <v>1699</v>
      </c>
      <c r="Y66" s="1" t="s">
        <v>129</v>
      </c>
    </row>
    <row r="67" customFormat="false" ht="15" hidden="false" customHeight="true" outlineLevel="0" collapsed="false">
      <c r="A67" s="19" t="n">
        <v>46269</v>
      </c>
      <c r="B67" s="12" t="n">
        <f aca="false">IF($A67="","",ROW()-4)</f>
        <v>63</v>
      </c>
      <c r="C67" s="12" t="s">
        <v>247</v>
      </c>
      <c r="D67" s="12" t="s">
        <v>248</v>
      </c>
      <c r="E67" s="24" t="s">
        <v>153</v>
      </c>
      <c r="F67" s="12"/>
      <c r="G67" s="12" t="str">
        <f aca="false">IFERROR(VLOOKUP($F67,ItemList_Full,2,0),"")</f>
        <v/>
      </c>
      <c r="H67" s="12"/>
      <c r="I67" s="12" t="str">
        <f aca="false">IFERROR(VLOOKUP($F67,ItemList_Full,3,0),"")</f>
        <v/>
      </c>
      <c r="J67" s="12" t="str">
        <f aca="false">IFERROR(VLOOKUP($F67,ItemList_Full,4,0),"")</f>
        <v/>
      </c>
      <c r="K67" s="13" t="n">
        <v>3589</v>
      </c>
      <c r="L67" s="12"/>
      <c r="M67" s="24"/>
      <c r="N67" s="12" t="s">
        <v>229</v>
      </c>
      <c r="O67" s="12"/>
      <c r="P67" s="13" t="n">
        <f aca="false">IF($E67="","",IF(OR($E67="Director Draw",$E67="Payroll/Employee Charge"),0,-$K67))</f>
        <v>-3589</v>
      </c>
      <c r="Q67" s="12" t="n">
        <f aca="false">IF($E67="Inventory Purchase",$H67,0)</f>
        <v>0</v>
      </c>
      <c r="U67" s="1" t="s">
        <v>437</v>
      </c>
      <c r="V67" s="1" t="s">
        <v>438</v>
      </c>
      <c r="W67" s="1" t="s">
        <v>246</v>
      </c>
      <c r="X67" s="1" t="n">
        <v>1200</v>
      </c>
      <c r="Y67" s="1" t="s">
        <v>129</v>
      </c>
    </row>
    <row r="68" customFormat="false" ht="15" hidden="false" customHeight="true" outlineLevel="0" collapsed="false">
      <c r="A68" s="19" t="n">
        <v>46269</v>
      </c>
      <c r="B68" s="12" t="n">
        <f aca="false">IF($A68="","",ROW()-4)</f>
        <v>64</v>
      </c>
      <c r="C68" s="12" t="s">
        <v>439</v>
      </c>
      <c r="D68" s="12" t="s">
        <v>440</v>
      </c>
      <c r="E68" s="24" t="s">
        <v>139</v>
      </c>
      <c r="F68" s="12"/>
      <c r="G68" s="12" t="str">
        <f aca="false">IFERROR(VLOOKUP($F68,ItemList_Full,2,0),"")</f>
        <v/>
      </c>
      <c r="H68" s="12"/>
      <c r="I68" s="12" t="str">
        <f aca="false">IFERROR(VLOOKUP($F68,ItemList_Full,3,0),"")</f>
        <v/>
      </c>
      <c r="J68" s="12" t="str">
        <f aca="false">IFERROR(VLOOKUP($F68,ItemList_Full,4,0),"")</f>
        <v/>
      </c>
      <c r="K68" s="13" t="n">
        <v>3330</v>
      </c>
      <c r="L68" s="12"/>
      <c r="M68" s="24"/>
      <c r="N68" s="12" t="s">
        <v>229</v>
      </c>
      <c r="O68" s="12"/>
      <c r="P68" s="13" t="n">
        <f aca="false">IF($E68="","",IF(OR($E68="Director Draw",$E68="Payroll/Employee Charge"),0,-$K68))</f>
        <v>-3330</v>
      </c>
      <c r="Q68" s="12" t="n">
        <f aca="false">IF($E68="Inventory Purchase",$H68,0)</f>
        <v>0</v>
      </c>
      <c r="U68" s="1" t="s">
        <v>441</v>
      </c>
      <c r="V68" s="1" t="s">
        <v>442</v>
      </c>
      <c r="W68" s="1" t="s">
        <v>246</v>
      </c>
      <c r="X68" s="1" t="n">
        <v>320</v>
      </c>
      <c r="Y68" s="1" t="s">
        <v>129</v>
      </c>
    </row>
    <row r="69" customFormat="false" ht="15" hidden="false" customHeight="true" outlineLevel="0" collapsed="false">
      <c r="A69" s="19" t="n">
        <v>46269</v>
      </c>
      <c r="B69" s="12" t="n">
        <f aca="false">IF($A69="","",ROW()-4)</f>
        <v>65</v>
      </c>
      <c r="C69" s="12" t="s">
        <v>255</v>
      </c>
      <c r="D69" s="12" t="s">
        <v>256</v>
      </c>
      <c r="E69" s="24" t="s">
        <v>139</v>
      </c>
      <c r="F69" s="12"/>
      <c r="G69" s="12" t="str">
        <f aca="false">IFERROR(VLOOKUP($F69,ItemList_Full,2,0),"")</f>
        <v/>
      </c>
      <c r="H69" s="12"/>
      <c r="I69" s="12" t="str">
        <f aca="false">IFERROR(VLOOKUP($F69,ItemList_Full,3,0),"")</f>
        <v/>
      </c>
      <c r="J69" s="12" t="str">
        <f aca="false">IFERROR(VLOOKUP($F69,ItemList_Full,4,0),"")</f>
        <v/>
      </c>
      <c r="K69" s="13" t="n">
        <v>540</v>
      </c>
      <c r="L69" s="12"/>
      <c r="M69" s="24"/>
      <c r="N69" s="12" t="s">
        <v>229</v>
      </c>
      <c r="O69" s="12"/>
      <c r="P69" s="13" t="n">
        <f aca="false">IF($E69="","",IF(OR($E69="Director Draw",$E69="Payroll/Employee Charge"),0,-$K69))</f>
        <v>-540</v>
      </c>
      <c r="Q69" s="12" t="n">
        <f aca="false">IF($E69="Inventory Purchase",$H69,0)</f>
        <v>0</v>
      </c>
      <c r="U69" s="1" t="s">
        <v>443</v>
      </c>
      <c r="V69" s="1" t="s">
        <v>444</v>
      </c>
      <c r="W69" s="1" t="s">
        <v>246</v>
      </c>
      <c r="X69" s="1" t="n">
        <v>120</v>
      </c>
      <c r="Y69" s="1" t="s">
        <v>129</v>
      </c>
    </row>
    <row r="70" customFormat="false" ht="15" hidden="false" customHeight="true" outlineLevel="0" collapsed="false">
      <c r="A70" s="19" t="n">
        <v>46269</v>
      </c>
      <c r="B70" s="12" t="n">
        <f aca="false">IF($A70="","",ROW()-4)</f>
        <v>66</v>
      </c>
      <c r="C70" s="12" t="s">
        <v>445</v>
      </c>
      <c r="D70" s="12" t="s">
        <v>446</v>
      </c>
      <c r="E70" s="24" t="s">
        <v>139</v>
      </c>
      <c r="F70" s="12"/>
      <c r="G70" s="12" t="str">
        <f aca="false">IFERROR(VLOOKUP($F70,ItemList_Full,2,0),"")</f>
        <v/>
      </c>
      <c r="H70" s="12"/>
      <c r="I70" s="12" t="str">
        <f aca="false">IFERROR(VLOOKUP($F70,ItemList_Full,3,0),"")</f>
        <v/>
      </c>
      <c r="J70" s="12" t="str">
        <f aca="false">IFERROR(VLOOKUP($F70,ItemList_Full,4,0),"")</f>
        <v/>
      </c>
      <c r="K70" s="13" t="n">
        <v>2500</v>
      </c>
      <c r="L70" s="12"/>
      <c r="M70" s="24"/>
      <c r="N70" s="12" t="s">
        <v>229</v>
      </c>
      <c r="O70" s="12"/>
      <c r="P70" s="13" t="n">
        <f aca="false">IF($E70="","",IF(OR($E70="Director Draw",$E70="Payroll/Employee Charge"),0,-$K70))</f>
        <v>-2500</v>
      </c>
      <c r="Q70" s="12" t="n">
        <f aca="false">IF($E70="Inventory Purchase",$H70,0)</f>
        <v>0</v>
      </c>
      <c r="U70" s="1" t="s">
        <v>447</v>
      </c>
      <c r="V70" s="1" t="s">
        <v>448</v>
      </c>
      <c r="W70" s="1" t="s">
        <v>246</v>
      </c>
      <c r="X70" s="1" t="n">
        <v>300</v>
      </c>
      <c r="Y70" s="1" t="s">
        <v>129</v>
      </c>
    </row>
    <row r="71" customFormat="false" ht="15" hidden="false" customHeight="true" outlineLevel="0" collapsed="false">
      <c r="A71" s="19" t="n">
        <v>46269</v>
      </c>
      <c r="B71" s="12" t="n">
        <f aca="false">IF($A71="","",ROW()-4)</f>
        <v>67</v>
      </c>
      <c r="C71" s="12" t="s">
        <v>449</v>
      </c>
      <c r="D71" s="12" t="s">
        <v>450</v>
      </c>
      <c r="E71" s="24" t="s">
        <v>139</v>
      </c>
      <c r="F71" s="12"/>
      <c r="G71" s="12" t="str">
        <f aca="false">IFERROR(VLOOKUP($F71,ItemList_Full,2,0),"")</f>
        <v/>
      </c>
      <c r="H71" s="12"/>
      <c r="I71" s="12" t="str">
        <f aca="false">IFERROR(VLOOKUP($F71,ItemList_Full,3,0),"")</f>
        <v/>
      </c>
      <c r="J71" s="12" t="str">
        <f aca="false">IFERROR(VLOOKUP($F71,ItemList_Full,4,0),"")</f>
        <v/>
      </c>
      <c r="K71" s="13" t="n">
        <v>562</v>
      </c>
      <c r="L71" s="12"/>
      <c r="M71" s="24"/>
      <c r="N71" s="12" t="s">
        <v>229</v>
      </c>
      <c r="O71" s="12"/>
      <c r="P71" s="13" t="n">
        <f aca="false">IF($E71="","",IF(OR($E71="Director Draw",$E71="Payroll/Employee Charge"),0,-$K71))</f>
        <v>-562</v>
      </c>
      <c r="Q71" s="12" t="n">
        <f aca="false">IF($E71="Inventory Purchase",$H71,0)</f>
        <v>0</v>
      </c>
      <c r="U71" s="1" t="s">
        <v>451</v>
      </c>
      <c r="V71" s="1" t="s">
        <v>452</v>
      </c>
      <c r="W71" s="1" t="s">
        <v>246</v>
      </c>
      <c r="X71" s="1" t="n">
        <v>2499</v>
      </c>
      <c r="Y71" s="1" t="s">
        <v>129</v>
      </c>
    </row>
    <row r="72" customFormat="false" ht="15" hidden="false" customHeight="true" outlineLevel="0" collapsed="false">
      <c r="A72" s="19" t="n">
        <v>46269</v>
      </c>
      <c r="B72" s="12" t="n">
        <f aca="false">IF($A72="","",ROW()-4)</f>
        <v>68</v>
      </c>
      <c r="C72" s="12" t="s">
        <v>259</v>
      </c>
      <c r="D72" s="12" t="s">
        <v>260</v>
      </c>
      <c r="E72" s="24" t="s">
        <v>139</v>
      </c>
      <c r="F72" s="12"/>
      <c r="G72" s="12" t="str">
        <f aca="false">IFERROR(VLOOKUP($F72,ItemList_Full,2,0),"")</f>
        <v/>
      </c>
      <c r="H72" s="12"/>
      <c r="I72" s="12" t="str">
        <f aca="false">IFERROR(VLOOKUP($F72,ItemList_Full,3,0),"")</f>
        <v/>
      </c>
      <c r="J72" s="12" t="str">
        <f aca="false">IFERROR(VLOOKUP($F72,ItemList_Full,4,0),"")</f>
        <v/>
      </c>
      <c r="K72" s="13" t="n">
        <v>3270</v>
      </c>
      <c r="L72" s="12"/>
      <c r="M72" s="24"/>
      <c r="N72" s="12" t="s">
        <v>229</v>
      </c>
      <c r="O72" s="12"/>
      <c r="P72" s="13" t="n">
        <f aca="false">IF($E72="","",IF(OR($E72="Director Draw",$E72="Payroll/Employee Charge"),0,-$K72))</f>
        <v>-3270</v>
      </c>
      <c r="Q72" s="12" t="n">
        <f aca="false">IF($E72="Inventory Purchase",$H72,0)</f>
        <v>0</v>
      </c>
      <c r="U72" s="1" t="s">
        <v>453</v>
      </c>
      <c r="V72" s="1" t="s">
        <v>454</v>
      </c>
      <c r="W72" s="1" t="s">
        <v>246</v>
      </c>
      <c r="X72" s="1" t="n">
        <v>375</v>
      </c>
      <c r="Y72" s="1" t="s">
        <v>129</v>
      </c>
    </row>
    <row r="73" customFormat="false" ht="15" hidden="false" customHeight="true" outlineLevel="0" collapsed="false">
      <c r="A73" s="19" t="n">
        <v>46269</v>
      </c>
      <c r="B73" s="12" t="n">
        <f aca="false">IF($A73="","",ROW()-4)</f>
        <v>69</v>
      </c>
      <c r="C73" s="12" t="s">
        <v>242</v>
      </c>
      <c r="D73" s="12" t="s">
        <v>243</v>
      </c>
      <c r="E73" s="24" t="s">
        <v>139</v>
      </c>
      <c r="F73" s="12"/>
      <c r="G73" s="12" t="str">
        <f aca="false">IFERROR(VLOOKUP($F73,ItemList_Full,2,0),"")</f>
        <v/>
      </c>
      <c r="H73" s="12"/>
      <c r="I73" s="12" t="str">
        <f aca="false">IFERROR(VLOOKUP($F73,ItemList_Full,3,0),"")</f>
        <v/>
      </c>
      <c r="J73" s="12" t="str">
        <f aca="false">IFERROR(VLOOKUP($F73,ItemList_Full,4,0),"")</f>
        <v/>
      </c>
      <c r="K73" s="13" t="n">
        <v>10000</v>
      </c>
      <c r="L73" s="12"/>
      <c r="M73" s="24"/>
      <c r="N73" s="12" t="s">
        <v>229</v>
      </c>
      <c r="O73" s="12"/>
      <c r="P73" s="13" t="n">
        <f aca="false">IF($E73="","",IF(OR($E73="Director Draw",$E73="Payroll/Employee Charge"),0,-$K73))</f>
        <v>-10000</v>
      </c>
      <c r="Q73" s="12" t="n">
        <f aca="false">IF($E73="Inventory Purchase",$H73,0)</f>
        <v>0</v>
      </c>
      <c r="U73" s="1" t="s">
        <v>455</v>
      </c>
      <c r="V73" s="1" t="s">
        <v>456</v>
      </c>
      <c r="W73" s="1" t="s">
        <v>246</v>
      </c>
      <c r="X73" s="1" t="n">
        <v>2000</v>
      </c>
      <c r="Y73" s="1" t="s">
        <v>129</v>
      </c>
    </row>
    <row r="74" customFormat="false" ht="15" hidden="false" customHeight="true" outlineLevel="0" collapsed="false">
      <c r="A74" s="19" t="n">
        <v>46269</v>
      </c>
      <c r="B74" s="12" t="n">
        <f aca="false">IF($A74="","",ROW()-4)</f>
        <v>70</v>
      </c>
      <c r="C74" s="12" t="s">
        <v>343</v>
      </c>
      <c r="D74" s="12" t="s">
        <v>347</v>
      </c>
      <c r="E74" s="24" t="s">
        <v>143</v>
      </c>
      <c r="F74" s="12"/>
      <c r="G74" s="12" t="str">
        <f aca="false">IFERROR(VLOOKUP($F74,ItemList_Full,2,0),"")</f>
        <v/>
      </c>
      <c r="H74" s="12"/>
      <c r="I74" s="12" t="str">
        <f aca="false">IFERROR(VLOOKUP($F74,ItemList_Full,3,0),"")</f>
        <v/>
      </c>
      <c r="J74" s="12" t="str">
        <f aca="false">IFERROR(VLOOKUP($F74,ItemList_Full,4,0),"")</f>
        <v/>
      </c>
      <c r="K74" s="13" t="n">
        <v>2450</v>
      </c>
      <c r="L74" s="12"/>
      <c r="M74" s="24"/>
      <c r="N74" s="12" t="s">
        <v>229</v>
      </c>
      <c r="O74" s="12"/>
      <c r="P74" s="13" t="n">
        <f aca="false">IF($E74="","",IF(OR($E74="Director Draw",$E74="Payroll/Employee Charge"),0,-$K74))</f>
        <v>-2450</v>
      </c>
      <c r="Q74" s="12" t="n">
        <f aca="false">IF($E74="Inventory Purchase",$H74,0)</f>
        <v>0</v>
      </c>
      <c r="U74" s="1" t="s">
        <v>457</v>
      </c>
      <c r="V74" s="1" t="s">
        <v>458</v>
      </c>
      <c r="W74" s="1" t="s">
        <v>246</v>
      </c>
      <c r="X74" s="1" t="n">
        <v>1999</v>
      </c>
      <c r="Y74" s="1" t="s">
        <v>129</v>
      </c>
    </row>
    <row r="75" customFormat="false" ht="15" hidden="false" customHeight="true" outlineLevel="0" collapsed="false">
      <c r="A75" s="19" t="n">
        <v>46269</v>
      </c>
      <c r="B75" s="12" t="n">
        <f aca="false">IF($A75="","",ROW()-4)</f>
        <v>71</v>
      </c>
      <c r="C75" s="12" t="s">
        <v>343</v>
      </c>
      <c r="D75" s="12" t="s">
        <v>459</v>
      </c>
      <c r="E75" s="24" t="s">
        <v>143</v>
      </c>
      <c r="F75" s="12"/>
      <c r="G75" s="12" t="str">
        <f aca="false">IFERROR(VLOOKUP($F75,ItemList_Full,2,0),"")</f>
        <v/>
      </c>
      <c r="H75" s="12"/>
      <c r="I75" s="12" t="str">
        <f aca="false">IFERROR(VLOOKUP($F75,ItemList_Full,3,0),"")</f>
        <v/>
      </c>
      <c r="J75" s="12" t="str">
        <f aca="false">IFERROR(VLOOKUP($F75,ItemList_Full,4,0),"")</f>
        <v/>
      </c>
      <c r="K75" s="13" t="n">
        <v>2453</v>
      </c>
      <c r="L75" s="12"/>
      <c r="M75" s="24"/>
      <c r="N75" s="12" t="s">
        <v>229</v>
      </c>
      <c r="O75" s="12"/>
      <c r="P75" s="13" t="n">
        <f aca="false">IF($E75="","",IF(OR($E75="Director Draw",$E75="Payroll/Employee Charge"),0,-$K75))</f>
        <v>-2453</v>
      </c>
      <c r="Q75" s="12" t="n">
        <f aca="false">IF($E75="Inventory Purchase",$H75,0)</f>
        <v>0</v>
      </c>
      <c r="U75" s="1" t="s">
        <v>460</v>
      </c>
      <c r="V75" s="1" t="s">
        <v>461</v>
      </c>
      <c r="W75" s="1" t="s">
        <v>246</v>
      </c>
      <c r="X75" s="1" t="n">
        <v>1999</v>
      </c>
      <c r="Y75" s="1" t="s">
        <v>129</v>
      </c>
    </row>
    <row r="76" customFormat="false" ht="15" hidden="false" customHeight="true" outlineLevel="0" collapsed="false">
      <c r="A76" s="19" t="n">
        <v>46269</v>
      </c>
      <c r="B76" s="12" t="n">
        <f aca="false">IF($A76="","",ROW()-4)</f>
        <v>72</v>
      </c>
      <c r="C76" s="12" t="s">
        <v>276</v>
      </c>
      <c r="D76" s="12" t="s">
        <v>462</v>
      </c>
      <c r="E76" s="24" t="s">
        <v>143</v>
      </c>
      <c r="F76" s="12"/>
      <c r="G76" s="12" t="str">
        <f aca="false">IFERROR(VLOOKUP($F76,ItemList_Full,2,0),"")</f>
        <v/>
      </c>
      <c r="H76" s="12"/>
      <c r="I76" s="12" t="str">
        <f aca="false">IFERROR(VLOOKUP($F76,ItemList_Full,3,0),"")</f>
        <v/>
      </c>
      <c r="J76" s="12" t="str">
        <f aca="false">IFERROR(VLOOKUP($F76,ItemList_Full,4,0),"")</f>
        <v/>
      </c>
      <c r="K76" s="13" t="n">
        <v>1150</v>
      </c>
      <c r="L76" s="12"/>
      <c r="M76" s="24"/>
      <c r="N76" s="12" t="s">
        <v>229</v>
      </c>
      <c r="O76" s="12"/>
      <c r="P76" s="13" t="n">
        <f aca="false">IF($E76="","",IF(OR($E76="Director Draw",$E76="Payroll/Employee Charge"),0,-$K76))</f>
        <v>-1150</v>
      </c>
      <c r="Q76" s="12" t="n">
        <f aca="false">IF($E76="Inventory Purchase",$H76,0)</f>
        <v>0</v>
      </c>
      <c r="U76" s="1" t="s">
        <v>463</v>
      </c>
      <c r="V76" s="1" t="s">
        <v>464</v>
      </c>
      <c r="W76" s="1" t="s">
        <v>246</v>
      </c>
      <c r="X76" s="1" t="n">
        <v>500</v>
      </c>
      <c r="Y76" s="1" t="s">
        <v>129</v>
      </c>
    </row>
    <row r="77" customFormat="false" ht="15" hidden="false" customHeight="true" outlineLevel="0" collapsed="false">
      <c r="A77" s="19" t="n">
        <v>46269</v>
      </c>
      <c r="B77" s="12" t="n">
        <f aca="false">IF($A77="","",ROW()-4)</f>
        <v>73</v>
      </c>
      <c r="C77" s="12" t="s">
        <v>343</v>
      </c>
      <c r="D77" s="12" t="s">
        <v>465</v>
      </c>
      <c r="E77" s="24" t="s">
        <v>151</v>
      </c>
      <c r="F77" s="12"/>
      <c r="G77" s="12" t="str">
        <f aca="false">IFERROR(VLOOKUP($F77,ItemList_Full,2,0),"")</f>
        <v/>
      </c>
      <c r="H77" s="12"/>
      <c r="I77" s="12" t="str">
        <f aca="false">IFERROR(VLOOKUP($F77,ItemList_Full,3,0),"")</f>
        <v/>
      </c>
      <c r="J77" s="12" t="str">
        <f aca="false">IFERROR(VLOOKUP($F77,ItemList_Full,4,0),"")</f>
        <v/>
      </c>
      <c r="K77" s="13" t="n">
        <v>7150</v>
      </c>
      <c r="L77" s="12"/>
      <c r="M77" s="24"/>
      <c r="N77" s="12" t="s">
        <v>229</v>
      </c>
      <c r="O77" s="12"/>
      <c r="P77" s="13" t="n">
        <f aca="false">IF($E77="","",IF(OR($E77="Director Draw",$E77="Payroll/Employee Charge"),0,-$K77))</f>
        <v>-7150</v>
      </c>
      <c r="Q77" s="12" t="n">
        <f aca="false">IF($E77="Inventory Purchase",$H77,0)</f>
        <v>0</v>
      </c>
      <c r="U77" s="1" t="s">
        <v>466</v>
      </c>
      <c r="V77" s="1" t="s">
        <v>467</v>
      </c>
      <c r="W77" s="1" t="s">
        <v>246</v>
      </c>
      <c r="X77" s="1" t="n">
        <v>1599</v>
      </c>
      <c r="Y77" s="1" t="s">
        <v>129</v>
      </c>
    </row>
    <row r="78" customFormat="false" ht="15" hidden="false" customHeight="true" outlineLevel="0" collapsed="false">
      <c r="A78" s="19" t="n">
        <v>46269</v>
      </c>
      <c r="B78" s="12" t="n">
        <f aca="false">IF($A78="","",ROW()-4)</f>
        <v>74</v>
      </c>
      <c r="C78" s="12" t="s">
        <v>361</v>
      </c>
      <c r="D78" s="12" t="s">
        <v>468</v>
      </c>
      <c r="E78" s="24" t="s">
        <v>149</v>
      </c>
      <c r="F78" s="12"/>
      <c r="G78" s="12" t="str">
        <f aca="false">IFERROR(VLOOKUP($F78,ItemList_Full,2,0),"")</f>
        <v/>
      </c>
      <c r="H78" s="12"/>
      <c r="I78" s="12" t="str">
        <f aca="false">IFERROR(VLOOKUP($F78,ItemList_Full,3,0),"")</f>
        <v/>
      </c>
      <c r="J78" s="12" t="str">
        <f aca="false">IFERROR(VLOOKUP($F78,ItemList_Full,4,0),"")</f>
        <v/>
      </c>
      <c r="K78" s="13" t="n">
        <v>550</v>
      </c>
      <c r="L78" s="12"/>
      <c r="M78" s="24"/>
      <c r="N78" s="12" t="s">
        <v>229</v>
      </c>
      <c r="O78" s="12"/>
      <c r="P78" s="13" t="n">
        <f aca="false">IF($E78="","",IF(OR($E78="Director Draw",$E78="Payroll/Employee Charge"),0,-$K78))</f>
        <v>-550</v>
      </c>
      <c r="Q78" s="12" t="n">
        <f aca="false">IF($E78="Inventory Purchase",$H78,0)</f>
        <v>0</v>
      </c>
      <c r="U78" s="1" t="s">
        <v>469</v>
      </c>
      <c r="V78" s="1" t="s">
        <v>470</v>
      </c>
      <c r="W78" s="1" t="s">
        <v>246</v>
      </c>
      <c r="X78" s="1" t="n">
        <v>1599</v>
      </c>
      <c r="Y78" s="1" t="s">
        <v>129</v>
      </c>
    </row>
    <row r="79" customFormat="false" ht="15" hidden="false" customHeight="true" outlineLevel="0" collapsed="false">
      <c r="A79" s="19" t="n">
        <v>46269</v>
      </c>
      <c r="B79" s="12" t="n">
        <f aca="false">IF($A79="","",ROW()-4)</f>
        <v>75</v>
      </c>
      <c r="C79" s="12" t="s">
        <v>299</v>
      </c>
      <c r="D79" s="12" t="s">
        <v>300</v>
      </c>
      <c r="E79" s="24" t="s">
        <v>149</v>
      </c>
      <c r="F79" s="12"/>
      <c r="G79" s="12" t="str">
        <f aca="false">IFERROR(VLOOKUP($F79,ItemList_Full,2,0),"")</f>
        <v/>
      </c>
      <c r="H79" s="12"/>
      <c r="I79" s="12" t="str">
        <f aca="false">IFERROR(VLOOKUP($F79,ItemList_Full,3,0),"")</f>
        <v/>
      </c>
      <c r="J79" s="12" t="str">
        <f aca="false">IFERROR(VLOOKUP($F79,ItemList_Full,4,0),"")</f>
        <v/>
      </c>
      <c r="K79" s="13" t="n">
        <v>200</v>
      </c>
      <c r="L79" s="12"/>
      <c r="M79" s="24"/>
      <c r="N79" s="12" t="s">
        <v>229</v>
      </c>
      <c r="O79" s="12"/>
      <c r="P79" s="13" t="n">
        <f aca="false">IF($E79="","",IF(OR($E79="Director Draw",$E79="Payroll/Employee Charge"),0,-$K79))</f>
        <v>-200</v>
      </c>
      <c r="Q79" s="12" t="n">
        <f aca="false">IF($E79="Inventory Purchase",$H79,0)</f>
        <v>0</v>
      </c>
      <c r="U79" s="1" t="s">
        <v>471</v>
      </c>
      <c r="V79" s="1" t="s">
        <v>472</v>
      </c>
      <c r="W79" s="1" t="s">
        <v>246</v>
      </c>
      <c r="X79" s="1" t="n">
        <v>300</v>
      </c>
      <c r="Y79" s="1" t="s">
        <v>129</v>
      </c>
    </row>
    <row r="80" customFormat="false" ht="15" hidden="false" customHeight="true" outlineLevel="0" collapsed="false">
      <c r="A80" s="19" t="n">
        <v>46269</v>
      </c>
      <c r="B80" s="12" t="n">
        <f aca="false">IF($A80="","",ROW()-4)</f>
        <v>76</v>
      </c>
      <c r="C80" s="12" t="s">
        <v>295</v>
      </c>
      <c r="D80" s="12" t="s">
        <v>473</v>
      </c>
      <c r="E80" s="24" t="s">
        <v>150</v>
      </c>
      <c r="F80" s="12"/>
      <c r="G80" s="12" t="str">
        <f aca="false">IFERROR(VLOOKUP($F80,ItemList_Full,2,0),"")</f>
        <v/>
      </c>
      <c r="H80" s="12"/>
      <c r="I80" s="12" t="str">
        <f aca="false">IFERROR(VLOOKUP($F80,ItemList_Full,3,0),"")</f>
        <v/>
      </c>
      <c r="J80" s="12" t="str">
        <f aca="false">IFERROR(VLOOKUP($F80,ItemList_Full,4,0),"")</f>
        <v/>
      </c>
      <c r="K80" s="13" t="n">
        <v>400</v>
      </c>
      <c r="L80" s="12"/>
      <c r="M80" s="24"/>
      <c r="N80" s="12" t="s">
        <v>229</v>
      </c>
      <c r="O80" s="12"/>
      <c r="P80" s="13" t="n">
        <f aca="false">IF($E80="","",IF(OR($E80="Director Draw",$E80="Payroll/Employee Charge"),0,-$K80))</f>
        <v>-400</v>
      </c>
      <c r="Q80" s="12" t="n">
        <f aca="false">IF($E80="Inventory Purchase",$H80,0)</f>
        <v>0</v>
      </c>
      <c r="U80" s="1" t="s">
        <v>474</v>
      </c>
      <c r="V80" s="1" t="s">
        <v>475</v>
      </c>
      <c r="W80" s="1" t="s">
        <v>476</v>
      </c>
      <c r="X80" s="1" t="n">
        <v>2740</v>
      </c>
      <c r="Y80" s="1" t="s">
        <v>129</v>
      </c>
    </row>
    <row r="81" customFormat="false" ht="15" hidden="false" customHeight="true" outlineLevel="0" collapsed="false">
      <c r="A81" s="19" t="n">
        <v>46269</v>
      </c>
      <c r="B81" s="12" t="n">
        <f aca="false">IF($A81="","",ROW()-4)</f>
        <v>77</v>
      </c>
      <c r="C81" s="12" t="s">
        <v>295</v>
      </c>
      <c r="D81" s="12" t="s">
        <v>477</v>
      </c>
      <c r="E81" s="24" t="s">
        <v>150</v>
      </c>
      <c r="F81" s="12"/>
      <c r="G81" s="12" t="str">
        <f aca="false">IFERROR(VLOOKUP($F81,ItemList_Full,2,0),"")</f>
        <v/>
      </c>
      <c r="H81" s="12"/>
      <c r="I81" s="12" t="str">
        <f aca="false">IFERROR(VLOOKUP($F81,ItemList_Full,3,0),"")</f>
        <v/>
      </c>
      <c r="J81" s="12" t="str">
        <f aca="false">IFERROR(VLOOKUP($F81,ItemList_Full,4,0),"")</f>
        <v/>
      </c>
      <c r="K81" s="13" t="n">
        <v>404</v>
      </c>
      <c r="L81" s="12"/>
      <c r="M81" s="24"/>
      <c r="N81" s="12" t="s">
        <v>229</v>
      </c>
      <c r="O81" s="12"/>
      <c r="P81" s="13" t="n">
        <f aca="false">IF($E81="","",IF(OR($E81="Director Draw",$E81="Payroll/Employee Charge"),0,-$K81))</f>
        <v>-404</v>
      </c>
      <c r="Q81" s="12" t="n">
        <f aca="false">IF($E81="Inventory Purchase",$H81,0)</f>
        <v>0</v>
      </c>
      <c r="U81" s="1" t="s">
        <v>478</v>
      </c>
      <c r="V81" s="1" t="s">
        <v>479</v>
      </c>
      <c r="W81" s="1" t="s">
        <v>376</v>
      </c>
      <c r="X81" s="1" t="n">
        <v>8250</v>
      </c>
      <c r="Y81" s="1" t="s">
        <v>129</v>
      </c>
    </row>
    <row r="82" customFormat="false" ht="15" hidden="false" customHeight="true" outlineLevel="0" collapsed="false">
      <c r="A82" s="19" t="n">
        <v>46269</v>
      </c>
      <c r="B82" s="12" t="n">
        <f aca="false">IF($A82="","",ROW()-4)</f>
        <v>78</v>
      </c>
      <c r="C82" s="12" t="s">
        <v>480</v>
      </c>
      <c r="D82" s="12" t="s">
        <v>481</v>
      </c>
      <c r="E82" s="24" t="s">
        <v>150</v>
      </c>
      <c r="F82" s="12"/>
      <c r="G82" s="12" t="str">
        <f aca="false">IFERROR(VLOOKUP($F82,ItemList_Full,2,0),"")</f>
        <v/>
      </c>
      <c r="H82" s="12"/>
      <c r="I82" s="12" t="str">
        <f aca="false">IFERROR(VLOOKUP($F82,ItemList_Full,3,0),"")</f>
        <v/>
      </c>
      <c r="J82" s="12" t="str">
        <f aca="false">IFERROR(VLOOKUP($F82,ItemList_Full,4,0),"")</f>
        <v/>
      </c>
      <c r="K82" s="13" t="n">
        <v>2695</v>
      </c>
      <c r="L82" s="12"/>
      <c r="M82" s="24"/>
      <c r="N82" s="12" t="s">
        <v>229</v>
      </c>
      <c r="O82" s="12"/>
      <c r="P82" s="13" t="n">
        <f aca="false">IF($E82="","",IF(OR($E82="Director Draw",$E82="Payroll/Employee Charge"),0,-$K82))</f>
        <v>-2695</v>
      </c>
      <c r="Q82" s="12" t="n">
        <f aca="false">IF($E82="Inventory Purchase",$H82,0)</f>
        <v>0</v>
      </c>
      <c r="U82" s="1" t="s">
        <v>482</v>
      </c>
      <c r="V82" s="1" t="s">
        <v>483</v>
      </c>
      <c r="W82" s="1" t="s">
        <v>350</v>
      </c>
      <c r="X82" s="1" t="n">
        <v>2890.06451612903</v>
      </c>
      <c r="Y82" s="1" t="s">
        <v>129</v>
      </c>
    </row>
    <row r="83" customFormat="false" ht="15" hidden="false" customHeight="true" outlineLevel="0" collapsed="false">
      <c r="A83" s="19" t="n">
        <v>46270</v>
      </c>
      <c r="B83" s="12" t="n">
        <f aca="false">IF($A83="","",ROW()-4)</f>
        <v>79</v>
      </c>
      <c r="C83" s="12" t="s">
        <v>225</v>
      </c>
      <c r="D83" s="12" t="s">
        <v>484</v>
      </c>
      <c r="E83" s="24" t="s">
        <v>227</v>
      </c>
      <c r="F83" s="12"/>
      <c r="G83" s="12" t="str">
        <f aca="false">IFERROR(VLOOKUP($F83,ItemList_Full,2,0),"")</f>
        <v/>
      </c>
      <c r="H83" s="12"/>
      <c r="I83" s="12" t="str">
        <f aca="false">IFERROR(VLOOKUP($F83,ItemList_Full,3,0),"")</f>
        <v/>
      </c>
      <c r="J83" s="12" t="str">
        <f aca="false">IFERROR(VLOOKUP($F83,ItemList_Full,4,0),"")</f>
        <v/>
      </c>
      <c r="K83" s="13" t="n">
        <v>11925</v>
      </c>
      <c r="L83" s="12"/>
      <c r="M83" s="24" t="s">
        <v>228</v>
      </c>
      <c r="N83" s="12" t="s">
        <v>229</v>
      </c>
      <c r="O83" s="12"/>
      <c r="P83" s="13" t="n">
        <f aca="false">IF($E83="","",IF(OR($E83="Director Draw",$E83="Payroll/Employee Charge"),0,-$K83))</f>
        <v>0</v>
      </c>
      <c r="Q83" s="12" t="n">
        <f aca="false">IF($E83="Inventory Purchase",$H83,0)</f>
        <v>0</v>
      </c>
      <c r="U83" s="1" t="s">
        <v>485</v>
      </c>
      <c r="V83" s="1" t="s">
        <v>486</v>
      </c>
      <c r="W83" s="1" t="s">
        <v>267</v>
      </c>
      <c r="X83" s="1" t="n">
        <v>2400</v>
      </c>
      <c r="Y83" s="1" t="s">
        <v>129</v>
      </c>
    </row>
    <row r="84" customFormat="false" ht="15" hidden="false" customHeight="true" outlineLevel="0" collapsed="false">
      <c r="A84" s="19" t="n">
        <v>46270</v>
      </c>
      <c r="B84" s="12" t="n">
        <f aca="false">IF($A84="","",ROW()-4)</f>
        <v>80</v>
      </c>
      <c r="C84" s="12" t="s">
        <v>255</v>
      </c>
      <c r="D84" s="12" t="s">
        <v>487</v>
      </c>
      <c r="E84" s="24" t="s">
        <v>139</v>
      </c>
      <c r="F84" s="12"/>
      <c r="G84" s="12" t="str">
        <f aca="false">IFERROR(VLOOKUP($F84,ItemList_Full,2,0),"")</f>
        <v/>
      </c>
      <c r="H84" s="12"/>
      <c r="I84" s="12" t="str">
        <f aca="false">IFERROR(VLOOKUP($F84,ItemList_Full,3,0),"")</f>
        <v/>
      </c>
      <c r="J84" s="12" t="str">
        <f aca="false">IFERROR(VLOOKUP($F84,ItemList_Full,4,0),"")</f>
        <v/>
      </c>
      <c r="K84" s="13" t="n">
        <v>100</v>
      </c>
      <c r="L84" s="12"/>
      <c r="M84" s="24"/>
      <c r="N84" s="12" t="s">
        <v>229</v>
      </c>
      <c r="O84" s="12"/>
      <c r="P84" s="13" t="n">
        <f aca="false">IF($E84="","",IF(OR($E84="Director Draw",$E84="Payroll/Employee Charge"),0,-$K84))</f>
        <v>-100</v>
      </c>
      <c r="Q84" s="12" t="n">
        <f aca="false">IF($E84="Inventory Purchase",$H84,0)</f>
        <v>0</v>
      </c>
      <c r="U84" s="1" t="s">
        <v>488</v>
      </c>
      <c r="V84" s="1" t="s">
        <v>489</v>
      </c>
      <c r="W84" s="1" t="s">
        <v>267</v>
      </c>
      <c r="X84" s="1" t="n">
        <v>900</v>
      </c>
      <c r="Y84" s="1" t="s">
        <v>129</v>
      </c>
    </row>
    <row r="85" customFormat="false" ht="15" hidden="false" customHeight="true" outlineLevel="0" collapsed="false">
      <c r="A85" s="19" t="n">
        <v>46270</v>
      </c>
      <c r="B85" s="12" t="n">
        <f aca="false">IF($A85="","",ROW()-4)</f>
        <v>81</v>
      </c>
      <c r="C85" s="12" t="s">
        <v>247</v>
      </c>
      <c r="D85" s="12" t="s">
        <v>248</v>
      </c>
      <c r="E85" s="24" t="s">
        <v>153</v>
      </c>
      <c r="F85" s="12"/>
      <c r="G85" s="12" t="str">
        <f aca="false">IFERROR(VLOOKUP($F85,ItemList_Full,2,0),"")</f>
        <v/>
      </c>
      <c r="H85" s="12"/>
      <c r="I85" s="12" t="str">
        <f aca="false">IFERROR(VLOOKUP($F85,ItemList_Full,3,0),"")</f>
        <v/>
      </c>
      <c r="J85" s="12" t="str">
        <f aca="false">IFERROR(VLOOKUP($F85,ItemList_Full,4,0),"")</f>
        <v/>
      </c>
      <c r="K85" s="13" t="n">
        <v>12056</v>
      </c>
      <c r="L85" s="12"/>
      <c r="M85" s="24"/>
      <c r="N85" s="12" t="s">
        <v>229</v>
      </c>
      <c r="O85" s="12"/>
      <c r="P85" s="13" t="n">
        <f aca="false">IF($E85="","",IF(OR($E85="Director Draw",$E85="Payroll/Employee Charge"),0,-$K85))</f>
        <v>-12056</v>
      </c>
      <c r="Q85" s="12" t="n">
        <f aca="false">IF($E85="Inventory Purchase",$H85,0)</f>
        <v>0</v>
      </c>
      <c r="U85" s="1" t="s">
        <v>490</v>
      </c>
      <c r="V85" s="1" t="s">
        <v>491</v>
      </c>
      <c r="W85" s="1" t="s">
        <v>476</v>
      </c>
      <c r="X85" s="1" t="n">
        <v>1800</v>
      </c>
      <c r="Y85" s="1" t="s">
        <v>129</v>
      </c>
    </row>
    <row r="86" customFormat="false" ht="15" hidden="false" customHeight="true" outlineLevel="0" collapsed="false">
      <c r="A86" s="19" t="n">
        <v>46270</v>
      </c>
      <c r="B86" s="12" t="n">
        <f aca="false">IF($A86="","",ROW()-4)</f>
        <v>82</v>
      </c>
      <c r="C86" s="12" t="s">
        <v>255</v>
      </c>
      <c r="D86" s="12" t="s">
        <v>256</v>
      </c>
      <c r="E86" s="24" t="s">
        <v>139</v>
      </c>
      <c r="F86" s="12"/>
      <c r="G86" s="12" t="str">
        <f aca="false">IFERROR(VLOOKUP($F86,ItemList_Full,2,0),"")</f>
        <v/>
      </c>
      <c r="H86" s="12"/>
      <c r="I86" s="12" t="str">
        <f aca="false">IFERROR(VLOOKUP($F86,ItemList_Full,3,0),"")</f>
        <v/>
      </c>
      <c r="J86" s="12" t="str">
        <f aca="false">IFERROR(VLOOKUP($F86,ItemList_Full,4,0),"")</f>
        <v/>
      </c>
      <c r="K86" s="13" t="n">
        <v>540</v>
      </c>
      <c r="L86" s="12"/>
      <c r="M86" s="24"/>
      <c r="N86" s="12" t="s">
        <v>229</v>
      </c>
      <c r="O86" s="12"/>
      <c r="P86" s="13" t="n">
        <f aca="false">IF($E86="","",IF(OR($E86="Director Draw",$E86="Payroll/Employee Charge"),0,-$K86))</f>
        <v>-540</v>
      </c>
      <c r="Q86" s="12" t="n">
        <f aca="false">IF($E86="Inventory Purchase",$H86,0)</f>
        <v>0</v>
      </c>
      <c r="U86" s="1" t="s">
        <v>492</v>
      </c>
      <c r="V86" s="1" t="s">
        <v>493</v>
      </c>
      <c r="W86" s="1" t="s">
        <v>241</v>
      </c>
      <c r="X86" s="1" t="n">
        <v>200</v>
      </c>
      <c r="Y86" s="1" t="s">
        <v>129</v>
      </c>
    </row>
    <row r="87" customFormat="false" ht="15" hidden="false" customHeight="true" outlineLevel="0" collapsed="false">
      <c r="A87" s="19" t="n">
        <v>46270</v>
      </c>
      <c r="B87" s="12" t="n">
        <f aca="false">IF($A87="","",ROW()-4)</f>
        <v>83</v>
      </c>
      <c r="C87" s="12" t="s">
        <v>255</v>
      </c>
      <c r="D87" s="12" t="s">
        <v>494</v>
      </c>
      <c r="E87" s="24" t="s">
        <v>139</v>
      </c>
      <c r="F87" s="12"/>
      <c r="G87" s="12" t="str">
        <f aca="false">IFERROR(VLOOKUP($F87,ItemList_Full,2,0),"")</f>
        <v/>
      </c>
      <c r="H87" s="12"/>
      <c r="I87" s="12" t="str">
        <f aca="false">IFERROR(VLOOKUP($F87,ItemList_Full,3,0),"")</f>
        <v/>
      </c>
      <c r="J87" s="12" t="str">
        <f aca="false">IFERROR(VLOOKUP($F87,ItemList_Full,4,0),"")</f>
        <v/>
      </c>
      <c r="K87" s="13" t="n">
        <v>300</v>
      </c>
      <c r="L87" s="12"/>
      <c r="M87" s="24"/>
      <c r="N87" s="12" t="s">
        <v>229</v>
      </c>
      <c r="O87" s="12"/>
      <c r="P87" s="13" t="n">
        <f aca="false">IF($E87="","",IF(OR($E87="Director Draw",$E87="Payroll/Employee Charge"),0,-$K87))</f>
        <v>-300</v>
      </c>
      <c r="Q87" s="12" t="n">
        <f aca="false">IF($E87="Inventory Purchase",$H87,0)</f>
        <v>0</v>
      </c>
      <c r="U87" s="1" t="s">
        <v>495</v>
      </c>
      <c r="V87" s="1" t="s">
        <v>496</v>
      </c>
      <c r="W87" s="1" t="s">
        <v>381</v>
      </c>
      <c r="X87" s="1" t="n">
        <v>2250</v>
      </c>
      <c r="Y87" s="1" t="s">
        <v>129</v>
      </c>
    </row>
    <row r="88" customFormat="false" ht="15" hidden="false" customHeight="true" outlineLevel="0" collapsed="false">
      <c r="A88" s="19" t="n">
        <v>46270</v>
      </c>
      <c r="B88" s="12" t="n">
        <f aca="false">IF($A88="","",ROW()-4)</f>
        <v>84</v>
      </c>
      <c r="C88" s="12" t="s">
        <v>255</v>
      </c>
      <c r="D88" s="12" t="s">
        <v>391</v>
      </c>
      <c r="E88" s="24" t="s">
        <v>139</v>
      </c>
      <c r="F88" s="12"/>
      <c r="G88" s="12" t="str">
        <f aca="false">IFERROR(VLOOKUP($F88,ItemList_Full,2,0),"")</f>
        <v/>
      </c>
      <c r="H88" s="12"/>
      <c r="I88" s="12" t="str">
        <f aca="false">IFERROR(VLOOKUP($F88,ItemList_Full,3,0),"")</f>
        <v/>
      </c>
      <c r="J88" s="12" t="str">
        <f aca="false">IFERROR(VLOOKUP($F88,ItemList_Full,4,0),"")</f>
        <v/>
      </c>
      <c r="K88" s="13" t="n">
        <v>750</v>
      </c>
      <c r="L88" s="12"/>
      <c r="M88" s="24"/>
      <c r="N88" s="12" t="s">
        <v>229</v>
      </c>
      <c r="O88" s="12"/>
      <c r="P88" s="13" t="n">
        <f aca="false">IF($E88="","",IF(OR($E88="Director Draw",$E88="Payroll/Employee Charge"),0,-$K88))</f>
        <v>-750</v>
      </c>
      <c r="Q88" s="12" t="n">
        <f aca="false">IF($E88="Inventory Purchase",$H88,0)</f>
        <v>0</v>
      </c>
      <c r="U88" s="1" t="s">
        <v>497</v>
      </c>
      <c r="V88" s="1" t="s">
        <v>498</v>
      </c>
      <c r="W88" s="1" t="s">
        <v>381</v>
      </c>
      <c r="X88" s="1" t="n">
        <v>2420</v>
      </c>
      <c r="Y88" s="1" t="s">
        <v>129</v>
      </c>
    </row>
    <row r="89" customFormat="false" ht="15" hidden="false" customHeight="true" outlineLevel="0" collapsed="false">
      <c r="A89" s="19" t="n">
        <v>46270</v>
      </c>
      <c r="B89" s="12" t="n">
        <f aca="false">IF($A89="","",ROW()-4)</f>
        <v>85</v>
      </c>
      <c r="C89" s="12" t="s">
        <v>343</v>
      </c>
      <c r="D89" s="12" t="s">
        <v>499</v>
      </c>
      <c r="E89" s="24" t="s">
        <v>134</v>
      </c>
      <c r="F89" s="12"/>
      <c r="G89" s="12" t="str">
        <f aca="false">IFERROR(VLOOKUP($F89,ItemList_Full,2,0),"")</f>
        <v/>
      </c>
      <c r="H89" s="12"/>
      <c r="I89" s="12" t="str">
        <f aca="false">IFERROR(VLOOKUP($F89,ItemList_Full,3,0),"")</f>
        <v/>
      </c>
      <c r="J89" s="12" t="str">
        <f aca="false">IFERROR(VLOOKUP($F89,ItemList_Full,4,0),"")</f>
        <v/>
      </c>
      <c r="K89" s="13" t="n">
        <v>1000</v>
      </c>
      <c r="L89" s="12"/>
      <c r="M89" s="24"/>
      <c r="N89" s="12" t="s">
        <v>229</v>
      </c>
      <c r="O89" s="12"/>
      <c r="P89" s="13" t="n">
        <f aca="false">IF($E89="","",IF(OR($E89="Director Draw",$E89="Payroll/Employee Charge"),0,-$K89))</f>
        <v>-1000</v>
      </c>
      <c r="Q89" s="12" t="n">
        <f aca="false">IF($E89="Inventory Purchase",$H89,0)</f>
        <v>0</v>
      </c>
      <c r="U89" s="1" t="s">
        <v>500</v>
      </c>
      <c r="V89" s="1" t="s">
        <v>501</v>
      </c>
      <c r="W89" s="1" t="s">
        <v>381</v>
      </c>
      <c r="X89" s="1" t="n">
        <v>1150</v>
      </c>
      <c r="Y89" s="1" t="s">
        <v>129</v>
      </c>
    </row>
    <row r="90" customFormat="false" ht="15" hidden="false" customHeight="true" outlineLevel="0" collapsed="false">
      <c r="A90" s="19" t="n">
        <v>46270</v>
      </c>
      <c r="B90" s="12" t="n">
        <f aca="false">IF($A90="","",ROW()-4)</f>
        <v>86</v>
      </c>
      <c r="C90" s="12" t="s">
        <v>502</v>
      </c>
      <c r="D90" s="12" t="s">
        <v>503</v>
      </c>
      <c r="E90" s="24" t="s">
        <v>154</v>
      </c>
      <c r="F90" s="12"/>
      <c r="G90" s="12" t="str">
        <f aca="false">IFERROR(VLOOKUP($F90,ItemList_Full,2,0),"")</f>
        <v/>
      </c>
      <c r="H90" s="12"/>
      <c r="I90" s="12" t="str">
        <f aca="false">IFERROR(VLOOKUP($F90,ItemList_Full,3,0),"")</f>
        <v/>
      </c>
      <c r="J90" s="12" t="str">
        <f aca="false">IFERROR(VLOOKUP($F90,ItemList_Full,4,0),"")</f>
        <v/>
      </c>
      <c r="K90" s="13" t="n">
        <v>180</v>
      </c>
      <c r="L90" s="12"/>
      <c r="M90" s="24"/>
      <c r="N90" s="12" t="s">
        <v>229</v>
      </c>
      <c r="O90" s="12"/>
      <c r="P90" s="13" t="n">
        <f aca="false">IF($E90="","",IF(OR($E90="Director Draw",$E90="Payroll/Employee Charge"),0,-$K90))</f>
        <v>-180</v>
      </c>
      <c r="Q90" s="12" t="n">
        <f aca="false">IF($E90="Inventory Purchase",$H90,0)</f>
        <v>0</v>
      </c>
      <c r="U90" s="1" t="s">
        <v>504</v>
      </c>
      <c r="V90" s="1" t="s">
        <v>505</v>
      </c>
      <c r="W90" s="1" t="s">
        <v>381</v>
      </c>
      <c r="X90" s="1" t="n">
        <v>1075</v>
      </c>
      <c r="Y90" s="1" t="s">
        <v>129</v>
      </c>
    </row>
    <row r="91" customFormat="false" ht="15" hidden="false" customHeight="true" outlineLevel="0" collapsed="false">
      <c r="A91" s="19" t="n">
        <v>46270</v>
      </c>
      <c r="B91" s="12" t="n">
        <f aca="false">IF($A91="","",ROW()-4)</f>
        <v>87</v>
      </c>
      <c r="C91" s="12" t="s">
        <v>506</v>
      </c>
      <c r="D91" s="12" t="s">
        <v>507</v>
      </c>
      <c r="E91" s="24" t="s">
        <v>151</v>
      </c>
      <c r="F91" s="12"/>
      <c r="G91" s="12" t="str">
        <f aca="false">IFERROR(VLOOKUP($F91,ItemList_Full,2,0),"")</f>
        <v/>
      </c>
      <c r="H91" s="12"/>
      <c r="I91" s="12" t="str">
        <f aca="false">IFERROR(VLOOKUP($F91,ItemList_Full,3,0),"")</f>
        <v/>
      </c>
      <c r="J91" s="12" t="str">
        <f aca="false">IFERROR(VLOOKUP($F91,ItemList_Full,4,0),"")</f>
        <v/>
      </c>
      <c r="K91" s="13" t="n">
        <v>150</v>
      </c>
      <c r="L91" s="12"/>
      <c r="M91" s="24"/>
      <c r="N91" s="12" t="s">
        <v>229</v>
      </c>
      <c r="O91" s="12"/>
      <c r="P91" s="13" t="n">
        <f aca="false">IF($E91="","",IF(OR($E91="Director Draw",$E91="Payroll/Employee Charge"),0,-$K91))</f>
        <v>-150</v>
      </c>
      <c r="Q91" s="12" t="n">
        <f aca="false">IF($E91="Inventory Purchase",$H91,0)</f>
        <v>0</v>
      </c>
      <c r="U91" s="1" t="s">
        <v>508</v>
      </c>
      <c r="V91" s="1" t="s">
        <v>509</v>
      </c>
      <c r="W91" s="1" t="s">
        <v>381</v>
      </c>
      <c r="X91" s="1" t="n">
        <v>1225</v>
      </c>
      <c r="Y91" s="1" t="s">
        <v>129</v>
      </c>
    </row>
    <row r="92" customFormat="false" ht="15" hidden="false" customHeight="true" outlineLevel="0" collapsed="false">
      <c r="A92" s="19" t="n">
        <v>46270</v>
      </c>
      <c r="B92" s="12" t="n">
        <f aca="false">IF($A92="","",ROW()-4)</f>
        <v>88</v>
      </c>
      <c r="C92" s="12" t="s">
        <v>343</v>
      </c>
      <c r="D92" s="12" t="s">
        <v>510</v>
      </c>
      <c r="E92" s="24" t="s">
        <v>151</v>
      </c>
      <c r="F92" s="12"/>
      <c r="G92" s="12" t="str">
        <f aca="false">IFERROR(VLOOKUP($F92,ItemList_Full,2,0),"")</f>
        <v/>
      </c>
      <c r="H92" s="12"/>
      <c r="I92" s="12" t="str">
        <f aca="false">IFERROR(VLOOKUP($F92,ItemList_Full,3,0),"")</f>
        <v/>
      </c>
      <c r="J92" s="12" t="str">
        <f aca="false">IFERROR(VLOOKUP($F92,ItemList_Full,4,0),"")</f>
        <v/>
      </c>
      <c r="K92" s="13" t="n">
        <v>500</v>
      </c>
      <c r="L92" s="12"/>
      <c r="M92" s="24"/>
      <c r="N92" s="12" t="s">
        <v>229</v>
      </c>
      <c r="O92" s="12"/>
      <c r="P92" s="13" t="n">
        <f aca="false">IF($E92="","",IF(OR($E92="Director Draw",$E92="Payroll/Employee Charge"),0,-$K92))</f>
        <v>-500</v>
      </c>
      <c r="Q92" s="12" t="n">
        <f aca="false">IF($E92="Inventory Purchase",$H92,0)</f>
        <v>0</v>
      </c>
      <c r="U92" s="1" t="s">
        <v>511</v>
      </c>
      <c r="V92" s="1" t="s">
        <v>512</v>
      </c>
      <c r="W92" s="1" t="s">
        <v>513</v>
      </c>
      <c r="X92" s="1" t="n">
        <v>340</v>
      </c>
      <c r="Y92" s="1" t="s">
        <v>129</v>
      </c>
    </row>
    <row r="93" customFormat="false" ht="15" hidden="false" customHeight="true" outlineLevel="0" collapsed="false">
      <c r="A93" s="19" t="n">
        <v>46270</v>
      </c>
      <c r="B93" s="12" t="n">
        <f aca="false">IF($A93="","",ROW()-4)</f>
        <v>89</v>
      </c>
      <c r="C93" s="12" t="s">
        <v>514</v>
      </c>
      <c r="D93" s="12" t="s">
        <v>515</v>
      </c>
      <c r="E93" s="24" t="s">
        <v>146</v>
      </c>
      <c r="F93" s="12"/>
      <c r="G93" s="12" t="str">
        <f aca="false">IFERROR(VLOOKUP($F93,ItemList_Full,2,0),"")</f>
        <v/>
      </c>
      <c r="H93" s="12"/>
      <c r="I93" s="12" t="str">
        <f aca="false">IFERROR(VLOOKUP($F93,ItemList_Full,3,0),"")</f>
        <v/>
      </c>
      <c r="J93" s="12" t="str">
        <f aca="false">IFERROR(VLOOKUP($F93,ItemList_Full,4,0),"")</f>
        <v/>
      </c>
      <c r="K93" s="13" t="n">
        <v>250</v>
      </c>
      <c r="L93" s="12"/>
      <c r="M93" s="24"/>
      <c r="N93" s="12" t="s">
        <v>229</v>
      </c>
      <c r="O93" s="12"/>
      <c r="P93" s="13" t="n">
        <f aca="false">IF($E93="","",IF(OR($E93="Director Draw",$E93="Payroll/Employee Charge"),0,-$K93))</f>
        <v>-250</v>
      </c>
      <c r="Q93" s="12" t="n">
        <f aca="false">IF($E93="Inventory Purchase",$H93,0)</f>
        <v>0</v>
      </c>
      <c r="U93" s="1" t="s">
        <v>516</v>
      </c>
      <c r="V93" s="1" t="s">
        <v>517</v>
      </c>
      <c r="W93" s="1" t="s">
        <v>518</v>
      </c>
      <c r="X93" s="1" t="n">
        <v>1050</v>
      </c>
      <c r="Y93" s="1" t="s">
        <v>129</v>
      </c>
    </row>
    <row r="94" customFormat="false" ht="15" hidden="false" customHeight="true" outlineLevel="0" collapsed="false">
      <c r="A94" s="19" t="n">
        <v>46270</v>
      </c>
      <c r="B94" s="12" t="n">
        <f aca="false">IF($A94="","",ROW()-4)</f>
        <v>90</v>
      </c>
      <c r="C94" s="12" t="s">
        <v>519</v>
      </c>
      <c r="D94" s="12" t="s">
        <v>520</v>
      </c>
      <c r="E94" s="24" t="s">
        <v>146</v>
      </c>
      <c r="F94" s="12"/>
      <c r="G94" s="12" t="str">
        <f aca="false">IFERROR(VLOOKUP($F94,ItemList_Full,2,0),"")</f>
        <v/>
      </c>
      <c r="H94" s="12"/>
      <c r="I94" s="12" t="str">
        <f aca="false">IFERROR(VLOOKUP($F94,ItemList_Full,3,0),"")</f>
        <v/>
      </c>
      <c r="J94" s="12" t="str">
        <f aca="false">IFERROR(VLOOKUP($F94,ItemList_Full,4,0),"")</f>
        <v/>
      </c>
      <c r="K94" s="13" t="n">
        <v>150</v>
      </c>
      <c r="L94" s="12"/>
      <c r="M94" s="24"/>
      <c r="N94" s="12" t="s">
        <v>229</v>
      </c>
      <c r="O94" s="12"/>
      <c r="P94" s="13" t="n">
        <f aca="false">IF($E94="","",IF(OR($E94="Director Draw",$E94="Payroll/Employee Charge"),0,-$K94))</f>
        <v>-150</v>
      </c>
      <c r="Q94" s="12" t="n">
        <f aca="false">IF($E94="Inventory Purchase",$H94,0)</f>
        <v>0</v>
      </c>
      <c r="U94" s="1" t="s">
        <v>521</v>
      </c>
      <c r="V94" s="1" t="s">
        <v>522</v>
      </c>
      <c r="W94" s="1" t="s">
        <v>523</v>
      </c>
      <c r="X94" s="1" t="n">
        <v>1710</v>
      </c>
      <c r="Y94" s="1" t="s">
        <v>129</v>
      </c>
    </row>
    <row r="95" customFormat="false" ht="15" hidden="false" customHeight="true" outlineLevel="0" collapsed="false">
      <c r="A95" s="19" t="n">
        <v>46270</v>
      </c>
      <c r="B95" s="12" t="n">
        <f aca="false">IF($A95="","",ROW()-4)</f>
        <v>91</v>
      </c>
      <c r="C95" s="12" t="s">
        <v>299</v>
      </c>
      <c r="D95" s="12" t="s">
        <v>300</v>
      </c>
      <c r="E95" s="24" t="s">
        <v>149</v>
      </c>
      <c r="F95" s="12"/>
      <c r="G95" s="12" t="str">
        <f aca="false">IFERROR(VLOOKUP($F95,ItemList_Full,2,0),"")</f>
        <v/>
      </c>
      <c r="H95" s="12"/>
      <c r="I95" s="12" t="str">
        <f aca="false">IFERROR(VLOOKUP($F95,ItemList_Full,3,0),"")</f>
        <v/>
      </c>
      <c r="J95" s="12" t="str">
        <f aca="false">IFERROR(VLOOKUP($F95,ItemList_Full,4,0),"")</f>
        <v/>
      </c>
      <c r="K95" s="13" t="n">
        <v>200</v>
      </c>
      <c r="L95" s="12"/>
      <c r="M95" s="24"/>
      <c r="N95" s="12" t="s">
        <v>229</v>
      </c>
      <c r="O95" s="12"/>
      <c r="P95" s="13" t="n">
        <f aca="false">IF($E95="","",IF(OR($E95="Director Draw",$E95="Payroll/Employee Charge"),0,-$K95))</f>
        <v>-200</v>
      </c>
      <c r="Q95" s="12" t="n">
        <f aca="false">IF($E95="Inventory Purchase",$H95,0)</f>
        <v>0</v>
      </c>
      <c r="U95" s="1" t="s">
        <v>524</v>
      </c>
      <c r="V95" s="1" t="s">
        <v>525</v>
      </c>
      <c r="W95" s="1" t="s">
        <v>381</v>
      </c>
      <c r="X95" s="1" t="n">
        <v>1370</v>
      </c>
      <c r="Y95" s="1" t="s">
        <v>129</v>
      </c>
    </row>
    <row r="96" customFormat="false" ht="15" hidden="false" customHeight="true" outlineLevel="0" collapsed="false">
      <c r="A96" s="19" t="n">
        <v>46270</v>
      </c>
      <c r="B96" s="12" t="n">
        <f aca="false">IF($A96="","",ROW()-4)</f>
        <v>92</v>
      </c>
      <c r="C96" s="12" t="s">
        <v>355</v>
      </c>
      <c r="D96" s="12" t="s">
        <v>526</v>
      </c>
      <c r="E96" s="24" t="s">
        <v>143</v>
      </c>
      <c r="F96" s="12"/>
      <c r="G96" s="12" t="str">
        <f aca="false">IFERROR(VLOOKUP($F96,ItemList_Full,2,0),"")</f>
        <v/>
      </c>
      <c r="H96" s="12"/>
      <c r="I96" s="12" t="str">
        <f aca="false">IFERROR(VLOOKUP($F96,ItemList_Full,3,0),"")</f>
        <v/>
      </c>
      <c r="J96" s="12" t="str">
        <f aca="false">IFERROR(VLOOKUP($F96,ItemList_Full,4,0),"")</f>
        <v/>
      </c>
      <c r="K96" s="13" t="n">
        <v>500</v>
      </c>
      <c r="L96" s="12"/>
      <c r="M96" s="24"/>
      <c r="N96" s="12" t="s">
        <v>229</v>
      </c>
      <c r="O96" s="12"/>
      <c r="P96" s="13" t="n">
        <f aca="false">IF($E96="","",IF(OR($E96="Director Draw",$E96="Payroll/Employee Charge"),0,-$K96))</f>
        <v>-500</v>
      </c>
      <c r="Q96" s="12" t="n">
        <f aca="false">IF($E96="Inventory Purchase",$H96,0)</f>
        <v>0</v>
      </c>
      <c r="U96" s="1" t="s">
        <v>527</v>
      </c>
      <c r="V96" s="1" t="s">
        <v>528</v>
      </c>
      <c r="W96" s="1" t="s">
        <v>518</v>
      </c>
      <c r="X96" s="1" t="n">
        <v>2512.5</v>
      </c>
      <c r="Y96" s="1" t="s">
        <v>129</v>
      </c>
    </row>
    <row r="97" customFormat="false" ht="15" hidden="false" customHeight="true" outlineLevel="0" collapsed="false">
      <c r="A97" s="19" t="n">
        <v>46270</v>
      </c>
      <c r="B97" s="12" t="n">
        <f aca="false">IF($A97="","",ROW()-4)</f>
        <v>93</v>
      </c>
      <c r="C97" s="12" t="s">
        <v>343</v>
      </c>
      <c r="D97" s="12" t="s">
        <v>529</v>
      </c>
      <c r="E97" s="24" t="s">
        <v>143</v>
      </c>
      <c r="F97" s="12"/>
      <c r="G97" s="12" t="str">
        <f aca="false">IFERROR(VLOOKUP($F97,ItemList_Full,2,0),"")</f>
        <v/>
      </c>
      <c r="H97" s="12"/>
      <c r="I97" s="12" t="str">
        <f aca="false">IFERROR(VLOOKUP($F97,ItemList_Full,3,0),"")</f>
        <v/>
      </c>
      <c r="J97" s="12" t="str">
        <f aca="false">IFERROR(VLOOKUP($F97,ItemList_Full,4,0),"")</f>
        <v/>
      </c>
      <c r="K97" s="13" t="n">
        <v>1890</v>
      </c>
      <c r="L97" s="12"/>
      <c r="M97" s="24"/>
      <c r="N97" s="12" t="s">
        <v>229</v>
      </c>
      <c r="O97" s="12"/>
      <c r="P97" s="13" t="n">
        <f aca="false">IF($E97="","",IF(OR($E97="Director Draw",$E97="Payroll/Employee Charge"),0,-$K97))</f>
        <v>-1890</v>
      </c>
      <c r="Q97" s="12" t="n">
        <f aca="false">IF($E97="Inventory Purchase",$H97,0)</f>
        <v>0</v>
      </c>
      <c r="U97" s="1" t="s">
        <v>530</v>
      </c>
      <c r="V97" s="1" t="s">
        <v>531</v>
      </c>
      <c r="W97" s="1" t="s">
        <v>532</v>
      </c>
      <c r="X97" s="1" t="n">
        <v>2842</v>
      </c>
      <c r="Y97" s="1" t="s">
        <v>129</v>
      </c>
    </row>
    <row r="98" customFormat="false" ht="15" hidden="false" customHeight="true" outlineLevel="0" collapsed="false">
      <c r="A98" s="19" t="n">
        <v>46271</v>
      </c>
      <c r="B98" s="12" t="n">
        <f aca="false">IF($A98="","",ROW()-4)</f>
        <v>94</v>
      </c>
      <c r="C98" s="12" t="s">
        <v>225</v>
      </c>
      <c r="D98" s="12" t="s">
        <v>533</v>
      </c>
      <c r="E98" s="24" t="s">
        <v>227</v>
      </c>
      <c r="F98" s="12"/>
      <c r="G98" s="12" t="str">
        <f aca="false">IFERROR(VLOOKUP($F98,ItemList_Full,2,0),"")</f>
        <v/>
      </c>
      <c r="H98" s="12"/>
      <c r="I98" s="12" t="str">
        <f aca="false">IFERROR(VLOOKUP($F98,ItemList_Full,3,0),"")</f>
        <v/>
      </c>
      <c r="J98" s="12" t="str">
        <f aca="false">IFERROR(VLOOKUP($F98,ItemList_Full,4,0),"")</f>
        <v/>
      </c>
      <c r="K98" s="13" t="n">
        <v>401</v>
      </c>
      <c r="L98" s="12"/>
      <c r="M98" s="24" t="s">
        <v>228</v>
      </c>
      <c r="N98" s="12" t="s">
        <v>229</v>
      </c>
      <c r="O98" s="12"/>
      <c r="P98" s="13" t="n">
        <f aca="false">IF($E98="","",IF(OR($E98="Director Draw",$E98="Payroll/Employee Charge"),0,-$K98))</f>
        <v>0</v>
      </c>
      <c r="Q98" s="12" t="n">
        <f aca="false">IF($E98="Inventory Purchase",$H98,0)</f>
        <v>0</v>
      </c>
      <c r="U98" s="1" t="s">
        <v>534</v>
      </c>
      <c r="V98" s="1" t="s">
        <v>535</v>
      </c>
      <c r="W98" s="1" t="s">
        <v>267</v>
      </c>
      <c r="X98" s="1" t="n">
        <v>1800</v>
      </c>
      <c r="Y98" s="1" t="s">
        <v>129</v>
      </c>
    </row>
    <row r="99" customFormat="false" ht="15" hidden="false" customHeight="true" outlineLevel="0" collapsed="false">
      <c r="A99" s="19" t="n">
        <v>46271</v>
      </c>
      <c r="B99" s="12" t="n">
        <f aca="false">IF($A99="","",ROW()-4)</f>
        <v>95</v>
      </c>
      <c r="C99" s="12" t="s">
        <v>225</v>
      </c>
      <c r="D99" s="12" t="s">
        <v>226</v>
      </c>
      <c r="E99" s="24" t="s">
        <v>227</v>
      </c>
      <c r="F99" s="12"/>
      <c r="G99" s="12" t="str">
        <f aca="false">IFERROR(VLOOKUP($F99,ItemList_Full,2,0),"")</f>
        <v/>
      </c>
      <c r="H99" s="12"/>
      <c r="I99" s="12" t="str">
        <f aca="false">IFERROR(VLOOKUP($F99,ItemList_Full,3,0),"")</f>
        <v/>
      </c>
      <c r="J99" s="12" t="str">
        <f aca="false">IFERROR(VLOOKUP($F99,ItemList_Full,4,0),"")</f>
        <v/>
      </c>
      <c r="K99" s="13" t="n">
        <v>17045</v>
      </c>
      <c r="L99" s="12"/>
      <c r="M99" s="24" t="s">
        <v>228</v>
      </c>
      <c r="N99" s="12" t="s">
        <v>229</v>
      </c>
      <c r="O99" s="12"/>
      <c r="P99" s="13" t="n">
        <f aca="false">IF($E99="","",IF(OR($E99="Director Draw",$E99="Payroll/Employee Charge"),0,-$K99))</f>
        <v>0</v>
      </c>
      <c r="Q99" s="12" t="n">
        <f aca="false">IF($E99="Inventory Purchase",$H99,0)</f>
        <v>0</v>
      </c>
      <c r="U99" s="1" t="s">
        <v>536</v>
      </c>
      <c r="V99" s="1" t="s">
        <v>537</v>
      </c>
      <c r="W99" s="1" t="s">
        <v>538</v>
      </c>
      <c r="X99" s="1" t="n">
        <v>518.75</v>
      </c>
      <c r="Y99" s="1" t="s">
        <v>129</v>
      </c>
    </row>
    <row r="100" customFormat="false" ht="15" hidden="false" customHeight="true" outlineLevel="0" collapsed="false">
      <c r="A100" s="19" t="n">
        <v>46271</v>
      </c>
      <c r="B100" s="12" t="n">
        <f aca="false">IF($A100="","",ROW()-4)</f>
        <v>96</v>
      </c>
      <c r="C100" s="12" t="s">
        <v>225</v>
      </c>
      <c r="D100" s="12" t="s">
        <v>305</v>
      </c>
      <c r="E100" s="24" t="s">
        <v>227</v>
      </c>
      <c r="F100" s="12"/>
      <c r="G100" s="12" t="str">
        <f aca="false">IFERROR(VLOOKUP($F100,ItemList_Full,2,0),"")</f>
        <v/>
      </c>
      <c r="H100" s="12"/>
      <c r="I100" s="12" t="str">
        <f aca="false">IFERROR(VLOOKUP($F100,ItemList_Full,3,0),"")</f>
        <v/>
      </c>
      <c r="J100" s="12" t="str">
        <f aca="false">IFERROR(VLOOKUP($F100,ItemList_Full,4,0),"")</f>
        <v/>
      </c>
      <c r="K100" s="13" t="n">
        <v>10260</v>
      </c>
      <c r="L100" s="12"/>
      <c r="M100" s="24" t="s">
        <v>228</v>
      </c>
      <c r="N100" s="12" t="s">
        <v>229</v>
      </c>
      <c r="O100" s="12"/>
      <c r="P100" s="13" t="n">
        <f aca="false">IF($E100="","",IF(OR($E100="Director Draw",$E100="Payroll/Employee Charge"),0,-$K100))</f>
        <v>0</v>
      </c>
      <c r="Q100" s="12" t="n">
        <f aca="false">IF($E100="Inventory Purchase",$H100,0)</f>
        <v>0</v>
      </c>
      <c r="U100" s="1" t="s">
        <v>539</v>
      </c>
      <c r="V100" s="1" t="s">
        <v>540</v>
      </c>
      <c r="W100" s="1" t="s">
        <v>541</v>
      </c>
      <c r="X100" s="1" t="n">
        <v>1000</v>
      </c>
      <c r="Y100" s="1" t="s">
        <v>129</v>
      </c>
    </row>
    <row r="101" customFormat="false" ht="15" hidden="false" customHeight="true" outlineLevel="0" collapsed="false">
      <c r="A101" s="19" t="n">
        <v>46271</v>
      </c>
      <c r="B101" s="12" t="n">
        <f aca="false">IF($A101="","",ROW()-4)</f>
        <v>97</v>
      </c>
      <c r="C101" s="12" t="s">
        <v>255</v>
      </c>
      <c r="D101" s="12" t="s">
        <v>542</v>
      </c>
      <c r="E101" s="24" t="s">
        <v>139</v>
      </c>
      <c r="F101" s="12"/>
      <c r="G101" s="12" t="str">
        <f aca="false">IFERROR(VLOOKUP($F101,ItemList_Full,2,0),"")</f>
        <v/>
      </c>
      <c r="H101" s="12"/>
      <c r="I101" s="12" t="str">
        <f aca="false">IFERROR(VLOOKUP($F101,ItemList_Full,3,0),"")</f>
        <v/>
      </c>
      <c r="J101" s="12" t="str">
        <f aca="false">IFERROR(VLOOKUP($F101,ItemList_Full,4,0),"")</f>
        <v/>
      </c>
      <c r="K101" s="13" t="n">
        <v>900</v>
      </c>
      <c r="L101" s="12"/>
      <c r="M101" s="24"/>
      <c r="N101" s="12" t="s">
        <v>229</v>
      </c>
      <c r="O101" s="12"/>
      <c r="P101" s="13" t="n">
        <f aca="false">IF($E101="","",IF(OR($E101="Director Draw",$E101="Payroll/Employee Charge"),0,-$K101))</f>
        <v>-900</v>
      </c>
      <c r="Q101" s="12" t="n">
        <f aca="false">IF($E101="Inventory Purchase",$H101,0)</f>
        <v>0</v>
      </c>
      <c r="U101" s="1" t="s">
        <v>543</v>
      </c>
      <c r="V101" s="1" t="s">
        <v>544</v>
      </c>
      <c r="W101" s="1" t="s">
        <v>545</v>
      </c>
      <c r="X101" s="1" t="n">
        <v>212.5</v>
      </c>
      <c r="Y101" s="1" t="s">
        <v>129</v>
      </c>
    </row>
    <row r="102" customFormat="false" ht="15" hidden="false" customHeight="true" outlineLevel="0" collapsed="false">
      <c r="A102" s="19" t="n">
        <v>46271</v>
      </c>
      <c r="B102" s="12" t="n">
        <f aca="false">IF($A102="","",ROW()-4)</f>
        <v>98</v>
      </c>
      <c r="C102" s="12" t="s">
        <v>242</v>
      </c>
      <c r="D102" s="12" t="s">
        <v>243</v>
      </c>
      <c r="E102" s="24" t="s">
        <v>139</v>
      </c>
      <c r="F102" s="12"/>
      <c r="G102" s="12" t="str">
        <f aca="false">IFERROR(VLOOKUP($F102,ItemList_Full,2,0),"")</f>
        <v/>
      </c>
      <c r="H102" s="12"/>
      <c r="I102" s="12" t="str">
        <f aca="false">IFERROR(VLOOKUP($F102,ItemList_Full,3,0),"")</f>
        <v/>
      </c>
      <c r="J102" s="12" t="str">
        <f aca="false">IFERROR(VLOOKUP($F102,ItemList_Full,4,0),"")</f>
        <v/>
      </c>
      <c r="K102" s="13" t="n">
        <v>38200</v>
      </c>
      <c r="L102" s="12"/>
      <c r="M102" s="24"/>
      <c r="N102" s="12" t="s">
        <v>229</v>
      </c>
      <c r="O102" s="12"/>
      <c r="P102" s="13" t="n">
        <f aca="false">IF($E102="","",IF(OR($E102="Director Draw",$E102="Payroll/Employee Charge"),0,-$K102))</f>
        <v>-38200</v>
      </c>
      <c r="Q102" s="12" t="n">
        <f aca="false">IF($E102="Inventory Purchase",$H102,0)</f>
        <v>0</v>
      </c>
      <c r="U102" s="1" t="s">
        <v>546</v>
      </c>
      <c r="V102" s="1" t="s">
        <v>547</v>
      </c>
      <c r="W102" s="1" t="s">
        <v>350</v>
      </c>
      <c r="X102" s="1" t="n">
        <v>1465</v>
      </c>
      <c r="Y102" s="1" t="s">
        <v>129</v>
      </c>
    </row>
    <row r="103" customFormat="false" ht="15" hidden="false" customHeight="true" outlineLevel="0" collapsed="false">
      <c r="A103" s="19" t="n">
        <v>46271</v>
      </c>
      <c r="B103" s="12" t="n">
        <f aca="false">IF($A103="","",ROW()-4)</f>
        <v>99</v>
      </c>
      <c r="C103" s="12" t="s">
        <v>247</v>
      </c>
      <c r="D103" s="12" t="s">
        <v>248</v>
      </c>
      <c r="E103" s="24" t="s">
        <v>153</v>
      </c>
      <c r="F103" s="12"/>
      <c r="G103" s="12" t="str">
        <f aca="false">IFERROR(VLOOKUP($F103,ItemList_Full,2,0),"")</f>
        <v/>
      </c>
      <c r="H103" s="12"/>
      <c r="I103" s="12" t="str">
        <f aca="false">IFERROR(VLOOKUP($F103,ItemList_Full,3,0),"")</f>
        <v/>
      </c>
      <c r="J103" s="12" t="str">
        <f aca="false">IFERROR(VLOOKUP($F103,ItemList_Full,4,0),"")</f>
        <v/>
      </c>
      <c r="K103" s="13" t="n">
        <v>8898</v>
      </c>
      <c r="L103" s="12"/>
      <c r="M103" s="24"/>
      <c r="N103" s="12" t="s">
        <v>229</v>
      </c>
      <c r="O103" s="12"/>
      <c r="P103" s="13" t="n">
        <f aca="false">IF($E103="","",IF(OR($E103="Director Draw",$E103="Payroll/Employee Charge"),0,-$K103))</f>
        <v>-8898</v>
      </c>
      <c r="Q103" s="12" t="n">
        <f aca="false">IF($E103="Inventory Purchase",$H103,0)</f>
        <v>0</v>
      </c>
      <c r="U103" s="1" t="s">
        <v>548</v>
      </c>
      <c r="V103" s="1" t="s">
        <v>549</v>
      </c>
      <c r="W103" s="1" t="s">
        <v>350</v>
      </c>
      <c r="X103" s="1" t="n">
        <v>280</v>
      </c>
      <c r="Y103" s="1" t="s">
        <v>129</v>
      </c>
    </row>
    <row r="104" customFormat="false" ht="15" hidden="false" customHeight="true" outlineLevel="0" collapsed="false">
      <c r="A104" s="19" t="n">
        <v>46271</v>
      </c>
      <c r="B104" s="12" t="n">
        <f aca="false">IF($A104="","",ROW()-4)</f>
        <v>100</v>
      </c>
      <c r="C104" s="12" t="s">
        <v>550</v>
      </c>
      <c r="D104" s="12" t="s">
        <v>551</v>
      </c>
      <c r="E104" s="24" t="s">
        <v>152</v>
      </c>
      <c r="F104" s="12"/>
      <c r="G104" s="12" t="str">
        <f aca="false">IFERROR(VLOOKUP($F104,ItemList_Full,2,0),"")</f>
        <v/>
      </c>
      <c r="H104" s="12"/>
      <c r="I104" s="12" t="str">
        <f aca="false">IFERROR(VLOOKUP($F104,ItemList_Full,3,0),"")</f>
        <v/>
      </c>
      <c r="J104" s="12" t="str">
        <f aca="false">IFERROR(VLOOKUP($F104,ItemList_Full,4,0),"")</f>
        <v/>
      </c>
      <c r="K104" s="13" t="n">
        <v>250000</v>
      </c>
      <c r="L104" s="12"/>
      <c r="M104" s="24"/>
      <c r="N104" s="12" t="s">
        <v>229</v>
      </c>
      <c r="O104" s="12"/>
      <c r="P104" s="13" t="n">
        <f aca="false">IF($E104="","",IF(OR($E104="Director Draw",$E104="Payroll/Employee Charge"),0,-$K104))</f>
        <v>-250000</v>
      </c>
      <c r="Q104" s="12" t="n">
        <f aca="false">IF($E104="Inventory Purchase",$H104,0)</f>
        <v>0</v>
      </c>
      <c r="U104" s="1" t="s">
        <v>552</v>
      </c>
      <c r="V104" s="1" t="s">
        <v>553</v>
      </c>
      <c r="W104" s="1" t="s">
        <v>518</v>
      </c>
      <c r="X104" s="1" t="n">
        <v>1330</v>
      </c>
      <c r="Y104" s="1" t="s">
        <v>129</v>
      </c>
    </row>
    <row r="105" customFormat="false" ht="15" hidden="false" customHeight="true" outlineLevel="0" collapsed="false">
      <c r="A105" s="19" t="n">
        <v>46271</v>
      </c>
      <c r="B105" s="12" t="n">
        <f aca="false">IF($A105="","",ROW()-4)</f>
        <v>101</v>
      </c>
      <c r="C105" s="12" t="s">
        <v>554</v>
      </c>
      <c r="D105" s="12" t="s">
        <v>555</v>
      </c>
      <c r="E105" s="24" t="s">
        <v>143</v>
      </c>
      <c r="F105" s="12"/>
      <c r="G105" s="12" t="str">
        <f aca="false">IFERROR(VLOOKUP($F105,ItemList_Full,2,0),"")</f>
        <v/>
      </c>
      <c r="H105" s="12"/>
      <c r="I105" s="12" t="str">
        <f aca="false">IFERROR(VLOOKUP($F105,ItemList_Full,3,0),"")</f>
        <v/>
      </c>
      <c r="J105" s="12" t="str">
        <f aca="false">IFERROR(VLOOKUP($F105,ItemList_Full,4,0),"")</f>
        <v/>
      </c>
      <c r="K105" s="13" t="n">
        <v>1680000</v>
      </c>
      <c r="L105" s="12"/>
      <c r="M105" s="24"/>
      <c r="N105" s="12" t="s">
        <v>229</v>
      </c>
      <c r="O105" s="12"/>
      <c r="P105" s="13" t="n">
        <f aca="false">IF($E105="","",IF(OR($E105="Director Draw",$E105="Payroll/Employee Charge"),0,-$K105))</f>
        <v>-1680000</v>
      </c>
      <c r="Q105" s="12" t="n">
        <f aca="false">IF($E105="Inventory Purchase",$H105,0)</f>
        <v>0</v>
      </c>
      <c r="U105" s="1" t="s">
        <v>556</v>
      </c>
      <c r="V105" s="1" t="s">
        <v>557</v>
      </c>
      <c r="W105" s="1" t="s">
        <v>246</v>
      </c>
      <c r="X105" s="1" t="n">
        <v>25.3833333333333</v>
      </c>
      <c r="Y105" s="1" t="s">
        <v>129</v>
      </c>
    </row>
    <row r="106" customFormat="false" ht="15" hidden="false" customHeight="true" outlineLevel="0" collapsed="false">
      <c r="A106" s="19" t="n">
        <v>46271</v>
      </c>
      <c r="B106" s="12" t="n">
        <f aca="false">IF($A106="","",ROW()-4)</f>
        <v>102</v>
      </c>
      <c r="C106" s="12" t="s">
        <v>361</v>
      </c>
      <c r="D106" s="12" t="s">
        <v>558</v>
      </c>
      <c r="E106" s="24" t="s">
        <v>149</v>
      </c>
      <c r="F106" s="12"/>
      <c r="G106" s="12" t="str">
        <f aca="false">IFERROR(VLOOKUP($F106,ItemList_Full,2,0),"")</f>
        <v/>
      </c>
      <c r="H106" s="12"/>
      <c r="I106" s="12" t="str">
        <f aca="false">IFERROR(VLOOKUP($F106,ItemList_Full,3,0),"")</f>
        <v/>
      </c>
      <c r="J106" s="12" t="str">
        <f aca="false">IFERROR(VLOOKUP($F106,ItemList_Full,4,0),"")</f>
        <v/>
      </c>
      <c r="K106" s="13" t="n">
        <v>1300</v>
      </c>
      <c r="L106" s="12"/>
      <c r="M106" s="24"/>
      <c r="N106" s="12" t="s">
        <v>229</v>
      </c>
      <c r="O106" s="12"/>
      <c r="P106" s="13" t="n">
        <f aca="false">IF($E106="","",IF(OR($E106="Director Draw",$E106="Payroll/Employee Charge"),0,-$K106))</f>
        <v>-1300</v>
      </c>
      <c r="Q106" s="12" t="n">
        <f aca="false">IF($E106="Inventory Purchase",$H106,0)</f>
        <v>0</v>
      </c>
      <c r="U106" s="1" t="s">
        <v>559</v>
      </c>
      <c r="V106" s="1" t="s">
        <v>560</v>
      </c>
      <c r="W106" s="1" t="s">
        <v>561</v>
      </c>
      <c r="X106" s="1" t="n">
        <v>4800</v>
      </c>
      <c r="Y106" s="1" t="s">
        <v>129</v>
      </c>
    </row>
    <row r="107" customFormat="false" ht="15" hidden="false" customHeight="true" outlineLevel="0" collapsed="false">
      <c r="A107" s="19" t="n">
        <v>46271</v>
      </c>
      <c r="B107" s="12" t="n">
        <f aca="false">IF($A107="","",ROW()-4)</f>
        <v>103</v>
      </c>
      <c r="C107" s="12" t="s">
        <v>299</v>
      </c>
      <c r="D107" s="12" t="s">
        <v>300</v>
      </c>
      <c r="E107" s="24" t="s">
        <v>149</v>
      </c>
      <c r="F107" s="12"/>
      <c r="G107" s="12" t="str">
        <f aca="false">IFERROR(VLOOKUP($F107,ItemList_Full,2,0),"")</f>
        <v/>
      </c>
      <c r="H107" s="12"/>
      <c r="I107" s="12" t="str">
        <f aca="false">IFERROR(VLOOKUP($F107,ItemList_Full,3,0),"")</f>
        <v/>
      </c>
      <c r="J107" s="12" t="str">
        <f aca="false">IFERROR(VLOOKUP($F107,ItemList_Full,4,0),"")</f>
        <v/>
      </c>
      <c r="K107" s="13" t="n">
        <v>200</v>
      </c>
      <c r="L107" s="12"/>
      <c r="M107" s="24"/>
      <c r="N107" s="12" t="s">
        <v>229</v>
      </c>
      <c r="O107" s="12"/>
      <c r="P107" s="13" t="n">
        <f aca="false">IF($E107="","",IF(OR($E107="Director Draw",$E107="Payroll/Employee Charge"),0,-$K107))</f>
        <v>-200</v>
      </c>
      <c r="Q107" s="12" t="n">
        <f aca="false">IF($E107="Inventory Purchase",$H107,0)</f>
        <v>0</v>
      </c>
      <c r="U107" s="1" t="s">
        <v>562</v>
      </c>
      <c r="V107" s="1" t="s">
        <v>563</v>
      </c>
      <c r="W107" s="1" t="s">
        <v>350</v>
      </c>
      <c r="X107" s="1" t="n">
        <v>740</v>
      </c>
      <c r="Y107" s="1" t="s">
        <v>129</v>
      </c>
    </row>
    <row r="108" customFormat="false" ht="15" hidden="false" customHeight="true" outlineLevel="0" collapsed="false">
      <c r="A108" s="19" t="n">
        <v>46271</v>
      </c>
      <c r="B108" s="12" t="n">
        <f aca="false">IF($A108="","",ROW()-4)</f>
        <v>104</v>
      </c>
      <c r="C108" s="12" t="s">
        <v>449</v>
      </c>
      <c r="D108" s="12" t="s">
        <v>564</v>
      </c>
      <c r="E108" s="24" t="s">
        <v>127</v>
      </c>
      <c r="F108" s="12"/>
      <c r="G108" s="12" t="str">
        <f aca="false">IFERROR(VLOOKUP($F108,ItemList_Full,2,0),"")</f>
        <v/>
      </c>
      <c r="H108" s="12"/>
      <c r="I108" s="12" t="str">
        <f aca="false">IFERROR(VLOOKUP($F108,ItemList_Full,3,0),"")</f>
        <v/>
      </c>
      <c r="J108" s="12" t="str">
        <f aca="false">IFERROR(VLOOKUP($F108,ItemList_Full,4,0),"")</f>
        <v/>
      </c>
      <c r="K108" s="13" t="n">
        <v>8800</v>
      </c>
      <c r="L108" s="12"/>
      <c r="M108" s="24"/>
      <c r="N108" s="12" t="s">
        <v>229</v>
      </c>
      <c r="O108" s="12"/>
      <c r="P108" s="13" t="n">
        <f aca="false">IF($E108="","",IF(OR($E108="Director Draw",$E108="Payroll/Employee Charge"),0,-$K108))</f>
        <v>-8800</v>
      </c>
      <c r="Q108" s="12" t="n">
        <f aca="false">IF($E108="Inventory Purchase",$H108,0)</f>
        <v>0</v>
      </c>
      <c r="U108" s="1" t="s">
        <v>565</v>
      </c>
      <c r="V108" s="1" t="s">
        <v>566</v>
      </c>
      <c r="W108" s="1" t="s">
        <v>241</v>
      </c>
      <c r="X108" s="1" t="n">
        <v>670</v>
      </c>
      <c r="Y108" s="1" t="s">
        <v>129</v>
      </c>
    </row>
    <row r="109" customFormat="false" ht="15" hidden="false" customHeight="true" outlineLevel="0" collapsed="false">
      <c r="A109" s="19" t="n">
        <v>46271</v>
      </c>
      <c r="B109" s="12" t="n">
        <f aca="false">IF($A109="","",ROW()-4)</f>
        <v>105</v>
      </c>
      <c r="C109" s="12" t="s">
        <v>567</v>
      </c>
      <c r="D109" s="12" t="s">
        <v>568</v>
      </c>
      <c r="E109" s="24" t="s">
        <v>127</v>
      </c>
      <c r="F109" s="12"/>
      <c r="G109" s="12" t="str">
        <f aca="false">IFERROR(VLOOKUP($F109,ItemList_Full,2,0),"")</f>
        <v/>
      </c>
      <c r="H109" s="12"/>
      <c r="I109" s="12" t="str">
        <f aca="false">IFERROR(VLOOKUP($F109,ItemList_Full,3,0),"")</f>
        <v/>
      </c>
      <c r="J109" s="12" t="str">
        <f aca="false">IFERROR(VLOOKUP($F109,ItemList_Full,4,0),"")</f>
        <v/>
      </c>
      <c r="K109" s="13" t="n">
        <v>800</v>
      </c>
      <c r="L109" s="12"/>
      <c r="M109" s="24"/>
      <c r="N109" s="12" t="s">
        <v>229</v>
      </c>
      <c r="O109" s="12"/>
      <c r="P109" s="13" t="n">
        <f aca="false">IF($E109="","",IF(OR($E109="Director Draw",$E109="Payroll/Employee Charge"),0,-$K109))</f>
        <v>-800</v>
      </c>
      <c r="Q109" s="12" t="n">
        <f aca="false">IF($E109="Inventory Purchase",$H109,0)</f>
        <v>0</v>
      </c>
      <c r="U109" s="1" t="s">
        <v>569</v>
      </c>
      <c r="V109" s="1" t="s">
        <v>570</v>
      </c>
      <c r="W109" s="1" t="s">
        <v>241</v>
      </c>
      <c r="X109" s="1" t="n">
        <v>1160</v>
      </c>
      <c r="Y109" s="1" t="s">
        <v>129</v>
      </c>
    </row>
    <row r="110" customFormat="false" ht="15" hidden="false" customHeight="true" outlineLevel="0" collapsed="false">
      <c r="A110" s="19" t="n">
        <v>46271</v>
      </c>
      <c r="B110" s="12" t="n">
        <f aca="false">IF($A110="","",ROW()-4)</f>
        <v>106</v>
      </c>
      <c r="C110" s="12" t="s">
        <v>571</v>
      </c>
      <c r="D110" s="12" t="s">
        <v>572</v>
      </c>
      <c r="E110" s="24" t="s">
        <v>151</v>
      </c>
      <c r="F110" s="12"/>
      <c r="G110" s="12" t="str">
        <f aca="false">IFERROR(VLOOKUP($F110,ItemList_Full,2,0),"")</f>
        <v/>
      </c>
      <c r="H110" s="12"/>
      <c r="I110" s="12" t="str">
        <f aca="false">IFERROR(VLOOKUP($F110,ItemList_Full,3,0),"")</f>
        <v/>
      </c>
      <c r="J110" s="12" t="str">
        <f aca="false">IFERROR(VLOOKUP($F110,ItemList_Full,4,0),"")</f>
        <v/>
      </c>
      <c r="K110" s="13" t="n">
        <v>200</v>
      </c>
      <c r="L110" s="12"/>
      <c r="M110" s="24"/>
      <c r="N110" s="12" t="s">
        <v>229</v>
      </c>
      <c r="O110" s="12"/>
      <c r="P110" s="13" t="n">
        <f aca="false">IF($E110="","",IF(OR($E110="Director Draw",$E110="Payroll/Employee Charge"),0,-$K110))</f>
        <v>-200</v>
      </c>
      <c r="Q110" s="12" t="n">
        <f aca="false">IF($E110="Inventory Purchase",$H110,0)</f>
        <v>0</v>
      </c>
      <c r="U110" s="1" t="s">
        <v>573</v>
      </c>
      <c r="V110" s="1" t="s">
        <v>574</v>
      </c>
      <c r="W110" s="1" t="s">
        <v>241</v>
      </c>
      <c r="X110" s="1" t="n">
        <v>1000</v>
      </c>
      <c r="Y110" s="1" t="s">
        <v>129</v>
      </c>
    </row>
    <row r="111" customFormat="false" ht="15" hidden="false" customHeight="true" outlineLevel="0" collapsed="false">
      <c r="A111" s="19" t="n">
        <v>46271</v>
      </c>
      <c r="B111" s="12" t="n">
        <f aca="false">IF($A111="","",ROW()-4)</f>
        <v>107</v>
      </c>
      <c r="C111" s="12" t="s">
        <v>575</v>
      </c>
      <c r="D111" s="12" t="s">
        <v>576</v>
      </c>
      <c r="E111" s="24" t="s">
        <v>151</v>
      </c>
      <c r="F111" s="12"/>
      <c r="G111" s="12" t="str">
        <f aca="false">IFERROR(VLOOKUP($F111,ItemList_Full,2,0),"")</f>
        <v/>
      </c>
      <c r="H111" s="12"/>
      <c r="I111" s="12" t="str">
        <f aca="false">IFERROR(VLOOKUP($F111,ItemList_Full,3,0),"")</f>
        <v/>
      </c>
      <c r="J111" s="12" t="str">
        <f aca="false">IFERROR(VLOOKUP($F111,ItemList_Full,4,0),"")</f>
        <v/>
      </c>
      <c r="K111" s="13" t="n">
        <v>900</v>
      </c>
      <c r="L111" s="12"/>
      <c r="M111" s="24"/>
      <c r="N111" s="12" t="s">
        <v>229</v>
      </c>
      <c r="O111" s="12"/>
      <c r="P111" s="13" t="n">
        <f aca="false">IF($E111="","",IF(OR($E111="Director Draw",$E111="Payroll/Employee Charge"),0,-$K111))</f>
        <v>-900</v>
      </c>
      <c r="Q111" s="12" t="n">
        <f aca="false">IF($E111="Inventory Purchase",$H111,0)</f>
        <v>0</v>
      </c>
      <c r="U111" s="1" t="s">
        <v>577</v>
      </c>
      <c r="V111" s="1" t="s">
        <v>578</v>
      </c>
      <c r="W111" s="1" t="s">
        <v>350</v>
      </c>
      <c r="X111" s="1" t="n">
        <v>1050</v>
      </c>
      <c r="Y111" s="1" t="s">
        <v>129</v>
      </c>
    </row>
    <row r="112" customFormat="false" ht="15" hidden="false" customHeight="true" outlineLevel="0" collapsed="false">
      <c r="A112" s="19" t="n">
        <v>46271</v>
      </c>
      <c r="B112" s="12" t="n">
        <f aca="false">IF($A112="","",ROW()-4)</f>
        <v>108</v>
      </c>
      <c r="C112" s="12" t="s">
        <v>449</v>
      </c>
      <c r="D112" s="12" t="s">
        <v>579</v>
      </c>
      <c r="E112" s="24" t="s">
        <v>133</v>
      </c>
      <c r="F112" s="12"/>
      <c r="G112" s="12" t="str">
        <f aca="false">IFERROR(VLOOKUP($F112,ItemList_Full,2,0),"")</f>
        <v/>
      </c>
      <c r="H112" s="12"/>
      <c r="I112" s="12" t="str">
        <f aca="false">IFERROR(VLOOKUP($F112,ItemList_Full,3,0),"")</f>
        <v/>
      </c>
      <c r="J112" s="12" t="str">
        <f aca="false">IFERROR(VLOOKUP($F112,ItemList_Full,4,0),"")</f>
        <v/>
      </c>
      <c r="K112" s="13" t="n">
        <v>480</v>
      </c>
      <c r="L112" s="12"/>
      <c r="M112" s="24"/>
      <c r="N112" s="12" t="s">
        <v>229</v>
      </c>
      <c r="O112" s="12"/>
      <c r="P112" s="13" t="n">
        <f aca="false">IF($E112="","",IF(OR($E112="Director Draw",$E112="Payroll/Employee Charge"),0,-$K112))</f>
        <v>-480</v>
      </c>
      <c r="Q112" s="12" t="n">
        <f aca="false">IF($E112="Inventory Purchase",$H112,0)</f>
        <v>0</v>
      </c>
      <c r="U112" s="1" t="s">
        <v>580</v>
      </c>
      <c r="V112" s="1" t="s">
        <v>581</v>
      </c>
      <c r="W112" s="1" t="s">
        <v>241</v>
      </c>
      <c r="X112" s="1" t="n">
        <v>1000</v>
      </c>
      <c r="Y112" s="1" t="s">
        <v>129</v>
      </c>
    </row>
    <row r="113" customFormat="false" ht="15" hidden="false" customHeight="true" outlineLevel="0" collapsed="false">
      <c r="A113" s="19" t="n">
        <v>46271</v>
      </c>
      <c r="B113" s="12" t="n">
        <f aca="false">IF($A113="","",ROW()-4)</f>
        <v>109</v>
      </c>
      <c r="C113" s="12" t="s">
        <v>582</v>
      </c>
      <c r="D113" s="12" t="s">
        <v>582</v>
      </c>
      <c r="E113" s="24" t="s">
        <v>145</v>
      </c>
      <c r="F113" s="12"/>
      <c r="G113" s="12" t="str">
        <f aca="false">IFERROR(VLOOKUP($F113,ItemList_Full,2,0),"")</f>
        <v/>
      </c>
      <c r="H113" s="12"/>
      <c r="I113" s="12" t="str">
        <f aca="false">IFERROR(VLOOKUP($F113,ItemList_Full,3,0),"")</f>
        <v/>
      </c>
      <c r="J113" s="12" t="str">
        <f aca="false">IFERROR(VLOOKUP($F113,ItemList_Full,4,0),"")</f>
        <v/>
      </c>
      <c r="K113" s="13" t="n">
        <v>400</v>
      </c>
      <c r="L113" s="12"/>
      <c r="M113" s="24"/>
      <c r="N113" s="12" t="s">
        <v>229</v>
      </c>
      <c r="O113" s="12"/>
      <c r="P113" s="13" t="n">
        <f aca="false">IF($E113="","",IF(OR($E113="Director Draw",$E113="Payroll/Employee Charge"),0,-$K113))</f>
        <v>-400</v>
      </c>
      <c r="Q113" s="12" t="n">
        <f aca="false">IF($E113="Inventory Purchase",$H113,0)</f>
        <v>0</v>
      </c>
      <c r="U113" s="1" t="s">
        <v>583</v>
      </c>
      <c r="V113" s="1" t="s">
        <v>584</v>
      </c>
      <c r="W113" s="1" t="s">
        <v>350</v>
      </c>
      <c r="X113" s="1" t="n">
        <v>531.333333333333</v>
      </c>
      <c r="Y113" s="1" t="s">
        <v>129</v>
      </c>
    </row>
    <row r="114" customFormat="false" ht="15" hidden="false" customHeight="true" outlineLevel="0" collapsed="false">
      <c r="A114" s="19" t="n">
        <v>46271</v>
      </c>
      <c r="B114" s="12" t="n">
        <f aca="false">IF($A114="","",ROW()-4)</f>
        <v>110</v>
      </c>
      <c r="C114" s="12" t="s">
        <v>295</v>
      </c>
      <c r="D114" s="12" t="s">
        <v>585</v>
      </c>
      <c r="E114" s="24" t="s">
        <v>150</v>
      </c>
      <c r="F114" s="12"/>
      <c r="G114" s="12" t="str">
        <f aca="false">IFERROR(VLOOKUP($F114,ItemList_Full,2,0),"")</f>
        <v/>
      </c>
      <c r="H114" s="12"/>
      <c r="I114" s="12" t="str">
        <f aca="false">IFERROR(VLOOKUP($F114,ItemList_Full,3,0),"")</f>
        <v/>
      </c>
      <c r="J114" s="12" t="str">
        <f aca="false">IFERROR(VLOOKUP($F114,ItemList_Full,4,0),"")</f>
        <v/>
      </c>
      <c r="K114" s="13" t="n">
        <v>7020</v>
      </c>
      <c r="L114" s="12"/>
      <c r="M114" s="24"/>
      <c r="N114" s="12" t="s">
        <v>229</v>
      </c>
      <c r="O114" s="12"/>
      <c r="P114" s="13" t="n">
        <f aca="false">IF($E114="","",IF(OR($E114="Director Draw",$E114="Payroll/Employee Charge"),0,-$K114))</f>
        <v>-7020</v>
      </c>
      <c r="Q114" s="12" t="n">
        <f aca="false">IF($E114="Inventory Purchase",$H114,0)</f>
        <v>0</v>
      </c>
      <c r="U114" s="1" t="s">
        <v>586</v>
      </c>
      <c r="V114" s="1" t="s">
        <v>587</v>
      </c>
      <c r="W114" s="1" t="s">
        <v>241</v>
      </c>
      <c r="X114" s="1" t="n">
        <v>800</v>
      </c>
      <c r="Y114" s="1" t="s">
        <v>129</v>
      </c>
    </row>
    <row r="115" customFormat="false" ht="15" hidden="false" customHeight="true" outlineLevel="0" collapsed="false">
      <c r="A115" s="19" t="n">
        <v>46271</v>
      </c>
      <c r="B115" s="12" t="n">
        <f aca="false">IF($A115="","",ROW()-4)</f>
        <v>111</v>
      </c>
      <c r="C115" s="12" t="s">
        <v>588</v>
      </c>
      <c r="D115" s="12" t="s">
        <v>589</v>
      </c>
      <c r="E115" s="24" t="s">
        <v>146</v>
      </c>
      <c r="F115" s="12"/>
      <c r="G115" s="12" t="str">
        <f aca="false">IFERROR(VLOOKUP($F115,ItemList_Full,2,0),"")</f>
        <v/>
      </c>
      <c r="H115" s="12"/>
      <c r="I115" s="12" t="str">
        <f aca="false">IFERROR(VLOOKUP($F115,ItemList_Full,3,0),"")</f>
        <v/>
      </c>
      <c r="J115" s="12" t="str">
        <f aca="false">IFERROR(VLOOKUP($F115,ItemList_Full,4,0),"")</f>
        <v/>
      </c>
      <c r="K115" s="13" t="n">
        <v>250</v>
      </c>
      <c r="L115" s="12"/>
      <c r="M115" s="24"/>
      <c r="N115" s="12" t="s">
        <v>229</v>
      </c>
      <c r="O115" s="12"/>
      <c r="P115" s="13" t="n">
        <f aca="false">IF($E115="","",IF(OR($E115="Director Draw",$E115="Payroll/Employee Charge"),0,-$K115))</f>
        <v>-250</v>
      </c>
      <c r="Q115" s="12" t="n">
        <f aca="false">IF($E115="Inventory Purchase",$H115,0)</f>
        <v>0</v>
      </c>
      <c r="U115" s="1" t="s">
        <v>590</v>
      </c>
      <c r="V115" s="1" t="s">
        <v>591</v>
      </c>
      <c r="W115" s="1" t="s">
        <v>350</v>
      </c>
      <c r="X115" s="1" t="n">
        <v>489.666666666667</v>
      </c>
      <c r="Y115" s="1" t="s">
        <v>129</v>
      </c>
    </row>
    <row r="116" customFormat="false" ht="15" hidden="false" customHeight="true" outlineLevel="0" collapsed="false">
      <c r="A116" s="19" t="n">
        <v>46272</v>
      </c>
      <c r="B116" s="12" t="n">
        <f aca="false">IF($A116="","",ROW()-4)</f>
        <v>112</v>
      </c>
      <c r="C116" s="12" t="s">
        <v>592</v>
      </c>
      <c r="D116" s="12" t="s">
        <v>593</v>
      </c>
      <c r="E116" s="24" t="s">
        <v>139</v>
      </c>
      <c r="F116" s="12"/>
      <c r="G116" s="12" t="str">
        <f aca="false">IFERROR(VLOOKUP($F116,ItemList_Full,2,0),"")</f>
        <v/>
      </c>
      <c r="H116" s="12"/>
      <c r="I116" s="12" t="str">
        <f aca="false">IFERROR(VLOOKUP($F116,ItemList_Full,3,0),"")</f>
        <v/>
      </c>
      <c r="J116" s="12" t="str">
        <f aca="false">IFERROR(VLOOKUP($F116,ItemList_Full,4,0),"")</f>
        <v/>
      </c>
      <c r="K116" s="13" t="n">
        <v>1650</v>
      </c>
      <c r="L116" s="12"/>
      <c r="M116" s="24"/>
      <c r="N116" s="12" t="s">
        <v>229</v>
      </c>
      <c r="O116" s="12"/>
      <c r="P116" s="13" t="n">
        <f aca="false">IF($E116="","",IF(OR($E116="Director Draw",$E116="Payroll/Employee Charge"),0,-$K116))</f>
        <v>-1650</v>
      </c>
      <c r="Q116" s="12" t="n">
        <f aca="false">IF($E116="Inventory Purchase",$H116,0)</f>
        <v>0</v>
      </c>
      <c r="U116" s="1" t="s">
        <v>594</v>
      </c>
      <c r="V116" s="1" t="s">
        <v>595</v>
      </c>
      <c r="W116" s="1" t="s">
        <v>241</v>
      </c>
      <c r="X116" s="1" t="n">
        <v>1200</v>
      </c>
      <c r="Y116" s="1" t="s">
        <v>129</v>
      </c>
    </row>
    <row r="117" customFormat="false" ht="15" hidden="false" customHeight="true" outlineLevel="0" collapsed="false">
      <c r="A117" s="19" t="n">
        <v>46272</v>
      </c>
      <c r="B117" s="12" t="n">
        <f aca="false">IF($A117="","",ROW()-4)</f>
        <v>113</v>
      </c>
      <c r="C117" s="12" t="s">
        <v>255</v>
      </c>
      <c r="D117" s="12" t="s">
        <v>256</v>
      </c>
      <c r="E117" s="24" t="s">
        <v>139</v>
      </c>
      <c r="F117" s="12"/>
      <c r="G117" s="12" t="str">
        <f aca="false">IFERROR(VLOOKUP($F117,ItemList_Full,2,0),"")</f>
        <v/>
      </c>
      <c r="H117" s="12"/>
      <c r="I117" s="12" t="str">
        <f aca="false">IFERROR(VLOOKUP($F117,ItemList_Full,3,0),"")</f>
        <v/>
      </c>
      <c r="J117" s="12" t="str">
        <f aca="false">IFERROR(VLOOKUP($F117,ItemList_Full,4,0),"")</f>
        <v/>
      </c>
      <c r="K117" s="13" t="n">
        <v>900</v>
      </c>
      <c r="L117" s="12"/>
      <c r="M117" s="24"/>
      <c r="N117" s="12" t="s">
        <v>229</v>
      </c>
      <c r="O117" s="12"/>
      <c r="P117" s="13" t="n">
        <f aca="false">IF($E117="","",IF(OR($E117="Director Draw",$E117="Payroll/Employee Charge"),0,-$K117))</f>
        <v>-900</v>
      </c>
      <c r="Q117" s="12" t="n">
        <f aca="false">IF($E117="Inventory Purchase",$H117,0)</f>
        <v>0</v>
      </c>
      <c r="U117" s="1" t="s">
        <v>596</v>
      </c>
      <c r="V117" s="1" t="s">
        <v>597</v>
      </c>
      <c r="W117" s="1" t="s">
        <v>241</v>
      </c>
      <c r="X117" s="1" t="n">
        <v>1000</v>
      </c>
      <c r="Y117" s="1" t="s">
        <v>129</v>
      </c>
    </row>
    <row r="118" customFormat="false" ht="15" hidden="false" customHeight="true" outlineLevel="0" collapsed="false">
      <c r="A118" s="19" t="n">
        <v>46272</v>
      </c>
      <c r="B118" s="12" t="n">
        <f aca="false">IF($A118="","",ROW()-4)</f>
        <v>114</v>
      </c>
      <c r="C118" s="12" t="s">
        <v>355</v>
      </c>
      <c r="D118" s="12" t="s">
        <v>598</v>
      </c>
      <c r="E118" s="24" t="s">
        <v>143</v>
      </c>
      <c r="F118" s="12"/>
      <c r="G118" s="12" t="str">
        <f aca="false">IFERROR(VLOOKUP($F118,ItemList_Full,2,0),"")</f>
        <v/>
      </c>
      <c r="H118" s="12"/>
      <c r="I118" s="12" t="str">
        <f aca="false">IFERROR(VLOOKUP($F118,ItemList_Full,3,0),"")</f>
        <v/>
      </c>
      <c r="J118" s="12" t="str">
        <f aca="false">IFERROR(VLOOKUP($F118,ItemList_Full,4,0),"")</f>
        <v/>
      </c>
      <c r="K118" s="13" t="n">
        <v>1050</v>
      </c>
      <c r="L118" s="12"/>
      <c r="M118" s="24"/>
      <c r="N118" s="12" t="s">
        <v>229</v>
      </c>
      <c r="O118" s="12"/>
      <c r="P118" s="13" t="n">
        <f aca="false">IF($E118="","",IF(OR($E118="Director Draw",$E118="Payroll/Employee Charge"),0,-$K118))</f>
        <v>-1050</v>
      </c>
      <c r="Q118" s="12" t="n">
        <f aca="false">IF($E118="Inventory Purchase",$H118,0)</f>
        <v>0</v>
      </c>
      <c r="U118" s="1" t="s">
        <v>599</v>
      </c>
      <c r="V118" s="1" t="s">
        <v>600</v>
      </c>
      <c r="W118" s="1" t="s">
        <v>601</v>
      </c>
      <c r="X118" s="1" t="n">
        <v>457.666666666667</v>
      </c>
      <c r="Y118" s="1" t="s">
        <v>129</v>
      </c>
    </row>
    <row r="119" customFormat="false" ht="15" hidden="false" customHeight="true" outlineLevel="0" collapsed="false">
      <c r="A119" s="19" t="n">
        <v>46272</v>
      </c>
      <c r="B119" s="12" t="n">
        <f aca="false">IF($A119="","",ROW()-4)</f>
        <v>115</v>
      </c>
      <c r="C119" s="12" t="s">
        <v>225</v>
      </c>
      <c r="D119" s="12" t="s">
        <v>226</v>
      </c>
      <c r="E119" s="24" t="s">
        <v>227</v>
      </c>
      <c r="F119" s="12"/>
      <c r="G119" s="12" t="str">
        <f aca="false">IFERROR(VLOOKUP($F119,ItemList_Full,2,0),"")</f>
        <v/>
      </c>
      <c r="H119" s="12"/>
      <c r="I119" s="12" t="str">
        <f aca="false">IFERROR(VLOOKUP($F119,ItemList_Full,3,0),"")</f>
        <v/>
      </c>
      <c r="J119" s="12" t="str">
        <f aca="false">IFERROR(VLOOKUP($F119,ItemList_Full,4,0),"")</f>
        <v/>
      </c>
      <c r="K119" s="13" t="n">
        <v>2205</v>
      </c>
      <c r="L119" s="12"/>
      <c r="M119" s="24" t="s">
        <v>228</v>
      </c>
      <c r="N119" s="12" t="s">
        <v>229</v>
      </c>
      <c r="O119" s="12"/>
      <c r="P119" s="13" t="n">
        <f aca="false">IF($E119="","",IF(OR($E119="Director Draw",$E119="Payroll/Employee Charge"),0,-$K119))</f>
        <v>0</v>
      </c>
      <c r="Q119" s="12" t="n">
        <f aca="false">IF($E119="Inventory Purchase",$H119,0)</f>
        <v>0</v>
      </c>
      <c r="U119" s="1" t="s">
        <v>602</v>
      </c>
      <c r="V119" s="1" t="s">
        <v>603</v>
      </c>
      <c r="W119" s="1" t="s">
        <v>601</v>
      </c>
      <c r="X119" s="1" t="n">
        <v>275</v>
      </c>
      <c r="Y119" s="1" t="s">
        <v>129</v>
      </c>
    </row>
    <row r="120" customFormat="false" ht="15" hidden="false" customHeight="true" outlineLevel="0" collapsed="false">
      <c r="A120" s="19" t="n">
        <v>46272</v>
      </c>
      <c r="B120" s="12" t="n">
        <f aca="false">IF($A120="","",ROW()-4)</f>
        <v>116</v>
      </c>
      <c r="C120" s="12" t="s">
        <v>554</v>
      </c>
      <c r="D120" s="12" t="s">
        <v>555</v>
      </c>
      <c r="E120" s="24" t="s">
        <v>143</v>
      </c>
      <c r="F120" s="12"/>
      <c r="G120" s="12" t="str">
        <f aca="false">IFERROR(VLOOKUP($F120,ItemList_Full,2,0),"")</f>
        <v/>
      </c>
      <c r="H120" s="12"/>
      <c r="I120" s="12" t="str">
        <f aca="false">IFERROR(VLOOKUP($F120,ItemList_Full,3,0),"")</f>
        <v/>
      </c>
      <c r="J120" s="12" t="str">
        <f aca="false">IFERROR(VLOOKUP($F120,ItemList_Full,4,0),"")</f>
        <v/>
      </c>
      <c r="K120" s="13" t="n">
        <v>32214</v>
      </c>
      <c r="L120" s="12"/>
      <c r="M120" s="24"/>
      <c r="N120" s="12" t="s">
        <v>229</v>
      </c>
      <c r="O120" s="12"/>
      <c r="P120" s="13" t="n">
        <f aca="false">IF($E120="","",IF(OR($E120="Director Draw",$E120="Payroll/Employee Charge"),0,-$K120))</f>
        <v>-32214</v>
      </c>
      <c r="Q120" s="12" t="n">
        <f aca="false">IF($E120="Inventory Purchase",$H120,0)</f>
        <v>0</v>
      </c>
      <c r="U120" s="1" t="s">
        <v>604</v>
      </c>
      <c r="V120" s="1" t="s">
        <v>605</v>
      </c>
      <c r="W120" s="1" t="s">
        <v>267</v>
      </c>
      <c r="X120" s="1" t="n">
        <v>124</v>
      </c>
      <c r="Y120" s="1" t="s">
        <v>129</v>
      </c>
    </row>
    <row r="121" customFormat="false" ht="15" hidden="false" customHeight="true" outlineLevel="0" collapsed="false">
      <c r="A121" s="19" t="n">
        <v>46272</v>
      </c>
      <c r="B121" s="12" t="n">
        <f aca="false">IF($A121="","",ROW()-4)</f>
        <v>117</v>
      </c>
      <c r="C121" s="12" t="s">
        <v>247</v>
      </c>
      <c r="D121" s="12" t="s">
        <v>248</v>
      </c>
      <c r="E121" s="24" t="s">
        <v>153</v>
      </c>
      <c r="F121" s="12"/>
      <c r="G121" s="12" t="str">
        <f aca="false">IFERROR(VLOOKUP($F121,ItemList_Full,2,0),"")</f>
        <v/>
      </c>
      <c r="H121" s="12"/>
      <c r="I121" s="12" t="str">
        <f aca="false">IFERROR(VLOOKUP($F121,ItemList_Full,3,0),"")</f>
        <v/>
      </c>
      <c r="J121" s="12" t="str">
        <f aca="false">IFERROR(VLOOKUP($F121,ItemList_Full,4,0),"")</f>
        <v/>
      </c>
      <c r="K121" s="13" t="n">
        <v>9768</v>
      </c>
      <c r="L121" s="12"/>
      <c r="M121" s="24"/>
      <c r="N121" s="12" t="s">
        <v>229</v>
      </c>
      <c r="O121" s="12"/>
      <c r="P121" s="13" t="n">
        <f aca="false">IF($E121="","",IF(OR($E121="Director Draw",$E121="Payroll/Employee Charge"),0,-$K121))</f>
        <v>-9768</v>
      </c>
      <c r="Q121" s="12" t="n">
        <f aca="false">IF($E121="Inventory Purchase",$H121,0)</f>
        <v>0</v>
      </c>
      <c r="U121" s="1" t="s">
        <v>606</v>
      </c>
      <c r="V121" s="1" t="s">
        <v>607</v>
      </c>
      <c r="W121" s="1" t="s">
        <v>241</v>
      </c>
      <c r="X121" s="1" t="n">
        <v>299</v>
      </c>
      <c r="Y121" s="1" t="s">
        <v>129</v>
      </c>
    </row>
    <row r="122" customFormat="false" ht="15" hidden="false" customHeight="true" outlineLevel="0" collapsed="false">
      <c r="A122" s="19" t="n">
        <v>46272</v>
      </c>
      <c r="B122" s="12" t="n">
        <f aca="false">IF($A122="","",ROW()-4)</f>
        <v>118</v>
      </c>
      <c r="C122" s="12" t="s">
        <v>608</v>
      </c>
      <c r="D122" s="12" t="s">
        <v>609</v>
      </c>
      <c r="E122" s="24" t="s">
        <v>154</v>
      </c>
      <c r="F122" s="12"/>
      <c r="G122" s="12" t="str">
        <f aca="false">IFERROR(VLOOKUP($F122,ItemList_Full,2,0),"")</f>
        <v/>
      </c>
      <c r="H122" s="12"/>
      <c r="I122" s="12" t="str">
        <f aca="false">IFERROR(VLOOKUP($F122,ItemList_Full,3,0),"")</f>
        <v/>
      </c>
      <c r="J122" s="12" t="str">
        <f aca="false">IFERROR(VLOOKUP($F122,ItemList_Full,4,0),"")</f>
        <v/>
      </c>
      <c r="K122" s="13" t="n">
        <v>3400</v>
      </c>
      <c r="L122" s="12"/>
      <c r="M122" s="24"/>
      <c r="N122" s="12" t="s">
        <v>229</v>
      </c>
      <c r="O122" s="12"/>
      <c r="P122" s="13" t="n">
        <f aca="false">IF($E122="","",IF(OR($E122="Director Draw",$E122="Payroll/Employee Charge"),0,-$K122))</f>
        <v>-3400</v>
      </c>
      <c r="Q122" s="12" t="n">
        <f aca="false">IF($E122="Inventory Purchase",$H122,0)</f>
        <v>0</v>
      </c>
      <c r="U122" s="1" t="s">
        <v>610</v>
      </c>
      <c r="V122" s="1" t="s">
        <v>611</v>
      </c>
      <c r="W122" s="1" t="s">
        <v>241</v>
      </c>
      <c r="X122" s="1" t="n">
        <v>190</v>
      </c>
      <c r="Y122" s="1" t="s">
        <v>129</v>
      </c>
    </row>
    <row r="123" customFormat="false" ht="15" hidden="false" customHeight="true" outlineLevel="0" collapsed="false">
      <c r="A123" s="19" t="n">
        <v>46272</v>
      </c>
      <c r="B123" s="12" t="n">
        <f aca="false">IF($A123="","",ROW()-4)</f>
        <v>119</v>
      </c>
      <c r="C123" s="12" t="s">
        <v>361</v>
      </c>
      <c r="D123" s="12" t="s">
        <v>612</v>
      </c>
      <c r="E123" s="24" t="s">
        <v>149</v>
      </c>
      <c r="F123" s="12"/>
      <c r="G123" s="12" t="str">
        <f aca="false">IFERROR(VLOOKUP($F123,ItemList_Full,2,0),"")</f>
        <v/>
      </c>
      <c r="H123" s="12"/>
      <c r="I123" s="12" t="str">
        <f aca="false">IFERROR(VLOOKUP($F123,ItemList_Full,3,0),"")</f>
        <v/>
      </c>
      <c r="J123" s="12" t="str">
        <f aca="false">IFERROR(VLOOKUP($F123,ItemList_Full,4,0),"")</f>
        <v/>
      </c>
      <c r="K123" s="13" t="n">
        <v>600</v>
      </c>
      <c r="L123" s="12"/>
      <c r="M123" s="24"/>
      <c r="N123" s="12" t="s">
        <v>229</v>
      </c>
      <c r="O123" s="12"/>
      <c r="P123" s="13" t="n">
        <f aca="false">IF($E123="","",IF(OR($E123="Director Draw",$E123="Payroll/Employee Charge"),0,-$K123))</f>
        <v>-600</v>
      </c>
      <c r="Q123" s="12" t="n">
        <f aca="false">IF($E123="Inventory Purchase",$H123,0)</f>
        <v>0</v>
      </c>
      <c r="U123" s="1" t="s">
        <v>613</v>
      </c>
      <c r="V123" s="1" t="s">
        <v>614</v>
      </c>
      <c r="W123" s="1" t="s">
        <v>241</v>
      </c>
      <c r="X123" s="1" t="n">
        <v>1330</v>
      </c>
      <c r="Y123" s="1" t="s">
        <v>129</v>
      </c>
    </row>
    <row r="124" customFormat="false" ht="15" hidden="false" customHeight="true" outlineLevel="0" collapsed="false">
      <c r="A124" s="19" t="n">
        <v>46272</v>
      </c>
      <c r="B124" s="12" t="n">
        <f aca="false">IF($A124="","",ROW()-4)</f>
        <v>120</v>
      </c>
      <c r="C124" s="12" t="s">
        <v>299</v>
      </c>
      <c r="D124" s="12" t="s">
        <v>300</v>
      </c>
      <c r="E124" s="24" t="s">
        <v>149</v>
      </c>
      <c r="F124" s="12"/>
      <c r="G124" s="12" t="str">
        <f aca="false">IFERROR(VLOOKUP($F124,ItemList_Full,2,0),"")</f>
        <v/>
      </c>
      <c r="H124" s="12"/>
      <c r="I124" s="12" t="str">
        <f aca="false">IFERROR(VLOOKUP($F124,ItemList_Full,3,0),"")</f>
        <v/>
      </c>
      <c r="J124" s="12" t="str">
        <f aca="false">IFERROR(VLOOKUP($F124,ItemList_Full,4,0),"")</f>
        <v/>
      </c>
      <c r="K124" s="13" t="n">
        <v>200</v>
      </c>
      <c r="L124" s="12"/>
      <c r="M124" s="24"/>
      <c r="N124" s="12" t="s">
        <v>229</v>
      </c>
      <c r="O124" s="12"/>
      <c r="P124" s="13" t="n">
        <f aca="false">IF($E124="","",IF(OR($E124="Director Draw",$E124="Payroll/Employee Charge"),0,-$K124))</f>
        <v>-200</v>
      </c>
      <c r="Q124" s="12" t="n">
        <f aca="false">IF($E124="Inventory Purchase",$H124,0)</f>
        <v>0</v>
      </c>
      <c r="U124" s="1" t="s">
        <v>615</v>
      </c>
      <c r="V124" s="1" t="s">
        <v>616</v>
      </c>
      <c r="W124" s="1" t="s">
        <v>241</v>
      </c>
      <c r="X124" s="1" t="n">
        <v>650</v>
      </c>
      <c r="Y124" s="1" t="s">
        <v>129</v>
      </c>
    </row>
    <row r="125" customFormat="false" ht="15" hidden="false" customHeight="true" outlineLevel="0" collapsed="false">
      <c r="A125" s="19" t="n">
        <v>46272</v>
      </c>
      <c r="B125" s="12" t="n">
        <f aca="false">IF($A125="","",ROW()-4)</f>
        <v>121</v>
      </c>
      <c r="C125" s="12" t="s">
        <v>617</v>
      </c>
      <c r="D125" s="12" t="s">
        <v>618</v>
      </c>
      <c r="E125" s="24" t="s">
        <v>149</v>
      </c>
      <c r="F125" s="12"/>
      <c r="G125" s="12" t="str">
        <f aca="false">IFERROR(VLOOKUP($F125,ItemList_Full,2,0),"")</f>
        <v/>
      </c>
      <c r="H125" s="12"/>
      <c r="I125" s="12" t="str">
        <f aca="false">IFERROR(VLOOKUP($F125,ItemList_Full,3,0),"")</f>
        <v/>
      </c>
      <c r="J125" s="12" t="str">
        <f aca="false">IFERROR(VLOOKUP($F125,ItemList_Full,4,0),"")</f>
        <v/>
      </c>
      <c r="K125" s="13" t="n">
        <v>1253</v>
      </c>
      <c r="L125" s="12"/>
      <c r="M125" s="24"/>
      <c r="N125" s="12" t="s">
        <v>229</v>
      </c>
      <c r="O125" s="12"/>
      <c r="P125" s="13" t="n">
        <f aca="false">IF($E125="","",IF(OR($E125="Director Draw",$E125="Payroll/Employee Charge"),0,-$K125))</f>
        <v>-1253</v>
      </c>
      <c r="Q125" s="12" t="n">
        <f aca="false">IF($E125="Inventory Purchase",$H125,0)</f>
        <v>0</v>
      </c>
      <c r="U125" s="1" t="s">
        <v>619</v>
      </c>
      <c r="V125" s="1" t="s">
        <v>620</v>
      </c>
      <c r="W125" s="1" t="s">
        <v>267</v>
      </c>
      <c r="X125" s="1" t="n">
        <v>2250</v>
      </c>
      <c r="Y125" s="1" t="s">
        <v>129</v>
      </c>
    </row>
    <row r="126" customFormat="false" ht="15" hidden="false" customHeight="true" outlineLevel="0" collapsed="false">
      <c r="A126" s="19" t="n">
        <v>46273</v>
      </c>
      <c r="B126" s="12" t="n">
        <f aca="false">IF($A126="","",ROW()-4)</f>
        <v>122</v>
      </c>
      <c r="C126" s="12" t="s">
        <v>247</v>
      </c>
      <c r="D126" s="12" t="s">
        <v>248</v>
      </c>
      <c r="E126" s="24" t="s">
        <v>153</v>
      </c>
      <c r="F126" s="12"/>
      <c r="G126" s="12" t="str">
        <f aca="false">IFERROR(VLOOKUP($F126,ItemList_Full,2,0),"")</f>
        <v/>
      </c>
      <c r="H126" s="12"/>
      <c r="I126" s="12" t="str">
        <f aca="false">IFERROR(VLOOKUP($F126,ItemList_Full,3,0),"")</f>
        <v/>
      </c>
      <c r="J126" s="12" t="str">
        <f aca="false">IFERROR(VLOOKUP($F126,ItemList_Full,4,0),"")</f>
        <v/>
      </c>
      <c r="K126" s="13" t="n">
        <v>1829</v>
      </c>
      <c r="L126" s="12"/>
      <c r="M126" s="24"/>
      <c r="N126" s="12" t="s">
        <v>229</v>
      </c>
      <c r="O126" s="12"/>
      <c r="P126" s="13" t="n">
        <f aca="false">IF($E126="","",IF(OR($E126="Director Draw",$E126="Payroll/Employee Charge"),0,-$K126))</f>
        <v>-1829</v>
      </c>
      <c r="Q126" s="12" t="n">
        <f aca="false">IF($E126="Inventory Purchase",$H126,0)</f>
        <v>0</v>
      </c>
      <c r="U126" s="1" t="s">
        <v>621</v>
      </c>
      <c r="V126" s="1" t="s">
        <v>622</v>
      </c>
      <c r="W126" s="1" t="s">
        <v>267</v>
      </c>
      <c r="X126" s="1" t="n">
        <v>1800</v>
      </c>
      <c r="Y126" s="1" t="s">
        <v>129</v>
      </c>
    </row>
    <row r="127" customFormat="false" ht="15" hidden="false" customHeight="true" outlineLevel="0" collapsed="false">
      <c r="A127" s="19" t="n">
        <v>46273</v>
      </c>
      <c r="B127" s="12" t="n">
        <f aca="false">IF($A127="","",ROW()-4)</f>
        <v>123</v>
      </c>
      <c r="C127" s="12" t="s">
        <v>225</v>
      </c>
      <c r="D127" s="12" t="s">
        <v>623</v>
      </c>
      <c r="E127" s="24" t="s">
        <v>227</v>
      </c>
      <c r="F127" s="12"/>
      <c r="G127" s="12" t="str">
        <f aca="false">IFERROR(VLOOKUP($F127,ItemList_Full,2,0),"")</f>
        <v/>
      </c>
      <c r="H127" s="12"/>
      <c r="I127" s="12" t="str">
        <f aca="false">IFERROR(VLOOKUP($F127,ItemList_Full,3,0),"")</f>
        <v/>
      </c>
      <c r="J127" s="12" t="str">
        <f aca="false">IFERROR(VLOOKUP($F127,ItemList_Full,4,0),"")</f>
        <v/>
      </c>
      <c r="K127" s="13" t="n">
        <v>2230</v>
      </c>
      <c r="L127" s="12"/>
      <c r="M127" s="24" t="s">
        <v>378</v>
      </c>
      <c r="N127" s="12" t="s">
        <v>229</v>
      </c>
      <c r="O127" s="12"/>
      <c r="P127" s="13" t="n">
        <f aca="false">IF($E127="","",IF(OR($E127="Director Draw",$E127="Payroll/Employee Charge"),0,-$K127))</f>
        <v>0</v>
      </c>
      <c r="Q127" s="12" t="n">
        <f aca="false">IF($E127="Inventory Purchase",$H127,0)</f>
        <v>0</v>
      </c>
      <c r="U127" s="1" t="s">
        <v>624</v>
      </c>
      <c r="V127" s="1" t="s">
        <v>625</v>
      </c>
      <c r="W127" s="1" t="s">
        <v>350</v>
      </c>
      <c r="X127" s="1" t="n">
        <v>500</v>
      </c>
      <c r="Y127" s="1" t="s">
        <v>129</v>
      </c>
    </row>
    <row r="128" customFormat="false" ht="15" hidden="false" customHeight="true" outlineLevel="0" collapsed="false">
      <c r="A128" s="19" t="n">
        <v>46273</v>
      </c>
      <c r="B128" s="12" t="n">
        <f aca="false">IF($A128="","",ROW()-4)</f>
        <v>124</v>
      </c>
      <c r="C128" s="12" t="s">
        <v>242</v>
      </c>
      <c r="D128" s="12" t="s">
        <v>243</v>
      </c>
      <c r="E128" s="24" t="s">
        <v>139</v>
      </c>
      <c r="F128" s="12"/>
      <c r="G128" s="12" t="str">
        <f aca="false">IFERROR(VLOOKUP($F128,ItemList_Full,2,0),"")</f>
        <v/>
      </c>
      <c r="H128" s="12"/>
      <c r="I128" s="12" t="str">
        <f aca="false">IFERROR(VLOOKUP($F128,ItemList_Full,3,0),"")</f>
        <v/>
      </c>
      <c r="J128" s="12" t="str">
        <f aca="false">IFERROR(VLOOKUP($F128,ItemList_Full,4,0),"")</f>
        <v/>
      </c>
      <c r="K128" s="13" t="n">
        <v>21000</v>
      </c>
      <c r="L128" s="12"/>
      <c r="M128" s="24"/>
      <c r="N128" s="12" t="s">
        <v>229</v>
      </c>
      <c r="O128" s="12"/>
      <c r="P128" s="13" t="n">
        <f aca="false">IF($E128="","",IF(OR($E128="Director Draw",$E128="Payroll/Employee Charge"),0,-$K128))</f>
        <v>-21000</v>
      </c>
      <c r="Q128" s="12" t="n">
        <f aca="false">IF($E128="Inventory Purchase",$H128,0)</f>
        <v>0</v>
      </c>
      <c r="U128" s="1" t="s">
        <v>626</v>
      </c>
      <c r="V128" s="1" t="s">
        <v>627</v>
      </c>
      <c r="W128" s="1" t="s">
        <v>241</v>
      </c>
      <c r="X128" s="1" t="n">
        <v>850</v>
      </c>
      <c r="Y128" s="1" t="s">
        <v>129</v>
      </c>
    </row>
    <row r="129" customFormat="false" ht="15" hidden="false" customHeight="true" outlineLevel="0" collapsed="false">
      <c r="A129" s="19" t="n">
        <v>46273</v>
      </c>
      <c r="B129" s="12" t="n">
        <f aca="false">IF($A129="","",ROW()-4)</f>
        <v>125</v>
      </c>
      <c r="C129" s="12" t="s">
        <v>325</v>
      </c>
      <c r="D129" s="12" t="s">
        <v>326</v>
      </c>
      <c r="E129" s="24" t="s">
        <v>139</v>
      </c>
      <c r="F129" s="12"/>
      <c r="G129" s="12" t="str">
        <f aca="false">IFERROR(VLOOKUP($F129,ItemList_Full,2,0),"")</f>
        <v/>
      </c>
      <c r="H129" s="12"/>
      <c r="I129" s="12" t="str">
        <f aca="false">IFERROR(VLOOKUP($F129,ItemList_Full,3,0),"")</f>
        <v/>
      </c>
      <c r="J129" s="12" t="str">
        <f aca="false">IFERROR(VLOOKUP($F129,ItemList_Full,4,0),"")</f>
        <v/>
      </c>
      <c r="K129" s="13" t="n">
        <v>35000</v>
      </c>
      <c r="L129" s="12"/>
      <c r="M129" s="24"/>
      <c r="N129" s="12" t="s">
        <v>229</v>
      </c>
      <c r="O129" s="12"/>
      <c r="P129" s="13" t="n">
        <f aca="false">IF($E129="","",IF(OR($E129="Director Draw",$E129="Payroll/Employee Charge"),0,-$K129))</f>
        <v>-35000</v>
      </c>
      <c r="Q129" s="12" t="n">
        <f aca="false">IF($E129="Inventory Purchase",$H129,0)</f>
        <v>0</v>
      </c>
      <c r="U129" s="1" t="s">
        <v>628</v>
      </c>
      <c r="V129" s="1" t="s">
        <v>629</v>
      </c>
      <c r="W129" s="1" t="s">
        <v>241</v>
      </c>
      <c r="X129" s="1" t="n">
        <v>120</v>
      </c>
      <c r="Y129" s="1" t="s">
        <v>129</v>
      </c>
    </row>
    <row r="130" customFormat="false" ht="15" hidden="false" customHeight="true" outlineLevel="0" collapsed="false">
      <c r="A130" s="19" t="n">
        <v>46273</v>
      </c>
      <c r="B130" s="12" t="n">
        <f aca="false">IF($A130="","",ROW()-4)</f>
        <v>126</v>
      </c>
      <c r="C130" s="12" t="s">
        <v>449</v>
      </c>
      <c r="D130" s="12" t="s">
        <v>630</v>
      </c>
      <c r="E130" s="24" t="s">
        <v>139</v>
      </c>
      <c r="F130" s="12"/>
      <c r="G130" s="12" t="str">
        <f aca="false">IFERROR(VLOOKUP($F130,ItemList_Full,2,0),"")</f>
        <v/>
      </c>
      <c r="H130" s="12"/>
      <c r="I130" s="12" t="str">
        <f aca="false">IFERROR(VLOOKUP($F130,ItemList_Full,3,0),"")</f>
        <v/>
      </c>
      <c r="J130" s="12" t="str">
        <f aca="false">IFERROR(VLOOKUP($F130,ItemList_Full,4,0),"")</f>
        <v/>
      </c>
      <c r="K130" s="13" t="n">
        <v>15200</v>
      </c>
      <c r="L130" s="12"/>
      <c r="M130" s="24"/>
      <c r="N130" s="12" t="s">
        <v>229</v>
      </c>
      <c r="O130" s="12"/>
      <c r="P130" s="13" t="n">
        <f aca="false">IF($E130="","",IF(OR($E130="Director Draw",$E130="Payroll/Employee Charge"),0,-$K130))</f>
        <v>-15200</v>
      </c>
      <c r="Q130" s="12" t="n">
        <f aca="false">IF($E130="Inventory Purchase",$H130,0)</f>
        <v>0</v>
      </c>
      <c r="U130" s="1" t="s">
        <v>631</v>
      </c>
      <c r="V130" s="1" t="s">
        <v>632</v>
      </c>
      <c r="W130" s="1" t="s">
        <v>241</v>
      </c>
      <c r="X130" s="1" t="n">
        <v>2900</v>
      </c>
      <c r="Y130" s="1" t="s">
        <v>129</v>
      </c>
    </row>
    <row r="131" customFormat="false" ht="15" hidden="false" customHeight="true" outlineLevel="0" collapsed="false">
      <c r="A131" s="19" t="n">
        <v>46273</v>
      </c>
      <c r="B131" s="12" t="n">
        <f aca="false">IF($A131="","",ROW()-4)</f>
        <v>127</v>
      </c>
      <c r="C131" s="12" t="s">
        <v>255</v>
      </c>
      <c r="D131" s="12" t="s">
        <v>256</v>
      </c>
      <c r="E131" s="24" t="s">
        <v>139</v>
      </c>
      <c r="F131" s="12"/>
      <c r="G131" s="12" t="str">
        <f aca="false">IFERROR(VLOOKUP($F131,ItemList_Full,2,0),"")</f>
        <v/>
      </c>
      <c r="H131" s="12"/>
      <c r="I131" s="12" t="str">
        <f aca="false">IFERROR(VLOOKUP($F131,ItemList_Full,3,0),"")</f>
        <v/>
      </c>
      <c r="J131" s="12" t="str">
        <f aca="false">IFERROR(VLOOKUP($F131,ItemList_Full,4,0),"")</f>
        <v/>
      </c>
      <c r="K131" s="13" t="n">
        <v>1440</v>
      </c>
      <c r="L131" s="12"/>
      <c r="M131" s="24"/>
      <c r="N131" s="12" t="s">
        <v>229</v>
      </c>
      <c r="O131" s="12"/>
      <c r="P131" s="13" t="n">
        <f aca="false">IF($E131="","",IF(OR($E131="Director Draw",$E131="Payroll/Employee Charge"),0,-$K131))</f>
        <v>-1440</v>
      </c>
      <c r="Q131" s="12" t="n">
        <f aca="false">IF($E131="Inventory Purchase",$H131,0)</f>
        <v>0</v>
      </c>
      <c r="U131" s="1" t="s">
        <v>633</v>
      </c>
      <c r="V131" s="1" t="s">
        <v>634</v>
      </c>
      <c r="W131" s="1" t="s">
        <v>241</v>
      </c>
      <c r="X131" s="1" t="n">
        <v>1590</v>
      </c>
      <c r="Y131" s="1" t="s">
        <v>129</v>
      </c>
    </row>
    <row r="132" customFormat="false" ht="15" hidden="false" customHeight="true" outlineLevel="0" collapsed="false">
      <c r="A132" s="19" t="n">
        <v>46273</v>
      </c>
      <c r="B132" s="12" t="n">
        <f aca="false">IF($A132="","",ROW()-4)</f>
        <v>128</v>
      </c>
      <c r="C132" s="12" t="s">
        <v>259</v>
      </c>
      <c r="D132" s="12" t="s">
        <v>260</v>
      </c>
      <c r="E132" s="24" t="s">
        <v>139</v>
      </c>
      <c r="F132" s="12"/>
      <c r="G132" s="12" t="str">
        <f aca="false">IFERROR(VLOOKUP($F132,ItemList_Full,2,0),"")</f>
        <v/>
      </c>
      <c r="H132" s="12"/>
      <c r="I132" s="12" t="str">
        <f aca="false">IFERROR(VLOOKUP($F132,ItemList_Full,3,0),"")</f>
        <v/>
      </c>
      <c r="J132" s="12" t="str">
        <f aca="false">IFERROR(VLOOKUP($F132,ItemList_Full,4,0),"")</f>
        <v/>
      </c>
      <c r="K132" s="13" t="n">
        <v>4360</v>
      </c>
      <c r="L132" s="12"/>
      <c r="M132" s="24"/>
      <c r="N132" s="12" t="s">
        <v>229</v>
      </c>
      <c r="O132" s="12"/>
      <c r="P132" s="13" t="n">
        <f aca="false">IF($E132="","",IF(OR($E132="Director Draw",$E132="Payroll/Employee Charge"),0,-$K132))</f>
        <v>-4360</v>
      </c>
      <c r="Q132" s="12" t="n">
        <f aca="false">IF($E132="Inventory Purchase",$H132,0)</f>
        <v>0</v>
      </c>
      <c r="U132" s="1" t="s">
        <v>635</v>
      </c>
      <c r="V132" s="1" t="s">
        <v>636</v>
      </c>
      <c r="W132" s="1" t="s">
        <v>267</v>
      </c>
      <c r="X132" s="1" t="n">
        <v>865</v>
      </c>
      <c r="Y132" s="1" t="s">
        <v>129</v>
      </c>
    </row>
    <row r="133" customFormat="false" ht="15" hidden="false" customHeight="true" outlineLevel="0" collapsed="false">
      <c r="A133" s="19" t="n">
        <v>46273</v>
      </c>
      <c r="B133" s="12" t="n">
        <f aca="false">IF($A133="","",ROW()-4)</f>
        <v>129</v>
      </c>
      <c r="C133" s="12" t="s">
        <v>449</v>
      </c>
      <c r="D133" s="12" t="s">
        <v>637</v>
      </c>
      <c r="E133" s="24" t="s">
        <v>135</v>
      </c>
      <c r="F133" s="12"/>
      <c r="G133" s="12" t="str">
        <f aca="false">IFERROR(VLOOKUP($F133,ItemList_Full,2,0),"")</f>
        <v/>
      </c>
      <c r="H133" s="12"/>
      <c r="I133" s="12" t="str">
        <f aca="false">IFERROR(VLOOKUP($F133,ItemList_Full,3,0),"")</f>
        <v/>
      </c>
      <c r="J133" s="12" t="str">
        <f aca="false">IFERROR(VLOOKUP($F133,ItemList_Full,4,0),"")</f>
        <v/>
      </c>
      <c r="K133" s="13" t="n">
        <v>16000</v>
      </c>
      <c r="L133" s="12"/>
      <c r="M133" s="24"/>
      <c r="N133" s="12" t="s">
        <v>229</v>
      </c>
      <c r="O133" s="12"/>
      <c r="P133" s="13" t="n">
        <f aca="false">IF($E133="","",IF(OR($E133="Director Draw",$E133="Payroll/Employee Charge"),0,-$K133))</f>
        <v>-16000</v>
      </c>
      <c r="Q133" s="12" t="n">
        <f aca="false">IF($E133="Inventory Purchase",$H133,0)</f>
        <v>0</v>
      </c>
      <c r="U133" s="1" t="s">
        <v>638</v>
      </c>
      <c r="V133" s="1" t="s">
        <v>639</v>
      </c>
      <c r="W133" s="1" t="s">
        <v>267</v>
      </c>
      <c r="X133" s="1" t="n">
        <v>1000</v>
      </c>
      <c r="Y133" s="1" t="s">
        <v>129</v>
      </c>
    </row>
    <row r="134" customFormat="false" ht="15" hidden="false" customHeight="true" outlineLevel="0" collapsed="false">
      <c r="A134" s="19" t="n">
        <v>46273</v>
      </c>
      <c r="B134" s="12" t="n">
        <f aca="false">IF($A134="","",ROW()-4)</f>
        <v>130</v>
      </c>
      <c r="C134" s="12" t="s">
        <v>640</v>
      </c>
      <c r="D134" s="12" t="s">
        <v>640</v>
      </c>
      <c r="E134" s="24" t="s">
        <v>133</v>
      </c>
      <c r="F134" s="12"/>
      <c r="G134" s="12" t="str">
        <f aca="false">IFERROR(VLOOKUP($F134,ItemList_Full,2,0),"")</f>
        <v/>
      </c>
      <c r="H134" s="12"/>
      <c r="I134" s="12" t="str">
        <f aca="false">IFERROR(VLOOKUP($F134,ItemList_Full,3,0),"")</f>
        <v/>
      </c>
      <c r="J134" s="12" t="str">
        <f aca="false">IFERROR(VLOOKUP($F134,ItemList_Full,4,0),"")</f>
        <v/>
      </c>
      <c r="K134" s="13" t="n">
        <v>1500</v>
      </c>
      <c r="L134" s="12"/>
      <c r="M134" s="24"/>
      <c r="N134" s="12" t="s">
        <v>229</v>
      </c>
      <c r="O134" s="12"/>
      <c r="P134" s="13" t="n">
        <f aca="false">IF($E134="","",IF(OR($E134="Director Draw",$E134="Payroll/Employee Charge"),0,-$K134))</f>
        <v>-1500</v>
      </c>
      <c r="Q134" s="12" t="n">
        <f aca="false">IF($E134="Inventory Purchase",$H134,0)</f>
        <v>0</v>
      </c>
      <c r="U134" s="1" t="s">
        <v>641</v>
      </c>
      <c r="V134" s="1" t="s">
        <v>642</v>
      </c>
      <c r="W134" s="1" t="s">
        <v>241</v>
      </c>
      <c r="X134" s="1" t="n">
        <v>2520</v>
      </c>
      <c r="Y134" s="1" t="s">
        <v>129</v>
      </c>
    </row>
    <row r="135" customFormat="false" ht="15" hidden="false" customHeight="true" outlineLevel="0" collapsed="false">
      <c r="A135" s="19" t="n">
        <v>46273</v>
      </c>
      <c r="B135" s="12" t="n">
        <f aca="false">IF($A135="","",ROW()-4)</f>
        <v>131</v>
      </c>
      <c r="C135" s="12" t="s">
        <v>554</v>
      </c>
      <c r="D135" s="12" t="s">
        <v>643</v>
      </c>
      <c r="E135" s="24" t="s">
        <v>143</v>
      </c>
      <c r="F135" s="12"/>
      <c r="G135" s="12" t="str">
        <f aca="false">IFERROR(VLOOKUP($F135,ItemList_Full,2,0),"")</f>
        <v/>
      </c>
      <c r="H135" s="12"/>
      <c r="I135" s="12" t="str">
        <f aca="false">IFERROR(VLOOKUP($F135,ItemList_Full,3,0),"")</f>
        <v/>
      </c>
      <c r="J135" s="12" t="str">
        <f aca="false">IFERROR(VLOOKUP($F135,ItemList_Full,4,0),"")</f>
        <v/>
      </c>
      <c r="K135" s="13" t="n">
        <v>3333</v>
      </c>
      <c r="L135" s="12"/>
      <c r="M135" s="24"/>
      <c r="N135" s="12" t="s">
        <v>229</v>
      </c>
      <c r="O135" s="12"/>
      <c r="P135" s="13" t="n">
        <f aca="false">IF($E135="","",IF(OR($E135="Director Draw",$E135="Payroll/Employee Charge"),0,-$K135))</f>
        <v>-3333</v>
      </c>
      <c r="Q135" s="12" t="n">
        <f aca="false">IF($E135="Inventory Purchase",$H135,0)</f>
        <v>0</v>
      </c>
      <c r="U135" s="1" t="s">
        <v>644</v>
      </c>
      <c r="V135" s="1" t="s">
        <v>645</v>
      </c>
      <c r="W135" s="1" t="s">
        <v>267</v>
      </c>
      <c r="X135" s="1" t="n">
        <v>3200</v>
      </c>
      <c r="Y135" s="1" t="s">
        <v>129</v>
      </c>
    </row>
    <row r="136" customFormat="false" ht="15" hidden="false" customHeight="true" outlineLevel="0" collapsed="false">
      <c r="A136" s="19" t="n">
        <v>46273</v>
      </c>
      <c r="B136" s="12" t="n">
        <f aca="false">IF($A136="","",ROW()-4)</f>
        <v>132</v>
      </c>
      <c r="C136" s="12" t="s">
        <v>646</v>
      </c>
      <c r="D136" s="12" t="s">
        <v>647</v>
      </c>
      <c r="E136" s="24" t="s">
        <v>151</v>
      </c>
      <c r="F136" s="12"/>
      <c r="G136" s="12" t="str">
        <f aca="false">IFERROR(VLOOKUP($F136,ItemList_Full,2,0),"")</f>
        <v/>
      </c>
      <c r="H136" s="12"/>
      <c r="I136" s="12" t="str">
        <f aca="false">IFERROR(VLOOKUP($F136,ItemList_Full,3,0),"")</f>
        <v/>
      </c>
      <c r="J136" s="12" t="str">
        <f aca="false">IFERROR(VLOOKUP($F136,ItemList_Full,4,0),"")</f>
        <v/>
      </c>
      <c r="K136" s="13" t="n">
        <v>4620</v>
      </c>
      <c r="L136" s="12"/>
      <c r="M136" s="24"/>
      <c r="N136" s="12" t="s">
        <v>229</v>
      </c>
      <c r="O136" s="12"/>
      <c r="P136" s="13" t="n">
        <f aca="false">IF($E136="","",IF(OR($E136="Director Draw",$E136="Payroll/Employee Charge"),0,-$K136))</f>
        <v>-4620</v>
      </c>
      <c r="Q136" s="12" t="n">
        <f aca="false">IF($E136="Inventory Purchase",$H136,0)</f>
        <v>0</v>
      </c>
      <c r="U136" s="1" t="s">
        <v>648</v>
      </c>
      <c r="V136" s="1" t="s">
        <v>649</v>
      </c>
      <c r="W136" s="1" t="s">
        <v>267</v>
      </c>
      <c r="X136" s="1" t="n">
        <v>55</v>
      </c>
      <c r="Y136" s="1" t="s">
        <v>129</v>
      </c>
    </row>
    <row r="137" customFormat="false" ht="15" hidden="false" customHeight="true" outlineLevel="0" collapsed="false">
      <c r="A137" s="19" t="n">
        <v>46273</v>
      </c>
      <c r="B137" s="12" t="n">
        <f aca="false">IF($A137="","",ROW()-4)</f>
        <v>133</v>
      </c>
      <c r="C137" s="12" t="s">
        <v>650</v>
      </c>
      <c r="D137" s="12" t="s">
        <v>651</v>
      </c>
      <c r="E137" s="24" t="s">
        <v>151</v>
      </c>
      <c r="F137" s="12"/>
      <c r="G137" s="12" t="str">
        <f aca="false">IFERROR(VLOOKUP($F137,ItemList_Full,2,0),"")</f>
        <v/>
      </c>
      <c r="H137" s="12"/>
      <c r="I137" s="12" t="str">
        <f aca="false">IFERROR(VLOOKUP($F137,ItemList_Full,3,0),"")</f>
        <v/>
      </c>
      <c r="J137" s="12" t="str">
        <f aca="false">IFERROR(VLOOKUP($F137,ItemList_Full,4,0),"")</f>
        <v/>
      </c>
      <c r="K137" s="13" t="n">
        <v>13000</v>
      </c>
      <c r="L137" s="12"/>
      <c r="M137" s="24"/>
      <c r="N137" s="12" t="s">
        <v>229</v>
      </c>
      <c r="O137" s="12"/>
      <c r="P137" s="13" t="n">
        <f aca="false">IF($E137="","",IF(OR($E137="Director Draw",$E137="Payroll/Employee Charge"),0,-$K137))</f>
        <v>-13000</v>
      </c>
      <c r="Q137" s="12" t="n">
        <f aca="false">IF($E137="Inventory Purchase",$H137,0)</f>
        <v>0</v>
      </c>
      <c r="U137" s="1" t="s">
        <v>652</v>
      </c>
      <c r="V137" s="1" t="s">
        <v>653</v>
      </c>
      <c r="W137" s="1" t="s">
        <v>267</v>
      </c>
      <c r="X137" s="1" t="n">
        <v>1188</v>
      </c>
      <c r="Y137" s="1" t="s">
        <v>129</v>
      </c>
    </row>
    <row r="138" customFormat="false" ht="15" hidden="false" customHeight="true" outlineLevel="0" collapsed="false">
      <c r="A138" s="19" t="n">
        <v>46273</v>
      </c>
      <c r="B138" s="12" t="n">
        <f aca="false">IF($A138="","",ROW()-4)</f>
        <v>134</v>
      </c>
      <c r="C138" s="12" t="s">
        <v>654</v>
      </c>
      <c r="D138" s="12" t="s">
        <v>655</v>
      </c>
      <c r="E138" s="24" t="s">
        <v>151</v>
      </c>
      <c r="F138" s="12"/>
      <c r="G138" s="12" t="str">
        <f aca="false">IFERROR(VLOOKUP($F138,ItemList_Full,2,0),"")</f>
        <v/>
      </c>
      <c r="H138" s="12"/>
      <c r="I138" s="12" t="str">
        <f aca="false">IFERROR(VLOOKUP($F138,ItemList_Full,3,0),"")</f>
        <v/>
      </c>
      <c r="J138" s="12" t="str">
        <f aca="false">IFERROR(VLOOKUP($F138,ItemList_Full,4,0),"")</f>
        <v/>
      </c>
      <c r="K138" s="13" t="n">
        <v>1700</v>
      </c>
      <c r="L138" s="12"/>
      <c r="M138" s="24"/>
      <c r="N138" s="12" t="s">
        <v>229</v>
      </c>
      <c r="O138" s="12"/>
      <c r="P138" s="13" t="n">
        <f aca="false">IF($E138="","",IF(OR($E138="Director Draw",$E138="Payroll/Employee Charge"),0,-$K138))</f>
        <v>-1700</v>
      </c>
      <c r="Q138" s="12" t="n">
        <f aca="false">IF($E138="Inventory Purchase",$H138,0)</f>
        <v>0</v>
      </c>
      <c r="U138" s="1" t="s">
        <v>656</v>
      </c>
      <c r="V138" s="1" t="s">
        <v>657</v>
      </c>
      <c r="W138" s="1" t="s">
        <v>267</v>
      </c>
      <c r="X138" s="1" t="n">
        <v>500</v>
      </c>
      <c r="Y138" s="1" t="s">
        <v>129</v>
      </c>
    </row>
    <row r="139" customFormat="false" ht="15" hidden="false" customHeight="true" outlineLevel="0" collapsed="false">
      <c r="A139" s="19" t="n">
        <v>46273</v>
      </c>
      <c r="B139" s="12" t="n">
        <f aca="false">IF($A139="","",ROW()-4)</f>
        <v>135</v>
      </c>
      <c r="C139" s="12" t="s">
        <v>361</v>
      </c>
      <c r="D139" s="12" t="s">
        <v>658</v>
      </c>
      <c r="E139" s="24" t="s">
        <v>149</v>
      </c>
      <c r="F139" s="12"/>
      <c r="G139" s="12" t="str">
        <f aca="false">IFERROR(VLOOKUP($F139,ItemList_Full,2,0),"")</f>
        <v/>
      </c>
      <c r="H139" s="12"/>
      <c r="I139" s="12" t="str">
        <f aca="false">IFERROR(VLOOKUP($F139,ItemList_Full,3,0),"")</f>
        <v/>
      </c>
      <c r="J139" s="12" t="str">
        <f aca="false">IFERROR(VLOOKUP($F139,ItemList_Full,4,0),"")</f>
        <v/>
      </c>
      <c r="K139" s="13" t="n">
        <v>900</v>
      </c>
      <c r="L139" s="12"/>
      <c r="M139" s="24"/>
      <c r="N139" s="12" t="s">
        <v>229</v>
      </c>
      <c r="O139" s="12"/>
      <c r="P139" s="13" t="n">
        <f aca="false">IF($E139="","",IF(OR($E139="Director Draw",$E139="Payroll/Employee Charge"),0,-$K139))</f>
        <v>-900</v>
      </c>
      <c r="Q139" s="12" t="n">
        <f aca="false">IF($E139="Inventory Purchase",$H139,0)</f>
        <v>0</v>
      </c>
      <c r="U139" s="1" t="s">
        <v>659</v>
      </c>
      <c r="V139" s="1" t="s">
        <v>660</v>
      </c>
      <c r="W139" s="1" t="s">
        <v>561</v>
      </c>
      <c r="X139" s="1" t="n">
        <v>1550</v>
      </c>
      <c r="Y139" s="1" t="s">
        <v>129</v>
      </c>
    </row>
    <row r="140" customFormat="false" ht="15" hidden="false" customHeight="true" outlineLevel="0" collapsed="false">
      <c r="A140" s="19" t="n">
        <v>46273</v>
      </c>
      <c r="B140" s="12" t="n">
        <f aca="false">IF($A140="","",ROW()-4)</f>
        <v>136</v>
      </c>
      <c r="C140" s="12" t="s">
        <v>361</v>
      </c>
      <c r="D140" s="12" t="s">
        <v>661</v>
      </c>
      <c r="E140" s="24" t="s">
        <v>149</v>
      </c>
      <c r="F140" s="12"/>
      <c r="G140" s="12" t="str">
        <f aca="false">IFERROR(VLOOKUP($F140,ItemList_Full,2,0),"")</f>
        <v/>
      </c>
      <c r="H140" s="12"/>
      <c r="I140" s="12" t="str">
        <f aca="false">IFERROR(VLOOKUP($F140,ItemList_Full,3,0),"")</f>
        <v/>
      </c>
      <c r="J140" s="12" t="str">
        <f aca="false">IFERROR(VLOOKUP($F140,ItemList_Full,4,0),"")</f>
        <v/>
      </c>
      <c r="K140" s="13" t="n">
        <v>320</v>
      </c>
      <c r="L140" s="12"/>
      <c r="M140" s="24"/>
      <c r="N140" s="12" t="s">
        <v>229</v>
      </c>
      <c r="O140" s="12"/>
      <c r="P140" s="13" t="n">
        <f aca="false">IF($E140="","",IF(OR($E140="Director Draw",$E140="Payroll/Employee Charge"),0,-$K140))</f>
        <v>-320</v>
      </c>
      <c r="Q140" s="12" t="n">
        <f aca="false">IF($E140="Inventory Purchase",$H140,0)</f>
        <v>0</v>
      </c>
      <c r="U140" s="1" t="s">
        <v>662</v>
      </c>
      <c r="V140" s="1" t="s">
        <v>663</v>
      </c>
      <c r="W140" s="1" t="s">
        <v>267</v>
      </c>
      <c r="X140" s="1" t="n">
        <v>1050</v>
      </c>
      <c r="Y140" s="1" t="s">
        <v>129</v>
      </c>
    </row>
    <row r="141" customFormat="false" ht="15" hidden="false" customHeight="true" outlineLevel="0" collapsed="false">
      <c r="A141" s="19" t="n">
        <v>46273</v>
      </c>
      <c r="B141" s="12" t="n">
        <f aca="false">IF($A141="","",ROW()-4)</f>
        <v>137</v>
      </c>
      <c r="C141" s="12" t="s">
        <v>299</v>
      </c>
      <c r="D141" s="12" t="s">
        <v>300</v>
      </c>
      <c r="E141" s="24" t="s">
        <v>149</v>
      </c>
      <c r="F141" s="12"/>
      <c r="G141" s="12" t="str">
        <f aca="false">IFERROR(VLOOKUP($F141,ItemList_Full,2,0),"")</f>
        <v/>
      </c>
      <c r="H141" s="12"/>
      <c r="I141" s="12" t="str">
        <f aca="false">IFERROR(VLOOKUP($F141,ItemList_Full,3,0),"")</f>
        <v/>
      </c>
      <c r="J141" s="12" t="str">
        <f aca="false">IFERROR(VLOOKUP($F141,ItemList_Full,4,0),"")</f>
        <v/>
      </c>
      <c r="K141" s="13" t="n">
        <v>200</v>
      </c>
      <c r="L141" s="12"/>
      <c r="M141" s="24"/>
      <c r="N141" s="12" t="s">
        <v>229</v>
      </c>
      <c r="O141" s="12"/>
      <c r="P141" s="13" t="n">
        <f aca="false">IF($E141="","",IF(OR($E141="Director Draw",$E141="Payroll/Employee Charge"),0,-$K141))</f>
        <v>-200</v>
      </c>
      <c r="Q141" s="12" t="n">
        <f aca="false">IF($E141="Inventory Purchase",$H141,0)</f>
        <v>0</v>
      </c>
      <c r="U141" s="1" t="s">
        <v>664</v>
      </c>
      <c r="V141" s="1" t="s">
        <v>665</v>
      </c>
      <c r="W141" s="1" t="s">
        <v>267</v>
      </c>
      <c r="X141" s="1" t="n">
        <v>850</v>
      </c>
      <c r="Y141" s="1" t="s">
        <v>129</v>
      </c>
    </row>
    <row r="142" customFormat="false" ht="15" hidden="false" customHeight="true" outlineLevel="0" collapsed="false">
      <c r="A142" s="19" t="n">
        <v>46274</v>
      </c>
      <c r="B142" s="12" t="n">
        <f aca="false">IF($A142="","",ROW()-4)</f>
        <v>138</v>
      </c>
      <c r="C142" s="12" t="s">
        <v>225</v>
      </c>
      <c r="D142" s="12" t="s">
        <v>666</v>
      </c>
      <c r="E142" s="24" t="s">
        <v>227</v>
      </c>
      <c r="F142" s="12"/>
      <c r="G142" s="12" t="str">
        <f aca="false">IFERROR(VLOOKUP($F142,ItemList_Full,2,0),"")</f>
        <v/>
      </c>
      <c r="H142" s="12"/>
      <c r="I142" s="12" t="str">
        <f aca="false">IFERROR(VLOOKUP($F142,ItemList_Full,3,0),"")</f>
        <v/>
      </c>
      <c r="J142" s="12" t="str">
        <f aca="false">IFERROR(VLOOKUP($F142,ItemList_Full,4,0),"")</f>
        <v/>
      </c>
      <c r="K142" s="13" t="n">
        <v>5950</v>
      </c>
      <c r="L142" s="12"/>
      <c r="M142" s="24" t="s">
        <v>228</v>
      </c>
      <c r="N142" s="12" t="s">
        <v>229</v>
      </c>
      <c r="O142" s="12"/>
      <c r="P142" s="13" t="n">
        <f aca="false">IF($E142="","",IF(OR($E142="Director Draw",$E142="Payroll/Employee Charge"),0,-$K142))</f>
        <v>0</v>
      </c>
      <c r="Q142" s="12" t="n">
        <f aca="false">IF($E142="Inventory Purchase",$H142,0)</f>
        <v>0</v>
      </c>
      <c r="U142" s="1" t="s">
        <v>667</v>
      </c>
      <c r="V142" s="1" t="s">
        <v>668</v>
      </c>
      <c r="W142" s="1" t="s">
        <v>267</v>
      </c>
      <c r="X142" s="1" t="n">
        <v>750</v>
      </c>
      <c r="Y142" s="1" t="s">
        <v>129</v>
      </c>
    </row>
    <row r="143" customFormat="false" ht="15" hidden="false" customHeight="true" outlineLevel="0" collapsed="false">
      <c r="A143" s="19" t="n">
        <v>46274</v>
      </c>
      <c r="B143" s="12" t="n">
        <f aca="false">IF($A143="","",ROW()-4)</f>
        <v>139</v>
      </c>
      <c r="C143" s="12" t="s">
        <v>225</v>
      </c>
      <c r="D143" s="12" t="s">
        <v>431</v>
      </c>
      <c r="E143" s="24" t="s">
        <v>227</v>
      </c>
      <c r="F143" s="12"/>
      <c r="G143" s="12" t="str">
        <f aca="false">IFERROR(VLOOKUP($F143,ItemList_Full,2,0),"")</f>
        <v/>
      </c>
      <c r="H143" s="12"/>
      <c r="I143" s="12" t="str">
        <f aca="false">IFERROR(VLOOKUP($F143,ItemList_Full,3,0),"")</f>
        <v/>
      </c>
      <c r="J143" s="12" t="str">
        <f aca="false">IFERROR(VLOOKUP($F143,ItemList_Full,4,0),"")</f>
        <v/>
      </c>
      <c r="K143" s="13" t="n">
        <v>1190</v>
      </c>
      <c r="L143" s="12"/>
      <c r="M143" s="24" t="s">
        <v>228</v>
      </c>
      <c r="N143" s="12" t="s">
        <v>229</v>
      </c>
      <c r="O143" s="12"/>
      <c r="P143" s="13" t="n">
        <f aca="false">IF($E143="","",IF(OR($E143="Director Draw",$E143="Payroll/Employee Charge"),0,-$K143))</f>
        <v>0</v>
      </c>
      <c r="Q143" s="12" t="n">
        <f aca="false">IF($E143="Inventory Purchase",$H143,0)</f>
        <v>0</v>
      </c>
      <c r="U143" s="1" t="s">
        <v>669</v>
      </c>
      <c r="V143" s="1" t="s">
        <v>670</v>
      </c>
      <c r="W143" s="1" t="s">
        <v>267</v>
      </c>
      <c r="X143" s="1" t="n">
        <v>1330</v>
      </c>
      <c r="Y143" s="1" t="s">
        <v>129</v>
      </c>
    </row>
    <row r="144" customFormat="false" ht="15" hidden="false" customHeight="true" outlineLevel="0" collapsed="false">
      <c r="A144" s="19" t="n">
        <v>46274</v>
      </c>
      <c r="B144" s="12" t="n">
        <f aca="false">IF($A144="","",ROW()-4)</f>
        <v>140</v>
      </c>
      <c r="C144" s="12" t="s">
        <v>225</v>
      </c>
      <c r="D144" s="12" t="s">
        <v>671</v>
      </c>
      <c r="E144" s="24" t="s">
        <v>227</v>
      </c>
      <c r="F144" s="12"/>
      <c r="G144" s="12" t="str">
        <f aca="false">IFERROR(VLOOKUP($F144,ItemList_Full,2,0),"")</f>
        <v/>
      </c>
      <c r="H144" s="12"/>
      <c r="I144" s="12" t="str">
        <f aca="false">IFERROR(VLOOKUP($F144,ItemList_Full,3,0),"")</f>
        <v/>
      </c>
      <c r="J144" s="12" t="str">
        <f aca="false">IFERROR(VLOOKUP($F144,ItemList_Full,4,0),"")</f>
        <v/>
      </c>
      <c r="K144" s="13" t="n">
        <v>3230</v>
      </c>
      <c r="L144" s="12"/>
      <c r="M144" s="24" t="s">
        <v>234</v>
      </c>
      <c r="N144" s="12" t="s">
        <v>229</v>
      </c>
      <c r="O144" s="12"/>
      <c r="P144" s="13" t="n">
        <f aca="false">IF($E144="","",IF(OR($E144="Director Draw",$E144="Payroll/Employee Charge"),0,-$K144))</f>
        <v>0</v>
      </c>
      <c r="Q144" s="12" t="n">
        <f aca="false">IF($E144="Inventory Purchase",$H144,0)</f>
        <v>0</v>
      </c>
      <c r="U144" s="1" t="s">
        <v>672</v>
      </c>
      <c r="V144" s="1" t="s">
        <v>673</v>
      </c>
      <c r="W144" s="1" t="s">
        <v>267</v>
      </c>
      <c r="X144" s="1" t="n">
        <v>1300</v>
      </c>
      <c r="Y144" s="1" t="s">
        <v>129</v>
      </c>
    </row>
    <row r="145" customFormat="false" ht="15" hidden="false" customHeight="true" outlineLevel="0" collapsed="false">
      <c r="A145" s="19" t="n">
        <v>46274</v>
      </c>
      <c r="B145" s="12" t="n">
        <f aca="false">IF($A145="","",ROW()-4)</f>
        <v>141</v>
      </c>
      <c r="C145" s="12" t="s">
        <v>674</v>
      </c>
      <c r="D145" s="12" t="s">
        <v>675</v>
      </c>
      <c r="E145" s="24" t="s">
        <v>139</v>
      </c>
      <c r="F145" s="12"/>
      <c r="G145" s="12" t="str">
        <f aca="false">IFERROR(VLOOKUP($F145,ItemList_Full,2,0),"")</f>
        <v/>
      </c>
      <c r="H145" s="12"/>
      <c r="I145" s="12" t="str">
        <f aca="false">IFERROR(VLOOKUP($F145,ItemList_Full,3,0),"")</f>
        <v/>
      </c>
      <c r="J145" s="12" t="str">
        <f aca="false">IFERROR(VLOOKUP($F145,ItemList_Full,4,0),"")</f>
        <v/>
      </c>
      <c r="K145" s="13" t="n">
        <v>16920</v>
      </c>
      <c r="L145" s="12"/>
      <c r="M145" s="24"/>
      <c r="N145" s="12" t="s">
        <v>229</v>
      </c>
      <c r="O145" s="12"/>
      <c r="P145" s="13" t="n">
        <f aca="false">IF($E145="","",IF(OR($E145="Director Draw",$E145="Payroll/Employee Charge"),0,-$K145))</f>
        <v>-16920</v>
      </c>
      <c r="Q145" s="12" t="n">
        <f aca="false">IF($E145="Inventory Purchase",$H145,0)</f>
        <v>0</v>
      </c>
      <c r="U145" s="1" t="s">
        <v>676</v>
      </c>
      <c r="V145" s="1" t="s">
        <v>677</v>
      </c>
      <c r="W145" s="1" t="s">
        <v>267</v>
      </c>
      <c r="X145" s="1" t="n">
        <v>800</v>
      </c>
      <c r="Y145" s="1" t="s">
        <v>129</v>
      </c>
    </row>
    <row r="146" customFormat="false" ht="15" hidden="false" customHeight="true" outlineLevel="0" collapsed="false">
      <c r="A146" s="19" t="n">
        <v>46274</v>
      </c>
      <c r="B146" s="12" t="n">
        <f aca="false">IF($A146="","",ROW()-4)</f>
        <v>142</v>
      </c>
      <c r="C146" s="12" t="s">
        <v>675</v>
      </c>
      <c r="D146" s="12" t="s">
        <v>675</v>
      </c>
      <c r="E146" s="24" t="s">
        <v>139</v>
      </c>
      <c r="F146" s="12"/>
      <c r="G146" s="12" t="str">
        <f aca="false">IFERROR(VLOOKUP($F146,ItemList_Full,2,0),"")</f>
        <v/>
      </c>
      <c r="H146" s="12"/>
      <c r="I146" s="12" t="str">
        <f aca="false">IFERROR(VLOOKUP($F146,ItemList_Full,3,0),"")</f>
        <v/>
      </c>
      <c r="J146" s="12" t="str">
        <f aca="false">IFERROR(VLOOKUP($F146,ItemList_Full,4,0),"")</f>
        <v/>
      </c>
      <c r="K146" s="13" t="n">
        <v>240</v>
      </c>
      <c r="L146" s="12"/>
      <c r="M146" s="24"/>
      <c r="N146" s="12" t="s">
        <v>229</v>
      </c>
      <c r="O146" s="12"/>
      <c r="P146" s="13" t="n">
        <f aca="false">IF($E146="","",IF(OR($E146="Director Draw",$E146="Payroll/Employee Charge"),0,-$K146))</f>
        <v>-240</v>
      </c>
      <c r="Q146" s="12" t="n">
        <f aca="false">IF($E146="Inventory Purchase",$H146,0)</f>
        <v>0</v>
      </c>
      <c r="U146" s="1" t="s">
        <v>678</v>
      </c>
      <c r="V146" s="1" t="s">
        <v>679</v>
      </c>
      <c r="W146" s="1" t="s">
        <v>267</v>
      </c>
      <c r="X146" s="1" t="n">
        <v>700</v>
      </c>
      <c r="Y146" s="1" t="s">
        <v>129</v>
      </c>
    </row>
    <row r="147" customFormat="false" ht="15" hidden="false" customHeight="true" outlineLevel="0" collapsed="false">
      <c r="A147" s="19" t="n">
        <v>46274</v>
      </c>
      <c r="B147" s="12" t="n">
        <f aca="false">IF($A147="","",ROW()-4)</f>
        <v>143</v>
      </c>
      <c r="C147" s="12" t="s">
        <v>317</v>
      </c>
      <c r="D147" s="12" t="s">
        <v>680</v>
      </c>
      <c r="E147" s="24" t="s">
        <v>139</v>
      </c>
      <c r="F147" s="12"/>
      <c r="G147" s="12" t="str">
        <f aca="false">IFERROR(VLOOKUP($F147,ItemList_Full,2,0),"")</f>
        <v/>
      </c>
      <c r="H147" s="12"/>
      <c r="I147" s="12" t="str">
        <f aca="false">IFERROR(VLOOKUP($F147,ItemList_Full,3,0),"")</f>
        <v/>
      </c>
      <c r="J147" s="12" t="str">
        <f aca="false">IFERROR(VLOOKUP($F147,ItemList_Full,4,0),"")</f>
        <v/>
      </c>
      <c r="K147" s="13" t="n">
        <v>10214</v>
      </c>
      <c r="L147" s="12"/>
      <c r="M147" s="24"/>
      <c r="N147" s="12" t="s">
        <v>229</v>
      </c>
      <c r="O147" s="12"/>
      <c r="P147" s="13" t="n">
        <f aca="false">IF($E147="","",IF(OR($E147="Director Draw",$E147="Payroll/Employee Charge"),0,-$K147))</f>
        <v>-10214</v>
      </c>
      <c r="Q147" s="12" t="n">
        <f aca="false">IF($E147="Inventory Purchase",$H147,0)</f>
        <v>0</v>
      </c>
      <c r="U147" s="1" t="s">
        <v>681</v>
      </c>
      <c r="V147" s="1" t="s">
        <v>682</v>
      </c>
      <c r="W147" s="1" t="s">
        <v>267</v>
      </c>
      <c r="X147" s="1" t="n">
        <v>2</v>
      </c>
      <c r="Y147" s="1" t="s">
        <v>129</v>
      </c>
    </row>
    <row r="148" customFormat="false" ht="15" hidden="false" customHeight="true" outlineLevel="0" collapsed="false">
      <c r="A148" s="19" t="n">
        <v>46274</v>
      </c>
      <c r="B148" s="12" t="n">
        <f aca="false">IF($A148="","",ROW()-4)</f>
        <v>144</v>
      </c>
      <c r="C148" s="12" t="s">
        <v>242</v>
      </c>
      <c r="D148" s="12" t="s">
        <v>243</v>
      </c>
      <c r="E148" s="24" t="s">
        <v>139</v>
      </c>
      <c r="F148" s="12"/>
      <c r="G148" s="12" t="str">
        <f aca="false">IFERROR(VLOOKUP($F148,ItemList_Full,2,0),"")</f>
        <v/>
      </c>
      <c r="H148" s="12"/>
      <c r="I148" s="12" t="str">
        <f aca="false">IFERROR(VLOOKUP($F148,ItemList_Full,3,0),"")</f>
        <v/>
      </c>
      <c r="J148" s="12" t="str">
        <f aca="false">IFERROR(VLOOKUP($F148,ItemList_Full,4,0),"")</f>
        <v/>
      </c>
      <c r="K148" s="13" t="n">
        <v>17000</v>
      </c>
      <c r="L148" s="12"/>
      <c r="M148" s="24"/>
      <c r="N148" s="12" t="s">
        <v>229</v>
      </c>
      <c r="O148" s="12"/>
      <c r="P148" s="13" t="n">
        <f aca="false">IF($E148="","",IF(OR($E148="Director Draw",$E148="Payroll/Employee Charge"),0,-$K148))</f>
        <v>-17000</v>
      </c>
      <c r="Q148" s="12" t="n">
        <f aca="false">IF($E148="Inventory Purchase",$H148,0)</f>
        <v>0</v>
      </c>
      <c r="U148" s="1" t="s">
        <v>683</v>
      </c>
      <c r="V148" s="1" t="s">
        <v>684</v>
      </c>
      <c r="W148" s="1" t="s">
        <v>267</v>
      </c>
      <c r="X148" s="1" t="n">
        <v>2</v>
      </c>
      <c r="Y148" s="1" t="s">
        <v>129</v>
      </c>
    </row>
    <row r="149" customFormat="false" ht="15" hidden="false" customHeight="true" outlineLevel="0" collapsed="false">
      <c r="A149" s="19" t="n">
        <v>46274</v>
      </c>
      <c r="B149" s="12" t="n">
        <f aca="false">IF($A149="","",ROW()-4)</f>
        <v>145</v>
      </c>
      <c r="C149" s="12" t="s">
        <v>449</v>
      </c>
      <c r="D149" s="12" t="s">
        <v>373</v>
      </c>
      <c r="E149" s="24" t="s">
        <v>139</v>
      </c>
      <c r="F149" s="12"/>
      <c r="G149" s="12" t="str">
        <f aca="false">IFERROR(VLOOKUP($F149,ItemList_Full,2,0),"")</f>
        <v/>
      </c>
      <c r="H149" s="12"/>
      <c r="I149" s="12" t="str">
        <f aca="false">IFERROR(VLOOKUP($F149,ItemList_Full,3,0),"")</f>
        <v/>
      </c>
      <c r="J149" s="12" t="str">
        <f aca="false">IFERROR(VLOOKUP($F149,ItemList_Full,4,0),"")</f>
        <v/>
      </c>
      <c r="K149" s="13" t="n">
        <v>24600</v>
      </c>
      <c r="L149" s="12"/>
      <c r="M149" s="24"/>
      <c r="N149" s="12" t="s">
        <v>229</v>
      </c>
      <c r="O149" s="12"/>
      <c r="P149" s="13" t="n">
        <f aca="false">IF($E149="","",IF(OR($E149="Director Draw",$E149="Payroll/Employee Charge"),0,-$K149))</f>
        <v>-24600</v>
      </c>
      <c r="Q149" s="12" t="n">
        <f aca="false">IF($E149="Inventory Purchase",$H149,0)</f>
        <v>0</v>
      </c>
      <c r="U149" s="1" t="s">
        <v>685</v>
      </c>
      <c r="V149" s="1" t="s">
        <v>686</v>
      </c>
      <c r="W149" s="1" t="s">
        <v>267</v>
      </c>
      <c r="X149" s="1" t="n">
        <v>420</v>
      </c>
      <c r="Y149" s="1" t="s">
        <v>129</v>
      </c>
    </row>
    <row r="150" customFormat="false" ht="15" hidden="false" customHeight="true" outlineLevel="0" collapsed="false">
      <c r="A150" s="19" t="n">
        <v>46274</v>
      </c>
      <c r="B150" s="12" t="n">
        <f aca="false">IF($A150="","",ROW()-4)</f>
        <v>146</v>
      </c>
      <c r="C150" s="12" t="s">
        <v>449</v>
      </c>
      <c r="D150" s="12" t="s">
        <v>687</v>
      </c>
      <c r="E150" s="24" t="s">
        <v>139</v>
      </c>
      <c r="F150" s="12"/>
      <c r="G150" s="12" t="str">
        <f aca="false">IFERROR(VLOOKUP($F150,ItemList_Full,2,0),"")</f>
        <v/>
      </c>
      <c r="H150" s="12"/>
      <c r="I150" s="12" t="str">
        <f aca="false">IFERROR(VLOOKUP($F150,ItemList_Full,3,0),"")</f>
        <v/>
      </c>
      <c r="J150" s="12" t="str">
        <f aca="false">IFERROR(VLOOKUP($F150,ItemList_Full,4,0),"")</f>
        <v/>
      </c>
      <c r="K150" s="13" t="n">
        <v>25500</v>
      </c>
      <c r="L150" s="12"/>
      <c r="M150" s="24"/>
      <c r="N150" s="12" t="s">
        <v>229</v>
      </c>
      <c r="O150" s="12"/>
      <c r="P150" s="13" t="n">
        <f aca="false">IF($E150="","",IF(OR($E150="Director Draw",$E150="Payroll/Employee Charge"),0,-$K150))</f>
        <v>-25500</v>
      </c>
      <c r="Q150" s="12" t="n">
        <f aca="false">IF($E150="Inventory Purchase",$H150,0)</f>
        <v>0</v>
      </c>
      <c r="U150" s="1" t="s">
        <v>688</v>
      </c>
      <c r="V150" s="1" t="s">
        <v>689</v>
      </c>
      <c r="W150" s="1" t="s">
        <v>518</v>
      </c>
      <c r="X150" s="1" t="n">
        <v>1357</v>
      </c>
      <c r="Y150" s="1" t="s">
        <v>129</v>
      </c>
    </row>
    <row r="151" customFormat="false" ht="15" hidden="false" customHeight="true" outlineLevel="0" collapsed="false">
      <c r="A151" s="19" t="n">
        <v>46274</v>
      </c>
      <c r="B151" s="12" t="n">
        <f aca="false">IF($A151="","",ROW()-4)</f>
        <v>147</v>
      </c>
      <c r="C151" s="12" t="s">
        <v>690</v>
      </c>
      <c r="D151" s="12" t="s">
        <v>691</v>
      </c>
      <c r="E151" s="24" t="s">
        <v>139</v>
      </c>
      <c r="F151" s="12"/>
      <c r="G151" s="12" t="str">
        <f aca="false">IFERROR(VLOOKUP($F151,ItemList_Full,2,0),"")</f>
        <v/>
      </c>
      <c r="H151" s="12"/>
      <c r="I151" s="12" t="str">
        <f aca="false">IFERROR(VLOOKUP($F151,ItemList_Full,3,0),"")</f>
        <v/>
      </c>
      <c r="J151" s="12" t="str">
        <f aca="false">IFERROR(VLOOKUP($F151,ItemList_Full,4,0),"")</f>
        <v/>
      </c>
      <c r="K151" s="13" t="n">
        <v>32000</v>
      </c>
      <c r="L151" s="12"/>
      <c r="M151" s="24"/>
      <c r="N151" s="12" t="s">
        <v>229</v>
      </c>
      <c r="O151" s="12"/>
      <c r="P151" s="13" t="n">
        <f aca="false">IF($E151="","",IF(OR($E151="Director Draw",$E151="Payroll/Employee Charge"),0,-$K151))</f>
        <v>-32000</v>
      </c>
      <c r="Q151" s="12" t="n">
        <f aca="false">IF($E151="Inventory Purchase",$H151,0)</f>
        <v>0</v>
      </c>
      <c r="U151" s="1" t="s">
        <v>692</v>
      </c>
      <c r="V151" s="1" t="s">
        <v>693</v>
      </c>
      <c r="W151" s="1" t="s">
        <v>694</v>
      </c>
      <c r="X151" s="1" t="n">
        <v>2414.75</v>
      </c>
      <c r="Y151" s="1" t="s">
        <v>129</v>
      </c>
    </row>
    <row r="152" customFormat="false" ht="15" hidden="false" customHeight="true" outlineLevel="0" collapsed="false">
      <c r="A152" s="19" t="n">
        <v>46274</v>
      </c>
      <c r="B152" s="12" t="n">
        <f aca="false">IF($A152="","",ROW()-4)</f>
        <v>148</v>
      </c>
      <c r="C152" s="12" t="s">
        <v>695</v>
      </c>
      <c r="D152" s="12" t="s">
        <v>696</v>
      </c>
      <c r="E152" s="24" t="s">
        <v>139</v>
      </c>
      <c r="F152" s="12"/>
      <c r="G152" s="12" t="str">
        <f aca="false">IFERROR(VLOOKUP($F152,ItemList_Full,2,0),"")</f>
        <v/>
      </c>
      <c r="H152" s="12"/>
      <c r="I152" s="12" t="str">
        <f aca="false">IFERROR(VLOOKUP($F152,ItemList_Full,3,0),"")</f>
        <v/>
      </c>
      <c r="J152" s="12" t="str">
        <f aca="false">IFERROR(VLOOKUP($F152,ItemList_Full,4,0),"")</f>
        <v/>
      </c>
      <c r="K152" s="13" t="n">
        <v>40500</v>
      </c>
      <c r="L152" s="12"/>
      <c r="M152" s="24"/>
      <c r="N152" s="12" t="s">
        <v>229</v>
      </c>
      <c r="O152" s="12"/>
      <c r="P152" s="13" t="n">
        <f aca="false">IF($E152="","",IF(OR($E152="Director Draw",$E152="Payroll/Employee Charge"),0,-$K152))</f>
        <v>-40500</v>
      </c>
      <c r="Q152" s="12" t="n">
        <f aca="false">IF($E152="Inventory Purchase",$H152,0)</f>
        <v>0</v>
      </c>
      <c r="U152" s="1" t="s">
        <v>697</v>
      </c>
      <c r="V152" s="1" t="s">
        <v>698</v>
      </c>
      <c r="W152" s="1" t="s">
        <v>518</v>
      </c>
      <c r="X152" s="1" t="n">
        <v>900</v>
      </c>
      <c r="Y152" s="1" t="s">
        <v>129</v>
      </c>
    </row>
    <row r="153" customFormat="false" ht="15" hidden="false" customHeight="true" outlineLevel="0" collapsed="false">
      <c r="A153" s="19" t="n">
        <v>46274</v>
      </c>
      <c r="B153" s="12" t="n">
        <f aca="false">IF($A153="","",ROW()-4)</f>
        <v>149</v>
      </c>
      <c r="C153" s="12" t="s">
        <v>695</v>
      </c>
      <c r="D153" s="12" t="s">
        <v>486</v>
      </c>
      <c r="E153" s="24" t="s">
        <v>139</v>
      </c>
      <c r="F153" s="12"/>
      <c r="G153" s="12" t="str">
        <f aca="false">IFERROR(VLOOKUP($F153,ItemList_Full,2,0),"")</f>
        <v/>
      </c>
      <c r="H153" s="12"/>
      <c r="I153" s="12" t="str">
        <f aca="false">IFERROR(VLOOKUP($F153,ItemList_Full,3,0),"")</f>
        <v/>
      </c>
      <c r="J153" s="12" t="str">
        <f aca="false">IFERROR(VLOOKUP($F153,ItemList_Full,4,0),"")</f>
        <v/>
      </c>
      <c r="K153" s="13" t="n">
        <v>7351</v>
      </c>
      <c r="L153" s="12"/>
      <c r="M153" s="24"/>
      <c r="N153" s="12" t="s">
        <v>229</v>
      </c>
      <c r="O153" s="12"/>
      <c r="P153" s="13" t="n">
        <f aca="false">IF($E153="","",IF(OR($E153="Director Draw",$E153="Payroll/Employee Charge"),0,-$K153))</f>
        <v>-7351</v>
      </c>
      <c r="Q153" s="12" t="n">
        <f aca="false">IF($E153="Inventory Purchase",$H153,0)</f>
        <v>0</v>
      </c>
      <c r="U153" s="1" t="s">
        <v>699</v>
      </c>
      <c r="V153" s="1" t="s">
        <v>700</v>
      </c>
      <c r="W153" s="1" t="s">
        <v>350</v>
      </c>
      <c r="X153" s="1" t="n">
        <v>197.5</v>
      </c>
      <c r="Y153" s="1" t="s">
        <v>129</v>
      </c>
    </row>
    <row r="154" customFormat="false" ht="15" hidden="false" customHeight="true" outlineLevel="0" collapsed="false">
      <c r="A154" s="19" t="n">
        <v>46274</v>
      </c>
      <c r="B154" s="12" t="n">
        <f aca="false">IF($A154="","",ROW()-4)</f>
        <v>150</v>
      </c>
      <c r="C154" s="12" t="s">
        <v>695</v>
      </c>
      <c r="D154" s="12" t="s">
        <v>701</v>
      </c>
      <c r="E154" s="24" t="s">
        <v>139</v>
      </c>
      <c r="F154" s="12"/>
      <c r="G154" s="12" t="str">
        <f aca="false">IFERROR(VLOOKUP($F154,ItemList_Full,2,0),"")</f>
        <v/>
      </c>
      <c r="H154" s="12"/>
      <c r="I154" s="12" t="str">
        <f aca="false">IFERROR(VLOOKUP($F154,ItemList_Full,3,0),"")</f>
        <v/>
      </c>
      <c r="J154" s="12" t="str">
        <f aca="false">IFERROR(VLOOKUP($F154,ItemList_Full,4,0),"")</f>
        <v/>
      </c>
      <c r="K154" s="13" t="n">
        <v>5751</v>
      </c>
      <c r="L154" s="12"/>
      <c r="M154" s="24"/>
      <c r="N154" s="12" t="s">
        <v>229</v>
      </c>
      <c r="O154" s="12"/>
      <c r="P154" s="13" t="n">
        <f aca="false">IF($E154="","",IF(OR($E154="Director Draw",$E154="Payroll/Employee Charge"),0,-$K154))</f>
        <v>-5751</v>
      </c>
      <c r="Q154" s="12" t="n">
        <f aca="false">IF($E154="Inventory Purchase",$H154,0)</f>
        <v>0</v>
      </c>
      <c r="U154" s="1" t="s">
        <v>702</v>
      </c>
      <c r="V154" s="1" t="s">
        <v>703</v>
      </c>
      <c r="W154" s="1" t="s">
        <v>267</v>
      </c>
      <c r="X154" s="1" t="n">
        <v>1085</v>
      </c>
      <c r="Y154" s="1" t="s">
        <v>129</v>
      </c>
    </row>
    <row r="155" customFormat="false" ht="15" hidden="false" customHeight="true" outlineLevel="0" collapsed="false">
      <c r="A155" s="19" t="n">
        <v>46274</v>
      </c>
      <c r="B155" s="12" t="n">
        <f aca="false">IF($A155="","",ROW()-4)</f>
        <v>151</v>
      </c>
      <c r="C155" s="12" t="s">
        <v>674</v>
      </c>
      <c r="D155" s="12" t="s">
        <v>704</v>
      </c>
      <c r="E155" s="24" t="s">
        <v>127</v>
      </c>
      <c r="F155" s="12"/>
      <c r="G155" s="12" t="str">
        <f aca="false">IFERROR(VLOOKUP($F155,ItemList_Full,2,0),"")</f>
        <v/>
      </c>
      <c r="H155" s="12"/>
      <c r="I155" s="12" t="str">
        <f aca="false">IFERROR(VLOOKUP($F155,ItemList_Full,3,0),"")</f>
        <v/>
      </c>
      <c r="J155" s="12" t="str">
        <f aca="false">IFERROR(VLOOKUP($F155,ItemList_Full,4,0),"")</f>
        <v/>
      </c>
      <c r="K155" s="13" t="n">
        <v>4200</v>
      </c>
      <c r="L155" s="12"/>
      <c r="M155" s="24"/>
      <c r="N155" s="12" t="s">
        <v>229</v>
      </c>
      <c r="O155" s="12"/>
      <c r="P155" s="13" t="n">
        <f aca="false">IF($E155="","",IF(OR($E155="Director Draw",$E155="Payroll/Employee Charge"),0,-$K155))</f>
        <v>-4200</v>
      </c>
      <c r="Q155" s="12" t="n">
        <f aca="false">IF($E155="Inventory Purchase",$H155,0)</f>
        <v>0</v>
      </c>
      <c r="U155" s="1" t="s">
        <v>705</v>
      </c>
      <c r="V155" s="1" t="s">
        <v>706</v>
      </c>
      <c r="W155" s="1" t="s">
        <v>267</v>
      </c>
      <c r="X155" s="1" t="n">
        <v>0</v>
      </c>
      <c r="Y155" s="1" t="s">
        <v>129</v>
      </c>
    </row>
    <row r="156" customFormat="false" ht="15" hidden="false" customHeight="true" outlineLevel="0" collapsed="false">
      <c r="A156" s="19" t="n">
        <v>46274</v>
      </c>
      <c r="B156" s="12" t="n">
        <f aca="false">IF($A156="","",ROW()-4)</f>
        <v>152</v>
      </c>
      <c r="C156" s="12" t="s">
        <v>707</v>
      </c>
      <c r="D156" s="12" t="s">
        <v>708</v>
      </c>
      <c r="E156" s="24" t="s">
        <v>151</v>
      </c>
      <c r="F156" s="12"/>
      <c r="G156" s="12" t="str">
        <f aca="false">IFERROR(VLOOKUP($F156,ItemList_Full,2,0),"")</f>
        <v/>
      </c>
      <c r="H156" s="12"/>
      <c r="I156" s="12" t="str">
        <f aca="false">IFERROR(VLOOKUP($F156,ItemList_Full,3,0),"")</f>
        <v/>
      </c>
      <c r="J156" s="12" t="str">
        <f aca="false">IFERROR(VLOOKUP($F156,ItemList_Full,4,0),"")</f>
        <v/>
      </c>
      <c r="K156" s="13" t="n">
        <v>7000</v>
      </c>
      <c r="L156" s="12"/>
      <c r="M156" s="24"/>
      <c r="N156" s="12" t="s">
        <v>229</v>
      </c>
      <c r="O156" s="12"/>
      <c r="P156" s="13" t="n">
        <f aca="false">IF($E156="","",IF(OR($E156="Director Draw",$E156="Payroll/Employee Charge"),0,-$K156))</f>
        <v>-7000</v>
      </c>
      <c r="Q156" s="12" t="n">
        <f aca="false">IF($E156="Inventory Purchase",$H156,0)</f>
        <v>0</v>
      </c>
      <c r="U156" s="1" t="s">
        <v>709</v>
      </c>
      <c r="V156" s="1" t="s">
        <v>710</v>
      </c>
      <c r="W156" s="1" t="s">
        <v>267</v>
      </c>
      <c r="X156" s="1" t="n">
        <v>0</v>
      </c>
      <c r="Y156" s="1" t="s">
        <v>129</v>
      </c>
    </row>
    <row r="157" customFormat="false" ht="15" hidden="false" customHeight="true" outlineLevel="0" collapsed="false">
      <c r="A157" s="19" t="n">
        <v>46274</v>
      </c>
      <c r="B157" s="12" t="n">
        <f aca="false">IF($A157="","",ROW()-4)</f>
        <v>153</v>
      </c>
      <c r="C157" s="12" t="s">
        <v>355</v>
      </c>
      <c r="D157" s="12" t="s">
        <v>711</v>
      </c>
      <c r="E157" s="24" t="s">
        <v>143</v>
      </c>
      <c r="F157" s="12"/>
      <c r="G157" s="12" t="str">
        <f aca="false">IFERROR(VLOOKUP($F157,ItemList_Full,2,0),"")</f>
        <v/>
      </c>
      <c r="H157" s="12"/>
      <c r="I157" s="12" t="str">
        <f aca="false">IFERROR(VLOOKUP($F157,ItemList_Full,3,0),"")</f>
        <v/>
      </c>
      <c r="J157" s="12" t="str">
        <f aca="false">IFERROR(VLOOKUP($F157,ItemList_Full,4,0),"")</f>
        <v/>
      </c>
      <c r="K157" s="13" t="n">
        <v>3390</v>
      </c>
      <c r="L157" s="12"/>
      <c r="M157" s="24"/>
      <c r="N157" s="12" t="s">
        <v>229</v>
      </c>
      <c r="O157" s="12"/>
      <c r="P157" s="13" t="n">
        <f aca="false">IF($E157="","",IF(OR($E157="Director Draw",$E157="Payroll/Employee Charge"),0,-$K157))</f>
        <v>-3390</v>
      </c>
      <c r="Q157" s="12" t="n">
        <f aca="false">IF($E157="Inventory Purchase",$H157,0)</f>
        <v>0</v>
      </c>
      <c r="U157" s="1" t="s">
        <v>712</v>
      </c>
      <c r="V157" s="1" t="s">
        <v>713</v>
      </c>
      <c r="W157" s="1" t="s">
        <v>541</v>
      </c>
      <c r="X157" s="1" t="n">
        <v>362</v>
      </c>
      <c r="Y157" s="1" t="s">
        <v>129</v>
      </c>
    </row>
    <row r="158" customFormat="false" ht="15" hidden="false" customHeight="true" outlineLevel="0" collapsed="false">
      <c r="A158" s="19" t="n">
        <v>46274</v>
      </c>
      <c r="B158" s="12" t="n">
        <f aca="false">IF($A158="","",ROW()-4)</f>
        <v>154</v>
      </c>
      <c r="C158" s="12" t="s">
        <v>276</v>
      </c>
      <c r="D158" s="12" t="s">
        <v>714</v>
      </c>
      <c r="E158" s="24" t="s">
        <v>143</v>
      </c>
      <c r="F158" s="12"/>
      <c r="G158" s="12" t="str">
        <f aca="false">IFERROR(VLOOKUP($F158,ItemList_Full,2,0),"")</f>
        <v/>
      </c>
      <c r="H158" s="12"/>
      <c r="I158" s="12" t="str">
        <f aca="false">IFERROR(VLOOKUP($F158,ItemList_Full,3,0),"")</f>
        <v/>
      </c>
      <c r="J158" s="12" t="str">
        <f aca="false">IFERROR(VLOOKUP($F158,ItemList_Full,4,0),"")</f>
        <v/>
      </c>
      <c r="K158" s="13" t="n">
        <v>1300</v>
      </c>
      <c r="L158" s="12"/>
      <c r="M158" s="24"/>
      <c r="N158" s="12" t="s">
        <v>229</v>
      </c>
      <c r="O158" s="12"/>
      <c r="P158" s="13" t="n">
        <f aca="false">IF($E158="","",IF(OR($E158="Director Draw",$E158="Payroll/Employee Charge"),0,-$K158))</f>
        <v>-1300</v>
      </c>
      <c r="Q158" s="12" t="n">
        <f aca="false">IF($E158="Inventory Purchase",$H158,0)</f>
        <v>0</v>
      </c>
      <c r="U158" s="1" t="s">
        <v>715</v>
      </c>
      <c r="V158" s="1" t="s">
        <v>716</v>
      </c>
      <c r="W158" s="1" t="s">
        <v>541</v>
      </c>
      <c r="X158" s="1" t="n">
        <v>362</v>
      </c>
      <c r="Y158" s="1" t="s">
        <v>129</v>
      </c>
    </row>
    <row r="159" customFormat="false" ht="15" hidden="false" customHeight="true" outlineLevel="0" collapsed="false">
      <c r="A159" s="19" t="n">
        <v>46274</v>
      </c>
      <c r="B159" s="12" t="n">
        <f aca="false">IF($A159="","",ROW()-4)</f>
        <v>155</v>
      </c>
      <c r="C159" s="12" t="s">
        <v>276</v>
      </c>
      <c r="D159" s="12" t="s">
        <v>717</v>
      </c>
      <c r="E159" s="24" t="s">
        <v>143</v>
      </c>
      <c r="F159" s="12"/>
      <c r="G159" s="12" t="str">
        <f aca="false">IFERROR(VLOOKUP($F159,ItemList_Full,2,0),"")</f>
        <v/>
      </c>
      <c r="H159" s="12"/>
      <c r="I159" s="12" t="str">
        <f aca="false">IFERROR(VLOOKUP($F159,ItemList_Full,3,0),"")</f>
        <v/>
      </c>
      <c r="J159" s="12" t="str">
        <f aca="false">IFERROR(VLOOKUP($F159,ItemList_Full,4,0),"")</f>
        <v/>
      </c>
      <c r="K159" s="13" t="n">
        <v>1990</v>
      </c>
      <c r="L159" s="12"/>
      <c r="M159" s="24"/>
      <c r="N159" s="12" t="s">
        <v>229</v>
      </c>
      <c r="O159" s="12"/>
      <c r="P159" s="13" t="n">
        <f aca="false">IF($E159="","",IF(OR($E159="Director Draw",$E159="Payroll/Employee Charge"),0,-$K159))</f>
        <v>-1990</v>
      </c>
      <c r="Q159" s="12" t="n">
        <f aca="false">IF($E159="Inventory Purchase",$H159,0)</f>
        <v>0</v>
      </c>
      <c r="U159" s="1" t="s">
        <v>718</v>
      </c>
      <c r="V159" s="1" t="s">
        <v>719</v>
      </c>
      <c r="W159" s="1" t="s">
        <v>541</v>
      </c>
      <c r="X159" s="1" t="n">
        <v>362</v>
      </c>
      <c r="Y159" s="1" t="s">
        <v>129</v>
      </c>
    </row>
    <row r="160" customFormat="false" ht="15" hidden="false" customHeight="true" outlineLevel="0" collapsed="false">
      <c r="A160" s="19" t="n">
        <v>46274</v>
      </c>
      <c r="B160" s="12" t="n">
        <f aca="false">IF($A160="","",ROW()-4)</f>
        <v>156</v>
      </c>
      <c r="C160" s="12" t="s">
        <v>355</v>
      </c>
      <c r="D160" s="12" t="s">
        <v>720</v>
      </c>
      <c r="E160" s="24" t="s">
        <v>143</v>
      </c>
      <c r="F160" s="12"/>
      <c r="G160" s="12" t="str">
        <f aca="false">IFERROR(VLOOKUP($F160,ItemList_Full,2,0),"")</f>
        <v/>
      </c>
      <c r="H160" s="12"/>
      <c r="I160" s="12" t="str">
        <f aca="false">IFERROR(VLOOKUP($F160,ItemList_Full,3,0),"")</f>
        <v/>
      </c>
      <c r="J160" s="12" t="str">
        <f aca="false">IFERROR(VLOOKUP($F160,ItemList_Full,4,0),"")</f>
        <v/>
      </c>
      <c r="K160" s="13" t="n">
        <v>1350</v>
      </c>
      <c r="L160" s="12"/>
      <c r="M160" s="24"/>
      <c r="N160" s="12" t="s">
        <v>229</v>
      </c>
      <c r="O160" s="12"/>
      <c r="P160" s="13" t="n">
        <f aca="false">IF($E160="","",IF(OR($E160="Director Draw",$E160="Payroll/Employee Charge"),0,-$K160))</f>
        <v>-1350</v>
      </c>
      <c r="Q160" s="12" t="n">
        <f aca="false">IF($E160="Inventory Purchase",$H160,0)</f>
        <v>0</v>
      </c>
      <c r="U160" s="1" t="s">
        <v>721</v>
      </c>
      <c r="V160" s="1" t="s">
        <v>722</v>
      </c>
      <c r="W160" s="1" t="s">
        <v>541</v>
      </c>
      <c r="X160" s="1" t="n">
        <v>362</v>
      </c>
      <c r="Y160" s="1" t="s">
        <v>129</v>
      </c>
    </row>
    <row r="161" customFormat="false" ht="15" hidden="false" customHeight="true" outlineLevel="0" collapsed="false">
      <c r="A161" s="19" t="n">
        <v>46274</v>
      </c>
      <c r="B161" s="12" t="n">
        <f aca="false">IF($A161="","",ROW()-4)</f>
        <v>157</v>
      </c>
      <c r="C161" s="12" t="s">
        <v>554</v>
      </c>
      <c r="D161" s="12" t="s">
        <v>723</v>
      </c>
      <c r="E161" s="24" t="s">
        <v>143</v>
      </c>
      <c r="F161" s="12"/>
      <c r="G161" s="12" t="str">
        <f aca="false">IFERROR(VLOOKUP($F161,ItemList_Full,2,0),"")</f>
        <v/>
      </c>
      <c r="H161" s="12"/>
      <c r="I161" s="12" t="str">
        <f aca="false">IFERROR(VLOOKUP($F161,ItemList_Full,3,0),"")</f>
        <v/>
      </c>
      <c r="J161" s="12" t="str">
        <f aca="false">IFERROR(VLOOKUP($F161,ItemList_Full,4,0),"")</f>
        <v/>
      </c>
      <c r="K161" s="13" t="n">
        <v>1000</v>
      </c>
      <c r="L161" s="12"/>
      <c r="M161" s="24"/>
      <c r="N161" s="12" t="s">
        <v>229</v>
      </c>
      <c r="O161" s="12"/>
      <c r="P161" s="13" t="n">
        <f aca="false">IF($E161="","",IF(OR($E161="Director Draw",$E161="Payroll/Employee Charge"),0,-$K161))</f>
        <v>-1000</v>
      </c>
      <c r="Q161" s="12" t="n">
        <f aca="false">IF($E161="Inventory Purchase",$H161,0)</f>
        <v>0</v>
      </c>
      <c r="U161" s="1" t="s">
        <v>724</v>
      </c>
      <c r="V161" s="1" t="s">
        <v>725</v>
      </c>
      <c r="W161" s="1" t="s">
        <v>541</v>
      </c>
      <c r="X161" s="1" t="n">
        <v>362</v>
      </c>
      <c r="Y161" s="1" t="s">
        <v>129</v>
      </c>
    </row>
    <row r="162" customFormat="false" ht="15" hidden="false" customHeight="true" outlineLevel="0" collapsed="false">
      <c r="A162" s="19" t="n">
        <v>46274</v>
      </c>
      <c r="B162" s="12" t="n">
        <f aca="false">IF($A162="","",ROW()-4)</f>
        <v>158</v>
      </c>
      <c r="C162" s="12" t="s">
        <v>361</v>
      </c>
      <c r="D162" s="12" t="s">
        <v>726</v>
      </c>
      <c r="E162" s="24" t="s">
        <v>149</v>
      </c>
      <c r="F162" s="12"/>
      <c r="G162" s="12" t="str">
        <f aca="false">IFERROR(VLOOKUP($F162,ItemList_Full,2,0),"")</f>
        <v/>
      </c>
      <c r="H162" s="12"/>
      <c r="I162" s="12" t="str">
        <f aca="false">IFERROR(VLOOKUP($F162,ItemList_Full,3,0),"")</f>
        <v/>
      </c>
      <c r="J162" s="12" t="str">
        <f aca="false">IFERROR(VLOOKUP($F162,ItemList_Full,4,0),"")</f>
        <v/>
      </c>
      <c r="K162" s="13" t="n">
        <v>575</v>
      </c>
      <c r="L162" s="12"/>
      <c r="M162" s="24"/>
      <c r="N162" s="12" t="s">
        <v>229</v>
      </c>
      <c r="O162" s="12"/>
      <c r="P162" s="13" t="n">
        <f aca="false">IF($E162="","",IF(OR($E162="Director Draw",$E162="Payroll/Employee Charge"),0,-$K162))</f>
        <v>-575</v>
      </c>
      <c r="Q162" s="12" t="n">
        <f aca="false">IF($E162="Inventory Purchase",$H162,0)</f>
        <v>0</v>
      </c>
      <c r="U162" s="1" t="s">
        <v>727</v>
      </c>
      <c r="V162" s="1" t="s">
        <v>728</v>
      </c>
      <c r="W162" s="1" t="s">
        <v>350</v>
      </c>
      <c r="X162" s="1" t="n">
        <v>605</v>
      </c>
      <c r="Y162" s="1" t="s">
        <v>129</v>
      </c>
    </row>
    <row r="163" customFormat="false" ht="15" hidden="false" customHeight="true" outlineLevel="0" collapsed="false">
      <c r="A163" s="19" t="n">
        <v>46274</v>
      </c>
      <c r="B163" s="12" t="n">
        <f aca="false">IF($A163="","",ROW()-4)</f>
        <v>159</v>
      </c>
      <c r="C163" s="12" t="s">
        <v>361</v>
      </c>
      <c r="D163" s="12" t="s">
        <v>729</v>
      </c>
      <c r="E163" s="24" t="s">
        <v>149</v>
      </c>
      <c r="F163" s="12"/>
      <c r="G163" s="12" t="str">
        <f aca="false">IFERROR(VLOOKUP($F163,ItemList_Full,2,0),"")</f>
        <v/>
      </c>
      <c r="H163" s="12"/>
      <c r="I163" s="12" t="str">
        <f aca="false">IFERROR(VLOOKUP($F163,ItemList_Full,3,0),"")</f>
        <v/>
      </c>
      <c r="J163" s="12" t="str">
        <f aca="false">IFERROR(VLOOKUP($F163,ItemList_Full,4,0),"")</f>
        <v/>
      </c>
      <c r="K163" s="13" t="n">
        <v>200</v>
      </c>
      <c r="L163" s="12"/>
      <c r="M163" s="24"/>
      <c r="N163" s="12" t="s">
        <v>229</v>
      </c>
      <c r="O163" s="12"/>
      <c r="P163" s="13" t="n">
        <f aca="false">IF($E163="","",IF(OR($E163="Director Draw",$E163="Payroll/Employee Charge"),0,-$K163))</f>
        <v>-200</v>
      </c>
      <c r="Q163" s="12" t="n">
        <f aca="false">IF($E163="Inventory Purchase",$H163,0)</f>
        <v>0</v>
      </c>
      <c r="U163" s="1" t="s">
        <v>730</v>
      </c>
      <c r="V163" s="1" t="s">
        <v>731</v>
      </c>
      <c r="W163" s="1" t="s">
        <v>350</v>
      </c>
      <c r="X163" s="1" t="n">
        <v>605</v>
      </c>
      <c r="Y163" s="1" t="s">
        <v>129</v>
      </c>
    </row>
    <row r="164" customFormat="false" ht="15" hidden="false" customHeight="true" outlineLevel="0" collapsed="false">
      <c r="A164" s="19" t="n">
        <v>46274</v>
      </c>
      <c r="B164" s="12" t="n">
        <f aca="false">IF($A164="","",ROW()-4)</f>
        <v>160</v>
      </c>
      <c r="C164" s="12" t="s">
        <v>299</v>
      </c>
      <c r="D164" s="12" t="s">
        <v>300</v>
      </c>
      <c r="E164" s="24" t="s">
        <v>149</v>
      </c>
      <c r="F164" s="12"/>
      <c r="G164" s="12" t="str">
        <f aca="false">IFERROR(VLOOKUP($F164,ItemList_Full,2,0),"")</f>
        <v/>
      </c>
      <c r="H164" s="12"/>
      <c r="I164" s="12" t="str">
        <f aca="false">IFERROR(VLOOKUP($F164,ItemList_Full,3,0),"")</f>
        <v/>
      </c>
      <c r="J164" s="12" t="str">
        <f aca="false">IFERROR(VLOOKUP($F164,ItemList_Full,4,0),"")</f>
        <v/>
      </c>
      <c r="K164" s="13" t="n">
        <v>200</v>
      </c>
      <c r="L164" s="12"/>
      <c r="M164" s="24"/>
      <c r="N164" s="12" t="s">
        <v>229</v>
      </c>
      <c r="O164" s="12"/>
      <c r="P164" s="13" t="n">
        <f aca="false">IF($E164="","",IF(OR($E164="Director Draw",$E164="Payroll/Employee Charge"),0,-$K164))</f>
        <v>-200</v>
      </c>
      <c r="Q164" s="12" t="n">
        <f aca="false">IF($E164="Inventory Purchase",$H164,0)</f>
        <v>0</v>
      </c>
      <c r="U164" s="1" t="s">
        <v>732</v>
      </c>
      <c r="V164" s="1" t="s">
        <v>733</v>
      </c>
      <c r="W164" s="1" t="s">
        <v>734</v>
      </c>
      <c r="X164" s="1" t="n">
        <v>1366</v>
      </c>
      <c r="Y164" s="1" t="s">
        <v>129</v>
      </c>
    </row>
    <row r="165" customFormat="false" ht="15" hidden="false" customHeight="true" outlineLevel="0" collapsed="false">
      <c r="A165" s="19" t="n">
        <v>46274</v>
      </c>
      <c r="B165" s="12" t="n">
        <f aca="false">IF($A165="","",ROW()-4)</f>
        <v>161</v>
      </c>
      <c r="C165" s="12" t="s">
        <v>247</v>
      </c>
      <c r="D165" s="12" t="s">
        <v>248</v>
      </c>
      <c r="E165" s="24" t="s">
        <v>153</v>
      </c>
      <c r="F165" s="12"/>
      <c r="G165" s="12" t="str">
        <f aca="false">IFERROR(VLOOKUP($F165,ItemList_Full,2,0),"")</f>
        <v/>
      </c>
      <c r="H165" s="12"/>
      <c r="I165" s="12" t="str">
        <f aca="false">IFERROR(VLOOKUP($F165,ItemList_Full,3,0),"")</f>
        <v/>
      </c>
      <c r="J165" s="12" t="str">
        <f aca="false">IFERROR(VLOOKUP($F165,ItemList_Full,4,0),"")</f>
        <v/>
      </c>
      <c r="K165" s="13" t="n">
        <v>5798</v>
      </c>
      <c r="L165" s="12"/>
      <c r="M165" s="24"/>
      <c r="N165" s="12" t="s">
        <v>229</v>
      </c>
      <c r="O165" s="12"/>
      <c r="P165" s="13" t="n">
        <f aca="false">IF($E165="","",IF(OR($E165="Director Draw",$E165="Payroll/Employee Charge"),0,-$K165))</f>
        <v>-5798</v>
      </c>
      <c r="Q165" s="12" t="n">
        <f aca="false">IF($E165="Inventory Purchase",$H165,0)</f>
        <v>0</v>
      </c>
      <c r="U165" s="1" t="s">
        <v>735</v>
      </c>
      <c r="V165" s="1" t="s">
        <v>736</v>
      </c>
      <c r="W165" s="1" t="s">
        <v>267</v>
      </c>
      <c r="X165" s="1" t="n">
        <v>870</v>
      </c>
      <c r="Y165" s="1" t="s">
        <v>129</v>
      </c>
    </row>
    <row r="166" customFormat="false" ht="15" hidden="false" customHeight="true" outlineLevel="0" collapsed="false">
      <c r="A166" s="19" t="n">
        <v>46275</v>
      </c>
      <c r="B166" s="12" t="n">
        <f aca="false">IF($A166="","",ROW()-4)</f>
        <v>162</v>
      </c>
      <c r="C166" s="12" t="s">
        <v>225</v>
      </c>
      <c r="D166" s="12" t="s">
        <v>226</v>
      </c>
      <c r="E166" s="24" t="s">
        <v>227</v>
      </c>
      <c r="F166" s="12"/>
      <c r="G166" s="12" t="str">
        <f aca="false">IFERROR(VLOOKUP($F166,ItemList_Full,2,0),"")</f>
        <v/>
      </c>
      <c r="H166" s="12"/>
      <c r="I166" s="12" t="str">
        <f aca="false">IFERROR(VLOOKUP($F166,ItemList_Full,3,0),"")</f>
        <v/>
      </c>
      <c r="J166" s="12" t="str">
        <f aca="false">IFERROR(VLOOKUP($F166,ItemList_Full,4,0),"")</f>
        <v/>
      </c>
      <c r="K166" s="13" t="n">
        <v>165</v>
      </c>
      <c r="L166" s="12"/>
      <c r="M166" s="24" t="s">
        <v>228</v>
      </c>
      <c r="N166" s="12" t="s">
        <v>229</v>
      </c>
      <c r="O166" s="12"/>
      <c r="P166" s="13" t="n">
        <f aca="false">IF($E166="","",IF(OR($E166="Director Draw",$E166="Payroll/Employee Charge"),0,-$K166))</f>
        <v>0</v>
      </c>
      <c r="Q166" s="12" t="n">
        <f aca="false">IF($E166="Inventory Purchase",$H166,0)</f>
        <v>0</v>
      </c>
      <c r="U166" s="1" t="s">
        <v>737</v>
      </c>
      <c r="V166" s="1" t="s">
        <v>738</v>
      </c>
      <c r="W166" s="1" t="s">
        <v>241</v>
      </c>
      <c r="X166" s="1" t="n">
        <v>0</v>
      </c>
      <c r="Y166" s="1" t="s">
        <v>129</v>
      </c>
    </row>
    <row r="167" customFormat="false" ht="15" hidden="false" customHeight="true" outlineLevel="0" collapsed="false">
      <c r="A167" s="19" t="n">
        <v>46275</v>
      </c>
      <c r="B167" s="12" t="n">
        <f aca="false">IF($A167="","",ROW()-4)</f>
        <v>163</v>
      </c>
      <c r="C167" s="12" t="s">
        <v>225</v>
      </c>
      <c r="D167" s="12" t="s">
        <v>739</v>
      </c>
      <c r="E167" s="24" t="s">
        <v>227</v>
      </c>
      <c r="F167" s="12"/>
      <c r="G167" s="12" t="str">
        <f aca="false">IFERROR(VLOOKUP($F167,ItemList_Full,2,0),"")</f>
        <v/>
      </c>
      <c r="H167" s="12"/>
      <c r="I167" s="12" t="str">
        <f aca="false">IFERROR(VLOOKUP($F167,ItemList_Full,3,0),"")</f>
        <v/>
      </c>
      <c r="J167" s="12" t="str">
        <f aca="false">IFERROR(VLOOKUP($F167,ItemList_Full,4,0),"")</f>
        <v/>
      </c>
      <c r="K167" s="13" t="n">
        <v>5910</v>
      </c>
      <c r="L167" s="12"/>
      <c r="M167" s="24" t="s">
        <v>228</v>
      </c>
      <c r="N167" s="12" t="s">
        <v>229</v>
      </c>
      <c r="O167" s="12"/>
      <c r="P167" s="13" t="n">
        <f aca="false">IF($E167="","",IF(OR($E167="Director Draw",$E167="Payroll/Employee Charge"),0,-$K167))</f>
        <v>0</v>
      </c>
      <c r="Q167" s="12" t="n">
        <f aca="false">IF($E167="Inventory Purchase",$H167,0)</f>
        <v>0</v>
      </c>
      <c r="U167" s="1" t="s">
        <v>740</v>
      </c>
      <c r="V167" s="1" t="s">
        <v>741</v>
      </c>
      <c r="W167" s="1" t="s">
        <v>734</v>
      </c>
      <c r="X167" s="1" t="n">
        <v>3510</v>
      </c>
      <c r="Y167" s="1" t="s">
        <v>129</v>
      </c>
    </row>
    <row r="168" customFormat="false" ht="15" hidden="false" customHeight="true" outlineLevel="0" collapsed="false">
      <c r="A168" s="19" t="n">
        <v>46275</v>
      </c>
      <c r="B168" s="12" t="n">
        <f aca="false">IF($A168="","",ROW()-4)</f>
        <v>164</v>
      </c>
      <c r="C168" s="12" t="s">
        <v>247</v>
      </c>
      <c r="D168" s="12" t="s">
        <v>248</v>
      </c>
      <c r="E168" s="24" t="s">
        <v>153</v>
      </c>
      <c r="F168" s="12"/>
      <c r="G168" s="12" t="str">
        <f aca="false">IFERROR(VLOOKUP($F168,ItemList_Full,2,0),"")</f>
        <v/>
      </c>
      <c r="H168" s="12"/>
      <c r="I168" s="12" t="str">
        <f aca="false">IFERROR(VLOOKUP($F168,ItemList_Full,3,0),"")</f>
        <v/>
      </c>
      <c r="J168" s="12" t="str">
        <f aca="false">IFERROR(VLOOKUP($F168,ItemList_Full,4,0),"")</f>
        <v/>
      </c>
      <c r="K168" s="13" t="n">
        <v>1560</v>
      </c>
      <c r="L168" s="12"/>
      <c r="M168" s="24"/>
      <c r="N168" s="12" t="s">
        <v>229</v>
      </c>
      <c r="O168" s="12"/>
      <c r="P168" s="13" t="n">
        <f aca="false">IF($E168="","",IF(OR($E168="Director Draw",$E168="Payroll/Employee Charge"),0,-$K168))</f>
        <v>-1560</v>
      </c>
      <c r="Q168" s="12" t="n">
        <f aca="false">IF($E168="Inventory Purchase",$H168,0)</f>
        <v>0</v>
      </c>
      <c r="U168" s="1" t="s">
        <v>742</v>
      </c>
      <c r="V168" s="1" t="s">
        <v>743</v>
      </c>
      <c r="W168" s="1" t="s">
        <v>561</v>
      </c>
      <c r="X168" s="1" t="n">
        <v>1030</v>
      </c>
      <c r="Y168" s="1" t="s">
        <v>129</v>
      </c>
    </row>
    <row r="169" customFormat="false" ht="15" hidden="false" customHeight="true" outlineLevel="0" collapsed="false">
      <c r="A169" s="19" t="n">
        <v>46275</v>
      </c>
      <c r="B169" s="12" t="n">
        <f aca="false">IF($A169="","",ROW()-4)</f>
        <v>165</v>
      </c>
      <c r="C169" s="12" t="s">
        <v>255</v>
      </c>
      <c r="D169" s="12" t="s">
        <v>256</v>
      </c>
      <c r="E169" s="24" t="s">
        <v>139</v>
      </c>
      <c r="F169" s="12"/>
      <c r="G169" s="12" t="str">
        <f aca="false">IFERROR(VLOOKUP($F169,ItemList_Full,2,0),"")</f>
        <v/>
      </c>
      <c r="H169" s="12"/>
      <c r="I169" s="12" t="str">
        <f aca="false">IFERROR(VLOOKUP($F169,ItemList_Full,3,0),"")</f>
        <v/>
      </c>
      <c r="J169" s="12" t="str">
        <f aca="false">IFERROR(VLOOKUP($F169,ItemList_Full,4,0),"")</f>
        <v/>
      </c>
      <c r="K169" s="13" t="n">
        <v>1080</v>
      </c>
      <c r="L169" s="12"/>
      <c r="M169" s="24"/>
      <c r="N169" s="12" t="s">
        <v>229</v>
      </c>
      <c r="O169" s="12"/>
      <c r="P169" s="13" t="n">
        <f aca="false">IF($E169="","",IF(OR($E169="Director Draw",$E169="Payroll/Employee Charge"),0,-$K169))</f>
        <v>-1080</v>
      </c>
      <c r="Q169" s="12" t="n">
        <f aca="false">IF($E169="Inventory Purchase",$H169,0)</f>
        <v>0</v>
      </c>
      <c r="U169" s="1" t="s">
        <v>744</v>
      </c>
      <c r="V169" s="1" t="s">
        <v>542</v>
      </c>
      <c r="W169" s="1" t="s">
        <v>745</v>
      </c>
      <c r="X169" s="1" t="n">
        <v>180</v>
      </c>
      <c r="Y169" s="1" t="s">
        <v>129</v>
      </c>
    </row>
    <row r="170" customFormat="false" ht="15" hidden="false" customHeight="true" outlineLevel="0" collapsed="false">
      <c r="A170" s="19" t="n">
        <v>46275</v>
      </c>
      <c r="B170" s="12" t="n">
        <f aca="false">IF($A170="","",ROW()-4)</f>
        <v>166</v>
      </c>
      <c r="C170" s="12" t="s">
        <v>255</v>
      </c>
      <c r="D170" s="12" t="s">
        <v>391</v>
      </c>
      <c r="E170" s="24" t="s">
        <v>139</v>
      </c>
      <c r="F170" s="12"/>
      <c r="G170" s="12" t="str">
        <f aca="false">IFERROR(VLOOKUP($F170,ItemList_Full,2,0),"")</f>
        <v/>
      </c>
      <c r="H170" s="12"/>
      <c r="I170" s="12" t="str">
        <f aca="false">IFERROR(VLOOKUP($F170,ItemList_Full,3,0),"")</f>
        <v/>
      </c>
      <c r="J170" s="12" t="str">
        <f aca="false">IFERROR(VLOOKUP($F170,ItemList_Full,4,0),"")</f>
        <v/>
      </c>
      <c r="K170" s="13" t="n">
        <v>750</v>
      </c>
      <c r="L170" s="12"/>
      <c r="M170" s="24"/>
      <c r="N170" s="12" t="s">
        <v>229</v>
      </c>
      <c r="O170" s="12"/>
      <c r="P170" s="13" t="n">
        <f aca="false">IF($E170="","",IF(OR($E170="Director Draw",$E170="Payroll/Employee Charge"),0,-$K170))</f>
        <v>-750</v>
      </c>
      <c r="Q170" s="12" t="n">
        <f aca="false">IF($E170="Inventory Purchase",$H170,0)</f>
        <v>0</v>
      </c>
      <c r="U170" s="1" t="s">
        <v>746</v>
      </c>
      <c r="V170" s="1" t="s">
        <v>701</v>
      </c>
      <c r="W170" s="1" t="s">
        <v>267</v>
      </c>
      <c r="X170" s="1" t="n">
        <v>1150</v>
      </c>
      <c r="Y170" s="1" t="s">
        <v>129</v>
      </c>
    </row>
    <row r="171" customFormat="false" ht="15" hidden="false" customHeight="true" outlineLevel="0" collapsed="false">
      <c r="A171" s="19" t="n">
        <v>46275</v>
      </c>
      <c r="B171" s="12" t="n">
        <f aca="false">IF($A171="","",ROW()-4)</f>
        <v>167</v>
      </c>
      <c r="C171" s="12" t="s">
        <v>449</v>
      </c>
      <c r="D171" s="12" t="s">
        <v>563</v>
      </c>
      <c r="E171" s="24" t="s">
        <v>139</v>
      </c>
      <c r="F171" s="12"/>
      <c r="G171" s="12" t="str">
        <f aca="false">IFERROR(VLOOKUP($F171,ItemList_Full,2,0),"")</f>
        <v/>
      </c>
      <c r="H171" s="12"/>
      <c r="I171" s="12" t="str">
        <f aca="false">IFERROR(VLOOKUP($F171,ItemList_Full,3,0),"")</f>
        <v/>
      </c>
      <c r="J171" s="12" t="str">
        <f aca="false">IFERROR(VLOOKUP($F171,ItemList_Full,4,0),"")</f>
        <v/>
      </c>
      <c r="K171" s="13" t="n">
        <v>740</v>
      </c>
      <c r="L171" s="12"/>
      <c r="M171" s="24"/>
      <c r="N171" s="12" t="s">
        <v>229</v>
      </c>
      <c r="O171" s="12"/>
      <c r="P171" s="13" t="n">
        <f aca="false">IF($E171="","",IF(OR($E171="Director Draw",$E171="Payroll/Employee Charge"),0,-$K171))</f>
        <v>-740</v>
      </c>
      <c r="Q171" s="12" t="n">
        <f aca="false">IF($E171="Inventory Purchase",$H171,0)</f>
        <v>0</v>
      </c>
      <c r="U171" s="1" t="s">
        <v>747</v>
      </c>
      <c r="V171" s="1" t="s">
        <v>748</v>
      </c>
      <c r="W171" s="1" t="s">
        <v>350</v>
      </c>
      <c r="X171" s="1" t="n">
        <v>1295</v>
      </c>
      <c r="Y171" s="1" t="s">
        <v>129</v>
      </c>
    </row>
    <row r="172" customFormat="false" ht="15" hidden="false" customHeight="true" outlineLevel="0" collapsed="false">
      <c r="A172" s="19" t="n">
        <v>46275</v>
      </c>
      <c r="B172" s="12" t="n">
        <f aca="false">IF($A172="","",ROW()-4)</f>
        <v>168</v>
      </c>
      <c r="C172" s="12" t="s">
        <v>449</v>
      </c>
      <c r="D172" s="12" t="s">
        <v>749</v>
      </c>
      <c r="E172" s="24" t="s">
        <v>139</v>
      </c>
      <c r="F172" s="12"/>
      <c r="G172" s="12" t="str">
        <f aca="false">IFERROR(VLOOKUP($F172,ItemList_Full,2,0),"")</f>
        <v/>
      </c>
      <c r="H172" s="12"/>
      <c r="I172" s="12" t="str">
        <f aca="false">IFERROR(VLOOKUP($F172,ItemList_Full,3,0),"")</f>
        <v/>
      </c>
      <c r="J172" s="12" t="str">
        <f aca="false">IFERROR(VLOOKUP($F172,ItemList_Full,4,0),"")</f>
        <v/>
      </c>
      <c r="K172" s="13" t="n">
        <v>680</v>
      </c>
      <c r="L172" s="12"/>
      <c r="M172" s="24"/>
      <c r="N172" s="12" t="s">
        <v>229</v>
      </c>
      <c r="O172" s="12"/>
      <c r="P172" s="13" t="n">
        <f aca="false">IF($E172="","",IF(OR($E172="Director Draw",$E172="Payroll/Employee Charge"),0,-$K172))</f>
        <v>-680</v>
      </c>
      <c r="Q172" s="12" t="n">
        <f aca="false">IF($E172="Inventory Purchase",$H172,0)</f>
        <v>0</v>
      </c>
      <c r="U172" s="1" t="s">
        <v>750</v>
      </c>
      <c r="V172" s="1" t="s">
        <v>751</v>
      </c>
      <c r="W172" s="1" t="s">
        <v>752</v>
      </c>
      <c r="X172" s="1" t="n">
        <v>320</v>
      </c>
      <c r="Y172" s="1" t="s">
        <v>129</v>
      </c>
    </row>
    <row r="173" customFormat="false" ht="15" hidden="false" customHeight="true" outlineLevel="0" collapsed="false">
      <c r="A173" s="19" t="n">
        <v>46275</v>
      </c>
      <c r="B173" s="12" t="n">
        <f aca="false">IF($A173="","",ROW()-4)</f>
        <v>169</v>
      </c>
      <c r="C173" s="12" t="s">
        <v>449</v>
      </c>
      <c r="D173" s="12" t="s">
        <v>386</v>
      </c>
      <c r="E173" s="24" t="s">
        <v>139</v>
      </c>
      <c r="F173" s="12"/>
      <c r="G173" s="12" t="str">
        <f aca="false">IFERROR(VLOOKUP($F173,ItemList_Full,2,0),"")</f>
        <v/>
      </c>
      <c r="H173" s="12"/>
      <c r="I173" s="12" t="str">
        <f aca="false">IFERROR(VLOOKUP($F173,ItemList_Full,3,0),"")</f>
        <v/>
      </c>
      <c r="J173" s="12" t="str">
        <f aca="false">IFERROR(VLOOKUP($F173,ItemList_Full,4,0),"")</f>
        <v/>
      </c>
      <c r="K173" s="13" t="n">
        <v>7500</v>
      </c>
      <c r="L173" s="12"/>
      <c r="M173" s="24"/>
      <c r="N173" s="12" t="s">
        <v>229</v>
      </c>
      <c r="O173" s="12"/>
      <c r="P173" s="13" t="n">
        <f aca="false">IF($E173="","",IF(OR($E173="Director Draw",$E173="Payroll/Employee Charge"),0,-$K173))</f>
        <v>-7500</v>
      </c>
      <c r="Q173" s="12" t="n">
        <f aca="false">IF($E173="Inventory Purchase",$H173,0)</f>
        <v>0</v>
      </c>
      <c r="U173" s="1" t="s">
        <v>753</v>
      </c>
      <c r="V173" s="1" t="s">
        <v>754</v>
      </c>
      <c r="W173" s="1" t="s">
        <v>541</v>
      </c>
      <c r="X173" s="1" t="n">
        <v>213</v>
      </c>
      <c r="Y173" s="1" t="s">
        <v>129</v>
      </c>
    </row>
    <row r="174" customFormat="false" ht="15" hidden="false" customHeight="true" outlineLevel="0" collapsed="false">
      <c r="A174" s="19" t="n">
        <v>46275</v>
      </c>
      <c r="B174" s="12" t="n">
        <f aca="false">IF($A174="","",ROW()-4)</f>
        <v>170</v>
      </c>
      <c r="C174" s="12" t="s">
        <v>237</v>
      </c>
      <c r="D174" s="12" t="s">
        <v>238</v>
      </c>
      <c r="E174" s="24" t="s">
        <v>139</v>
      </c>
      <c r="F174" s="12"/>
      <c r="G174" s="12" t="str">
        <f aca="false">IFERROR(VLOOKUP($F174,ItemList_Full,2,0),"")</f>
        <v/>
      </c>
      <c r="H174" s="12"/>
      <c r="I174" s="12" t="str">
        <f aca="false">IFERROR(VLOOKUP($F174,ItemList_Full,3,0),"")</f>
        <v/>
      </c>
      <c r="J174" s="12" t="str">
        <f aca="false">IFERROR(VLOOKUP($F174,ItemList_Full,4,0),"")</f>
        <v/>
      </c>
      <c r="K174" s="13" t="n">
        <v>298898</v>
      </c>
      <c r="L174" s="12"/>
      <c r="M174" s="24"/>
      <c r="N174" s="12" t="s">
        <v>229</v>
      </c>
      <c r="O174" s="12"/>
      <c r="P174" s="13" t="n">
        <f aca="false">IF($E174="","",IF(OR($E174="Director Draw",$E174="Payroll/Employee Charge"),0,-$K174))</f>
        <v>-298898</v>
      </c>
      <c r="Q174" s="12" t="n">
        <f aca="false">IF($E174="Inventory Purchase",$H174,0)</f>
        <v>0</v>
      </c>
      <c r="U174" s="1" t="s">
        <v>755</v>
      </c>
      <c r="V174" s="1" t="s">
        <v>756</v>
      </c>
      <c r="W174" s="1" t="s">
        <v>734</v>
      </c>
      <c r="X174" s="1" t="n">
        <v>3510</v>
      </c>
      <c r="Y174" s="1" t="s">
        <v>129</v>
      </c>
    </row>
    <row r="175" customFormat="false" ht="15" hidden="false" customHeight="true" outlineLevel="0" collapsed="false">
      <c r="A175" s="19" t="n">
        <v>46275</v>
      </c>
      <c r="B175" s="12" t="n">
        <f aca="false">IF($A175="","",ROW()-4)</f>
        <v>171</v>
      </c>
      <c r="C175" s="12" t="s">
        <v>242</v>
      </c>
      <c r="D175" s="12" t="s">
        <v>243</v>
      </c>
      <c r="E175" s="24" t="s">
        <v>139</v>
      </c>
      <c r="F175" s="12"/>
      <c r="G175" s="12" t="str">
        <f aca="false">IFERROR(VLOOKUP($F175,ItemList_Full,2,0),"")</f>
        <v/>
      </c>
      <c r="H175" s="12"/>
      <c r="I175" s="12" t="str">
        <f aca="false">IFERROR(VLOOKUP($F175,ItemList_Full,3,0),"")</f>
        <v/>
      </c>
      <c r="J175" s="12" t="str">
        <f aca="false">IFERROR(VLOOKUP($F175,ItemList_Full,4,0),"")</f>
        <v/>
      </c>
      <c r="K175" s="13" t="n">
        <v>17000</v>
      </c>
      <c r="L175" s="12"/>
      <c r="M175" s="24"/>
      <c r="N175" s="12" t="s">
        <v>229</v>
      </c>
      <c r="O175" s="12"/>
      <c r="P175" s="13" t="n">
        <f aca="false">IF($E175="","",IF(OR($E175="Director Draw",$E175="Payroll/Employee Charge"),0,-$K175))</f>
        <v>-17000</v>
      </c>
      <c r="Q175" s="12" t="n">
        <f aca="false">IF($E175="Inventory Purchase",$H175,0)</f>
        <v>0</v>
      </c>
      <c r="U175" s="1" t="s">
        <v>757</v>
      </c>
      <c r="V175" s="1" t="s">
        <v>758</v>
      </c>
      <c r="W175" s="1" t="s">
        <v>734</v>
      </c>
      <c r="X175" s="1" t="n">
        <v>3540</v>
      </c>
      <c r="Y175" s="1" t="s">
        <v>129</v>
      </c>
    </row>
    <row r="176" customFormat="false" ht="15" hidden="false" customHeight="true" outlineLevel="0" collapsed="false">
      <c r="A176" s="19" t="n">
        <v>46275</v>
      </c>
      <c r="B176" s="12" t="n">
        <f aca="false">IF($A176="","",ROW()-4)</f>
        <v>172</v>
      </c>
      <c r="C176" s="12" t="s">
        <v>414</v>
      </c>
      <c r="D176" s="12" t="s">
        <v>759</v>
      </c>
      <c r="E176" s="24" t="s">
        <v>145</v>
      </c>
      <c r="F176" s="12"/>
      <c r="G176" s="12" t="str">
        <f aca="false">IFERROR(VLOOKUP($F176,ItemList_Full,2,0),"")</f>
        <v/>
      </c>
      <c r="H176" s="12"/>
      <c r="I176" s="12" t="str">
        <f aca="false">IFERROR(VLOOKUP($F176,ItemList_Full,3,0),"")</f>
        <v/>
      </c>
      <c r="J176" s="12" t="str">
        <f aca="false">IFERROR(VLOOKUP($F176,ItemList_Full,4,0),"")</f>
        <v/>
      </c>
      <c r="K176" s="13" t="n">
        <v>73548</v>
      </c>
      <c r="L176" s="12"/>
      <c r="M176" s="24"/>
      <c r="N176" s="12" t="s">
        <v>229</v>
      </c>
      <c r="O176" s="12"/>
      <c r="P176" s="13" t="n">
        <f aca="false">IF($E176="","",IF(OR($E176="Director Draw",$E176="Payroll/Employee Charge"),0,-$K176))</f>
        <v>-73548</v>
      </c>
      <c r="Q176" s="12" t="n">
        <f aca="false">IF($E176="Inventory Purchase",$H176,0)</f>
        <v>0</v>
      </c>
      <c r="U176" s="1" t="s">
        <v>760</v>
      </c>
      <c r="V176" s="1" t="s">
        <v>761</v>
      </c>
      <c r="W176" s="1" t="s">
        <v>734</v>
      </c>
      <c r="X176" s="1" t="n">
        <v>3510</v>
      </c>
      <c r="Y176" s="1" t="s">
        <v>129</v>
      </c>
    </row>
    <row r="177" customFormat="false" ht="15" hidden="false" customHeight="true" outlineLevel="0" collapsed="false">
      <c r="A177" s="19" t="n">
        <v>46275</v>
      </c>
      <c r="B177" s="12" t="n">
        <f aca="false">IF($A177="","",ROW()-4)</f>
        <v>173</v>
      </c>
      <c r="C177" s="12" t="s">
        <v>762</v>
      </c>
      <c r="D177" s="12" t="s">
        <v>763</v>
      </c>
      <c r="E177" s="24" t="s">
        <v>145</v>
      </c>
      <c r="F177" s="12"/>
      <c r="G177" s="12" t="str">
        <f aca="false">IFERROR(VLOOKUP($F177,ItemList_Full,2,0),"")</f>
        <v/>
      </c>
      <c r="H177" s="12"/>
      <c r="I177" s="12" t="str">
        <f aca="false">IFERROR(VLOOKUP($F177,ItemList_Full,3,0),"")</f>
        <v/>
      </c>
      <c r="J177" s="12" t="str">
        <f aca="false">IFERROR(VLOOKUP($F177,ItemList_Full,4,0),"")</f>
        <v/>
      </c>
      <c r="K177" s="13" t="n">
        <v>3139</v>
      </c>
      <c r="L177" s="12"/>
      <c r="M177" s="24"/>
      <c r="N177" s="12" t="s">
        <v>229</v>
      </c>
      <c r="O177" s="12"/>
      <c r="P177" s="13" t="n">
        <f aca="false">IF($E177="","",IF(OR($E177="Director Draw",$E177="Payroll/Employee Charge"),0,-$K177))</f>
        <v>-3139</v>
      </c>
      <c r="Q177" s="12" t="n">
        <f aca="false">IF($E177="Inventory Purchase",$H177,0)</f>
        <v>0</v>
      </c>
      <c r="U177" s="1" t="s">
        <v>764</v>
      </c>
      <c r="V177" s="1" t="s">
        <v>765</v>
      </c>
      <c r="W177" s="1" t="s">
        <v>734</v>
      </c>
      <c r="X177" s="1" t="n">
        <v>3510</v>
      </c>
      <c r="Y177" s="1" t="s">
        <v>129</v>
      </c>
    </row>
    <row r="178" customFormat="false" ht="15" hidden="false" customHeight="true" outlineLevel="0" collapsed="false">
      <c r="A178" s="19" t="n">
        <v>46275</v>
      </c>
      <c r="B178" s="12" t="n">
        <f aca="false">IF($A178="","",ROW()-4)</f>
        <v>174</v>
      </c>
      <c r="C178" s="12" t="s">
        <v>646</v>
      </c>
      <c r="D178" s="12" t="s">
        <v>647</v>
      </c>
      <c r="E178" s="24" t="s">
        <v>151</v>
      </c>
      <c r="F178" s="12"/>
      <c r="G178" s="12" t="str">
        <f aca="false">IFERROR(VLOOKUP($F178,ItemList_Full,2,0),"")</f>
        <v/>
      </c>
      <c r="H178" s="12"/>
      <c r="I178" s="12" t="str">
        <f aca="false">IFERROR(VLOOKUP($F178,ItemList_Full,3,0),"")</f>
        <v/>
      </c>
      <c r="J178" s="12" t="str">
        <f aca="false">IFERROR(VLOOKUP($F178,ItemList_Full,4,0),"")</f>
        <v/>
      </c>
      <c r="K178" s="13" t="n">
        <v>3500</v>
      </c>
      <c r="L178" s="12"/>
      <c r="M178" s="24"/>
      <c r="N178" s="12" t="s">
        <v>229</v>
      </c>
      <c r="O178" s="12"/>
      <c r="P178" s="13" t="n">
        <f aca="false">IF($E178="","",IF(OR($E178="Director Draw",$E178="Payroll/Employee Charge"),0,-$K178))</f>
        <v>-3500</v>
      </c>
      <c r="Q178" s="12" t="n">
        <f aca="false">IF($E178="Inventory Purchase",$H178,0)</f>
        <v>0</v>
      </c>
      <c r="U178" s="1" t="s">
        <v>766</v>
      </c>
      <c r="V178" s="1" t="s">
        <v>767</v>
      </c>
      <c r="W178" s="1" t="s">
        <v>734</v>
      </c>
      <c r="X178" s="1" t="n">
        <v>3510</v>
      </c>
      <c r="Y178" s="1" t="s">
        <v>129</v>
      </c>
    </row>
    <row r="179" customFormat="false" ht="15" hidden="false" customHeight="true" outlineLevel="0" collapsed="false">
      <c r="A179" s="19" t="n">
        <v>46275</v>
      </c>
      <c r="B179" s="12" t="n">
        <f aca="false">IF($A179="","",ROW()-4)</f>
        <v>175</v>
      </c>
      <c r="C179" s="12" t="s">
        <v>768</v>
      </c>
      <c r="D179" s="12" t="s">
        <v>769</v>
      </c>
      <c r="E179" s="24" t="s">
        <v>151</v>
      </c>
      <c r="F179" s="12"/>
      <c r="G179" s="12" t="str">
        <f aca="false">IFERROR(VLOOKUP($F179,ItemList_Full,2,0),"")</f>
        <v/>
      </c>
      <c r="H179" s="12"/>
      <c r="I179" s="12" t="str">
        <f aca="false">IFERROR(VLOOKUP($F179,ItemList_Full,3,0),"")</f>
        <v/>
      </c>
      <c r="J179" s="12" t="str">
        <f aca="false">IFERROR(VLOOKUP($F179,ItemList_Full,4,0),"")</f>
        <v/>
      </c>
      <c r="K179" s="13" t="n">
        <v>29000</v>
      </c>
      <c r="L179" s="12"/>
      <c r="M179" s="24"/>
      <c r="N179" s="12" t="s">
        <v>229</v>
      </c>
      <c r="O179" s="12"/>
      <c r="P179" s="13" t="n">
        <f aca="false">IF($E179="","",IF(OR($E179="Director Draw",$E179="Payroll/Employee Charge"),0,-$K179))</f>
        <v>-29000</v>
      </c>
      <c r="Q179" s="12" t="n">
        <f aca="false">IF($E179="Inventory Purchase",$H179,0)</f>
        <v>0</v>
      </c>
      <c r="U179" s="1" t="s">
        <v>770</v>
      </c>
      <c r="V179" s="1" t="s">
        <v>771</v>
      </c>
      <c r="W179" s="1" t="s">
        <v>734</v>
      </c>
      <c r="X179" s="1" t="n">
        <v>3510</v>
      </c>
      <c r="Y179" s="1" t="s">
        <v>129</v>
      </c>
    </row>
    <row r="180" customFormat="false" ht="15" hidden="false" customHeight="true" outlineLevel="0" collapsed="false">
      <c r="A180" s="19" t="n">
        <v>46275</v>
      </c>
      <c r="B180" s="12" t="n">
        <f aca="false">IF($A180="","",ROW()-4)</f>
        <v>176</v>
      </c>
      <c r="C180" s="12" t="s">
        <v>768</v>
      </c>
      <c r="D180" s="12" t="s">
        <v>772</v>
      </c>
      <c r="E180" s="24" t="s">
        <v>151</v>
      </c>
      <c r="F180" s="12"/>
      <c r="G180" s="12" t="str">
        <f aca="false">IFERROR(VLOOKUP($F180,ItemList_Full,2,0),"")</f>
        <v/>
      </c>
      <c r="H180" s="12"/>
      <c r="I180" s="12" t="str">
        <f aca="false">IFERROR(VLOOKUP($F180,ItemList_Full,3,0),"")</f>
        <v/>
      </c>
      <c r="J180" s="12" t="str">
        <f aca="false">IFERROR(VLOOKUP($F180,ItemList_Full,4,0),"")</f>
        <v/>
      </c>
      <c r="K180" s="13" t="n">
        <v>4480</v>
      </c>
      <c r="L180" s="12"/>
      <c r="M180" s="24"/>
      <c r="N180" s="12" t="s">
        <v>229</v>
      </c>
      <c r="O180" s="12"/>
      <c r="P180" s="13" t="n">
        <f aca="false">IF($E180="","",IF(OR($E180="Director Draw",$E180="Payroll/Employee Charge"),0,-$K180))</f>
        <v>-4480</v>
      </c>
      <c r="Q180" s="12" t="n">
        <f aca="false">IF($E180="Inventory Purchase",$H180,0)</f>
        <v>0</v>
      </c>
      <c r="U180" s="1" t="s">
        <v>773</v>
      </c>
      <c r="V180" s="1" t="s">
        <v>774</v>
      </c>
      <c r="W180" s="1" t="s">
        <v>734</v>
      </c>
      <c r="X180" s="1" t="n">
        <v>3510</v>
      </c>
      <c r="Y180" s="1" t="s">
        <v>129</v>
      </c>
    </row>
    <row r="181" customFormat="false" ht="15" hidden="false" customHeight="true" outlineLevel="0" collapsed="false">
      <c r="A181" s="19" t="n">
        <v>46275</v>
      </c>
      <c r="B181" s="12" t="n">
        <f aca="false">IF($A181="","",ROW()-4)</f>
        <v>177</v>
      </c>
      <c r="C181" s="12" t="s">
        <v>343</v>
      </c>
      <c r="D181" s="12" t="s">
        <v>775</v>
      </c>
      <c r="E181" s="24" t="s">
        <v>151</v>
      </c>
      <c r="F181" s="12"/>
      <c r="G181" s="12" t="str">
        <f aca="false">IFERROR(VLOOKUP($F181,ItemList_Full,2,0),"")</f>
        <v/>
      </c>
      <c r="H181" s="12"/>
      <c r="I181" s="12" t="str">
        <f aca="false">IFERROR(VLOOKUP($F181,ItemList_Full,3,0),"")</f>
        <v/>
      </c>
      <c r="J181" s="12" t="str">
        <f aca="false">IFERROR(VLOOKUP($F181,ItemList_Full,4,0),"")</f>
        <v/>
      </c>
      <c r="K181" s="13" t="n">
        <v>36900</v>
      </c>
      <c r="L181" s="12"/>
      <c r="M181" s="24"/>
      <c r="N181" s="12" t="s">
        <v>229</v>
      </c>
      <c r="O181" s="12"/>
      <c r="P181" s="13" t="n">
        <f aca="false">IF($E181="","",IF(OR($E181="Director Draw",$E181="Payroll/Employee Charge"),0,-$K181))</f>
        <v>-36900</v>
      </c>
      <c r="Q181" s="12" t="n">
        <f aca="false">IF($E181="Inventory Purchase",$H181,0)</f>
        <v>0</v>
      </c>
      <c r="U181" s="1" t="s">
        <v>776</v>
      </c>
      <c r="V181" s="1" t="s">
        <v>777</v>
      </c>
      <c r="W181" s="1" t="s">
        <v>734</v>
      </c>
      <c r="X181" s="1" t="n">
        <v>3540</v>
      </c>
      <c r="Y181" s="1" t="s">
        <v>129</v>
      </c>
    </row>
    <row r="182" customFormat="false" ht="15" hidden="false" customHeight="true" outlineLevel="0" collapsed="false">
      <c r="A182" s="19" t="n">
        <v>46275</v>
      </c>
      <c r="B182" s="12" t="n">
        <f aca="false">IF($A182="","",ROW()-4)</f>
        <v>178</v>
      </c>
      <c r="C182" s="12" t="s">
        <v>343</v>
      </c>
      <c r="D182" s="12" t="s">
        <v>778</v>
      </c>
      <c r="E182" s="24" t="s">
        <v>151</v>
      </c>
      <c r="F182" s="12"/>
      <c r="G182" s="12" t="str">
        <f aca="false">IFERROR(VLOOKUP($F182,ItemList_Full,2,0),"")</f>
        <v/>
      </c>
      <c r="H182" s="12"/>
      <c r="I182" s="12" t="str">
        <f aca="false">IFERROR(VLOOKUP($F182,ItemList_Full,3,0),"")</f>
        <v/>
      </c>
      <c r="J182" s="12" t="str">
        <f aca="false">IFERROR(VLOOKUP($F182,ItemList_Full,4,0),"")</f>
        <v/>
      </c>
      <c r="K182" s="13" t="n">
        <v>990</v>
      </c>
      <c r="L182" s="12"/>
      <c r="M182" s="24"/>
      <c r="N182" s="12" t="s">
        <v>229</v>
      </c>
      <c r="O182" s="12"/>
      <c r="P182" s="13" t="n">
        <f aca="false">IF($E182="","",IF(OR($E182="Director Draw",$E182="Payroll/Employee Charge"),0,-$K182))</f>
        <v>-990</v>
      </c>
      <c r="Q182" s="12" t="n">
        <f aca="false">IF($E182="Inventory Purchase",$H182,0)</f>
        <v>0</v>
      </c>
      <c r="U182" s="1" t="s">
        <v>779</v>
      </c>
      <c r="V182" s="1" t="s">
        <v>780</v>
      </c>
      <c r="W182" s="1" t="s">
        <v>734</v>
      </c>
      <c r="X182" s="1" t="n">
        <v>3540</v>
      </c>
      <c r="Y182" s="1" t="s">
        <v>129</v>
      </c>
    </row>
    <row r="183" customFormat="false" ht="15" hidden="false" customHeight="true" outlineLevel="0" collapsed="false">
      <c r="A183" s="19" t="n">
        <v>46275</v>
      </c>
      <c r="B183" s="12" t="n">
        <f aca="false">IF($A183="","",ROW()-4)</f>
        <v>179</v>
      </c>
      <c r="C183" s="12" t="s">
        <v>781</v>
      </c>
      <c r="D183" s="12" t="s">
        <v>782</v>
      </c>
      <c r="E183" s="24" t="s">
        <v>128</v>
      </c>
      <c r="F183" s="12"/>
      <c r="G183" s="12" t="str">
        <f aca="false">IFERROR(VLOOKUP($F183,ItemList_Full,2,0),"")</f>
        <v/>
      </c>
      <c r="H183" s="12"/>
      <c r="I183" s="12" t="str">
        <f aca="false">IFERROR(VLOOKUP($F183,ItemList_Full,3,0),"")</f>
        <v/>
      </c>
      <c r="J183" s="12" t="str">
        <f aca="false">IFERROR(VLOOKUP($F183,ItemList_Full,4,0),"")</f>
        <v/>
      </c>
      <c r="K183" s="13" t="n">
        <v>290</v>
      </c>
      <c r="L183" s="12"/>
      <c r="M183" s="24"/>
      <c r="N183" s="12" t="s">
        <v>229</v>
      </c>
      <c r="O183" s="12"/>
      <c r="P183" s="13" t="n">
        <f aca="false">IF($E183="","",IF(OR($E183="Director Draw",$E183="Payroll/Employee Charge"),0,-$K183))</f>
        <v>-290</v>
      </c>
      <c r="Q183" s="12" t="n">
        <f aca="false">IF($E183="Inventory Purchase",$H183,0)</f>
        <v>0</v>
      </c>
      <c r="U183" s="1" t="s">
        <v>783</v>
      </c>
      <c r="V183" s="1" t="s">
        <v>784</v>
      </c>
      <c r="W183" s="1" t="s">
        <v>734</v>
      </c>
      <c r="X183" s="1" t="n">
        <v>3510</v>
      </c>
      <c r="Y183" s="1" t="s">
        <v>129</v>
      </c>
    </row>
    <row r="184" customFormat="false" ht="15" hidden="false" customHeight="true" outlineLevel="0" collapsed="false">
      <c r="A184" s="19" t="n">
        <v>46275</v>
      </c>
      <c r="B184" s="12" t="n">
        <f aca="false">IF($A184="","",ROW()-4)</f>
        <v>180</v>
      </c>
      <c r="C184" s="12" t="s">
        <v>785</v>
      </c>
      <c r="D184" s="12" t="s">
        <v>786</v>
      </c>
      <c r="E184" s="24" t="s">
        <v>146</v>
      </c>
      <c r="F184" s="12"/>
      <c r="G184" s="12" t="str">
        <f aca="false">IFERROR(VLOOKUP($F184,ItemList_Full,2,0),"")</f>
        <v/>
      </c>
      <c r="H184" s="12"/>
      <c r="I184" s="12" t="str">
        <f aca="false">IFERROR(VLOOKUP($F184,ItemList_Full,3,0),"")</f>
        <v/>
      </c>
      <c r="J184" s="12" t="str">
        <f aca="false">IFERROR(VLOOKUP($F184,ItemList_Full,4,0),"")</f>
        <v/>
      </c>
      <c r="K184" s="13" t="n">
        <v>250</v>
      </c>
      <c r="L184" s="12"/>
      <c r="M184" s="24"/>
      <c r="N184" s="12" t="s">
        <v>229</v>
      </c>
      <c r="O184" s="12"/>
      <c r="P184" s="13" t="n">
        <f aca="false">IF($E184="","",IF(OR($E184="Director Draw",$E184="Payroll/Employee Charge"),0,-$K184))</f>
        <v>-250</v>
      </c>
      <c r="Q184" s="12" t="n">
        <f aca="false">IF($E184="Inventory Purchase",$H184,0)</f>
        <v>0</v>
      </c>
      <c r="U184" s="1" t="s">
        <v>787</v>
      </c>
      <c r="V184" s="1" t="s">
        <v>788</v>
      </c>
      <c r="W184" s="1" t="s">
        <v>734</v>
      </c>
      <c r="X184" s="1" t="n">
        <v>3510</v>
      </c>
      <c r="Y184" s="1" t="s">
        <v>129</v>
      </c>
    </row>
    <row r="185" customFormat="false" ht="15" hidden="false" customHeight="true" outlineLevel="0" collapsed="false">
      <c r="A185" s="19" t="n">
        <v>46275</v>
      </c>
      <c r="B185" s="12" t="n">
        <f aca="false">IF($A185="","",ROW()-4)</f>
        <v>181</v>
      </c>
      <c r="C185" s="12" t="s">
        <v>276</v>
      </c>
      <c r="D185" s="12" t="s">
        <v>789</v>
      </c>
      <c r="E185" s="24" t="s">
        <v>143</v>
      </c>
      <c r="F185" s="12"/>
      <c r="G185" s="12" t="str">
        <f aca="false">IFERROR(VLOOKUP($F185,ItemList_Full,2,0),"")</f>
        <v/>
      </c>
      <c r="H185" s="12"/>
      <c r="I185" s="12" t="str">
        <f aca="false">IFERROR(VLOOKUP($F185,ItemList_Full,3,0),"")</f>
        <v/>
      </c>
      <c r="J185" s="12" t="str">
        <f aca="false">IFERROR(VLOOKUP($F185,ItemList_Full,4,0),"")</f>
        <v/>
      </c>
      <c r="K185" s="13" t="n">
        <v>1275</v>
      </c>
      <c r="L185" s="12"/>
      <c r="M185" s="24"/>
      <c r="N185" s="12" t="s">
        <v>229</v>
      </c>
      <c r="O185" s="12"/>
      <c r="P185" s="13" t="n">
        <f aca="false">IF($E185="","",IF(OR($E185="Director Draw",$E185="Payroll/Employee Charge"),0,-$K185))</f>
        <v>-1275</v>
      </c>
      <c r="Q185" s="12" t="n">
        <f aca="false">IF($E185="Inventory Purchase",$H185,0)</f>
        <v>0</v>
      </c>
      <c r="U185" s="1" t="s">
        <v>790</v>
      </c>
      <c r="V185" s="1" t="s">
        <v>791</v>
      </c>
      <c r="W185" s="1" t="s">
        <v>734</v>
      </c>
      <c r="X185" s="1" t="n">
        <v>3510</v>
      </c>
      <c r="Y185" s="1" t="s">
        <v>129</v>
      </c>
    </row>
    <row r="186" customFormat="false" ht="15" hidden="false" customHeight="true" outlineLevel="0" collapsed="false">
      <c r="A186" s="19" t="n">
        <v>46275</v>
      </c>
      <c r="B186" s="12" t="n">
        <f aca="false">IF($A186="","",ROW()-4)</f>
        <v>182</v>
      </c>
      <c r="C186" s="12" t="s">
        <v>361</v>
      </c>
      <c r="D186" s="12" t="s">
        <v>792</v>
      </c>
      <c r="E186" s="24" t="s">
        <v>149</v>
      </c>
      <c r="F186" s="12"/>
      <c r="G186" s="12" t="str">
        <f aca="false">IFERROR(VLOOKUP($F186,ItemList_Full,2,0),"")</f>
        <v/>
      </c>
      <c r="H186" s="12"/>
      <c r="I186" s="12" t="str">
        <f aca="false">IFERROR(VLOOKUP($F186,ItemList_Full,3,0),"")</f>
        <v/>
      </c>
      <c r="J186" s="12" t="str">
        <f aca="false">IFERROR(VLOOKUP($F186,ItemList_Full,4,0),"")</f>
        <v/>
      </c>
      <c r="K186" s="13" t="n">
        <v>1865</v>
      </c>
      <c r="L186" s="12"/>
      <c r="M186" s="24"/>
      <c r="N186" s="12" t="s">
        <v>229</v>
      </c>
      <c r="O186" s="12"/>
      <c r="P186" s="13" t="n">
        <f aca="false">IF($E186="","",IF(OR($E186="Director Draw",$E186="Payroll/Employee Charge"),0,-$K186))</f>
        <v>-1865</v>
      </c>
      <c r="Q186" s="12" t="n">
        <f aca="false">IF($E186="Inventory Purchase",$H186,0)</f>
        <v>0</v>
      </c>
      <c r="U186" s="1" t="s">
        <v>793</v>
      </c>
      <c r="V186" s="1" t="s">
        <v>794</v>
      </c>
      <c r="W186" s="1" t="s">
        <v>752</v>
      </c>
      <c r="X186" s="1" t="n">
        <v>250</v>
      </c>
      <c r="Y186" s="1" t="s">
        <v>129</v>
      </c>
    </row>
    <row r="187" customFormat="false" ht="15" hidden="false" customHeight="true" outlineLevel="0" collapsed="false">
      <c r="A187" s="19" t="n">
        <v>46275</v>
      </c>
      <c r="B187" s="12" t="n">
        <f aca="false">IF($A187="","",ROW()-4)</f>
        <v>183</v>
      </c>
      <c r="C187" s="12" t="s">
        <v>299</v>
      </c>
      <c r="D187" s="12" t="s">
        <v>300</v>
      </c>
      <c r="E187" s="24" t="s">
        <v>149</v>
      </c>
      <c r="F187" s="12"/>
      <c r="G187" s="12" t="str">
        <f aca="false">IFERROR(VLOOKUP($F187,ItemList_Full,2,0),"")</f>
        <v/>
      </c>
      <c r="H187" s="12"/>
      <c r="I187" s="12" t="str">
        <f aca="false">IFERROR(VLOOKUP($F187,ItemList_Full,3,0),"")</f>
        <v/>
      </c>
      <c r="J187" s="12" t="str">
        <f aca="false">IFERROR(VLOOKUP($F187,ItemList_Full,4,0),"")</f>
        <v/>
      </c>
      <c r="K187" s="13" t="n">
        <v>200</v>
      </c>
      <c r="L187" s="12"/>
      <c r="M187" s="24"/>
      <c r="N187" s="12" t="s">
        <v>229</v>
      </c>
      <c r="O187" s="12"/>
      <c r="P187" s="13" t="n">
        <f aca="false">IF($E187="","",IF(OR($E187="Director Draw",$E187="Payroll/Employee Charge"),0,-$K187))</f>
        <v>-200</v>
      </c>
      <c r="Q187" s="12" t="n">
        <f aca="false">IF($E187="Inventory Purchase",$H187,0)</f>
        <v>0</v>
      </c>
      <c r="U187" s="1" t="s">
        <v>795</v>
      </c>
      <c r="V187" s="1" t="s">
        <v>796</v>
      </c>
      <c r="W187" s="1" t="s">
        <v>267</v>
      </c>
      <c r="X187" s="1" t="n">
        <v>3680</v>
      </c>
      <c r="Y187" s="1" t="s">
        <v>129</v>
      </c>
    </row>
    <row r="188" customFormat="false" ht="15" hidden="false" customHeight="true" outlineLevel="0" collapsed="false">
      <c r="A188" s="19" t="n">
        <v>46275</v>
      </c>
      <c r="B188" s="12" t="n">
        <f aca="false">IF($A188="","",ROW()-4)</f>
        <v>184</v>
      </c>
      <c r="C188" s="12" t="s">
        <v>295</v>
      </c>
      <c r="D188" s="12" t="s">
        <v>797</v>
      </c>
      <c r="E188" s="24" t="s">
        <v>150</v>
      </c>
      <c r="F188" s="12"/>
      <c r="G188" s="12" t="str">
        <f aca="false">IFERROR(VLOOKUP($F188,ItemList_Full,2,0),"")</f>
        <v/>
      </c>
      <c r="H188" s="12"/>
      <c r="I188" s="12" t="str">
        <f aca="false">IFERROR(VLOOKUP($F188,ItemList_Full,3,0),"")</f>
        <v/>
      </c>
      <c r="J188" s="12" t="str">
        <f aca="false">IFERROR(VLOOKUP($F188,ItemList_Full,4,0),"")</f>
        <v/>
      </c>
      <c r="K188" s="13" t="n">
        <v>1990</v>
      </c>
      <c r="L188" s="12"/>
      <c r="M188" s="24"/>
      <c r="N188" s="12" t="s">
        <v>229</v>
      </c>
      <c r="O188" s="12"/>
      <c r="P188" s="13" t="n">
        <f aca="false">IF($E188="","",IF(OR($E188="Director Draw",$E188="Payroll/Employee Charge"),0,-$K188))</f>
        <v>-1990</v>
      </c>
      <c r="Q188" s="12" t="n">
        <f aca="false">IF($E188="Inventory Purchase",$H188,0)</f>
        <v>0</v>
      </c>
      <c r="U188" s="1" t="s">
        <v>798</v>
      </c>
      <c r="V188" s="1" t="s">
        <v>799</v>
      </c>
      <c r="W188" s="1" t="s">
        <v>381</v>
      </c>
      <c r="X188" s="1" t="n">
        <v>8000</v>
      </c>
      <c r="Y188" s="1" t="s">
        <v>129</v>
      </c>
    </row>
    <row r="189" customFormat="false" ht="15" hidden="false" customHeight="true" outlineLevel="0" collapsed="false">
      <c r="A189" s="19" t="n">
        <v>46276</v>
      </c>
      <c r="B189" s="12" t="n">
        <f aca="false">IF($A189="","",ROW()-4)</f>
        <v>185</v>
      </c>
      <c r="C189" s="12" t="s">
        <v>225</v>
      </c>
      <c r="D189" s="12" t="s">
        <v>533</v>
      </c>
      <c r="E189" s="24" t="s">
        <v>227</v>
      </c>
      <c r="F189" s="12"/>
      <c r="G189" s="12" t="str">
        <f aca="false">IFERROR(VLOOKUP($F189,ItemList_Full,2,0),"")</f>
        <v/>
      </c>
      <c r="H189" s="12"/>
      <c r="I189" s="12" t="str">
        <f aca="false">IFERROR(VLOOKUP($F189,ItemList_Full,3,0),"")</f>
        <v/>
      </c>
      <c r="J189" s="12" t="str">
        <f aca="false">IFERROR(VLOOKUP($F189,ItemList_Full,4,0),"")</f>
        <v/>
      </c>
      <c r="K189" s="13" t="n">
        <v>391</v>
      </c>
      <c r="L189" s="12"/>
      <c r="M189" s="24" t="s">
        <v>228</v>
      </c>
      <c r="N189" s="12" t="s">
        <v>229</v>
      </c>
      <c r="O189" s="12"/>
      <c r="P189" s="13" t="n">
        <f aca="false">IF($E189="","",IF(OR($E189="Director Draw",$E189="Payroll/Employee Charge"),0,-$K189))</f>
        <v>0</v>
      </c>
      <c r="Q189" s="12" t="n">
        <f aca="false">IF($E189="Inventory Purchase",$H189,0)</f>
        <v>0</v>
      </c>
      <c r="U189" s="1" t="s">
        <v>800</v>
      </c>
      <c r="V189" s="1" t="s">
        <v>801</v>
      </c>
      <c r="W189" s="1" t="s">
        <v>267</v>
      </c>
      <c r="X189" s="1" t="n">
        <v>1135</v>
      </c>
      <c r="Y189" s="1" t="s">
        <v>129</v>
      </c>
    </row>
    <row r="190" customFormat="false" ht="15" hidden="false" customHeight="true" outlineLevel="0" collapsed="false">
      <c r="A190" s="19" t="n">
        <v>46276</v>
      </c>
      <c r="B190" s="12" t="n">
        <f aca="false">IF($A190="","",ROW()-4)</f>
        <v>186</v>
      </c>
      <c r="C190" s="12" t="s">
        <v>225</v>
      </c>
      <c r="D190" s="12" t="s">
        <v>226</v>
      </c>
      <c r="E190" s="24" t="s">
        <v>227</v>
      </c>
      <c r="F190" s="12"/>
      <c r="G190" s="12" t="str">
        <f aca="false">IFERROR(VLOOKUP($F190,ItemList_Full,2,0),"")</f>
        <v/>
      </c>
      <c r="H190" s="12"/>
      <c r="I190" s="12" t="str">
        <f aca="false">IFERROR(VLOOKUP($F190,ItemList_Full,3,0),"")</f>
        <v/>
      </c>
      <c r="J190" s="12" t="str">
        <f aca="false">IFERROR(VLOOKUP($F190,ItemList_Full,4,0),"")</f>
        <v/>
      </c>
      <c r="K190" s="13" t="n">
        <v>11805</v>
      </c>
      <c r="L190" s="12"/>
      <c r="M190" s="24" t="s">
        <v>228</v>
      </c>
      <c r="N190" s="12" t="s">
        <v>229</v>
      </c>
      <c r="O190" s="12"/>
      <c r="P190" s="13" t="n">
        <f aca="false">IF($E190="","",IF(OR($E190="Director Draw",$E190="Payroll/Employee Charge"),0,-$K190))</f>
        <v>0</v>
      </c>
      <c r="Q190" s="12" t="n">
        <f aca="false">IF($E190="Inventory Purchase",$H190,0)</f>
        <v>0</v>
      </c>
      <c r="U190" s="1" t="s">
        <v>802</v>
      </c>
      <c r="V190" s="1" t="s">
        <v>803</v>
      </c>
      <c r="W190" s="1" t="s">
        <v>267</v>
      </c>
      <c r="X190" s="1" t="n">
        <v>1200</v>
      </c>
      <c r="Y190" s="1" t="s">
        <v>129</v>
      </c>
    </row>
    <row r="191" customFormat="false" ht="15" hidden="false" customHeight="true" outlineLevel="0" collapsed="false">
      <c r="A191" s="19" t="n">
        <v>46276</v>
      </c>
      <c r="B191" s="12" t="n">
        <f aca="false">IF($A191="","",ROW()-4)</f>
        <v>187</v>
      </c>
      <c r="C191" s="12" t="s">
        <v>225</v>
      </c>
      <c r="D191" s="12" t="s">
        <v>305</v>
      </c>
      <c r="E191" s="24" t="s">
        <v>227</v>
      </c>
      <c r="F191" s="12"/>
      <c r="G191" s="12" t="str">
        <f aca="false">IFERROR(VLOOKUP($F191,ItemList_Full,2,0),"")</f>
        <v/>
      </c>
      <c r="H191" s="12"/>
      <c r="I191" s="12" t="str">
        <f aca="false">IFERROR(VLOOKUP($F191,ItemList_Full,3,0),"")</f>
        <v/>
      </c>
      <c r="J191" s="12" t="str">
        <f aca="false">IFERROR(VLOOKUP($F191,ItemList_Full,4,0),"")</f>
        <v/>
      </c>
      <c r="K191" s="13" t="n">
        <v>3060</v>
      </c>
      <c r="L191" s="12"/>
      <c r="M191" s="24" t="s">
        <v>228</v>
      </c>
      <c r="N191" s="12" t="s">
        <v>229</v>
      </c>
      <c r="O191" s="12"/>
      <c r="P191" s="13" t="n">
        <f aca="false">IF($E191="","",IF(OR($E191="Director Draw",$E191="Payroll/Employee Charge"),0,-$K191))</f>
        <v>0</v>
      </c>
      <c r="Q191" s="12" t="n">
        <f aca="false">IF($E191="Inventory Purchase",$H191,0)</f>
        <v>0</v>
      </c>
      <c r="U191" s="1" t="s">
        <v>804</v>
      </c>
      <c r="V191" s="1" t="s">
        <v>805</v>
      </c>
      <c r="W191" s="1" t="s">
        <v>267</v>
      </c>
      <c r="X191" s="1" t="n">
        <v>2050</v>
      </c>
      <c r="Y191" s="1" t="s">
        <v>129</v>
      </c>
    </row>
    <row r="192" customFormat="false" ht="15" hidden="false" customHeight="true" outlineLevel="0" collapsed="false">
      <c r="A192" s="19" t="n">
        <v>46276</v>
      </c>
      <c r="B192" s="12" t="n">
        <f aca="false">IF($A192="","",ROW()-4)</f>
        <v>188</v>
      </c>
      <c r="C192" s="12" t="s">
        <v>225</v>
      </c>
      <c r="D192" s="12" t="s">
        <v>806</v>
      </c>
      <c r="E192" s="24" t="s">
        <v>227</v>
      </c>
      <c r="F192" s="12"/>
      <c r="G192" s="12" t="str">
        <f aca="false">IFERROR(VLOOKUP($F192,ItemList_Full,2,0),"")</f>
        <v/>
      </c>
      <c r="H192" s="12"/>
      <c r="I192" s="12" t="str">
        <f aca="false">IFERROR(VLOOKUP($F192,ItemList_Full,3,0),"")</f>
        <v/>
      </c>
      <c r="J192" s="12" t="str">
        <f aca="false">IFERROR(VLOOKUP($F192,ItemList_Full,4,0),"")</f>
        <v/>
      </c>
      <c r="K192" s="13" t="n">
        <v>1750</v>
      </c>
      <c r="L192" s="12"/>
      <c r="M192" s="24" t="s">
        <v>807</v>
      </c>
      <c r="N192" s="12" t="s">
        <v>229</v>
      </c>
      <c r="O192" s="12"/>
      <c r="P192" s="13" t="n">
        <f aca="false">IF($E192="","",IF(OR($E192="Director Draw",$E192="Payroll/Employee Charge"),0,-$K192))</f>
        <v>0</v>
      </c>
      <c r="Q192" s="12" t="n">
        <f aca="false">IF($E192="Inventory Purchase",$H192,0)</f>
        <v>0</v>
      </c>
      <c r="U192" s="1" t="s">
        <v>808</v>
      </c>
      <c r="V192" s="1" t="s">
        <v>809</v>
      </c>
      <c r="W192" s="1" t="s">
        <v>752</v>
      </c>
      <c r="X192" s="1" t="n">
        <v>138</v>
      </c>
      <c r="Y192" s="1" t="s">
        <v>129</v>
      </c>
    </row>
    <row r="193" customFormat="false" ht="15" hidden="false" customHeight="true" outlineLevel="0" collapsed="false">
      <c r="A193" s="19" t="n">
        <v>46276</v>
      </c>
      <c r="B193" s="12" t="n">
        <f aca="false">IF($A193="","",ROW()-4)</f>
        <v>189</v>
      </c>
      <c r="C193" s="12" t="s">
        <v>449</v>
      </c>
      <c r="D193" s="12" t="s">
        <v>810</v>
      </c>
      <c r="E193" s="24" t="s">
        <v>139</v>
      </c>
      <c r="F193" s="12"/>
      <c r="G193" s="12" t="str">
        <f aca="false">IFERROR(VLOOKUP($F193,ItemList_Full,2,0),"")</f>
        <v/>
      </c>
      <c r="H193" s="12"/>
      <c r="I193" s="12" t="str">
        <f aca="false">IFERROR(VLOOKUP($F193,ItemList_Full,3,0),"")</f>
        <v/>
      </c>
      <c r="J193" s="12" t="str">
        <f aca="false">IFERROR(VLOOKUP($F193,ItemList_Full,4,0),"")</f>
        <v/>
      </c>
      <c r="K193" s="13" t="n">
        <v>13200</v>
      </c>
      <c r="L193" s="12"/>
      <c r="M193" s="24"/>
      <c r="N193" s="12" t="s">
        <v>229</v>
      </c>
      <c r="O193" s="12"/>
      <c r="P193" s="13" t="n">
        <f aca="false">IF($E193="","",IF(OR($E193="Director Draw",$E193="Payroll/Employee Charge"),0,-$K193))</f>
        <v>-13200</v>
      </c>
      <c r="Q193" s="12" t="n">
        <f aca="false">IF($E193="Inventory Purchase",$H193,0)</f>
        <v>0</v>
      </c>
      <c r="U193" s="1" t="s">
        <v>811</v>
      </c>
      <c r="V193" s="1" t="s">
        <v>812</v>
      </c>
      <c r="W193" s="1" t="s">
        <v>267</v>
      </c>
      <c r="X193" s="1" t="n">
        <v>188</v>
      </c>
      <c r="Y193" s="1" t="s">
        <v>129</v>
      </c>
    </row>
    <row r="194" customFormat="false" ht="15" hidden="false" customHeight="true" outlineLevel="0" collapsed="false">
      <c r="A194" s="19" t="n">
        <v>46276</v>
      </c>
      <c r="B194" s="12" t="n">
        <f aca="false">IF($A194="","",ROW()-4)</f>
        <v>190</v>
      </c>
      <c r="C194" s="12" t="s">
        <v>674</v>
      </c>
      <c r="D194" s="12" t="s">
        <v>675</v>
      </c>
      <c r="E194" s="24" t="s">
        <v>139</v>
      </c>
      <c r="F194" s="12"/>
      <c r="G194" s="12" t="str">
        <f aca="false">IFERROR(VLOOKUP($F194,ItemList_Full,2,0),"")</f>
        <v/>
      </c>
      <c r="H194" s="12"/>
      <c r="I194" s="12" t="str">
        <f aca="false">IFERROR(VLOOKUP($F194,ItemList_Full,3,0),"")</f>
        <v/>
      </c>
      <c r="J194" s="12" t="str">
        <f aca="false">IFERROR(VLOOKUP($F194,ItemList_Full,4,0),"")</f>
        <v/>
      </c>
      <c r="K194" s="13" t="n">
        <v>18640</v>
      </c>
      <c r="L194" s="12"/>
      <c r="M194" s="24"/>
      <c r="N194" s="12" t="s">
        <v>229</v>
      </c>
      <c r="O194" s="12"/>
      <c r="P194" s="13" t="n">
        <f aca="false">IF($E194="","",IF(OR($E194="Director Draw",$E194="Payroll/Employee Charge"),0,-$K194))</f>
        <v>-18640</v>
      </c>
      <c r="Q194" s="12" t="n">
        <f aca="false">IF($E194="Inventory Purchase",$H194,0)</f>
        <v>0</v>
      </c>
      <c r="U194" s="1" t="s">
        <v>813</v>
      </c>
      <c r="V194" s="1" t="s">
        <v>814</v>
      </c>
      <c r="W194" s="1" t="s">
        <v>815</v>
      </c>
      <c r="X194" s="1" t="n">
        <v>342</v>
      </c>
      <c r="Y194" s="1" t="s">
        <v>129</v>
      </c>
    </row>
    <row r="195" customFormat="false" ht="15" hidden="false" customHeight="true" outlineLevel="0" collapsed="false">
      <c r="A195" s="19" t="n">
        <v>46276</v>
      </c>
      <c r="B195" s="12" t="n">
        <f aca="false">IF($A195="","",ROW()-4)</f>
        <v>191</v>
      </c>
      <c r="C195" s="12" t="s">
        <v>449</v>
      </c>
      <c r="D195" s="12" t="s">
        <v>260</v>
      </c>
      <c r="E195" s="24" t="s">
        <v>139</v>
      </c>
      <c r="F195" s="12"/>
      <c r="G195" s="12" t="str">
        <f aca="false">IFERROR(VLOOKUP($F195,ItemList_Full,2,0),"")</f>
        <v/>
      </c>
      <c r="H195" s="12"/>
      <c r="I195" s="12" t="str">
        <f aca="false">IFERROR(VLOOKUP($F195,ItemList_Full,3,0),"")</f>
        <v/>
      </c>
      <c r="J195" s="12" t="str">
        <f aca="false">IFERROR(VLOOKUP($F195,ItemList_Full,4,0),"")</f>
        <v/>
      </c>
      <c r="K195" s="13" t="n">
        <v>2180</v>
      </c>
      <c r="L195" s="12"/>
      <c r="M195" s="24"/>
      <c r="N195" s="12" t="s">
        <v>229</v>
      </c>
      <c r="O195" s="12"/>
      <c r="P195" s="13" t="n">
        <f aca="false">IF($E195="","",IF(OR($E195="Director Draw",$E195="Payroll/Employee Charge"),0,-$K195))</f>
        <v>-2180</v>
      </c>
      <c r="Q195" s="12" t="n">
        <f aca="false">IF($E195="Inventory Purchase",$H195,0)</f>
        <v>0</v>
      </c>
      <c r="U195" s="1" t="s">
        <v>816</v>
      </c>
      <c r="V195" s="1" t="s">
        <v>817</v>
      </c>
      <c r="W195" s="1" t="s">
        <v>818</v>
      </c>
      <c r="X195" s="1" t="n">
        <v>50</v>
      </c>
      <c r="Y195" s="1" t="s">
        <v>129</v>
      </c>
    </row>
    <row r="196" customFormat="false" ht="15" hidden="false" customHeight="true" outlineLevel="0" collapsed="false">
      <c r="A196" s="19" t="n">
        <v>46276</v>
      </c>
      <c r="B196" s="12" t="n">
        <f aca="false">IF($A196="","",ROW()-4)</f>
        <v>192</v>
      </c>
      <c r="C196" s="12" t="s">
        <v>445</v>
      </c>
      <c r="D196" s="12" t="s">
        <v>819</v>
      </c>
      <c r="E196" s="24" t="s">
        <v>139</v>
      </c>
      <c r="F196" s="12"/>
      <c r="G196" s="12" t="str">
        <f aca="false">IFERROR(VLOOKUP($F196,ItemList_Full,2,0),"")</f>
        <v/>
      </c>
      <c r="H196" s="12"/>
      <c r="I196" s="12" t="str">
        <f aca="false">IFERROR(VLOOKUP($F196,ItemList_Full,3,0),"")</f>
        <v/>
      </c>
      <c r="J196" s="12" t="str">
        <f aca="false">IFERROR(VLOOKUP($F196,ItemList_Full,4,0),"")</f>
        <v/>
      </c>
      <c r="K196" s="13" t="n">
        <v>2320</v>
      </c>
      <c r="L196" s="12"/>
      <c r="M196" s="24"/>
      <c r="N196" s="12" t="s">
        <v>229</v>
      </c>
      <c r="O196" s="12"/>
      <c r="P196" s="13" t="n">
        <f aca="false">IF($E196="","",IF(OR($E196="Director Draw",$E196="Payroll/Employee Charge"),0,-$K196))</f>
        <v>-2320</v>
      </c>
      <c r="Q196" s="12" t="n">
        <f aca="false">IF($E196="Inventory Purchase",$H196,0)</f>
        <v>0</v>
      </c>
      <c r="U196" s="1" t="s">
        <v>820</v>
      </c>
      <c r="V196" s="1" t="s">
        <v>821</v>
      </c>
      <c r="W196" s="1" t="s">
        <v>241</v>
      </c>
      <c r="X196" s="1" t="n">
        <v>311.428571428571</v>
      </c>
      <c r="Y196" s="1" t="s">
        <v>129</v>
      </c>
    </row>
    <row r="197" customFormat="false" ht="15" hidden="false" customHeight="true" outlineLevel="0" collapsed="false">
      <c r="A197" s="19" t="n">
        <v>46276</v>
      </c>
      <c r="B197" s="12" t="n">
        <f aca="false">IF($A197="","",ROW()-4)</f>
        <v>193</v>
      </c>
      <c r="C197" s="12" t="s">
        <v>822</v>
      </c>
      <c r="D197" s="12" t="s">
        <v>822</v>
      </c>
      <c r="E197" s="24" t="s">
        <v>139</v>
      </c>
      <c r="F197" s="12"/>
      <c r="G197" s="12" t="str">
        <f aca="false">IFERROR(VLOOKUP($F197,ItemList_Full,2,0),"")</f>
        <v/>
      </c>
      <c r="H197" s="12"/>
      <c r="I197" s="12" t="str">
        <f aca="false">IFERROR(VLOOKUP($F197,ItemList_Full,3,0),"")</f>
        <v/>
      </c>
      <c r="J197" s="12" t="str">
        <f aca="false">IFERROR(VLOOKUP($F197,ItemList_Full,4,0),"")</f>
        <v/>
      </c>
      <c r="K197" s="13" t="n">
        <v>18360</v>
      </c>
      <c r="L197" s="12"/>
      <c r="M197" s="24"/>
      <c r="N197" s="12" t="s">
        <v>229</v>
      </c>
      <c r="O197" s="12"/>
      <c r="P197" s="13" t="n">
        <f aca="false">IF($E197="","",IF(OR($E197="Director Draw",$E197="Payroll/Employee Charge"),0,-$K197))</f>
        <v>-18360</v>
      </c>
      <c r="Q197" s="12" t="n">
        <f aca="false">IF($E197="Inventory Purchase",$H197,0)</f>
        <v>0</v>
      </c>
      <c r="U197" s="1" t="s">
        <v>823</v>
      </c>
      <c r="V197" s="1" t="s">
        <v>824</v>
      </c>
      <c r="W197" s="1" t="s">
        <v>815</v>
      </c>
      <c r="X197" s="1" t="n">
        <v>342</v>
      </c>
      <c r="Y197" s="1" t="s">
        <v>129</v>
      </c>
    </row>
    <row r="198" customFormat="false" ht="15" hidden="false" customHeight="true" outlineLevel="0" collapsed="false">
      <c r="A198" s="19" t="n">
        <v>46276</v>
      </c>
      <c r="B198" s="12" t="n">
        <f aca="false">IF($A198="","",ROW()-4)</f>
        <v>194</v>
      </c>
      <c r="C198" s="12" t="s">
        <v>325</v>
      </c>
      <c r="D198" s="12" t="s">
        <v>326</v>
      </c>
      <c r="E198" s="24" t="s">
        <v>139</v>
      </c>
      <c r="F198" s="12"/>
      <c r="G198" s="12" t="str">
        <f aca="false">IFERROR(VLOOKUP($F198,ItemList_Full,2,0),"")</f>
        <v/>
      </c>
      <c r="H198" s="12"/>
      <c r="I198" s="12" t="str">
        <f aca="false">IFERROR(VLOOKUP($F198,ItemList_Full,3,0),"")</f>
        <v/>
      </c>
      <c r="J198" s="12" t="str">
        <f aca="false">IFERROR(VLOOKUP($F198,ItemList_Full,4,0),"")</f>
        <v/>
      </c>
      <c r="K198" s="13" t="n">
        <v>85000</v>
      </c>
      <c r="L198" s="12"/>
      <c r="M198" s="24"/>
      <c r="N198" s="12" t="s">
        <v>229</v>
      </c>
      <c r="O198" s="12"/>
      <c r="P198" s="13" t="n">
        <f aca="false">IF($E198="","",IF(OR($E198="Director Draw",$E198="Payroll/Employee Charge"),0,-$K198))</f>
        <v>-85000</v>
      </c>
      <c r="Q198" s="12" t="n">
        <f aca="false">IF($E198="Inventory Purchase",$H198,0)</f>
        <v>0</v>
      </c>
      <c r="U198" s="1" t="s">
        <v>825</v>
      </c>
      <c r="V198" s="1" t="s">
        <v>826</v>
      </c>
      <c r="W198" s="1" t="s">
        <v>752</v>
      </c>
      <c r="X198" s="1" t="n">
        <v>400</v>
      </c>
      <c r="Y198" s="1" t="s">
        <v>129</v>
      </c>
    </row>
    <row r="199" customFormat="false" ht="15" hidden="false" customHeight="true" outlineLevel="0" collapsed="false">
      <c r="A199" s="19" t="n">
        <v>46276</v>
      </c>
      <c r="B199" s="12" t="n">
        <f aca="false">IF($A199="","",ROW()-4)</f>
        <v>195</v>
      </c>
      <c r="C199" s="12" t="s">
        <v>242</v>
      </c>
      <c r="D199" s="12" t="s">
        <v>243</v>
      </c>
      <c r="E199" s="24" t="s">
        <v>139</v>
      </c>
      <c r="F199" s="12"/>
      <c r="G199" s="12" t="str">
        <f aca="false">IFERROR(VLOOKUP($F199,ItemList_Full,2,0),"")</f>
        <v/>
      </c>
      <c r="H199" s="12"/>
      <c r="I199" s="12" t="str">
        <f aca="false">IFERROR(VLOOKUP($F199,ItemList_Full,3,0),"")</f>
        <v/>
      </c>
      <c r="J199" s="12" t="str">
        <f aca="false">IFERROR(VLOOKUP($F199,ItemList_Full,4,0),"")</f>
        <v/>
      </c>
      <c r="K199" s="13" t="n">
        <v>16000</v>
      </c>
      <c r="L199" s="12"/>
      <c r="M199" s="24"/>
      <c r="N199" s="12" t="s">
        <v>229</v>
      </c>
      <c r="O199" s="12"/>
      <c r="P199" s="13" t="n">
        <f aca="false">IF($E199="","",IF(OR($E199="Director Draw",$E199="Payroll/Employee Charge"),0,-$K199))</f>
        <v>-16000</v>
      </c>
      <c r="Q199" s="12" t="n">
        <f aca="false">IF($E199="Inventory Purchase",$H199,0)</f>
        <v>0</v>
      </c>
      <c r="U199" s="1" t="s">
        <v>827</v>
      </c>
      <c r="V199" s="1" t="s">
        <v>828</v>
      </c>
      <c r="W199" s="1" t="s">
        <v>601</v>
      </c>
      <c r="X199" s="1" t="n">
        <v>10620</v>
      </c>
      <c r="Y199" s="1" t="s">
        <v>129</v>
      </c>
    </row>
    <row r="200" customFormat="false" ht="15" hidden="false" customHeight="true" outlineLevel="0" collapsed="false">
      <c r="A200" s="19" t="n">
        <v>46276</v>
      </c>
      <c r="B200" s="12" t="n">
        <f aca="false">IF($A200="","",ROW()-4)</f>
        <v>196</v>
      </c>
      <c r="C200" s="12" t="s">
        <v>449</v>
      </c>
      <c r="D200" s="12" t="s">
        <v>829</v>
      </c>
      <c r="E200" s="24" t="s">
        <v>140</v>
      </c>
      <c r="F200" s="12"/>
      <c r="G200" s="12" t="str">
        <f aca="false">IFERROR(VLOOKUP($F200,ItemList_Full,2,0),"")</f>
        <v/>
      </c>
      <c r="H200" s="12"/>
      <c r="I200" s="12" t="str">
        <f aca="false">IFERROR(VLOOKUP($F200,ItemList_Full,3,0),"")</f>
        <v/>
      </c>
      <c r="J200" s="12" t="str">
        <f aca="false">IFERROR(VLOOKUP($F200,ItemList_Full,4,0),"")</f>
        <v/>
      </c>
      <c r="K200" s="13" t="n">
        <v>11200</v>
      </c>
      <c r="L200" s="12"/>
      <c r="M200" s="24"/>
      <c r="N200" s="12" t="s">
        <v>229</v>
      </c>
      <c r="O200" s="12"/>
      <c r="P200" s="13" t="n">
        <f aca="false">IF($E200="","",IF(OR($E200="Director Draw",$E200="Payroll/Employee Charge"),0,-$K200))</f>
        <v>-11200</v>
      </c>
      <c r="Q200" s="12" t="n">
        <f aca="false">IF($E200="Inventory Purchase",$H200,0)</f>
        <v>0</v>
      </c>
      <c r="U200" s="1" t="s">
        <v>830</v>
      </c>
      <c r="V200" s="1" t="s">
        <v>831</v>
      </c>
      <c r="W200" s="1" t="s">
        <v>267</v>
      </c>
      <c r="X200" s="1" t="n">
        <v>495</v>
      </c>
      <c r="Y200" s="1" t="s">
        <v>129</v>
      </c>
    </row>
    <row r="201" customFormat="false" ht="15" hidden="false" customHeight="true" outlineLevel="0" collapsed="false">
      <c r="A201" s="19" t="n">
        <v>46276</v>
      </c>
      <c r="B201" s="12" t="n">
        <f aca="false">IF($A201="","",ROW()-4)</f>
        <v>197</v>
      </c>
      <c r="C201" s="12" t="s">
        <v>832</v>
      </c>
      <c r="D201" s="12" t="s">
        <v>832</v>
      </c>
      <c r="E201" s="24" t="s">
        <v>140</v>
      </c>
      <c r="F201" s="12"/>
      <c r="G201" s="12" t="str">
        <f aca="false">IFERROR(VLOOKUP($F201,ItemList_Full,2,0),"")</f>
        <v/>
      </c>
      <c r="H201" s="12"/>
      <c r="I201" s="12" t="str">
        <f aca="false">IFERROR(VLOOKUP($F201,ItemList_Full,3,0),"")</f>
        <v/>
      </c>
      <c r="J201" s="12" t="str">
        <f aca="false">IFERROR(VLOOKUP($F201,ItemList_Full,4,0),"")</f>
        <v/>
      </c>
      <c r="K201" s="13" t="n">
        <v>71135</v>
      </c>
      <c r="L201" s="12"/>
      <c r="M201" s="24"/>
      <c r="N201" s="12" t="s">
        <v>229</v>
      </c>
      <c r="O201" s="12"/>
      <c r="P201" s="13" t="n">
        <f aca="false">IF($E201="","",IF(OR($E201="Director Draw",$E201="Payroll/Employee Charge"),0,-$K201))</f>
        <v>-71135</v>
      </c>
      <c r="Q201" s="12" t="n">
        <f aca="false">IF($E201="Inventory Purchase",$H201,0)</f>
        <v>0</v>
      </c>
      <c r="U201" s="1" t="s">
        <v>833</v>
      </c>
      <c r="V201" s="1" t="s">
        <v>834</v>
      </c>
      <c r="W201" s="1" t="s">
        <v>267</v>
      </c>
      <c r="X201" s="1" t="n">
        <v>375</v>
      </c>
      <c r="Y201" s="1" t="s">
        <v>129</v>
      </c>
    </row>
    <row r="202" customFormat="false" ht="15" hidden="false" customHeight="true" outlineLevel="0" collapsed="false">
      <c r="A202" s="19" t="n">
        <v>46276</v>
      </c>
      <c r="B202" s="12" t="n">
        <f aca="false">IF($A202="","",ROW()-4)</f>
        <v>198</v>
      </c>
      <c r="C202" s="12" t="s">
        <v>835</v>
      </c>
      <c r="D202" s="12" t="s">
        <v>836</v>
      </c>
      <c r="E202" s="24" t="s">
        <v>134</v>
      </c>
      <c r="F202" s="12"/>
      <c r="G202" s="12" t="str">
        <f aca="false">IFERROR(VLOOKUP($F202,ItemList_Full,2,0),"")</f>
        <v/>
      </c>
      <c r="H202" s="12"/>
      <c r="I202" s="12" t="str">
        <f aca="false">IFERROR(VLOOKUP($F202,ItemList_Full,3,0),"")</f>
        <v/>
      </c>
      <c r="J202" s="12" t="str">
        <f aca="false">IFERROR(VLOOKUP($F202,ItemList_Full,4,0),"")</f>
        <v/>
      </c>
      <c r="K202" s="13" t="n">
        <v>830</v>
      </c>
      <c r="L202" s="12"/>
      <c r="M202" s="24"/>
      <c r="N202" s="12" t="s">
        <v>229</v>
      </c>
      <c r="O202" s="12"/>
      <c r="P202" s="13" t="n">
        <f aca="false">IF($E202="","",IF(OR($E202="Director Draw",$E202="Payroll/Employee Charge"),0,-$K202))</f>
        <v>-830</v>
      </c>
      <c r="Q202" s="12" t="n">
        <f aca="false">IF($E202="Inventory Purchase",$H202,0)</f>
        <v>0</v>
      </c>
      <c r="U202" s="1" t="s">
        <v>837</v>
      </c>
      <c r="V202" s="1" t="s">
        <v>838</v>
      </c>
      <c r="W202" s="1" t="s">
        <v>267</v>
      </c>
      <c r="X202" s="1" t="n">
        <v>240</v>
      </c>
      <c r="Y202" s="1" t="s">
        <v>129</v>
      </c>
    </row>
    <row r="203" customFormat="false" ht="15" hidden="false" customHeight="true" outlineLevel="0" collapsed="false">
      <c r="A203" s="19" t="n">
        <v>46276</v>
      </c>
      <c r="B203" s="12" t="n">
        <f aca="false">IF($A203="","",ROW()-4)</f>
        <v>199</v>
      </c>
      <c r="C203" s="12" t="s">
        <v>343</v>
      </c>
      <c r="D203" s="12" t="s">
        <v>839</v>
      </c>
      <c r="E203" s="24" t="s">
        <v>143</v>
      </c>
      <c r="F203" s="12"/>
      <c r="G203" s="12" t="str">
        <f aca="false">IFERROR(VLOOKUP($F203,ItemList_Full,2,0),"")</f>
        <v/>
      </c>
      <c r="H203" s="12"/>
      <c r="I203" s="12" t="str">
        <f aca="false">IFERROR(VLOOKUP($F203,ItemList_Full,3,0),"")</f>
        <v/>
      </c>
      <c r="J203" s="12" t="str">
        <f aca="false">IFERROR(VLOOKUP($F203,ItemList_Full,4,0),"")</f>
        <v/>
      </c>
      <c r="K203" s="13" t="n">
        <v>25000</v>
      </c>
      <c r="L203" s="12"/>
      <c r="M203" s="24"/>
      <c r="N203" s="12" t="s">
        <v>229</v>
      </c>
      <c r="O203" s="12"/>
      <c r="P203" s="13" t="n">
        <f aca="false">IF($E203="","",IF(OR($E203="Director Draw",$E203="Payroll/Employee Charge"),0,-$K203))</f>
        <v>-25000</v>
      </c>
      <c r="Q203" s="12" t="n">
        <f aca="false">IF($E203="Inventory Purchase",$H203,0)</f>
        <v>0</v>
      </c>
      <c r="U203" s="1" t="s">
        <v>840</v>
      </c>
      <c r="V203" s="1" t="s">
        <v>841</v>
      </c>
      <c r="W203" s="1" t="s">
        <v>241</v>
      </c>
      <c r="X203" s="1" t="n">
        <v>220</v>
      </c>
      <c r="Y203" s="1" t="s">
        <v>129</v>
      </c>
    </row>
    <row r="204" customFormat="false" ht="15" hidden="false" customHeight="true" outlineLevel="0" collapsed="false">
      <c r="A204" s="19" t="n">
        <v>46276</v>
      </c>
      <c r="B204" s="12" t="n">
        <f aca="false">IF($A204="","",ROW()-4)</f>
        <v>200</v>
      </c>
      <c r="C204" s="12" t="s">
        <v>361</v>
      </c>
      <c r="D204" s="12" t="s">
        <v>842</v>
      </c>
      <c r="E204" s="24" t="s">
        <v>149</v>
      </c>
      <c r="F204" s="12"/>
      <c r="G204" s="12" t="str">
        <f aca="false">IFERROR(VLOOKUP($F204,ItemList_Full,2,0),"")</f>
        <v/>
      </c>
      <c r="H204" s="12"/>
      <c r="I204" s="12" t="str">
        <f aca="false">IFERROR(VLOOKUP($F204,ItemList_Full,3,0),"")</f>
        <v/>
      </c>
      <c r="J204" s="12" t="str">
        <f aca="false">IFERROR(VLOOKUP($F204,ItemList_Full,4,0),"")</f>
        <v/>
      </c>
      <c r="K204" s="13" t="n">
        <v>740</v>
      </c>
      <c r="L204" s="12"/>
      <c r="M204" s="24"/>
      <c r="N204" s="12" t="s">
        <v>229</v>
      </c>
      <c r="O204" s="12"/>
      <c r="P204" s="13" t="n">
        <f aca="false">IF($E204="","",IF(OR($E204="Director Draw",$E204="Payroll/Employee Charge"),0,-$K204))</f>
        <v>-740</v>
      </c>
      <c r="Q204" s="12" t="n">
        <f aca="false">IF($E204="Inventory Purchase",$H204,0)</f>
        <v>0</v>
      </c>
      <c r="U204" s="1" t="s">
        <v>843</v>
      </c>
      <c r="V204" s="1" t="s">
        <v>844</v>
      </c>
      <c r="W204" s="1" t="s">
        <v>267</v>
      </c>
      <c r="X204" s="1" t="n">
        <v>264.285714285714</v>
      </c>
      <c r="Y204" s="1" t="s">
        <v>129</v>
      </c>
    </row>
    <row r="205" customFormat="false" ht="15" hidden="false" customHeight="true" outlineLevel="0" collapsed="false">
      <c r="A205" s="19" t="n">
        <v>46276</v>
      </c>
      <c r="B205" s="12" t="n">
        <f aca="false">IF($A205="","",ROW()-4)</f>
        <v>201</v>
      </c>
      <c r="C205" s="12" t="s">
        <v>299</v>
      </c>
      <c r="D205" s="12" t="s">
        <v>300</v>
      </c>
      <c r="E205" s="24" t="s">
        <v>149</v>
      </c>
      <c r="F205" s="12"/>
      <c r="G205" s="12" t="str">
        <f aca="false">IFERROR(VLOOKUP($F205,ItemList_Full,2,0),"")</f>
        <v/>
      </c>
      <c r="H205" s="12"/>
      <c r="I205" s="12" t="str">
        <f aca="false">IFERROR(VLOOKUP($F205,ItemList_Full,3,0),"")</f>
        <v/>
      </c>
      <c r="J205" s="12" t="str">
        <f aca="false">IFERROR(VLOOKUP($F205,ItemList_Full,4,0),"")</f>
        <v/>
      </c>
      <c r="K205" s="13" t="n">
        <v>200</v>
      </c>
      <c r="L205" s="12"/>
      <c r="M205" s="24"/>
      <c r="N205" s="12" t="s">
        <v>229</v>
      </c>
      <c r="O205" s="12"/>
      <c r="P205" s="13" t="n">
        <f aca="false">IF($E205="","",IF(OR($E205="Director Draw",$E205="Payroll/Employee Charge"),0,-$K205))</f>
        <v>-200</v>
      </c>
      <c r="Q205" s="12" t="n">
        <f aca="false">IF($E205="Inventory Purchase",$H205,0)</f>
        <v>0</v>
      </c>
      <c r="U205" s="1" t="s">
        <v>845</v>
      </c>
      <c r="V205" s="1" t="s">
        <v>846</v>
      </c>
      <c r="W205" s="1" t="s">
        <v>267</v>
      </c>
      <c r="X205" s="1" t="n">
        <v>170</v>
      </c>
      <c r="Y205" s="1" t="s">
        <v>129</v>
      </c>
    </row>
    <row r="206" customFormat="false" ht="15" hidden="false" customHeight="true" outlineLevel="0" collapsed="false">
      <c r="A206" s="19" t="n">
        <v>46276</v>
      </c>
      <c r="B206" s="12" t="n">
        <f aca="false">IF($A206="","",ROW()-4)</f>
        <v>202</v>
      </c>
      <c r="C206" s="12" t="s">
        <v>361</v>
      </c>
      <c r="D206" s="12" t="s">
        <v>847</v>
      </c>
      <c r="E206" s="24" t="s">
        <v>149</v>
      </c>
      <c r="F206" s="12"/>
      <c r="G206" s="12" t="str">
        <f aca="false">IFERROR(VLOOKUP($F206,ItemList_Full,2,0),"")</f>
        <v/>
      </c>
      <c r="H206" s="12"/>
      <c r="I206" s="12" t="str">
        <f aca="false">IFERROR(VLOOKUP($F206,ItemList_Full,3,0),"")</f>
        <v/>
      </c>
      <c r="J206" s="12" t="str">
        <f aca="false">IFERROR(VLOOKUP($F206,ItemList_Full,4,0),"")</f>
        <v/>
      </c>
      <c r="K206" s="13" t="n">
        <v>1085</v>
      </c>
      <c r="L206" s="12"/>
      <c r="M206" s="24"/>
      <c r="N206" s="12" t="s">
        <v>229</v>
      </c>
      <c r="O206" s="12"/>
      <c r="P206" s="13" t="n">
        <f aca="false">IF($E206="","",IF(OR($E206="Director Draw",$E206="Payroll/Employee Charge"),0,-$K206))</f>
        <v>-1085</v>
      </c>
      <c r="Q206" s="12" t="n">
        <f aca="false">IF($E206="Inventory Purchase",$H206,0)</f>
        <v>0</v>
      </c>
      <c r="U206" s="1" t="s">
        <v>848</v>
      </c>
      <c r="V206" s="1" t="s">
        <v>260</v>
      </c>
      <c r="W206" s="1" t="s">
        <v>246</v>
      </c>
      <c r="X206" s="1" t="n">
        <v>109</v>
      </c>
      <c r="Y206" s="1" t="s">
        <v>129</v>
      </c>
    </row>
    <row r="207" customFormat="false" ht="15" hidden="false" customHeight="true" outlineLevel="0" collapsed="false">
      <c r="A207" s="19" t="n">
        <v>46276</v>
      </c>
      <c r="B207" s="12" t="n">
        <f aca="false">IF($A207="","",ROW()-4)</f>
        <v>203</v>
      </c>
      <c r="C207" s="12" t="s">
        <v>361</v>
      </c>
      <c r="D207" s="12" t="s">
        <v>849</v>
      </c>
      <c r="E207" s="24" t="s">
        <v>149</v>
      </c>
      <c r="F207" s="12"/>
      <c r="G207" s="12" t="str">
        <f aca="false">IFERROR(VLOOKUP($F207,ItemList_Full,2,0),"")</f>
        <v/>
      </c>
      <c r="H207" s="12"/>
      <c r="I207" s="12" t="str">
        <f aca="false">IFERROR(VLOOKUP($F207,ItemList_Full,3,0),"")</f>
        <v/>
      </c>
      <c r="J207" s="12" t="str">
        <f aca="false">IFERROR(VLOOKUP($F207,ItemList_Full,4,0),"")</f>
        <v/>
      </c>
      <c r="K207" s="13" t="n">
        <v>300</v>
      </c>
      <c r="L207" s="12"/>
      <c r="M207" s="24"/>
      <c r="N207" s="12" t="s">
        <v>229</v>
      </c>
      <c r="O207" s="12"/>
      <c r="P207" s="13" t="n">
        <f aca="false">IF($E207="","",IF(OR($E207="Director Draw",$E207="Payroll/Employee Charge"),0,-$K207))</f>
        <v>-300</v>
      </c>
      <c r="Q207" s="12" t="n">
        <f aca="false">IF($E207="Inventory Purchase",$H207,0)</f>
        <v>0</v>
      </c>
      <c r="U207" s="1" t="s">
        <v>850</v>
      </c>
      <c r="V207" s="1" t="s">
        <v>749</v>
      </c>
      <c r="W207" s="1" t="s">
        <v>267</v>
      </c>
      <c r="X207" s="1" t="n">
        <v>320</v>
      </c>
      <c r="Y207" s="1" t="s">
        <v>129</v>
      </c>
    </row>
    <row r="208" customFormat="false" ht="15" hidden="false" customHeight="true" outlineLevel="0" collapsed="false">
      <c r="A208" s="19" t="n">
        <v>46277</v>
      </c>
      <c r="B208" s="12" t="n">
        <f aca="false">IF($A208="","",ROW()-4)</f>
        <v>204</v>
      </c>
      <c r="C208" s="12" t="s">
        <v>225</v>
      </c>
      <c r="D208" s="12" t="s">
        <v>851</v>
      </c>
      <c r="E208" s="24" t="s">
        <v>227</v>
      </c>
      <c r="F208" s="12"/>
      <c r="G208" s="12" t="str">
        <f aca="false">IFERROR(VLOOKUP($F208,ItemList_Full,2,0),"")</f>
        <v/>
      </c>
      <c r="H208" s="12"/>
      <c r="I208" s="12" t="str">
        <f aca="false">IFERROR(VLOOKUP($F208,ItemList_Full,3,0),"")</f>
        <v/>
      </c>
      <c r="J208" s="12" t="str">
        <f aca="false">IFERROR(VLOOKUP($F208,ItemList_Full,4,0),"")</f>
        <v/>
      </c>
      <c r="K208" s="13" t="n">
        <v>470</v>
      </c>
      <c r="L208" s="12"/>
      <c r="M208" s="24" t="s">
        <v>228</v>
      </c>
      <c r="N208" s="12" t="s">
        <v>229</v>
      </c>
      <c r="O208" s="12"/>
      <c r="P208" s="13" t="n">
        <f aca="false">IF($E208="","",IF(OR($E208="Director Draw",$E208="Payroll/Employee Charge"),0,-$K208))</f>
        <v>0</v>
      </c>
      <c r="Q208" s="12" t="n">
        <f aca="false">IF($E208="Inventory Purchase",$H208,0)</f>
        <v>0</v>
      </c>
      <c r="U208" s="1" t="s">
        <v>852</v>
      </c>
      <c r="V208" s="1" t="s">
        <v>853</v>
      </c>
      <c r="W208" s="1" t="s">
        <v>241</v>
      </c>
      <c r="X208" s="1" t="n">
        <v>273.333333333333</v>
      </c>
      <c r="Y208" s="1" t="s">
        <v>129</v>
      </c>
    </row>
    <row r="209" customFormat="false" ht="15" hidden="false" customHeight="true" outlineLevel="0" collapsed="false">
      <c r="A209" s="19" t="n">
        <v>46277</v>
      </c>
      <c r="B209" s="12" t="n">
        <f aca="false">IF($A209="","",ROW()-4)</f>
        <v>205</v>
      </c>
      <c r="C209" s="12" t="s">
        <v>225</v>
      </c>
      <c r="D209" s="12" t="s">
        <v>431</v>
      </c>
      <c r="E209" s="24" t="s">
        <v>227</v>
      </c>
      <c r="F209" s="12"/>
      <c r="G209" s="12" t="str">
        <f aca="false">IFERROR(VLOOKUP($F209,ItemList_Full,2,0),"")</f>
        <v/>
      </c>
      <c r="H209" s="12"/>
      <c r="I209" s="12" t="str">
        <f aca="false">IFERROR(VLOOKUP($F209,ItemList_Full,3,0),"")</f>
        <v/>
      </c>
      <c r="J209" s="12" t="str">
        <f aca="false">IFERROR(VLOOKUP($F209,ItemList_Full,4,0),"")</f>
        <v/>
      </c>
      <c r="K209" s="13" t="n">
        <v>1465</v>
      </c>
      <c r="L209" s="12"/>
      <c r="M209" s="24" t="s">
        <v>228</v>
      </c>
      <c r="N209" s="12" t="s">
        <v>229</v>
      </c>
      <c r="O209" s="12"/>
      <c r="P209" s="13" t="n">
        <f aca="false">IF($E209="","",IF(OR($E209="Director Draw",$E209="Payroll/Employee Charge"),0,-$K209))</f>
        <v>0</v>
      </c>
      <c r="Q209" s="12" t="n">
        <f aca="false">IF($E209="Inventory Purchase",$H209,0)</f>
        <v>0</v>
      </c>
      <c r="U209" s="1" t="s">
        <v>854</v>
      </c>
      <c r="V209" s="1" t="s">
        <v>855</v>
      </c>
      <c r="W209" s="1" t="s">
        <v>241</v>
      </c>
      <c r="X209" s="1" t="n">
        <v>150</v>
      </c>
      <c r="Y209" s="1" t="s">
        <v>129</v>
      </c>
    </row>
    <row r="210" customFormat="false" ht="15" hidden="false" customHeight="true" outlineLevel="0" collapsed="false">
      <c r="A210" s="19" t="n">
        <v>46277</v>
      </c>
      <c r="B210" s="12" t="n">
        <f aca="false">IF($A210="","",ROW()-4)</f>
        <v>206</v>
      </c>
      <c r="C210" s="12" t="s">
        <v>225</v>
      </c>
      <c r="D210" s="12" t="s">
        <v>305</v>
      </c>
      <c r="E210" s="24" t="s">
        <v>227</v>
      </c>
      <c r="F210" s="12"/>
      <c r="G210" s="12" t="str">
        <f aca="false">IFERROR(VLOOKUP($F210,ItemList_Full,2,0),"")</f>
        <v/>
      </c>
      <c r="H210" s="12"/>
      <c r="I210" s="12" t="str">
        <f aca="false">IFERROR(VLOOKUP($F210,ItemList_Full,3,0),"")</f>
        <v/>
      </c>
      <c r="J210" s="12" t="str">
        <f aca="false">IFERROR(VLOOKUP($F210,ItemList_Full,4,0),"")</f>
        <v/>
      </c>
      <c r="K210" s="13" t="n">
        <v>3069</v>
      </c>
      <c r="L210" s="12"/>
      <c r="M210" s="24" t="s">
        <v>228</v>
      </c>
      <c r="N210" s="12" t="s">
        <v>229</v>
      </c>
      <c r="O210" s="12"/>
      <c r="P210" s="13" t="n">
        <f aca="false">IF($E210="","",IF(OR($E210="Director Draw",$E210="Payroll/Employee Charge"),0,-$K210))</f>
        <v>0</v>
      </c>
      <c r="Q210" s="12" t="n">
        <f aca="false">IF($E210="Inventory Purchase",$H210,0)</f>
        <v>0</v>
      </c>
      <c r="U210" s="1" t="s">
        <v>856</v>
      </c>
      <c r="V210" s="1" t="s">
        <v>857</v>
      </c>
      <c r="W210" s="1" t="s">
        <v>241</v>
      </c>
      <c r="X210" s="1" t="n">
        <v>110</v>
      </c>
      <c r="Y210" s="1" t="s">
        <v>129</v>
      </c>
    </row>
    <row r="211" customFormat="false" ht="15" hidden="false" customHeight="true" outlineLevel="0" collapsed="false">
      <c r="A211" s="19" t="n">
        <v>46277</v>
      </c>
      <c r="B211" s="12" t="n">
        <f aca="false">IF($A211="","",ROW()-4)</f>
        <v>207</v>
      </c>
      <c r="C211" s="12" t="s">
        <v>255</v>
      </c>
      <c r="D211" s="12" t="s">
        <v>256</v>
      </c>
      <c r="E211" s="24" t="s">
        <v>139</v>
      </c>
      <c r="F211" s="12"/>
      <c r="G211" s="12" t="str">
        <f aca="false">IFERROR(VLOOKUP($F211,ItemList_Full,2,0),"")</f>
        <v/>
      </c>
      <c r="H211" s="12"/>
      <c r="I211" s="12" t="str">
        <f aca="false">IFERROR(VLOOKUP($F211,ItemList_Full,3,0),"")</f>
        <v/>
      </c>
      <c r="J211" s="12" t="str">
        <f aca="false">IFERROR(VLOOKUP($F211,ItemList_Full,4,0),"")</f>
        <v/>
      </c>
      <c r="K211" s="13" t="n">
        <v>720</v>
      </c>
      <c r="L211" s="12"/>
      <c r="M211" s="24"/>
      <c r="N211" s="12" t="s">
        <v>229</v>
      </c>
      <c r="O211" s="12"/>
      <c r="P211" s="13" t="n">
        <f aca="false">IF($E211="","",IF(OR($E211="Director Draw",$E211="Payroll/Employee Charge"),0,-$K211))</f>
        <v>-720</v>
      </c>
      <c r="Q211" s="12" t="n">
        <f aca="false">IF($E211="Inventory Purchase",$H211,0)</f>
        <v>0</v>
      </c>
      <c r="U211" s="1" t="s">
        <v>858</v>
      </c>
      <c r="V211" s="1" t="s">
        <v>859</v>
      </c>
      <c r="W211" s="1" t="s">
        <v>241</v>
      </c>
      <c r="X211" s="1" t="n">
        <v>0</v>
      </c>
      <c r="Y211" s="1" t="s">
        <v>129</v>
      </c>
    </row>
    <row r="212" customFormat="false" ht="15" hidden="false" customHeight="true" outlineLevel="0" collapsed="false">
      <c r="A212" s="19" t="n">
        <v>46277</v>
      </c>
      <c r="B212" s="12" t="n">
        <f aca="false">IF($A212="","",ROW()-4)</f>
        <v>208</v>
      </c>
      <c r="C212" s="12" t="s">
        <v>449</v>
      </c>
      <c r="D212" s="12" t="s">
        <v>860</v>
      </c>
      <c r="E212" s="24" t="s">
        <v>127</v>
      </c>
      <c r="F212" s="12"/>
      <c r="G212" s="12" t="str">
        <f aca="false">IFERROR(VLOOKUP($F212,ItemList_Full,2,0),"")</f>
        <v/>
      </c>
      <c r="H212" s="12"/>
      <c r="I212" s="12" t="str">
        <f aca="false">IFERROR(VLOOKUP($F212,ItemList_Full,3,0),"")</f>
        <v/>
      </c>
      <c r="J212" s="12" t="str">
        <f aca="false">IFERROR(VLOOKUP($F212,ItemList_Full,4,0),"")</f>
        <v/>
      </c>
      <c r="K212" s="13" t="n">
        <v>2000</v>
      </c>
      <c r="L212" s="12"/>
      <c r="M212" s="24"/>
      <c r="N212" s="12" t="s">
        <v>229</v>
      </c>
      <c r="O212" s="12"/>
      <c r="P212" s="13" t="n">
        <f aca="false">IF($E212="","",IF(OR($E212="Director Draw",$E212="Payroll/Employee Charge"),0,-$K212))</f>
        <v>-2000</v>
      </c>
      <c r="Q212" s="12" t="n">
        <f aca="false">IF($E212="Inventory Purchase",$H212,0)</f>
        <v>0</v>
      </c>
      <c r="U212" s="1" t="s">
        <v>861</v>
      </c>
      <c r="V212" s="1" t="s">
        <v>862</v>
      </c>
      <c r="W212" s="1" t="s">
        <v>241</v>
      </c>
      <c r="X212" s="1" t="n">
        <v>0</v>
      </c>
      <c r="Y212" s="1" t="s">
        <v>129</v>
      </c>
    </row>
    <row r="213" customFormat="false" ht="15" hidden="false" customHeight="true" outlineLevel="0" collapsed="false">
      <c r="A213" s="19" t="n">
        <v>46277</v>
      </c>
      <c r="B213" s="12" t="n">
        <f aca="false">IF($A213="","",ROW()-4)</f>
        <v>209</v>
      </c>
      <c r="C213" s="12" t="s">
        <v>860</v>
      </c>
      <c r="D213" s="12" t="s">
        <v>860</v>
      </c>
      <c r="E213" s="24" t="s">
        <v>127</v>
      </c>
      <c r="F213" s="12"/>
      <c r="G213" s="12" t="str">
        <f aca="false">IFERROR(VLOOKUP($F213,ItemList_Full,2,0),"")</f>
        <v/>
      </c>
      <c r="H213" s="12"/>
      <c r="I213" s="12" t="str">
        <f aca="false">IFERROR(VLOOKUP($F213,ItemList_Full,3,0),"")</f>
        <v/>
      </c>
      <c r="J213" s="12" t="str">
        <f aca="false">IFERROR(VLOOKUP($F213,ItemList_Full,4,0),"")</f>
        <v/>
      </c>
      <c r="K213" s="13" t="n">
        <v>240</v>
      </c>
      <c r="L213" s="12"/>
      <c r="M213" s="24"/>
      <c r="N213" s="12" t="s">
        <v>229</v>
      </c>
      <c r="O213" s="12"/>
      <c r="P213" s="13" t="n">
        <f aca="false">IF($E213="","",IF(OR($E213="Director Draw",$E213="Payroll/Employee Charge"),0,-$K213))</f>
        <v>-240</v>
      </c>
      <c r="Q213" s="12" t="n">
        <f aca="false">IF($E213="Inventory Purchase",$H213,0)</f>
        <v>0</v>
      </c>
      <c r="U213" s="1" t="s">
        <v>863</v>
      </c>
      <c r="V213" s="1" t="s">
        <v>864</v>
      </c>
      <c r="W213" s="1" t="s">
        <v>241</v>
      </c>
      <c r="X213" s="1" t="n">
        <v>0</v>
      </c>
      <c r="Y213" s="1" t="s">
        <v>129</v>
      </c>
    </row>
    <row r="214" customFormat="false" ht="15" hidden="false" customHeight="true" outlineLevel="0" collapsed="false">
      <c r="A214" s="19" t="n">
        <v>46277</v>
      </c>
      <c r="B214" s="12" t="n">
        <f aca="false">IF($A214="","",ROW()-4)</f>
        <v>210</v>
      </c>
      <c r="C214" s="12" t="s">
        <v>640</v>
      </c>
      <c r="D214" s="12" t="s">
        <v>865</v>
      </c>
      <c r="E214" s="24" t="s">
        <v>133</v>
      </c>
      <c r="F214" s="12"/>
      <c r="G214" s="12" t="str">
        <f aca="false">IFERROR(VLOOKUP($F214,ItemList_Full,2,0),"")</f>
        <v/>
      </c>
      <c r="H214" s="12"/>
      <c r="I214" s="12" t="str">
        <f aca="false">IFERROR(VLOOKUP($F214,ItemList_Full,3,0),"")</f>
        <v/>
      </c>
      <c r="J214" s="12" t="str">
        <f aca="false">IFERROR(VLOOKUP($F214,ItemList_Full,4,0),"")</f>
        <v/>
      </c>
      <c r="K214" s="13" t="n">
        <v>1000</v>
      </c>
      <c r="L214" s="12"/>
      <c r="M214" s="24"/>
      <c r="N214" s="12" t="s">
        <v>229</v>
      </c>
      <c r="O214" s="12"/>
      <c r="P214" s="13" t="n">
        <f aca="false">IF($E214="","",IF(OR($E214="Director Draw",$E214="Payroll/Employee Charge"),0,-$K214))</f>
        <v>-1000</v>
      </c>
      <c r="Q214" s="12" t="n">
        <f aca="false">IF($E214="Inventory Purchase",$H214,0)</f>
        <v>0</v>
      </c>
      <c r="U214" s="1" t="s">
        <v>866</v>
      </c>
      <c r="V214" s="1" t="s">
        <v>867</v>
      </c>
      <c r="W214" s="1" t="s">
        <v>241</v>
      </c>
      <c r="X214" s="1" t="n">
        <v>0</v>
      </c>
      <c r="Y214" s="1" t="s">
        <v>129</v>
      </c>
    </row>
    <row r="215" customFormat="false" ht="15" hidden="false" customHeight="true" outlineLevel="0" collapsed="false">
      <c r="A215" s="19" t="n">
        <v>46277</v>
      </c>
      <c r="B215" s="12" t="n">
        <f aca="false">IF($A215="","",ROW()-4)</f>
        <v>211</v>
      </c>
      <c r="C215" s="12" t="s">
        <v>868</v>
      </c>
      <c r="D215" s="12" t="s">
        <v>869</v>
      </c>
      <c r="E215" s="24" t="s">
        <v>154</v>
      </c>
      <c r="F215" s="12"/>
      <c r="G215" s="12" t="str">
        <f aca="false">IFERROR(VLOOKUP($F215,ItemList_Full,2,0),"")</f>
        <v/>
      </c>
      <c r="H215" s="12"/>
      <c r="I215" s="12" t="str">
        <f aca="false">IFERROR(VLOOKUP($F215,ItemList_Full,3,0),"")</f>
        <v/>
      </c>
      <c r="J215" s="12" t="str">
        <f aca="false">IFERROR(VLOOKUP($F215,ItemList_Full,4,0),"")</f>
        <v/>
      </c>
      <c r="K215" s="13" t="n">
        <v>500</v>
      </c>
      <c r="L215" s="12"/>
      <c r="M215" s="24"/>
      <c r="N215" s="12" t="s">
        <v>229</v>
      </c>
      <c r="O215" s="12"/>
      <c r="P215" s="13" t="n">
        <f aca="false">IF($E215="","",IF(OR($E215="Director Draw",$E215="Payroll/Employee Charge"),0,-$K215))</f>
        <v>-500</v>
      </c>
      <c r="Q215" s="12" t="n">
        <f aca="false">IF($E215="Inventory Purchase",$H215,0)</f>
        <v>0</v>
      </c>
      <c r="U215" s="1" t="s">
        <v>870</v>
      </c>
      <c r="V215" s="1" t="s">
        <v>871</v>
      </c>
      <c r="W215" s="1" t="s">
        <v>241</v>
      </c>
      <c r="X215" s="1" t="n">
        <v>0</v>
      </c>
      <c r="Y215" s="1" t="s">
        <v>129</v>
      </c>
    </row>
    <row r="216" customFormat="false" ht="15" hidden="false" customHeight="true" outlineLevel="0" collapsed="false">
      <c r="A216" s="19" t="n">
        <v>46277</v>
      </c>
      <c r="B216" s="12" t="n">
        <f aca="false">IF($A216="","",ROW()-4)</f>
        <v>212</v>
      </c>
      <c r="C216" s="12" t="s">
        <v>554</v>
      </c>
      <c r="D216" s="12" t="s">
        <v>643</v>
      </c>
      <c r="E216" s="24" t="s">
        <v>143</v>
      </c>
      <c r="F216" s="12"/>
      <c r="G216" s="12" t="str">
        <f aca="false">IFERROR(VLOOKUP($F216,ItemList_Full,2,0),"")</f>
        <v/>
      </c>
      <c r="H216" s="12"/>
      <c r="I216" s="12" t="str">
        <f aca="false">IFERROR(VLOOKUP($F216,ItemList_Full,3,0),"")</f>
        <v/>
      </c>
      <c r="J216" s="12" t="str">
        <f aca="false">IFERROR(VLOOKUP($F216,ItemList_Full,4,0),"")</f>
        <v/>
      </c>
      <c r="K216" s="13" t="n">
        <v>4000</v>
      </c>
      <c r="L216" s="12"/>
      <c r="M216" s="24"/>
      <c r="N216" s="12" t="s">
        <v>229</v>
      </c>
      <c r="O216" s="12"/>
      <c r="P216" s="13" t="n">
        <f aca="false">IF($E216="","",IF(OR($E216="Director Draw",$E216="Payroll/Employee Charge"),0,-$K216))</f>
        <v>-4000</v>
      </c>
      <c r="Q216" s="12" t="n">
        <f aca="false">IF($E216="Inventory Purchase",$H216,0)</f>
        <v>0</v>
      </c>
      <c r="U216" s="1" t="s">
        <v>872</v>
      </c>
      <c r="V216" s="1" t="s">
        <v>873</v>
      </c>
      <c r="W216" s="1" t="s">
        <v>241</v>
      </c>
      <c r="X216" s="1" t="n">
        <v>0</v>
      </c>
      <c r="Y216" s="1" t="s">
        <v>129</v>
      </c>
    </row>
    <row r="217" customFormat="false" ht="15" hidden="false" customHeight="true" outlineLevel="0" collapsed="false">
      <c r="A217" s="19" t="n">
        <v>46277</v>
      </c>
      <c r="B217" s="12" t="n">
        <f aca="false">IF($A217="","",ROW()-4)</f>
        <v>213</v>
      </c>
      <c r="C217" s="12" t="s">
        <v>355</v>
      </c>
      <c r="D217" s="12" t="s">
        <v>598</v>
      </c>
      <c r="E217" s="24" t="s">
        <v>143</v>
      </c>
      <c r="F217" s="12"/>
      <c r="G217" s="12" t="str">
        <f aca="false">IFERROR(VLOOKUP($F217,ItemList_Full,2,0),"")</f>
        <v/>
      </c>
      <c r="H217" s="12"/>
      <c r="I217" s="12" t="str">
        <f aca="false">IFERROR(VLOOKUP($F217,ItemList_Full,3,0),"")</f>
        <v/>
      </c>
      <c r="J217" s="12" t="str">
        <f aca="false">IFERROR(VLOOKUP($F217,ItemList_Full,4,0),"")</f>
        <v/>
      </c>
      <c r="K217" s="13" t="n">
        <v>3390</v>
      </c>
      <c r="L217" s="12"/>
      <c r="M217" s="24"/>
      <c r="N217" s="12" t="s">
        <v>229</v>
      </c>
      <c r="O217" s="12"/>
      <c r="P217" s="13" t="n">
        <f aca="false">IF($E217="","",IF(OR($E217="Director Draw",$E217="Payroll/Employee Charge"),0,-$K217))</f>
        <v>-3390</v>
      </c>
      <c r="Q217" s="12" t="n">
        <f aca="false">IF($E217="Inventory Purchase",$H217,0)</f>
        <v>0</v>
      </c>
      <c r="U217" s="1" t="s">
        <v>874</v>
      </c>
      <c r="V217" s="1" t="s">
        <v>875</v>
      </c>
      <c r="W217" s="1" t="s">
        <v>241</v>
      </c>
      <c r="X217" s="1" t="n">
        <v>0</v>
      </c>
      <c r="Y217" s="1" t="s">
        <v>129</v>
      </c>
    </row>
    <row r="218" customFormat="false" ht="15" hidden="false" customHeight="true" outlineLevel="0" collapsed="false">
      <c r="A218" s="19" t="n">
        <v>46277</v>
      </c>
      <c r="B218" s="12" t="n">
        <f aca="false">IF($A218="","",ROW()-4)</f>
        <v>214</v>
      </c>
      <c r="C218" s="12" t="s">
        <v>876</v>
      </c>
      <c r="D218" s="12" t="s">
        <v>877</v>
      </c>
      <c r="E218" s="24" t="s">
        <v>143</v>
      </c>
      <c r="F218" s="12"/>
      <c r="G218" s="12" t="str">
        <f aca="false">IFERROR(VLOOKUP($F218,ItemList_Full,2,0),"")</f>
        <v/>
      </c>
      <c r="H218" s="12"/>
      <c r="I218" s="12" t="str">
        <f aca="false">IFERROR(VLOOKUP($F218,ItemList_Full,3,0),"")</f>
        <v/>
      </c>
      <c r="J218" s="12" t="str">
        <f aca="false">IFERROR(VLOOKUP($F218,ItemList_Full,4,0),"")</f>
        <v/>
      </c>
      <c r="K218" s="13" t="n">
        <v>2695</v>
      </c>
      <c r="L218" s="12"/>
      <c r="M218" s="24"/>
      <c r="N218" s="12" t="s">
        <v>229</v>
      </c>
      <c r="O218" s="12"/>
      <c r="P218" s="13" t="n">
        <f aca="false">IF($E218="","",IF(OR($E218="Director Draw",$E218="Payroll/Employee Charge"),0,-$K218))</f>
        <v>-2695</v>
      </c>
      <c r="Q218" s="12" t="n">
        <f aca="false">IF($E218="Inventory Purchase",$H218,0)</f>
        <v>0</v>
      </c>
      <c r="U218" s="1" t="s">
        <v>878</v>
      </c>
      <c r="V218" s="1" t="s">
        <v>879</v>
      </c>
      <c r="W218" s="1" t="s">
        <v>241</v>
      </c>
      <c r="X218" s="1" t="n">
        <v>0</v>
      </c>
      <c r="Y218" s="1" t="s">
        <v>129</v>
      </c>
    </row>
    <row r="219" customFormat="false" ht="15" hidden="false" customHeight="true" outlineLevel="0" collapsed="false">
      <c r="A219" s="19" t="n">
        <v>46277</v>
      </c>
      <c r="B219" s="12" t="n">
        <f aca="false">IF($A219="","",ROW()-4)</f>
        <v>215</v>
      </c>
      <c r="C219" s="12" t="s">
        <v>299</v>
      </c>
      <c r="D219" s="12" t="s">
        <v>300</v>
      </c>
      <c r="E219" s="24" t="s">
        <v>149</v>
      </c>
      <c r="F219" s="12"/>
      <c r="G219" s="12" t="str">
        <f aca="false">IFERROR(VLOOKUP($F219,ItemList_Full,2,0),"")</f>
        <v/>
      </c>
      <c r="H219" s="12"/>
      <c r="I219" s="12" t="str">
        <f aca="false">IFERROR(VLOOKUP($F219,ItemList_Full,3,0),"")</f>
        <v/>
      </c>
      <c r="J219" s="12" t="str">
        <f aca="false">IFERROR(VLOOKUP($F219,ItemList_Full,4,0),"")</f>
        <v/>
      </c>
      <c r="K219" s="13" t="n">
        <v>200</v>
      </c>
      <c r="L219" s="12"/>
      <c r="M219" s="24"/>
      <c r="N219" s="12" t="s">
        <v>229</v>
      </c>
      <c r="O219" s="12"/>
      <c r="P219" s="13" t="n">
        <f aca="false">IF($E219="","",IF(OR($E219="Director Draw",$E219="Payroll/Employee Charge"),0,-$K219))</f>
        <v>-200</v>
      </c>
      <c r="Q219" s="12" t="n">
        <f aca="false">IF($E219="Inventory Purchase",$H219,0)</f>
        <v>0</v>
      </c>
      <c r="U219" s="1" t="s">
        <v>880</v>
      </c>
      <c r="V219" s="1" t="s">
        <v>881</v>
      </c>
      <c r="W219" s="1" t="s">
        <v>241</v>
      </c>
      <c r="X219" s="1" t="n">
        <v>0</v>
      </c>
      <c r="Y219" s="1" t="s">
        <v>129</v>
      </c>
    </row>
    <row r="220" customFormat="false" ht="15" hidden="false" customHeight="true" outlineLevel="0" collapsed="false">
      <c r="A220" s="19" t="n">
        <v>46278</v>
      </c>
      <c r="B220" s="12" t="n">
        <f aca="false">IF($A220="","",ROW()-4)</f>
        <v>216</v>
      </c>
      <c r="C220" s="12" t="s">
        <v>242</v>
      </c>
      <c r="D220" s="12" t="s">
        <v>243</v>
      </c>
      <c r="E220" s="24" t="s">
        <v>139</v>
      </c>
      <c r="F220" s="12"/>
      <c r="G220" s="12" t="str">
        <f aca="false">IFERROR(VLOOKUP($F220,ItemList_Full,2,0),"")</f>
        <v/>
      </c>
      <c r="H220" s="12"/>
      <c r="I220" s="12" t="str">
        <f aca="false">IFERROR(VLOOKUP($F220,ItemList_Full,3,0),"")</f>
        <v/>
      </c>
      <c r="J220" s="12" t="str">
        <f aca="false">IFERROR(VLOOKUP($F220,ItemList_Full,4,0),"")</f>
        <v/>
      </c>
      <c r="K220" s="13" t="n">
        <v>34000</v>
      </c>
      <c r="L220" s="12"/>
      <c r="M220" s="24"/>
      <c r="N220" s="12" t="s">
        <v>229</v>
      </c>
      <c r="O220" s="12"/>
      <c r="P220" s="13" t="n">
        <f aca="false">IF($E220="","",IF(OR($E220="Director Draw",$E220="Payroll/Employee Charge"),0,-$K220))</f>
        <v>-34000</v>
      </c>
      <c r="Q220" s="12" t="n">
        <f aca="false">IF($E220="Inventory Purchase",$H220,0)</f>
        <v>0</v>
      </c>
      <c r="U220" s="1" t="s">
        <v>882</v>
      </c>
      <c r="V220" s="1" t="s">
        <v>883</v>
      </c>
      <c r="W220" s="1" t="s">
        <v>241</v>
      </c>
      <c r="X220" s="1" t="n">
        <v>0</v>
      </c>
      <c r="Y220" s="1" t="s">
        <v>129</v>
      </c>
    </row>
    <row r="221" customFormat="false" ht="15" hidden="false" customHeight="true" outlineLevel="0" collapsed="false">
      <c r="A221" s="19" t="n">
        <v>46278</v>
      </c>
      <c r="B221" s="12" t="n">
        <f aca="false">IF($A221="","",ROW()-4)</f>
        <v>217</v>
      </c>
      <c r="C221" s="12" t="s">
        <v>237</v>
      </c>
      <c r="D221" s="12" t="s">
        <v>238</v>
      </c>
      <c r="E221" s="24" t="s">
        <v>139</v>
      </c>
      <c r="F221" s="12"/>
      <c r="G221" s="12" t="str">
        <f aca="false">IFERROR(VLOOKUP($F221,ItemList_Full,2,0),"")</f>
        <v/>
      </c>
      <c r="H221" s="12"/>
      <c r="I221" s="12" t="str">
        <f aca="false">IFERROR(VLOOKUP($F221,ItemList_Full,3,0),"")</f>
        <v/>
      </c>
      <c r="J221" s="12" t="str">
        <f aca="false">IFERROR(VLOOKUP($F221,ItemList_Full,4,0),"")</f>
        <v/>
      </c>
      <c r="K221" s="13" t="n">
        <v>203714</v>
      </c>
      <c r="L221" s="12"/>
      <c r="M221" s="24"/>
      <c r="N221" s="12" t="s">
        <v>229</v>
      </c>
      <c r="O221" s="12"/>
      <c r="P221" s="13" t="n">
        <f aca="false">IF($E221="","",IF(OR($E221="Director Draw",$E221="Payroll/Employee Charge"),0,-$K221))</f>
        <v>-203714</v>
      </c>
      <c r="Q221" s="12" t="n">
        <f aca="false">IF($E221="Inventory Purchase",$H221,0)</f>
        <v>0</v>
      </c>
      <c r="U221" s="1" t="s">
        <v>884</v>
      </c>
      <c r="V221" s="1" t="s">
        <v>885</v>
      </c>
      <c r="W221" s="1" t="s">
        <v>886</v>
      </c>
      <c r="X221" s="1" t="n">
        <v>0</v>
      </c>
      <c r="Y221" s="1" t="s">
        <v>129</v>
      </c>
    </row>
    <row r="222" customFormat="false" ht="15" hidden="false" customHeight="true" outlineLevel="0" collapsed="false">
      <c r="A222" s="19" t="n">
        <v>46278</v>
      </c>
      <c r="B222" s="12" t="n">
        <f aca="false">IF($A222="","",ROW()-4)</f>
        <v>218</v>
      </c>
      <c r="C222" s="12" t="s">
        <v>225</v>
      </c>
      <c r="D222" s="12" t="s">
        <v>226</v>
      </c>
      <c r="E222" s="24" t="s">
        <v>227</v>
      </c>
      <c r="F222" s="12"/>
      <c r="G222" s="12" t="str">
        <f aca="false">IFERROR(VLOOKUP($F222,ItemList_Full,2,0),"")</f>
        <v/>
      </c>
      <c r="H222" s="12"/>
      <c r="I222" s="12" t="str">
        <f aca="false">IFERROR(VLOOKUP($F222,ItemList_Full,3,0),"")</f>
        <v/>
      </c>
      <c r="J222" s="12" t="str">
        <f aca="false">IFERROR(VLOOKUP($F222,ItemList_Full,4,0),"")</f>
        <v/>
      </c>
      <c r="K222" s="13" t="n">
        <v>26360</v>
      </c>
      <c r="L222" s="12"/>
      <c r="M222" s="24" t="s">
        <v>228</v>
      </c>
      <c r="N222" s="12" t="s">
        <v>229</v>
      </c>
      <c r="O222" s="12"/>
      <c r="P222" s="13" t="n">
        <f aca="false">IF($E222="","",IF(OR($E222="Director Draw",$E222="Payroll/Employee Charge"),0,-$K222))</f>
        <v>0</v>
      </c>
      <c r="Q222" s="12" t="n">
        <f aca="false">IF($E222="Inventory Purchase",$H222,0)</f>
        <v>0</v>
      </c>
      <c r="U222" s="1" t="s">
        <v>887</v>
      </c>
      <c r="V222" s="1" t="s">
        <v>888</v>
      </c>
      <c r="W222" s="1" t="s">
        <v>241</v>
      </c>
      <c r="X222" s="1" t="n">
        <v>0</v>
      </c>
      <c r="Y222" s="1" t="s">
        <v>129</v>
      </c>
    </row>
    <row r="223" customFormat="false" ht="15" hidden="false" customHeight="true" outlineLevel="0" collapsed="false">
      <c r="A223" s="19" t="n">
        <v>46278</v>
      </c>
      <c r="B223" s="12" t="n">
        <f aca="false">IF($A223="","",ROW()-4)</f>
        <v>219</v>
      </c>
      <c r="C223" s="12" t="s">
        <v>247</v>
      </c>
      <c r="D223" s="12" t="s">
        <v>248</v>
      </c>
      <c r="E223" s="24" t="s">
        <v>153</v>
      </c>
      <c r="F223" s="12"/>
      <c r="G223" s="12" t="str">
        <f aca="false">IFERROR(VLOOKUP($F223,ItemList_Full,2,0),"")</f>
        <v/>
      </c>
      <c r="H223" s="12"/>
      <c r="I223" s="12" t="str">
        <f aca="false">IFERROR(VLOOKUP($F223,ItemList_Full,3,0),"")</f>
        <v/>
      </c>
      <c r="J223" s="12" t="str">
        <f aca="false">IFERROR(VLOOKUP($F223,ItemList_Full,4,0),"")</f>
        <v/>
      </c>
      <c r="K223" s="13" t="n">
        <v>25543</v>
      </c>
      <c r="L223" s="12"/>
      <c r="M223" s="24"/>
      <c r="N223" s="12" t="s">
        <v>229</v>
      </c>
      <c r="O223" s="12"/>
      <c r="P223" s="13" t="n">
        <f aca="false">IF($E223="","",IF(OR($E223="Director Draw",$E223="Payroll/Employee Charge"),0,-$K223))</f>
        <v>-25543</v>
      </c>
      <c r="Q223" s="12" t="n">
        <f aca="false">IF($E223="Inventory Purchase",$H223,0)</f>
        <v>0</v>
      </c>
      <c r="U223" s="1" t="s">
        <v>889</v>
      </c>
      <c r="V223" s="1" t="s">
        <v>890</v>
      </c>
      <c r="W223" s="1" t="s">
        <v>246</v>
      </c>
      <c r="X223" s="1" t="n">
        <v>55</v>
      </c>
      <c r="Y223" s="1" t="s">
        <v>132</v>
      </c>
    </row>
    <row r="224" customFormat="false" ht="15" hidden="false" customHeight="true" outlineLevel="0" collapsed="false">
      <c r="A224" s="19" t="n">
        <v>46278</v>
      </c>
      <c r="B224" s="12" t="n">
        <f aca="false">IF($A224="","",ROW()-4)</f>
        <v>220</v>
      </c>
      <c r="C224" s="12" t="s">
        <v>225</v>
      </c>
      <c r="D224" s="12" t="s">
        <v>891</v>
      </c>
      <c r="E224" s="24" t="s">
        <v>227</v>
      </c>
      <c r="F224" s="12"/>
      <c r="G224" s="12" t="str">
        <f aca="false">IFERROR(VLOOKUP($F224,ItemList_Full,2,0),"")</f>
        <v/>
      </c>
      <c r="H224" s="12"/>
      <c r="I224" s="12" t="str">
        <f aca="false">IFERROR(VLOOKUP($F224,ItemList_Full,3,0),"")</f>
        <v/>
      </c>
      <c r="J224" s="12" t="str">
        <f aca="false">IFERROR(VLOOKUP($F224,ItemList_Full,4,0),"")</f>
        <v/>
      </c>
      <c r="K224" s="13" t="n">
        <v>9825</v>
      </c>
      <c r="L224" s="12"/>
      <c r="M224" s="24" t="s">
        <v>228</v>
      </c>
      <c r="N224" s="12" t="s">
        <v>229</v>
      </c>
      <c r="O224" s="12"/>
      <c r="P224" s="13" t="n">
        <f aca="false">IF($E224="","",IF(OR($E224="Director Draw",$E224="Payroll/Employee Charge"),0,-$K224))</f>
        <v>0</v>
      </c>
      <c r="Q224" s="12" t="n">
        <f aca="false">IF($E224="Inventory Purchase",$H224,0)</f>
        <v>0</v>
      </c>
      <c r="U224" s="1" t="s">
        <v>892</v>
      </c>
      <c r="V224" s="1" t="s">
        <v>893</v>
      </c>
      <c r="W224" s="1" t="s">
        <v>246</v>
      </c>
      <c r="X224" s="1" t="n">
        <v>7</v>
      </c>
      <c r="Y224" s="1" t="s">
        <v>132</v>
      </c>
    </row>
    <row r="225" customFormat="false" ht="15" hidden="false" customHeight="true" outlineLevel="0" collapsed="false">
      <c r="A225" s="19" t="n">
        <v>46278</v>
      </c>
      <c r="B225" s="12" t="n">
        <f aca="false">IF($A225="","",ROW()-4)</f>
        <v>221</v>
      </c>
      <c r="C225" s="12" t="s">
        <v>894</v>
      </c>
      <c r="D225" s="12" t="s">
        <v>894</v>
      </c>
      <c r="E225" s="24" t="s">
        <v>145</v>
      </c>
      <c r="F225" s="12"/>
      <c r="G225" s="12" t="str">
        <f aca="false">IFERROR(VLOOKUP($F225,ItemList_Full,2,0),"")</f>
        <v/>
      </c>
      <c r="H225" s="12"/>
      <c r="I225" s="12" t="str">
        <f aca="false">IFERROR(VLOOKUP($F225,ItemList_Full,3,0),"")</f>
        <v/>
      </c>
      <c r="J225" s="12" t="str">
        <f aca="false">IFERROR(VLOOKUP($F225,ItemList_Full,4,0),"")</f>
        <v/>
      </c>
      <c r="K225" s="13" t="n">
        <v>3464</v>
      </c>
      <c r="L225" s="12"/>
      <c r="M225" s="24"/>
      <c r="N225" s="12" t="s">
        <v>229</v>
      </c>
      <c r="O225" s="12"/>
      <c r="P225" s="13" t="n">
        <f aca="false">IF($E225="","",IF(OR($E225="Director Draw",$E225="Payroll/Employee Charge"),0,-$K225))</f>
        <v>-3464</v>
      </c>
      <c r="Q225" s="12" t="n">
        <f aca="false">IF($E225="Inventory Purchase",$H225,0)</f>
        <v>0</v>
      </c>
      <c r="U225" s="1" t="s">
        <v>895</v>
      </c>
      <c r="V225" s="1" t="s">
        <v>896</v>
      </c>
      <c r="W225" s="1" t="s">
        <v>246</v>
      </c>
      <c r="X225" s="1" t="n">
        <v>41</v>
      </c>
      <c r="Y225" s="1" t="s">
        <v>132</v>
      </c>
    </row>
    <row r="226" customFormat="false" ht="15" hidden="false" customHeight="true" outlineLevel="0" collapsed="false">
      <c r="A226" s="19" t="n">
        <v>46279</v>
      </c>
      <c r="B226" s="12" t="n">
        <f aca="false">IF($A226="","",ROW()-4)</f>
        <v>222</v>
      </c>
      <c r="C226" s="12" t="s">
        <v>225</v>
      </c>
      <c r="D226" s="12" t="s">
        <v>431</v>
      </c>
      <c r="E226" s="24" t="s">
        <v>227</v>
      </c>
      <c r="F226" s="12"/>
      <c r="G226" s="12" t="str">
        <f aca="false">IFERROR(VLOOKUP($F226,ItemList_Full,2,0),"")</f>
        <v/>
      </c>
      <c r="H226" s="12"/>
      <c r="I226" s="12" t="str">
        <f aca="false">IFERROR(VLOOKUP($F226,ItemList_Full,3,0),"")</f>
        <v/>
      </c>
      <c r="J226" s="12" t="str">
        <f aca="false">IFERROR(VLOOKUP($F226,ItemList_Full,4,0),"")</f>
        <v/>
      </c>
      <c r="K226" s="13" t="n">
        <v>580</v>
      </c>
      <c r="L226" s="12"/>
      <c r="M226" s="24" t="s">
        <v>228</v>
      </c>
      <c r="N226" s="12" t="s">
        <v>229</v>
      </c>
      <c r="O226" s="12"/>
      <c r="P226" s="13" t="n">
        <f aca="false">IF($E226="","",IF(OR($E226="Director Draw",$E226="Payroll/Employee Charge"),0,-$K226))</f>
        <v>0</v>
      </c>
      <c r="Q226" s="12" t="n">
        <f aca="false">IF($E226="Inventory Purchase",$H226,0)</f>
        <v>0</v>
      </c>
      <c r="U226" s="1" t="s">
        <v>897</v>
      </c>
      <c r="V226" s="1" t="s">
        <v>898</v>
      </c>
      <c r="W226" s="1" t="s">
        <v>246</v>
      </c>
      <c r="X226" s="1" t="n">
        <v>6</v>
      </c>
      <c r="Y226" s="1" t="s">
        <v>132</v>
      </c>
    </row>
    <row r="227" customFormat="false" ht="15" hidden="false" customHeight="true" outlineLevel="0" collapsed="false">
      <c r="A227" s="19" t="n">
        <v>46279</v>
      </c>
      <c r="B227" s="12" t="n">
        <f aca="false">IF($A227="","",ROW()-4)</f>
        <v>223</v>
      </c>
      <c r="C227" s="12" t="s">
        <v>225</v>
      </c>
      <c r="D227" s="12" t="s">
        <v>226</v>
      </c>
      <c r="E227" s="24" t="s">
        <v>227</v>
      </c>
      <c r="F227" s="12"/>
      <c r="G227" s="12" t="str">
        <f aca="false">IFERROR(VLOOKUP($F227,ItemList_Full,2,0),"")</f>
        <v/>
      </c>
      <c r="H227" s="12"/>
      <c r="I227" s="12" t="str">
        <f aca="false">IFERROR(VLOOKUP($F227,ItemList_Full,3,0),"")</f>
        <v/>
      </c>
      <c r="J227" s="12" t="str">
        <f aca="false">IFERROR(VLOOKUP($F227,ItemList_Full,4,0),"")</f>
        <v/>
      </c>
      <c r="K227" s="13" t="n">
        <v>55275</v>
      </c>
      <c r="L227" s="12"/>
      <c r="M227" s="24" t="s">
        <v>228</v>
      </c>
      <c r="N227" s="12" t="s">
        <v>229</v>
      </c>
      <c r="O227" s="12"/>
      <c r="P227" s="13" t="n">
        <f aca="false">IF($E227="","",IF(OR($E227="Director Draw",$E227="Payroll/Employee Charge"),0,-$K227))</f>
        <v>0</v>
      </c>
      <c r="Q227" s="12" t="n">
        <f aca="false">IF($E227="Inventory Purchase",$H227,0)</f>
        <v>0</v>
      </c>
      <c r="U227" s="1" t="s">
        <v>899</v>
      </c>
      <c r="V227" s="1" t="s">
        <v>900</v>
      </c>
      <c r="W227" s="1" t="s">
        <v>246</v>
      </c>
      <c r="X227" s="1" t="n">
        <v>26</v>
      </c>
      <c r="Y227" s="1" t="s">
        <v>132</v>
      </c>
    </row>
    <row r="228" customFormat="false" ht="15" hidden="false" customHeight="true" outlineLevel="0" collapsed="false">
      <c r="A228" s="19" t="n">
        <v>46279</v>
      </c>
      <c r="B228" s="12" t="n">
        <f aca="false">IF($A228="","",ROW()-4)</f>
        <v>224</v>
      </c>
      <c r="C228" s="12" t="s">
        <v>225</v>
      </c>
      <c r="D228" s="12" t="s">
        <v>901</v>
      </c>
      <c r="E228" s="24" t="s">
        <v>227</v>
      </c>
      <c r="F228" s="12"/>
      <c r="G228" s="12" t="str">
        <f aca="false">IFERROR(VLOOKUP($F228,ItemList_Full,2,0),"")</f>
        <v/>
      </c>
      <c r="H228" s="12"/>
      <c r="I228" s="12" t="str">
        <f aca="false">IFERROR(VLOOKUP($F228,ItemList_Full,3,0),"")</f>
        <v/>
      </c>
      <c r="J228" s="12" t="str">
        <f aca="false">IFERROR(VLOOKUP($F228,ItemList_Full,4,0),"")</f>
        <v/>
      </c>
      <c r="K228" s="13" t="n">
        <v>7000</v>
      </c>
      <c r="L228" s="12"/>
      <c r="M228" s="24" t="s">
        <v>228</v>
      </c>
      <c r="N228" s="12" t="s">
        <v>229</v>
      </c>
      <c r="O228" s="12"/>
      <c r="P228" s="13" t="n">
        <f aca="false">IF($E228="","",IF(OR($E228="Director Draw",$E228="Payroll/Employee Charge"),0,-$K228))</f>
        <v>0</v>
      </c>
      <c r="Q228" s="12" t="n">
        <f aca="false">IF($E228="Inventory Purchase",$H228,0)</f>
        <v>0</v>
      </c>
      <c r="U228" s="1" t="s">
        <v>902</v>
      </c>
      <c r="V228" s="1" t="s">
        <v>903</v>
      </c>
      <c r="W228" s="1" t="s">
        <v>246</v>
      </c>
      <c r="X228" s="1" t="n">
        <v>17</v>
      </c>
      <c r="Y228" s="1" t="s">
        <v>132</v>
      </c>
    </row>
    <row r="229" customFormat="false" ht="15" hidden="false" customHeight="true" outlineLevel="0" collapsed="false">
      <c r="A229" s="19" t="n">
        <v>46279</v>
      </c>
      <c r="B229" s="12" t="n">
        <f aca="false">IF($A229="","",ROW()-4)</f>
        <v>225</v>
      </c>
      <c r="C229" s="12" t="s">
        <v>225</v>
      </c>
      <c r="D229" s="12" t="s">
        <v>904</v>
      </c>
      <c r="E229" s="24" t="s">
        <v>227</v>
      </c>
      <c r="F229" s="12"/>
      <c r="G229" s="12" t="str">
        <f aca="false">IFERROR(VLOOKUP($F229,ItemList_Full,2,0),"")</f>
        <v/>
      </c>
      <c r="H229" s="12"/>
      <c r="I229" s="12" t="str">
        <f aca="false">IFERROR(VLOOKUP($F229,ItemList_Full,3,0),"")</f>
        <v/>
      </c>
      <c r="J229" s="12" t="str">
        <f aca="false">IFERROR(VLOOKUP($F229,ItemList_Full,4,0),"")</f>
        <v/>
      </c>
      <c r="K229" s="13" t="n">
        <v>6800</v>
      </c>
      <c r="L229" s="12"/>
      <c r="M229" s="24" t="s">
        <v>228</v>
      </c>
      <c r="N229" s="12" t="s">
        <v>229</v>
      </c>
      <c r="O229" s="12"/>
      <c r="P229" s="13" t="n">
        <f aca="false">IF($E229="","",IF(OR($E229="Director Draw",$E229="Payroll/Employee Charge"),0,-$K229))</f>
        <v>0</v>
      </c>
      <c r="Q229" s="12" t="n">
        <f aca="false">IF($E229="Inventory Purchase",$H229,0)</f>
        <v>0</v>
      </c>
      <c r="U229" s="1" t="s">
        <v>905</v>
      </c>
      <c r="V229" s="1" t="s">
        <v>906</v>
      </c>
      <c r="W229" s="1" t="s">
        <v>246</v>
      </c>
      <c r="X229" s="1" t="n">
        <v>25</v>
      </c>
      <c r="Y229" s="1" t="s">
        <v>132</v>
      </c>
    </row>
    <row r="230" customFormat="false" ht="15" hidden="false" customHeight="true" outlineLevel="0" collapsed="false">
      <c r="A230" s="19" t="n">
        <v>46279</v>
      </c>
      <c r="B230" s="12" t="n">
        <f aca="false">IF($A230="","",ROW()-4)</f>
        <v>226</v>
      </c>
      <c r="C230" s="12" t="s">
        <v>225</v>
      </c>
      <c r="D230" s="12" t="s">
        <v>907</v>
      </c>
      <c r="E230" s="24" t="s">
        <v>227</v>
      </c>
      <c r="F230" s="12"/>
      <c r="G230" s="12" t="str">
        <f aca="false">IFERROR(VLOOKUP($F230,ItemList_Full,2,0),"")</f>
        <v/>
      </c>
      <c r="H230" s="12"/>
      <c r="I230" s="12" t="str">
        <f aca="false">IFERROR(VLOOKUP($F230,ItemList_Full,3,0),"")</f>
        <v/>
      </c>
      <c r="J230" s="12" t="str">
        <f aca="false">IFERROR(VLOOKUP($F230,ItemList_Full,4,0),"")</f>
        <v/>
      </c>
      <c r="K230" s="13" t="n">
        <v>120</v>
      </c>
      <c r="L230" s="12"/>
      <c r="M230" s="24" t="s">
        <v>378</v>
      </c>
      <c r="N230" s="12" t="s">
        <v>229</v>
      </c>
      <c r="O230" s="12"/>
      <c r="P230" s="13" t="n">
        <f aca="false">IF($E230="","",IF(OR($E230="Director Draw",$E230="Payroll/Employee Charge"),0,-$K230))</f>
        <v>0</v>
      </c>
      <c r="Q230" s="12" t="n">
        <f aca="false">IF($E230="Inventory Purchase",$H230,0)</f>
        <v>0</v>
      </c>
      <c r="U230" s="1" t="s">
        <v>908</v>
      </c>
      <c r="V230" s="1" t="s">
        <v>909</v>
      </c>
      <c r="W230" s="1" t="s">
        <v>246</v>
      </c>
      <c r="X230" s="1" t="n">
        <v>0</v>
      </c>
      <c r="Y230" s="1" t="s">
        <v>132</v>
      </c>
    </row>
    <row r="231" customFormat="false" ht="15" hidden="false" customHeight="true" outlineLevel="0" collapsed="false">
      <c r="A231" s="19" t="n">
        <v>46279</v>
      </c>
      <c r="B231" s="12" t="n">
        <f aca="false">IF($A231="","",ROW()-4)</f>
        <v>227</v>
      </c>
      <c r="C231" s="12" t="s">
        <v>225</v>
      </c>
      <c r="D231" s="12" t="s">
        <v>910</v>
      </c>
      <c r="E231" s="24" t="s">
        <v>227</v>
      </c>
      <c r="F231" s="12"/>
      <c r="G231" s="12" t="str">
        <f aca="false">IFERROR(VLOOKUP($F231,ItemList_Full,2,0),"")</f>
        <v/>
      </c>
      <c r="H231" s="12"/>
      <c r="I231" s="12" t="str">
        <f aca="false">IFERROR(VLOOKUP($F231,ItemList_Full,3,0),"")</f>
        <v/>
      </c>
      <c r="J231" s="12" t="str">
        <f aca="false">IFERROR(VLOOKUP($F231,ItemList_Full,4,0),"")</f>
        <v/>
      </c>
      <c r="K231" s="13" t="n">
        <v>10400</v>
      </c>
      <c r="L231" s="12"/>
      <c r="M231" s="24" t="s">
        <v>378</v>
      </c>
      <c r="N231" s="12" t="s">
        <v>229</v>
      </c>
      <c r="O231" s="12"/>
      <c r="P231" s="13" t="n">
        <f aca="false">IF($E231="","",IF(OR($E231="Director Draw",$E231="Payroll/Employee Charge"),0,-$K231))</f>
        <v>0</v>
      </c>
      <c r="Q231" s="12" t="n">
        <f aca="false">IF($E231="Inventory Purchase",$H231,0)</f>
        <v>0</v>
      </c>
      <c r="U231" s="1" t="s">
        <v>911</v>
      </c>
      <c r="V231" s="1" t="s">
        <v>912</v>
      </c>
      <c r="W231" s="1" t="s">
        <v>246</v>
      </c>
      <c r="X231" s="1" t="n">
        <v>24.5</v>
      </c>
      <c r="Y231" s="1" t="s">
        <v>132</v>
      </c>
    </row>
    <row r="232" customFormat="false" ht="15" hidden="false" customHeight="true" outlineLevel="0" collapsed="false">
      <c r="A232" s="19" t="n">
        <v>46279</v>
      </c>
      <c r="B232" s="12" t="n">
        <f aca="false">IF($A232="","",ROW()-4)</f>
        <v>228</v>
      </c>
      <c r="C232" s="12" t="s">
        <v>225</v>
      </c>
      <c r="D232" s="12" t="s">
        <v>671</v>
      </c>
      <c r="E232" s="24" t="s">
        <v>227</v>
      </c>
      <c r="F232" s="12"/>
      <c r="G232" s="12" t="str">
        <f aca="false">IFERROR(VLOOKUP($F232,ItemList_Full,2,0),"")</f>
        <v/>
      </c>
      <c r="H232" s="12"/>
      <c r="I232" s="12" t="str">
        <f aca="false">IFERROR(VLOOKUP($F232,ItemList_Full,3,0),"")</f>
        <v/>
      </c>
      <c r="J232" s="12" t="str">
        <f aca="false">IFERROR(VLOOKUP($F232,ItemList_Full,4,0),"")</f>
        <v/>
      </c>
      <c r="K232" s="13" t="n">
        <v>6635</v>
      </c>
      <c r="L232" s="12"/>
      <c r="M232" s="24" t="s">
        <v>234</v>
      </c>
      <c r="N232" s="12" t="s">
        <v>229</v>
      </c>
      <c r="O232" s="12"/>
      <c r="P232" s="13" t="n">
        <f aca="false">IF($E232="","",IF(OR($E232="Director Draw",$E232="Payroll/Employee Charge"),0,-$K232))</f>
        <v>0</v>
      </c>
      <c r="Q232" s="12" t="n">
        <f aca="false">IF($E232="Inventory Purchase",$H232,0)</f>
        <v>0</v>
      </c>
      <c r="U232" s="1" t="s">
        <v>913</v>
      </c>
      <c r="V232" s="1" t="s">
        <v>914</v>
      </c>
      <c r="W232" s="1" t="s">
        <v>267</v>
      </c>
      <c r="X232" s="1" t="n">
        <v>333</v>
      </c>
      <c r="Y232" s="1" t="s">
        <v>132</v>
      </c>
    </row>
    <row r="233" customFormat="false" ht="15" hidden="false" customHeight="true" outlineLevel="0" collapsed="false">
      <c r="A233" s="19" t="n">
        <v>46279</v>
      </c>
      <c r="B233" s="12" t="n">
        <f aca="false">IF($A233="","",ROW()-4)</f>
        <v>229</v>
      </c>
      <c r="C233" s="12" t="s">
        <v>247</v>
      </c>
      <c r="D233" s="12" t="s">
        <v>248</v>
      </c>
      <c r="E233" s="24" t="s">
        <v>153</v>
      </c>
      <c r="F233" s="12"/>
      <c r="G233" s="12" t="str">
        <f aca="false">IFERROR(VLOOKUP($F233,ItemList_Full,2,0),"")</f>
        <v/>
      </c>
      <c r="H233" s="12"/>
      <c r="I233" s="12" t="str">
        <f aca="false">IFERROR(VLOOKUP($F233,ItemList_Full,3,0),"")</f>
        <v/>
      </c>
      <c r="J233" s="12" t="str">
        <f aca="false">IFERROR(VLOOKUP($F233,ItemList_Full,4,0),"")</f>
        <v/>
      </c>
      <c r="K233" s="13" t="n">
        <v>8372</v>
      </c>
      <c r="L233" s="12"/>
      <c r="M233" s="24"/>
      <c r="N233" s="12" t="s">
        <v>229</v>
      </c>
      <c r="O233" s="12"/>
      <c r="P233" s="13" t="n">
        <f aca="false">IF($E233="","",IF(OR($E233="Director Draw",$E233="Payroll/Employee Charge"),0,-$K233))</f>
        <v>-8372</v>
      </c>
      <c r="Q233" s="12" t="n">
        <f aca="false">IF($E233="Inventory Purchase",$H233,0)</f>
        <v>0</v>
      </c>
      <c r="U233" s="1" t="s">
        <v>915</v>
      </c>
      <c r="V233" s="1" t="s">
        <v>916</v>
      </c>
      <c r="W233" s="1" t="s">
        <v>752</v>
      </c>
      <c r="X233" s="1" t="n">
        <v>115</v>
      </c>
      <c r="Y233" s="1" t="s">
        <v>132</v>
      </c>
    </row>
    <row r="234" customFormat="false" ht="15" hidden="false" customHeight="true" outlineLevel="0" collapsed="false">
      <c r="A234" s="19" t="n">
        <v>46279</v>
      </c>
      <c r="B234" s="12" t="n">
        <f aca="false">IF($A234="","",ROW()-4)</f>
        <v>230</v>
      </c>
      <c r="C234" s="12" t="s">
        <v>449</v>
      </c>
      <c r="D234" s="12" t="s">
        <v>557</v>
      </c>
      <c r="E234" s="24" t="s">
        <v>139</v>
      </c>
      <c r="F234" s="12"/>
      <c r="G234" s="12" t="str">
        <f aca="false">IFERROR(VLOOKUP($F234,ItemList_Full,2,0),"")</f>
        <v/>
      </c>
      <c r="H234" s="12"/>
      <c r="I234" s="12" t="str">
        <f aca="false">IFERROR(VLOOKUP($F234,ItemList_Full,3,0),"")</f>
        <v/>
      </c>
      <c r="J234" s="12" t="str">
        <f aca="false">IFERROR(VLOOKUP($F234,ItemList_Full,4,0),"")</f>
        <v/>
      </c>
      <c r="K234" s="13" t="n">
        <v>800</v>
      </c>
      <c r="L234" s="12"/>
      <c r="M234" s="24"/>
      <c r="N234" s="12" t="s">
        <v>229</v>
      </c>
      <c r="O234" s="12"/>
      <c r="P234" s="13" t="n">
        <f aca="false">IF($E234="","",IF(OR($E234="Director Draw",$E234="Payroll/Employee Charge"),0,-$K234))</f>
        <v>-800</v>
      </c>
      <c r="Q234" s="12" t="n">
        <f aca="false">IF($E234="Inventory Purchase",$H234,0)</f>
        <v>0</v>
      </c>
      <c r="U234" s="1" t="s">
        <v>917</v>
      </c>
      <c r="V234" s="1" t="s">
        <v>918</v>
      </c>
      <c r="W234" s="1" t="s">
        <v>267</v>
      </c>
      <c r="X234" s="1" t="n">
        <v>275</v>
      </c>
      <c r="Y234" s="1" t="s">
        <v>132</v>
      </c>
    </row>
    <row r="235" customFormat="false" ht="15" hidden="false" customHeight="true" outlineLevel="0" collapsed="false">
      <c r="A235" s="19" t="n">
        <v>46279</v>
      </c>
      <c r="B235" s="12" t="n">
        <f aca="false">IF($A235="","",ROW()-4)</f>
        <v>231</v>
      </c>
      <c r="C235" s="12" t="s">
        <v>255</v>
      </c>
      <c r="D235" s="12" t="s">
        <v>256</v>
      </c>
      <c r="E235" s="24" t="s">
        <v>139</v>
      </c>
      <c r="F235" s="12"/>
      <c r="G235" s="12" t="str">
        <f aca="false">IFERROR(VLOOKUP($F235,ItemList_Full,2,0),"")</f>
        <v/>
      </c>
      <c r="H235" s="12"/>
      <c r="I235" s="12" t="str">
        <f aca="false">IFERROR(VLOOKUP($F235,ItemList_Full,3,0),"")</f>
        <v/>
      </c>
      <c r="J235" s="12" t="str">
        <f aca="false">IFERROR(VLOOKUP($F235,ItemList_Full,4,0),"")</f>
        <v/>
      </c>
      <c r="K235" s="13" t="n">
        <v>1800</v>
      </c>
      <c r="L235" s="12"/>
      <c r="M235" s="24"/>
      <c r="N235" s="12" t="s">
        <v>229</v>
      </c>
      <c r="O235" s="12"/>
      <c r="P235" s="13" t="n">
        <f aca="false">IF($E235="","",IF(OR($E235="Director Draw",$E235="Payroll/Employee Charge"),0,-$K235))</f>
        <v>-1800</v>
      </c>
      <c r="Q235" s="12" t="n">
        <f aca="false">IF($E235="Inventory Purchase",$H235,0)</f>
        <v>0</v>
      </c>
      <c r="U235" s="1" t="s">
        <v>919</v>
      </c>
      <c r="V235" s="1" t="s">
        <v>920</v>
      </c>
      <c r="W235" s="1" t="s">
        <v>267</v>
      </c>
      <c r="X235" s="1" t="n">
        <v>75</v>
      </c>
      <c r="Y235" s="1" t="s">
        <v>132</v>
      </c>
    </row>
    <row r="236" customFormat="false" ht="15" hidden="false" customHeight="true" outlineLevel="0" collapsed="false">
      <c r="A236" s="19" t="n">
        <v>46279</v>
      </c>
      <c r="B236" s="12" t="n">
        <f aca="false">IF($A236="","",ROW()-4)</f>
        <v>232</v>
      </c>
      <c r="C236" s="12" t="s">
        <v>255</v>
      </c>
      <c r="D236" s="12" t="s">
        <v>494</v>
      </c>
      <c r="E236" s="24" t="s">
        <v>139</v>
      </c>
      <c r="F236" s="12"/>
      <c r="G236" s="12" t="str">
        <f aca="false">IFERROR(VLOOKUP($F236,ItemList_Full,2,0),"")</f>
        <v/>
      </c>
      <c r="H236" s="12"/>
      <c r="I236" s="12" t="str">
        <f aca="false">IFERROR(VLOOKUP($F236,ItemList_Full,3,0),"")</f>
        <v/>
      </c>
      <c r="J236" s="12" t="str">
        <f aca="false">IFERROR(VLOOKUP($F236,ItemList_Full,4,0),"")</f>
        <v/>
      </c>
      <c r="K236" s="13" t="n">
        <v>250</v>
      </c>
      <c r="L236" s="12"/>
      <c r="M236" s="24"/>
      <c r="N236" s="12" t="s">
        <v>229</v>
      </c>
      <c r="O236" s="12"/>
      <c r="P236" s="13" t="n">
        <f aca="false">IF($E236="","",IF(OR($E236="Director Draw",$E236="Payroll/Employee Charge"),0,-$K236))</f>
        <v>-250</v>
      </c>
      <c r="Q236" s="12" t="n">
        <f aca="false">IF($E236="Inventory Purchase",$H236,0)</f>
        <v>0</v>
      </c>
      <c r="U236" s="1" t="s">
        <v>921</v>
      </c>
      <c r="V236" s="1" t="s">
        <v>922</v>
      </c>
      <c r="W236" s="1" t="s">
        <v>267</v>
      </c>
      <c r="X236" s="1" t="n">
        <v>150</v>
      </c>
      <c r="Y236" s="1" t="s">
        <v>132</v>
      </c>
    </row>
    <row r="237" customFormat="false" ht="15" hidden="false" customHeight="true" outlineLevel="0" collapsed="false">
      <c r="A237" s="19" t="n">
        <v>46279</v>
      </c>
      <c r="B237" s="12" t="n">
        <f aca="false">IF($A237="","",ROW()-4)</f>
        <v>233</v>
      </c>
      <c r="C237" s="12" t="s">
        <v>675</v>
      </c>
      <c r="D237" s="12" t="s">
        <v>675</v>
      </c>
      <c r="E237" s="24" t="s">
        <v>139</v>
      </c>
      <c r="F237" s="12"/>
      <c r="G237" s="12" t="str">
        <f aca="false">IFERROR(VLOOKUP($F237,ItemList_Full,2,0),"")</f>
        <v/>
      </c>
      <c r="H237" s="12"/>
      <c r="I237" s="12" t="str">
        <f aca="false">IFERROR(VLOOKUP($F237,ItemList_Full,3,0),"")</f>
        <v/>
      </c>
      <c r="J237" s="12" t="str">
        <f aca="false">IFERROR(VLOOKUP($F237,ItemList_Full,4,0),"")</f>
        <v/>
      </c>
      <c r="K237" s="13" t="n">
        <v>1810</v>
      </c>
      <c r="L237" s="12"/>
      <c r="M237" s="24"/>
      <c r="N237" s="12" t="s">
        <v>229</v>
      </c>
      <c r="O237" s="12"/>
      <c r="P237" s="13" t="n">
        <f aca="false">IF($E237="","",IF(OR($E237="Director Draw",$E237="Payroll/Employee Charge"),0,-$K237))</f>
        <v>-1810</v>
      </c>
      <c r="Q237" s="12" t="n">
        <f aca="false">IF($E237="Inventory Purchase",$H237,0)</f>
        <v>0</v>
      </c>
      <c r="U237" s="1" t="s">
        <v>923</v>
      </c>
      <c r="V237" s="1" t="s">
        <v>924</v>
      </c>
      <c r="W237" s="1" t="s">
        <v>267</v>
      </c>
      <c r="X237" s="1" t="n">
        <v>115</v>
      </c>
      <c r="Y237" s="1" t="s">
        <v>132</v>
      </c>
    </row>
    <row r="238" customFormat="false" ht="15" hidden="false" customHeight="true" outlineLevel="0" collapsed="false">
      <c r="A238" s="19" t="n">
        <v>46279</v>
      </c>
      <c r="B238" s="12" t="n">
        <f aca="false">IF($A238="","",ROW()-4)</f>
        <v>234</v>
      </c>
      <c r="C238" s="12" t="s">
        <v>449</v>
      </c>
      <c r="D238" s="12" t="s">
        <v>846</v>
      </c>
      <c r="E238" s="24" t="s">
        <v>139</v>
      </c>
      <c r="F238" s="12"/>
      <c r="G238" s="12" t="str">
        <f aca="false">IFERROR(VLOOKUP($F238,ItemList_Full,2,0),"")</f>
        <v/>
      </c>
      <c r="H238" s="12"/>
      <c r="I238" s="12" t="str">
        <f aca="false">IFERROR(VLOOKUP($F238,ItemList_Full,3,0),"")</f>
        <v/>
      </c>
      <c r="J238" s="12" t="str">
        <f aca="false">IFERROR(VLOOKUP($F238,ItemList_Full,4,0),"")</f>
        <v/>
      </c>
      <c r="K238" s="13" t="n">
        <v>6120</v>
      </c>
      <c r="L238" s="12"/>
      <c r="M238" s="24"/>
      <c r="N238" s="12" t="s">
        <v>229</v>
      </c>
      <c r="O238" s="12"/>
      <c r="P238" s="13" t="n">
        <f aca="false">IF($E238="","",IF(OR($E238="Director Draw",$E238="Payroll/Employee Charge"),0,-$K238))</f>
        <v>-6120</v>
      </c>
      <c r="Q238" s="12" t="n">
        <f aca="false">IF($E238="Inventory Purchase",$H238,0)</f>
        <v>0</v>
      </c>
      <c r="U238" s="1" t="s">
        <v>925</v>
      </c>
      <c r="V238" s="1" t="s">
        <v>926</v>
      </c>
      <c r="W238" s="1" t="s">
        <v>246</v>
      </c>
      <c r="X238" s="1" t="n">
        <v>15.06</v>
      </c>
      <c r="Y238" s="1" t="s">
        <v>132</v>
      </c>
    </row>
    <row r="239" customFormat="false" ht="15" hidden="false" customHeight="true" outlineLevel="0" collapsed="false">
      <c r="A239" s="19" t="n">
        <v>46279</v>
      </c>
      <c r="B239" s="12" t="n">
        <f aca="false">IF($A239="","",ROW()-4)</f>
        <v>235</v>
      </c>
      <c r="C239" s="12" t="s">
        <v>445</v>
      </c>
      <c r="D239" s="12" t="s">
        <v>566</v>
      </c>
      <c r="E239" s="24" t="s">
        <v>139</v>
      </c>
      <c r="F239" s="12"/>
      <c r="G239" s="12" t="str">
        <f aca="false">IFERROR(VLOOKUP($F239,ItemList_Full,2,0),"")</f>
        <v/>
      </c>
      <c r="H239" s="12"/>
      <c r="I239" s="12" t="str">
        <f aca="false">IFERROR(VLOOKUP($F239,ItemList_Full,3,0),"")</f>
        <v/>
      </c>
      <c r="J239" s="12" t="str">
        <f aca="false">IFERROR(VLOOKUP($F239,ItemList_Full,4,0),"")</f>
        <v/>
      </c>
      <c r="K239" s="13" t="n">
        <v>1350</v>
      </c>
      <c r="L239" s="12"/>
      <c r="M239" s="24"/>
      <c r="N239" s="12" t="s">
        <v>229</v>
      </c>
      <c r="O239" s="12"/>
      <c r="P239" s="13" t="n">
        <f aca="false">IF($E239="","",IF(OR($E239="Director Draw",$E239="Payroll/Employee Charge"),0,-$K239))</f>
        <v>-1350</v>
      </c>
      <c r="Q239" s="12" t="n">
        <f aca="false">IF($E239="Inventory Purchase",$H239,0)</f>
        <v>0</v>
      </c>
      <c r="U239" s="1" t="s">
        <v>927</v>
      </c>
      <c r="V239" s="1" t="s">
        <v>928</v>
      </c>
      <c r="W239" s="1" t="s">
        <v>267</v>
      </c>
      <c r="X239" s="1" t="n">
        <v>45</v>
      </c>
      <c r="Y239" s="1" t="s">
        <v>132</v>
      </c>
    </row>
    <row r="240" customFormat="false" ht="15" hidden="false" customHeight="true" outlineLevel="0" collapsed="false">
      <c r="A240" s="19" t="n">
        <v>46279</v>
      </c>
      <c r="B240" s="12" t="n">
        <f aca="false">IF($A240="","",ROW()-4)</f>
        <v>236</v>
      </c>
      <c r="C240" s="12" t="s">
        <v>445</v>
      </c>
      <c r="D240" s="12" t="s">
        <v>570</v>
      </c>
      <c r="E240" s="24" t="s">
        <v>139</v>
      </c>
      <c r="F240" s="12"/>
      <c r="G240" s="12" t="str">
        <f aca="false">IFERROR(VLOOKUP($F240,ItemList_Full,2,0),"")</f>
        <v/>
      </c>
      <c r="H240" s="12"/>
      <c r="I240" s="12" t="str">
        <f aca="false">IFERROR(VLOOKUP($F240,ItemList_Full,3,0),"")</f>
        <v/>
      </c>
      <c r="J240" s="12" t="str">
        <f aca="false">IFERROR(VLOOKUP($F240,ItemList_Full,4,0),"")</f>
        <v/>
      </c>
      <c r="K240" s="13" t="n">
        <v>2320</v>
      </c>
      <c r="L240" s="12"/>
      <c r="M240" s="24"/>
      <c r="N240" s="12" t="s">
        <v>229</v>
      </c>
      <c r="O240" s="12"/>
      <c r="P240" s="13" t="n">
        <f aca="false">IF($E240="","",IF(OR($E240="Director Draw",$E240="Payroll/Employee Charge"),0,-$K240))</f>
        <v>-2320</v>
      </c>
      <c r="Q240" s="12" t="n">
        <f aca="false">IF($E240="Inventory Purchase",$H240,0)</f>
        <v>0</v>
      </c>
      <c r="U240" s="1" t="s">
        <v>929</v>
      </c>
      <c r="V240" s="1" t="s">
        <v>930</v>
      </c>
      <c r="W240" s="1" t="s">
        <v>267</v>
      </c>
      <c r="X240" s="1" t="n">
        <v>110</v>
      </c>
      <c r="Y240" s="1" t="s">
        <v>132</v>
      </c>
    </row>
    <row r="241" customFormat="false" ht="15" hidden="false" customHeight="true" outlineLevel="0" collapsed="false">
      <c r="A241" s="19" t="n">
        <v>46279</v>
      </c>
      <c r="B241" s="12" t="n">
        <f aca="false">IF($A241="","",ROW()-4)</f>
        <v>237</v>
      </c>
      <c r="C241" s="12" t="s">
        <v>237</v>
      </c>
      <c r="D241" s="12" t="s">
        <v>238</v>
      </c>
      <c r="E241" s="24" t="s">
        <v>139</v>
      </c>
      <c r="F241" s="12"/>
      <c r="G241" s="12" t="str">
        <f aca="false">IFERROR(VLOOKUP($F241,ItemList_Full,2,0),"")</f>
        <v/>
      </c>
      <c r="H241" s="12"/>
      <c r="I241" s="12" t="str">
        <f aca="false">IFERROR(VLOOKUP($F241,ItemList_Full,3,0),"")</f>
        <v/>
      </c>
      <c r="J241" s="12" t="str">
        <f aca="false">IFERROR(VLOOKUP($F241,ItemList_Full,4,0),"")</f>
        <v/>
      </c>
      <c r="K241" s="13" t="n">
        <v>86643</v>
      </c>
      <c r="L241" s="12"/>
      <c r="M241" s="24"/>
      <c r="N241" s="12" t="s">
        <v>229</v>
      </c>
      <c r="O241" s="12"/>
      <c r="P241" s="13" t="n">
        <f aca="false">IF($E241="","",IF(OR($E241="Director Draw",$E241="Payroll/Employee Charge"),0,-$K241))</f>
        <v>-86643</v>
      </c>
      <c r="Q241" s="12" t="n">
        <f aca="false">IF($E241="Inventory Purchase",$H241,0)</f>
        <v>0</v>
      </c>
      <c r="U241" s="1" t="s">
        <v>931</v>
      </c>
      <c r="V241" s="1" t="s">
        <v>932</v>
      </c>
      <c r="W241" s="1" t="s">
        <v>267</v>
      </c>
      <c r="X241" s="1" t="n">
        <v>110</v>
      </c>
      <c r="Y241" s="1" t="s">
        <v>132</v>
      </c>
    </row>
    <row r="242" customFormat="false" ht="15" hidden="false" customHeight="true" outlineLevel="0" collapsed="false">
      <c r="A242" s="19" t="n">
        <v>46279</v>
      </c>
      <c r="B242" s="12" t="n">
        <f aca="false">IF($A242="","",ROW()-4)</f>
        <v>238</v>
      </c>
      <c r="C242" s="12" t="s">
        <v>242</v>
      </c>
      <c r="D242" s="12" t="s">
        <v>243</v>
      </c>
      <c r="E242" s="24" t="s">
        <v>139</v>
      </c>
      <c r="F242" s="12"/>
      <c r="G242" s="12" t="str">
        <f aca="false">IFERROR(VLOOKUP($F242,ItemList_Full,2,0),"")</f>
        <v/>
      </c>
      <c r="H242" s="12"/>
      <c r="I242" s="12" t="str">
        <f aca="false">IFERROR(VLOOKUP($F242,ItemList_Full,3,0),"")</f>
        <v/>
      </c>
      <c r="J242" s="12" t="str">
        <f aca="false">IFERROR(VLOOKUP($F242,ItemList_Full,4,0),"")</f>
        <v/>
      </c>
      <c r="K242" s="13" t="n">
        <v>20000</v>
      </c>
      <c r="L242" s="12"/>
      <c r="M242" s="24"/>
      <c r="N242" s="12" t="s">
        <v>229</v>
      </c>
      <c r="O242" s="12"/>
      <c r="P242" s="13" t="n">
        <f aca="false">IF($E242="","",IF(OR($E242="Director Draw",$E242="Payroll/Employee Charge"),0,-$K242))</f>
        <v>-20000</v>
      </c>
      <c r="Q242" s="12" t="n">
        <f aca="false">IF($E242="Inventory Purchase",$H242,0)</f>
        <v>0</v>
      </c>
      <c r="U242" s="1" t="s">
        <v>933</v>
      </c>
      <c r="V242" s="1" t="s">
        <v>934</v>
      </c>
      <c r="W242" s="1" t="s">
        <v>267</v>
      </c>
      <c r="X242" s="1" t="n">
        <v>850</v>
      </c>
      <c r="Y242" s="1" t="s">
        <v>132</v>
      </c>
    </row>
    <row r="243" customFormat="false" ht="15" hidden="false" customHeight="true" outlineLevel="0" collapsed="false">
      <c r="A243" s="19" t="n">
        <v>46279</v>
      </c>
      <c r="B243" s="12" t="n">
        <f aca="false">IF($A243="","",ROW()-4)</f>
        <v>239</v>
      </c>
      <c r="C243" s="12" t="s">
        <v>935</v>
      </c>
      <c r="D243" s="12" t="s">
        <v>936</v>
      </c>
      <c r="E243" s="24" t="s">
        <v>145</v>
      </c>
      <c r="F243" s="12"/>
      <c r="G243" s="12" t="str">
        <f aca="false">IFERROR(VLOOKUP($F243,ItemList_Full,2,0),"")</f>
        <v/>
      </c>
      <c r="H243" s="12"/>
      <c r="I243" s="12" t="str">
        <f aca="false">IFERROR(VLOOKUP($F243,ItemList_Full,3,0),"")</f>
        <v/>
      </c>
      <c r="J243" s="12" t="str">
        <f aca="false">IFERROR(VLOOKUP($F243,ItemList_Full,4,0),"")</f>
        <v/>
      </c>
      <c r="K243" s="13" t="n">
        <v>886547</v>
      </c>
      <c r="L243" s="12"/>
      <c r="M243" s="24"/>
      <c r="N243" s="12" t="s">
        <v>229</v>
      </c>
      <c r="O243" s="12"/>
      <c r="P243" s="13" t="n">
        <f aca="false">IF($E243="","",IF(OR($E243="Director Draw",$E243="Payroll/Employee Charge"),0,-$K243))</f>
        <v>-886547</v>
      </c>
      <c r="Q243" s="12" t="n">
        <f aca="false">IF($E243="Inventory Purchase",$H243,0)</f>
        <v>0</v>
      </c>
      <c r="U243" s="1" t="s">
        <v>937</v>
      </c>
      <c r="V243" s="1" t="s">
        <v>938</v>
      </c>
      <c r="W243" s="1" t="s">
        <v>267</v>
      </c>
      <c r="X243" s="1" t="n">
        <v>600</v>
      </c>
      <c r="Y243" s="1" t="s">
        <v>132</v>
      </c>
    </row>
    <row r="244" customFormat="false" ht="15" hidden="false" customHeight="true" outlineLevel="0" collapsed="false">
      <c r="A244" s="19" t="n">
        <v>46279</v>
      </c>
      <c r="B244" s="12" t="n">
        <f aca="false">IF($A244="","",ROW()-4)</f>
        <v>240</v>
      </c>
      <c r="C244" s="12" t="s">
        <v>939</v>
      </c>
      <c r="D244" s="12" t="s">
        <v>939</v>
      </c>
      <c r="E244" s="24" t="s">
        <v>152</v>
      </c>
      <c r="F244" s="12"/>
      <c r="G244" s="12" t="str">
        <f aca="false">IFERROR(VLOOKUP($F244,ItemList_Full,2,0),"")</f>
        <v/>
      </c>
      <c r="H244" s="12"/>
      <c r="I244" s="12" t="str">
        <f aca="false">IFERROR(VLOOKUP($F244,ItemList_Full,3,0),"")</f>
        <v/>
      </c>
      <c r="J244" s="12" t="str">
        <f aca="false">IFERROR(VLOOKUP($F244,ItemList_Full,4,0),"")</f>
        <v/>
      </c>
      <c r="K244" s="13" t="n">
        <v>36000</v>
      </c>
      <c r="L244" s="12"/>
      <c r="M244" s="24"/>
      <c r="N244" s="12" t="s">
        <v>229</v>
      </c>
      <c r="O244" s="12"/>
      <c r="P244" s="13" t="n">
        <f aca="false">IF($E244="","",IF(OR($E244="Director Draw",$E244="Payroll/Employee Charge"),0,-$K244))</f>
        <v>-36000</v>
      </c>
      <c r="Q244" s="12" t="n">
        <f aca="false">IF($E244="Inventory Purchase",$H244,0)</f>
        <v>0</v>
      </c>
      <c r="U244" s="1" t="s">
        <v>940</v>
      </c>
      <c r="V244" s="1" t="s">
        <v>941</v>
      </c>
      <c r="W244" s="1" t="s">
        <v>246</v>
      </c>
      <c r="X244" s="1" t="n">
        <v>60</v>
      </c>
      <c r="Y244" s="1" t="s">
        <v>132</v>
      </c>
    </row>
    <row r="245" customFormat="false" ht="15" hidden="false" customHeight="true" outlineLevel="0" collapsed="false">
      <c r="A245" s="19" t="n">
        <v>46279</v>
      </c>
      <c r="B245" s="12" t="n">
        <f aca="false">IF($A245="","",ROW()-4)</f>
        <v>241</v>
      </c>
      <c r="C245" s="12" t="s">
        <v>449</v>
      </c>
      <c r="D245" s="12" t="s">
        <v>942</v>
      </c>
      <c r="E245" s="24" t="s">
        <v>127</v>
      </c>
      <c r="F245" s="12"/>
      <c r="G245" s="12" t="str">
        <f aca="false">IFERROR(VLOOKUP($F245,ItemList_Full,2,0),"")</f>
        <v/>
      </c>
      <c r="H245" s="12"/>
      <c r="I245" s="12" t="str">
        <f aca="false">IFERROR(VLOOKUP($F245,ItemList_Full,3,0),"")</f>
        <v/>
      </c>
      <c r="J245" s="12" t="str">
        <f aca="false">IFERROR(VLOOKUP($F245,ItemList_Full,4,0),"")</f>
        <v/>
      </c>
      <c r="K245" s="13" t="n">
        <v>28600</v>
      </c>
      <c r="L245" s="12"/>
      <c r="M245" s="24"/>
      <c r="N245" s="12" t="s">
        <v>229</v>
      </c>
      <c r="O245" s="12"/>
      <c r="P245" s="13" t="n">
        <f aca="false">IF($E245="","",IF(OR($E245="Director Draw",$E245="Payroll/Employee Charge"),0,-$K245))</f>
        <v>-28600</v>
      </c>
      <c r="Q245" s="12" t="n">
        <f aca="false">IF($E245="Inventory Purchase",$H245,0)</f>
        <v>0</v>
      </c>
      <c r="U245" s="1" t="s">
        <v>943</v>
      </c>
      <c r="V245" s="1" t="s">
        <v>944</v>
      </c>
      <c r="W245" s="1" t="s">
        <v>246</v>
      </c>
      <c r="X245" s="1" t="n">
        <v>2</v>
      </c>
      <c r="Y245" s="1" t="s">
        <v>132</v>
      </c>
    </row>
    <row r="246" customFormat="false" ht="15" hidden="false" customHeight="true" outlineLevel="0" collapsed="false">
      <c r="A246" s="19" t="n">
        <v>46279</v>
      </c>
      <c r="B246" s="12" t="n">
        <f aca="false">IF($A246="","",ROW()-4)</f>
        <v>242</v>
      </c>
      <c r="C246" s="12" t="s">
        <v>945</v>
      </c>
      <c r="D246" s="12" t="s">
        <v>946</v>
      </c>
      <c r="E246" s="24" t="s">
        <v>151</v>
      </c>
      <c r="F246" s="12"/>
      <c r="G246" s="12" t="str">
        <f aca="false">IFERROR(VLOOKUP($F246,ItemList_Full,2,0),"")</f>
        <v/>
      </c>
      <c r="H246" s="12"/>
      <c r="I246" s="12" t="str">
        <f aca="false">IFERROR(VLOOKUP($F246,ItemList_Full,3,0),"")</f>
        <v/>
      </c>
      <c r="J246" s="12" t="str">
        <f aca="false">IFERROR(VLOOKUP($F246,ItemList_Full,4,0),"")</f>
        <v/>
      </c>
      <c r="K246" s="13" t="n">
        <v>4000</v>
      </c>
      <c r="L246" s="12"/>
      <c r="M246" s="24"/>
      <c r="N246" s="12" t="s">
        <v>229</v>
      </c>
      <c r="O246" s="12"/>
      <c r="P246" s="13" t="n">
        <f aca="false">IF($E246="","",IF(OR($E246="Director Draw",$E246="Payroll/Employee Charge"),0,-$K246))</f>
        <v>-4000</v>
      </c>
      <c r="Q246" s="12" t="n">
        <f aca="false">IF($E246="Inventory Purchase",$H246,0)</f>
        <v>0</v>
      </c>
      <c r="U246" s="1" t="s">
        <v>947</v>
      </c>
      <c r="V246" s="1" t="s">
        <v>948</v>
      </c>
      <c r="W246" s="1" t="s">
        <v>241</v>
      </c>
      <c r="X246" s="1" t="n">
        <v>360</v>
      </c>
      <c r="Y246" s="1" t="s">
        <v>132</v>
      </c>
    </row>
    <row r="247" customFormat="false" ht="15" hidden="false" customHeight="true" outlineLevel="0" collapsed="false">
      <c r="A247" s="19" t="n">
        <v>46279</v>
      </c>
      <c r="B247" s="12" t="n">
        <f aca="false">IF($A247="","",ROW()-4)</f>
        <v>243</v>
      </c>
      <c r="C247" s="12" t="s">
        <v>276</v>
      </c>
      <c r="D247" s="12" t="s">
        <v>949</v>
      </c>
      <c r="E247" s="24" t="s">
        <v>151</v>
      </c>
      <c r="F247" s="12"/>
      <c r="G247" s="12" t="str">
        <f aca="false">IFERROR(VLOOKUP($F247,ItemList_Full,2,0),"")</f>
        <v/>
      </c>
      <c r="H247" s="12"/>
      <c r="I247" s="12" t="str">
        <f aca="false">IFERROR(VLOOKUP($F247,ItemList_Full,3,0),"")</f>
        <v/>
      </c>
      <c r="J247" s="12" t="str">
        <f aca="false">IFERROR(VLOOKUP($F247,ItemList_Full,4,0),"")</f>
        <v/>
      </c>
      <c r="K247" s="13" t="n">
        <v>1350</v>
      </c>
      <c r="L247" s="12"/>
      <c r="M247" s="24"/>
      <c r="N247" s="12" t="s">
        <v>229</v>
      </c>
      <c r="O247" s="12"/>
      <c r="P247" s="13" t="n">
        <f aca="false">IF($E247="","",IF(OR($E247="Director Draw",$E247="Payroll/Employee Charge"),0,-$K247))</f>
        <v>-1350</v>
      </c>
      <c r="Q247" s="12" t="n">
        <f aca="false">IF($E247="Inventory Purchase",$H247,0)</f>
        <v>0</v>
      </c>
      <c r="U247" s="1" t="s">
        <v>950</v>
      </c>
      <c r="V247" s="1" t="s">
        <v>951</v>
      </c>
      <c r="W247" s="1" t="s">
        <v>267</v>
      </c>
      <c r="X247" s="1" t="n">
        <v>400</v>
      </c>
      <c r="Y247" s="1" t="s">
        <v>132</v>
      </c>
    </row>
    <row r="248" customFormat="false" ht="15" hidden="false" customHeight="true" outlineLevel="0" collapsed="false">
      <c r="A248" s="19" t="n">
        <v>46279</v>
      </c>
      <c r="B248" s="12" t="n">
        <f aca="false">IF($A248="","",ROW()-4)</f>
        <v>244</v>
      </c>
      <c r="C248" s="12" t="s">
        <v>952</v>
      </c>
      <c r="D248" s="12" t="s">
        <v>953</v>
      </c>
      <c r="E248" s="24" t="s">
        <v>146</v>
      </c>
      <c r="F248" s="12"/>
      <c r="G248" s="12" t="str">
        <f aca="false">IFERROR(VLOOKUP($F248,ItemList_Full,2,0),"")</f>
        <v/>
      </c>
      <c r="H248" s="12"/>
      <c r="I248" s="12" t="str">
        <f aca="false">IFERROR(VLOOKUP($F248,ItemList_Full,3,0),"")</f>
        <v/>
      </c>
      <c r="J248" s="12" t="str">
        <f aca="false">IFERROR(VLOOKUP($F248,ItemList_Full,4,0),"")</f>
        <v/>
      </c>
      <c r="K248" s="13" t="n">
        <v>4630</v>
      </c>
      <c r="L248" s="12"/>
      <c r="M248" s="24"/>
      <c r="N248" s="12" t="s">
        <v>229</v>
      </c>
      <c r="O248" s="12"/>
      <c r="P248" s="13" t="n">
        <f aca="false">IF($E248="","",IF(OR($E248="Director Draw",$E248="Payroll/Employee Charge"),0,-$K248))</f>
        <v>-4630</v>
      </c>
      <c r="Q248" s="12" t="n">
        <f aca="false">IF($E248="Inventory Purchase",$H248,0)</f>
        <v>0</v>
      </c>
      <c r="U248" s="1" t="s">
        <v>954</v>
      </c>
      <c r="V248" s="1" t="s">
        <v>955</v>
      </c>
      <c r="W248" s="1" t="s">
        <v>241</v>
      </c>
      <c r="X248" s="1" t="n">
        <v>1130</v>
      </c>
      <c r="Y248" s="1" t="s">
        <v>132</v>
      </c>
    </row>
    <row r="249" customFormat="false" ht="15" hidden="false" customHeight="true" outlineLevel="0" collapsed="false">
      <c r="A249" s="19" t="n">
        <v>46279</v>
      </c>
      <c r="B249" s="12" t="n">
        <f aca="false">IF($A249="","",ROW()-4)</f>
        <v>245</v>
      </c>
      <c r="C249" s="12" t="s">
        <v>785</v>
      </c>
      <c r="D249" s="12" t="s">
        <v>786</v>
      </c>
      <c r="E249" s="24" t="s">
        <v>146</v>
      </c>
      <c r="F249" s="12"/>
      <c r="G249" s="12" t="str">
        <f aca="false">IFERROR(VLOOKUP($F249,ItemList_Full,2,0),"")</f>
        <v/>
      </c>
      <c r="H249" s="12"/>
      <c r="I249" s="12" t="str">
        <f aca="false">IFERROR(VLOOKUP($F249,ItemList_Full,3,0),"")</f>
        <v/>
      </c>
      <c r="J249" s="12" t="str">
        <f aca="false">IFERROR(VLOOKUP($F249,ItemList_Full,4,0),"")</f>
        <v/>
      </c>
      <c r="K249" s="13" t="n">
        <v>400</v>
      </c>
      <c r="L249" s="12"/>
      <c r="M249" s="24"/>
      <c r="N249" s="12" t="s">
        <v>229</v>
      </c>
      <c r="O249" s="12"/>
      <c r="P249" s="13" t="n">
        <f aca="false">IF($E249="","",IF(OR($E249="Director Draw",$E249="Payroll/Employee Charge"),0,-$K249))</f>
        <v>-400</v>
      </c>
      <c r="Q249" s="12" t="n">
        <f aca="false">IF($E249="Inventory Purchase",$H249,0)</f>
        <v>0</v>
      </c>
      <c r="U249" s="1" t="s">
        <v>956</v>
      </c>
      <c r="V249" s="1" t="s">
        <v>957</v>
      </c>
      <c r="W249" s="1" t="s">
        <v>241</v>
      </c>
      <c r="X249" s="1" t="n">
        <v>530</v>
      </c>
      <c r="Y249" s="1" t="s">
        <v>132</v>
      </c>
    </row>
    <row r="250" customFormat="false" ht="15" hidden="false" customHeight="true" outlineLevel="0" collapsed="false">
      <c r="A250" s="19" t="n">
        <v>46279</v>
      </c>
      <c r="B250" s="12" t="n">
        <f aca="false">IF($A250="","",ROW()-4)</f>
        <v>246</v>
      </c>
      <c r="C250" s="12" t="s">
        <v>276</v>
      </c>
      <c r="D250" s="12" t="s">
        <v>714</v>
      </c>
      <c r="E250" s="24" t="s">
        <v>143</v>
      </c>
      <c r="F250" s="12"/>
      <c r="G250" s="12" t="str">
        <f aca="false">IFERROR(VLOOKUP($F250,ItemList_Full,2,0),"")</f>
        <v/>
      </c>
      <c r="H250" s="12"/>
      <c r="I250" s="12" t="str">
        <f aca="false">IFERROR(VLOOKUP($F250,ItemList_Full,3,0),"")</f>
        <v/>
      </c>
      <c r="J250" s="12" t="str">
        <f aca="false">IFERROR(VLOOKUP($F250,ItemList_Full,4,0),"")</f>
        <v/>
      </c>
      <c r="K250" s="13" t="n">
        <v>1575</v>
      </c>
      <c r="L250" s="12"/>
      <c r="M250" s="24"/>
      <c r="N250" s="12" t="s">
        <v>229</v>
      </c>
      <c r="O250" s="12"/>
      <c r="P250" s="13" t="n">
        <f aca="false">IF($E250="","",IF(OR($E250="Director Draw",$E250="Payroll/Employee Charge"),0,-$K250))</f>
        <v>-1575</v>
      </c>
      <c r="Q250" s="12" t="n">
        <f aca="false">IF($E250="Inventory Purchase",$H250,0)</f>
        <v>0</v>
      </c>
      <c r="U250" s="1" t="s">
        <v>958</v>
      </c>
      <c r="V250" s="1" t="s">
        <v>959</v>
      </c>
      <c r="W250" s="1" t="s">
        <v>241</v>
      </c>
      <c r="X250" s="1" t="n">
        <v>700</v>
      </c>
      <c r="Y250" s="1" t="s">
        <v>132</v>
      </c>
    </row>
    <row r="251" customFormat="false" ht="15" hidden="false" customHeight="true" outlineLevel="0" collapsed="false">
      <c r="A251" s="19" t="n">
        <v>46279</v>
      </c>
      <c r="B251" s="12" t="n">
        <f aca="false">IF($A251="","",ROW()-4)</f>
        <v>247</v>
      </c>
      <c r="C251" s="12" t="s">
        <v>343</v>
      </c>
      <c r="D251" s="12" t="s">
        <v>459</v>
      </c>
      <c r="E251" s="24" t="s">
        <v>143</v>
      </c>
      <c r="F251" s="12"/>
      <c r="G251" s="12" t="str">
        <f aca="false">IFERROR(VLOOKUP($F251,ItemList_Full,2,0),"")</f>
        <v/>
      </c>
      <c r="H251" s="12"/>
      <c r="I251" s="12" t="str">
        <f aca="false">IFERROR(VLOOKUP($F251,ItemList_Full,3,0),"")</f>
        <v/>
      </c>
      <c r="J251" s="12" t="str">
        <f aca="false">IFERROR(VLOOKUP($F251,ItemList_Full,4,0),"")</f>
        <v/>
      </c>
      <c r="K251" s="13" t="n">
        <v>1095</v>
      </c>
      <c r="L251" s="12"/>
      <c r="M251" s="24"/>
      <c r="N251" s="12" t="s">
        <v>229</v>
      </c>
      <c r="O251" s="12"/>
      <c r="P251" s="13" t="n">
        <f aca="false">IF($E251="","",IF(OR($E251="Director Draw",$E251="Payroll/Employee Charge"),0,-$K251))</f>
        <v>-1095</v>
      </c>
      <c r="Q251" s="12" t="n">
        <f aca="false">IF($E251="Inventory Purchase",$H251,0)</f>
        <v>0</v>
      </c>
      <c r="U251" s="1" t="s">
        <v>960</v>
      </c>
      <c r="V251" s="1" t="s">
        <v>961</v>
      </c>
      <c r="W251" s="1" t="s">
        <v>267</v>
      </c>
      <c r="X251" s="1" t="n">
        <v>275</v>
      </c>
      <c r="Y251" s="1" t="s">
        <v>132</v>
      </c>
    </row>
    <row r="252" customFormat="false" ht="15" hidden="false" customHeight="true" outlineLevel="0" collapsed="false">
      <c r="A252" s="19" t="n">
        <v>46279</v>
      </c>
      <c r="B252" s="12" t="n">
        <f aca="false">IF($A252="","",ROW()-4)</f>
        <v>248</v>
      </c>
      <c r="C252" s="12" t="s">
        <v>343</v>
      </c>
      <c r="D252" s="12" t="s">
        <v>347</v>
      </c>
      <c r="E252" s="24" t="s">
        <v>143</v>
      </c>
      <c r="F252" s="12"/>
      <c r="G252" s="12" t="str">
        <f aca="false">IFERROR(VLOOKUP($F252,ItemList_Full,2,0),"")</f>
        <v/>
      </c>
      <c r="H252" s="12"/>
      <c r="I252" s="12" t="str">
        <f aca="false">IFERROR(VLOOKUP($F252,ItemList_Full,3,0),"")</f>
        <v/>
      </c>
      <c r="J252" s="12" t="str">
        <f aca="false">IFERROR(VLOOKUP($F252,ItemList_Full,4,0),"")</f>
        <v/>
      </c>
      <c r="K252" s="13" t="n">
        <v>760</v>
      </c>
      <c r="L252" s="12"/>
      <c r="M252" s="24"/>
      <c r="N252" s="12" t="s">
        <v>229</v>
      </c>
      <c r="O252" s="12"/>
      <c r="P252" s="13" t="n">
        <f aca="false">IF($E252="","",IF(OR($E252="Director Draw",$E252="Payroll/Employee Charge"),0,-$K252))</f>
        <v>-760</v>
      </c>
      <c r="Q252" s="12" t="n">
        <f aca="false">IF($E252="Inventory Purchase",$H252,0)</f>
        <v>0</v>
      </c>
      <c r="U252" s="1" t="s">
        <v>962</v>
      </c>
      <c r="V252" s="1" t="s">
        <v>963</v>
      </c>
      <c r="W252" s="1" t="s">
        <v>267</v>
      </c>
      <c r="X252" s="1" t="n">
        <v>475</v>
      </c>
      <c r="Y252" s="1" t="s">
        <v>132</v>
      </c>
    </row>
    <row r="253" customFormat="false" ht="15" hidden="false" customHeight="true" outlineLevel="0" collapsed="false">
      <c r="A253" s="19" t="n">
        <v>46279</v>
      </c>
      <c r="B253" s="12" t="n">
        <f aca="false">IF($A253="","",ROW()-4)</f>
        <v>249</v>
      </c>
      <c r="C253" s="12" t="s">
        <v>343</v>
      </c>
      <c r="D253" s="12" t="s">
        <v>964</v>
      </c>
      <c r="E253" s="24" t="s">
        <v>143</v>
      </c>
      <c r="F253" s="12"/>
      <c r="G253" s="12" t="str">
        <f aca="false">IFERROR(VLOOKUP($F253,ItemList_Full,2,0),"")</f>
        <v/>
      </c>
      <c r="H253" s="12"/>
      <c r="I253" s="12" t="str">
        <f aca="false">IFERROR(VLOOKUP($F253,ItemList_Full,3,0),"")</f>
        <v/>
      </c>
      <c r="J253" s="12" t="str">
        <f aca="false">IFERROR(VLOOKUP($F253,ItemList_Full,4,0),"")</f>
        <v/>
      </c>
      <c r="K253" s="13" t="n">
        <v>3010</v>
      </c>
      <c r="L253" s="12"/>
      <c r="M253" s="24"/>
      <c r="N253" s="12" t="s">
        <v>229</v>
      </c>
      <c r="O253" s="12"/>
      <c r="P253" s="13" t="n">
        <f aca="false">IF($E253="","",IF(OR($E253="Director Draw",$E253="Payroll/Employee Charge"),0,-$K253))</f>
        <v>-3010</v>
      </c>
      <c r="Q253" s="12" t="n">
        <f aca="false">IF($E253="Inventory Purchase",$H253,0)</f>
        <v>0</v>
      </c>
      <c r="U253" s="1" t="s">
        <v>965</v>
      </c>
      <c r="V253" s="1" t="s">
        <v>966</v>
      </c>
      <c r="W253" s="1" t="s">
        <v>246</v>
      </c>
      <c r="X253" s="1" t="n">
        <v>7</v>
      </c>
      <c r="Y253" s="1" t="s">
        <v>132</v>
      </c>
    </row>
    <row r="254" customFormat="false" ht="15" hidden="false" customHeight="true" outlineLevel="0" collapsed="false">
      <c r="A254" s="19" t="n">
        <v>46279</v>
      </c>
      <c r="B254" s="12" t="n">
        <f aca="false">IF($A254="","",ROW()-4)</f>
        <v>250</v>
      </c>
      <c r="C254" s="12" t="s">
        <v>355</v>
      </c>
      <c r="D254" s="12" t="s">
        <v>967</v>
      </c>
      <c r="E254" s="24" t="s">
        <v>143</v>
      </c>
      <c r="F254" s="12"/>
      <c r="G254" s="12" t="str">
        <f aca="false">IFERROR(VLOOKUP($F254,ItemList_Full,2,0),"")</f>
        <v/>
      </c>
      <c r="H254" s="12"/>
      <c r="I254" s="12" t="str">
        <f aca="false">IFERROR(VLOOKUP($F254,ItemList_Full,3,0),"")</f>
        <v/>
      </c>
      <c r="J254" s="12" t="str">
        <f aca="false">IFERROR(VLOOKUP($F254,ItemList_Full,4,0),"")</f>
        <v/>
      </c>
      <c r="K254" s="13" t="n">
        <v>3290</v>
      </c>
      <c r="L254" s="12"/>
      <c r="M254" s="24"/>
      <c r="N254" s="12" t="s">
        <v>229</v>
      </c>
      <c r="O254" s="12"/>
      <c r="P254" s="13" t="n">
        <f aca="false">IF($E254="","",IF(OR($E254="Director Draw",$E254="Payroll/Employee Charge"),0,-$K254))</f>
        <v>-3290</v>
      </c>
      <c r="Q254" s="12" t="n">
        <f aca="false">IF($E254="Inventory Purchase",$H254,0)</f>
        <v>0</v>
      </c>
      <c r="U254" s="1" t="s">
        <v>968</v>
      </c>
      <c r="V254" s="1" t="s">
        <v>969</v>
      </c>
      <c r="W254" s="1" t="s">
        <v>267</v>
      </c>
      <c r="X254" s="1" t="n">
        <v>26</v>
      </c>
      <c r="Y254" s="1" t="s">
        <v>132</v>
      </c>
    </row>
    <row r="255" customFormat="false" ht="15" hidden="false" customHeight="true" outlineLevel="0" collapsed="false">
      <c r="A255" s="19" t="n">
        <v>46279</v>
      </c>
      <c r="B255" s="12" t="n">
        <f aca="false">IF($A255="","",ROW()-4)</f>
        <v>251</v>
      </c>
      <c r="C255" s="12" t="s">
        <v>355</v>
      </c>
      <c r="D255" s="12" t="s">
        <v>356</v>
      </c>
      <c r="E255" s="24" t="s">
        <v>143</v>
      </c>
      <c r="F255" s="12"/>
      <c r="G255" s="12" t="str">
        <f aca="false">IFERROR(VLOOKUP($F255,ItemList_Full,2,0),"")</f>
        <v/>
      </c>
      <c r="H255" s="12"/>
      <c r="I255" s="12" t="str">
        <f aca="false">IFERROR(VLOOKUP($F255,ItemList_Full,3,0),"")</f>
        <v/>
      </c>
      <c r="J255" s="12" t="str">
        <f aca="false">IFERROR(VLOOKUP($F255,ItemList_Full,4,0),"")</f>
        <v/>
      </c>
      <c r="K255" s="13" t="n">
        <v>2575</v>
      </c>
      <c r="L255" s="12"/>
      <c r="M255" s="24"/>
      <c r="N255" s="12" t="s">
        <v>229</v>
      </c>
      <c r="O255" s="12"/>
      <c r="P255" s="13" t="n">
        <f aca="false">IF($E255="","",IF(OR($E255="Director Draw",$E255="Payroll/Employee Charge"),0,-$K255))</f>
        <v>-2575</v>
      </c>
      <c r="Q255" s="12" t="n">
        <f aca="false">IF($E255="Inventory Purchase",$H255,0)</f>
        <v>0</v>
      </c>
      <c r="U255" s="1" t="s">
        <v>970</v>
      </c>
      <c r="V255" s="1" t="s">
        <v>971</v>
      </c>
      <c r="W255" s="1" t="s">
        <v>267</v>
      </c>
      <c r="X255" s="1" t="n">
        <v>16</v>
      </c>
      <c r="Y255" s="1" t="s">
        <v>132</v>
      </c>
    </row>
    <row r="256" customFormat="false" ht="15" hidden="false" customHeight="true" outlineLevel="0" collapsed="false">
      <c r="A256" s="19" t="n">
        <v>46279</v>
      </c>
      <c r="B256" s="12" t="n">
        <f aca="false">IF($A256="","",ROW()-4)</f>
        <v>252</v>
      </c>
      <c r="C256" s="12" t="s">
        <v>355</v>
      </c>
      <c r="D256" s="12" t="s">
        <v>526</v>
      </c>
      <c r="E256" s="24" t="s">
        <v>143</v>
      </c>
      <c r="F256" s="12"/>
      <c r="G256" s="12" t="str">
        <f aca="false">IFERROR(VLOOKUP($F256,ItemList_Full,2,0),"")</f>
        <v/>
      </c>
      <c r="H256" s="12"/>
      <c r="I256" s="12" t="str">
        <f aca="false">IFERROR(VLOOKUP($F256,ItemList_Full,3,0),"")</f>
        <v/>
      </c>
      <c r="J256" s="12" t="str">
        <f aca="false">IFERROR(VLOOKUP($F256,ItemList_Full,4,0),"")</f>
        <v/>
      </c>
      <c r="K256" s="13" t="n">
        <v>2345</v>
      </c>
      <c r="L256" s="12"/>
      <c r="M256" s="24"/>
      <c r="N256" s="12" t="s">
        <v>229</v>
      </c>
      <c r="O256" s="12"/>
      <c r="P256" s="13" t="n">
        <f aca="false">IF($E256="","",IF(OR($E256="Director Draw",$E256="Payroll/Employee Charge"),0,-$K256))</f>
        <v>-2345</v>
      </c>
      <c r="Q256" s="12" t="n">
        <f aca="false">IF($E256="Inventory Purchase",$H256,0)</f>
        <v>0</v>
      </c>
      <c r="U256" s="1" t="s">
        <v>972</v>
      </c>
      <c r="V256" s="1" t="s">
        <v>973</v>
      </c>
      <c r="W256" s="1" t="s">
        <v>267</v>
      </c>
      <c r="X256" s="1" t="n">
        <v>80</v>
      </c>
      <c r="Y256" s="1" t="s">
        <v>132</v>
      </c>
    </row>
    <row r="257" customFormat="false" ht="15" hidden="false" customHeight="true" outlineLevel="0" collapsed="false">
      <c r="A257" s="19" t="n">
        <v>46279</v>
      </c>
      <c r="B257" s="12" t="n">
        <f aca="false">IF($A257="","",ROW()-4)</f>
        <v>253</v>
      </c>
      <c r="C257" s="12" t="s">
        <v>355</v>
      </c>
      <c r="D257" s="12" t="s">
        <v>974</v>
      </c>
      <c r="E257" s="24" t="s">
        <v>143</v>
      </c>
      <c r="F257" s="12"/>
      <c r="G257" s="12" t="str">
        <f aca="false">IFERROR(VLOOKUP($F257,ItemList_Full,2,0),"")</f>
        <v/>
      </c>
      <c r="H257" s="12"/>
      <c r="I257" s="12" t="str">
        <f aca="false">IFERROR(VLOOKUP($F257,ItemList_Full,3,0),"")</f>
        <v/>
      </c>
      <c r="J257" s="12" t="str">
        <f aca="false">IFERROR(VLOOKUP($F257,ItemList_Full,4,0),"")</f>
        <v/>
      </c>
      <c r="K257" s="13" t="n">
        <v>1350</v>
      </c>
      <c r="L257" s="12"/>
      <c r="M257" s="24"/>
      <c r="N257" s="12" t="s">
        <v>229</v>
      </c>
      <c r="O257" s="12"/>
      <c r="P257" s="13" t="n">
        <f aca="false">IF($E257="","",IF(OR($E257="Director Draw",$E257="Payroll/Employee Charge"),0,-$K257))</f>
        <v>-1350</v>
      </c>
      <c r="Q257" s="12" t="n">
        <f aca="false">IF($E257="Inventory Purchase",$H257,0)</f>
        <v>0</v>
      </c>
      <c r="U257" s="1" t="s">
        <v>975</v>
      </c>
      <c r="V257" s="1" t="s">
        <v>976</v>
      </c>
      <c r="W257" s="1" t="s">
        <v>267</v>
      </c>
      <c r="X257" s="1" t="n">
        <v>1250</v>
      </c>
      <c r="Y257" s="1" t="s">
        <v>132</v>
      </c>
    </row>
    <row r="258" customFormat="false" ht="15" hidden="false" customHeight="true" outlineLevel="0" collapsed="false">
      <c r="A258" s="19" t="n">
        <v>46279</v>
      </c>
      <c r="B258" s="12" t="n">
        <f aca="false">IF($A258="","",ROW()-4)</f>
        <v>254</v>
      </c>
      <c r="C258" s="12" t="s">
        <v>276</v>
      </c>
      <c r="D258" s="12" t="s">
        <v>977</v>
      </c>
      <c r="E258" s="24" t="s">
        <v>143</v>
      </c>
      <c r="F258" s="12"/>
      <c r="G258" s="12" t="str">
        <f aca="false">IFERROR(VLOOKUP($F258,ItemList_Full,2,0),"")</f>
        <v/>
      </c>
      <c r="H258" s="12"/>
      <c r="I258" s="12" t="str">
        <f aca="false">IFERROR(VLOOKUP($F258,ItemList_Full,3,0),"")</f>
        <v/>
      </c>
      <c r="J258" s="12" t="str">
        <f aca="false">IFERROR(VLOOKUP($F258,ItemList_Full,4,0),"")</f>
        <v/>
      </c>
      <c r="K258" s="13" t="n">
        <v>1575</v>
      </c>
      <c r="L258" s="12"/>
      <c r="M258" s="24"/>
      <c r="N258" s="12" t="s">
        <v>229</v>
      </c>
      <c r="O258" s="12"/>
      <c r="P258" s="13" t="n">
        <f aca="false">IF($E258="","",IF(OR($E258="Director Draw",$E258="Payroll/Employee Charge"),0,-$K258))</f>
        <v>-1575</v>
      </c>
      <c r="Q258" s="12" t="n">
        <f aca="false">IF($E258="Inventory Purchase",$H258,0)</f>
        <v>0</v>
      </c>
      <c r="U258" s="1" t="s">
        <v>978</v>
      </c>
      <c r="V258" s="1" t="s">
        <v>979</v>
      </c>
      <c r="W258" s="1" t="s">
        <v>267</v>
      </c>
      <c r="X258" s="1" t="n">
        <v>250</v>
      </c>
      <c r="Y258" s="1" t="s">
        <v>132</v>
      </c>
    </row>
    <row r="259" customFormat="false" ht="15" hidden="false" customHeight="true" outlineLevel="0" collapsed="false">
      <c r="A259" s="19" t="n">
        <v>46279</v>
      </c>
      <c r="B259" s="12" t="n">
        <f aca="false">IF($A259="","",ROW()-4)</f>
        <v>255</v>
      </c>
      <c r="C259" s="12" t="s">
        <v>361</v>
      </c>
      <c r="D259" s="12" t="s">
        <v>980</v>
      </c>
      <c r="E259" s="24" t="s">
        <v>149</v>
      </c>
      <c r="F259" s="12"/>
      <c r="G259" s="12" t="str">
        <f aca="false">IFERROR(VLOOKUP($F259,ItemList_Full,2,0),"")</f>
        <v/>
      </c>
      <c r="H259" s="12"/>
      <c r="I259" s="12" t="str">
        <f aca="false">IFERROR(VLOOKUP($F259,ItemList_Full,3,0),"")</f>
        <v/>
      </c>
      <c r="J259" s="12" t="str">
        <f aca="false">IFERROR(VLOOKUP($F259,ItemList_Full,4,0),"")</f>
        <v/>
      </c>
      <c r="K259" s="13" t="n">
        <v>700</v>
      </c>
      <c r="L259" s="12"/>
      <c r="M259" s="24"/>
      <c r="N259" s="12" t="s">
        <v>229</v>
      </c>
      <c r="O259" s="12"/>
      <c r="P259" s="13" t="n">
        <f aca="false">IF($E259="","",IF(OR($E259="Director Draw",$E259="Payroll/Employee Charge"),0,-$K259))</f>
        <v>-700</v>
      </c>
      <c r="Q259" s="12" t="n">
        <f aca="false">IF($E259="Inventory Purchase",$H259,0)</f>
        <v>0</v>
      </c>
      <c r="U259" s="1" t="s">
        <v>981</v>
      </c>
      <c r="V259" s="1" t="s">
        <v>982</v>
      </c>
      <c r="W259" s="1" t="s">
        <v>267</v>
      </c>
      <c r="X259" s="1" t="n">
        <v>1900</v>
      </c>
      <c r="Y259" s="1" t="s">
        <v>132</v>
      </c>
    </row>
    <row r="260" customFormat="false" ht="15" hidden="false" customHeight="true" outlineLevel="0" collapsed="false">
      <c r="A260" s="19" t="n">
        <v>46279</v>
      </c>
      <c r="B260" s="12" t="n">
        <f aca="false">IF($A260="","",ROW()-4)</f>
        <v>256</v>
      </c>
      <c r="C260" s="12" t="s">
        <v>361</v>
      </c>
      <c r="D260" s="12" t="s">
        <v>983</v>
      </c>
      <c r="E260" s="24" t="s">
        <v>149</v>
      </c>
      <c r="F260" s="12"/>
      <c r="G260" s="12" t="str">
        <f aca="false">IFERROR(VLOOKUP($F260,ItemList_Full,2,0),"")</f>
        <v/>
      </c>
      <c r="H260" s="12"/>
      <c r="I260" s="12" t="str">
        <f aca="false">IFERROR(VLOOKUP($F260,ItemList_Full,3,0),"")</f>
        <v/>
      </c>
      <c r="J260" s="12" t="str">
        <f aca="false">IFERROR(VLOOKUP($F260,ItemList_Full,4,0),"")</f>
        <v/>
      </c>
      <c r="K260" s="13" t="n">
        <v>550</v>
      </c>
      <c r="L260" s="12"/>
      <c r="M260" s="24"/>
      <c r="N260" s="12" t="s">
        <v>229</v>
      </c>
      <c r="O260" s="12"/>
      <c r="P260" s="13" t="n">
        <f aca="false">IF($E260="","",IF(OR($E260="Director Draw",$E260="Payroll/Employee Charge"),0,-$K260))</f>
        <v>-550</v>
      </c>
      <c r="Q260" s="12" t="n">
        <f aca="false">IF($E260="Inventory Purchase",$H260,0)</f>
        <v>0</v>
      </c>
      <c r="U260" s="1" t="s">
        <v>984</v>
      </c>
      <c r="V260" s="1" t="s">
        <v>985</v>
      </c>
      <c r="W260" s="1" t="s">
        <v>267</v>
      </c>
      <c r="X260" s="1" t="n">
        <v>500</v>
      </c>
      <c r="Y260" s="1" t="s">
        <v>132</v>
      </c>
    </row>
    <row r="261" customFormat="false" ht="15" hidden="false" customHeight="true" outlineLevel="0" collapsed="false">
      <c r="A261" s="19" t="n">
        <v>46279</v>
      </c>
      <c r="B261" s="12" t="n">
        <f aca="false">IF($A261="","",ROW()-4)</f>
        <v>257</v>
      </c>
      <c r="C261" s="12" t="s">
        <v>361</v>
      </c>
      <c r="D261" s="12" t="s">
        <v>986</v>
      </c>
      <c r="E261" s="24" t="s">
        <v>149</v>
      </c>
      <c r="F261" s="12"/>
      <c r="G261" s="12" t="str">
        <f aca="false">IFERROR(VLOOKUP($F261,ItemList_Full,2,0),"")</f>
        <v/>
      </c>
      <c r="H261" s="12"/>
      <c r="I261" s="12" t="str">
        <f aca="false">IFERROR(VLOOKUP($F261,ItemList_Full,3,0),"")</f>
        <v/>
      </c>
      <c r="J261" s="12" t="str">
        <f aca="false">IFERROR(VLOOKUP($F261,ItemList_Full,4,0),"")</f>
        <v/>
      </c>
      <c r="K261" s="13" t="n">
        <v>225</v>
      </c>
      <c r="L261" s="12"/>
      <c r="M261" s="24"/>
      <c r="N261" s="12" t="s">
        <v>229</v>
      </c>
      <c r="O261" s="12"/>
      <c r="P261" s="13" t="n">
        <f aca="false">IF($E261="","",IF(OR($E261="Director Draw",$E261="Payroll/Employee Charge"),0,-$K261))</f>
        <v>-225</v>
      </c>
      <c r="Q261" s="12" t="n">
        <f aca="false">IF($E261="Inventory Purchase",$H261,0)</f>
        <v>0</v>
      </c>
      <c r="U261" s="1" t="s">
        <v>987</v>
      </c>
      <c r="V261" s="1" t="s">
        <v>988</v>
      </c>
      <c r="W261" s="1" t="s">
        <v>267</v>
      </c>
      <c r="X261" s="1" t="n">
        <v>195</v>
      </c>
      <c r="Y261" s="1" t="s">
        <v>132</v>
      </c>
    </row>
    <row r="262" customFormat="false" ht="15" hidden="false" customHeight="true" outlineLevel="0" collapsed="false">
      <c r="A262" s="19" t="n">
        <v>46279</v>
      </c>
      <c r="B262" s="12" t="n">
        <f aca="false">IF($A262="","",ROW()-4)</f>
        <v>258</v>
      </c>
      <c r="C262" s="12" t="s">
        <v>361</v>
      </c>
      <c r="D262" s="12" t="s">
        <v>989</v>
      </c>
      <c r="E262" s="24" t="s">
        <v>149</v>
      </c>
      <c r="F262" s="12"/>
      <c r="G262" s="12" t="str">
        <f aca="false">IFERROR(VLOOKUP($F262,ItemList_Full,2,0),"")</f>
        <v/>
      </c>
      <c r="H262" s="12"/>
      <c r="I262" s="12" t="str">
        <f aca="false">IFERROR(VLOOKUP($F262,ItemList_Full,3,0),"")</f>
        <v/>
      </c>
      <c r="J262" s="12" t="str">
        <f aca="false">IFERROR(VLOOKUP($F262,ItemList_Full,4,0),"")</f>
        <v/>
      </c>
      <c r="K262" s="13" t="n">
        <v>650</v>
      </c>
      <c r="L262" s="12"/>
      <c r="M262" s="24"/>
      <c r="N262" s="12" t="s">
        <v>229</v>
      </c>
      <c r="O262" s="12"/>
      <c r="P262" s="13" t="n">
        <f aca="false">IF($E262="","",IF(OR($E262="Director Draw",$E262="Payroll/Employee Charge"),0,-$K262))</f>
        <v>-650</v>
      </c>
      <c r="Q262" s="12" t="n">
        <f aca="false">IF($E262="Inventory Purchase",$H262,0)</f>
        <v>0</v>
      </c>
      <c r="U262" s="1" t="s">
        <v>990</v>
      </c>
      <c r="V262" s="1" t="s">
        <v>991</v>
      </c>
      <c r="W262" s="1" t="s">
        <v>267</v>
      </c>
      <c r="X262" s="1" t="n">
        <v>550</v>
      </c>
      <c r="Y262" s="1" t="s">
        <v>132</v>
      </c>
    </row>
    <row r="263" customFormat="false" ht="15" hidden="false" customHeight="true" outlineLevel="0" collapsed="false">
      <c r="A263" s="19" t="n">
        <v>46279</v>
      </c>
      <c r="B263" s="12" t="n">
        <f aca="false">IF($A263="","",ROW()-4)</f>
        <v>259</v>
      </c>
      <c r="C263" s="12" t="s">
        <v>361</v>
      </c>
      <c r="D263" s="12" t="s">
        <v>992</v>
      </c>
      <c r="E263" s="24" t="s">
        <v>149</v>
      </c>
      <c r="F263" s="12"/>
      <c r="G263" s="12" t="str">
        <f aca="false">IFERROR(VLOOKUP($F263,ItemList_Full,2,0),"")</f>
        <v/>
      </c>
      <c r="H263" s="12"/>
      <c r="I263" s="12" t="str">
        <f aca="false">IFERROR(VLOOKUP($F263,ItemList_Full,3,0),"")</f>
        <v/>
      </c>
      <c r="J263" s="12" t="str">
        <f aca="false">IFERROR(VLOOKUP($F263,ItemList_Full,4,0),"")</f>
        <v/>
      </c>
      <c r="K263" s="13" t="n">
        <v>400</v>
      </c>
      <c r="L263" s="12"/>
      <c r="M263" s="24"/>
      <c r="N263" s="12" t="s">
        <v>229</v>
      </c>
      <c r="O263" s="12"/>
      <c r="P263" s="13" t="n">
        <f aca="false">IF($E263="","",IF(OR($E263="Director Draw",$E263="Payroll/Employee Charge"),0,-$K263))</f>
        <v>-400</v>
      </c>
      <c r="Q263" s="12" t="n">
        <f aca="false">IF($E263="Inventory Purchase",$H263,0)</f>
        <v>0</v>
      </c>
      <c r="U263" s="1" t="s">
        <v>993</v>
      </c>
      <c r="V263" s="1" t="s">
        <v>994</v>
      </c>
      <c r="W263" s="1" t="s">
        <v>267</v>
      </c>
      <c r="X263" s="1" t="n">
        <v>390</v>
      </c>
      <c r="Y263" s="1" t="s">
        <v>132</v>
      </c>
    </row>
    <row r="264" customFormat="false" ht="15" hidden="false" customHeight="true" outlineLevel="0" collapsed="false">
      <c r="A264" s="19" t="n">
        <v>46279</v>
      </c>
      <c r="B264" s="12" t="n">
        <f aca="false">IF($A264="","",ROW()-4)</f>
        <v>260</v>
      </c>
      <c r="C264" s="12" t="s">
        <v>299</v>
      </c>
      <c r="D264" s="12" t="s">
        <v>300</v>
      </c>
      <c r="E264" s="24" t="s">
        <v>149</v>
      </c>
      <c r="F264" s="12"/>
      <c r="G264" s="12" t="str">
        <f aca="false">IFERROR(VLOOKUP($F264,ItemList_Full,2,0),"")</f>
        <v/>
      </c>
      <c r="H264" s="12"/>
      <c r="I264" s="12" t="str">
        <f aca="false">IFERROR(VLOOKUP($F264,ItemList_Full,3,0),"")</f>
        <v/>
      </c>
      <c r="J264" s="12" t="str">
        <f aca="false">IFERROR(VLOOKUP($F264,ItemList_Full,4,0),"")</f>
        <v/>
      </c>
      <c r="K264" s="13" t="n">
        <v>200</v>
      </c>
      <c r="L264" s="12"/>
      <c r="M264" s="24"/>
      <c r="N264" s="12" t="s">
        <v>229</v>
      </c>
      <c r="O264" s="12"/>
      <c r="P264" s="13" t="n">
        <f aca="false">IF($E264="","",IF(OR($E264="Director Draw",$E264="Payroll/Employee Charge"),0,-$K264))</f>
        <v>-200</v>
      </c>
      <c r="Q264" s="12" t="n">
        <f aca="false">IF($E264="Inventory Purchase",$H264,0)</f>
        <v>0</v>
      </c>
      <c r="U264" s="1" t="s">
        <v>995</v>
      </c>
      <c r="V264" s="1" t="s">
        <v>996</v>
      </c>
      <c r="W264" s="1" t="s">
        <v>267</v>
      </c>
      <c r="X264" s="1" t="n">
        <v>16.5</v>
      </c>
      <c r="Y264" s="1" t="s">
        <v>132</v>
      </c>
    </row>
    <row r="265" customFormat="false" ht="15" hidden="false" customHeight="true" outlineLevel="0" collapsed="false">
      <c r="A265" s="19" t="n">
        <v>46279</v>
      </c>
      <c r="B265" s="12" t="n">
        <f aca="false">IF($A265="","",ROW()-4)</f>
        <v>261</v>
      </c>
      <c r="C265" s="12" t="s">
        <v>480</v>
      </c>
      <c r="D265" s="12" t="s">
        <v>997</v>
      </c>
      <c r="E265" s="24" t="s">
        <v>150</v>
      </c>
      <c r="F265" s="12"/>
      <c r="G265" s="12" t="str">
        <f aca="false">IFERROR(VLOOKUP($F265,ItemList_Full,2,0),"")</f>
        <v/>
      </c>
      <c r="H265" s="12"/>
      <c r="I265" s="12" t="str">
        <f aca="false">IFERROR(VLOOKUP($F265,ItemList_Full,3,0),"")</f>
        <v/>
      </c>
      <c r="J265" s="12" t="str">
        <f aca="false">IFERROR(VLOOKUP($F265,ItemList_Full,4,0),"")</f>
        <v/>
      </c>
      <c r="K265" s="13" t="n">
        <v>600</v>
      </c>
      <c r="L265" s="12"/>
      <c r="M265" s="24"/>
      <c r="N265" s="12" t="s">
        <v>229</v>
      </c>
      <c r="O265" s="12"/>
      <c r="P265" s="13" t="n">
        <f aca="false">IF($E265="","",IF(OR($E265="Director Draw",$E265="Payroll/Employee Charge"),0,-$K265))</f>
        <v>-600</v>
      </c>
      <c r="Q265" s="12" t="n">
        <f aca="false">IF($E265="Inventory Purchase",$H265,0)</f>
        <v>0</v>
      </c>
      <c r="U265" s="1" t="s">
        <v>998</v>
      </c>
      <c r="V265" s="1" t="s">
        <v>999</v>
      </c>
      <c r="W265" s="1" t="s">
        <v>246</v>
      </c>
      <c r="X265" s="1" t="n">
        <v>13</v>
      </c>
      <c r="Y265" s="1" t="s">
        <v>132</v>
      </c>
    </row>
    <row r="266" customFormat="false" ht="15" hidden="false" customHeight="true" outlineLevel="0" collapsed="false">
      <c r="A266" s="19" t="n">
        <v>46279</v>
      </c>
      <c r="B266" s="12" t="n">
        <f aca="false">IF($A266="","",ROW()-4)</f>
        <v>262</v>
      </c>
      <c r="C266" s="12" t="s">
        <v>640</v>
      </c>
      <c r="D266" s="12" t="s">
        <v>865</v>
      </c>
      <c r="E266" s="24" t="s">
        <v>133</v>
      </c>
      <c r="F266" s="12"/>
      <c r="G266" s="12" t="str">
        <f aca="false">IFERROR(VLOOKUP($F266,ItemList_Full,2,0),"")</f>
        <v/>
      </c>
      <c r="H266" s="12"/>
      <c r="I266" s="12" t="str">
        <f aca="false">IFERROR(VLOOKUP($F266,ItemList_Full,3,0),"")</f>
        <v/>
      </c>
      <c r="J266" s="12" t="str">
        <f aca="false">IFERROR(VLOOKUP($F266,ItemList_Full,4,0),"")</f>
        <v/>
      </c>
      <c r="K266" s="13" t="n">
        <v>2800</v>
      </c>
      <c r="L266" s="12"/>
      <c r="M266" s="24"/>
      <c r="N266" s="12" t="s">
        <v>229</v>
      </c>
      <c r="O266" s="12"/>
      <c r="P266" s="13" t="n">
        <f aca="false">IF($E266="","",IF(OR($E266="Director Draw",$E266="Payroll/Employee Charge"),0,-$K266))</f>
        <v>-2800</v>
      </c>
      <c r="Q266" s="12" t="n">
        <f aca="false">IF($E266="Inventory Purchase",$H266,0)</f>
        <v>0</v>
      </c>
      <c r="U266" s="1" t="s">
        <v>1000</v>
      </c>
      <c r="V266" s="1" t="s">
        <v>1001</v>
      </c>
      <c r="W266" s="1" t="s">
        <v>246</v>
      </c>
      <c r="X266" s="1" t="n">
        <v>21</v>
      </c>
      <c r="Y266" s="1" t="s">
        <v>132</v>
      </c>
    </row>
    <row r="267" customFormat="false" ht="15" hidden="false" customHeight="true" outlineLevel="0" collapsed="false">
      <c r="A267" s="19" t="n">
        <v>46279</v>
      </c>
      <c r="B267" s="12" t="n">
        <f aca="false">IF($A267="","",ROW()-4)</f>
        <v>263</v>
      </c>
      <c r="C267" s="12" t="s">
        <v>1002</v>
      </c>
      <c r="D267" s="12" t="s">
        <v>1002</v>
      </c>
      <c r="E267" s="24" t="s">
        <v>127</v>
      </c>
      <c r="F267" s="12"/>
      <c r="G267" s="12" t="str">
        <f aca="false">IFERROR(VLOOKUP($F267,ItemList_Full,2,0),"")</f>
        <v/>
      </c>
      <c r="H267" s="12"/>
      <c r="I267" s="12" t="str">
        <f aca="false">IFERROR(VLOOKUP($F267,ItemList_Full,3,0),"")</f>
        <v/>
      </c>
      <c r="J267" s="12" t="str">
        <f aca="false">IFERROR(VLOOKUP($F267,ItemList_Full,4,0),"")</f>
        <v/>
      </c>
      <c r="K267" s="13" t="n">
        <v>250</v>
      </c>
      <c r="L267" s="12"/>
      <c r="M267" s="24"/>
      <c r="N267" s="12" t="s">
        <v>229</v>
      </c>
      <c r="O267" s="12"/>
      <c r="P267" s="13" t="n">
        <f aca="false">IF($E267="","",IF(OR($E267="Director Draw",$E267="Payroll/Employee Charge"),0,-$K267))</f>
        <v>-250</v>
      </c>
      <c r="Q267" s="12" t="n">
        <f aca="false">IF($E267="Inventory Purchase",$H267,0)</f>
        <v>0</v>
      </c>
      <c r="U267" s="1" t="s">
        <v>1003</v>
      </c>
      <c r="V267" s="1" t="s">
        <v>1004</v>
      </c>
      <c r="W267" s="1" t="s">
        <v>246</v>
      </c>
      <c r="X267" s="1" t="n">
        <v>65</v>
      </c>
      <c r="Y267" s="1" t="s">
        <v>132</v>
      </c>
    </row>
    <row r="268" customFormat="false" ht="15" hidden="false" customHeight="true" outlineLevel="0" collapsed="false">
      <c r="A268" s="19" t="n">
        <v>46280</v>
      </c>
      <c r="B268" s="12" t="n">
        <f aca="false">IF($A268="","",ROW()-4)</f>
        <v>264</v>
      </c>
      <c r="C268" s="12" t="s">
        <v>225</v>
      </c>
      <c r="D268" s="12" t="s">
        <v>305</v>
      </c>
      <c r="E268" s="24" t="s">
        <v>227</v>
      </c>
      <c r="F268" s="12"/>
      <c r="G268" s="12" t="str">
        <f aca="false">IFERROR(VLOOKUP($F268,ItemList_Full,2,0),"")</f>
        <v/>
      </c>
      <c r="H268" s="12"/>
      <c r="I268" s="12" t="str">
        <f aca="false">IFERROR(VLOOKUP($F268,ItemList_Full,3,0),"")</f>
        <v/>
      </c>
      <c r="J268" s="12" t="str">
        <f aca="false">IFERROR(VLOOKUP($F268,ItemList_Full,4,0),"")</f>
        <v/>
      </c>
      <c r="K268" s="13" t="n">
        <v>3050</v>
      </c>
      <c r="L268" s="12"/>
      <c r="M268" s="24" t="s">
        <v>228</v>
      </c>
      <c r="N268" s="12" t="s">
        <v>229</v>
      </c>
      <c r="O268" s="12"/>
      <c r="P268" s="13" t="n">
        <f aca="false">IF($E268="","",IF(OR($E268="Director Draw",$E268="Payroll/Employee Charge"),0,-$K268))</f>
        <v>0</v>
      </c>
      <c r="Q268" s="12" t="n">
        <f aca="false">IF($E268="Inventory Purchase",$H268,0)</f>
        <v>0</v>
      </c>
      <c r="U268" s="1" t="s">
        <v>1005</v>
      </c>
      <c r="V268" s="1" t="s">
        <v>1006</v>
      </c>
      <c r="W268" s="1" t="s">
        <v>246</v>
      </c>
      <c r="X268" s="1" t="n">
        <v>11.5</v>
      </c>
      <c r="Y268" s="1" t="s">
        <v>132</v>
      </c>
    </row>
    <row r="269" customFormat="false" ht="15" hidden="false" customHeight="true" outlineLevel="0" collapsed="false">
      <c r="A269" s="19" t="n">
        <v>46280</v>
      </c>
      <c r="B269" s="12" t="n">
        <f aca="false">IF($A269="","",ROW()-4)</f>
        <v>265</v>
      </c>
      <c r="C269" s="12" t="s">
        <v>225</v>
      </c>
      <c r="D269" s="12" t="s">
        <v>226</v>
      </c>
      <c r="E269" s="24" t="s">
        <v>227</v>
      </c>
      <c r="F269" s="12"/>
      <c r="G269" s="12" t="str">
        <f aca="false">IFERROR(VLOOKUP($F269,ItemList_Full,2,0),"")</f>
        <v/>
      </c>
      <c r="H269" s="12"/>
      <c r="I269" s="12" t="str">
        <f aca="false">IFERROR(VLOOKUP($F269,ItemList_Full,3,0),"")</f>
        <v/>
      </c>
      <c r="J269" s="12" t="str">
        <f aca="false">IFERROR(VLOOKUP($F269,ItemList_Full,4,0),"")</f>
        <v/>
      </c>
      <c r="K269" s="13" t="n">
        <v>41235</v>
      </c>
      <c r="L269" s="12"/>
      <c r="M269" s="24" t="s">
        <v>228</v>
      </c>
      <c r="N269" s="12" t="s">
        <v>229</v>
      </c>
      <c r="O269" s="12"/>
      <c r="P269" s="13" t="n">
        <f aca="false">IF($E269="","",IF(OR($E269="Director Draw",$E269="Payroll/Employee Charge"),0,-$K269))</f>
        <v>0</v>
      </c>
      <c r="Q269" s="12" t="n">
        <f aca="false">IF($E269="Inventory Purchase",$H269,0)</f>
        <v>0</v>
      </c>
      <c r="U269" s="1" t="s">
        <v>1007</v>
      </c>
      <c r="V269" s="1" t="s">
        <v>1008</v>
      </c>
      <c r="W269" s="1" t="s">
        <v>246</v>
      </c>
      <c r="X269" s="1" t="n">
        <v>16.5</v>
      </c>
      <c r="Y269" s="1" t="s">
        <v>132</v>
      </c>
    </row>
    <row r="270" customFormat="false" ht="15" hidden="false" customHeight="true" outlineLevel="0" collapsed="false">
      <c r="A270" s="19" t="n">
        <v>46280</v>
      </c>
      <c r="B270" s="12" t="n">
        <f aca="false">IF($A270="","",ROW()-4)</f>
        <v>266</v>
      </c>
      <c r="C270" s="12" t="s">
        <v>225</v>
      </c>
      <c r="D270" s="12" t="s">
        <v>671</v>
      </c>
      <c r="E270" s="24" t="s">
        <v>227</v>
      </c>
      <c r="F270" s="12"/>
      <c r="G270" s="12" t="str">
        <f aca="false">IFERROR(VLOOKUP($F270,ItemList_Full,2,0),"")</f>
        <v/>
      </c>
      <c r="H270" s="12"/>
      <c r="I270" s="12" t="str">
        <f aca="false">IFERROR(VLOOKUP($F270,ItemList_Full,3,0),"")</f>
        <v/>
      </c>
      <c r="J270" s="12" t="str">
        <f aca="false">IFERROR(VLOOKUP($F270,ItemList_Full,4,0),"")</f>
        <v/>
      </c>
      <c r="K270" s="13" t="n">
        <v>1255</v>
      </c>
      <c r="L270" s="12"/>
      <c r="M270" s="24" t="s">
        <v>234</v>
      </c>
      <c r="N270" s="12" t="s">
        <v>229</v>
      </c>
      <c r="O270" s="12"/>
      <c r="P270" s="13" t="n">
        <f aca="false">IF($E270="","",IF(OR($E270="Director Draw",$E270="Payroll/Employee Charge"),0,-$K270))</f>
        <v>0</v>
      </c>
      <c r="Q270" s="12" t="n">
        <f aca="false">IF($E270="Inventory Purchase",$H270,0)</f>
        <v>0</v>
      </c>
      <c r="U270" s="1" t="s">
        <v>1009</v>
      </c>
      <c r="V270" s="1" t="s">
        <v>1010</v>
      </c>
      <c r="W270" s="1" t="s">
        <v>246</v>
      </c>
      <c r="X270" s="1" t="n">
        <v>33</v>
      </c>
      <c r="Y270" s="1" t="s">
        <v>132</v>
      </c>
    </row>
    <row r="271" customFormat="false" ht="15" hidden="false" customHeight="true" outlineLevel="0" collapsed="false">
      <c r="A271" s="19" t="n">
        <v>46280</v>
      </c>
      <c r="B271" s="12" t="n">
        <f aca="false">IF($A271="","",ROW()-4)</f>
        <v>267</v>
      </c>
      <c r="C271" s="12" t="s">
        <v>247</v>
      </c>
      <c r="D271" s="12" t="s">
        <v>248</v>
      </c>
      <c r="E271" s="24" t="s">
        <v>153</v>
      </c>
      <c r="F271" s="12"/>
      <c r="G271" s="12" t="str">
        <f aca="false">IFERROR(VLOOKUP($F271,ItemList_Full,2,0),"")</f>
        <v/>
      </c>
      <c r="H271" s="12"/>
      <c r="I271" s="12" t="str">
        <f aca="false">IFERROR(VLOOKUP($F271,ItemList_Full,3,0),"")</f>
        <v/>
      </c>
      <c r="J271" s="12" t="str">
        <f aca="false">IFERROR(VLOOKUP($F271,ItemList_Full,4,0),"")</f>
        <v/>
      </c>
      <c r="K271" s="13" t="n">
        <v>6776</v>
      </c>
      <c r="L271" s="12"/>
      <c r="M271" s="24"/>
      <c r="N271" s="12" t="s">
        <v>229</v>
      </c>
      <c r="O271" s="12"/>
      <c r="P271" s="13" t="n">
        <f aca="false">IF($E271="","",IF(OR($E271="Director Draw",$E271="Payroll/Employee Charge"),0,-$K271))</f>
        <v>-6776</v>
      </c>
      <c r="Q271" s="12" t="n">
        <f aca="false">IF($E271="Inventory Purchase",$H271,0)</f>
        <v>0</v>
      </c>
      <c r="U271" s="1" t="s">
        <v>1011</v>
      </c>
      <c r="V271" s="1" t="s">
        <v>1012</v>
      </c>
      <c r="W271" s="1" t="s">
        <v>246</v>
      </c>
      <c r="X271" s="1" t="n">
        <v>75</v>
      </c>
      <c r="Y271" s="1" t="s">
        <v>132</v>
      </c>
    </row>
    <row r="272" customFormat="false" ht="15" hidden="false" customHeight="true" outlineLevel="0" collapsed="false">
      <c r="A272" s="19" t="n">
        <v>46280</v>
      </c>
      <c r="B272" s="12" t="n">
        <f aca="false">IF($A272="","",ROW()-4)</f>
        <v>268</v>
      </c>
      <c r="C272" s="12" t="s">
        <v>255</v>
      </c>
      <c r="D272" s="12" t="s">
        <v>256</v>
      </c>
      <c r="E272" s="24" t="s">
        <v>139</v>
      </c>
      <c r="F272" s="12"/>
      <c r="G272" s="12" t="str">
        <f aca="false">IFERROR(VLOOKUP($F272,ItemList_Full,2,0),"")</f>
        <v/>
      </c>
      <c r="H272" s="12"/>
      <c r="I272" s="12" t="str">
        <f aca="false">IFERROR(VLOOKUP($F272,ItemList_Full,3,0),"")</f>
        <v/>
      </c>
      <c r="J272" s="12" t="str">
        <f aca="false">IFERROR(VLOOKUP($F272,ItemList_Full,4,0),"")</f>
        <v/>
      </c>
      <c r="K272" s="13" t="n">
        <v>540</v>
      </c>
      <c r="L272" s="12"/>
      <c r="M272" s="24"/>
      <c r="N272" s="12" t="s">
        <v>229</v>
      </c>
      <c r="O272" s="12"/>
      <c r="P272" s="13" t="n">
        <f aca="false">IF($E272="","",IF(OR($E272="Director Draw",$E272="Payroll/Employee Charge"),0,-$K272))</f>
        <v>-540</v>
      </c>
      <c r="Q272" s="12" t="n">
        <f aca="false">IF($E272="Inventory Purchase",$H272,0)</f>
        <v>0</v>
      </c>
      <c r="U272" s="1" t="s">
        <v>1013</v>
      </c>
      <c r="V272" s="1" t="s">
        <v>1014</v>
      </c>
      <c r="W272" s="1" t="s">
        <v>246</v>
      </c>
      <c r="X272" s="1" t="n">
        <v>8</v>
      </c>
      <c r="Y272" s="1" t="s">
        <v>132</v>
      </c>
    </row>
    <row r="273" customFormat="false" ht="15" hidden="false" customHeight="true" outlineLevel="0" collapsed="false">
      <c r="A273" s="19" t="n">
        <v>46280</v>
      </c>
      <c r="B273" s="12" t="n">
        <f aca="false">IF($A273="","",ROW()-4)</f>
        <v>269</v>
      </c>
      <c r="C273" s="12" t="s">
        <v>449</v>
      </c>
      <c r="D273" s="12" t="s">
        <v>749</v>
      </c>
      <c r="E273" s="24" t="s">
        <v>139</v>
      </c>
      <c r="F273" s="12"/>
      <c r="G273" s="12" t="str">
        <f aca="false">IFERROR(VLOOKUP($F273,ItemList_Full,2,0),"")</f>
        <v/>
      </c>
      <c r="H273" s="12"/>
      <c r="I273" s="12" t="str">
        <f aca="false">IFERROR(VLOOKUP($F273,ItemList_Full,3,0),"")</f>
        <v/>
      </c>
      <c r="J273" s="12" t="str">
        <f aca="false">IFERROR(VLOOKUP($F273,ItemList_Full,4,0),"")</f>
        <v/>
      </c>
      <c r="K273" s="13" t="n">
        <v>870</v>
      </c>
      <c r="L273" s="12"/>
      <c r="M273" s="24"/>
      <c r="N273" s="12" t="s">
        <v>229</v>
      </c>
      <c r="O273" s="12"/>
      <c r="P273" s="13" t="n">
        <f aca="false">IF($E273="","",IF(OR($E273="Director Draw",$E273="Payroll/Employee Charge"),0,-$K273))</f>
        <v>-870</v>
      </c>
      <c r="Q273" s="12" t="n">
        <f aca="false">IF($E273="Inventory Purchase",$H273,0)</f>
        <v>0</v>
      </c>
      <c r="U273" s="1" t="s">
        <v>1015</v>
      </c>
      <c r="V273" s="1" t="s">
        <v>1016</v>
      </c>
      <c r="W273" s="1" t="s">
        <v>246</v>
      </c>
      <c r="X273" s="1" t="n">
        <v>2</v>
      </c>
      <c r="Y273" s="1" t="s">
        <v>132</v>
      </c>
    </row>
    <row r="274" customFormat="false" ht="15" hidden="false" customHeight="true" outlineLevel="0" collapsed="false">
      <c r="A274" s="19" t="n">
        <v>46280</v>
      </c>
      <c r="B274" s="12" t="n">
        <f aca="false">IF($A274="","",ROW()-4)</f>
        <v>270</v>
      </c>
      <c r="C274" s="12" t="s">
        <v>449</v>
      </c>
      <c r="D274" s="12" t="s">
        <v>846</v>
      </c>
      <c r="E274" s="24" t="s">
        <v>139</v>
      </c>
      <c r="F274" s="12"/>
      <c r="G274" s="12" t="str">
        <f aca="false">IFERROR(VLOOKUP($F274,ItemList_Full,2,0),"")</f>
        <v/>
      </c>
      <c r="H274" s="12"/>
      <c r="I274" s="12" t="str">
        <f aca="false">IFERROR(VLOOKUP($F274,ItemList_Full,3,0),"")</f>
        <v/>
      </c>
      <c r="J274" s="12" t="str">
        <f aca="false">IFERROR(VLOOKUP($F274,ItemList_Full,4,0),"")</f>
        <v/>
      </c>
      <c r="K274" s="13" t="n">
        <v>1000</v>
      </c>
      <c r="L274" s="12"/>
      <c r="M274" s="24"/>
      <c r="N274" s="12" t="s">
        <v>229</v>
      </c>
      <c r="O274" s="12"/>
      <c r="P274" s="13" t="n">
        <f aca="false">IF($E274="","",IF(OR($E274="Director Draw",$E274="Payroll/Employee Charge"),0,-$K274))</f>
        <v>-1000</v>
      </c>
      <c r="Q274" s="12" t="n">
        <f aca="false">IF($E274="Inventory Purchase",$H274,0)</f>
        <v>0</v>
      </c>
      <c r="U274" s="1" t="s">
        <v>1017</v>
      </c>
      <c r="V274" s="1" t="s">
        <v>1018</v>
      </c>
      <c r="W274" s="1" t="s">
        <v>246</v>
      </c>
      <c r="X274" s="1" t="n">
        <v>20.2775</v>
      </c>
      <c r="Y274" s="1" t="s">
        <v>132</v>
      </c>
    </row>
    <row r="275" customFormat="false" ht="15" hidden="false" customHeight="true" outlineLevel="0" collapsed="false">
      <c r="A275" s="19" t="n">
        <v>46280</v>
      </c>
      <c r="B275" s="12" t="n">
        <f aca="false">IF($A275="","",ROW()-4)</f>
        <v>271</v>
      </c>
      <c r="C275" s="12" t="s">
        <v>449</v>
      </c>
      <c r="D275" s="12" t="s">
        <v>260</v>
      </c>
      <c r="E275" s="24" t="s">
        <v>139</v>
      </c>
      <c r="F275" s="12"/>
      <c r="G275" s="12" t="str">
        <f aca="false">IFERROR(VLOOKUP($F275,ItemList_Full,2,0),"")</f>
        <v/>
      </c>
      <c r="H275" s="12"/>
      <c r="I275" s="12" t="str">
        <f aca="false">IFERROR(VLOOKUP($F275,ItemList_Full,3,0),"")</f>
        <v/>
      </c>
      <c r="J275" s="12" t="str">
        <f aca="false">IFERROR(VLOOKUP($F275,ItemList_Full,4,0),"")</f>
        <v/>
      </c>
      <c r="K275" s="13" t="n">
        <v>3270</v>
      </c>
      <c r="L275" s="12"/>
      <c r="M275" s="24"/>
      <c r="N275" s="12" t="s">
        <v>229</v>
      </c>
      <c r="O275" s="12"/>
      <c r="P275" s="13" t="n">
        <f aca="false">IF($E275="","",IF(OR($E275="Director Draw",$E275="Payroll/Employee Charge"),0,-$K275))</f>
        <v>-3270</v>
      </c>
      <c r="Q275" s="12" t="n">
        <f aca="false">IF($E275="Inventory Purchase",$H275,0)</f>
        <v>0</v>
      </c>
      <c r="U275" s="1" t="s">
        <v>1019</v>
      </c>
      <c r="V275" s="1" t="s">
        <v>1020</v>
      </c>
      <c r="W275" s="1" t="s">
        <v>246</v>
      </c>
      <c r="X275" s="1" t="n">
        <v>11.7</v>
      </c>
      <c r="Y275" s="1" t="s">
        <v>132</v>
      </c>
    </row>
    <row r="276" customFormat="false" ht="15" hidden="false" customHeight="true" outlineLevel="0" collapsed="false">
      <c r="A276" s="19" t="n">
        <v>46280</v>
      </c>
      <c r="B276" s="12" t="n">
        <f aca="false">IF($A276="","",ROW()-4)</f>
        <v>272</v>
      </c>
      <c r="C276" s="12" t="s">
        <v>449</v>
      </c>
      <c r="D276" s="12" t="s">
        <v>563</v>
      </c>
      <c r="E276" s="24" t="s">
        <v>139</v>
      </c>
      <c r="F276" s="12"/>
      <c r="G276" s="12" t="str">
        <f aca="false">IFERROR(VLOOKUP($F276,ItemList_Full,2,0),"")</f>
        <v/>
      </c>
      <c r="H276" s="12"/>
      <c r="I276" s="12" t="str">
        <f aca="false">IFERROR(VLOOKUP($F276,ItemList_Full,3,0),"")</f>
        <v/>
      </c>
      <c r="J276" s="12" t="str">
        <f aca="false">IFERROR(VLOOKUP($F276,ItemList_Full,4,0),"")</f>
        <v/>
      </c>
      <c r="K276" s="13" t="n">
        <v>6936</v>
      </c>
      <c r="L276" s="12"/>
      <c r="M276" s="24"/>
      <c r="N276" s="12" t="s">
        <v>229</v>
      </c>
      <c r="O276" s="12"/>
      <c r="P276" s="13" t="n">
        <f aca="false">IF($E276="","",IF(OR($E276="Director Draw",$E276="Payroll/Employee Charge"),0,-$K276))</f>
        <v>-6936</v>
      </c>
      <c r="Q276" s="12" t="n">
        <f aca="false">IF($E276="Inventory Purchase",$H276,0)</f>
        <v>0</v>
      </c>
      <c r="U276" s="1" t="s">
        <v>1021</v>
      </c>
      <c r="V276" s="1" t="s">
        <v>1022</v>
      </c>
      <c r="W276" s="1" t="s">
        <v>246</v>
      </c>
      <c r="X276" s="1" t="n">
        <v>25</v>
      </c>
      <c r="Y276" s="1" t="s">
        <v>132</v>
      </c>
    </row>
    <row r="277" customFormat="false" ht="15" hidden="false" customHeight="true" outlineLevel="0" collapsed="false">
      <c r="A277" s="19" t="n">
        <v>46280</v>
      </c>
      <c r="B277" s="12" t="n">
        <f aca="false">IF($A277="","",ROW()-4)</f>
        <v>273</v>
      </c>
      <c r="C277" s="12" t="s">
        <v>695</v>
      </c>
      <c r="D277" s="12" t="s">
        <v>1023</v>
      </c>
      <c r="E277" s="24" t="s">
        <v>139</v>
      </c>
      <c r="F277" s="12"/>
      <c r="G277" s="12" t="str">
        <f aca="false">IFERROR(VLOOKUP($F277,ItemList_Full,2,0),"")</f>
        <v/>
      </c>
      <c r="H277" s="12"/>
      <c r="I277" s="12" t="str">
        <f aca="false">IFERROR(VLOOKUP($F277,ItemList_Full,3,0),"")</f>
        <v/>
      </c>
      <c r="J277" s="12" t="str">
        <f aca="false">IFERROR(VLOOKUP($F277,ItemList_Full,4,0),"")</f>
        <v/>
      </c>
      <c r="K277" s="13" t="n">
        <v>171754</v>
      </c>
      <c r="L277" s="12"/>
      <c r="M277" s="24"/>
      <c r="N277" s="12" t="s">
        <v>229</v>
      </c>
      <c r="O277" s="12"/>
      <c r="P277" s="13" t="n">
        <f aca="false">IF($E277="","",IF(OR($E277="Director Draw",$E277="Payroll/Employee Charge"),0,-$K277))</f>
        <v>-171754</v>
      </c>
      <c r="Q277" s="12" t="n">
        <f aca="false">IF($E277="Inventory Purchase",$H277,0)</f>
        <v>0</v>
      </c>
      <c r="U277" s="1" t="s">
        <v>1024</v>
      </c>
      <c r="V277" s="1" t="s">
        <v>1025</v>
      </c>
      <c r="W277" s="1" t="s">
        <v>246</v>
      </c>
      <c r="X277" s="1" t="n">
        <v>150</v>
      </c>
      <c r="Y277" s="1" t="s">
        <v>132</v>
      </c>
    </row>
    <row r="278" customFormat="false" ht="15" hidden="false" customHeight="true" outlineLevel="0" collapsed="false">
      <c r="A278" s="19" t="n">
        <v>46280</v>
      </c>
      <c r="B278" s="12" t="n">
        <f aca="false">IF($A278="","",ROW()-4)</f>
        <v>274</v>
      </c>
      <c r="C278" s="12" t="s">
        <v>1026</v>
      </c>
      <c r="D278" s="12" t="s">
        <v>388</v>
      </c>
      <c r="E278" s="24" t="s">
        <v>139</v>
      </c>
      <c r="F278" s="12"/>
      <c r="G278" s="12" t="str">
        <f aca="false">IFERROR(VLOOKUP($F278,ItemList_Full,2,0),"")</f>
        <v/>
      </c>
      <c r="H278" s="12"/>
      <c r="I278" s="12" t="str">
        <f aca="false">IFERROR(VLOOKUP($F278,ItemList_Full,3,0),"")</f>
        <v/>
      </c>
      <c r="J278" s="12" t="str">
        <f aca="false">IFERROR(VLOOKUP($F278,ItemList_Full,4,0),"")</f>
        <v/>
      </c>
      <c r="K278" s="13" t="n">
        <v>47500</v>
      </c>
      <c r="L278" s="12"/>
      <c r="M278" s="24"/>
      <c r="N278" s="12" t="s">
        <v>229</v>
      </c>
      <c r="O278" s="12"/>
      <c r="P278" s="13" t="n">
        <f aca="false">IF($E278="","",IF(OR($E278="Director Draw",$E278="Payroll/Employee Charge"),0,-$K278))</f>
        <v>-47500</v>
      </c>
      <c r="Q278" s="12" t="n">
        <f aca="false">IF($E278="Inventory Purchase",$H278,0)</f>
        <v>0</v>
      </c>
      <c r="U278" s="1" t="s">
        <v>1027</v>
      </c>
      <c r="V278" s="1" t="s">
        <v>1028</v>
      </c>
      <c r="W278" s="1" t="s">
        <v>241</v>
      </c>
      <c r="X278" s="1" t="n">
        <v>100</v>
      </c>
      <c r="Y278" s="1" t="s">
        <v>127</v>
      </c>
    </row>
    <row r="279" customFormat="false" ht="15" hidden="false" customHeight="true" outlineLevel="0" collapsed="false">
      <c r="A279" s="19" t="n">
        <v>46280</v>
      </c>
      <c r="B279" s="12" t="n">
        <f aca="false">IF($A279="","",ROW()-4)</f>
        <v>275</v>
      </c>
      <c r="C279" s="12" t="s">
        <v>1029</v>
      </c>
      <c r="D279" s="12" t="s">
        <v>553</v>
      </c>
      <c r="E279" s="24" t="s">
        <v>139</v>
      </c>
      <c r="F279" s="12"/>
      <c r="G279" s="12" t="str">
        <f aca="false">IFERROR(VLOOKUP($F279,ItemList_Full,2,0),"")</f>
        <v/>
      </c>
      <c r="H279" s="12"/>
      <c r="I279" s="12" t="str">
        <f aca="false">IFERROR(VLOOKUP($F279,ItemList_Full,3,0),"")</f>
        <v/>
      </c>
      <c r="J279" s="12" t="str">
        <f aca="false">IFERROR(VLOOKUP($F279,ItemList_Full,4,0),"")</f>
        <v/>
      </c>
      <c r="K279" s="13" t="n">
        <v>10627</v>
      </c>
      <c r="L279" s="12"/>
      <c r="M279" s="24"/>
      <c r="N279" s="12" t="s">
        <v>229</v>
      </c>
      <c r="O279" s="12"/>
      <c r="P279" s="13" t="n">
        <f aca="false">IF($E279="","",IF(OR($E279="Director Draw",$E279="Payroll/Employee Charge"),0,-$K279))</f>
        <v>-10627</v>
      </c>
      <c r="Q279" s="12" t="n">
        <f aca="false">IF($E279="Inventory Purchase",$H279,0)</f>
        <v>0</v>
      </c>
      <c r="U279" s="1" t="s">
        <v>1030</v>
      </c>
      <c r="V279" s="1" t="s">
        <v>704</v>
      </c>
      <c r="W279" s="1" t="s">
        <v>241</v>
      </c>
      <c r="X279" s="1" t="n">
        <v>120</v>
      </c>
      <c r="Y279" s="1" t="s">
        <v>127</v>
      </c>
    </row>
    <row r="280" customFormat="false" ht="15" hidden="false" customHeight="true" outlineLevel="0" collapsed="false">
      <c r="A280" s="19" t="n">
        <v>46280</v>
      </c>
      <c r="B280" s="12" t="n">
        <f aca="false">IF($A280="","",ROW()-4)</f>
        <v>276</v>
      </c>
      <c r="C280" s="12" t="s">
        <v>1031</v>
      </c>
      <c r="D280" s="12" t="s">
        <v>686</v>
      </c>
      <c r="E280" s="24" t="s">
        <v>139</v>
      </c>
      <c r="F280" s="12"/>
      <c r="G280" s="12" t="str">
        <f aca="false">IFERROR(VLOOKUP($F280,ItemList_Full,2,0),"")</f>
        <v/>
      </c>
      <c r="H280" s="12"/>
      <c r="I280" s="12" t="str">
        <f aca="false">IFERROR(VLOOKUP($F280,ItemList_Full,3,0),"")</f>
        <v/>
      </c>
      <c r="J280" s="12" t="str">
        <f aca="false">IFERROR(VLOOKUP($F280,ItemList_Full,4,0),"")</f>
        <v/>
      </c>
      <c r="K280" s="13" t="n">
        <v>104757</v>
      </c>
      <c r="L280" s="12"/>
      <c r="M280" s="24"/>
      <c r="N280" s="12" t="s">
        <v>229</v>
      </c>
      <c r="O280" s="12"/>
      <c r="P280" s="13" t="n">
        <f aca="false">IF($E280="","",IF(OR($E280="Director Draw",$E280="Payroll/Employee Charge"),0,-$K280))</f>
        <v>-104757</v>
      </c>
      <c r="Q280" s="12" t="n">
        <f aca="false">IF($E280="Inventory Purchase",$H280,0)</f>
        <v>0</v>
      </c>
      <c r="U280" s="1" t="s">
        <v>1032</v>
      </c>
      <c r="V280" s="1" t="s">
        <v>1033</v>
      </c>
      <c r="W280" s="1" t="s">
        <v>241</v>
      </c>
      <c r="X280" s="1" t="n">
        <v>2300</v>
      </c>
      <c r="Y280" s="1" t="s">
        <v>127</v>
      </c>
    </row>
    <row r="281" customFormat="false" ht="15" hidden="false" customHeight="true" outlineLevel="0" collapsed="false">
      <c r="A281" s="19" t="n">
        <v>46280</v>
      </c>
      <c r="B281" s="12" t="n">
        <f aca="false">IF($A281="","",ROW()-4)</f>
        <v>277</v>
      </c>
      <c r="C281" s="12" t="s">
        <v>251</v>
      </c>
      <c r="D281" s="12" t="s">
        <v>1034</v>
      </c>
      <c r="E281" s="24" t="s">
        <v>139</v>
      </c>
      <c r="F281" s="12"/>
      <c r="G281" s="12" t="str">
        <f aca="false">IFERROR(VLOOKUP($F281,ItemList_Full,2,0),"")</f>
        <v/>
      </c>
      <c r="H281" s="12"/>
      <c r="I281" s="12" t="str">
        <f aca="false">IFERROR(VLOOKUP($F281,ItemList_Full,3,0),"")</f>
        <v/>
      </c>
      <c r="J281" s="12" t="str">
        <f aca="false">IFERROR(VLOOKUP($F281,ItemList_Full,4,0),"")</f>
        <v/>
      </c>
      <c r="K281" s="13" t="n">
        <v>142200</v>
      </c>
      <c r="L281" s="12"/>
      <c r="M281" s="24"/>
      <c r="N281" s="12" t="s">
        <v>229</v>
      </c>
      <c r="O281" s="12"/>
      <c r="P281" s="13" t="n">
        <f aca="false">IF($E281="","",IF(OR($E281="Director Draw",$E281="Payroll/Employee Charge"),0,-$K281))</f>
        <v>-142200</v>
      </c>
      <c r="Q281" s="12" t="n">
        <f aca="false">IF($E281="Inventory Purchase",$H281,0)</f>
        <v>0</v>
      </c>
      <c r="U281" s="1" t="s">
        <v>1035</v>
      </c>
      <c r="V281" s="1" t="s">
        <v>1036</v>
      </c>
      <c r="W281" s="1" t="s">
        <v>350</v>
      </c>
      <c r="X281" s="1" t="n">
        <v>165</v>
      </c>
      <c r="Y281" s="1" t="s">
        <v>127</v>
      </c>
    </row>
    <row r="282" customFormat="false" ht="15" hidden="false" customHeight="true" outlineLevel="0" collapsed="false">
      <c r="A282" s="19" t="n">
        <v>46280</v>
      </c>
      <c r="B282" s="12" t="n">
        <f aca="false">IF($A282="","",ROW()-4)</f>
        <v>278</v>
      </c>
      <c r="C282" s="12" t="s">
        <v>674</v>
      </c>
      <c r="D282" s="12" t="s">
        <v>675</v>
      </c>
      <c r="E282" s="24" t="s">
        <v>139</v>
      </c>
      <c r="F282" s="12"/>
      <c r="G282" s="12" t="str">
        <f aca="false">IFERROR(VLOOKUP($F282,ItemList_Full,2,0),"")</f>
        <v/>
      </c>
      <c r="H282" s="12"/>
      <c r="I282" s="12" t="str">
        <f aca="false">IFERROR(VLOOKUP($F282,ItemList_Full,3,0),"")</f>
        <v/>
      </c>
      <c r="J282" s="12" t="str">
        <f aca="false">IFERROR(VLOOKUP($F282,ItemList_Full,4,0),"")</f>
        <v/>
      </c>
      <c r="K282" s="13" t="n">
        <v>18640</v>
      </c>
      <c r="L282" s="12"/>
      <c r="M282" s="24"/>
      <c r="N282" s="12" t="s">
        <v>229</v>
      </c>
      <c r="O282" s="12"/>
      <c r="P282" s="13" t="n">
        <f aca="false">IF($E282="","",IF(OR($E282="Director Draw",$E282="Payroll/Employee Charge"),0,-$K282))</f>
        <v>-18640</v>
      </c>
      <c r="Q282" s="12" t="n">
        <f aca="false">IF($E282="Inventory Purchase",$H282,0)</f>
        <v>0</v>
      </c>
      <c r="U282" s="1" t="s">
        <v>1037</v>
      </c>
      <c r="V282" s="1" t="s">
        <v>1038</v>
      </c>
      <c r="W282" s="1" t="s">
        <v>350</v>
      </c>
      <c r="X282" s="1" t="n">
        <v>165</v>
      </c>
      <c r="Y282" s="1" t="s">
        <v>127</v>
      </c>
    </row>
    <row r="283" customFormat="false" ht="15" hidden="false" customHeight="true" outlineLevel="0" collapsed="false">
      <c r="A283" s="19" t="n">
        <v>46280</v>
      </c>
      <c r="B283" s="12" t="n">
        <f aca="false">IF($A283="","",ROW()-4)</f>
        <v>279</v>
      </c>
      <c r="C283" s="12" t="s">
        <v>242</v>
      </c>
      <c r="D283" s="12" t="s">
        <v>243</v>
      </c>
      <c r="E283" s="24" t="s">
        <v>139</v>
      </c>
      <c r="F283" s="12"/>
      <c r="G283" s="12" t="str">
        <f aca="false">IFERROR(VLOOKUP($F283,ItemList_Full,2,0),"")</f>
        <v/>
      </c>
      <c r="H283" s="12"/>
      <c r="I283" s="12" t="str">
        <f aca="false">IFERROR(VLOOKUP($F283,ItemList_Full,3,0),"")</f>
        <v/>
      </c>
      <c r="J283" s="12" t="str">
        <f aca="false">IFERROR(VLOOKUP($F283,ItemList_Full,4,0),"")</f>
        <v/>
      </c>
      <c r="K283" s="13" t="n">
        <v>9000</v>
      </c>
      <c r="L283" s="12"/>
      <c r="M283" s="24"/>
      <c r="N283" s="12" t="s">
        <v>229</v>
      </c>
      <c r="O283" s="12"/>
      <c r="P283" s="13" t="n">
        <f aca="false">IF($E283="","",IF(OR($E283="Director Draw",$E283="Payroll/Employee Charge"),0,-$K283))</f>
        <v>-9000</v>
      </c>
      <c r="Q283" s="12" t="n">
        <f aca="false">IF($E283="Inventory Purchase",$H283,0)</f>
        <v>0</v>
      </c>
      <c r="U283" s="1" t="s">
        <v>1039</v>
      </c>
      <c r="V283" s="1" t="s">
        <v>1040</v>
      </c>
      <c r="W283" s="1" t="s">
        <v>350</v>
      </c>
      <c r="X283" s="1" t="n">
        <v>60</v>
      </c>
      <c r="Y283" s="1" t="s">
        <v>127</v>
      </c>
    </row>
    <row r="284" customFormat="false" ht="15" hidden="false" customHeight="true" outlineLevel="0" collapsed="false">
      <c r="A284" s="19" t="n">
        <v>46280</v>
      </c>
      <c r="B284" s="12" t="n">
        <f aca="false">IF($A284="","",ROW()-4)</f>
        <v>280</v>
      </c>
      <c r="C284" s="12" t="s">
        <v>445</v>
      </c>
      <c r="D284" s="12" t="s">
        <v>1041</v>
      </c>
      <c r="E284" s="24" t="s">
        <v>148</v>
      </c>
      <c r="F284" s="12"/>
      <c r="G284" s="12" t="str">
        <f aca="false">IFERROR(VLOOKUP($F284,ItemList_Full,2,0),"")</f>
        <v/>
      </c>
      <c r="H284" s="12"/>
      <c r="I284" s="12" t="str">
        <f aca="false">IFERROR(VLOOKUP($F284,ItemList_Full,3,0),"")</f>
        <v/>
      </c>
      <c r="J284" s="12" t="str">
        <f aca="false">IFERROR(VLOOKUP($F284,ItemList_Full,4,0),"")</f>
        <v/>
      </c>
      <c r="K284" s="13" t="n">
        <v>16000</v>
      </c>
      <c r="L284" s="12"/>
      <c r="M284" s="24"/>
      <c r="N284" s="12" t="s">
        <v>229</v>
      </c>
      <c r="O284" s="12"/>
      <c r="P284" s="13" t="n">
        <f aca="false">IF($E284="","",IF(OR($E284="Director Draw",$E284="Payroll/Employee Charge"),0,-$K284))</f>
        <v>-16000</v>
      </c>
      <c r="Q284" s="12" t="n">
        <f aca="false">IF($E284="Inventory Purchase",$H284,0)</f>
        <v>0</v>
      </c>
      <c r="U284" s="1" t="s">
        <v>1042</v>
      </c>
      <c r="V284" s="1" t="s">
        <v>1043</v>
      </c>
      <c r="W284" s="1" t="s">
        <v>350</v>
      </c>
      <c r="X284" s="1" t="n">
        <v>200</v>
      </c>
      <c r="Y284" s="1" t="s">
        <v>127</v>
      </c>
    </row>
    <row r="285" customFormat="false" ht="15" hidden="false" customHeight="true" outlineLevel="0" collapsed="false">
      <c r="A285" s="19" t="n">
        <v>46280</v>
      </c>
      <c r="B285" s="12" t="n">
        <f aca="false">IF($A285="","",ROW()-4)</f>
        <v>281</v>
      </c>
      <c r="C285" s="12" t="s">
        <v>449</v>
      </c>
      <c r="D285" s="12" t="s">
        <v>1044</v>
      </c>
      <c r="E285" s="24" t="s">
        <v>127</v>
      </c>
      <c r="F285" s="12"/>
      <c r="G285" s="12" t="str">
        <f aca="false">IFERROR(VLOOKUP($F285,ItemList_Full,2,0),"")</f>
        <v/>
      </c>
      <c r="H285" s="12"/>
      <c r="I285" s="12" t="str">
        <f aca="false">IFERROR(VLOOKUP($F285,ItemList_Full,3,0),"")</f>
        <v/>
      </c>
      <c r="J285" s="12" t="str">
        <f aca="false">IFERROR(VLOOKUP($F285,ItemList_Full,4,0),"")</f>
        <v/>
      </c>
      <c r="K285" s="13" t="n">
        <v>13500</v>
      </c>
      <c r="L285" s="12"/>
      <c r="M285" s="24"/>
      <c r="N285" s="12" t="s">
        <v>229</v>
      </c>
      <c r="O285" s="12"/>
      <c r="P285" s="13" t="n">
        <f aca="false">IF($E285="","",IF(OR($E285="Director Draw",$E285="Payroll/Employee Charge"),0,-$K285))</f>
        <v>-13500</v>
      </c>
      <c r="Q285" s="12" t="n">
        <f aca="false">IF($E285="Inventory Purchase",$H285,0)</f>
        <v>0</v>
      </c>
      <c r="U285" s="1" t="s">
        <v>1045</v>
      </c>
      <c r="V285" s="1" t="s">
        <v>1046</v>
      </c>
      <c r="W285" s="1" t="s">
        <v>246</v>
      </c>
      <c r="X285" s="1" t="n">
        <v>200</v>
      </c>
      <c r="Y285" s="1" t="s">
        <v>127</v>
      </c>
    </row>
    <row r="286" customFormat="false" ht="15" hidden="false" customHeight="true" outlineLevel="0" collapsed="false">
      <c r="A286" s="19" t="n">
        <v>46280</v>
      </c>
      <c r="B286" s="12" t="n">
        <f aca="false">IF($A286="","",ROW()-4)</f>
        <v>282</v>
      </c>
      <c r="C286" s="12" t="s">
        <v>449</v>
      </c>
      <c r="D286" s="12" t="s">
        <v>959</v>
      </c>
      <c r="E286" s="24" t="s">
        <v>140</v>
      </c>
      <c r="F286" s="12"/>
      <c r="G286" s="12" t="str">
        <f aca="false">IFERROR(VLOOKUP($F286,ItemList_Full,2,0),"")</f>
        <v/>
      </c>
      <c r="H286" s="12"/>
      <c r="I286" s="12" t="str">
        <f aca="false">IFERROR(VLOOKUP($F286,ItemList_Full,3,0),"")</f>
        <v/>
      </c>
      <c r="J286" s="12" t="str">
        <f aca="false">IFERROR(VLOOKUP($F286,ItemList_Full,4,0),"")</f>
        <v/>
      </c>
      <c r="K286" s="13" t="n">
        <v>4000</v>
      </c>
      <c r="L286" s="12"/>
      <c r="M286" s="24"/>
      <c r="N286" s="12" t="s">
        <v>229</v>
      </c>
      <c r="O286" s="12"/>
      <c r="P286" s="13" t="n">
        <f aca="false">IF($E286="","",IF(OR($E286="Director Draw",$E286="Payroll/Employee Charge"),0,-$K286))</f>
        <v>-4000</v>
      </c>
      <c r="Q286" s="12" t="n">
        <f aca="false">IF($E286="Inventory Purchase",$H286,0)</f>
        <v>0</v>
      </c>
      <c r="U286" s="1" t="s">
        <v>1047</v>
      </c>
      <c r="V286" s="1" t="s">
        <v>1048</v>
      </c>
      <c r="W286" s="1" t="s">
        <v>246</v>
      </c>
      <c r="X286" s="1" t="n">
        <v>250</v>
      </c>
      <c r="Y286" s="1" t="s">
        <v>127</v>
      </c>
    </row>
    <row r="287" customFormat="false" ht="15" hidden="false" customHeight="true" outlineLevel="0" collapsed="false">
      <c r="A287" s="19" t="n">
        <v>46280</v>
      </c>
      <c r="B287" s="12" t="n">
        <f aca="false">IF($A287="","",ROW()-4)</f>
        <v>283</v>
      </c>
      <c r="C287" s="12" t="s">
        <v>1049</v>
      </c>
      <c r="D287" s="12" t="s">
        <v>1050</v>
      </c>
      <c r="E287" s="24" t="s">
        <v>151</v>
      </c>
      <c r="F287" s="12"/>
      <c r="G287" s="12" t="str">
        <f aca="false">IFERROR(VLOOKUP($F287,ItemList_Full,2,0),"")</f>
        <v/>
      </c>
      <c r="H287" s="12"/>
      <c r="I287" s="12" t="str">
        <f aca="false">IFERROR(VLOOKUP($F287,ItemList_Full,3,0),"")</f>
        <v/>
      </c>
      <c r="J287" s="12" t="str">
        <f aca="false">IFERROR(VLOOKUP($F287,ItemList_Full,4,0),"")</f>
        <v/>
      </c>
      <c r="K287" s="13" t="n">
        <v>850</v>
      </c>
      <c r="L287" s="12"/>
      <c r="M287" s="24"/>
      <c r="N287" s="12" t="s">
        <v>229</v>
      </c>
      <c r="O287" s="12"/>
      <c r="P287" s="13" t="n">
        <f aca="false">IF($E287="","",IF(OR($E287="Director Draw",$E287="Payroll/Employee Charge"),0,-$K287))</f>
        <v>-850</v>
      </c>
      <c r="Q287" s="12" t="n">
        <f aca="false">IF($E287="Inventory Purchase",$H287,0)</f>
        <v>0</v>
      </c>
      <c r="U287" s="1" t="s">
        <v>1051</v>
      </c>
      <c r="V287" s="1" t="s">
        <v>1052</v>
      </c>
      <c r="W287" s="1" t="s">
        <v>246</v>
      </c>
      <c r="X287" s="1" t="n">
        <v>260</v>
      </c>
      <c r="Y287" s="1" t="s">
        <v>127</v>
      </c>
    </row>
    <row r="288" customFormat="false" ht="15" hidden="false" customHeight="true" outlineLevel="0" collapsed="false">
      <c r="A288" s="19" t="n">
        <v>46280</v>
      </c>
      <c r="B288" s="12" t="n">
        <f aca="false">IF($A288="","",ROW()-4)</f>
        <v>284</v>
      </c>
      <c r="C288" s="12" t="s">
        <v>1053</v>
      </c>
      <c r="D288" s="12" t="s">
        <v>1054</v>
      </c>
      <c r="E288" s="24" t="s">
        <v>146</v>
      </c>
      <c r="F288" s="12"/>
      <c r="G288" s="12" t="str">
        <f aca="false">IFERROR(VLOOKUP($F288,ItemList_Full,2,0),"")</f>
        <v/>
      </c>
      <c r="H288" s="12"/>
      <c r="I288" s="12" t="str">
        <f aca="false">IFERROR(VLOOKUP($F288,ItemList_Full,3,0),"")</f>
        <v/>
      </c>
      <c r="J288" s="12" t="str">
        <f aca="false">IFERROR(VLOOKUP($F288,ItemList_Full,4,0),"")</f>
        <v/>
      </c>
      <c r="K288" s="13" t="n">
        <v>900</v>
      </c>
      <c r="L288" s="12"/>
      <c r="M288" s="24"/>
      <c r="N288" s="12" t="s">
        <v>229</v>
      </c>
      <c r="O288" s="12"/>
      <c r="P288" s="13" t="n">
        <f aca="false">IF($E288="","",IF(OR($E288="Director Draw",$E288="Payroll/Employee Charge"),0,-$K288))</f>
        <v>-900</v>
      </c>
      <c r="Q288" s="12" t="n">
        <f aca="false">IF($E288="Inventory Purchase",$H288,0)</f>
        <v>0</v>
      </c>
      <c r="U288" s="1" t="s">
        <v>1055</v>
      </c>
      <c r="V288" s="1" t="s">
        <v>1056</v>
      </c>
      <c r="W288" s="1" t="s">
        <v>246</v>
      </c>
      <c r="X288" s="1" t="n">
        <v>310</v>
      </c>
      <c r="Y288" s="1" t="s">
        <v>127</v>
      </c>
    </row>
    <row r="289" customFormat="false" ht="15" hidden="false" customHeight="true" outlineLevel="0" collapsed="false">
      <c r="A289" s="19" t="n">
        <v>46280</v>
      </c>
      <c r="B289" s="12" t="n">
        <f aca="false">IF($A289="","",ROW()-4)</f>
        <v>285</v>
      </c>
      <c r="C289" s="12" t="s">
        <v>343</v>
      </c>
      <c r="D289" s="12" t="s">
        <v>1057</v>
      </c>
      <c r="E289" s="24" t="s">
        <v>143</v>
      </c>
      <c r="F289" s="12"/>
      <c r="G289" s="12" t="str">
        <f aca="false">IFERROR(VLOOKUP($F289,ItemList_Full,2,0),"")</f>
        <v/>
      </c>
      <c r="H289" s="12"/>
      <c r="I289" s="12" t="str">
        <f aca="false">IFERROR(VLOOKUP($F289,ItemList_Full,3,0),"")</f>
        <v/>
      </c>
      <c r="J289" s="12" t="str">
        <f aca="false">IFERROR(VLOOKUP($F289,ItemList_Full,4,0),"")</f>
        <v/>
      </c>
      <c r="K289" s="13" t="n">
        <v>15000</v>
      </c>
      <c r="L289" s="12"/>
      <c r="M289" s="24"/>
      <c r="N289" s="12" t="s">
        <v>229</v>
      </c>
      <c r="O289" s="12"/>
      <c r="P289" s="13" t="n">
        <f aca="false">IF($E289="","",IF(OR($E289="Director Draw",$E289="Payroll/Employee Charge"),0,-$K289))</f>
        <v>-15000</v>
      </c>
      <c r="Q289" s="12" t="n">
        <f aca="false">IF($E289="Inventory Purchase",$H289,0)</f>
        <v>0</v>
      </c>
      <c r="U289" s="1" t="s">
        <v>1058</v>
      </c>
      <c r="V289" s="1" t="s">
        <v>1059</v>
      </c>
      <c r="W289" s="1" t="s">
        <v>241</v>
      </c>
      <c r="X289" s="1" t="n">
        <v>380</v>
      </c>
      <c r="Y289" s="1" t="s">
        <v>127</v>
      </c>
    </row>
    <row r="290" customFormat="false" ht="15" hidden="false" customHeight="true" outlineLevel="0" collapsed="false">
      <c r="A290" s="19" t="n">
        <v>46280</v>
      </c>
      <c r="B290" s="12" t="n">
        <f aca="false">IF($A290="","",ROW()-4)</f>
        <v>286</v>
      </c>
      <c r="C290" s="12" t="s">
        <v>276</v>
      </c>
      <c r="D290" s="12" t="s">
        <v>977</v>
      </c>
      <c r="E290" s="24" t="s">
        <v>143</v>
      </c>
      <c r="F290" s="12"/>
      <c r="G290" s="12" t="str">
        <f aca="false">IFERROR(VLOOKUP($F290,ItemList_Full,2,0),"")</f>
        <v/>
      </c>
      <c r="H290" s="12"/>
      <c r="I290" s="12" t="str">
        <f aca="false">IFERROR(VLOOKUP($F290,ItemList_Full,3,0),"")</f>
        <v/>
      </c>
      <c r="J290" s="12" t="str">
        <f aca="false">IFERROR(VLOOKUP($F290,ItemList_Full,4,0),"")</f>
        <v/>
      </c>
      <c r="K290" s="13" t="n">
        <v>1890</v>
      </c>
      <c r="L290" s="12"/>
      <c r="M290" s="24"/>
      <c r="N290" s="12" t="s">
        <v>229</v>
      </c>
      <c r="O290" s="12"/>
      <c r="P290" s="13" t="n">
        <f aca="false">IF($E290="","",IF(OR($E290="Director Draw",$E290="Payroll/Employee Charge"),0,-$K290))</f>
        <v>-1890</v>
      </c>
      <c r="Q290" s="12" t="n">
        <f aca="false">IF($E290="Inventory Purchase",$H290,0)</f>
        <v>0</v>
      </c>
      <c r="U290" s="1" t="s">
        <v>1060</v>
      </c>
      <c r="V290" s="1" t="s">
        <v>1061</v>
      </c>
      <c r="W290" s="1" t="s">
        <v>246</v>
      </c>
      <c r="X290" s="1" t="n">
        <v>5</v>
      </c>
      <c r="Y290" s="1" t="s">
        <v>127</v>
      </c>
    </row>
    <row r="291" customFormat="false" ht="15" hidden="false" customHeight="true" outlineLevel="0" collapsed="false">
      <c r="A291" s="19" t="n">
        <v>46280</v>
      </c>
      <c r="B291" s="12" t="n">
        <f aca="false">IF($A291="","",ROW()-4)</f>
        <v>287</v>
      </c>
      <c r="C291" s="12" t="s">
        <v>361</v>
      </c>
      <c r="D291" s="12" t="s">
        <v>1062</v>
      </c>
      <c r="E291" s="24" t="s">
        <v>149</v>
      </c>
      <c r="F291" s="12"/>
      <c r="G291" s="12" t="str">
        <f aca="false">IFERROR(VLOOKUP($F291,ItemList_Full,2,0),"")</f>
        <v/>
      </c>
      <c r="H291" s="12"/>
      <c r="I291" s="12" t="str">
        <f aca="false">IFERROR(VLOOKUP($F291,ItemList_Full,3,0),"")</f>
        <v/>
      </c>
      <c r="J291" s="12" t="str">
        <f aca="false">IFERROR(VLOOKUP($F291,ItemList_Full,4,0),"")</f>
        <v/>
      </c>
      <c r="K291" s="13" t="n">
        <v>650</v>
      </c>
      <c r="L291" s="12"/>
      <c r="M291" s="24"/>
      <c r="N291" s="12" t="s">
        <v>229</v>
      </c>
      <c r="O291" s="12"/>
      <c r="P291" s="13" t="n">
        <f aca="false">IF($E291="","",IF(OR($E291="Director Draw",$E291="Payroll/Employee Charge"),0,-$K291))</f>
        <v>-650</v>
      </c>
      <c r="Q291" s="12" t="n">
        <f aca="false">IF($E291="Inventory Purchase",$H291,0)</f>
        <v>0</v>
      </c>
      <c r="U291" s="1" t="s">
        <v>1063</v>
      </c>
      <c r="V291" s="1" t="s">
        <v>1064</v>
      </c>
      <c r="W291" s="1" t="s">
        <v>246</v>
      </c>
      <c r="X291" s="1" t="n">
        <v>125</v>
      </c>
      <c r="Y291" s="1" t="s">
        <v>127</v>
      </c>
    </row>
    <row r="292" customFormat="false" ht="15" hidden="false" customHeight="true" outlineLevel="0" collapsed="false">
      <c r="A292" s="19" t="n">
        <v>46280</v>
      </c>
      <c r="B292" s="12" t="n">
        <f aca="false">IF($A292="","",ROW()-4)</f>
        <v>288</v>
      </c>
      <c r="C292" s="12" t="s">
        <v>295</v>
      </c>
      <c r="D292" s="12" t="s">
        <v>1065</v>
      </c>
      <c r="E292" s="24" t="s">
        <v>150</v>
      </c>
      <c r="F292" s="12"/>
      <c r="G292" s="12" t="str">
        <f aca="false">IFERROR(VLOOKUP($F292,ItemList_Full,2,0),"")</f>
        <v/>
      </c>
      <c r="H292" s="12"/>
      <c r="I292" s="12" t="str">
        <f aca="false">IFERROR(VLOOKUP($F292,ItemList_Full,3,0),"")</f>
        <v/>
      </c>
      <c r="J292" s="12" t="str">
        <f aca="false">IFERROR(VLOOKUP($F292,ItemList_Full,4,0),"")</f>
        <v/>
      </c>
      <c r="K292" s="13" t="n">
        <v>1225</v>
      </c>
      <c r="L292" s="12"/>
      <c r="M292" s="24"/>
      <c r="N292" s="12" t="s">
        <v>229</v>
      </c>
      <c r="O292" s="12"/>
      <c r="P292" s="13" t="n">
        <f aca="false">IF($E292="","",IF(OR($E292="Director Draw",$E292="Payroll/Employee Charge"),0,-$K292))</f>
        <v>-1225</v>
      </c>
      <c r="Q292" s="12" t="n">
        <f aca="false">IF($E292="Inventory Purchase",$H292,0)</f>
        <v>0</v>
      </c>
      <c r="U292" s="1" t="s">
        <v>1066</v>
      </c>
      <c r="V292" s="1" t="s">
        <v>1067</v>
      </c>
      <c r="W292" s="1" t="s">
        <v>246</v>
      </c>
      <c r="X292" s="1" t="n">
        <v>270</v>
      </c>
      <c r="Y292" s="1" t="s">
        <v>127</v>
      </c>
    </row>
    <row r="293" customFormat="false" ht="15" hidden="false" customHeight="true" outlineLevel="0" collapsed="false">
      <c r="A293" s="19" t="n">
        <v>46280</v>
      </c>
      <c r="B293" s="12" t="n">
        <f aca="false">IF($A293="","",ROW()-4)</f>
        <v>289</v>
      </c>
      <c r="C293" s="12" t="s">
        <v>480</v>
      </c>
      <c r="D293" s="12" t="s">
        <v>1068</v>
      </c>
      <c r="E293" s="24" t="s">
        <v>150</v>
      </c>
      <c r="F293" s="12"/>
      <c r="G293" s="12" t="str">
        <f aca="false">IFERROR(VLOOKUP($F293,ItemList_Full,2,0),"")</f>
        <v/>
      </c>
      <c r="H293" s="12"/>
      <c r="I293" s="12" t="str">
        <f aca="false">IFERROR(VLOOKUP($F293,ItemList_Full,3,0),"")</f>
        <v/>
      </c>
      <c r="J293" s="12" t="str">
        <f aca="false">IFERROR(VLOOKUP($F293,ItemList_Full,4,0),"")</f>
        <v/>
      </c>
      <c r="K293" s="13" t="n">
        <v>1750</v>
      </c>
      <c r="L293" s="12"/>
      <c r="M293" s="24"/>
      <c r="N293" s="12" t="s">
        <v>229</v>
      </c>
      <c r="O293" s="12"/>
      <c r="P293" s="13" t="n">
        <f aca="false">IF($E293="","",IF(OR($E293="Director Draw",$E293="Payroll/Employee Charge"),0,-$K293))</f>
        <v>-1750</v>
      </c>
      <c r="Q293" s="12" t="n">
        <f aca="false">IF($E293="Inventory Purchase",$H293,0)</f>
        <v>0</v>
      </c>
      <c r="U293" s="1" t="s">
        <v>1069</v>
      </c>
      <c r="V293" s="1" t="s">
        <v>1070</v>
      </c>
      <c r="W293" s="1" t="s">
        <v>241</v>
      </c>
      <c r="X293" s="1" t="n">
        <v>740</v>
      </c>
      <c r="Y293" s="1" t="s">
        <v>127</v>
      </c>
    </row>
    <row r="294" customFormat="false" ht="15" hidden="false" customHeight="true" outlineLevel="0" collapsed="false">
      <c r="A294" s="19" t="n">
        <v>46280</v>
      </c>
      <c r="B294" s="12" t="n">
        <f aca="false">IF($A294="","",ROW()-4)</f>
        <v>290</v>
      </c>
      <c r="C294" s="12" t="s">
        <v>480</v>
      </c>
      <c r="D294" s="12" t="s">
        <v>1071</v>
      </c>
      <c r="E294" s="24" t="s">
        <v>150</v>
      </c>
      <c r="F294" s="12"/>
      <c r="G294" s="12" t="str">
        <f aca="false">IFERROR(VLOOKUP($F294,ItemList_Full,2,0),"")</f>
        <v/>
      </c>
      <c r="H294" s="12"/>
      <c r="I294" s="12" t="str">
        <f aca="false">IFERROR(VLOOKUP($F294,ItemList_Full,3,0),"")</f>
        <v/>
      </c>
      <c r="J294" s="12" t="str">
        <f aca="false">IFERROR(VLOOKUP($F294,ItemList_Full,4,0),"")</f>
        <v/>
      </c>
      <c r="K294" s="13" t="n">
        <v>865</v>
      </c>
      <c r="L294" s="12"/>
      <c r="M294" s="24"/>
      <c r="N294" s="12" t="s">
        <v>229</v>
      </c>
      <c r="O294" s="12"/>
      <c r="P294" s="13" t="n">
        <f aca="false">IF($E294="","",IF(OR($E294="Director Draw",$E294="Payroll/Employee Charge"),0,-$K294))</f>
        <v>-865</v>
      </c>
      <c r="Q294" s="12" t="n">
        <f aca="false">IF($E294="Inventory Purchase",$H294,0)</f>
        <v>0</v>
      </c>
      <c r="U294" s="1" t="s">
        <v>1072</v>
      </c>
      <c r="V294" s="1" t="s">
        <v>1073</v>
      </c>
      <c r="W294" s="1" t="s">
        <v>241</v>
      </c>
      <c r="X294" s="1" t="n">
        <v>740</v>
      </c>
      <c r="Y294" s="1" t="s">
        <v>127</v>
      </c>
    </row>
    <row r="295" customFormat="false" ht="15" hidden="false" customHeight="true" outlineLevel="0" collapsed="false">
      <c r="A295" s="19" t="n">
        <v>46280</v>
      </c>
      <c r="B295" s="12" t="n">
        <f aca="false">IF($A295="","",ROW()-4)</f>
        <v>291</v>
      </c>
      <c r="C295" s="12" t="s">
        <v>480</v>
      </c>
      <c r="D295" s="12" t="s">
        <v>1074</v>
      </c>
      <c r="E295" s="24" t="s">
        <v>150</v>
      </c>
      <c r="F295" s="12"/>
      <c r="G295" s="12" t="str">
        <f aca="false">IFERROR(VLOOKUP($F295,ItemList_Full,2,0),"")</f>
        <v/>
      </c>
      <c r="H295" s="12"/>
      <c r="I295" s="12" t="str">
        <f aca="false">IFERROR(VLOOKUP($F295,ItemList_Full,3,0),"")</f>
        <v/>
      </c>
      <c r="J295" s="12" t="str">
        <f aca="false">IFERROR(VLOOKUP($F295,ItemList_Full,4,0),"")</f>
        <v/>
      </c>
      <c r="K295" s="13" t="n">
        <v>675</v>
      </c>
      <c r="L295" s="12"/>
      <c r="M295" s="24"/>
      <c r="N295" s="12" t="s">
        <v>229</v>
      </c>
      <c r="O295" s="12"/>
      <c r="P295" s="13" t="n">
        <f aca="false">IF($E295="","",IF(OR($E295="Director Draw",$E295="Payroll/Employee Charge"),0,-$K295))</f>
        <v>-675</v>
      </c>
      <c r="Q295" s="12" t="n">
        <f aca="false">IF($E295="Inventory Purchase",$H295,0)</f>
        <v>0</v>
      </c>
      <c r="U295" s="1" t="s">
        <v>1075</v>
      </c>
      <c r="V295" s="1" t="s">
        <v>1076</v>
      </c>
      <c r="W295" s="1" t="s">
        <v>241</v>
      </c>
      <c r="X295" s="1" t="n">
        <v>480</v>
      </c>
      <c r="Y295" s="1" t="s">
        <v>127</v>
      </c>
    </row>
    <row r="296" customFormat="false" ht="15" hidden="false" customHeight="true" outlineLevel="0" collapsed="false">
      <c r="A296" s="19" t="n">
        <v>46280</v>
      </c>
      <c r="B296" s="12" t="n">
        <f aca="false">IF($A296="","",ROW()-4)</f>
        <v>292</v>
      </c>
      <c r="C296" s="12" t="s">
        <v>1002</v>
      </c>
      <c r="D296" s="12" t="s">
        <v>1002</v>
      </c>
      <c r="E296" s="24" t="s">
        <v>127</v>
      </c>
      <c r="F296" s="12"/>
      <c r="G296" s="12" t="str">
        <f aca="false">IFERROR(VLOOKUP($F296,ItemList_Full,2,0),"")</f>
        <v/>
      </c>
      <c r="H296" s="12"/>
      <c r="I296" s="12" t="str">
        <f aca="false">IFERROR(VLOOKUP($F296,ItemList_Full,3,0),"")</f>
        <v/>
      </c>
      <c r="J296" s="12" t="str">
        <f aca="false">IFERROR(VLOOKUP($F296,ItemList_Full,4,0),"")</f>
        <v/>
      </c>
      <c r="K296" s="13" t="n">
        <v>250</v>
      </c>
      <c r="L296" s="12"/>
      <c r="M296" s="24"/>
      <c r="N296" s="12" t="s">
        <v>229</v>
      </c>
      <c r="O296" s="12"/>
      <c r="P296" s="13" t="n">
        <f aca="false">IF($E296="","",IF(OR($E296="Director Draw",$E296="Payroll/Employee Charge"),0,-$K296))</f>
        <v>-250</v>
      </c>
      <c r="Q296" s="12" t="n">
        <f aca="false">IF($E296="Inventory Purchase",$H296,0)</f>
        <v>0</v>
      </c>
      <c r="U296" s="1" t="s">
        <v>1077</v>
      </c>
      <c r="V296" s="1" t="s">
        <v>1078</v>
      </c>
      <c r="W296" s="1" t="s">
        <v>241</v>
      </c>
      <c r="X296" s="1" t="n">
        <v>610</v>
      </c>
      <c r="Y296" s="1" t="s">
        <v>127</v>
      </c>
    </row>
    <row r="297" customFormat="false" ht="15" hidden="false" customHeight="true" outlineLevel="0" collapsed="false">
      <c r="A297" s="19" t="n">
        <v>46281</v>
      </c>
      <c r="B297" s="12" t="n">
        <f aca="false">IF($A297="","",ROW()-4)</f>
        <v>293</v>
      </c>
      <c r="C297" s="12" t="s">
        <v>225</v>
      </c>
      <c r="D297" s="12" t="s">
        <v>226</v>
      </c>
      <c r="E297" s="24" t="s">
        <v>227</v>
      </c>
      <c r="F297" s="12"/>
      <c r="G297" s="12" t="str">
        <f aca="false">IFERROR(VLOOKUP($F297,ItemList_Full,2,0),"")</f>
        <v/>
      </c>
      <c r="H297" s="12"/>
      <c r="I297" s="12" t="str">
        <f aca="false">IFERROR(VLOOKUP($F297,ItemList_Full,3,0),"")</f>
        <v/>
      </c>
      <c r="J297" s="12" t="str">
        <f aca="false">IFERROR(VLOOKUP($F297,ItemList_Full,4,0),"")</f>
        <v/>
      </c>
      <c r="K297" s="13" t="n">
        <v>22080</v>
      </c>
      <c r="L297" s="12"/>
      <c r="M297" s="24" t="s">
        <v>228</v>
      </c>
      <c r="N297" s="12" t="s">
        <v>229</v>
      </c>
      <c r="O297" s="12"/>
      <c r="P297" s="13" t="n">
        <f aca="false">IF($E297="","",IF(OR($E297="Director Draw",$E297="Payroll/Employee Charge"),0,-$K297))</f>
        <v>0</v>
      </c>
      <c r="Q297" s="12" t="n">
        <f aca="false">IF($E297="Inventory Purchase",$H297,0)</f>
        <v>0</v>
      </c>
      <c r="U297" s="1" t="s">
        <v>1079</v>
      </c>
      <c r="V297" s="1" t="s">
        <v>1080</v>
      </c>
      <c r="W297" s="1" t="s">
        <v>1081</v>
      </c>
      <c r="X297" s="1" t="n">
        <v>600</v>
      </c>
      <c r="Y297" s="1" t="s">
        <v>127</v>
      </c>
    </row>
    <row r="298" customFormat="false" ht="15" hidden="false" customHeight="true" outlineLevel="0" collapsed="false">
      <c r="A298" s="19" t="n">
        <v>46281</v>
      </c>
      <c r="B298" s="12" t="n">
        <f aca="false">IF($A298="","",ROW()-4)</f>
        <v>294</v>
      </c>
      <c r="C298" s="12" t="s">
        <v>225</v>
      </c>
      <c r="D298" s="12" t="s">
        <v>1082</v>
      </c>
      <c r="E298" s="24" t="s">
        <v>227</v>
      </c>
      <c r="F298" s="12"/>
      <c r="G298" s="12" t="str">
        <f aca="false">IFERROR(VLOOKUP($F298,ItemList_Full,2,0),"")</f>
        <v/>
      </c>
      <c r="H298" s="12"/>
      <c r="I298" s="12" t="str">
        <f aca="false">IFERROR(VLOOKUP($F298,ItemList_Full,3,0),"")</f>
        <v/>
      </c>
      <c r="J298" s="12" t="str">
        <f aca="false">IFERROR(VLOOKUP($F298,ItemList_Full,4,0),"")</f>
        <v/>
      </c>
      <c r="K298" s="13" t="n">
        <v>95</v>
      </c>
      <c r="L298" s="12"/>
      <c r="M298" s="24" t="s">
        <v>234</v>
      </c>
      <c r="N298" s="12" t="s">
        <v>229</v>
      </c>
      <c r="O298" s="12"/>
      <c r="P298" s="13" t="n">
        <f aca="false">IF($E298="","",IF(OR($E298="Director Draw",$E298="Payroll/Employee Charge"),0,-$K298))</f>
        <v>0</v>
      </c>
      <c r="Q298" s="12" t="n">
        <f aca="false">IF($E298="Inventory Purchase",$H298,0)</f>
        <v>0</v>
      </c>
      <c r="U298" s="1" t="s">
        <v>1083</v>
      </c>
      <c r="V298" s="1" t="s">
        <v>1084</v>
      </c>
      <c r="W298" s="1" t="s">
        <v>1085</v>
      </c>
      <c r="X298" s="1" t="n">
        <v>2000</v>
      </c>
      <c r="Y298" s="1" t="s">
        <v>127</v>
      </c>
    </row>
    <row r="299" customFormat="false" ht="15" hidden="false" customHeight="true" outlineLevel="0" collapsed="false">
      <c r="A299" s="19" t="n">
        <v>46281</v>
      </c>
      <c r="B299" s="12" t="n">
        <f aca="false">IF($A299="","",ROW()-4)</f>
        <v>295</v>
      </c>
      <c r="C299" s="12" t="s">
        <v>247</v>
      </c>
      <c r="D299" s="12" t="s">
        <v>248</v>
      </c>
      <c r="E299" s="24" t="s">
        <v>153</v>
      </c>
      <c r="F299" s="12"/>
      <c r="G299" s="12" t="str">
        <f aca="false">IFERROR(VLOOKUP($F299,ItemList_Full,2,0),"")</f>
        <v/>
      </c>
      <c r="H299" s="12"/>
      <c r="I299" s="12" t="str">
        <f aca="false">IFERROR(VLOOKUP($F299,ItemList_Full,3,0),"")</f>
        <v/>
      </c>
      <c r="J299" s="12" t="str">
        <f aca="false">IFERROR(VLOOKUP($F299,ItemList_Full,4,0),"")</f>
        <v/>
      </c>
      <c r="K299" s="13" t="n">
        <v>5929</v>
      </c>
      <c r="L299" s="12"/>
      <c r="M299" s="24"/>
      <c r="N299" s="12" t="s">
        <v>229</v>
      </c>
      <c r="O299" s="12"/>
      <c r="P299" s="13" t="n">
        <f aca="false">IF($E299="","",IF(OR($E299="Director Draw",$E299="Payroll/Employee Charge"),0,-$K299))</f>
        <v>-5929</v>
      </c>
      <c r="Q299" s="12" t="n">
        <f aca="false">IF($E299="Inventory Purchase",$H299,0)</f>
        <v>0</v>
      </c>
      <c r="U299" s="1" t="s">
        <v>1086</v>
      </c>
      <c r="V299" s="1" t="s">
        <v>1087</v>
      </c>
      <c r="W299" s="1" t="s">
        <v>246</v>
      </c>
      <c r="X299" s="1" t="n">
        <v>97</v>
      </c>
      <c r="Y299" s="1" t="s">
        <v>133</v>
      </c>
    </row>
    <row r="300" customFormat="false" ht="15" hidden="false" customHeight="true" outlineLevel="0" collapsed="false">
      <c r="A300" s="19" t="n">
        <v>46281</v>
      </c>
      <c r="B300" s="12" t="n">
        <f aca="false">IF($A300="","",ROW()-4)</f>
        <v>296</v>
      </c>
      <c r="C300" s="12" t="s">
        <v>255</v>
      </c>
      <c r="D300" s="12" t="s">
        <v>256</v>
      </c>
      <c r="E300" s="24" t="s">
        <v>139</v>
      </c>
      <c r="F300" s="12"/>
      <c r="G300" s="12" t="str">
        <f aca="false">IFERROR(VLOOKUP($F300,ItemList_Full,2,0),"")</f>
        <v/>
      </c>
      <c r="H300" s="12"/>
      <c r="I300" s="12" t="str">
        <f aca="false">IFERROR(VLOOKUP($F300,ItemList_Full,3,0),"")</f>
        <v/>
      </c>
      <c r="J300" s="12" t="str">
        <f aca="false">IFERROR(VLOOKUP($F300,ItemList_Full,4,0),"")</f>
        <v/>
      </c>
      <c r="K300" s="13" t="n">
        <v>360</v>
      </c>
      <c r="L300" s="12"/>
      <c r="M300" s="24"/>
      <c r="N300" s="12" t="s">
        <v>229</v>
      </c>
      <c r="O300" s="12"/>
      <c r="P300" s="13" t="n">
        <f aca="false">IF($E300="","",IF(OR($E300="Director Draw",$E300="Payroll/Employee Charge"),0,-$K300))</f>
        <v>-360</v>
      </c>
      <c r="Q300" s="12" t="n">
        <f aca="false">IF($E300="Inventory Purchase",$H300,0)</f>
        <v>0</v>
      </c>
      <c r="U300" s="1" t="s">
        <v>1088</v>
      </c>
      <c r="V300" s="1" t="s">
        <v>1089</v>
      </c>
      <c r="W300" s="1" t="s">
        <v>246</v>
      </c>
      <c r="X300" s="1" t="n">
        <v>43</v>
      </c>
      <c r="Y300" s="1" t="s">
        <v>127</v>
      </c>
    </row>
    <row r="301" customFormat="false" ht="15" hidden="false" customHeight="true" outlineLevel="0" collapsed="false">
      <c r="A301" s="19" t="n">
        <v>46281</v>
      </c>
      <c r="B301" s="12" t="n">
        <f aca="false">IF($A301="","",ROW()-4)</f>
        <v>297</v>
      </c>
      <c r="C301" s="12" t="s">
        <v>255</v>
      </c>
      <c r="D301" s="12" t="s">
        <v>391</v>
      </c>
      <c r="E301" s="24" t="s">
        <v>139</v>
      </c>
      <c r="F301" s="12"/>
      <c r="G301" s="12" t="str">
        <f aca="false">IFERROR(VLOOKUP($F301,ItemList_Full,2,0),"")</f>
        <v/>
      </c>
      <c r="H301" s="12"/>
      <c r="I301" s="12" t="str">
        <f aca="false">IFERROR(VLOOKUP($F301,ItemList_Full,3,0),"")</f>
        <v/>
      </c>
      <c r="J301" s="12" t="str">
        <f aca="false">IFERROR(VLOOKUP($F301,ItemList_Full,4,0),"")</f>
        <v/>
      </c>
      <c r="K301" s="13" t="n">
        <v>750</v>
      </c>
      <c r="L301" s="12"/>
      <c r="M301" s="24"/>
      <c r="N301" s="12" t="s">
        <v>229</v>
      </c>
      <c r="O301" s="12"/>
      <c r="P301" s="13" t="n">
        <f aca="false">IF($E301="","",IF(OR($E301="Director Draw",$E301="Payroll/Employee Charge"),0,-$K301))</f>
        <v>-750</v>
      </c>
      <c r="Q301" s="12" t="n">
        <f aca="false">IF($E301="Inventory Purchase",$H301,0)</f>
        <v>0</v>
      </c>
      <c r="U301" s="1" t="s">
        <v>1090</v>
      </c>
      <c r="V301" s="1" t="s">
        <v>942</v>
      </c>
      <c r="W301" s="1" t="s">
        <v>241</v>
      </c>
      <c r="X301" s="1" t="n">
        <v>440</v>
      </c>
      <c r="Y301" s="1" t="s">
        <v>127</v>
      </c>
    </row>
    <row r="302" customFormat="false" ht="15" hidden="false" customHeight="true" outlineLevel="0" collapsed="false">
      <c r="A302" s="19" t="n">
        <v>46281</v>
      </c>
      <c r="B302" s="12" t="n">
        <f aca="false">IF($A302="","",ROW()-4)</f>
        <v>298</v>
      </c>
      <c r="C302" s="12" t="s">
        <v>445</v>
      </c>
      <c r="D302" s="12" t="s">
        <v>819</v>
      </c>
      <c r="E302" s="24" t="s">
        <v>139</v>
      </c>
      <c r="F302" s="12"/>
      <c r="G302" s="12" t="str">
        <f aca="false">IFERROR(VLOOKUP($F302,ItemList_Full,2,0),"")</f>
        <v/>
      </c>
      <c r="H302" s="12"/>
      <c r="I302" s="12" t="str">
        <f aca="false">IFERROR(VLOOKUP($F302,ItemList_Full,3,0),"")</f>
        <v/>
      </c>
      <c r="J302" s="12" t="str">
        <f aca="false">IFERROR(VLOOKUP($F302,ItemList_Full,4,0),"")</f>
        <v/>
      </c>
      <c r="K302" s="13" t="n">
        <v>2500</v>
      </c>
      <c r="L302" s="12"/>
      <c r="M302" s="24"/>
      <c r="N302" s="12" t="s">
        <v>229</v>
      </c>
      <c r="O302" s="12"/>
      <c r="P302" s="13" t="n">
        <f aca="false">IF($E302="","",IF(OR($E302="Director Draw",$E302="Payroll/Employee Charge"),0,-$K302))</f>
        <v>-2500</v>
      </c>
      <c r="Q302" s="12" t="n">
        <f aca="false">IF($E302="Inventory Purchase",$H302,0)</f>
        <v>0</v>
      </c>
      <c r="U302" s="1" t="s">
        <v>1091</v>
      </c>
      <c r="V302" s="1" t="s">
        <v>1092</v>
      </c>
      <c r="W302" s="1" t="s">
        <v>246</v>
      </c>
      <c r="X302" s="1" t="n">
        <v>70</v>
      </c>
      <c r="Y302" s="1" t="s">
        <v>127</v>
      </c>
    </row>
    <row r="303" customFormat="false" ht="15" hidden="false" customHeight="true" outlineLevel="0" collapsed="false">
      <c r="A303" s="19" t="n">
        <v>46281</v>
      </c>
      <c r="B303" s="12" t="n">
        <f aca="false">IF($A303="","",ROW()-4)</f>
        <v>299</v>
      </c>
      <c r="C303" s="12" t="s">
        <v>449</v>
      </c>
      <c r="D303" s="12" t="s">
        <v>1093</v>
      </c>
      <c r="E303" s="24" t="s">
        <v>139</v>
      </c>
      <c r="F303" s="12"/>
      <c r="G303" s="12" t="str">
        <f aca="false">IFERROR(VLOOKUP($F303,ItemList_Full,2,0),"")</f>
        <v/>
      </c>
      <c r="H303" s="12"/>
      <c r="I303" s="12" t="str">
        <f aca="false">IFERROR(VLOOKUP($F303,ItemList_Full,3,0),"")</f>
        <v/>
      </c>
      <c r="J303" s="12" t="str">
        <f aca="false">IFERROR(VLOOKUP($F303,ItemList_Full,4,0),"")</f>
        <v/>
      </c>
      <c r="K303" s="13" t="n">
        <v>6376</v>
      </c>
      <c r="L303" s="12"/>
      <c r="M303" s="24"/>
      <c r="N303" s="12" t="s">
        <v>229</v>
      </c>
      <c r="O303" s="12"/>
      <c r="P303" s="13" t="n">
        <f aca="false">IF($E303="","",IF(OR($E303="Director Draw",$E303="Payroll/Employee Charge"),0,-$K303))</f>
        <v>-6376</v>
      </c>
      <c r="Q303" s="12" t="n">
        <f aca="false">IF($E303="Inventory Purchase",$H303,0)</f>
        <v>0</v>
      </c>
      <c r="U303" s="1" t="s">
        <v>1094</v>
      </c>
      <c r="V303" s="1" t="s">
        <v>1095</v>
      </c>
      <c r="W303" s="1" t="s">
        <v>267</v>
      </c>
      <c r="X303" s="1" t="n">
        <v>180</v>
      </c>
      <c r="Y303" s="1" t="s">
        <v>127</v>
      </c>
    </row>
    <row r="304" customFormat="false" ht="15" hidden="false" customHeight="true" outlineLevel="0" collapsed="false">
      <c r="A304" s="19" t="n">
        <v>46281</v>
      </c>
      <c r="B304" s="12" t="n">
        <f aca="false">IF($A304="","",ROW()-4)</f>
        <v>300</v>
      </c>
      <c r="C304" s="12" t="s">
        <v>317</v>
      </c>
      <c r="D304" s="12" t="s">
        <v>680</v>
      </c>
      <c r="E304" s="24" t="s">
        <v>139</v>
      </c>
      <c r="F304" s="12"/>
      <c r="G304" s="12" t="str">
        <f aca="false">IFERROR(VLOOKUP($F304,ItemList_Full,2,0),"")</f>
        <v/>
      </c>
      <c r="H304" s="12"/>
      <c r="I304" s="12" t="str">
        <f aca="false">IFERROR(VLOOKUP($F304,ItemList_Full,3,0),"")</f>
        <v/>
      </c>
      <c r="J304" s="12" t="str">
        <f aca="false">IFERROR(VLOOKUP($F304,ItemList_Full,4,0),"")</f>
        <v/>
      </c>
      <c r="K304" s="13" t="n">
        <v>3415</v>
      </c>
      <c r="L304" s="12"/>
      <c r="M304" s="24"/>
      <c r="N304" s="12" t="s">
        <v>229</v>
      </c>
      <c r="O304" s="12"/>
      <c r="P304" s="13" t="n">
        <f aca="false">IF($E304="","",IF(OR($E304="Director Draw",$E304="Payroll/Employee Charge"),0,-$K304))</f>
        <v>-3415</v>
      </c>
      <c r="Q304" s="12" t="n">
        <f aca="false">IF($E304="Inventory Purchase",$H304,0)</f>
        <v>0</v>
      </c>
      <c r="U304" s="1" t="s">
        <v>1096</v>
      </c>
      <c r="V304" s="1" t="s">
        <v>1097</v>
      </c>
      <c r="W304" s="1" t="s">
        <v>267</v>
      </c>
      <c r="X304" s="1" t="n">
        <v>42</v>
      </c>
      <c r="Y304" s="1" t="s">
        <v>127</v>
      </c>
    </row>
    <row r="305" customFormat="false" ht="15" hidden="false" customHeight="true" outlineLevel="0" collapsed="false">
      <c r="A305" s="19" t="n">
        <v>46281</v>
      </c>
      <c r="B305" s="12" t="n">
        <f aca="false">IF($A305="","",ROW()-4)</f>
        <v>301</v>
      </c>
      <c r="C305" s="12" t="s">
        <v>695</v>
      </c>
      <c r="D305" s="12" t="s">
        <v>1098</v>
      </c>
      <c r="E305" s="24" t="s">
        <v>139</v>
      </c>
      <c r="F305" s="12"/>
      <c r="G305" s="12" t="str">
        <f aca="false">IFERROR(VLOOKUP($F305,ItemList_Full,2,0),"")</f>
        <v/>
      </c>
      <c r="H305" s="12"/>
      <c r="I305" s="12" t="str">
        <f aca="false">IFERROR(VLOOKUP($F305,ItemList_Full,3,0),"")</f>
        <v/>
      </c>
      <c r="J305" s="12" t="str">
        <f aca="false">IFERROR(VLOOKUP($F305,ItemList_Full,4,0),"")</f>
        <v/>
      </c>
      <c r="K305" s="13" t="n">
        <v>7183</v>
      </c>
      <c r="L305" s="12"/>
      <c r="M305" s="24"/>
      <c r="N305" s="12" t="s">
        <v>229</v>
      </c>
      <c r="O305" s="12"/>
      <c r="P305" s="13" t="n">
        <f aca="false">IF($E305="","",IF(OR($E305="Director Draw",$E305="Payroll/Employee Charge"),0,-$K305))</f>
        <v>-7183</v>
      </c>
      <c r="Q305" s="12" t="n">
        <f aca="false">IF($E305="Inventory Purchase",$H305,0)</f>
        <v>0</v>
      </c>
      <c r="U305" s="1" t="s">
        <v>1099</v>
      </c>
      <c r="V305" s="1" t="s">
        <v>1002</v>
      </c>
      <c r="W305" s="1" t="s">
        <v>267</v>
      </c>
      <c r="X305" s="1" t="n">
        <v>140</v>
      </c>
      <c r="Y305" s="1" t="s">
        <v>127</v>
      </c>
    </row>
    <row r="306" customFormat="false" ht="15" hidden="false" customHeight="true" outlineLevel="0" collapsed="false">
      <c r="A306" s="19" t="n">
        <v>46281</v>
      </c>
      <c r="B306" s="12" t="n">
        <f aca="false">IF($A306="","",ROW()-4)</f>
        <v>302</v>
      </c>
      <c r="C306" s="12" t="s">
        <v>242</v>
      </c>
      <c r="D306" s="12" t="s">
        <v>243</v>
      </c>
      <c r="E306" s="24" t="s">
        <v>139</v>
      </c>
      <c r="F306" s="12"/>
      <c r="G306" s="12" t="str">
        <f aca="false">IFERROR(VLOOKUP($F306,ItemList_Full,2,0),"")</f>
        <v/>
      </c>
      <c r="H306" s="12"/>
      <c r="I306" s="12" t="str">
        <f aca="false">IFERROR(VLOOKUP($F306,ItemList_Full,3,0),"")</f>
        <v/>
      </c>
      <c r="J306" s="12" t="str">
        <f aca="false">IFERROR(VLOOKUP($F306,ItemList_Full,4,0),"")</f>
        <v/>
      </c>
      <c r="K306" s="13" t="n">
        <v>16000</v>
      </c>
      <c r="L306" s="12"/>
      <c r="M306" s="24"/>
      <c r="N306" s="12" t="s">
        <v>229</v>
      </c>
      <c r="O306" s="12"/>
      <c r="P306" s="13" t="n">
        <f aca="false">IF($E306="","",IF(OR($E306="Director Draw",$E306="Payroll/Employee Charge"),0,-$K306))</f>
        <v>-16000</v>
      </c>
      <c r="Q306" s="12" t="n">
        <f aca="false">IF($E306="Inventory Purchase",$H306,0)</f>
        <v>0</v>
      </c>
      <c r="U306" s="1" t="s">
        <v>1100</v>
      </c>
      <c r="V306" s="1" t="s">
        <v>1101</v>
      </c>
      <c r="W306" s="1" t="s">
        <v>752</v>
      </c>
      <c r="X306" s="1" t="n">
        <v>750</v>
      </c>
      <c r="Y306" s="1" t="s">
        <v>127</v>
      </c>
    </row>
    <row r="307" customFormat="false" ht="15" hidden="false" customHeight="true" outlineLevel="0" collapsed="false">
      <c r="A307" s="19" t="n">
        <v>46281</v>
      </c>
      <c r="B307" s="12" t="n">
        <f aca="false">IF($A307="","",ROW()-4)</f>
        <v>303</v>
      </c>
      <c r="C307" s="12" t="s">
        <v>1102</v>
      </c>
      <c r="D307" s="12" t="s">
        <v>1103</v>
      </c>
      <c r="E307" s="24" t="s">
        <v>140</v>
      </c>
      <c r="F307" s="12"/>
      <c r="G307" s="12" t="str">
        <f aca="false">IFERROR(VLOOKUP($F307,ItemList_Full,2,0),"")</f>
        <v/>
      </c>
      <c r="H307" s="12"/>
      <c r="I307" s="12" t="str">
        <f aca="false">IFERROR(VLOOKUP($F307,ItemList_Full,3,0),"")</f>
        <v/>
      </c>
      <c r="J307" s="12" t="str">
        <f aca="false">IFERROR(VLOOKUP($F307,ItemList_Full,4,0),"")</f>
        <v/>
      </c>
      <c r="K307" s="13" t="n">
        <v>32700</v>
      </c>
      <c r="L307" s="12"/>
      <c r="M307" s="24"/>
      <c r="N307" s="12" t="s">
        <v>229</v>
      </c>
      <c r="O307" s="12"/>
      <c r="P307" s="13" t="n">
        <f aca="false">IF($E307="","",IF(OR($E307="Director Draw",$E307="Payroll/Employee Charge"),0,-$K307))</f>
        <v>-32700</v>
      </c>
      <c r="Q307" s="12" t="n">
        <f aca="false">IF($E307="Inventory Purchase",$H307,0)</f>
        <v>0</v>
      </c>
      <c r="U307" s="1" t="s">
        <v>1104</v>
      </c>
      <c r="V307" s="1" t="s">
        <v>1105</v>
      </c>
      <c r="W307" s="1" t="s">
        <v>241</v>
      </c>
      <c r="X307" s="1" t="n">
        <v>150</v>
      </c>
      <c r="Y307" s="1" t="s">
        <v>127</v>
      </c>
    </row>
    <row r="308" customFormat="false" ht="15" hidden="false" customHeight="true" outlineLevel="0" collapsed="false">
      <c r="A308" s="19" t="n">
        <v>46281</v>
      </c>
      <c r="B308" s="12" t="n">
        <f aca="false">IF($A308="","",ROW()-4)</f>
        <v>304</v>
      </c>
      <c r="C308" s="12" t="s">
        <v>449</v>
      </c>
      <c r="D308" s="12" t="s">
        <v>1106</v>
      </c>
      <c r="E308" s="24" t="s">
        <v>127</v>
      </c>
      <c r="F308" s="12"/>
      <c r="G308" s="12" t="str">
        <f aca="false">IFERROR(VLOOKUP($F308,ItemList_Full,2,0),"")</f>
        <v/>
      </c>
      <c r="H308" s="12"/>
      <c r="I308" s="12" t="str">
        <f aca="false">IFERROR(VLOOKUP($F308,ItemList_Full,3,0),"")</f>
        <v/>
      </c>
      <c r="J308" s="12" t="str">
        <f aca="false">IFERROR(VLOOKUP($F308,ItemList_Full,4,0),"")</f>
        <v/>
      </c>
      <c r="K308" s="13" t="n">
        <v>5200</v>
      </c>
      <c r="L308" s="12"/>
      <c r="M308" s="24"/>
      <c r="N308" s="12" t="s">
        <v>229</v>
      </c>
      <c r="O308" s="12"/>
      <c r="P308" s="13" t="n">
        <f aca="false">IF($E308="","",IF(OR($E308="Director Draw",$E308="Payroll/Employee Charge"),0,-$K308))</f>
        <v>-5200</v>
      </c>
      <c r="Q308" s="12" t="n">
        <f aca="false">IF($E308="Inventory Purchase",$H308,0)</f>
        <v>0</v>
      </c>
      <c r="U308" s="1" t="s">
        <v>1107</v>
      </c>
      <c r="V308" s="1" t="s">
        <v>1108</v>
      </c>
      <c r="W308" s="1" t="s">
        <v>267</v>
      </c>
      <c r="X308" s="1" t="n">
        <v>300</v>
      </c>
      <c r="Y308" s="1" t="s">
        <v>127</v>
      </c>
    </row>
    <row r="309" customFormat="false" ht="15" hidden="false" customHeight="true" outlineLevel="0" collapsed="false">
      <c r="A309" s="19" t="n">
        <v>46281</v>
      </c>
      <c r="B309" s="12" t="n">
        <f aca="false">IF($A309="","",ROW()-4)</f>
        <v>305</v>
      </c>
      <c r="C309" s="12" t="s">
        <v>640</v>
      </c>
      <c r="D309" s="12" t="s">
        <v>865</v>
      </c>
      <c r="E309" s="24" t="s">
        <v>133</v>
      </c>
      <c r="F309" s="12"/>
      <c r="G309" s="12" t="str">
        <f aca="false">IFERROR(VLOOKUP($F309,ItemList_Full,2,0),"")</f>
        <v/>
      </c>
      <c r="H309" s="12"/>
      <c r="I309" s="12" t="str">
        <f aca="false">IFERROR(VLOOKUP($F309,ItemList_Full,3,0),"")</f>
        <v/>
      </c>
      <c r="J309" s="12" t="str">
        <f aca="false">IFERROR(VLOOKUP($F309,ItemList_Full,4,0),"")</f>
        <v/>
      </c>
      <c r="K309" s="13" t="n">
        <v>2400</v>
      </c>
      <c r="L309" s="12"/>
      <c r="M309" s="24"/>
      <c r="N309" s="12" t="s">
        <v>229</v>
      </c>
      <c r="O309" s="12"/>
      <c r="P309" s="13" t="n">
        <f aca="false">IF($E309="","",IF(OR($E309="Director Draw",$E309="Payroll/Employee Charge"),0,-$K309))</f>
        <v>-2400</v>
      </c>
      <c r="Q309" s="12" t="n">
        <f aca="false">IF($E309="Inventory Purchase",$H309,0)</f>
        <v>0</v>
      </c>
      <c r="U309" s="1" t="s">
        <v>1109</v>
      </c>
      <c r="V309" s="1" t="s">
        <v>1110</v>
      </c>
      <c r="W309" s="1" t="s">
        <v>1111</v>
      </c>
      <c r="X309" s="1" t="n">
        <v>275</v>
      </c>
      <c r="Y309" s="1" t="s">
        <v>127</v>
      </c>
    </row>
    <row r="310" customFormat="false" ht="15" hidden="false" customHeight="true" outlineLevel="0" collapsed="false">
      <c r="A310" s="19" t="n">
        <v>46281</v>
      </c>
      <c r="B310" s="12" t="n">
        <f aca="false">IF($A310="","",ROW()-4)</f>
        <v>306</v>
      </c>
      <c r="C310" s="12" t="s">
        <v>1112</v>
      </c>
      <c r="D310" s="12" t="s">
        <v>1113</v>
      </c>
      <c r="E310" s="24" t="s">
        <v>145</v>
      </c>
      <c r="F310" s="12"/>
      <c r="G310" s="12" t="str">
        <f aca="false">IFERROR(VLOOKUP($F310,ItemList_Full,2,0),"")</f>
        <v/>
      </c>
      <c r="H310" s="12"/>
      <c r="I310" s="12" t="str">
        <f aca="false">IFERROR(VLOOKUP($F310,ItemList_Full,3,0),"")</f>
        <v/>
      </c>
      <c r="J310" s="12" t="str">
        <f aca="false">IFERROR(VLOOKUP($F310,ItemList_Full,4,0),"")</f>
        <v/>
      </c>
      <c r="K310" s="13" t="n">
        <v>18579</v>
      </c>
      <c r="L310" s="12"/>
      <c r="M310" s="24"/>
      <c r="N310" s="12" t="s">
        <v>229</v>
      </c>
      <c r="O310" s="12"/>
      <c r="P310" s="13" t="n">
        <f aca="false">IF($E310="","",IF(OR($E310="Director Draw",$E310="Payroll/Employee Charge"),0,-$K310))</f>
        <v>-18579</v>
      </c>
      <c r="Q310" s="12" t="n">
        <f aca="false">IF($E310="Inventory Purchase",$H310,0)</f>
        <v>0</v>
      </c>
      <c r="U310" s="1" t="s">
        <v>1114</v>
      </c>
      <c r="V310" s="1" t="s">
        <v>564</v>
      </c>
      <c r="W310" s="1" t="s">
        <v>246</v>
      </c>
      <c r="X310" s="1" t="n">
        <v>18</v>
      </c>
      <c r="Y310" s="1" t="s">
        <v>127</v>
      </c>
    </row>
    <row r="311" customFormat="false" ht="15" hidden="false" customHeight="true" outlineLevel="0" collapsed="false">
      <c r="A311" s="19" t="n">
        <v>46281</v>
      </c>
      <c r="B311" s="12" t="n">
        <f aca="false">IF($A311="","",ROW()-4)</f>
        <v>307</v>
      </c>
      <c r="C311" s="12" t="s">
        <v>445</v>
      </c>
      <c r="D311" s="12" t="s">
        <v>1041</v>
      </c>
      <c r="E311" s="24" t="s">
        <v>148</v>
      </c>
      <c r="F311" s="12"/>
      <c r="G311" s="12" t="str">
        <f aca="false">IFERROR(VLOOKUP($F311,ItemList_Full,2,0),"")</f>
        <v/>
      </c>
      <c r="H311" s="12"/>
      <c r="I311" s="12" t="str">
        <f aca="false">IFERROR(VLOOKUP($F311,ItemList_Full,3,0),"")</f>
        <v/>
      </c>
      <c r="J311" s="12" t="str">
        <f aca="false">IFERROR(VLOOKUP($F311,ItemList_Full,4,0),"")</f>
        <v/>
      </c>
      <c r="K311" s="13" t="n">
        <v>20000</v>
      </c>
      <c r="L311" s="12"/>
      <c r="M311" s="24"/>
      <c r="N311" s="12" t="s">
        <v>229</v>
      </c>
      <c r="O311" s="12"/>
      <c r="P311" s="13" t="n">
        <f aca="false">IF($E311="","",IF(OR($E311="Director Draw",$E311="Payroll/Employee Charge"),0,-$K311))</f>
        <v>-20000</v>
      </c>
      <c r="Q311" s="12" t="n">
        <f aca="false">IF($E311="Inventory Purchase",$H311,0)</f>
        <v>0</v>
      </c>
      <c r="U311" s="1" t="s">
        <v>1115</v>
      </c>
      <c r="V311" s="1" t="s">
        <v>1116</v>
      </c>
      <c r="W311" s="1" t="s">
        <v>246</v>
      </c>
      <c r="X311" s="1" t="n">
        <v>20.8333333333333</v>
      </c>
      <c r="Y311" s="1" t="s">
        <v>127</v>
      </c>
    </row>
    <row r="312" customFormat="false" ht="15" hidden="false" customHeight="true" outlineLevel="0" collapsed="false">
      <c r="A312" s="19" t="n">
        <v>46281</v>
      </c>
      <c r="B312" s="12" t="n">
        <f aca="false">IF($A312="","",ROW()-4)</f>
        <v>308</v>
      </c>
      <c r="C312" s="12" t="s">
        <v>449</v>
      </c>
      <c r="D312" s="12" t="s">
        <v>637</v>
      </c>
      <c r="E312" s="24" t="s">
        <v>135</v>
      </c>
      <c r="F312" s="12"/>
      <c r="G312" s="12" t="str">
        <f aca="false">IFERROR(VLOOKUP($F312,ItemList_Full,2,0),"")</f>
        <v/>
      </c>
      <c r="H312" s="12"/>
      <c r="I312" s="12" t="str">
        <f aca="false">IFERROR(VLOOKUP($F312,ItemList_Full,3,0),"")</f>
        <v/>
      </c>
      <c r="J312" s="12" t="str">
        <f aca="false">IFERROR(VLOOKUP($F312,ItemList_Full,4,0),"")</f>
        <v/>
      </c>
      <c r="K312" s="13" t="n">
        <v>12000</v>
      </c>
      <c r="L312" s="12"/>
      <c r="M312" s="24"/>
      <c r="N312" s="12" t="s">
        <v>229</v>
      </c>
      <c r="O312" s="12"/>
      <c r="P312" s="13" t="n">
        <f aca="false">IF($E312="","",IF(OR($E312="Director Draw",$E312="Payroll/Employee Charge"),0,-$K312))</f>
        <v>-12000</v>
      </c>
      <c r="Q312" s="12" t="n">
        <f aca="false">IF($E312="Inventory Purchase",$H312,0)</f>
        <v>0</v>
      </c>
      <c r="U312" s="1" t="s">
        <v>1117</v>
      </c>
      <c r="V312" s="1" t="s">
        <v>1118</v>
      </c>
      <c r="W312" s="1" t="s">
        <v>246</v>
      </c>
      <c r="X312" s="1" t="n">
        <v>100</v>
      </c>
      <c r="Y312" s="1" t="s">
        <v>127</v>
      </c>
    </row>
    <row r="313" customFormat="false" ht="15" hidden="false" customHeight="true" outlineLevel="0" collapsed="false">
      <c r="A313" s="19" t="n">
        <v>46281</v>
      </c>
      <c r="B313" s="12" t="n">
        <f aca="false">IF($A313="","",ROW()-4)</f>
        <v>309</v>
      </c>
      <c r="C313" s="12" t="s">
        <v>1119</v>
      </c>
      <c r="D313" s="12" t="s">
        <v>1120</v>
      </c>
      <c r="E313" s="24" t="s">
        <v>147</v>
      </c>
      <c r="F313" s="12"/>
      <c r="G313" s="12" t="str">
        <f aca="false">IFERROR(VLOOKUP($F313,ItemList_Full,2,0),"")</f>
        <v/>
      </c>
      <c r="H313" s="12"/>
      <c r="I313" s="12" t="str">
        <f aca="false">IFERROR(VLOOKUP($F313,ItemList_Full,3,0),"")</f>
        <v/>
      </c>
      <c r="J313" s="12" t="str">
        <f aca="false">IFERROR(VLOOKUP($F313,ItemList_Full,4,0),"")</f>
        <v/>
      </c>
      <c r="K313" s="13" t="n">
        <v>1500</v>
      </c>
      <c r="L313" s="12"/>
      <c r="M313" s="24"/>
      <c r="N313" s="12" t="s">
        <v>229</v>
      </c>
      <c r="O313" s="12"/>
      <c r="P313" s="13" t="n">
        <f aca="false">IF($E313="","",IF(OR($E313="Director Draw",$E313="Payroll/Employee Charge"),0,-$K313))</f>
        <v>-1500</v>
      </c>
      <c r="Q313" s="12" t="n">
        <f aca="false">IF($E313="Inventory Purchase",$H313,0)</f>
        <v>0</v>
      </c>
      <c r="U313" s="1" t="s">
        <v>1121</v>
      </c>
      <c r="V313" s="1" t="s">
        <v>1122</v>
      </c>
      <c r="W313" s="1" t="s">
        <v>246</v>
      </c>
      <c r="X313" s="1" t="n">
        <v>300</v>
      </c>
      <c r="Y313" s="1" t="s">
        <v>127</v>
      </c>
    </row>
    <row r="314" customFormat="false" ht="15" hidden="false" customHeight="true" outlineLevel="0" collapsed="false">
      <c r="A314" s="19" t="n">
        <v>46281</v>
      </c>
      <c r="B314" s="12" t="n">
        <f aca="false">IF($A314="","",ROW()-4)</f>
        <v>310</v>
      </c>
      <c r="C314" s="12" t="s">
        <v>1053</v>
      </c>
      <c r="D314" s="12" t="s">
        <v>1054</v>
      </c>
      <c r="E314" s="24" t="s">
        <v>146</v>
      </c>
      <c r="F314" s="12"/>
      <c r="G314" s="12" t="str">
        <f aca="false">IFERROR(VLOOKUP($F314,ItemList_Full,2,0),"")</f>
        <v/>
      </c>
      <c r="H314" s="12"/>
      <c r="I314" s="12" t="str">
        <f aca="false">IFERROR(VLOOKUP($F314,ItemList_Full,3,0),"")</f>
        <v/>
      </c>
      <c r="J314" s="12" t="str">
        <f aca="false">IFERROR(VLOOKUP($F314,ItemList_Full,4,0),"")</f>
        <v/>
      </c>
      <c r="K314" s="13" t="n">
        <v>700</v>
      </c>
      <c r="L314" s="12"/>
      <c r="M314" s="24"/>
      <c r="N314" s="12" t="s">
        <v>229</v>
      </c>
      <c r="O314" s="12"/>
      <c r="P314" s="13" t="n">
        <f aca="false">IF($E314="","",IF(OR($E314="Director Draw",$E314="Payroll/Employee Charge"),0,-$K314))</f>
        <v>-700</v>
      </c>
      <c r="Q314" s="12" t="n">
        <f aca="false">IF($E314="Inventory Purchase",$H314,0)</f>
        <v>0</v>
      </c>
      <c r="U314" s="1" t="s">
        <v>1123</v>
      </c>
      <c r="V314" s="1" t="s">
        <v>1124</v>
      </c>
      <c r="W314" s="1" t="s">
        <v>246</v>
      </c>
      <c r="X314" s="1" t="n">
        <v>310</v>
      </c>
      <c r="Y314" s="1" t="s">
        <v>127</v>
      </c>
    </row>
    <row r="315" customFormat="false" ht="15" hidden="false" customHeight="true" outlineLevel="0" collapsed="false">
      <c r="A315" s="19" t="n">
        <v>46281</v>
      </c>
      <c r="B315" s="12" t="n">
        <f aca="false">IF($A315="","",ROW()-4)</f>
        <v>311</v>
      </c>
      <c r="C315" s="12" t="s">
        <v>276</v>
      </c>
      <c r="D315" s="12" t="s">
        <v>1125</v>
      </c>
      <c r="E315" s="24" t="s">
        <v>143</v>
      </c>
      <c r="F315" s="12"/>
      <c r="G315" s="12" t="str">
        <f aca="false">IFERROR(VLOOKUP($F315,ItemList_Full,2,0),"")</f>
        <v/>
      </c>
      <c r="H315" s="12"/>
      <c r="I315" s="12" t="str">
        <f aca="false">IFERROR(VLOOKUP($F315,ItemList_Full,3,0),"")</f>
        <v/>
      </c>
      <c r="J315" s="12" t="str">
        <f aca="false">IFERROR(VLOOKUP($F315,ItemList_Full,4,0),"")</f>
        <v/>
      </c>
      <c r="K315" s="13" t="n">
        <v>1000</v>
      </c>
      <c r="L315" s="12"/>
      <c r="M315" s="24"/>
      <c r="N315" s="12" t="s">
        <v>229</v>
      </c>
      <c r="O315" s="12"/>
      <c r="P315" s="13" t="n">
        <f aca="false">IF($E315="","",IF(OR($E315="Director Draw",$E315="Payroll/Employee Charge"),0,-$K315))</f>
        <v>-1000</v>
      </c>
      <c r="Q315" s="12" t="n">
        <f aca="false">IF($E315="Inventory Purchase",$H315,0)</f>
        <v>0</v>
      </c>
      <c r="U315" s="1" t="s">
        <v>1126</v>
      </c>
      <c r="V315" s="1" t="s">
        <v>1127</v>
      </c>
      <c r="W315" s="1" t="s">
        <v>246</v>
      </c>
      <c r="X315" s="1" t="n">
        <v>100</v>
      </c>
      <c r="Y315" s="1" t="s">
        <v>127</v>
      </c>
    </row>
    <row r="316" customFormat="false" ht="15" hidden="false" customHeight="true" outlineLevel="0" collapsed="false">
      <c r="A316" s="19" t="n">
        <v>46281</v>
      </c>
      <c r="B316" s="12" t="n">
        <f aca="false">IF($A316="","",ROW()-4)</f>
        <v>312</v>
      </c>
      <c r="C316" s="12" t="s">
        <v>355</v>
      </c>
      <c r="D316" s="12" t="s">
        <v>598</v>
      </c>
      <c r="E316" s="24" t="s">
        <v>143</v>
      </c>
      <c r="F316" s="12"/>
      <c r="G316" s="12" t="str">
        <f aca="false">IFERROR(VLOOKUP($F316,ItemList_Full,2,0),"")</f>
        <v/>
      </c>
      <c r="H316" s="12"/>
      <c r="I316" s="12" t="str">
        <f aca="false">IFERROR(VLOOKUP($F316,ItemList_Full,3,0),"")</f>
        <v/>
      </c>
      <c r="J316" s="12" t="str">
        <f aca="false">IFERROR(VLOOKUP($F316,ItemList_Full,4,0),"")</f>
        <v/>
      </c>
      <c r="K316" s="13" t="n">
        <v>30000</v>
      </c>
      <c r="L316" s="12"/>
      <c r="M316" s="24"/>
      <c r="N316" s="12" t="s">
        <v>229</v>
      </c>
      <c r="O316" s="12"/>
      <c r="P316" s="13" t="n">
        <f aca="false">IF($E316="","",IF(OR($E316="Director Draw",$E316="Payroll/Employee Charge"),0,-$K316))</f>
        <v>-30000</v>
      </c>
      <c r="Q316" s="12" t="n">
        <f aca="false">IF($E316="Inventory Purchase",$H316,0)</f>
        <v>0</v>
      </c>
      <c r="U316" s="1" t="s">
        <v>1128</v>
      </c>
      <c r="V316" s="1" t="s">
        <v>1129</v>
      </c>
      <c r="W316" s="1" t="s">
        <v>246</v>
      </c>
      <c r="X316" s="1" t="n">
        <v>60</v>
      </c>
      <c r="Y316" s="1" t="s">
        <v>127</v>
      </c>
    </row>
    <row r="317" customFormat="false" ht="15" hidden="false" customHeight="true" outlineLevel="0" collapsed="false">
      <c r="A317" s="19" t="n">
        <v>46281</v>
      </c>
      <c r="B317" s="12" t="n">
        <f aca="false">IF($A317="","",ROW()-4)</f>
        <v>313</v>
      </c>
      <c r="C317" s="12" t="s">
        <v>276</v>
      </c>
      <c r="D317" s="12" t="s">
        <v>1130</v>
      </c>
      <c r="E317" s="24" t="s">
        <v>143</v>
      </c>
      <c r="F317" s="12"/>
      <c r="G317" s="12" t="str">
        <f aca="false">IFERROR(VLOOKUP($F317,ItemList_Full,2,0),"")</f>
        <v/>
      </c>
      <c r="H317" s="12"/>
      <c r="I317" s="12" t="str">
        <f aca="false">IFERROR(VLOOKUP($F317,ItemList_Full,3,0),"")</f>
        <v/>
      </c>
      <c r="J317" s="12" t="str">
        <f aca="false">IFERROR(VLOOKUP($F317,ItemList_Full,4,0),"")</f>
        <v/>
      </c>
      <c r="K317" s="13" t="n">
        <v>600</v>
      </c>
      <c r="L317" s="12"/>
      <c r="M317" s="24"/>
      <c r="N317" s="12" t="s">
        <v>229</v>
      </c>
      <c r="O317" s="12"/>
      <c r="P317" s="13" t="n">
        <f aca="false">IF($E317="","",IF(OR($E317="Director Draw",$E317="Payroll/Employee Charge"),0,-$K317))</f>
        <v>-600</v>
      </c>
      <c r="Q317" s="12" t="n">
        <f aca="false">IF($E317="Inventory Purchase",$H317,0)</f>
        <v>0</v>
      </c>
      <c r="U317" s="1" t="s">
        <v>1131</v>
      </c>
      <c r="V317" s="1" t="s">
        <v>1132</v>
      </c>
      <c r="W317" s="1" t="s">
        <v>246</v>
      </c>
      <c r="X317" s="1" t="n">
        <v>70</v>
      </c>
      <c r="Y317" s="1" t="s">
        <v>127</v>
      </c>
    </row>
    <row r="318" customFormat="false" ht="15" hidden="false" customHeight="true" outlineLevel="0" collapsed="false">
      <c r="A318" s="19" t="n">
        <v>46281</v>
      </c>
      <c r="B318" s="12" t="n">
        <f aca="false">IF($A318="","",ROW()-4)</f>
        <v>314</v>
      </c>
      <c r="C318" s="12" t="s">
        <v>276</v>
      </c>
      <c r="D318" s="12" t="s">
        <v>1133</v>
      </c>
      <c r="E318" s="24" t="s">
        <v>143</v>
      </c>
      <c r="F318" s="12"/>
      <c r="G318" s="12" t="str">
        <f aca="false">IFERROR(VLOOKUP($F318,ItemList_Full,2,0),"")</f>
        <v/>
      </c>
      <c r="H318" s="12"/>
      <c r="I318" s="12" t="str">
        <f aca="false">IFERROR(VLOOKUP($F318,ItemList_Full,3,0),"")</f>
        <v/>
      </c>
      <c r="J318" s="12" t="str">
        <f aca="false">IFERROR(VLOOKUP($F318,ItemList_Full,4,0),"")</f>
        <v/>
      </c>
      <c r="K318" s="13" t="n">
        <v>1890</v>
      </c>
      <c r="L318" s="12"/>
      <c r="M318" s="24"/>
      <c r="N318" s="12" t="s">
        <v>229</v>
      </c>
      <c r="O318" s="12"/>
      <c r="P318" s="13" t="n">
        <f aca="false">IF($E318="","",IF(OR($E318="Director Draw",$E318="Payroll/Employee Charge"),0,-$K318))</f>
        <v>-1890</v>
      </c>
      <c r="Q318" s="12" t="n">
        <f aca="false">IF($E318="Inventory Purchase",$H318,0)</f>
        <v>0</v>
      </c>
      <c r="U318" s="1" t="s">
        <v>1134</v>
      </c>
      <c r="V318" s="1" t="s">
        <v>1135</v>
      </c>
      <c r="W318" s="1" t="s">
        <v>246</v>
      </c>
      <c r="X318" s="1" t="n">
        <v>130</v>
      </c>
      <c r="Y318" s="1" t="s">
        <v>127</v>
      </c>
    </row>
    <row r="319" customFormat="false" ht="15" hidden="false" customHeight="true" outlineLevel="0" collapsed="false">
      <c r="A319" s="19" t="n">
        <v>46281</v>
      </c>
      <c r="B319" s="12" t="n">
        <f aca="false">IF($A319="","",ROW()-4)</f>
        <v>315</v>
      </c>
      <c r="C319" s="12" t="s">
        <v>361</v>
      </c>
      <c r="D319" s="12" t="s">
        <v>1136</v>
      </c>
      <c r="E319" s="24" t="s">
        <v>149</v>
      </c>
      <c r="F319" s="12"/>
      <c r="G319" s="12" t="str">
        <f aca="false">IFERROR(VLOOKUP($F319,ItemList_Full,2,0),"")</f>
        <v/>
      </c>
      <c r="H319" s="12"/>
      <c r="I319" s="12" t="str">
        <f aca="false">IFERROR(VLOOKUP($F319,ItemList_Full,3,0),"")</f>
        <v/>
      </c>
      <c r="J319" s="12" t="str">
        <f aca="false">IFERROR(VLOOKUP($F319,ItemList_Full,4,0),"")</f>
        <v/>
      </c>
      <c r="K319" s="13" t="n">
        <v>250</v>
      </c>
      <c r="L319" s="12"/>
      <c r="M319" s="24"/>
      <c r="N319" s="12" t="s">
        <v>229</v>
      </c>
      <c r="O319" s="12"/>
      <c r="P319" s="13" t="n">
        <f aca="false">IF($E319="","",IF(OR($E319="Director Draw",$E319="Payroll/Employee Charge"),0,-$K319))</f>
        <v>-250</v>
      </c>
      <c r="Q319" s="12" t="n">
        <f aca="false">IF($E319="Inventory Purchase",$H319,0)</f>
        <v>0</v>
      </c>
      <c r="U319" s="1" t="s">
        <v>1137</v>
      </c>
      <c r="V319" s="1" t="s">
        <v>1138</v>
      </c>
      <c r="W319" s="1" t="s">
        <v>246</v>
      </c>
      <c r="X319" s="1" t="n">
        <v>500</v>
      </c>
      <c r="Y319" s="1" t="s">
        <v>127</v>
      </c>
    </row>
    <row r="320" customFormat="false" ht="15" hidden="false" customHeight="true" outlineLevel="0" collapsed="false">
      <c r="A320" s="19" t="n">
        <v>46281</v>
      </c>
      <c r="B320" s="12" t="n">
        <f aca="false">IF($A320="","",ROW()-4)</f>
        <v>316</v>
      </c>
      <c r="C320" s="12" t="s">
        <v>480</v>
      </c>
      <c r="D320" s="12" t="s">
        <v>1139</v>
      </c>
      <c r="E320" s="24" t="s">
        <v>150</v>
      </c>
      <c r="F320" s="12"/>
      <c r="G320" s="12" t="str">
        <f aca="false">IFERROR(VLOOKUP($F320,ItemList_Full,2,0),"")</f>
        <v/>
      </c>
      <c r="H320" s="12"/>
      <c r="I320" s="12" t="str">
        <f aca="false">IFERROR(VLOOKUP($F320,ItemList_Full,3,0),"")</f>
        <v/>
      </c>
      <c r="J320" s="12" t="str">
        <f aca="false">IFERROR(VLOOKUP($F320,ItemList_Full,4,0),"")</f>
        <v/>
      </c>
      <c r="K320" s="13" t="n">
        <v>600</v>
      </c>
      <c r="L320" s="12"/>
      <c r="M320" s="24"/>
      <c r="N320" s="12" t="s">
        <v>229</v>
      </c>
      <c r="O320" s="12"/>
      <c r="P320" s="13" t="n">
        <f aca="false">IF($E320="","",IF(OR($E320="Director Draw",$E320="Payroll/Employee Charge"),0,-$K320))</f>
        <v>-600</v>
      </c>
      <c r="Q320" s="12" t="n">
        <f aca="false">IF($E320="Inventory Purchase",$H320,0)</f>
        <v>0</v>
      </c>
      <c r="U320" s="1" t="s">
        <v>1140</v>
      </c>
      <c r="V320" s="1" t="s">
        <v>1141</v>
      </c>
      <c r="W320" s="1" t="s">
        <v>246</v>
      </c>
      <c r="X320" s="1" t="n">
        <v>470</v>
      </c>
      <c r="Y320" s="1" t="s">
        <v>127</v>
      </c>
    </row>
    <row r="321" customFormat="false" ht="15" hidden="false" customHeight="true" outlineLevel="0" collapsed="false">
      <c r="A321" s="19" t="n">
        <v>46281</v>
      </c>
      <c r="B321" s="12" t="n">
        <f aca="false">IF($A321="","",ROW()-4)</f>
        <v>317</v>
      </c>
      <c r="C321" s="12" t="s">
        <v>480</v>
      </c>
      <c r="D321" s="12" t="s">
        <v>1142</v>
      </c>
      <c r="E321" s="24" t="s">
        <v>150</v>
      </c>
      <c r="F321" s="12"/>
      <c r="G321" s="12" t="str">
        <f aca="false">IFERROR(VLOOKUP($F321,ItemList_Full,2,0),"")</f>
        <v/>
      </c>
      <c r="H321" s="12"/>
      <c r="I321" s="12" t="str">
        <f aca="false">IFERROR(VLOOKUP($F321,ItemList_Full,3,0),"")</f>
        <v/>
      </c>
      <c r="J321" s="12" t="str">
        <f aca="false">IFERROR(VLOOKUP($F321,ItemList_Full,4,0),"")</f>
        <v/>
      </c>
      <c r="K321" s="13" t="n">
        <v>500</v>
      </c>
      <c r="L321" s="12"/>
      <c r="M321" s="24"/>
      <c r="N321" s="12" t="s">
        <v>229</v>
      </c>
      <c r="O321" s="12"/>
      <c r="P321" s="13" t="n">
        <f aca="false">IF($E321="","",IF(OR($E321="Director Draw",$E321="Payroll/Employee Charge"),0,-$K321))</f>
        <v>-500</v>
      </c>
      <c r="Q321" s="12" t="n">
        <f aca="false">IF($E321="Inventory Purchase",$H321,0)</f>
        <v>0</v>
      </c>
      <c r="U321" s="1" t="s">
        <v>1143</v>
      </c>
      <c r="V321" s="1" t="s">
        <v>1144</v>
      </c>
      <c r="W321" s="1" t="s">
        <v>267</v>
      </c>
      <c r="X321" s="1" t="n">
        <v>400</v>
      </c>
      <c r="Y321" s="1" t="s">
        <v>127</v>
      </c>
    </row>
    <row r="322" customFormat="false" ht="15" hidden="false" customHeight="true" outlineLevel="0" collapsed="false">
      <c r="A322" s="19" t="n">
        <v>46282</v>
      </c>
      <c r="B322" s="12" t="n">
        <f aca="false">IF($A322="","",ROW()-4)</f>
        <v>318</v>
      </c>
      <c r="C322" s="12" t="s">
        <v>225</v>
      </c>
      <c r="D322" s="12" t="s">
        <v>305</v>
      </c>
      <c r="E322" s="24" t="s">
        <v>227</v>
      </c>
      <c r="F322" s="12"/>
      <c r="G322" s="12" t="str">
        <f aca="false">IFERROR(VLOOKUP($F322,ItemList_Full,2,0),"")</f>
        <v/>
      </c>
      <c r="H322" s="12"/>
      <c r="I322" s="12" t="str">
        <f aca="false">IFERROR(VLOOKUP($F322,ItemList_Full,3,0),"")</f>
        <v/>
      </c>
      <c r="J322" s="12" t="str">
        <f aca="false">IFERROR(VLOOKUP($F322,ItemList_Full,4,0),"")</f>
        <v/>
      </c>
      <c r="K322" s="13" t="n">
        <v>13500</v>
      </c>
      <c r="L322" s="12"/>
      <c r="M322" s="24" t="s">
        <v>228</v>
      </c>
      <c r="N322" s="12" t="s">
        <v>229</v>
      </c>
      <c r="O322" s="12"/>
      <c r="P322" s="13" t="n">
        <f aca="false">IF($E322="","",IF(OR($E322="Director Draw",$E322="Payroll/Employee Charge"),0,-$K322))</f>
        <v>0</v>
      </c>
      <c r="Q322" s="12" t="n">
        <f aca="false">IF($E322="Inventory Purchase",$H322,0)</f>
        <v>0</v>
      </c>
      <c r="U322" s="1" t="s">
        <v>1145</v>
      </c>
      <c r="V322" s="1" t="s">
        <v>1146</v>
      </c>
      <c r="W322" s="1" t="s">
        <v>246</v>
      </c>
      <c r="X322" s="1" t="n">
        <v>220</v>
      </c>
      <c r="Y322" s="1" t="s">
        <v>127</v>
      </c>
    </row>
    <row r="323" customFormat="false" ht="15" hidden="false" customHeight="true" outlineLevel="0" collapsed="false">
      <c r="A323" s="19" t="n">
        <v>46282</v>
      </c>
      <c r="B323" s="12" t="n">
        <f aca="false">IF($A323="","",ROW()-4)</f>
        <v>319</v>
      </c>
      <c r="C323" s="12" t="s">
        <v>225</v>
      </c>
      <c r="D323" s="12" t="s">
        <v>1147</v>
      </c>
      <c r="E323" s="24" t="s">
        <v>227</v>
      </c>
      <c r="F323" s="12"/>
      <c r="G323" s="12" t="str">
        <f aca="false">IFERROR(VLOOKUP($F323,ItemList_Full,2,0),"")</f>
        <v/>
      </c>
      <c r="H323" s="12"/>
      <c r="I323" s="12" t="str">
        <f aca="false">IFERROR(VLOOKUP($F323,ItemList_Full,3,0),"")</f>
        <v/>
      </c>
      <c r="J323" s="12" t="str">
        <f aca="false">IFERROR(VLOOKUP($F323,ItemList_Full,4,0),"")</f>
        <v/>
      </c>
      <c r="K323" s="13" t="n">
        <v>20000</v>
      </c>
      <c r="L323" s="12"/>
      <c r="M323" s="24" t="s">
        <v>378</v>
      </c>
      <c r="N323" s="12" t="s">
        <v>229</v>
      </c>
      <c r="O323" s="12"/>
      <c r="P323" s="13" t="n">
        <f aca="false">IF($E323="","",IF(OR($E323="Director Draw",$E323="Payroll/Employee Charge"),0,-$K323))</f>
        <v>0</v>
      </c>
      <c r="Q323" s="12" t="n">
        <f aca="false">IF($E323="Inventory Purchase",$H323,0)</f>
        <v>0</v>
      </c>
      <c r="U323" s="1" t="s">
        <v>1148</v>
      </c>
      <c r="V323" s="1" t="s">
        <v>1149</v>
      </c>
      <c r="W323" s="1" t="s">
        <v>350</v>
      </c>
      <c r="X323" s="1" t="n">
        <v>100</v>
      </c>
      <c r="Y323" s="1" t="s">
        <v>127</v>
      </c>
    </row>
    <row r="324" customFormat="false" ht="15" hidden="false" customHeight="true" outlineLevel="0" collapsed="false">
      <c r="A324" s="19" t="n">
        <v>46282</v>
      </c>
      <c r="B324" s="12" t="n">
        <f aca="false">IF($A324="","",ROW()-4)</f>
        <v>320</v>
      </c>
      <c r="C324" s="12" t="s">
        <v>225</v>
      </c>
      <c r="D324" s="12" t="s">
        <v>1150</v>
      </c>
      <c r="E324" s="24" t="s">
        <v>227</v>
      </c>
      <c r="F324" s="12"/>
      <c r="G324" s="12" t="str">
        <f aca="false">IFERROR(VLOOKUP($F324,ItemList_Full,2,0),"")</f>
        <v/>
      </c>
      <c r="H324" s="12"/>
      <c r="I324" s="12" t="str">
        <f aca="false">IFERROR(VLOOKUP($F324,ItemList_Full,3,0),"")</f>
        <v/>
      </c>
      <c r="J324" s="12" t="str">
        <f aca="false">IFERROR(VLOOKUP($F324,ItemList_Full,4,0),"")</f>
        <v/>
      </c>
      <c r="K324" s="13" t="n">
        <v>250</v>
      </c>
      <c r="L324" s="12"/>
      <c r="M324" s="24" t="s">
        <v>234</v>
      </c>
      <c r="N324" s="12" t="s">
        <v>229</v>
      </c>
      <c r="O324" s="12"/>
      <c r="P324" s="13" t="n">
        <f aca="false">IF($E324="","",IF(OR($E324="Director Draw",$E324="Payroll/Employee Charge"),0,-$K324))</f>
        <v>0</v>
      </c>
      <c r="Q324" s="12" t="n">
        <f aca="false">IF($E324="Inventory Purchase",$H324,0)</f>
        <v>0</v>
      </c>
      <c r="U324" s="1" t="s">
        <v>1151</v>
      </c>
      <c r="V324" s="1" t="s">
        <v>1152</v>
      </c>
      <c r="W324" s="1" t="s">
        <v>267</v>
      </c>
      <c r="X324" s="1" t="n">
        <v>375</v>
      </c>
      <c r="Y324" s="1" t="s">
        <v>127</v>
      </c>
    </row>
    <row r="325" customFormat="false" ht="15" hidden="false" customHeight="true" outlineLevel="0" collapsed="false">
      <c r="A325" s="19" t="n">
        <v>46282</v>
      </c>
      <c r="B325" s="12" t="n">
        <f aca="false">IF($A325="","",ROW()-4)</f>
        <v>321</v>
      </c>
      <c r="C325" s="12" t="s">
        <v>255</v>
      </c>
      <c r="D325" s="12" t="s">
        <v>256</v>
      </c>
      <c r="E325" s="24" t="s">
        <v>139</v>
      </c>
      <c r="F325" s="12"/>
      <c r="G325" s="12" t="str">
        <f aca="false">IFERROR(VLOOKUP($F325,ItemList_Full,2,0),"")</f>
        <v/>
      </c>
      <c r="H325" s="12"/>
      <c r="I325" s="12" t="str">
        <f aca="false">IFERROR(VLOOKUP($F325,ItemList_Full,3,0),"")</f>
        <v/>
      </c>
      <c r="J325" s="12" t="str">
        <f aca="false">IFERROR(VLOOKUP($F325,ItemList_Full,4,0),"")</f>
        <v/>
      </c>
      <c r="K325" s="13" t="n">
        <v>540</v>
      </c>
      <c r="L325" s="12"/>
      <c r="M325" s="24"/>
      <c r="N325" s="12" t="s">
        <v>229</v>
      </c>
      <c r="O325" s="12"/>
      <c r="P325" s="13" t="n">
        <f aca="false">IF($E325="","",IF(OR($E325="Director Draw",$E325="Payroll/Employee Charge"),0,-$K325))</f>
        <v>-540</v>
      </c>
      <c r="Q325" s="12" t="n">
        <f aca="false">IF($E325="Inventory Purchase",$H325,0)</f>
        <v>0</v>
      </c>
      <c r="U325" s="1" t="s">
        <v>1153</v>
      </c>
      <c r="V325" s="1" t="s">
        <v>1154</v>
      </c>
      <c r="W325" s="1" t="s">
        <v>246</v>
      </c>
      <c r="X325" s="1" t="n">
        <v>600</v>
      </c>
      <c r="Y325" s="1" t="s">
        <v>127</v>
      </c>
    </row>
    <row r="326" customFormat="false" ht="15" hidden="false" customHeight="true" outlineLevel="0" collapsed="false">
      <c r="A326" s="19" t="n">
        <v>46282</v>
      </c>
      <c r="B326" s="12" t="n">
        <f aca="false">IF($A326="","",ROW()-4)</f>
        <v>322</v>
      </c>
      <c r="C326" s="12" t="s">
        <v>237</v>
      </c>
      <c r="D326" s="12" t="s">
        <v>238</v>
      </c>
      <c r="E326" s="24" t="s">
        <v>139</v>
      </c>
      <c r="F326" s="12"/>
      <c r="G326" s="12" t="str">
        <f aca="false">IFERROR(VLOOKUP($F326,ItemList_Full,2,0),"")</f>
        <v/>
      </c>
      <c r="H326" s="12"/>
      <c r="I326" s="12" t="str">
        <f aca="false">IFERROR(VLOOKUP($F326,ItemList_Full,3,0),"")</f>
        <v/>
      </c>
      <c r="J326" s="12" t="str">
        <f aca="false">IFERROR(VLOOKUP($F326,ItemList_Full,4,0),"")</f>
        <v/>
      </c>
      <c r="K326" s="13" t="n">
        <v>42209</v>
      </c>
      <c r="L326" s="12"/>
      <c r="M326" s="24"/>
      <c r="N326" s="12" t="s">
        <v>229</v>
      </c>
      <c r="O326" s="12"/>
      <c r="P326" s="13" t="n">
        <f aca="false">IF($E326="","",IF(OR($E326="Director Draw",$E326="Payroll/Employee Charge"),0,-$K326))</f>
        <v>-42209</v>
      </c>
      <c r="Q326" s="12" t="n">
        <f aca="false">IF($E326="Inventory Purchase",$H326,0)</f>
        <v>0</v>
      </c>
      <c r="U326" s="1" t="s">
        <v>1155</v>
      </c>
      <c r="V326" s="1" t="s">
        <v>1156</v>
      </c>
      <c r="W326" s="1" t="s">
        <v>1157</v>
      </c>
      <c r="X326" s="1" t="n">
        <v>2800</v>
      </c>
      <c r="Y326" s="1" t="s">
        <v>132</v>
      </c>
    </row>
    <row r="327" customFormat="false" ht="15" hidden="false" customHeight="true" outlineLevel="0" collapsed="false">
      <c r="A327" s="19" t="n">
        <v>46282</v>
      </c>
      <c r="B327" s="12" t="n">
        <f aca="false">IF($A327="","",ROW()-4)</f>
        <v>323</v>
      </c>
      <c r="C327" s="12" t="s">
        <v>242</v>
      </c>
      <c r="D327" s="12" t="s">
        <v>243</v>
      </c>
      <c r="E327" s="24" t="s">
        <v>139</v>
      </c>
      <c r="F327" s="12"/>
      <c r="G327" s="12" t="str">
        <f aca="false">IFERROR(VLOOKUP($F327,ItemList_Full,2,0),"")</f>
        <v/>
      </c>
      <c r="H327" s="12"/>
      <c r="I327" s="12" t="str">
        <f aca="false">IFERROR(VLOOKUP($F327,ItemList_Full,3,0),"")</f>
        <v/>
      </c>
      <c r="J327" s="12" t="str">
        <f aca="false">IFERROR(VLOOKUP($F327,ItemList_Full,4,0),"")</f>
        <v/>
      </c>
      <c r="K327" s="13" t="n">
        <v>2000</v>
      </c>
      <c r="L327" s="12"/>
      <c r="M327" s="24"/>
      <c r="N327" s="12" t="s">
        <v>229</v>
      </c>
      <c r="O327" s="12"/>
      <c r="P327" s="13" t="n">
        <f aca="false">IF($E327="","",IF(OR($E327="Director Draw",$E327="Payroll/Employee Charge"),0,-$K327))</f>
        <v>-2000</v>
      </c>
      <c r="Q327" s="12" t="n">
        <f aca="false">IF($E327="Inventory Purchase",$H327,0)</f>
        <v>0</v>
      </c>
      <c r="U327" s="1" t="s">
        <v>1158</v>
      </c>
      <c r="V327" s="1" t="s">
        <v>1159</v>
      </c>
      <c r="W327" s="1" t="s">
        <v>246</v>
      </c>
      <c r="X327" s="1" t="n">
        <v>5</v>
      </c>
      <c r="Y327" s="1" t="s">
        <v>132</v>
      </c>
    </row>
    <row r="328" customFormat="false" ht="15" hidden="false" customHeight="true" outlineLevel="0" collapsed="false">
      <c r="A328" s="19" t="n">
        <v>46282</v>
      </c>
      <c r="B328" s="12" t="n">
        <f aca="false">IF($A328="","",ROW()-4)</f>
        <v>324</v>
      </c>
      <c r="C328" s="12" t="s">
        <v>449</v>
      </c>
      <c r="D328" s="12" t="s">
        <v>1160</v>
      </c>
      <c r="E328" s="24" t="s">
        <v>127</v>
      </c>
      <c r="F328" s="12"/>
      <c r="G328" s="12" t="str">
        <f aca="false">IFERROR(VLOOKUP($F328,ItemList_Full,2,0),"")</f>
        <v/>
      </c>
      <c r="H328" s="12"/>
      <c r="I328" s="12" t="str">
        <f aca="false">IFERROR(VLOOKUP($F328,ItemList_Full,3,0),"")</f>
        <v/>
      </c>
      <c r="J328" s="12" t="str">
        <f aca="false">IFERROR(VLOOKUP($F328,ItemList_Full,4,0),"")</f>
        <v/>
      </c>
      <c r="K328" s="13" t="n">
        <v>43410</v>
      </c>
      <c r="L328" s="12"/>
      <c r="M328" s="24"/>
      <c r="N328" s="12" t="s">
        <v>229</v>
      </c>
      <c r="O328" s="12"/>
      <c r="P328" s="13" t="n">
        <f aca="false">IF($E328="","",IF(OR($E328="Director Draw",$E328="Payroll/Employee Charge"),0,-$K328))</f>
        <v>-43410</v>
      </c>
      <c r="Q328" s="12" t="n">
        <f aca="false">IF($E328="Inventory Purchase",$H328,0)</f>
        <v>0</v>
      </c>
      <c r="U328" s="1" t="s">
        <v>1161</v>
      </c>
      <c r="V328" s="1" t="s">
        <v>1162</v>
      </c>
      <c r="W328" s="1" t="s">
        <v>246</v>
      </c>
      <c r="X328" s="1" t="n">
        <v>280</v>
      </c>
      <c r="Y328" s="1" t="s">
        <v>127</v>
      </c>
    </row>
    <row r="329" customFormat="false" ht="15" hidden="false" customHeight="true" outlineLevel="0" collapsed="false">
      <c r="A329" s="19" t="n">
        <v>46282</v>
      </c>
      <c r="B329" s="12" t="n">
        <f aca="false">IF($A329="","",ROW()-4)</f>
        <v>325</v>
      </c>
      <c r="C329" s="12" t="s">
        <v>1163</v>
      </c>
      <c r="D329" s="12" t="s">
        <v>1164</v>
      </c>
      <c r="E329" s="24" t="s">
        <v>140</v>
      </c>
      <c r="F329" s="12"/>
      <c r="G329" s="12" t="str">
        <f aca="false">IFERROR(VLOOKUP($F329,ItemList_Full,2,0),"")</f>
        <v/>
      </c>
      <c r="H329" s="12"/>
      <c r="I329" s="12" t="str">
        <f aca="false">IFERROR(VLOOKUP($F329,ItemList_Full,3,0),"")</f>
        <v/>
      </c>
      <c r="J329" s="12" t="str">
        <f aca="false">IFERROR(VLOOKUP($F329,ItemList_Full,4,0),"")</f>
        <v/>
      </c>
      <c r="K329" s="13" t="n">
        <v>4800</v>
      </c>
      <c r="L329" s="12"/>
      <c r="M329" s="24"/>
      <c r="N329" s="12" t="s">
        <v>229</v>
      </c>
      <c r="O329" s="12"/>
      <c r="P329" s="13" t="n">
        <f aca="false">IF($E329="","",IF(OR($E329="Director Draw",$E329="Payroll/Employee Charge"),0,-$K329))</f>
        <v>-4800</v>
      </c>
      <c r="Q329" s="12" t="n">
        <f aca="false">IF($E329="Inventory Purchase",$H329,0)</f>
        <v>0</v>
      </c>
      <c r="U329" s="1" t="s">
        <v>1165</v>
      </c>
      <c r="V329" s="1" t="s">
        <v>1166</v>
      </c>
      <c r="W329" s="1" t="s">
        <v>246</v>
      </c>
      <c r="X329" s="1" t="n">
        <v>350</v>
      </c>
      <c r="Y329" s="1" t="s">
        <v>128</v>
      </c>
    </row>
    <row r="330" customFormat="false" ht="15" hidden="false" customHeight="true" outlineLevel="0" collapsed="false">
      <c r="A330" s="19" t="n">
        <v>46282</v>
      </c>
      <c r="B330" s="12" t="n">
        <f aca="false">IF($A330="","",ROW()-4)</f>
        <v>326</v>
      </c>
      <c r="C330" s="12" t="s">
        <v>1167</v>
      </c>
      <c r="D330" s="12" t="s">
        <v>1167</v>
      </c>
      <c r="E330" s="24" t="s">
        <v>145</v>
      </c>
      <c r="F330" s="12"/>
      <c r="G330" s="12" t="str">
        <f aca="false">IFERROR(VLOOKUP($F330,ItemList_Full,2,0),"")</f>
        <v/>
      </c>
      <c r="H330" s="12"/>
      <c r="I330" s="12" t="str">
        <f aca="false">IFERROR(VLOOKUP($F330,ItemList_Full,3,0),"")</f>
        <v/>
      </c>
      <c r="J330" s="12" t="str">
        <f aca="false">IFERROR(VLOOKUP($F330,ItemList_Full,4,0),"")</f>
        <v/>
      </c>
      <c r="K330" s="13" t="n">
        <v>800000</v>
      </c>
      <c r="L330" s="12"/>
      <c r="M330" s="24"/>
      <c r="N330" s="12" t="s">
        <v>229</v>
      </c>
      <c r="O330" s="12"/>
      <c r="P330" s="13" t="n">
        <f aca="false">IF($E330="","",IF(OR($E330="Director Draw",$E330="Payroll/Employee Charge"),0,-$K330))</f>
        <v>-800000</v>
      </c>
      <c r="Q330" s="12" t="n">
        <f aca="false">IF($E330="Inventory Purchase",$H330,0)</f>
        <v>0</v>
      </c>
      <c r="U330" s="1" t="s">
        <v>1168</v>
      </c>
      <c r="V330" s="1" t="s">
        <v>640</v>
      </c>
      <c r="W330" s="1" t="s">
        <v>267</v>
      </c>
      <c r="X330" s="1" t="n">
        <v>220</v>
      </c>
      <c r="Y330" s="1" t="s">
        <v>133</v>
      </c>
    </row>
    <row r="331" customFormat="false" ht="15" hidden="false" customHeight="true" outlineLevel="0" collapsed="false">
      <c r="A331" s="19" t="n">
        <v>46282</v>
      </c>
      <c r="B331" s="12" t="n">
        <f aca="false">IF($A331="","",ROW()-4)</f>
        <v>327</v>
      </c>
      <c r="C331" s="12" t="s">
        <v>1169</v>
      </c>
      <c r="D331" s="12" t="s">
        <v>1170</v>
      </c>
      <c r="E331" s="24" t="s">
        <v>145</v>
      </c>
      <c r="F331" s="12"/>
      <c r="G331" s="12" t="str">
        <f aca="false">IFERROR(VLOOKUP($F331,ItemList_Full,2,0),"")</f>
        <v/>
      </c>
      <c r="H331" s="12"/>
      <c r="I331" s="12" t="str">
        <f aca="false">IFERROR(VLOOKUP($F331,ItemList_Full,3,0),"")</f>
        <v/>
      </c>
      <c r="J331" s="12" t="str">
        <f aca="false">IFERROR(VLOOKUP($F331,ItemList_Full,4,0),"")</f>
        <v/>
      </c>
      <c r="K331" s="13" t="n">
        <v>4970</v>
      </c>
      <c r="L331" s="12"/>
      <c r="M331" s="24"/>
      <c r="N331" s="12" t="s">
        <v>229</v>
      </c>
      <c r="O331" s="12"/>
      <c r="P331" s="13" t="n">
        <f aca="false">IF($E331="","",IF(OR($E331="Director Draw",$E331="Payroll/Employee Charge"),0,-$K331))</f>
        <v>-4970</v>
      </c>
      <c r="Q331" s="12" t="n">
        <f aca="false">IF($E331="Inventory Purchase",$H331,0)</f>
        <v>0</v>
      </c>
      <c r="U331" s="1" t="s">
        <v>1171</v>
      </c>
      <c r="V331" s="1" t="s">
        <v>579</v>
      </c>
      <c r="W331" s="1" t="s">
        <v>246</v>
      </c>
      <c r="X331" s="1" t="n">
        <v>95</v>
      </c>
      <c r="Y331" s="1" t="s">
        <v>133</v>
      </c>
    </row>
    <row r="332" customFormat="false" ht="15" hidden="false" customHeight="true" outlineLevel="0" collapsed="false">
      <c r="A332" s="19" t="n">
        <v>46282</v>
      </c>
      <c r="B332" s="12" t="n">
        <f aca="false">IF($A332="","",ROW()-4)</f>
        <v>328</v>
      </c>
      <c r="C332" s="12" t="s">
        <v>414</v>
      </c>
      <c r="D332" s="12" t="s">
        <v>1172</v>
      </c>
      <c r="E332" s="24" t="s">
        <v>145</v>
      </c>
      <c r="F332" s="12"/>
      <c r="G332" s="12" t="str">
        <f aca="false">IFERROR(VLOOKUP($F332,ItemList_Full,2,0),"")</f>
        <v/>
      </c>
      <c r="H332" s="12"/>
      <c r="I332" s="12" t="str">
        <f aca="false">IFERROR(VLOOKUP($F332,ItemList_Full,3,0),"")</f>
        <v/>
      </c>
      <c r="J332" s="12" t="str">
        <f aca="false">IFERROR(VLOOKUP($F332,ItemList_Full,4,0),"")</f>
        <v/>
      </c>
      <c r="K332" s="13" t="n">
        <v>56296</v>
      </c>
      <c r="L332" s="12"/>
      <c r="M332" s="24"/>
      <c r="N332" s="12" t="s">
        <v>229</v>
      </c>
      <c r="O332" s="12"/>
      <c r="P332" s="13" t="n">
        <f aca="false">IF($E332="","",IF(OR($E332="Director Draw",$E332="Payroll/Employee Charge"),0,-$K332))</f>
        <v>-56296</v>
      </c>
      <c r="Q332" s="12" t="n">
        <f aca="false">IF($E332="Inventory Purchase",$H332,0)</f>
        <v>0</v>
      </c>
      <c r="U332" s="1" t="s">
        <v>1173</v>
      </c>
      <c r="V332" s="1" t="s">
        <v>1174</v>
      </c>
      <c r="W332" s="1" t="s">
        <v>267</v>
      </c>
      <c r="X332" s="1" t="n">
        <v>180</v>
      </c>
      <c r="Y332" s="1" t="s">
        <v>133</v>
      </c>
    </row>
    <row r="333" customFormat="false" ht="15" hidden="false" customHeight="true" outlineLevel="0" collapsed="false">
      <c r="A333" s="19" t="n">
        <v>46282</v>
      </c>
      <c r="B333" s="12" t="n">
        <f aca="false">IF($A333="","",ROW()-4)</f>
        <v>329</v>
      </c>
      <c r="C333" s="12" t="s">
        <v>550</v>
      </c>
      <c r="D333" s="12" t="s">
        <v>1175</v>
      </c>
      <c r="E333" s="24" t="s">
        <v>152</v>
      </c>
      <c r="F333" s="12"/>
      <c r="G333" s="12" t="str">
        <f aca="false">IFERROR(VLOOKUP($F333,ItemList_Full,2,0),"")</f>
        <v/>
      </c>
      <c r="H333" s="12"/>
      <c r="I333" s="12" t="str">
        <f aca="false">IFERROR(VLOOKUP($F333,ItemList_Full,3,0),"")</f>
        <v/>
      </c>
      <c r="J333" s="12" t="str">
        <f aca="false">IFERROR(VLOOKUP($F333,ItemList_Full,4,0),"")</f>
        <v/>
      </c>
      <c r="K333" s="13" t="n">
        <v>30837</v>
      </c>
      <c r="L333" s="12"/>
      <c r="M333" s="24"/>
      <c r="N333" s="12" t="s">
        <v>229</v>
      </c>
      <c r="O333" s="12"/>
      <c r="P333" s="13" t="n">
        <f aca="false">IF($E333="","",IF(OR($E333="Director Draw",$E333="Payroll/Employee Charge"),0,-$K333))</f>
        <v>-30837</v>
      </c>
      <c r="Q333" s="12" t="n">
        <f aca="false">IF($E333="Inventory Purchase",$H333,0)</f>
        <v>0</v>
      </c>
      <c r="U333" s="1" t="s">
        <v>1176</v>
      </c>
      <c r="V333" s="1" t="s">
        <v>1177</v>
      </c>
      <c r="W333" s="1" t="s">
        <v>267</v>
      </c>
      <c r="X333" s="1" t="n">
        <v>250</v>
      </c>
      <c r="Y333" s="1" t="s">
        <v>133</v>
      </c>
    </row>
    <row r="334" customFormat="false" ht="15" hidden="false" customHeight="true" outlineLevel="0" collapsed="false">
      <c r="A334" s="19" t="n">
        <v>46282</v>
      </c>
      <c r="B334" s="12" t="n">
        <f aca="false">IF($A334="","",ROW()-4)</f>
        <v>330</v>
      </c>
      <c r="C334" s="12" t="s">
        <v>1178</v>
      </c>
      <c r="D334" s="12" t="s">
        <v>1179</v>
      </c>
      <c r="E334" s="24" t="s">
        <v>151</v>
      </c>
      <c r="F334" s="12"/>
      <c r="G334" s="12" t="str">
        <f aca="false">IFERROR(VLOOKUP($F334,ItemList_Full,2,0),"")</f>
        <v/>
      </c>
      <c r="H334" s="12"/>
      <c r="I334" s="12" t="str">
        <f aca="false">IFERROR(VLOOKUP($F334,ItemList_Full,3,0),"")</f>
        <v/>
      </c>
      <c r="J334" s="12" t="str">
        <f aca="false">IFERROR(VLOOKUP($F334,ItemList_Full,4,0),"")</f>
        <v/>
      </c>
      <c r="K334" s="13" t="n">
        <v>450</v>
      </c>
      <c r="L334" s="12"/>
      <c r="M334" s="24"/>
      <c r="N334" s="12" t="s">
        <v>229</v>
      </c>
      <c r="O334" s="12"/>
      <c r="P334" s="13" t="n">
        <f aca="false">IF($E334="","",IF(OR($E334="Director Draw",$E334="Payroll/Employee Charge"),0,-$K334))</f>
        <v>-450</v>
      </c>
      <c r="Q334" s="12" t="n">
        <f aca="false">IF($E334="Inventory Purchase",$H334,0)</f>
        <v>0</v>
      </c>
      <c r="U334" s="1" t="s">
        <v>1180</v>
      </c>
      <c r="V334" s="1" t="s">
        <v>1181</v>
      </c>
      <c r="W334" s="1" t="s">
        <v>267</v>
      </c>
      <c r="X334" s="1" t="n">
        <v>0</v>
      </c>
      <c r="Y334" s="1" t="s">
        <v>133</v>
      </c>
    </row>
    <row r="335" customFormat="false" ht="15" hidden="false" customHeight="true" outlineLevel="0" collapsed="false">
      <c r="A335" s="19" t="n">
        <v>46282</v>
      </c>
      <c r="B335" s="12" t="n">
        <f aca="false">IF($A335="","",ROW()-4)</f>
        <v>331</v>
      </c>
      <c r="C335" s="12" t="s">
        <v>276</v>
      </c>
      <c r="D335" s="12" t="s">
        <v>1182</v>
      </c>
      <c r="E335" s="24" t="s">
        <v>143</v>
      </c>
      <c r="F335" s="12"/>
      <c r="G335" s="12" t="str">
        <f aca="false">IFERROR(VLOOKUP($F335,ItemList_Full,2,0),"")</f>
        <v/>
      </c>
      <c r="H335" s="12"/>
      <c r="I335" s="12" t="str">
        <f aca="false">IFERROR(VLOOKUP($F335,ItemList_Full,3,0),"")</f>
        <v/>
      </c>
      <c r="J335" s="12" t="str">
        <f aca="false">IFERROR(VLOOKUP($F335,ItemList_Full,4,0),"")</f>
        <v/>
      </c>
      <c r="K335" s="13" t="n">
        <v>2595</v>
      </c>
      <c r="L335" s="12"/>
      <c r="M335" s="24"/>
      <c r="N335" s="12" t="s">
        <v>229</v>
      </c>
      <c r="O335" s="12"/>
      <c r="P335" s="13" t="n">
        <f aca="false">IF($E335="","",IF(OR($E335="Director Draw",$E335="Payroll/Employee Charge"),0,-$K335))</f>
        <v>-2595</v>
      </c>
      <c r="Q335" s="12" t="n">
        <f aca="false">IF($E335="Inventory Purchase",$H335,0)</f>
        <v>0</v>
      </c>
      <c r="U335" s="1" t="s">
        <v>1183</v>
      </c>
      <c r="V335" s="1" t="s">
        <v>1184</v>
      </c>
      <c r="W335" s="1" t="s">
        <v>267</v>
      </c>
      <c r="X335" s="1" t="n">
        <v>330</v>
      </c>
      <c r="Y335" s="1" t="s">
        <v>133</v>
      </c>
    </row>
    <row r="336" customFormat="false" ht="15" hidden="false" customHeight="true" outlineLevel="0" collapsed="false">
      <c r="A336" s="19" t="n">
        <v>46282</v>
      </c>
      <c r="B336" s="12" t="n">
        <f aca="false">IF($A336="","",ROW()-4)</f>
        <v>332</v>
      </c>
      <c r="C336" s="12" t="s">
        <v>355</v>
      </c>
      <c r="D336" s="12" t="s">
        <v>967</v>
      </c>
      <c r="E336" s="24" t="s">
        <v>143</v>
      </c>
      <c r="F336" s="12"/>
      <c r="G336" s="12" t="str">
        <f aca="false">IFERROR(VLOOKUP($F336,ItemList_Full,2,0),"")</f>
        <v/>
      </c>
      <c r="H336" s="12"/>
      <c r="I336" s="12" t="str">
        <f aca="false">IFERROR(VLOOKUP($F336,ItemList_Full,3,0),"")</f>
        <v/>
      </c>
      <c r="J336" s="12" t="str">
        <f aca="false">IFERROR(VLOOKUP($F336,ItemList_Full,4,0),"")</f>
        <v/>
      </c>
      <c r="K336" s="13" t="n">
        <v>2318</v>
      </c>
      <c r="L336" s="12"/>
      <c r="M336" s="24"/>
      <c r="N336" s="12" t="s">
        <v>229</v>
      </c>
      <c r="O336" s="12"/>
      <c r="P336" s="13" t="n">
        <f aca="false">IF($E336="","",IF(OR($E336="Director Draw",$E336="Payroll/Employee Charge"),0,-$K336))</f>
        <v>-2318</v>
      </c>
      <c r="Q336" s="12" t="n">
        <f aca="false">IF($E336="Inventory Purchase",$H336,0)</f>
        <v>0</v>
      </c>
      <c r="U336" s="1" t="s">
        <v>1185</v>
      </c>
      <c r="V336" s="1" t="s">
        <v>1186</v>
      </c>
      <c r="W336" s="1" t="s">
        <v>241</v>
      </c>
      <c r="X336" s="1" t="n">
        <v>200</v>
      </c>
      <c r="Y336" s="1" t="s">
        <v>133</v>
      </c>
    </row>
    <row r="337" customFormat="false" ht="15" hidden="false" customHeight="true" outlineLevel="0" collapsed="false">
      <c r="A337" s="19" t="n">
        <v>46282</v>
      </c>
      <c r="B337" s="12" t="n">
        <f aca="false">IF($A337="","",ROW()-4)</f>
        <v>333</v>
      </c>
      <c r="C337" s="12" t="s">
        <v>355</v>
      </c>
      <c r="D337" s="12" t="s">
        <v>1187</v>
      </c>
      <c r="E337" s="24" t="s">
        <v>143</v>
      </c>
      <c r="F337" s="12"/>
      <c r="G337" s="12" t="str">
        <f aca="false">IFERROR(VLOOKUP($F337,ItemList_Full,2,0),"")</f>
        <v/>
      </c>
      <c r="H337" s="12"/>
      <c r="I337" s="12" t="str">
        <f aca="false">IFERROR(VLOOKUP($F337,ItemList_Full,3,0),"")</f>
        <v/>
      </c>
      <c r="J337" s="12" t="str">
        <f aca="false">IFERROR(VLOOKUP($F337,ItemList_Full,4,0),"")</f>
        <v/>
      </c>
      <c r="K337" s="13" t="n">
        <v>1025</v>
      </c>
      <c r="L337" s="12"/>
      <c r="M337" s="24"/>
      <c r="N337" s="12" t="s">
        <v>229</v>
      </c>
      <c r="O337" s="12"/>
      <c r="P337" s="13" t="n">
        <f aca="false">IF($E337="","",IF(OR($E337="Director Draw",$E337="Payroll/Employee Charge"),0,-$K337))</f>
        <v>-1025</v>
      </c>
      <c r="Q337" s="12" t="n">
        <f aca="false">IF($E337="Inventory Purchase",$H337,0)</f>
        <v>0</v>
      </c>
      <c r="U337" s="1" t="s">
        <v>1188</v>
      </c>
      <c r="V337" s="1" t="s">
        <v>1189</v>
      </c>
      <c r="W337" s="1" t="s">
        <v>246</v>
      </c>
      <c r="X337" s="1" t="n">
        <v>50</v>
      </c>
      <c r="Y337" s="1" t="s">
        <v>133</v>
      </c>
    </row>
    <row r="338" customFormat="false" ht="15" hidden="false" customHeight="true" outlineLevel="0" collapsed="false">
      <c r="A338" s="19" t="n">
        <v>46282</v>
      </c>
      <c r="B338" s="12" t="n">
        <f aca="false">IF($A338="","",ROW()-4)</f>
        <v>334</v>
      </c>
      <c r="C338" s="12" t="s">
        <v>361</v>
      </c>
      <c r="D338" s="12" t="s">
        <v>1190</v>
      </c>
      <c r="E338" s="24" t="s">
        <v>149</v>
      </c>
      <c r="F338" s="12"/>
      <c r="G338" s="12" t="str">
        <f aca="false">IFERROR(VLOOKUP($F338,ItemList_Full,2,0),"")</f>
        <v/>
      </c>
      <c r="H338" s="12"/>
      <c r="I338" s="12" t="str">
        <f aca="false">IFERROR(VLOOKUP($F338,ItemList_Full,3,0),"")</f>
        <v/>
      </c>
      <c r="J338" s="12" t="str">
        <f aca="false">IFERROR(VLOOKUP($F338,ItemList_Full,4,0),"")</f>
        <v/>
      </c>
      <c r="K338" s="13" t="n">
        <v>180</v>
      </c>
      <c r="L338" s="12"/>
      <c r="M338" s="24"/>
      <c r="N338" s="12" t="s">
        <v>229</v>
      </c>
      <c r="O338" s="12"/>
      <c r="P338" s="13" t="n">
        <f aca="false">IF($E338="","",IF(OR($E338="Director Draw",$E338="Payroll/Employee Charge"),0,-$K338))</f>
        <v>-180</v>
      </c>
      <c r="Q338" s="12" t="n">
        <f aca="false">IF($E338="Inventory Purchase",$H338,0)</f>
        <v>0</v>
      </c>
      <c r="U338" s="1" t="s">
        <v>1191</v>
      </c>
      <c r="V338" s="1" t="s">
        <v>1192</v>
      </c>
      <c r="W338" s="1" t="s">
        <v>246</v>
      </c>
      <c r="X338" s="1" t="n">
        <v>350</v>
      </c>
      <c r="Y338" s="1" t="s">
        <v>133</v>
      </c>
    </row>
    <row r="339" customFormat="false" ht="15" hidden="false" customHeight="true" outlineLevel="0" collapsed="false">
      <c r="A339" s="19" t="n">
        <v>46282</v>
      </c>
      <c r="B339" s="12" t="n">
        <f aca="false">IF($A339="","",ROW()-4)</f>
        <v>335</v>
      </c>
      <c r="C339" s="12" t="s">
        <v>1193</v>
      </c>
      <c r="D339" s="12" t="s">
        <v>1194</v>
      </c>
      <c r="E339" s="24" t="s">
        <v>150</v>
      </c>
      <c r="F339" s="12"/>
      <c r="G339" s="12" t="str">
        <f aca="false">IFERROR(VLOOKUP($F339,ItemList_Full,2,0),"")</f>
        <v/>
      </c>
      <c r="H339" s="12"/>
      <c r="I339" s="12" t="str">
        <f aca="false">IFERROR(VLOOKUP($F339,ItemList_Full,3,0),"")</f>
        <v/>
      </c>
      <c r="J339" s="12" t="str">
        <f aca="false">IFERROR(VLOOKUP($F339,ItemList_Full,4,0),"")</f>
        <v/>
      </c>
      <c r="K339" s="13" t="n">
        <v>900</v>
      </c>
      <c r="L339" s="12"/>
      <c r="M339" s="24"/>
      <c r="N339" s="12" t="s">
        <v>229</v>
      </c>
      <c r="O339" s="12"/>
      <c r="P339" s="13" t="n">
        <f aca="false">IF($E339="","",IF(OR($E339="Director Draw",$E339="Payroll/Employee Charge"),0,-$K339))</f>
        <v>-900</v>
      </c>
      <c r="Q339" s="12" t="n">
        <f aca="false">IF($E339="Inventory Purchase",$H339,0)</f>
        <v>0</v>
      </c>
      <c r="U339" s="1" t="s">
        <v>1195</v>
      </c>
      <c r="V339" s="1" t="s">
        <v>1196</v>
      </c>
      <c r="W339" s="1" t="s">
        <v>246</v>
      </c>
      <c r="X339" s="1" t="n">
        <v>80</v>
      </c>
      <c r="Y339" s="1" t="s">
        <v>133</v>
      </c>
    </row>
    <row r="340" customFormat="false" ht="15" hidden="false" customHeight="true" outlineLevel="0" collapsed="false">
      <c r="A340" s="19" t="n">
        <v>46282</v>
      </c>
      <c r="B340" s="12" t="n">
        <f aca="false">IF($A340="","",ROW()-4)</f>
        <v>336</v>
      </c>
      <c r="C340" s="12" t="s">
        <v>480</v>
      </c>
      <c r="D340" s="12" t="s">
        <v>1197</v>
      </c>
      <c r="E340" s="24" t="s">
        <v>150</v>
      </c>
      <c r="F340" s="12"/>
      <c r="G340" s="12" t="str">
        <f aca="false">IFERROR(VLOOKUP($F340,ItemList_Full,2,0),"")</f>
        <v/>
      </c>
      <c r="H340" s="12"/>
      <c r="I340" s="12" t="str">
        <f aca="false">IFERROR(VLOOKUP($F340,ItemList_Full,3,0),"")</f>
        <v/>
      </c>
      <c r="J340" s="12" t="str">
        <f aca="false">IFERROR(VLOOKUP($F340,ItemList_Full,4,0),"")</f>
        <v/>
      </c>
      <c r="K340" s="13" t="n">
        <v>395</v>
      </c>
      <c r="L340" s="12"/>
      <c r="M340" s="24"/>
      <c r="N340" s="12" t="s">
        <v>229</v>
      </c>
      <c r="O340" s="12"/>
      <c r="P340" s="13" t="n">
        <f aca="false">IF($E340="","",IF(OR($E340="Director Draw",$E340="Payroll/Employee Charge"),0,-$K340))</f>
        <v>-395</v>
      </c>
      <c r="Q340" s="12" t="n">
        <f aca="false">IF($E340="Inventory Purchase",$H340,0)</f>
        <v>0</v>
      </c>
      <c r="U340" s="1" t="s">
        <v>1198</v>
      </c>
      <c r="V340" s="1" t="s">
        <v>1199</v>
      </c>
      <c r="W340" s="1" t="s">
        <v>246</v>
      </c>
      <c r="X340" s="1" t="n">
        <v>5500</v>
      </c>
      <c r="Y340" s="1" t="s">
        <v>133</v>
      </c>
    </row>
    <row r="341" customFormat="false" ht="15" hidden="false" customHeight="true" outlineLevel="0" collapsed="false">
      <c r="A341" s="19" t="n">
        <v>46283</v>
      </c>
      <c r="B341" s="12" t="n">
        <f aca="false">IF($A341="","",ROW()-4)</f>
        <v>337</v>
      </c>
      <c r="C341" s="12" t="s">
        <v>225</v>
      </c>
      <c r="D341" s="12" t="s">
        <v>1200</v>
      </c>
      <c r="E341" s="24" t="s">
        <v>227</v>
      </c>
      <c r="F341" s="12"/>
      <c r="G341" s="12" t="str">
        <f aca="false">IFERROR(VLOOKUP($F341,ItemList_Full,2,0),"")</f>
        <v/>
      </c>
      <c r="H341" s="12"/>
      <c r="I341" s="12" t="str">
        <f aca="false">IFERROR(VLOOKUP($F341,ItemList_Full,3,0),"")</f>
        <v/>
      </c>
      <c r="J341" s="12" t="str">
        <f aca="false">IFERROR(VLOOKUP($F341,ItemList_Full,4,0),"")</f>
        <v/>
      </c>
      <c r="K341" s="13" t="n">
        <v>3620</v>
      </c>
      <c r="L341" s="12"/>
      <c r="M341" s="24" t="s">
        <v>228</v>
      </c>
      <c r="N341" s="12" t="s">
        <v>229</v>
      </c>
      <c r="O341" s="12"/>
      <c r="P341" s="13" t="n">
        <f aca="false">IF($E341="","",IF(OR($E341="Director Draw",$E341="Payroll/Employee Charge"),0,-$K341))</f>
        <v>0</v>
      </c>
      <c r="Q341" s="12" t="n">
        <f aca="false">IF($E341="Inventory Purchase",$H341,0)</f>
        <v>0</v>
      </c>
      <c r="U341" s="1" t="s">
        <v>1201</v>
      </c>
      <c r="V341" s="1" t="s">
        <v>1202</v>
      </c>
      <c r="W341" s="1" t="s">
        <v>246</v>
      </c>
      <c r="X341" s="1" t="n">
        <v>7500</v>
      </c>
      <c r="Y341" s="1" t="s">
        <v>133</v>
      </c>
    </row>
    <row r="342" customFormat="false" ht="15" hidden="false" customHeight="true" outlineLevel="0" collapsed="false">
      <c r="A342" s="19" t="n">
        <v>46283</v>
      </c>
      <c r="B342" s="12" t="n">
        <f aca="false">IF($A342="","",ROW()-4)</f>
        <v>338</v>
      </c>
      <c r="C342" s="12" t="s">
        <v>225</v>
      </c>
      <c r="D342" s="12" t="s">
        <v>305</v>
      </c>
      <c r="E342" s="24" t="s">
        <v>227</v>
      </c>
      <c r="F342" s="12"/>
      <c r="G342" s="12" t="str">
        <f aca="false">IFERROR(VLOOKUP($F342,ItemList_Full,2,0),"")</f>
        <v/>
      </c>
      <c r="H342" s="12"/>
      <c r="I342" s="12" t="str">
        <f aca="false">IFERROR(VLOOKUP($F342,ItemList_Full,3,0),"")</f>
        <v/>
      </c>
      <c r="J342" s="12" t="str">
        <f aca="false">IFERROR(VLOOKUP($F342,ItemList_Full,4,0),"")</f>
        <v/>
      </c>
      <c r="K342" s="13" t="n">
        <v>5800</v>
      </c>
      <c r="L342" s="12"/>
      <c r="M342" s="24" t="s">
        <v>228</v>
      </c>
      <c r="N342" s="12" t="s">
        <v>229</v>
      </c>
      <c r="O342" s="12"/>
      <c r="P342" s="13" t="n">
        <f aca="false">IF($E342="","",IF(OR($E342="Director Draw",$E342="Payroll/Employee Charge"),0,-$K342))</f>
        <v>0</v>
      </c>
      <c r="Q342" s="12" t="n">
        <f aca="false">IF($E342="Inventory Purchase",$H342,0)</f>
        <v>0</v>
      </c>
      <c r="U342" s="1" t="s">
        <v>1203</v>
      </c>
      <c r="V342" s="1" t="s">
        <v>1204</v>
      </c>
      <c r="W342" s="1" t="s">
        <v>246</v>
      </c>
      <c r="X342" s="1" t="n">
        <v>6000</v>
      </c>
      <c r="Y342" s="1" t="s">
        <v>133</v>
      </c>
    </row>
    <row r="343" customFormat="false" ht="15" hidden="false" customHeight="true" outlineLevel="0" collapsed="false">
      <c r="A343" s="19" t="n">
        <v>46283</v>
      </c>
      <c r="B343" s="12" t="n">
        <f aca="false">IF($A343="","",ROW()-4)</f>
        <v>339</v>
      </c>
      <c r="C343" s="12" t="s">
        <v>225</v>
      </c>
      <c r="D343" s="12" t="s">
        <v>671</v>
      </c>
      <c r="E343" s="24" t="s">
        <v>227</v>
      </c>
      <c r="F343" s="12"/>
      <c r="G343" s="12" t="str">
        <f aca="false">IFERROR(VLOOKUP($F343,ItemList_Full,2,0),"")</f>
        <v/>
      </c>
      <c r="H343" s="12"/>
      <c r="I343" s="12" t="str">
        <f aca="false">IFERROR(VLOOKUP($F343,ItemList_Full,3,0),"")</f>
        <v/>
      </c>
      <c r="J343" s="12" t="str">
        <f aca="false">IFERROR(VLOOKUP($F343,ItemList_Full,4,0),"")</f>
        <v/>
      </c>
      <c r="K343" s="13" t="n">
        <v>720</v>
      </c>
      <c r="L343" s="12"/>
      <c r="M343" s="24" t="s">
        <v>234</v>
      </c>
      <c r="N343" s="12" t="s">
        <v>229</v>
      </c>
      <c r="O343" s="12"/>
      <c r="P343" s="13" t="n">
        <f aca="false">IF($E343="","",IF(OR($E343="Director Draw",$E343="Payroll/Employee Charge"),0,-$K343))</f>
        <v>0</v>
      </c>
      <c r="Q343" s="12" t="n">
        <f aca="false">IF($E343="Inventory Purchase",$H343,0)</f>
        <v>0</v>
      </c>
      <c r="U343" s="1" t="s">
        <v>1205</v>
      </c>
      <c r="V343" s="1" t="s">
        <v>1206</v>
      </c>
      <c r="W343" s="1" t="s">
        <v>246</v>
      </c>
      <c r="X343" s="1" t="n">
        <v>2500</v>
      </c>
      <c r="Y343" s="1" t="s">
        <v>133</v>
      </c>
    </row>
    <row r="344" customFormat="false" ht="15" hidden="false" customHeight="true" outlineLevel="0" collapsed="false">
      <c r="A344" s="19" t="n">
        <v>46283</v>
      </c>
      <c r="B344" s="12" t="n">
        <f aca="false">IF($A344="","",ROW()-4)</f>
        <v>340</v>
      </c>
      <c r="C344" s="12" t="s">
        <v>449</v>
      </c>
      <c r="D344" s="12" t="s">
        <v>810</v>
      </c>
      <c r="E344" s="24" t="s">
        <v>139</v>
      </c>
      <c r="F344" s="12"/>
      <c r="G344" s="12" t="str">
        <f aca="false">IFERROR(VLOOKUP($F344,ItemList_Full,2,0),"")</f>
        <v/>
      </c>
      <c r="H344" s="12"/>
      <c r="I344" s="12" t="str">
        <f aca="false">IFERROR(VLOOKUP($F344,ItemList_Full,3,0),"")</f>
        <v/>
      </c>
      <c r="J344" s="12" t="str">
        <f aca="false">IFERROR(VLOOKUP($F344,ItemList_Full,4,0),"")</f>
        <v/>
      </c>
      <c r="K344" s="13" t="n">
        <v>21120</v>
      </c>
      <c r="L344" s="12"/>
      <c r="M344" s="24"/>
      <c r="N344" s="12" t="s">
        <v>229</v>
      </c>
      <c r="O344" s="12"/>
      <c r="P344" s="13" t="n">
        <f aca="false">IF($E344="","",IF(OR($E344="Director Draw",$E344="Payroll/Employee Charge"),0,-$K344))</f>
        <v>-21120</v>
      </c>
      <c r="Q344" s="12" t="n">
        <f aca="false">IF($E344="Inventory Purchase",$H344,0)</f>
        <v>0</v>
      </c>
      <c r="U344" s="1" t="s">
        <v>1207</v>
      </c>
      <c r="V344" s="1" t="s">
        <v>1208</v>
      </c>
      <c r="W344" s="1" t="s">
        <v>246</v>
      </c>
      <c r="X344" s="1" t="n">
        <v>3800</v>
      </c>
      <c r="Y344" s="1" t="s">
        <v>133</v>
      </c>
    </row>
    <row r="345" customFormat="false" ht="15" hidden="false" customHeight="true" outlineLevel="0" collapsed="false">
      <c r="A345" s="19" t="n">
        <v>46283</v>
      </c>
      <c r="B345" s="12" t="n">
        <f aca="false">IF($A345="","",ROW()-4)</f>
        <v>341</v>
      </c>
      <c r="C345" s="12" t="s">
        <v>695</v>
      </c>
      <c r="D345" s="12" t="s">
        <v>696</v>
      </c>
      <c r="E345" s="24" t="s">
        <v>139</v>
      </c>
      <c r="F345" s="12"/>
      <c r="G345" s="12" t="str">
        <f aca="false">IFERROR(VLOOKUP($F345,ItemList_Full,2,0),"")</f>
        <v/>
      </c>
      <c r="H345" s="12"/>
      <c r="I345" s="12" t="str">
        <f aca="false">IFERROR(VLOOKUP($F345,ItemList_Full,3,0),"")</f>
        <v/>
      </c>
      <c r="J345" s="12" t="str">
        <f aca="false">IFERROR(VLOOKUP($F345,ItemList_Full,4,0),"")</f>
        <v/>
      </c>
      <c r="K345" s="13" t="n">
        <v>124500</v>
      </c>
      <c r="L345" s="12"/>
      <c r="M345" s="24"/>
      <c r="N345" s="12" t="s">
        <v>229</v>
      </c>
      <c r="O345" s="12"/>
      <c r="P345" s="13" t="n">
        <f aca="false">IF($E345="","",IF(OR($E345="Director Draw",$E345="Payroll/Employee Charge"),0,-$K345))</f>
        <v>-124500</v>
      </c>
      <c r="Q345" s="12" t="n">
        <f aca="false">IF($E345="Inventory Purchase",$H345,0)</f>
        <v>0</v>
      </c>
      <c r="U345" s="1" t="s">
        <v>1209</v>
      </c>
      <c r="V345" s="1" t="s">
        <v>1210</v>
      </c>
      <c r="W345" s="1" t="s">
        <v>246</v>
      </c>
      <c r="X345" s="1" t="n">
        <v>10000</v>
      </c>
      <c r="Y345" s="1" t="s">
        <v>133</v>
      </c>
    </row>
    <row r="346" customFormat="false" ht="15" hidden="false" customHeight="true" outlineLevel="0" collapsed="false">
      <c r="A346" s="19" t="n">
        <v>46283</v>
      </c>
      <c r="B346" s="12" t="n">
        <f aca="false">IF($A346="","",ROW()-4)</f>
        <v>342</v>
      </c>
      <c r="C346" s="12" t="s">
        <v>325</v>
      </c>
      <c r="D346" s="12" t="s">
        <v>326</v>
      </c>
      <c r="E346" s="24" t="s">
        <v>139</v>
      </c>
      <c r="F346" s="12"/>
      <c r="G346" s="12" t="str">
        <f aca="false">IFERROR(VLOOKUP($F346,ItemList_Full,2,0),"")</f>
        <v/>
      </c>
      <c r="H346" s="12"/>
      <c r="I346" s="12" t="str">
        <f aca="false">IFERROR(VLOOKUP($F346,ItemList_Full,3,0),"")</f>
        <v/>
      </c>
      <c r="J346" s="12" t="str">
        <f aca="false">IFERROR(VLOOKUP($F346,ItemList_Full,4,0),"")</f>
        <v/>
      </c>
      <c r="K346" s="13" t="n">
        <v>122500</v>
      </c>
      <c r="L346" s="12"/>
      <c r="M346" s="24"/>
      <c r="N346" s="12" t="s">
        <v>229</v>
      </c>
      <c r="O346" s="12"/>
      <c r="P346" s="13" t="n">
        <f aca="false">IF($E346="","",IF(OR($E346="Director Draw",$E346="Payroll/Employee Charge"),0,-$K346))</f>
        <v>-122500</v>
      </c>
      <c r="Q346" s="12" t="n">
        <f aca="false">IF($E346="Inventory Purchase",$H346,0)</f>
        <v>0</v>
      </c>
      <c r="U346" s="1" t="s">
        <v>1211</v>
      </c>
      <c r="V346" s="1" t="s">
        <v>1212</v>
      </c>
      <c r="W346" s="1" t="s">
        <v>246</v>
      </c>
      <c r="X346" s="1" t="n">
        <v>120</v>
      </c>
      <c r="Y346" s="1" t="s">
        <v>133</v>
      </c>
    </row>
    <row r="347" customFormat="false" ht="15" hidden="false" customHeight="true" outlineLevel="0" collapsed="false">
      <c r="A347" s="19" t="n">
        <v>46283</v>
      </c>
      <c r="B347" s="12" t="n">
        <f aca="false">IF($A347="","",ROW()-4)</f>
        <v>343</v>
      </c>
      <c r="C347" s="12" t="s">
        <v>255</v>
      </c>
      <c r="D347" s="12" t="s">
        <v>256</v>
      </c>
      <c r="E347" s="24" t="s">
        <v>139</v>
      </c>
      <c r="F347" s="12"/>
      <c r="G347" s="12" t="str">
        <f aca="false">IFERROR(VLOOKUP($F347,ItemList_Full,2,0),"")</f>
        <v/>
      </c>
      <c r="H347" s="12"/>
      <c r="I347" s="12" t="str">
        <f aca="false">IFERROR(VLOOKUP($F347,ItemList_Full,3,0),"")</f>
        <v/>
      </c>
      <c r="J347" s="12" t="str">
        <f aca="false">IFERROR(VLOOKUP($F347,ItemList_Full,4,0),"")</f>
        <v/>
      </c>
      <c r="K347" s="13" t="n">
        <v>540</v>
      </c>
      <c r="L347" s="12"/>
      <c r="M347" s="24"/>
      <c r="N347" s="12" t="s">
        <v>229</v>
      </c>
      <c r="O347" s="12"/>
      <c r="P347" s="13" t="n">
        <f aca="false">IF($E347="","",IF(OR($E347="Director Draw",$E347="Payroll/Employee Charge"),0,-$K347))</f>
        <v>-540</v>
      </c>
      <c r="Q347" s="12" t="n">
        <f aca="false">IF($E347="Inventory Purchase",$H347,0)</f>
        <v>0</v>
      </c>
      <c r="U347" s="1" t="s">
        <v>1213</v>
      </c>
      <c r="V347" s="1" t="s">
        <v>1214</v>
      </c>
      <c r="W347" s="1" t="s">
        <v>246</v>
      </c>
      <c r="X347" s="1" t="n">
        <v>80</v>
      </c>
      <c r="Y347" s="1" t="s">
        <v>133</v>
      </c>
    </row>
    <row r="348" customFormat="false" ht="15" hidden="false" customHeight="true" outlineLevel="0" collapsed="false">
      <c r="A348" s="19" t="n">
        <v>46283</v>
      </c>
      <c r="B348" s="12" t="n">
        <f aca="false">IF($A348="","",ROW()-4)</f>
        <v>344</v>
      </c>
      <c r="C348" s="12" t="s">
        <v>1031</v>
      </c>
      <c r="D348" s="12" t="s">
        <v>1215</v>
      </c>
      <c r="E348" s="24" t="s">
        <v>139</v>
      </c>
      <c r="F348" s="12"/>
      <c r="G348" s="12" t="str">
        <f aca="false">IFERROR(VLOOKUP($F348,ItemList_Full,2,0),"")</f>
        <v/>
      </c>
      <c r="H348" s="12"/>
      <c r="I348" s="12" t="str">
        <f aca="false">IFERROR(VLOOKUP($F348,ItemList_Full,3,0),"")</f>
        <v/>
      </c>
      <c r="J348" s="12" t="str">
        <f aca="false">IFERROR(VLOOKUP($F348,ItemList_Full,4,0),"")</f>
        <v/>
      </c>
      <c r="K348" s="13" t="n">
        <v>9660</v>
      </c>
      <c r="L348" s="12"/>
      <c r="M348" s="24"/>
      <c r="N348" s="12" t="s">
        <v>229</v>
      </c>
      <c r="O348" s="12"/>
      <c r="P348" s="13" t="n">
        <f aca="false">IF($E348="","",IF(OR($E348="Director Draw",$E348="Payroll/Employee Charge"),0,-$K348))</f>
        <v>-9660</v>
      </c>
      <c r="Q348" s="12" t="n">
        <f aca="false">IF($E348="Inventory Purchase",$H348,0)</f>
        <v>0</v>
      </c>
      <c r="U348" s="1" t="s">
        <v>1216</v>
      </c>
      <c r="V348" s="1" t="s">
        <v>1217</v>
      </c>
      <c r="W348" s="1" t="s">
        <v>246</v>
      </c>
      <c r="X348" s="1" t="n">
        <v>170</v>
      </c>
      <c r="Y348" s="1" t="s">
        <v>133</v>
      </c>
    </row>
    <row r="349" customFormat="false" ht="15" hidden="false" customHeight="true" outlineLevel="0" collapsed="false">
      <c r="A349" s="19" t="n">
        <v>46283</v>
      </c>
      <c r="B349" s="12" t="n">
        <f aca="false">IF($A349="","",ROW()-4)</f>
        <v>345</v>
      </c>
      <c r="C349" s="12" t="s">
        <v>237</v>
      </c>
      <c r="D349" s="12" t="s">
        <v>238</v>
      </c>
      <c r="E349" s="24" t="s">
        <v>139</v>
      </c>
      <c r="F349" s="12"/>
      <c r="G349" s="12" t="str">
        <f aca="false">IFERROR(VLOOKUP($F349,ItemList_Full,2,0),"")</f>
        <v/>
      </c>
      <c r="H349" s="12"/>
      <c r="I349" s="12" t="str">
        <f aca="false">IFERROR(VLOOKUP($F349,ItemList_Full,3,0),"")</f>
        <v/>
      </c>
      <c r="J349" s="12" t="str">
        <f aca="false">IFERROR(VLOOKUP($F349,ItemList_Full,4,0),"")</f>
        <v/>
      </c>
      <c r="K349" s="13" t="n">
        <v>65456</v>
      </c>
      <c r="L349" s="12"/>
      <c r="M349" s="24"/>
      <c r="N349" s="12" t="s">
        <v>229</v>
      </c>
      <c r="O349" s="12"/>
      <c r="P349" s="13" t="n">
        <f aca="false">IF($E349="","",IF(OR($E349="Director Draw",$E349="Payroll/Employee Charge"),0,-$K349))</f>
        <v>-65456</v>
      </c>
      <c r="Q349" s="12" t="n">
        <f aca="false">IF($E349="Inventory Purchase",$H349,0)</f>
        <v>0</v>
      </c>
      <c r="U349" s="1" t="s">
        <v>1218</v>
      </c>
      <c r="V349" s="1" t="s">
        <v>1219</v>
      </c>
      <c r="W349" s="1" t="s">
        <v>246</v>
      </c>
      <c r="X349" s="1" t="n">
        <v>250</v>
      </c>
      <c r="Y349" s="1" t="s">
        <v>133</v>
      </c>
    </row>
    <row r="350" customFormat="false" ht="15" hidden="false" customHeight="true" outlineLevel="0" collapsed="false">
      <c r="A350" s="19" t="n">
        <v>46283</v>
      </c>
      <c r="B350" s="12" t="n">
        <f aca="false">IF($A350="","",ROW()-4)</f>
        <v>346</v>
      </c>
      <c r="C350" s="12" t="s">
        <v>242</v>
      </c>
      <c r="D350" s="12" t="s">
        <v>243</v>
      </c>
      <c r="E350" s="24" t="s">
        <v>139</v>
      </c>
      <c r="F350" s="12"/>
      <c r="G350" s="12" t="str">
        <f aca="false">IFERROR(VLOOKUP($F350,ItemList_Full,2,0),"")</f>
        <v/>
      </c>
      <c r="H350" s="12"/>
      <c r="I350" s="12" t="str">
        <f aca="false">IFERROR(VLOOKUP($F350,ItemList_Full,3,0),"")</f>
        <v/>
      </c>
      <c r="J350" s="12" t="str">
        <f aca="false">IFERROR(VLOOKUP($F350,ItemList_Full,4,0),"")</f>
        <v/>
      </c>
      <c r="K350" s="13" t="n">
        <v>20000</v>
      </c>
      <c r="L350" s="12"/>
      <c r="M350" s="24"/>
      <c r="N350" s="12" t="s">
        <v>229</v>
      </c>
      <c r="O350" s="12"/>
      <c r="P350" s="13" t="n">
        <f aca="false">IF($E350="","",IF(OR($E350="Director Draw",$E350="Payroll/Employee Charge"),0,-$K350))</f>
        <v>-20000</v>
      </c>
      <c r="Q350" s="12" t="n">
        <f aca="false">IF($E350="Inventory Purchase",$H350,0)</f>
        <v>0</v>
      </c>
      <c r="U350" s="1" t="s">
        <v>1220</v>
      </c>
      <c r="V350" s="1" t="s">
        <v>1221</v>
      </c>
      <c r="W350" s="1" t="s">
        <v>1085</v>
      </c>
      <c r="X350" s="1" t="n">
        <v>130</v>
      </c>
      <c r="Y350" s="1" t="s">
        <v>134</v>
      </c>
    </row>
    <row r="351" customFormat="false" ht="15" hidden="false" customHeight="true" outlineLevel="0" collapsed="false">
      <c r="A351" s="19" t="n">
        <v>46283</v>
      </c>
      <c r="B351" s="12" t="n">
        <f aca="false">IF($A351="","",ROW()-4)</f>
        <v>347</v>
      </c>
      <c r="C351" s="12" t="s">
        <v>449</v>
      </c>
      <c r="D351" s="12" t="s">
        <v>1222</v>
      </c>
      <c r="E351" s="24" t="s">
        <v>127</v>
      </c>
      <c r="F351" s="12"/>
      <c r="G351" s="12" t="str">
        <f aca="false">IFERROR(VLOOKUP($F351,ItemList_Full,2,0),"")</f>
        <v/>
      </c>
      <c r="H351" s="12"/>
      <c r="I351" s="12" t="str">
        <f aca="false">IFERROR(VLOOKUP($F351,ItemList_Full,3,0),"")</f>
        <v/>
      </c>
      <c r="J351" s="12" t="str">
        <f aca="false">IFERROR(VLOOKUP($F351,ItemList_Full,4,0),"")</f>
        <v/>
      </c>
      <c r="K351" s="13" t="n">
        <v>21000</v>
      </c>
      <c r="L351" s="12"/>
      <c r="M351" s="24"/>
      <c r="N351" s="12" t="s">
        <v>229</v>
      </c>
      <c r="O351" s="12"/>
      <c r="P351" s="13" t="n">
        <f aca="false">IF($E351="","",IF(OR($E351="Director Draw",$E351="Payroll/Employee Charge"),0,-$K351))</f>
        <v>-21000</v>
      </c>
      <c r="Q351" s="12" t="n">
        <f aca="false">IF($E351="Inventory Purchase",$H351,0)</f>
        <v>0</v>
      </c>
      <c r="U351" s="1" t="s">
        <v>1223</v>
      </c>
      <c r="V351" s="1" t="s">
        <v>1224</v>
      </c>
      <c r="W351" s="1" t="s">
        <v>1085</v>
      </c>
      <c r="X351" s="1" t="n">
        <v>123</v>
      </c>
      <c r="Y351" s="1" t="s">
        <v>134</v>
      </c>
    </row>
    <row r="352" customFormat="false" ht="15" hidden="false" customHeight="true" outlineLevel="0" collapsed="false">
      <c r="A352" s="19" t="n">
        <v>46283</v>
      </c>
      <c r="B352" s="12" t="n">
        <f aca="false">IF($A352="","",ROW()-4)</f>
        <v>348</v>
      </c>
      <c r="C352" s="12" t="s">
        <v>1163</v>
      </c>
      <c r="D352" s="12" t="s">
        <v>1225</v>
      </c>
      <c r="E352" s="24" t="s">
        <v>146</v>
      </c>
      <c r="F352" s="12"/>
      <c r="G352" s="12" t="str">
        <f aca="false">IFERROR(VLOOKUP($F352,ItemList_Full,2,0),"")</f>
        <v/>
      </c>
      <c r="H352" s="12"/>
      <c r="I352" s="12" t="str">
        <f aca="false">IFERROR(VLOOKUP($F352,ItemList_Full,3,0),"")</f>
        <v/>
      </c>
      <c r="J352" s="12" t="str">
        <f aca="false">IFERROR(VLOOKUP($F352,ItemList_Full,4,0),"")</f>
        <v/>
      </c>
      <c r="K352" s="13" t="n">
        <v>2400</v>
      </c>
      <c r="L352" s="12"/>
      <c r="M352" s="24"/>
      <c r="N352" s="12" t="s">
        <v>229</v>
      </c>
      <c r="O352" s="12"/>
      <c r="P352" s="13" t="n">
        <f aca="false">IF($E352="","",IF(OR($E352="Director Draw",$E352="Payroll/Employee Charge"),0,-$K352))</f>
        <v>-2400</v>
      </c>
      <c r="Q352" s="12" t="n">
        <f aca="false">IF($E352="Inventory Purchase",$H352,0)</f>
        <v>0</v>
      </c>
      <c r="U352" s="1" t="s">
        <v>1226</v>
      </c>
      <c r="V352" s="1" t="s">
        <v>1227</v>
      </c>
      <c r="W352" s="1" t="s">
        <v>1085</v>
      </c>
      <c r="X352" s="1" t="n">
        <v>0</v>
      </c>
      <c r="Y352" s="1" t="s">
        <v>134</v>
      </c>
    </row>
    <row r="353" customFormat="false" ht="15" hidden="false" customHeight="true" outlineLevel="0" collapsed="false">
      <c r="A353" s="19" t="n">
        <v>46283</v>
      </c>
      <c r="B353" s="12" t="n">
        <f aca="false">IF($A353="","",ROW()-4)</f>
        <v>349</v>
      </c>
      <c r="C353" s="12" t="s">
        <v>1046</v>
      </c>
      <c r="D353" s="12" t="s">
        <v>1228</v>
      </c>
      <c r="E353" s="24" t="s">
        <v>127</v>
      </c>
      <c r="F353" s="12"/>
      <c r="G353" s="12" t="str">
        <f aca="false">IFERROR(VLOOKUP($F353,ItemList_Full,2,0),"")</f>
        <v/>
      </c>
      <c r="H353" s="12"/>
      <c r="I353" s="12" t="str">
        <f aca="false">IFERROR(VLOOKUP($F353,ItemList_Full,3,0),"")</f>
        <v/>
      </c>
      <c r="J353" s="12" t="str">
        <f aca="false">IFERROR(VLOOKUP($F353,ItemList_Full,4,0),"")</f>
        <v/>
      </c>
      <c r="K353" s="13" t="n">
        <v>3980</v>
      </c>
      <c r="L353" s="12"/>
      <c r="M353" s="24"/>
      <c r="N353" s="12" t="s">
        <v>229</v>
      </c>
      <c r="O353" s="12"/>
      <c r="P353" s="13" t="n">
        <f aca="false">IF($E353="","",IF(OR($E353="Director Draw",$E353="Payroll/Employee Charge"),0,-$K353))</f>
        <v>-3980</v>
      </c>
      <c r="Q353" s="12" t="n">
        <f aca="false">IF($E353="Inventory Purchase",$H353,0)</f>
        <v>0</v>
      </c>
      <c r="U353" s="1" t="s">
        <v>1229</v>
      </c>
      <c r="V353" s="1" t="s">
        <v>1230</v>
      </c>
      <c r="W353" s="1" t="s">
        <v>1231</v>
      </c>
      <c r="X353" s="1" t="n">
        <v>1.1</v>
      </c>
      <c r="Y353" s="1" t="s">
        <v>134</v>
      </c>
    </row>
    <row r="354" customFormat="false" ht="15" hidden="false" customHeight="true" outlineLevel="0" collapsed="false">
      <c r="A354" s="19" t="n">
        <v>46283</v>
      </c>
      <c r="B354" s="12" t="n">
        <f aca="false">IF($A354="","",ROW()-4)</f>
        <v>350</v>
      </c>
      <c r="C354" s="12" t="s">
        <v>1232</v>
      </c>
      <c r="D354" s="12" t="s">
        <v>1232</v>
      </c>
      <c r="E354" s="24" t="s">
        <v>141</v>
      </c>
      <c r="F354" s="12"/>
      <c r="G354" s="12" t="str">
        <f aca="false">IFERROR(VLOOKUP($F354,ItemList_Full,2,0),"")</f>
        <v/>
      </c>
      <c r="H354" s="12"/>
      <c r="I354" s="12" t="str">
        <f aca="false">IFERROR(VLOOKUP($F354,ItemList_Full,3,0),"")</f>
        <v/>
      </c>
      <c r="J354" s="12" t="str">
        <f aca="false">IFERROR(VLOOKUP($F354,ItemList_Full,4,0),"")</f>
        <v/>
      </c>
      <c r="K354" s="13" t="n">
        <v>3650</v>
      </c>
      <c r="L354" s="12"/>
      <c r="M354" s="24"/>
      <c r="N354" s="12" t="s">
        <v>229</v>
      </c>
      <c r="O354" s="12"/>
      <c r="P354" s="13" t="n">
        <f aca="false">IF($E354="","",IF(OR($E354="Director Draw",$E354="Payroll/Employee Charge"),0,-$K354))</f>
        <v>-3650</v>
      </c>
      <c r="Q354" s="12" t="n">
        <f aca="false">IF($E354="Inventory Purchase",$H354,0)</f>
        <v>0</v>
      </c>
      <c r="U354" s="1" t="s">
        <v>1233</v>
      </c>
      <c r="V354" s="1" t="s">
        <v>1234</v>
      </c>
      <c r="W354" s="1" t="s">
        <v>267</v>
      </c>
      <c r="X354" s="1" t="n">
        <v>0.275</v>
      </c>
      <c r="Y354" s="1" t="s">
        <v>134</v>
      </c>
    </row>
    <row r="355" customFormat="false" ht="15" hidden="false" customHeight="true" outlineLevel="0" collapsed="false">
      <c r="A355" s="19" t="n">
        <v>46283</v>
      </c>
      <c r="B355" s="12" t="n">
        <f aca="false">IF($A355="","",ROW()-4)</f>
        <v>351</v>
      </c>
      <c r="C355" s="12" t="s">
        <v>343</v>
      </c>
      <c r="D355" s="12" t="s">
        <v>347</v>
      </c>
      <c r="E355" s="24" t="s">
        <v>143</v>
      </c>
      <c r="F355" s="12"/>
      <c r="G355" s="12" t="str">
        <f aca="false">IFERROR(VLOOKUP($F355,ItemList_Full,2,0),"")</f>
        <v/>
      </c>
      <c r="H355" s="12"/>
      <c r="I355" s="12" t="str">
        <f aca="false">IFERROR(VLOOKUP($F355,ItemList_Full,3,0),"")</f>
        <v/>
      </c>
      <c r="J355" s="12" t="str">
        <f aca="false">IFERROR(VLOOKUP($F355,ItemList_Full,4,0),"")</f>
        <v/>
      </c>
      <c r="K355" s="13" t="n">
        <v>1800</v>
      </c>
      <c r="L355" s="12"/>
      <c r="M355" s="24"/>
      <c r="N355" s="12" t="s">
        <v>229</v>
      </c>
      <c r="O355" s="12"/>
      <c r="P355" s="13" t="n">
        <f aca="false">IF($E355="","",IF(OR($E355="Director Draw",$E355="Payroll/Employee Charge"),0,-$K355))</f>
        <v>-1800</v>
      </c>
      <c r="Q355" s="12" t="n">
        <f aca="false">IF($E355="Inventory Purchase",$H355,0)</f>
        <v>0</v>
      </c>
      <c r="U355" s="1" t="s">
        <v>1235</v>
      </c>
      <c r="V355" s="1" t="s">
        <v>1236</v>
      </c>
      <c r="W355" s="1" t="s">
        <v>246</v>
      </c>
      <c r="X355" s="1" t="n">
        <v>50</v>
      </c>
      <c r="Y355" s="1" t="s">
        <v>134</v>
      </c>
    </row>
    <row r="356" customFormat="false" ht="15" hidden="false" customHeight="true" outlineLevel="0" collapsed="false">
      <c r="A356" s="19" t="n">
        <v>46283</v>
      </c>
      <c r="B356" s="12" t="n">
        <f aca="false">IF($A356="","",ROW()-4)</f>
        <v>352</v>
      </c>
      <c r="C356" s="12" t="s">
        <v>343</v>
      </c>
      <c r="D356" s="12" t="s">
        <v>347</v>
      </c>
      <c r="E356" s="24" t="s">
        <v>143</v>
      </c>
      <c r="F356" s="12"/>
      <c r="G356" s="12" t="str">
        <f aca="false">IFERROR(VLOOKUP($F356,ItemList_Full,2,0),"")</f>
        <v/>
      </c>
      <c r="H356" s="12"/>
      <c r="I356" s="12" t="str">
        <f aca="false">IFERROR(VLOOKUP($F356,ItemList_Full,3,0),"")</f>
        <v/>
      </c>
      <c r="J356" s="12" t="str">
        <f aca="false">IFERROR(VLOOKUP($F356,ItemList_Full,4,0),"")</f>
        <v/>
      </c>
      <c r="K356" s="13" t="n">
        <v>1475</v>
      </c>
      <c r="L356" s="12"/>
      <c r="M356" s="24"/>
      <c r="N356" s="12" t="s">
        <v>229</v>
      </c>
      <c r="O356" s="12"/>
      <c r="P356" s="13" t="n">
        <f aca="false">IF($E356="","",IF(OR($E356="Director Draw",$E356="Payroll/Employee Charge"),0,-$K356))</f>
        <v>-1475</v>
      </c>
      <c r="Q356" s="12" t="n">
        <f aca="false">IF($E356="Inventory Purchase",$H356,0)</f>
        <v>0</v>
      </c>
      <c r="U356" s="1" t="s">
        <v>1237</v>
      </c>
      <c r="V356" s="1" t="s">
        <v>1238</v>
      </c>
      <c r="W356" s="1" t="s">
        <v>246</v>
      </c>
      <c r="X356" s="1" t="n">
        <v>240</v>
      </c>
      <c r="Y356" s="1" t="s">
        <v>134</v>
      </c>
    </row>
    <row r="357" customFormat="false" ht="15" hidden="false" customHeight="true" outlineLevel="0" collapsed="false">
      <c r="A357" s="19" t="n">
        <v>46283</v>
      </c>
      <c r="B357" s="12" t="n">
        <f aca="false">IF($A357="","",ROW()-4)</f>
        <v>353</v>
      </c>
      <c r="C357" s="12" t="s">
        <v>343</v>
      </c>
      <c r="D357" s="12" t="s">
        <v>1239</v>
      </c>
      <c r="E357" s="24" t="s">
        <v>143</v>
      </c>
      <c r="F357" s="12"/>
      <c r="G357" s="12" t="str">
        <f aca="false">IFERROR(VLOOKUP($F357,ItemList_Full,2,0),"")</f>
        <v/>
      </c>
      <c r="H357" s="12"/>
      <c r="I357" s="12" t="str">
        <f aca="false">IFERROR(VLOOKUP($F357,ItemList_Full,3,0),"")</f>
        <v/>
      </c>
      <c r="J357" s="12" t="str">
        <f aca="false">IFERROR(VLOOKUP($F357,ItemList_Full,4,0),"")</f>
        <v/>
      </c>
      <c r="K357" s="13" t="n">
        <v>900</v>
      </c>
      <c r="L357" s="12"/>
      <c r="M357" s="24"/>
      <c r="N357" s="12" t="s">
        <v>229</v>
      </c>
      <c r="O357" s="12"/>
      <c r="P357" s="13" t="n">
        <f aca="false">IF($E357="","",IF(OR($E357="Director Draw",$E357="Payroll/Employee Charge"),0,-$K357))</f>
        <v>-900</v>
      </c>
      <c r="Q357" s="12" t="n">
        <f aca="false">IF($E357="Inventory Purchase",$H357,0)</f>
        <v>0</v>
      </c>
      <c r="U357" s="1" t="s">
        <v>1240</v>
      </c>
      <c r="V357" s="1" t="s">
        <v>1241</v>
      </c>
      <c r="W357" s="1" t="s">
        <v>246</v>
      </c>
      <c r="X357" s="1" t="n">
        <v>168.926829268293</v>
      </c>
      <c r="Y357" s="1" t="s">
        <v>134</v>
      </c>
    </row>
    <row r="358" customFormat="false" ht="15" hidden="false" customHeight="true" outlineLevel="0" collapsed="false">
      <c r="A358" s="19" t="n">
        <v>46283</v>
      </c>
      <c r="B358" s="12" t="n">
        <f aca="false">IF($A358="","",ROW()-4)</f>
        <v>354</v>
      </c>
      <c r="C358" s="12" t="s">
        <v>295</v>
      </c>
      <c r="D358" s="12" t="s">
        <v>1242</v>
      </c>
      <c r="E358" s="24" t="s">
        <v>150</v>
      </c>
      <c r="F358" s="12"/>
      <c r="G358" s="12" t="str">
        <f aca="false">IFERROR(VLOOKUP($F358,ItemList_Full,2,0),"")</f>
        <v/>
      </c>
      <c r="H358" s="12"/>
      <c r="I358" s="12" t="str">
        <f aca="false">IFERROR(VLOOKUP($F358,ItemList_Full,3,0),"")</f>
        <v/>
      </c>
      <c r="J358" s="12" t="str">
        <f aca="false">IFERROR(VLOOKUP($F358,ItemList_Full,4,0),"")</f>
        <v/>
      </c>
      <c r="K358" s="13" t="n">
        <v>900</v>
      </c>
      <c r="L358" s="12"/>
      <c r="M358" s="24"/>
      <c r="N358" s="12" t="s">
        <v>229</v>
      </c>
      <c r="O358" s="12"/>
      <c r="P358" s="13" t="n">
        <f aca="false">IF($E358="","",IF(OR($E358="Director Draw",$E358="Payroll/Employee Charge"),0,-$K358))</f>
        <v>-900</v>
      </c>
      <c r="Q358" s="12" t="n">
        <f aca="false">IF($E358="Inventory Purchase",$H358,0)</f>
        <v>0</v>
      </c>
      <c r="U358" s="1" t="s">
        <v>1243</v>
      </c>
      <c r="V358" s="1" t="s">
        <v>1244</v>
      </c>
      <c r="W358" s="1" t="s">
        <v>246</v>
      </c>
      <c r="X358" s="1" t="n">
        <v>150</v>
      </c>
      <c r="Y358" s="1" t="s">
        <v>134</v>
      </c>
    </row>
    <row r="359" customFormat="false" ht="15" hidden="false" customHeight="true" outlineLevel="0" collapsed="false">
      <c r="A359" s="19" t="n">
        <v>46283</v>
      </c>
      <c r="B359" s="12" t="n">
        <f aca="false">IF($A359="","",ROW()-4)</f>
        <v>355</v>
      </c>
      <c r="C359" s="12" t="s">
        <v>480</v>
      </c>
      <c r="D359" s="12" t="s">
        <v>1245</v>
      </c>
      <c r="E359" s="24" t="s">
        <v>150</v>
      </c>
      <c r="F359" s="12"/>
      <c r="G359" s="12" t="str">
        <f aca="false">IFERROR(VLOOKUP($F359,ItemList_Full,2,0),"")</f>
        <v/>
      </c>
      <c r="H359" s="12"/>
      <c r="I359" s="12" t="str">
        <f aca="false">IFERROR(VLOOKUP($F359,ItemList_Full,3,0),"")</f>
        <v/>
      </c>
      <c r="J359" s="12" t="str">
        <f aca="false">IFERROR(VLOOKUP($F359,ItemList_Full,4,0),"")</f>
        <v/>
      </c>
      <c r="K359" s="13" t="n">
        <v>600</v>
      </c>
      <c r="L359" s="12"/>
      <c r="M359" s="24"/>
      <c r="N359" s="12" t="s">
        <v>229</v>
      </c>
      <c r="O359" s="12"/>
      <c r="P359" s="13" t="n">
        <f aca="false">IF($E359="","",IF(OR($E359="Director Draw",$E359="Payroll/Employee Charge"),0,-$K359))</f>
        <v>-600</v>
      </c>
      <c r="Q359" s="12" t="n">
        <f aca="false">IF($E359="Inventory Purchase",$H359,0)</f>
        <v>0</v>
      </c>
      <c r="U359" s="1" t="s">
        <v>1246</v>
      </c>
      <c r="V359" s="1" t="s">
        <v>1247</v>
      </c>
      <c r="W359" s="1" t="s">
        <v>246</v>
      </c>
      <c r="X359" s="1" t="n">
        <v>250</v>
      </c>
      <c r="Y359" s="1" t="s">
        <v>134</v>
      </c>
    </row>
    <row r="360" customFormat="false" ht="15" hidden="false" customHeight="true" outlineLevel="0" collapsed="false">
      <c r="A360" s="19" t="n">
        <v>46284</v>
      </c>
      <c r="B360" s="12" t="n">
        <f aca="false">IF($A360="","",ROW()-4)</f>
        <v>356</v>
      </c>
      <c r="C360" s="12" t="s">
        <v>255</v>
      </c>
      <c r="D360" s="12" t="s">
        <v>256</v>
      </c>
      <c r="E360" s="24" t="s">
        <v>139</v>
      </c>
      <c r="F360" s="12"/>
      <c r="G360" s="12" t="str">
        <f aca="false">IFERROR(VLOOKUP($F360,ItemList_Full,2,0),"")</f>
        <v/>
      </c>
      <c r="H360" s="12"/>
      <c r="I360" s="12" t="str">
        <f aca="false">IFERROR(VLOOKUP($F360,ItemList_Full,3,0),"")</f>
        <v/>
      </c>
      <c r="J360" s="12" t="str">
        <f aca="false">IFERROR(VLOOKUP($F360,ItemList_Full,4,0),"")</f>
        <v/>
      </c>
      <c r="K360" s="13" t="n">
        <v>180</v>
      </c>
      <c r="L360" s="12"/>
      <c r="M360" s="24"/>
      <c r="N360" s="12" t="s">
        <v>229</v>
      </c>
      <c r="O360" s="12"/>
      <c r="P360" s="13" t="n">
        <f aca="false">IF($E360="","",IF(OR($E360="Director Draw",$E360="Payroll/Employee Charge"),0,-$K360))</f>
        <v>-180</v>
      </c>
      <c r="Q360" s="12" t="n">
        <f aca="false">IF($E360="Inventory Purchase",$H360,0)</f>
        <v>0</v>
      </c>
      <c r="U360" s="1" t="s">
        <v>1248</v>
      </c>
      <c r="V360" s="1" t="s">
        <v>1249</v>
      </c>
      <c r="W360" s="1" t="s">
        <v>246</v>
      </c>
      <c r="X360" s="1" t="n">
        <v>155</v>
      </c>
      <c r="Y360" s="1" t="s">
        <v>134</v>
      </c>
    </row>
    <row r="361" customFormat="false" ht="15" hidden="false" customHeight="true" outlineLevel="0" collapsed="false">
      <c r="A361" s="19" t="n">
        <v>46284</v>
      </c>
      <c r="B361" s="12" t="n">
        <f aca="false">IF($A361="","",ROW()-4)</f>
        <v>357</v>
      </c>
      <c r="C361" s="12" t="s">
        <v>1250</v>
      </c>
      <c r="D361" s="12" t="s">
        <v>1251</v>
      </c>
      <c r="E361" s="24" t="s">
        <v>139</v>
      </c>
      <c r="F361" s="12"/>
      <c r="G361" s="12" t="str">
        <f aca="false">IFERROR(VLOOKUP($F361,ItemList_Full,2,0),"")</f>
        <v/>
      </c>
      <c r="H361" s="12"/>
      <c r="I361" s="12" t="str">
        <f aca="false">IFERROR(VLOOKUP($F361,ItemList_Full,3,0),"")</f>
        <v/>
      </c>
      <c r="J361" s="12" t="str">
        <f aca="false">IFERROR(VLOOKUP($F361,ItemList_Full,4,0),"")</f>
        <v/>
      </c>
      <c r="K361" s="13" t="n">
        <v>390</v>
      </c>
      <c r="L361" s="12"/>
      <c r="M361" s="24"/>
      <c r="N361" s="12" t="s">
        <v>229</v>
      </c>
      <c r="O361" s="12"/>
      <c r="P361" s="13" t="n">
        <f aca="false">IF($E361="","",IF(OR($E361="Director Draw",$E361="Payroll/Employee Charge"),0,-$K361))</f>
        <v>-390</v>
      </c>
      <c r="Q361" s="12" t="n">
        <f aca="false">IF($E361="Inventory Purchase",$H361,0)</f>
        <v>0</v>
      </c>
      <c r="U361" s="1" t="s">
        <v>1252</v>
      </c>
      <c r="V361" s="1" t="s">
        <v>1253</v>
      </c>
      <c r="W361" s="1" t="s">
        <v>246</v>
      </c>
      <c r="X361" s="1" t="n">
        <v>1100</v>
      </c>
      <c r="Y361" s="1" t="s">
        <v>134</v>
      </c>
    </row>
    <row r="362" customFormat="false" ht="15" hidden="false" customHeight="true" outlineLevel="0" collapsed="false">
      <c r="A362" s="19" t="n">
        <v>46284</v>
      </c>
      <c r="B362" s="12" t="n">
        <f aca="false">IF($A362="","",ROW()-4)</f>
        <v>358</v>
      </c>
      <c r="C362" s="12" t="s">
        <v>449</v>
      </c>
      <c r="D362" s="12" t="s">
        <v>260</v>
      </c>
      <c r="E362" s="24" t="s">
        <v>139</v>
      </c>
      <c r="F362" s="12"/>
      <c r="G362" s="12" t="str">
        <f aca="false">IFERROR(VLOOKUP($F362,ItemList_Full,2,0),"")</f>
        <v/>
      </c>
      <c r="H362" s="12"/>
      <c r="I362" s="12" t="str">
        <f aca="false">IFERROR(VLOOKUP($F362,ItemList_Full,3,0),"")</f>
        <v/>
      </c>
      <c r="J362" s="12" t="str">
        <f aca="false">IFERROR(VLOOKUP($F362,ItemList_Full,4,0),"")</f>
        <v/>
      </c>
      <c r="K362" s="13" t="n">
        <v>1635</v>
      </c>
      <c r="L362" s="12"/>
      <c r="M362" s="24"/>
      <c r="N362" s="12" t="s">
        <v>229</v>
      </c>
      <c r="O362" s="12"/>
      <c r="P362" s="13" t="n">
        <f aca="false">IF($E362="","",IF(OR($E362="Director Draw",$E362="Payroll/Employee Charge"),0,-$K362))</f>
        <v>-1635</v>
      </c>
      <c r="Q362" s="12" t="n">
        <f aca="false">IF($E362="Inventory Purchase",$H362,0)</f>
        <v>0</v>
      </c>
      <c r="U362" s="1" t="s">
        <v>1254</v>
      </c>
      <c r="V362" s="1" t="s">
        <v>1255</v>
      </c>
      <c r="W362" s="1" t="s">
        <v>267</v>
      </c>
      <c r="X362" s="1" t="n">
        <v>800</v>
      </c>
      <c r="Y362" s="1" t="s">
        <v>134</v>
      </c>
    </row>
    <row r="363" customFormat="false" ht="15" hidden="false" customHeight="true" outlineLevel="0" collapsed="false">
      <c r="A363" s="19" t="n">
        <v>46284</v>
      </c>
      <c r="B363" s="12" t="n">
        <f aca="false">IF($A363="","",ROW()-4)</f>
        <v>359</v>
      </c>
      <c r="C363" s="12" t="s">
        <v>640</v>
      </c>
      <c r="D363" s="12" t="s">
        <v>640</v>
      </c>
      <c r="E363" s="24" t="s">
        <v>133</v>
      </c>
      <c r="F363" s="12"/>
      <c r="G363" s="12" t="str">
        <f aca="false">IFERROR(VLOOKUP($F363,ItemList_Full,2,0),"")</f>
        <v/>
      </c>
      <c r="H363" s="12"/>
      <c r="I363" s="12" t="str">
        <f aca="false">IFERROR(VLOOKUP($F363,ItemList_Full,3,0),"")</f>
        <v/>
      </c>
      <c r="J363" s="12" t="str">
        <f aca="false">IFERROR(VLOOKUP($F363,ItemList_Full,4,0),"")</f>
        <v/>
      </c>
      <c r="K363" s="13" t="n">
        <v>1000</v>
      </c>
      <c r="L363" s="12"/>
      <c r="M363" s="24"/>
      <c r="N363" s="12" t="s">
        <v>229</v>
      </c>
      <c r="O363" s="12"/>
      <c r="P363" s="13" t="n">
        <f aca="false">IF($E363="","",IF(OR($E363="Director Draw",$E363="Payroll/Employee Charge"),0,-$K363))</f>
        <v>-1000</v>
      </c>
      <c r="Q363" s="12" t="n">
        <f aca="false">IF($E363="Inventory Purchase",$H363,0)</f>
        <v>0</v>
      </c>
      <c r="U363" s="1" t="s">
        <v>1256</v>
      </c>
      <c r="V363" s="1" t="s">
        <v>1257</v>
      </c>
      <c r="W363" s="1" t="s">
        <v>267</v>
      </c>
      <c r="X363" s="1" t="n">
        <v>64.5</v>
      </c>
      <c r="Y363" s="1" t="s">
        <v>134</v>
      </c>
    </row>
    <row r="364" customFormat="false" ht="15" hidden="false" customHeight="true" outlineLevel="0" collapsed="false">
      <c r="A364" s="19" t="n">
        <v>46284</v>
      </c>
      <c r="B364" s="12" t="n">
        <f aca="false">IF($A364="","",ROW()-4)</f>
        <v>360</v>
      </c>
      <c r="C364" s="12" t="s">
        <v>1258</v>
      </c>
      <c r="D364" s="12" t="s">
        <v>1259</v>
      </c>
      <c r="E364" s="24" t="s">
        <v>151</v>
      </c>
      <c r="F364" s="12"/>
      <c r="G364" s="12" t="str">
        <f aca="false">IFERROR(VLOOKUP($F364,ItemList_Full,2,0),"")</f>
        <v/>
      </c>
      <c r="H364" s="12"/>
      <c r="I364" s="12" t="str">
        <f aca="false">IFERROR(VLOOKUP($F364,ItemList_Full,3,0),"")</f>
        <v/>
      </c>
      <c r="J364" s="12" t="str">
        <f aca="false">IFERROR(VLOOKUP($F364,ItemList_Full,4,0),"")</f>
        <v/>
      </c>
      <c r="K364" s="13" t="n">
        <v>420</v>
      </c>
      <c r="L364" s="12"/>
      <c r="M364" s="24"/>
      <c r="N364" s="12" t="s">
        <v>229</v>
      </c>
      <c r="O364" s="12"/>
      <c r="P364" s="13" t="n">
        <f aca="false">IF($E364="","",IF(OR($E364="Director Draw",$E364="Payroll/Employee Charge"),0,-$K364))</f>
        <v>-420</v>
      </c>
      <c r="Q364" s="12" t="n">
        <f aca="false">IF($E364="Inventory Purchase",$H364,0)</f>
        <v>0</v>
      </c>
      <c r="U364" s="1" t="s">
        <v>1260</v>
      </c>
      <c r="V364" s="1" t="s">
        <v>1261</v>
      </c>
      <c r="W364" s="1" t="s">
        <v>267</v>
      </c>
      <c r="X364" s="1" t="n">
        <v>260</v>
      </c>
      <c r="Y364" s="1" t="s">
        <v>134</v>
      </c>
    </row>
    <row r="365" customFormat="false" ht="15" hidden="false" customHeight="true" outlineLevel="0" collapsed="false">
      <c r="A365" s="19" t="n">
        <v>46284</v>
      </c>
      <c r="B365" s="12" t="n">
        <f aca="false">IF($A365="","",ROW()-4)</f>
        <v>361</v>
      </c>
      <c r="C365" s="12" t="s">
        <v>1262</v>
      </c>
      <c r="D365" s="12" t="s">
        <v>1263</v>
      </c>
      <c r="E365" s="24" t="s">
        <v>151</v>
      </c>
      <c r="F365" s="12"/>
      <c r="G365" s="12" t="str">
        <f aca="false">IFERROR(VLOOKUP($F365,ItemList_Full,2,0),"")</f>
        <v/>
      </c>
      <c r="H365" s="12"/>
      <c r="I365" s="12" t="str">
        <f aca="false">IFERROR(VLOOKUP($F365,ItemList_Full,3,0),"")</f>
        <v/>
      </c>
      <c r="J365" s="12" t="str">
        <f aca="false">IFERROR(VLOOKUP($F365,ItemList_Full,4,0),"")</f>
        <v/>
      </c>
      <c r="K365" s="13" t="n">
        <v>200</v>
      </c>
      <c r="L365" s="12"/>
      <c r="M365" s="24"/>
      <c r="N365" s="12" t="s">
        <v>229</v>
      </c>
      <c r="O365" s="12"/>
      <c r="P365" s="13" t="n">
        <f aca="false">IF($E365="","",IF(OR($E365="Director Draw",$E365="Payroll/Employee Charge"),0,-$K365))</f>
        <v>-200</v>
      </c>
      <c r="Q365" s="12" t="n">
        <f aca="false">IF($E365="Inventory Purchase",$H365,0)</f>
        <v>0</v>
      </c>
      <c r="U365" s="1" t="s">
        <v>1264</v>
      </c>
      <c r="V365" s="1" t="s">
        <v>1265</v>
      </c>
      <c r="W365" s="1" t="s">
        <v>267</v>
      </c>
      <c r="X365" s="1" t="n">
        <v>220</v>
      </c>
      <c r="Y365" s="1" t="s">
        <v>134</v>
      </c>
    </row>
    <row r="366" customFormat="false" ht="15" hidden="false" customHeight="true" outlineLevel="0" collapsed="false">
      <c r="A366" s="19" t="n">
        <v>46284</v>
      </c>
      <c r="B366" s="12" t="n">
        <f aca="false">IF($A366="","",ROW()-4)</f>
        <v>362</v>
      </c>
      <c r="C366" s="12" t="s">
        <v>1266</v>
      </c>
      <c r="D366" s="12" t="s">
        <v>1267</v>
      </c>
      <c r="E366" s="24" t="s">
        <v>151</v>
      </c>
      <c r="F366" s="12"/>
      <c r="G366" s="12" t="str">
        <f aca="false">IFERROR(VLOOKUP($F366,ItemList_Full,2,0),"")</f>
        <v/>
      </c>
      <c r="H366" s="12"/>
      <c r="I366" s="12" t="str">
        <f aca="false">IFERROR(VLOOKUP($F366,ItemList_Full,3,0),"")</f>
        <v/>
      </c>
      <c r="J366" s="12" t="str">
        <f aca="false">IFERROR(VLOOKUP($F366,ItemList_Full,4,0),"")</f>
        <v/>
      </c>
      <c r="K366" s="13" t="n">
        <v>4020</v>
      </c>
      <c r="L366" s="12"/>
      <c r="M366" s="24"/>
      <c r="N366" s="12" t="s">
        <v>229</v>
      </c>
      <c r="O366" s="12"/>
      <c r="P366" s="13" t="n">
        <f aca="false">IF($E366="","",IF(OR($E366="Director Draw",$E366="Payroll/Employee Charge"),0,-$K366))</f>
        <v>-4020</v>
      </c>
      <c r="Q366" s="12" t="n">
        <f aca="false">IF($E366="Inventory Purchase",$H366,0)</f>
        <v>0</v>
      </c>
      <c r="U366" s="1" t="s">
        <v>1268</v>
      </c>
      <c r="V366" s="1" t="s">
        <v>1269</v>
      </c>
      <c r="W366" s="1" t="s">
        <v>246</v>
      </c>
      <c r="X366" s="1" t="n">
        <v>60</v>
      </c>
      <c r="Y366" s="1" t="s">
        <v>134</v>
      </c>
    </row>
    <row r="367" customFormat="false" ht="15" hidden="false" customHeight="true" outlineLevel="0" collapsed="false">
      <c r="A367" s="19" t="n">
        <v>46284</v>
      </c>
      <c r="B367" s="12" t="n">
        <f aca="false">IF($A367="","",ROW()-4)</f>
        <v>363</v>
      </c>
      <c r="C367" s="12" t="s">
        <v>272</v>
      </c>
      <c r="D367" s="12" t="s">
        <v>273</v>
      </c>
      <c r="E367" s="24" t="s">
        <v>143</v>
      </c>
      <c r="F367" s="12"/>
      <c r="G367" s="12" t="str">
        <f aca="false">IFERROR(VLOOKUP($F367,ItemList_Full,2,0),"")</f>
        <v/>
      </c>
      <c r="H367" s="12"/>
      <c r="I367" s="12" t="str">
        <f aca="false">IFERROR(VLOOKUP($F367,ItemList_Full,3,0),"")</f>
        <v/>
      </c>
      <c r="J367" s="12" t="str">
        <f aca="false">IFERROR(VLOOKUP($F367,ItemList_Full,4,0),"")</f>
        <v/>
      </c>
      <c r="K367" s="13" t="n">
        <v>1125</v>
      </c>
      <c r="L367" s="12"/>
      <c r="M367" s="24"/>
      <c r="N367" s="12" t="s">
        <v>229</v>
      </c>
      <c r="O367" s="12"/>
      <c r="P367" s="13" t="n">
        <f aca="false">IF($E367="","",IF(OR($E367="Director Draw",$E367="Payroll/Employee Charge"),0,-$K367))</f>
        <v>-1125</v>
      </c>
      <c r="Q367" s="12" t="n">
        <f aca="false">IF($E367="Inventory Purchase",$H367,0)</f>
        <v>0</v>
      </c>
      <c r="U367" s="1" t="s">
        <v>1270</v>
      </c>
      <c r="V367" s="1" t="s">
        <v>1271</v>
      </c>
      <c r="W367" s="1" t="s">
        <v>246</v>
      </c>
      <c r="X367" s="1" t="n">
        <v>300</v>
      </c>
      <c r="Y367" s="1" t="s">
        <v>134</v>
      </c>
    </row>
    <row r="368" customFormat="false" ht="15" hidden="false" customHeight="true" outlineLevel="0" collapsed="false">
      <c r="A368" s="19" t="n">
        <v>46284</v>
      </c>
      <c r="B368" s="12" t="n">
        <f aca="false">IF($A368="","",ROW()-4)</f>
        <v>364</v>
      </c>
      <c r="C368" s="12" t="s">
        <v>355</v>
      </c>
      <c r="D368" s="12" t="s">
        <v>1272</v>
      </c>
      <c r="E368" s="24" t="s">
        <v>143</v>
      </c>
      <c r="F368" s="12"/>
      <c r="G368" s="12" t="str">
        <f aca="false">IFERROR(VLOOKUP($F368,ItemList_Full,2,0),"")</f>
        <v/>
      </c>
      <c r="H368" s="12"/>
      <c r="I368" s="12" t="str">
        <f aca="false">IFERROR(VLOOKUP($F368,ItemList_Full,3,0),"")</f>
        <v/>
      </c>
      <c r="J368" s="12" t="str">
        <f aca="false">IFERROR(VLOOKUP($F368,ItemList_Full,4,0),"")</f>
        <v/>
      </c>
      <c r="K368" s="13" t="n">
        <v>2308</v>
      </c>
      <c r="L368" s="12"/>
      <c r="M368" s="24"/>
      <c r="N368" s="12" t="s">
        <v>229</v>
      </c>
      <c r="O368" s="12"/>
      <c r="P368" s="13" t="n">
        <f aca="false">IF($E368="","",IF(OR($E368="Director Draw",$E368="Payroll/Employee Charge"),0,-$K368))</f>
        <v>-2308</v>
      </c>
      <c r="Q368" s="12" t="n">
        <f aca="false">IF($E368="Inventory Purchase",$H368,0)</f>
        <v>0</v>
      </c>
      <c r="U368" s="1" t="s">
        <v>1273</v>
      </c>
      <c r="V368" s="1" t="s">
        <v>1274</v>
      </c>
      <c r="W368" s="1" t="s">
        <v>246</v>
      </c>
      <c r="X368" s="1" t="n">
        <v>250</v>
      </c>
      <c r="Y368" s="1" t="s">
        <v>134</v>
      </c>
    </row>
    <row r="369" customFormat="false" ht="15" hidden="false" customHeight="true" outlineLevel="0" collapsed="false">
      <c r="A369" s="19" t="n">
        <v>46284</v>
      </c>
      <c r="B369" s="12" t="n">
        <f aca="false">IF($A369="","",ROW()-4)</f>
        <v>365</v>
      </c>
      <c r="C369" s="12" t="s">
        <v>617</v>
      </c>
      <c r="D369" s="12" t="s">
        <v>1275</v>
      </c>
      <c r="E369" s="24" t="s">
        <v>149</v>
      </c>
      <c r="F369" s="12"/>
      <c r="G369" s="12" t="str">
        <f aca="false">IFERROR(VLOOKUP($F369,ItemList_Full,2,0),"")</f>
        <v/>
      </c>
      <c r="H369" s="12"/>
      <c r="I369" s="12" t="str">
        <f aca="false">IFERROR(VLOOKUP($F369,ItemList_Full,3,0),"")</f>
        <v/>
      </c>
      <c r="J369" s="12" t="str">
        <f aca="false">IFERROR(VLOOKUP($F369,ItemList_Full,4,0),"")</f>
        <v/>
      </c>
      <c r="K369" s="13" t="n">
        <v>500</v>
      </c>
      <c r="L369" s="12"/>
      <c r="M369" s="24"/>
      <c r="N369" s="12" t="s">
        <v>229</v>
      </c>
      <c r="O369" s="12"/>
      <c r="P369" s="13" t="n">
        <f aca="false">IF($E369="","",IF(OR($E369="Director Draw",$E369="Payroll/Employee Charge"),0,-$K369))</f>
        <v>-500</v>
      </c>
      <c r="Q369" s="12" t="n">
        <f aca="false">IF($E369="Inventory Purchase",$H369,0)</f>
        <v>0</v>
      </c>
      <c r="U369" s="1" t="s">
        <v>1276</v>
      </c>
      <c r="V369" s="1" t="s">
        <v>1277</v>
      </c>
      <c r="W369" s="1" t="s">
        <v>246</v>
      </c>
      <c r="X369" s="1" t="n">
        <v>100</v>
      </c>
      <c r="Y369" s="1" t="s">
        <v>134</v>
      </c>
    </row>
    <row r="370" customFormat="false" ht="15" hidden="false" customHeight="true" outlineLevel="0" collapsed="false">
      <c r="A370" s="19" t="n">
        <v>46285</v>
      </c>
      <c r="B370" s="12" t="n">
        <f aca="false">IF($A370="","",ROW()-4)</f>
        <v>366</v>
      </c>
      <c r="C370" s="12" t="s">
        <v>242</v>
      </c>
      <c r="D370" s="12" t="s">
        <v>243</v>
      </c>
      <c r="E370" s="24" t="s">
        <v>139</v>
      </c>
      <c r="F370" s="12"/>
      <c r="G370" s="12" t="str">
        <f aca="false">IFERROR(VLOOKUP($F370,ItemList_Full,2,0),"")</f>
        <v/>
      </c>
      <c r="H370" s="12"/>
      <c r="I370" s="12" t="str">
        <f aca="false">IFERROR(VLOOKUP($F370,ItemList_Full,3,0),"")</f>
        <v/>
      </c>
      <c r="J370" s="12" t="str">
        <f aca="false">IFERROR(VLOOKUP($F370,ItemList_Full,4,0),"")</f>
        <v/>
      </c>
      <c r="K370" s="13" t="n">
        <v>41840</v>
      </c>
      <c r="L370" s="12"/>
      <c r="M370" s="24"/>
      <c r="N370" s="12" t="s">
        <v>229</v>
      </c>
      <c r="O370" s="12"/>
      <c r="P370" s="13" t="n">
        <f aca="false">IF($E370="","",IF(OR($E370="Director Draw",$E370="Payroll/Employee Charge"),0,-$K370))</f>
        <v>-41840</v>
      </c>
      <c r="Q370" s="12" t="n">
        <f aca="false">IF($E370="Inventory Purchase",$H370,0)</f>
        <v>0</v>
      </c>
      <c r="U370" s="1" t="s">
        <v>1278</v>
      </c>
      <c r="V370" s="1" t="s">
        <v>1279</v>
      </c>
      <c r="W370" s="1" t="s">
        <v>246</v>
      </c>
      <c r="X370" s="1" t="n">
        <v>90</v>
      </c>
      <c r="Y370" s="1" t="s">
        <v>134</v>
      </c>
    </row>
    <row r="371" customFormat="false" ht="15" hidden="false" customHeight="true" outlineLevel="0" collapsed="false">
      <c r="A371" s="19" t="n">
        <v>46285</v>
      </c>
      <c r="B371" s="12" t="n">
        <f aca="false">IF($A371="","",ROW()-4)</f>
        <v>367</v>
      </c>
      <c r="C371" s="12" t="s">
        <v>832</v>
      </c>
      <c r="D371" s="12" t="s">
        <v>1280</v>
      </c>
      <c r="E371" s="24" t="s">
        <v>140</v>
      </c>
      <c r="F371" s="12"/>
      <c r="G371" s="12" t="str">
        <f aca="false">IFERROR(VLOOKUP($F371,ItemList_Full,2,0),"")</f>
        <v/>
      </c>
      <c r="H371" s="12"/>
      <c r="I371" s="12" t="str">
        <f aca="false">IFERROR(VLOOKUP($F371,ItemList_Full,3,0),"")</f>
        <v/>
      </c>
      <c r="J371" s="12" t="str">
        <f aca="false">IFERROR(VLOOKUP($F371,ItemList_Full,4,0),"")</f>
        <v/>
      </c>
      <c r="K371" s="13" t="n">
        <v>58080</v>
      </c>
      <c r="L371" s="12"/>
      <c r="M371" s="24"/>
      <c r="N371" s="12" t="s">
        <v>229</v>
      </c>
      <c r="O371" s="12"/>
      <c r="P371" s="13" t="n">
        <f aca="false">IF($E371="","",IF(OR($E371="Director Draw",$E371="Payroll/Employee Charge"),0,-$K371))</f>
        <v>-58080</v>
      </c>
      <c r="Q371" s="12" t="n">
        <f aca="false">IF($E371="Inventory Purchase",$H371,0)</f>
        <v>0</v>
      </c>
      <c r="U371" s="1" t="s">
        <v>1281</v>
      </c>
      <c r="V371" s="1" t="s">
        <v>1282</v>
      </c>
      <c r="W371" s="1" t="s">
        <v>246</v>
      </c>
      <c r="X371" s="1" t="n">
        <v>300</v>
      </c>
      <c r="Y371" s="1" t="s">
        <v>134</v>
      </c>
    </row>
    <row r="372" customFormat="false" ht="15" hidden="false" customHeight="true" outlineLevel="0" collapsed="false">
      <c r="A372" s="19" t="n">
        <v>46285</v>
      </c>
      <c r="B372" s="12" t="n">
        <f aca="false">IF($A372="","",ROW()-4)</f>
        <v>368</v>
      </c>
      <c r="C372" s="12" t="s">
        <v>449</v>
      </c>
      <c r="D372" s="12" t="s">
        <v>831</v>
      </c>
      <c r="E372" s="24" t="s">
        <v>139</v>
      </c>
      <c r="F372" s="12"/>
      <c r="G372" s="12" t="str">
        <f aca="false">IFERROR(VLOOKUP($F372,ItemList_Full,2,0),"")</f>
        <v/>
      </c>
      <c r="H372" s="12"/>
      <c r="I372" s="12" t="str">
        <f aca="false">IFERROR(VLOOKUP($F372,ItemList_Full,3,0),"")</f>
        <v/>
      </c>
      <c r="J372" s="12" t="str">
        <f aca="false">IFERROR(VLOOKUP($F372,ItemList_Full,4,0),"")</f>
        <v/>
      </c>
      <c r="K372" s="13" t="n">
        <v>23760</v>
      </c>
      <c r="L372" s="12"/>
      <c r="M372" s="24"/>
      <c r="N372" s="12" t="s">
        <v>229</v>
      </c>
      <c r="O372" s="12"/>
      <c r="P372" s="13" t="n">
        <f aca="false">IF($E372="","",IF(OR($E372="Director Draw",$E372="Payroll/Employee Charge"),0,-$K372))</f>
        <v>-23760</v>
      </c>
      <c r="Q372" s="12" t="n">
        <f aca="false">IF($E372="Inventory Purchase",$H372,0)</f>
        <v>0</v>
      </c>
      <c r="U372" s="1" t="s">
        <v>1283</v>
      </c>
      <c r="V372" s="1" t="s">
        <v>1284</v>
      </c>
      <c r="W372" s="1" t="s">
        <v>267</v>
      </c>
      <c r="X372" s="1" t="n">
        <v>250</v>
      </c>
      <c r="Y372" s="1" t="s">
        <v>134</v>
      </c>
    </row>
    <row r="373" customFormat="false" ht="15" hidden="false" customHeight="true" outlineLevel="0" collapsed="false">
      <c r="A373" s="19" t="n">
        <v>46285</v>
      </c>
      <c r="B373" s="12" t="n">
        <f aca="false">IF($A373="","",ROW()-4)</f>
        <v>369</v>
      </c>
      <c r="C373" s="12" t="s">
        <v>449</v>
      </c>
      <c r="D373" s="12" t="s">
        <v>1285</v>
      </c>
      <c r="E373" s="24" t="s">
        <v>140</v>
      </c>
      <c r="F373" s="12"/>
      <c r="G373" s="12" t="str">
        <f aca="false">IFERROR(VLOOKUP($F373,ItemList_Full,2,0),"")</f>
        <v/>
      </c>
      <c r="H373" s="12"/>
      <c r="I373" s="12" t="str">
        <f aca="false">IFERROR(VLOOKUP($F373,ItemList_Full,3,0),"")</f>
        <v/>
      </c>
      <c r="J373" s="12" t="str">
        <f aca="false">IFERROR(VLOOKUP($F373,ItemList_Full,4,0),"")</f>
        <v/>
      </c>
      <c r="K373" s="13" t="n">
        <v>7500</v>
      </c>
      <c r="L373" s="12"/>
      <c r="M373" s="24"/>
      <c r="N373" s="12" t="s">
        <v>229</v>
      </c>
      <c r="O373" s="12"/>
      <c r="P373" s="13" t="n">
        <f aca="false">IF($E373="","",IF(OR($E373="Director Draw",$E373="Payroll/Employee Charge"),0,-$K373))</f>
        <v>-7500</v>
      </c>
      <c r="Q373" s="12" t="n">
        <f aca="false">IF($E373="Inventory Purchase",$H373,0)</f>
        <v>0</v>
      </c>
      <c r="U373" s="1" t="s">
        <v>1286</v>
      </c>
      <c r="V373" s="1" t="s">
        <v>1287</v>
      </c>
      <c r="W373" s="1" t="s">
        <v>246</v>
      </c>
      <c r="X373" s="1" t="n">
        <v>5</v>
      </c>
      <c r="Y373" s="1" t="s">
        <v>134</v>
      </c>
    </row>
    <row r="374" customFormat="false" ht="15" hidden="false" customHeight="true" outlineLevel="0" collapsed="false">
      <c r="A374" s="19" t="n">
        <v>46285</v>
      </c>
      <c r="B374" s="12" t="n">
        <f aca="false">IF($A374="","",ROW()-4)</f>
        <v>370</v>
      </c>
      <c r="C374" s="12" t="s">
        <v>876</v>
      </c>
      <c r="D374" s="12" t="s">
        <v>1288</v>
      </c>
      <c r="E374" s="24" t="s">
        <v>143</v>
      </c>
      <c r="F374" s="12"/>
      <c r="G374" s="12" t="str">
        <f aca="false">IFERROR(VLOOKUP($F374,ItemList_Full,2,0),"")</f>
        <v/>
      </c>
      <c r="H374" s="12"/>
      <c r="I374" s="12" t="str">
        <f aca="false">IFERROR(VLOOKUP($F374,ItemList_Full,3,0),"")</f>
        <v/>
      </c>
      <c r="J374" s="12" t="str">
        <f aca="false">IFERROR(VLOOKUP($F374,ItemList_Full,4,0),"")</f>
        <v/>
      </c>
      <c r="K374" s="13" t="n">
        <v>10000</v>
      </c>
      <c r="L374" s="12"/>
      <c r="M374" s="24"/>
      <c r="N374" s="12" t="s">
        <v>229</v>
      </c>
      <c r="O374" s="12"/>
      <c r="P374" s="13" t="n">
        <f aca="false">IF($E374="","",IF(OR($E374="Director Draw",$E374="Payroll/Employee Charge"),0,-$K374))</f>
        <v>-10000</v>
      </c>
      <c r="Q374" s="12" t="n">
        <f aca="false">IF($E374="Inventory Purchase",$H374,0)</f>
        <v>0</v>
      </c>
      <c r="U374" s="1" t="s">
        <v>1289</v>
      </c>
      <c r="V374" s="1" t="s">
        <v>1290</v>
      </c>
      <c r="W374" s="1" t="s">
        <v>246</v>
      </c>
      <c r="X374" s="1" t="n">
        <v>350</v>
      </c>
      <c r="Y374" s="1" t="s">
        <v>134</v>
      </c>
    </row>
    <row r="375" customFormat="false" ht="15" hidden="false" customHeight="true" outlineLevel="0" collapsed="false">
      <c r="A375" s="19" t="n">
        <v>46285</v>
      </c>
      <c r="B375" s="12" t="n">
        <f aca="false">IF($A375="","",ROW()-4)</f>
        <v>371</v>
      </c>
      <c r="C375" s="12" t="s">
        <v>876</v>
      </c>
      <c r="D375" s="12" t="s">
        <v>1291</v>
      </c>
      <c r="E375" s="24" t="s">
        <v>143</v>
      </c>
      <c r="F375" s="12"/>
      <c r="G375" s="12" t="str">
        <f aca="false">IFERROR(VLOOKUP($F375,ItemList_Full,2,0),"")</f>
        <v/>
      </c>
      <c r="H375" s="12"/>
      <c r="I375" s="12" t="str">
        <f aca="false">IFERROR(VLOOKUP($F375,ItemList_Full,3,0),"")</f>
        <v/>
      </c>
      <c r="J375" s="12" t="str">
        <f aca="false">IFERROR(VLOOKUP($F375,ItemList_Full,4,0),"")</f>
        <v/>
      </c>
      <c r="K375" s="13" t="n">
        <v>20000</v>
      </c>
      <c r="L375" s="12"/>
      <c r="M375" s="24"/>
      <c r="N375" s="12" t="s">
        <v>229</v>
      </c>
      <c r="O375" s="12"/>
      <c r="P375" s="13" t="n">
        <f aca="false">IF($E375="","",IF(OR($E375="Director Draw",$E375="Payroll/Employee Charge"),0,-$K375))</f>
        <v>-20000</v>
      </c>
      <c r="Q375" s="12" t="n">
        <f aca="false">IF($E375="Inventory Purchase",$H375,0)</f>
        <v>0</v>
      </c>
      <c r="U375" s="1" t="s">
        <v>1292</v>
      </c>
      <c r="V375" s="1" t="s">
        <v>1293</v>
      </c>
      <c r="W375" s="1" t="s">
        <v>246</v>
      </c>
      <c r="X375" s="1" t="n">
        <v>0</v>
      </c>
      <c r="Y375" s="1" t="s">
        <v>134</v>
      </c>
    </row>
    <row r="376" customFormat="false" ht="15" hidden="false" customHeight="true" outlineLevel="0" collapsed="false">
      <c r="A376" s="19" t="n">
        <v>46285</v>
      </c>
      <c r="B376" s="12" t="n">
        <f aca="false">IF($A376="","",ROW()-4)</f>
        <v>372</v>
      </c>
      <c r="C376" s="12" t="s">
        <v>272</v>
      </c>
      <c r="D376" s="12" t="s">
        <v>273</v>
      </c>
      <c r="E376" s="24" t="s">
        <v>143</v>
      </c>
      <c r="F376" s="12"/>
      <c r="G376" s="12" t="str">
        <f aca="false">IFERROR(VLOOKUP($F376,ItemList_Full,2,0),"")</f>
        <v/>
      </c>
      <c r="H376" s="12"/>
      <c r="I376" s="12" t="str">
        <f aca="false">IFERROR(VLOOKUP($F376,ItemList_Full,3,0),"")</f>
        <v/>
      </c>
      <c r="J376" s="12" t="str">
        <f aca="false">IFERROR(VLOOKUP($F376,ItemList_Full,4,0),"")</f>
        <v/>
      </c>
      <c r="K376" s="13" t="n">
        <v>35000</v>
      </c>
      <c r="L376" s="12"/>
      <c r="M376" s="24"/>
      <c r="N376" s="12" t="s">
        <v>229</v>
      </c>
      <c r="O376" s="12"/>
      <c r="P376" s="13" t="n">
        <f aca="false">IF($E376="","",IF(OR($E376="Director Draw",$E376="Payroll/Employee Charge"),0,-$K376))</f>
        <v>-35000</v>
      </c>
      <c r="Q376" s="12" t="n">
        <f aca="false">IF($E376="Inventory Purchase",$H376,0)</f>
        <v>0</v>
      </c>
      <c r="U376" s="1" t="s">
        <v>1294</v>
      </c>
      <c r="V376" s="1" t="s">
        <v>1295</v>
      </c>
      <c r="W376" s="1" t="s">
        <v>246</v>
      </c>
      <c r="X376" s="1" t="n">
        <v>300</v>
      </c>
      <c r="Y376" s="1" t="s">
        <v>134</v>
      </c>
    </row>
    <row r="377" customFormat="false" ht="15" hidden="false" customHeight="true" outlineLevel="0" collapsed="false">
      <c r="A377" s="19" t="n">
        <v>46285</v>
      </c>
      <c r="B377" s="12" t="n">
        <f aca="false">IF($A377="","",ROW()-4)</f>
        <v>373</v>
      </c>
      <c r="C377" s="12" t="s">
        <v>355</v>
      </c>
      <c r="D377" s="12" t="s">
        <v>711</v>
      </c>
      <c r="E377" s="24" t="s">
        <v>143</v>
      </c>
      <c r="F377" s="12"/>
      <c r="G377" s="12" t="str">
        <f aca="false">IFERROR(VLOOKUP($F377,ItemList_Full,2,0),"")</f>
        <v/>
      </c>
      <c r="H377" s="12"/>
      <c r="I377" s="12" t="str">
        <f aca="false">IFERROR(VLOOKUP($F377,ItemList_Full,3,0),"")</f>
        <v/>
      </c>
      <c r="J377" s="12" t="str">
        <f aca="false">IFERROR(VLOOKUP($F377,ItemList_Full,4,0),"")</f>
        <v/>
      </c>
      <c r="K377" s="13" t="n">
        <v>20000</v>
      </c>
      <c r="L377" s="12"/>
      <c r="M377" s="24"/>
      <c r="N377" s="12" t="s">
        <v>229</v>
      </c>
      <c r="O377" s="12"/>
      <c r="P377" s="13" t="n">
        <f aca="false">IF($E377="","",IF(OR($E377="Director Draw",$E377="Payroll/Employee Charge"),0,-$K377))</f>
        <v>-20000</v>
      </c>
      <c r="Q377" s="12" t="n">
        <f aca="false">IF($E377="Inventory Purchase",$H377,0)</f>
        <v>0</v>
      </c>
      <c r="U377" s="1" t="s">
        <v>1296</v>
      </c>
      <c r="V377" s="1" t="s">
        <v>1297</v>
      </c>
      <c r="W377" s="1" t="s">
        <v>246</v>
      </c>
      <c r="X377" s="1" t="n">
        <v>2900</v>
      </c>
      <c r="Y377" s="1" t="s">
        <v>134</v>
      </c>
    </row>
    <row r="378" customFormat="false" ht="15" hidden="false" customHeight="true" outlineLevel="0" collapsed="false">
      <c r="A378" s="19" t="n">
        <v>46285</v>
      </c>
      <c r="B378" s="12" t="n">
        <f aca="false">IF($A378="","",ROW()-4)</f>
        <v>374</v>
      </c>
      <c r="C378" s="12" t="s">
        <v>276</v>
      </c>
      <c r="D378" s="12" t="s">
        <v>1125</v>
      </c>
      <c r="E378" s="24" t="s">
        <v>143</v>
      </c>
      <c r="F378" s="12"/>
      <c r="G378" s="12" t="str">
        <f aca="false">IFERROR(VLOOKUP($F378,ItemList_Full,2,0),"")</f>
        <v/>
      </c>
      <c r="H378" s="12"/>
      <c r="I378" s="12" t="str">
        <f aca="false">IFERROR(VLOOKUP($F378,ItemList_Full,3,0),"")</f>
        <v/>
      </c>
      <c r="J378" s="12" t="str">
        <f aca="false">IFERROR(VLOOKUP($F378,ItemList_Full,4,0),"")</f>
        <v/>
      </c>
      <c r="K378" s="13" t="n">
        <v>35000</v>
      </c>
      <c r="L378" s="12"/>
      <c r="M378" s="24"/>
      <c r="N378" s="12" t="s">
        <v>229</v>
      </c>
      <c r="O378" s="12"/>
      <c r="P378" s="13" t="n">
        <f aca="false">IF($E378="","",IF(OR($E378="Director Draw",$E378="Payroll/Employee Charge"),0,-$K378))</f>
        <v>-35000</v>
      </c>
      <c r="Q378" s="12" t="n">
        <f aca="false">IF($E378="Inventory Purchase",$H378,0)</f>
        <v>0</v>
      </c>
      <c r="U378" s="1" t="s">
        <v>1298</v>
      </c>
      <c r="V378" s="1" t="s">
        <v>1299</v>
      </c>
      <c r="W378" s="1" t="s">
        <v>246</v>
      </c>
      <c r="X378" s="1" t="n">
        <v>150</v>
      </c>
      <c r="Y378" s="1" t="s">
        <v>134</v>
      </c>
    </row>
    <row r="379" customFormat="false" ht="15" hidden="false" customHeight="true" outlineLevel="0" collapsed="false">
      <c r="A379" s="19" t="n">
        <v>46285</v>
      </c>
      <c r="B379" s="12" t="n">
        <f aca="false">IF($A379="","",ROW()-4)</f>
        <v>375</v>
      </c>
      <c r="C379" s="12" t="s">
        <v>276</v>
      </c>
      <c r="D379" s="12" t="s">
        <v>714</v>
      </c>
      <c r="E379" s="24" t="s">
        <v>143</v>
      </c>
      <c r="F379" s="12"/>
      <c r="G379" s="12" t="str">
        <f aca="false">IFERROR(VLOOKUP($F379,ItemList_Full,2,0),"")</f>
        <v/>
      </c>
      <c r="H379" s="12"/>
      <c r="I379" s="12" t="str">
        <f aca="false">IFERROR(VLOOKUP($F379,ItemList_Full,3,0),"")</f>
        <v/>
      </c>
      <c r="J379" s="12" t="str">
        <f aca="false">IFERROR(VLOOKUP($F379,ItemList_Full,4,0),"")</f>
        <v/>
      </c>
      <c r="K379" s="13" t="n">
        <v>20000</v>
      </c>
      <c r="L379" s="12"/>
      <c r="M379" s="24"/>
      <c r="N379" s="12" t="s">
        <v>229</v>
      </c>
      <c r="O379" s="12"/>
      <c r="P379" s="13" t="n">
        <f aca="false">IF($E379="","",IF(OR($E379="Director Draw",$E379="Payroll/Employee Charge"),0,-$K379))</f>
        <v>-20000</v>
      </c>
      <c r="Q379" s="12" t="n">
        <f aca="false">IF($E379="Inventory Purchase",$H379,0)</f>
        <v>0</v>
      </c>
      <c r="U379" s="1" t="s">
        <v>1300</v>
      </c>
      <c r="V379" s="1" t="s">
        <v>1301</v>
      </c>
      <c r="W379" s="1" t="s">
        <v>246</v>
      </c>
      <c r="X379" s="1" t="n">
        <v>240</v>
      </c>
      <c r="Y379" s="1" t="s">
        <v>134</v>
      </c>
    </row>
    <row r="380" customFormat="false" ht="15" hidden="false" customHeight="true" outlineLevel="0" collapsed="false">
      <c r="A380" s="19" t="n">
        <v>46285</v>
      </c>
      <c r="B380" s="12" t="n">
        <f aca="false">IF($A380="","",ROW()-4)</f>
        <v>376</v>
      </c>
      <c r="C380" s="12" t="s">
        <v>276</v>
      </c>
      <c r="D380" s="12" t="s">
        <v>1302</v>
      </c>
      <c r="E380" s="24" t="s">
        <v>143</v>
      </c>
      <c r="F380" s="12"/>
      <c r="G380" s="12" t="str">
        <f aca="false">IFERROR(VLOOKUP($F380,ItemList_Full,2,0),"")</f>
        <v/>
      </c>
      <c r="H380" s="12"/>
      <c r="I380" s="12" t="str">
        <f aca="false">IFERROR(VLOOKUP($F380,ItemList_Full,3,0),"")</f>
        <v/>
      </c>
      <c r="J380" s="12" t="str">
        <f aca="false">IFERROR(VLOOKUP($F380,ItemList_Full,4,0),"")</f>
        <v/>
      </c>
      <c r="K380" s="13" t="n">
        <v>8000</v>
      </c>
      <c r="L380" s="12"/>
      <c r="M380" s="24"/>
      <c r="N380" s="12" t="s">
        <v>229</v>
      </c>
      <c r="O380" s="12"/>
      <c r="P380" s="13" t="n">
        <f aca="false">IF($E380="","",IF(OR($E380="Director Draw",$E380="Payroll/Employee Charge"),0,-$K380))</f>
        <v>-8000</v>
      </c>
      <c r="Q380" s="12" t="n">
        <f aca="false">IF($E380="Inventory Purchase",$H380,0)</f>
        <v>0</v>
      </c>
      <c r="U380" s="1" t="s">
        <v>1303</v>
      </c>
      <c r="V380" s="1" t="s">
        <v>1304</v>
      </c>
      <c r="W380" s="1" t="s">
        <v>246</v>
      </c>
      <c r="X380" s="1" t="n">
        <v>170</v>
      </c>
      <c r="Y380" s="1" t="s">
        <v>134</v>
      </c>
    </row>
    <row r="381" customFormat="false" ht="15" hidden="false" customHeight="true" outlineLevel="0" collapsed="false">
      <c r="A381" s="19" t="n">
        <v>46285</v>
      </c>
      <c r="B381" s="12" t="n">
        <f aca="false">IF($A381="","",ROW()-4)</f>
        <v>377</v>
      </c>
      <c r="C381" s="12" t="s">
        <v>276</v>
      </c>
      <c r="D381" s="12" t="s">
        <v>789</v>
      </c>
      <c r="E381" s="24" t="s">
        <v>143</v>
      </c>
      <c r="F381" s="12"/>
      <c r="G381" s="12" t="str">
        <f aca="false">IFERROR(VLOOKUP($F381,ItemList_Full,2,0),"")</f>
        <v/>
      </c>
      <c r="H381" s="12"/>
      <c r="I381" s="12" t="str">
        <f aca="false">IFERROR(VLOOKUP($F381,ItemList_Full,3,0),"")</f>
        <v/>
      </c>
      <c r="J381" s="12" t="str">
        <f aca="false">IFERROR(VLOOKUP($F381,ItemList_Full,4,0),"")</f>
        <v/>
      </c>
      <c r="K381" s="13" t="n">
        <v>8000</v>
      </c>
      <c r="L381" s="12"/>
      <c r="M381" s="24"/>
      <c r="N381" s="12" t="s">
        <v>229</v>
      </c>
      <c r="O381" s="12"/>
      <c r="P381" s="13" t="n">
        <f aca="false">IF($E381="","",IF(OR($E381="Director Draw",$E381="Payroll/Employee Charge"),0,-$K381))</f>
        <v>-8000</v>
      </c>
      <c r="Q381" s="12" t="n">
        <f aca="false">IF($E381="Inventory Purchase",$H381,0)</f>
        <v>0</v>
      </c>
      <c r="U381" s="1" t="s">
        <v>1305</v>
      </c>
      <c r="V381" s="1" t="s">
        <v>1306</v>
      </c>
      <c r="W381" s="1" t="s">
        <v>267</v>
      </c>
      <c r="X381" s="1" t="n">
        <v>200</v>
      </c>
      <c r="Y381" s="1" t="s">
        <v>134</v>
      </c>
    </row>
    <row r="382" customFormat="false" ht="15" hidden="false" customHeight="true" outlineLevel="0" collapsed="false">
      <c r="A382" s="19" t="n">
        <v>46285</v>
      </c>
      <c r="B382" s="12" t="n">
        <f aca="false">IF($A382="","",ROW()-4)</f>
        <v>378</v>
      </c>
      <c r="C382" s="12" t="s">
        <v>276</v>
      </c>
      <c r="D382" s="12" t="s">
        <v>1307</v>
      </c>
      <c r="E382" s="24" t="s">
        <v>143</v>
      </c>
      <c r="F382" s="12"/>
      <c r="G382" s="12" t="str">
        <f aca="false">IFERROR(VLOOKUP($F382,ItemList_Full,2,0),"")</f>
        <v/>
      </c>
      <c r="H382" s="12"/>
      <c r="I382" s="12" t="str">
        <f aca="false">IFERROR(VLOOKUP($F382,ItemList_Full,3,0),"")</f>
        <v/>
      </c>
      <c r="J382" s="12" t="str">
        <f aca="false">IFERROR(VLOOKUP($F382,ItemList_Full,4,0),"")</f>
        <v/>
      </c>
      <c r="K382" s="13" t="n">
        <v>7000</v>
      </c>
      <c r="L382" s="12"/>
      <c r="M382" s="24"/>
      <c r="N382" s="12" t="s">
        <v>229</v>
      </c>
      <c r="O382" s="12"/>
      <c r="P382" s="13" t="n">
        <f aca="false">IF($E382="","",IF(OR($E382="Director Draw",$E382="Payroll/Employee Charge"),0,-$K382))</f>
        <v>-7000</v>
      </c>
      <c r="Q382" s="12" t="n">
        <f aca="false">IF($E382="Inventory Purchase",$H382,0)</f>
        <v>0</v>
      </c>
      <c r="U382" s="1" t="s">
        <v>1308</v>
      </c>
      <c r="V382" s="1" t="s">
        <v>1309</v>
      </c>
      <c r="W382" s="1" t="s">
        <v>246</v>
      </c>
      <c r="X382" s="1" t="n">
        <v>350</v>
      </c>
      <c r="Y382" s="1" t="s">
        <v>134</v>
      </c>
    </row>
    <row r="383" customFormat="false" ht="15" hidden="false" customHeight="true" outlineLevel="0" collapsed="false">
      <c r="A383" s="19" t="n">
        <v>46285</v>
      </c>
      <c r="B383" s="12" t="n">
        <f aca="false">IF($A383="","",ROW()-4)</f>
        <v>379</v>
      </c>
      <c r="C383" s="12" t="s">
        <v>276</v>
      </c>
      <c r="D383" s="12" t="s">
        <v>977</v>
      </c>
      <c r="E383" s="24" t="s">
        <v>143</v>
      </c>
      <c r="F383" s="12"/>
      <c r="G383" s="12" t="str">
        <f aca="false">IFERROR(VLOOKUP($F383,ItemList_Full,2,0),"")</f>
        <v/>
      </c>
      <c r="H383" s="12"/>
      <c r="I383" s="12" t="str">
        <f aca="false">IFERROR(VLOOKUP($F383,ItemList_Full,3,0),"")</f>
        <v/>
      </c>
      <c r="J383" s="12" t="str">
        <f aca="false">IFERROR(VLOOKUP($F383,ItemList_Full,4,0),"")</f>
        <v/>
      </c>
      <c r="K383" s="13" t="n">
        <v>8000</v>
      </c>
      <c r="L383" s="12"/>
      <c r="M383" s="24"/>
      <c r="N383" s="12" t="s">
        <v>229</v>
      </c>
      <c r="O383" s="12"/>
      <c r="P383" s="13" t="n">
        <f aca="false">IF($E383="","",IF(OR($E383="Director Draw",$E383="Payroll/Employee Charge"),0,-$K383))</f>
        <v>-8000</v>
      </c>
      <c r="Q383" s="12" t="n">
        <f aca="false">IF($E383="Inventory Purchase",$H383,0)</f>
        <v>0</v>
      </c>
      <c r="U383" s="1" t="s">
        <v>1310</v>
      </c>
      <c r="V383" s="1" t="s">
        <v>1311</v>
      </c>
      <c r="W383" s="1" t="s">
        <v>267</v>
      </c>
      <c r="X383" s="1" t="n">
        <v>400</v>
      </c>
      <c r="Y383" s="1" t="s">
        <v>134</v>
      </c>
    </row>
    <row r="384" customFormat="false" ht="15" hidden="false" customHeight="true" outlineLevel="0" collapsed="false">
      <c r="A384" s="19" t="n">
        <v>46285</v>
      </c>
      <c r="B384" s="12" t="n">
        <f aca="false">IF($A384="","",ROW()-4)</f>
        <v>380</v>
      </c>
      <c r="C384" s="12" t="s">
        <v>276</v>
      </c>
      <c r="D384" s="12" t="s">
        <v>717</v>
      </c>
      <c r="E384" s="24" t="s">
        <v>143</v>
      </c>
      <c r="F384" s="12"/>
      <c r="G384" s="12" t="str">
        <f aca="false">IFERROR(VLOOKUP($F384,ItemList_Full,2,0),"")</f>
        <v/>
      </c>
      <c r="H384" s="12"/>
      <c r="I384" s="12" t="str">
        <f aca="false">IFERROR(VLOOKUP($F384,ItemList_Full,3,0),"")</f>
        <v/>
      </c>
      <c r="J384" s="12" t="str">
        <f aca="false">IFERROR(VLOOKUP($F384,ItemList_Full,4,0),"")</f>
        <v/>
      </c>
      <c r="K384" s="13" t="n">
        <v>8000</v>
      </c>
      <c r="L384" s="12"/>
      <c r="M384" s="24"/>
      <c r="N384" s="12" t="s">
        <v>229</v>
      </c>
      <c r="O384" s="12"/>
      <c r="P384" s="13" t="n">
        <f aca="false">IF($E384="","",IF(OR($E384="Director Draw",$E384="Payroll/Employee Charge"),0,-$K384))</f>
        <v>-8000</v>
      </c>
      <c r="Q384" s="12" t="n">
        <f aca="false">IF($E384="Inventory Purchase",$H384,0)</f>
        <v>0</v>
      </c>
      <c r="U384" s="1" t="s">
        <v>1312</v>
      </c>
      <c r="V384" s="1" t="s">
        <v>1313</v>
      </c>
      <c r="W384" s="1" t="s">
        <v>246</v>
      </c>
      <c r="X384" s="1" t="n">
        <v>380</v>
      </c>
      <c r="Y384" s="1" t="s">
        <v>134</v>
      </c>
    </row>
    <row r="385" customFormat="false" ht="15" hidden="false" customHeight="true" outlineLevel="0" collapsed="false">
      <c r="A385" s="19" t="n">
        <v>46285</v>
      </c>
      <c r="B385" s="12" t="n">
        <f aca="false">IF($A385="","",ROW()-4)</f>
        <v>381</v>
      </c>
      <c r="C385" s="12" t="s">
        <v>276</v>
      </c>
      <c r="D385" s="12" t="s">
        <v>1314</v>
      </c>
      <c r="E385" s="24" t="s">
        <v>143</v>
      </c>
      <c r="F385" s="12"/>
      <c r="G385" s="12" t="str">
        <f aca="false">IFERROR(VLOOKUP($F385,ItemList_Full,2,0),"")</f>
        <v/>
      </c>
      <c r="H385" s="12"/>
      <c r="I385" s="12" t="str">
        <f aca="false">IFERROR(VLOOKUP($F385,ItemList_Full,3,0),"")</f>
        <v/>
      </c>
      <c r="J385" s="12" t="str">
        <f aca="false">IFERROR(VLOOKUP($F385,ItemList_Full,4,0),"")</f>
        <v/>
      </c>
      <c r="K385" s="13" t="n">
        <v>8000</v>
      </c>
      <c r="L385" s="12"/>
      <c r="M385" s="24"/>
      <c r="N385" s="12" t="s">
        <v>229</v>
      </c>
      <c r="O385" s="12"/>
      <c r="P385" s="13" t="n">
        <f aca="false">IF($E385="","",IF(OR($E385="Director Draw",$E385="Payroll/Employee Charge"),0,-$K385))</f>
        <v>-8000</v>
      </c>
      <c r="Q385" s="12" t="n">
        <f aca="false">IF($E385="Inventory Purchase",$H385,0)</f>
        <v>0</v>
      </c>
      <c r="U385" s="1" t="s">
        <v>1315</v>
      </c>
      <c r="V385" s="1" t="s">
        <v>1316</v>
      </c>
      <c r="W385" s="1" t="s">
        <v>246</v>
      </c>
      <c r="X385" s="1" t="n">
        <v>44</v>
      </c>
      <c r="Y385" s="1" t="s">
        <v>131</v>
      </c>
    </row>
    <row r="386" customFormat="false" ht="15" hidden="false" customHeight="true" outlineLevel="0" collapsed="false">
      <c r="A386" s="19" t="n">
        <v>46285</v>
      </c>
      <c r="B386" s="12" t="n">
        <f aca="false">IF($A386="","",ROW()-4)</f>
        <v>382</v>
      </c>
      <c r="C386" s="12" t="s">
        <v>276</v>
      </c>
      <c r="D386" s="12" t="s">
        <v>1317</v>
      </c>
      <c r="E386" s="24" t="s">
        <v>143</v>
      </c>
      <c r="F386" s="12"/>
      <c r="G386" s="12" t="str">
        <f aca="false">IFERROR(VLOOKUP($F386,ItemList_Full,2,0),"")</f>
        <v/>
      </c>
      <c r="H386" s="12"/>
      <c r="I386" s="12" t="str">
        <f aca="false">IFERROR(VLOOKUP($F386,ItemList_Full,3,0),"")</f>
        <v/>
      </c>
      <c r="J386" s="12" t="str">
        <f aca="false">IFERROR(VLOOKUP($F386,ItemList_Full,4,0),"")</f>
        <v/>
      </c>
      <c r="K386" s="13" t="n">
        <v>7000</v>
      </c>
      <c r="L386" s="12"/>
      <c r="M386" s="24"/>
      <c r="N386" s="12" t="s">
        <v>229</v>
      </c>
      <c r="O386" s="12"/>
      <c r="P386" s="13" t="n">
        <f aca="false">IF($E386="","",IF(OR($E386="Director Draw",$E386="Payroll/Employee Charge"),0,-$K386))</f>
        <v>-7000</v>
      </c>
      <c r="Q386" s="12" t="n">
        <f aca="false">IF($E386="Inventory Purchase",$H386,0)</f>
        <v>0</v>
      </c>
      <c r="U386" s="1" t="s">
        <v>1318</v>
      </c>
      <c r="V386" s="1" t="s">
        <v>1319</v>
      </c>
      <c r="W386" s="1" t="s">
        <v>246</v>
      </c>
      <c r="X386" s="1" t="n">
        <v>30</v>
      </c>
      <c r="Y386" s="1" t="s">
        <v>131</v>
      </c>
    </row>
    <row r="387" customFormat="false" ht="15" hidden="false" customHeight="true" outlineLevel="0" collapsed="false">
      <c r="A387" s="19" t="n">
        <v>46285</v>
      </c>
      <c r="B387" s="12" t="n">
        <f aca="false">IF($A387="","",ROW()-4)</f>
        <v>383</v>
      </c>
      <c r="C387" s="12" t="s">
        <v>276</v>
      </c>
      <c r="D387" s="12" t="s">
        <v>1320</v>
      </c>
      <c r="E387" s="24" t="s">
        <v>143</v>
      </c>
      <c r="F387" s="12"/>
      <c r="G387" s="12" t="str">
        <f aca="false">IFERROR(VLOOKUP($F387,ItemList_Full,2,0),"")</f>
        <v/>
      </c>
      <c r="H387" s="12"/>
      <c r="I387" s="12" t="str">
        <f aca="false">IFERROR(VLOOKUP($F387,ItemList_Full,3,0),"")</f>
        <v/>
      </c>
      <c r="J387" s="12" t="str">
        <f aca="false">IFERROR(VLOOKUP($F387,ItemList_Full,4,0),"")</f>
        <v/>
      </c>
      <c r="K387" s="13" t="n">
        <v>6000</v>
      </c>
      <c r="L387" s="12"/>
      <c r="M387" s="24"/>
      <c r="N387" s="12" t="s">
        <v>229</v>
      </c>
      <c r="O387" s="12"/>
      <c r="P387" s="13" t="n">
        <f aca="false">IF($E387="","",IF(OR($E387="Director Draw",$E387="Payroll/Employee Charge"),0,-$K387))</f>
        <v>-6000</v>
      </c>
      <c r="Q387" s="12" t="n">
        <f aca="false">IF($E387="Inventory Purchase",$H387,0)</f>
        <v>0</v>
      </c>
      <c r="U387" s="1" t="s">
        <v>1321</v>
      </c>
      <c r="V387" s="1" t="s">
        <v>1322</v>
      </c>
      <c r="W387" s="1" t="s">
        <v>246</v>
      </c>
      <c r="X387" s="1" t="n">
        <v>30</v>
      </c>
      <c r="Y387" s="1" t="s">
        <v>131</v>
      </c>
    </row>
    <row r="388" customFormat="false" ht="15" hidden="false" customHeight="true" outlineLevel="0" collapsed="false">
      <c r="A388" s="19" t="n">
        <v>46285</v>
      </c>
      <c r="B388" s="12" t="n">
        <f aca="false">IF($A388="","",ROW()-4)</f>
        <v>384</v>
      </c>
      <c r="C388" s="12" t="s">
        <v>276</v>
      </c>
      <c r="D388" s="12" t="s">
        <v>1323</v>
      </c>
      <c r="E388" s="24" t="s">
        <v>143</v>
      </c>
      <c r="F388" s="12"/>
      <c r="G388" s="12" t="str">
        <f aca="false">IFERROR(VLOOKUP($F388,ItemList_Full,2,0),"")</f>
        <v/>
      </c>
      <c r="H388" s="12"/>
      <c r="I388" s="12" t="str">
        <f aca="false">IFERROR(VLOOKUP($F388,ItemList_Full,3,0),"")</f>
        <v/>
      </c>
      <c r="J388" s="12" t="str">
        <f aca="false">IFERROR(VLOOKUP($F388,ItemList_Full,4,0),"")</f>
        <v/>
      </c>
      <c r="K388" s="13" t="n">
        <v>7000</v>
      </c>
      <c r="L388" s="12"/>
      <c r="M388" s="24"/>
      <c r="N388" s="12" t="s">
        <v>229</v>
      </c>
      <c r="O388" s="12"/>
      <c r="P388" s="13" t="n">
        <f aca="false">IF($E388="","",IF(OR($E388="Director Draw",$E388="Payroll/Employee Charge"),0,-$K388))</f>
        <v>-7000</v>
      </c>
      <c r="Q388" s="12" t="n">
        <f aca="false">IF($E388="Inventory Purchase",$H388,0)</f>
        <v>0</v>
      </c>
      <c r="U388" s="1" t="s">
        <v>1324</v>
      </c>
      <c r="V388" s="1" t="s">
        <v>1325</v>
      </c>
      <c r="W388" s="1" t="s">
        <v>246</v>
      </c>
      <c r="X388" s="1" t="n">
        <v>10.5</v>
      </c>
      <c r="Y388" s="1" t="s">
        <v>131</v>
      </c>
    </row>
    <row r="389" customFormat="false" ht="15" hidden="false" customHeight="true" outlineLevel="0" collapsed="false">
      <c r="A389" s="19" t="n">
        <v>46285</v>
      </c>
      <c r="B389" s="12" t="n">
        <f aca="false">IF($A389="","",ROW()-4)</f>
        <v>385</v>
      </c>
      <c r="C389" s="12" t="s">
        <v>276</v>
      </c>
      <c r="D389" s="12" t="s">
        <v>1326</v>
      </c>
      <c r="E389" s="24" t="s">
        <v>143</v>
      </c>
      <c r="F389" s="12"/>
      <c r="G389" s="12" t="str">
        <f aca="false">IFERROR(VLOOKUP($F389,ItemList_Full,2,0),"")</f>
        <v/>
      </c>
      <c r="H389" s="12"/>
      <c r="I389" s="12" t="str">
        <f aca="false">IFERROR(VLOOKUP($F389,ItemList_Full,3,0),"")</f>
        <v/>
      </c>
      <c r="J389" s="12" t="str">
        <f aca="false">IFERROR(VLOOKUP($F389,ItemList_Full,4,0),"")</f>
        <v/>
      </c>
      <c r="K389" s="13" t="n">
        <v>8000</v>
      </c>
      <c r="L389" s="12"/>
      <c r="M389" s="24"/>
      <c r="N389" s="12" t="s">
        <v>229</v>
      </c>
      <c r="O389" s="12"/>
      <c r="P389" s="13" t="n">
        <f aca="false">IF($E389="","",IF(OR($E389="Director Draw",$E389="Payroll/Employee Charge"),0,-$K389))</f>
        <v>-8000</v>
      </c>
      <c r="Q389" s="12" t="n">
        <f aca="false">IF($E389="Inventory Purchase",$H389,0)</f>
        <v>0</v>
      </c>
      <c r="U389" s="1" t="s">
        <v>1327</v>
      </c>
      <c r="V389" s="1" t="s">
        <v>1328</v>
      </c>
      <c r="W389" s="1" t="s">
        <v>246</v>
      </c>
      <c r="X389" s="1" t="n">
        <v>650</v>
      </c>
      <c r="Y389" s="1" t="s">
        <v>131</v>
      </c>
    </row>
    <row r="390" customFormat="false" ht="15" hidden="false" customHeight="true" outlineLevel="0" collapsed="false">
      <c r="A390" s="19" t="n">
        <v>46285</v>
      </c>
      <c r="B390" s="12" t="n">
        <f aca="false">IF($A390="","",ROW()-4)</f>
        <v>386</v>
      </c>
      <c r="C390" s="12" t="s">
        <v>276</v>
      </c>
      <c r="D390" s="12" t="s">
        <v>1133</v>
      </c>
      <c r="E390" s="24" t="s">
        <v>143</v>
      </c>
      <c r="F390" s="12"/>
      <c r="G390" s="12" t="str">
        <f aca="false">IFERROR(VLOOKUP($F390,ItemList_Full,2,0),"")</f>
        <v/>
      </c>
      <c r="H390" s="12"/>
      <c r="I390" s="12" t="str">
        <f aca="false">IFERROR(VLOOKUP($F390,ItemList_Full,3,0),"")</f>
        <v/>
      </c>
      <c r="J390" s="12" t="str">
        <f aca="false">IFERROR(VLOOKUP($F390,ItemList_Full,4,0),"")</f>
        <v/>
      </c>
      <c r="K390" s="13" t="n">
        <v>7000</v>
      </c>
      <c r="L390" s="12"/>
      <c r="M390" s="24"/>
      <c r="N390" s="12" t="s">
        <v>229</v>
      </c>
      <c r="O390" s="12"/>
      <c r="P390" s="13" t="n">
        <f aca="false">IF($E390="","",IF(OR($E390="Director Draw",$E390="Payroll/Employee Charge"),0,-$K390))</f>
        <v>-7000</v>
      </c>
      <c r="Q390" s="12" t="n">
        <f aca="false">IF($E390="Inventory Purchase",$H390,0)</f>
        <v>0</v>
      </c>
      <c r="U390" s="1" t="s">
        <v>1329</v>
      </c>
      <c r="V390" s="1" t="s">
        <v>1330</v>
      </c>
      <c r="W390" s="1" t="s">
        <v>267</v>
      </c>
      <c r="X390" s="1" t="n">
        <v>1</v>
      </c>
      <c r="Y390" s="1" t="s">
        <v>131</v>
      </c>
    </row>
    <row r="391" customFormat="false" ht="15" hidden="false" customHeight="true" outlineLevel="0" collapsed="false">
      <c r="A391" s="19" t="n">
        <v>46285</v>
      </c>
      <c r="B391" s="12" t="n">
        <f aca="false">IF($A391="","",ROW()-4)</f>
        <v>387</v>
      </c>
      <c r="C391" s="12" t="s">
        <v>343</v>
      </c>
      <c r="D391" s="12" t="s">
        <v>1331</v>
      </c>
      <c r="E391" s="24" t="s">
        <v>143</v>
      </c>
      <c r="F391" s="12"/>
      <c r="G391" s="12" t="str">
        <f aca="false">IFERROR(VLOOKUP($F391,ItemList_Full,2,0),"")</f>
        <v/>
      </c>
      <c r="H391" s="12"/>
      <c r="I391" s="12" t="str">
        <f aca="false">IFERROR(VLOOKUP($F391,ItemList_Full,3,0),"")</f>
        <v/>
      </c>
      <c r="J391" s="12" t="str">
        <f aca="false">IFERROR(VLOOKUP($F391,ItemList_Full,4,0),"")</f>
        <v/>
      </c>
      <c r="K391" s="13" t="n">
        <v>10000</v>
      </c>
      <c r="L391" s="12"/>
      <c r="M391" s="24"/>
      <c r="N391" s="12" t="s">
        <v>229</v>
      </c>
      <c r="O391" s="12"/>
      <c r="P391" s="13" t="n">
        <f aca="false">IF($E391="","",IF(OR($E391="Director Draw",$E391="Payroll/Employee Charge"),0,-$K391))</f>
        <v>-10000</v>
      </c>
      <c r="Q391" s="12" t="n">
        <f aca="false">IF($E391="Inventory Purchase",$H391,0)</f>
        <v>0</v>
      </c>
      <c r="U391" s="1" t="s">
        <v>1332</v>
      </c>
      <c r="V391" s="1" t="s">
        <v>1333</v>
      </c>
      <c r="W391" s="1" t="s">
        <v>246</v>
      </c>
      <c r="X391" s="1" t="n">
        <v>5500</v>
      </c>
      <c r="Y391" s="1" t="s">
        <v>131</v>
      </c>
    </row>
    <row r="392" customFormat="false" ht="15" hidden="false" customHeight="true" outlineLevel="0" collapsed="false">
      <c r="A392" s="19" t="n">
        <v>46285</v>
      </c>
      <c r="B392" s="12" t="n">
        <f aca="false">IF($A392="","",ROW()-4)</f>
        <v>388</v>
      </c>
      <c r="C392" s="12" t="s">
        <v>343</v>
      </c>
      <c r="D392" s="12" t="s">
        <v>1334</v>
      </c>
      <c r="E392" s="24" t="s">
        <v>143</v>
      </c>
      <c r="F392" s="12"/>
      <c r="G392" s="12" t="str">
        <f aca="false">IFERROR(VLOOKUP($F392,ItemList_Full,2,0),"")</f>
        <v/>
      </c>
      <c r="H392" s="12"/>
      <c r="I392" s="12" t="str">
        <f aca="false">IFERROR(VLOOKUP($F392,ItemList_Full,3,0),"")</f>
        <v/>
      </c>
      <c r="J392" s="12" t="str">
        <f aca="false">IFERROR(VLOOKUP($F392,ItemList_Full,4,0),"")</f>
        <v/>
      </c>
      <c r="K392" s="13" t="n">
        <v>5000</v>
      </c>
      <c r="L392" s="12"/>
      <c r="M392" s="24"/>
      <c r="N392" s="12" t="s">
        <v>229</v>
      </c>
      <c r="O392" s="12"/>
      <c r="P392" s="13" t="n">
        <f aca="false">IF($E392="","",IF(OR($E392="Director Draw",$E392="Payroll/Employee Charge"),0,-$K392))</f>
        <v>-5000</v>
      </c>
      <c r="Q392" s="12" t="n">
        <f aca="false">IF($E392="Inventory Purchase",$H392,0)</f>
        <v>0</v>
      </c>
      <c r="U392" s="1" t="s">
        <v>1335</v>
      </c>
      <c r="V392" s="1" t="s">
        <v>1336</v>
      </c>
      <c r="W392" s="1" t="s">
        <v>246</v>
      </c>
      <c r="X392" s="1" t="n">
        <v>700</v>
      </c>
      <c r="Y392" s="1" t="s">
        <v>131</v>
      </c>
    </row>
    <row r="393" customFormat="false" ht="15" hidden="false" customHeight="true" outlineLevel="0" collapsed="false">
      <c r="A393" s="19" t="n">
        <v>46285</v>
      </c>
      <c r="B393" s="12" t="n">
        <f aca="false">IF($A393="","",ROW()-4)</f>
        <v>389</v>
      </c>
      <c r="C393" s="12" t="s">
        <v>343</v>
      </c>
      <c r="D393" s="12" t="s">
        <v>1337</v>
      </c>
      <c r="E393" s="24" t="s">
        <v>143</v>
      </c>
      <c r="F393" s="12"/>
      <c r="G393" s="12" t="str">
        <f aca="false">IFERROR(VLOOKUP($F393,ItemList_Full,2,0),"")</f>
        <v/>
      </c>
      <c r="H393" s="12"/>
      <c r="I393" s="12" t="str">
        <f aca="false">IFERROR(VLOOKUP($F393,ItemList_Full,3,0),"")</f>
        <v/>
      </c>
      <c r="J393" s="12" t="str">
        <f aca="false">IFERROR(VLOOKUP($F393,ItemList_Full,4,0),"")</f>
        <v/>
      </c>
      <c r="K393" s="13" t="n">
        <v>10000</v>
      </c>
      <c r="L393" s="12"/>
      <c r="M393" s="24"/>
      <c r="N393" s="12" t="s">
        <v>229</v>
      </c>
      <c r="O393" s="12"/>
      <c r="P393" s="13" t="n">
        <f aca="false">IF($E393="","",IF(OR($E393="Director Draw",$E393="Payroll/Employee Charge"),0,-$K393))</f>
        <v>-10000</v>
      </c>
      <c r="Q393" s="12" t="n">
        <f aca="false">IF($E393="Inventory Purchase",$H393,0)</f>
        <v>0</v>
      </c>
      <c r="U393" s="1" t="s">
        <v>1338</v>
      </c>
      <c r="V393" s="1" t="s">
        <v>1339</v>
      </c>
      <c r="W393" s="1" t="s">
        <v>246</v>
      </c>
      <c r="X393" s="1" t="n">
        <v>1250</v>
      </c>
      <c r="Y393" s="1" t="s">
        <v>131</v>
      </c>
    </row>
    <row r="394" customFormat="false" ht="15" hidden="false" customHeight="true" outlineLevel="0" collapsed="false">
      <c r="A394" s="19" t="n">
        <v>46285</v>
      </c>
      <c r="B394" s="12" t="n">
        <f aca="false">IF($A394="","",ROW()-4)</f>
        <v>390</v>
      </c>
      <c r="C394" s="12" t="s">
        <v>876</v>
      </c>
      <c r="D394" s="12" t="s">
        <v>1340</v>
      </c>
      <c r="E394" s="24" t="s">
        <v>143</v>
      </c>
      <c r="F394" s="12"/>
      <c r="G394" s="12" t="str">
        <f aca="false">IFERROR(VLOOKUP($F394,ItemList_Full,2,0),"")</f>
        <v/>
      </c>
      <c r="H394" s="12"/>
      <c r="I394" s="12" t="str">
        <f aca="false">IFERROR(VLOOKUP($F394,ItemList_Full,3,0),"")</f>
        <v/>
      </c>
      <c r="J394" s="12" t="str">
        <f aca="false">IFERROR(VLOOKUP($F394,ItemList_Full,4,0),"")</f>
        <v/>
      </c>
      <c r="K394" s="13" t="n">
        <v>10000</v>
      </c>
      <c r="L394" s="12"/>
      <c r="M394" s="24"/>
      <c r="N394" s="12" t="s">
        <v>229</v>
      </c>
      <c r="O394" s="12"/>
      <c r="P394" s="13" t="n">
        <f aca="false">IF($E394="","",IF(OR($E394="Director Draw",$E394="Payroll/Employee Charge"),0,-$K394))</f>
        <v>-10000</v>
      </c>
      <c r="Q394" s="12" t="n">
        <f aca="false">IF($E394="Inventory Purchase",$H394,0)</f>
        <v>0</v>
      </c>
      <c r="U394" s="1" t="s">
        <v>1341</v>
      </c>
      <c r="V394" s="1" t="s">
        <v>1342</v>
      </c>
      <c r="W394" s="1" t="s">
        <v>246</v>
      </c>
      <c r="X394" s="1" t="n">
        <v>4475</v>
      </c>
      <c r="Y394" s="1" t="s">
        <v>131</v>
      </c>
    </row>
    <row r="395" customFormat="false" ht="15" hidden="false" customHeight="true" outlineLevel="0" collapsed="false">
      <c r="A395" s="19" t="n">
        <v>46285</v>
      </c>
      <c r="B395" s="12" t="n">
        <f aca="false">IF($A395="","",ROW()-4)</f>
        <v>391</v>
      </c>
      <c r="C395" s="12" t="s">
        <v>343</v>
      </c>
      <c r="D395" s="12" t="s">
        <v>1343</v>
      </c>
      <c r="E395" s="24" t="s">
        <v>143</v>
      </c>
      <c r="F395" s="12"/>
      <c r="G395" s="12" t="str">
        <f aca="false">IFERROR(VLOOKUP($F395,ItemList_Full,2,0),"")</f>
        <v/>
      </c>
      <c r="H395" s="12"/>
      <c r="I395" s="12" t="str">
        <f aca="false">IFERROR(VLOOKUP($F395,ItemList_Full,3,0),"")</f>
        <v/>
      </c>
      <c r="J395" s="12" t="str">
        <f aca="false">IFERROR(VLOOKUP($F395,ItemList_Full,4,0),"")</f>
        <v/>
      </c>
      <c r="K395" s="13" t="n">
        <v>5000</v>
      </c>
      <c r="L395" s="12"/>
      <c r="M395" s="24"/>
      <c r="N395" s="12" t="s">
        <v>229</v>
      </c>
      <c r="O395" s="12"/>
      <c r="P395" s="13" t="n">
        <f aca="false">IF($E395="","",IF(OR($E395="Director Draw",$E395="Payroll/Employee Charge"),0,-$K395))</f>
        <v>-5000</v>
      </c>
      <c r="Q395" s="12" t="n">
        <f aca="false">IF($E395="Inventory Purchase",$H395,0)</f>
        <v>0</v>
      </c>
      <c r="U395" s="1" t="s">
        <v>1344</v>
      </c>
      <c r="V395" s="1" t="s">
        <v>1345</v>
      </c>
      <c r="W395" s="1" t="s">
        <v>246</v>
      </c>
      <c r="X395" s="1" t="n">
        <v>15</v>
      </c>
      <c r="Y395" s="1" t="s">
        <v>131</v>
      </c>
    </row>
    <row r="396" customFormat="false" ht="15" hidden="false" customHeight="true" outlineLevel="0" collapsed="false">
      <c r="A396" s="19" t="n">
        <v>46285</v>
      </c>
      <c r="B396" s="12" t="n">
        <f aca="false">IF($A396="","",ROW()-4)</f>
        <v>392</v>
      </c>
      <c r="C396" s="12" t="s">
        <v>343</v>
      </c>
      <c r="D396" s="12" t="s">
        <v>1239</v>
      </c>
      <c r="E396" s="24" t="s">
        <v>143</v>
      </c>
      <c r="F396" s="12"/>
      <c r="G396" s="12" t="str">
        <f aca="false">IFERROR(VLOOKUP($F396,ItemList_Full,2,0),"")</f>
        <v/>
      </c>
      <c r="H396" s="12"/>
      <c r="I396" s="12" t="str">
        <f aca="false">IFERROR(VLOOKUP($F396,ItemList_Full,3,0),"")</f>
        <v/>
      </c>
      <c r="J396" s="12" t="str">
        <f aca="false">IFERROR(VLOOKUP($F396,ItemList_Full,4,0),"")</f>
        <v/>
      </c>
      <c r="K396" s="13" t="n">
        <v>4000</v>
      </c>
      <c r="L396" s="12"/>
      <c r="M396" s="24"/>
      <c r="N396" s="12" t="s">
        <v>229</v>
      </c>
      <c r="O396" s="12"/>
      <c r="P396" s="13" t="n">
        <f aca="false">IF($E396="","",IF(OR($E396="Director Draw",$E396="Payroll/Employee Charge"),0,-$K396))</f>
        <v>-4000</v>
      </c>
      <c r="Q396" s="12" t="n">
        <f aca="false">IF($E396="Inventory Purchase",$H396,0)</f>
        <v>0</v>
      </c>
      <c r="U396" s="1" t="s">
        <v>1346</v>
      </c>
      <c r="V396" s="1" t="s">
        <v>1347</v>
      </c>
      <c r="W396" s="1" t="s">
        <v>246</v>
      </c>
      <c r="X396" s="1" t="n">
        <v>150</v>
      </c>
      <c r="Y396" s="1" t="s">
        <v>131</v>
      </c>
    </row>
    <row r="397" customFormat="false" ht="15" hidden="false" customHeight="true" outlineLevel="0" collapsed="false">
      <c r="A397" s="19" t="n">
        <v>46285</v>
      </c>
      <c r="B397" s="12" t="n">
        <f aca="false">IF($A397="","",ROW()-4)</f>
        <v>393</v>
      </c>
      <c r="C397" s="12" t="s">
        <v>343</v>
      </c>
      <c r="D397" s="12" t="s">
        <v>1348</v>
      </c>
      <c r="E397" s="24" t="s">
        <v>143</v>
      </c>
      <c r="F397" s="12"/>
      <c r="G397" s="12" t="str">
        <f aca="false">IFERROR(VLOOKUP($F397,ItemList_Full,2,0),"")</f>
        <v/>
      </c>
      <c r="H397" s="12"/>
      <c r="I397" s="12" t="str">
        <f aca="false">IFERROR(VLOOKUP($F397,ItemList_Full,3,0),"")</f>
        <v/>
      </c>
      <c r="J397" s="12" t="str">
        <f aca="false">IFERROR(VLOOKUP($F397,ItemList_Full,4,0),"")</f>
        <v/>
      </c>
      <c r="K397" s="13" t="n">
        <v>10000</v>
      </c>
      <c r="L397" s="12"/>
      <c r="M397" s="24"/>
      <c r="N397" s="12" t="s">
        <v>229</v>
      </c>
      <c r="O397" s="12"/>
      <c r="P397" s="13" t="n">
        <f aca="false">IF($E397="","",IF(OR($E397="Director Draw",$E397="Payroll/Employee Charge"),0,-$K397))</f>
        <v>-10000</v>
      </c>
      <c r="Q397" s="12" t="n">
        <f aca="false">IF($E397="Inventory Purchase",$H397,0)</f>
        <v>0</v>
      </c>
      <c r="U397" s="1" t="s">
        <v>1349</v>
      </c>
      <c r="V397" s="1" t="s">
        <v>1350</v>
      </c>
      <c r="W397" s="1" t="s">
        <v>246</v>
      </c>
      <c r="X397" s="1" t="n">
        <v>30</v>
      </c>
      <c r="Y397" s="1" t="s">
        <v>131</v>
      </c>
    </row>
    <row r="398" customFormat="false" ht="15" hidden="false" customHeight="true" outlineLevel="0" collapsed="false">
      <c r="A398" s="19" t="n">
        <v>46285</v>
      </c>
      <c r="B398" s="12" t="n">
        <f aca="false">IF($A398="","",ROW()-4)</f>
        <v>394</v>
      </c>
      <c r="C398" s="12" t="s">
        <v>343</v>
      </c>
      <c r="D398" s="12" t="s">
        <v>1351</v>
      </c>
      <c r="E398" s="24" t="s">
        <v>143</v>
      </c>
      <c r="F398" s="12"/>
      <c r="G398" s="12" t="str">
        <f aca="false">IFERROR(VLOOKUP($F398,ItemList_Full,2,0),"")</f>
        <v/>
      </c>
      <c r="H398" s="12"/>
      <c r="I398" s="12" t="str">
        <f aca="false">IFERROR(VLOOKUP($F398,ItemList_Full,3,0),"")</f>
        <v/>
      </c>
      <c r="J398" s="12" t="str">
        <f aca="false">IFERROR(VLOOKUP($F398,ItemList_Full,4,0),"")</f>
        <v/>
      </c>
      <c r="K398" s="13" t="n">
        <v>5000</v>
      </c>
      <c r="L398" s="12"/>
      <c r="M398" s="24"/>
      <c r="N398" s="12" t="s">
        <v>229</v>
      </c>
      <c r="O398" s="12"/>
      <c r="P398" s="13" t="n">
        <f aca="false">IF($E398="","",IF(OR($E398="Director Draw",$E398="Payroll/Employee Charge"),0,-$K398))</f>
        <v>-5000</v>
      </c>
      <c r="Q398" s="12" t="n">
        <f aca="false">IF($E398="Inventory Purchase",$H398,0)</f>
        <v>0</v>
      </c>
      <c r="U398" s="1" t="s">
        <v>1352</v>
      </c>
      <c r="V398" s="1" t="s">
        <v>1353</v>
      </c>
      <c r="W398" s="1" t="s">
        <v>246</v>
      </c>
      <c r="X398" s="1" t="n">
        <v>2150</v>
      </c>
      <c r="Y398" s="1" t="s">
        <v>131</v>
      </c>
    </row>
    <row r="399" customFormat="false" ht="15" hidden="false" customHeight="true" outlineLevel="0" collapsed="false">
      <c r="A399" s="19" t="n">
        <v>46285</v>
      </c>
      <c r="B399" s="12" t="n">
        <f aca="false">IF($A399="","",ROW()-4)</f>
        <v>395</v>
      </c>
      <c r="C399" s="12" t="s">
        <v>876</v>
      </c>
      <c r="D399" s="12" t="s">
        <v>1354</v>
      </c>
      <c r="E399" s="24" t="s">
        <v>143</v>
      </c>
      <c r="F399" s="12"/>
      <c r="G399" s="12" t="str">
        <f aca="false">IFERROR(VLOOKUP($F399,ItemList_Full,2,0),"")</f>
        <v/>
      </c>
      <c r="H399" s="12"/>
      <c r="I399" s="12" t="str">
        <f aca="false">IFERROR(VLOOKUP($F399,ItemList_Full,3,0),"")</f>
        <v/>
      </c>
      <c r="J399" s="12" t="str">
        <f aca="false">IFERROR(VLOOKUP($F399,ItemList_Full,4,0),"")</f>
        <v/>
      </c>
      <c r="K399" s="13" t="n">
        <v>10000</v>
      </c>
      <c r="L399" s="12"/>
      <c r="M399" s="24"/>
      <c r="N399" s="12" t="s">
        <v>229</v>
      </c>
      <c r="O399" s="12"/>
      <c r="P399" s="13" t="n">
        <f aca="false">IF($E399="","",IF(OR($E399="Director Draw",$E399="Payroll/Employee Charge"),0,-$K399))</f>
        <v>-10000</v>
      </c>
      <c r="Q399" s="12" t="n">
        <f aca="false">IF($E399="Inventory Purchase",$H399,0)</f>
        <v>0</v>
      </c>
      <c r="U399" s="1" t="s">
        <v>1355</v>
      </c>
      <c r="V399" s="1" t="s">
        <v>1356</v>
      </c>
      <c r="W399" s="1" t="s">
        <v>246</v>
      </c>
      <c r="X399" s="1" t="n">
        <v>2.75</v>
      </c>
      <c r="Y399" s="1" t="s">
        <v>131</v>
      </c>
    </row>
    <row r="400" customFormat="false" ht="15" hidden="false" customHeight="true" outlineLevel="0" collapsed="false">
      <c r="A400" s="19" t="n">
        <v>46285</v>
      </c>
      <c r="B400" s="12" t="n">
        <f aca="false">IF($A400="","",ROW()-4)</f>
        <v>396</v>
      </c>
      <c r="C400" s="12" t="s">
        <v>343</v>
      </c>
      <c r="D400" s="12" t="s">
        <v>1357</v>
      </c>
      <c r="E400" s="24" t="s">
        <v>143</v>
      </c>
      <c r="F400" s="12"/>
      <c r="G400" s="12" t="str">
        <f aca="false">IFERROR(VLOOKUP($F400,ItemList_Full,2,0),"")</f>
        <v/>
      </c>
      <c r="H400" s="12"/>
      <c r="I400" s="12" t="str">
        <f aca="false">IFERROR(VLOOKUP($F400,ItemList_Full,3,0),"")</f>
        <v/>
      </c>
      <c r="J400" s="12" t="str">
        <f aca="false">IFERROR(VLOOKUP($F400,ItemList_Full,4,0),"")</f>
        <v/>
      </c>
      <c r="K400" s="13" t="n">
        <v>9000</v>
      </c>
      <c r="L400" s="12"/>
      <c r="M400" s="24"/>
      <c r="N400" s="12" t="s">
        <v>229</v>
      </c>
      <c r="O400" s="12"/>
      <c r="P400" s="13" t="n">
        <f aca="false">IF($E400="","",IF(OR($E400="Director Draw",$E400="Payroll/Employee Charge"),0,-$K400))</f>
        <v>-9000</v>
      </c>
      <c r="Q400" s="12" t="n">
        <f aca="false">IF($E400="Inventory Purchase",$H400,0)</f>
        <v>0</v>
      </c>
      <c r="U400" s="1" t="s">
        <v>1358</v>
      </c>
      <c r="V400" s="1" t="s">
        <v>1359</v>
      </c>
      <c r="W400" s="1" t="s">
        <v>246</v>
      </c>
      <c r="X400" s="1" t="n">
        <v>1</v>
      </c>
      <c r="Y400" s="1" t="s">
        <v>131</v>
      </c>
    </row>
    <row r="401" customFormat="false" ht="15" hidden="false" customHeight="true" outlineLevel="0" collapsed="false">
      <c r="A401" s="19" t="n">
        <v>46285</v>
      </c>
      <c r="B401" s="12" t="n">
        <f aca="false">IF($A401="","",ROW()-4)</f>
        <v>397</v>
      </c>
      <c r="C401" s="12" t="s">
        <v>343</v>
      </c>
      <c r="D401" s="12" t="s">
        <v>1360</v>
      </c>
      <c r="E401" s="24" t="s">
        <v>143</v>
      </c>
      <c r="F401" s="12"/>
      <c r="G401" s="12" t="str">
        <f aca="false">IFERROR(VLOOKUP($F401,ItemList_Full,2,0),"")</f>
        <v/>
      </c>
      <c r="H401" s="12"/>
      <c r="I401" s="12" t="str">
        <f aca="false">IFERROR(VLOOKUP($F401,ItemList_Full,3,0),"")</f>
        <v/>
      </c>
      <c r="J401" s="12" t="str">
        <f aca="false">IFERROR(VLOOKUP($F401,ItemList_Full,4,0),"")</f>
        <v/>
      </c>
      <c r="K401" s="13" t="n">
        <v>10000</v>
      </c>
      <c r="L401" s="12"/>
      <c r="M401" s="24"/>
      <c r="N401" s="12" t="s">
        <v>229</v>
      </c>
      <c r="O401" s="12"/>
      <c r="P401" s="13" t="n">
        <f aca="false">IF($E401="","",IF(OR($E401="Director Draw",$E401="Payroll/Employee Charge"),0,-$K401))</f>
        <v>-10000</v>
      </c>
      <c r="Q401" s="12" t="n">
        <f aca="false">IF($E401="Inventory Purchase",$H401,0)</f>
        <v>0</v>
      </c>
      <c r="U401" s="1" t="s">
        <v>1361</v>
      </c>
      <c r="V401" s="1" t="s">
        <v>1362</v>
      </c>
      <c r="W401" s="1" t="s">
        <v>246</v>
      </c>
      <c r="X401" s="1" t="n">
        <v>2.75</v>
      </c>
      <c r="Y401" s="1" t="s">
        <v>131</v>
      </c>
    </row>
    <row r="402" customFormat="false" ht="15" hidden="false" customHeight="true" outlineLevel="0" collapsed="false">
      <c r="A402" s="19" t="n">
        <v>46285</v>
      </c>
      <c r="B402" s="12" t="n">
        <f aca="false">IF($A402="","",ROW()-4)</f>
        <v>398</v>
      </c>
      <c r="C402" s="12" t="s">
        <v>343</v>
      </c>
      <c r="D402" s="12" t="s">
        <v>1363</v>
      </c>
      <c r="E402" s="24" t="s">
        <v>143</v>
      </c>
      <c r="F402" s="12"/>
      <c r="G402" s="12" t="str">
        <f aca="false">IFERROR(VLOOKUP($F402,ItemList_Full,2,0),"")</f>
        <v/>
      </c>
      <c r="H402" s="12"/>
      <c r="I402" s="12" t="str">
        <f aca="false">IFERROR(VLOOKUP($F402,ItemList_Full,3,0),"")</f>
        <v/>
      </c>
      <c r="J402" s="12" t="str">
        <f aca="false">IFERROR(VLOOKUP($F402,ItemList_Full,4,0),"")</f>
        <v/>
      </c>
      <c r="K402" s="13" t="n">
        <v>4000</v>
      </c>
      <c r="L402" s="12"/>
      <c r="M402" s="24"/>
      <c r="N402" s="12" t="s">
        <v>229</v>
      </c>
      <c r="O402" s="12"/>
      <c r="P402" s="13" t="n">
        <f aca="false">IF($E402="","",IF(OR($E402="Director Draw",$E402="Payroll/Employee Charge"),0,-$K402))</f>
        <v>-4000</v>
      </c>
      <c r="Q402" s="12" t="n">
        <f aca="false">IF($E402="Inventory Purchase",$H402,0)</f>
        <v>0</v>
      </c>
      <c r="U402" s="1" t="s">
        <v>1364</v>
      </c>
      <c r="V402" s="1" t="s">
        <v>1365</v>
      </c>
      <c r="W402" s="1" t="s">
        <v>246</v>
      </c>
      <c r="X402" s="1" t="n">
        <v>2.5</v>
      </c>
      <c r="Y402" s="1" t="s">
        <v>131</v>
      </c>
    </row>
    <row r="403" customFormat="false" ht="15" hidden="false" customHeight="true" outlineLevel="0" collapsed="false">
      <c r="A403" s="19" t="n">
        <v>46285</v>
      </c>
      <c r="B403" s="12" t="n">
        <f aca="false">IF($A403="","",ROW()-4)</f>
        <v>399</v>
      </c>
      <c r="C403" s="12" t="s">
        <v>876</v>
      </c>
      <c r="D403" s="12" t="s">
        <v>877</v>
      </c>
      <c r="E403" s="24" t="s">
        <v>143</v>
      </c>
      <c r="F403" s="12"/>
      <c r="G403" s="12" t="str">
        <f aca="false">IFERROR(VLOOKUP($F403,ItemList_Full,2,0),"")</f>
        <v/>
      </c>
      <c r="H403" s="12"/>
      <c r="I403" s="12" t="str">
        <f aca="false">IFERROR(VLOOKUP($F403,ItemList_Full,3,0),"")</f>
        <v/>
      </c>
      <c r="J403" s="12" t="str">
        <f aca="false">IFERROR(VLOOKUP($F403,ItemList_Full,4,0),"")</f>
        <v/>
      </c>
      <c r="K403" s="13" t="n">
        <v>10000</v>
      </c>
      <c r="L403" s="12"/>
      <c r="M403" s="24"/>
      <c r="N403" s="12" t="s">
        <v>229</v>
      </c>
      <c r="O403" s="12"/>
      <c r="P403" s="13" t="n">
        <f aca="false">IF($E403="","",IF(OR($E403="Director Draw",$E403="Payroll/Employee Charge"),0,-$K403))</f>
        <v>-10000</v>
      </c>
      <c r="Q403" s="12" t="n">
        <f aca="false">IF($E403="Inventory Purchase",$H403,0)</f>
        <v>0</v>
      </c>
      <c r="U403" s="1" t="s">
        <v>1366</v>
      </c>
      <c r="V403" s="1" t="s">
        <v>1367</v>
      </c>
      <c r="W403" s="1" t="s">
        <v>246</v>
      </c>
      <c r="X403" s="1" t="n">
        <v>2000</v>
      </c>
      <c r="Y403" s="1" t="s">
        <v>135</v>
      </c>
    </row>
    <row r="404" customFormat="false" ht="15" hidden="false" customHeight="true" outlineLevel="0" collapsed="false">
      <c r="A404" s="19" t="n">
        <v>46285</v>
      </c>
      <c r="B404" s="12" t="n">
        <f aca="false">IF($A404="","",ROW()-4)</f>
        <v>400</v>
      </c>
      <c r="C404" s="12" t="s">
        <v>355</v>
      </c>
      <c r="D404" s="12" t="s">
        <v>1368</v>
      </c>
      <c r="E404" s="24" t="s">
        <v>143</v>
      </c>
      <c r="F404" s="12"/>
      <c r="G404" s="12" t="str">
        <f aca="false">IFERROR(VLOOKUP($F404,ItemList_Full,2,0),"")</f>
        <v/>
      </c>
      <c r="H404" s="12"/>
      <c r="I404" s="12" t="str">
        <f aca="false">IFERROR(VLOOKUP($F404,ItemList_Full,3,0),"")</f>
        <v/>
      </c>
      <c r="J404" s="12" t="str">
        <f aca="false">IFERROR(VLOOKUP($F404,ItemList_Full,4,0),"")</f>
        <v/>
      </c>
      <c r="K404" s="13" t="n">
        <v>10000</v>
      </c>
      <c r="L404" s="12"/>
      <c r="M404" s="24"/>
      <c r="N404" s="12" t="s">
        <v>229</v>
      </c>
      <c r="O404" s="12"/>
      <c r="P404" s="13" t="n">
        <f aca="false">IF($E404="","",IF(OR($E404="Director Draw",$E404="Payroll/Employee Charge"),0,-$K404))</f>
        <v>-10000</v>
      </c>
      <c r="Q404" s="12" t="n">
        <f aca="false">IF($E404="Inventory Purchase",$H404,0)</f>
        <v>0</v>
      </c>
      <c r="U404" s="1" t="s">
        <v>1369</v>
      </c>
      <c r="V404" s="1" t="s">
        <v>1370</v>
      </c>
      <c r="W404" s="1" t="s">
        <v>246</v>
      </c>
      <c r="X404" s="1" t="n">
        <v>1100</v>
      </c>
      <c r="Y404" s="1" t="s">
        <v>135</v>
      </c>
    </row>
    <row r="405" customFormat="false" ht="15" hidden="false" customHeight="true" outlineLevel="0" collapsed="false">
      <c r="A405" s="19" t="n">
        <v>46285</v>
      </c>
      <c r="B405" s="12" t="n">
        <f aca="false">IF($A405="","",ROW()-4)</f>
        <v>401</v>
      </c>
      <c r="C405" s="12" t="s">
        <v>355</v>
      </c>
      <c r="D405" s="12" t="s">
        <v>356</v>
      </c>
      <c r="E405" s="24" t="s">
        <v>143</v>
      </c>
      <c r="F405" s="12"/>
      <c r="G405" s="12" t="str">
        <f aca="false">IFERROR(VLOOKUP($F405,ItemList_Full,2,0),"")</f>
        <v/>
      </c>
      <c r="H405" s="12"/>
      <c r="I405" s="12" t="str">
        <f aca="false">IFERROR(VLOOKUP($F405,ItemList_Full,3,0),"")</f>
        <v/>
      </c>
      <c r="J405" s="12" t="str">
        <f aca="false">IFERROR(VLOOKUP($F405,ItemList_Full,4,0),"")</f>
        <v/>
      </c>
      <c r="K405" s="13" t="n">
        <v>8000</v>
      </c>
      <c r="L405" s="12"/>
      <c r="M405" s="24"/>
      <c r="N405" s="12" t="s">
        <v>229</v>
      </c>
      <c r="O405" s="12"/>
      <c r="P405" s="13" t="n">
        <f aca="false">IF($E405="","",IF(OR($E405="Director Draw",$E405="Payroll/Employee Charge"),0,-$K405))</f>
        <v>-8000</v>
      </c>
      <c r="Q405" s="12" t="n">
        <f aca="false">IF($E405="Inventory Purchase",$H405,0)</f>
        <v>0</v>
      </c>
      <c r="U405" s="1" t="s">
        <v>1371</v>
      </c>
      <c r="V405" s="1" t="s">
        <v>1372</v>
      </c>
      <c r="W405" s="1" t="s">
        <v>246</v>
      </c>
      <c r="X405" s="1" t="n">
        <v>1400</v>
      </c>
      <c r="Y405" s="1" t="s">
        <v>135</v>
      </c>
    </row>
    <row r="406" customFormat="false" ht="15" hidden="false" customHeight="true" outlineLevel="0" collapsed="false">
      <c r="A406" s="19" t="n">
        <v>46285</v>
      </c>
      <c r="B406" s="12" t="n">
        <f aca="false">IF($A406="","",ROW()-4)</f>
        <v>402</v>
      </c>
      <c r="C406" s="12" t="s">
        <v>355</v>
      </c>
      <c r="D406" s="12" t="s">
        <v>526</v>
      </c>
      <c r="E406" s="24" t="s">
        <v>143</v>
      </c>
      <c r="F406" s="12"/>
      <c r="G406" s="12" t="str">
        <f aca="false">IFERROR(VLOOKUP($F406,ItemList_Full,2,0),"")</f>
        <v/>
      </c>
      <c r="H406" s="12"/>
      <c r="I406" s="12" t="str">
        <f aca="false">IFERROR(VLOOKUP($F406,ItemList_Full,3,0),"")</f>
        <v/>
      </c>
      <c r="J406" s="12" t="str">
        <f aca="false">IFERROR(VLOOKUP($F406,ItemList_Full,4,0),"")</f>
        <v/>
      </c>
      <c r="K406" s="13" t="n">
        <v>8000</v>
      </c>
      <c r="L406" s="12"/>
      <c r="M406" s="24"/>
      <c r="N406" s="12" t="s">
        <v>229</v>
      </c>
      <c r="O406" s="12"/>
      <c r="P406" s="13" t="n">
        <f aca="false">IF($E406="","",IF(OR($E406="Director Draw",$E406="Payroll/Employee Charge"),0,-$K406))</f>
        <v>-8000</v>
      </c>
      <c r="Q406" s="12" t="n">
        <f aca="false">IF($E406="Inventory Purchase",$H406,0)</f>
        <v>0</v>
      </c>
      <c r="U406" s="1" t="s">
        <v>1373</v>
      </c>
      <c r="V406" s="1" t="s">
        <v>1374</v>
      </c>
      <c r="W406" s="1" t="s">
        <v>246</v>
      </c>
      <c r="X406" s="1" t="n">
        <v>770</v>
      </c>
      <c r="Y406" s="1" t="s">
        <v>135</v>
      </c>
    </row>
    <row r="407" customFormat="false" ht="15" hidden="false" customHeight="true" outlineLevel="0" collapsed="false">
      <c r="A407" s="19" t="n">
        <v>46285</v>
      </c>
      <c r="B407" s="12" t="n">
        <f aca="false">IF($A407="","",ROW()-4)</f>
        <v>403</v>
      </c>
      <c r="C407" s="12" t="s">
        <v>355</v>
      </c>
      <c r="D407" s="12" t="s">
        <v>1375</v>
      </c>
      <c r="E407" s="24" t="s">
        <v>143</v>
      </c>
      <c r="F407" s="12"/>
      <c r="G407" s="12" t="str">
        <f aca="false">IFERROR(VLOOKUP($F407,ItemList_Full,2,0),"")</f>
        <v/>
      </c>
      <c r="H407" s="12"/>
      <c r="I407" s="12" t="str">
        <f aca="false">IFERROR(VLOOKUP($F407,ItemList_Full,3,0),"")</f>
        <v/>
      </c>
      <c r="J407" s="12" t="str">
        <f aca="false">IFERROR(VLOOKUP($F407,ItemList_Full,4,0),"")</f>
        <v/>
      </c>
      <c r="K407" s="13" t="n">
        <v>8000</v>
      </c>
      <c r="L407" s="12"/>
      <c r="M407" s="24"/>
      <c r="N407" s="12" t="s">
        <v>229</v>
      </c>
      <c r="O407" s="12"/>
      <c r="P407" s="13" t="n">
        <f aca="false">IF($E407="","",IF(OR($E407="Director Draw",$E407="Payroll/Employee Charge"),0,-$K407))</f>
        <v>-8000</v>
      </c>
      <c r="Q407" s="12" t="n">
        <f aca="false">IF($E407="Inventory Purchase",$H407,0)</f>
        <v>0</v>
      </c>
      <c r="U407" s="1" t="s">
        <v>1376</v>
      </c>
      <c r="V407" s="1" t="s">
        <v>1377</v>
      </c>
      <c r="W407" s="1" t="s">
        <v>246</v>
      </c>
      <c r="X407" s="1" t="n">
        <v>950</v>
      </c>
      <c r="Y407" s="1" t="s">
        <v>135</v>
      </c>
    </row>
    <row r="408" customFormat="false" ht="15" hidden="false" customHeight="true" outlineLevel="0" collapsed="false">
      <c r="A408" s="19" t="n">
        <v>46285</v>
      </c>
      <c r="B408" s="12" t="n">
        <f aca="false">IF($A408="","",ROW()-4)</f>
        <v>404</v>
      </c>
      <c r="C408" s="12" t="s">
        <v>355</v>
      </c>
      <c r="D408" s="12" t="s">
        <v>720</v>
      </c>
      <c r="E408" s="24" t="s">
        <v>143</v>
      </c>
      <c r="F408" s="12"/>
      <c r="G408" s="12" t="str">
        <f aca="false">IFERROR(VLOOKUP($F408,ItemList_Full,2,0),"")</f>
        <v/>
      </c>
      <c r="H408" s="12"/>
      <c r="I408" s="12" t="str">
        <f aca="false">IFERROR(VLOOKUP($F408,ItemList_Full,3,0),"")</f>
        <v/>
      </c>
      <c r="J408" s="12" t="str">
        <f aca="false">IFERROR(VLOOKUP($F408,ItemList_Full,4,0),"")</f>
        <v/>
      </c>
      <c r="K408" s="13" t="n">
        <v>8000</v>
      </c>
      <c r="L408" s="12"/>
      <c r="M408" s="24"/>
      <c r="N408" s="12" t="s">
        <v>229</v>
      </c>
      <c r="O408" s="12"/>
      <c r="P408" s="13" t="n">
        <f aca="false">IF($E408="","",IF(OR($E408="Director Draw",$E408="Payroll/Employee Charge"),0,-$K408))</f>
        <v>-8000</v>
      </c>
      <c r="Q408" s="12" t="n">
        <f aca="false">IF($E408="Inventory Purchase",$H408,0)</f>
        <v>0</v>
      </c>
      <c r="U408" s="1" t="s">
        <v>1378</v>
      </c>
      <c r="V408" s="1" t="s">
        <v>1379</v>
      </c>
      <c r="W408" s="1" t="s">
        <v>246</v>
      </c>
      <c r="X408" s="1" t="n">
        <v>740</v>
      </c>
      <c r="Y408" s="1" t="s">
        <v>135</v>
      </c>
    </row>
    <row r="409" customFormat="false" ht="15" hidden="false" customHeight="true" outlineLevel="0" collapsed="false">
      <c r="A409" s="19" t="n">
        <v>46285</v>
      </c>
      <c r="B409" s="12" t="n">
        <f aca="false">IF($A409="","",ROW()-4)</f>
        <v>405</v>
      </c>
      <c r="C409" s="12" t="s">
        <v>355</v>
      </c>
      <c r="D409" s="12" t="s">
        <v>1380</v>
      </c>
      <c r="E409" s="24" t="s">
        <v>143</v>
      </c>
      <c r="F409" s="12"/>
      <c r="G409" s="12" t="str">
        <f aca="false">IFERROR(VLOOKUP($F409,ItemList_Full,2,0),"")</f>
        <v/>
      </c>
      <c r="H409" s="12"/>
      <c r="I409" s="12" t="str">
        <f aca="false">IFERROR(VLOOKUP($F409,ItemList_Full,3,0),"")</f>
        <v/>
      </c>
      <c r="J409" s="12" t="str">
        <f aca="false">IFERROR(VLOOKUP($F409,ItemList_Full,4,0),"")</f>
        <v/>
      </c>
      <c r="K409" s="13" t="n">
        <v>8000</v>
      </c>
      <c r="L409" s="12"/>
      <c r="M409" s="24"/>
      <c r="N409" s="12" t="s">
        <v>229</v>
      </c>
      <c r="O409" s="12"/>
      <c r="P409" s="13" t="n">
        <f aca="false">IF($E409="","",IF(OR($E409="Director Draw",$E409="Payroll/Employee Charge"),0,-$K409))</f>
        <v>-8000</v>
      </c>
      <c r="Q409" s="12" t="n">
        <f aca="false">IF($E409="Inventory Purchase",$H409,0)</f>
        <v>0</v>
      </c>
      <c r="U409" s="1" t="s">
        <v>1381</v>
      </c>
      <c r="V409" s="1" t="s">
        <v>1382</v>
      </c>
      <c r="W409" s="1" t="s">
        <v>246</v>
      </c>
      <c r="X409" s="1" t="n">
        <v>200</v>
      </c>
      <c r="Y409" s="1" t="s">
        <v>135</v>
      </c>
    </row>
    <row r="410" customFormat="false" ht="15" hidden="false" customHeight="true" outlineLevel="0" collapsed="false">
      <c r="A410" s="19" t="n">
        <v>46285</v>
      </c>
      <c r="B410" s="12" t="n">
        <f aca="false">IF($A410="","",ROW()-4)</f>
        <v>406</v>
      </c>
      <c r="C410" s="12" t="s">
        <v>355</v>
      </c>
      <c r="D410" s="12" t="s">
        <v>1272</v>
      </c>
      <c r="E410" s="24" t="s">
        <v>143</v>
      </c>
      <c r="F410" s="12"/>
      <c r="G410" s="12" t="str">
        <f aca="false">IFERROR(VLOOKUP($F410,ItemList_Full,2,0),"")</f>
        <v/>
      </c>
      <c r="H410" s="12"/>
      <c r="I410" s="12" t="str">
        <f aca="false">IFERROR(VLOOKUP($F410,ItemList_Full,3,0),"")</f>
        <v/>
      </c>
      <c r="J410" s="12" t="str">
        <f aca="false">IFERROR(VLOOKUP($F410,ItemList_Full,4,0),"")</f>
        <v/>
      </c>
      <c r="K410" s="13" t="n">
        <v>8000</v>
      </c>
      <c r="L410" s="12"/>
      <c r="M410" s="24"/>
      <c r="N410" s="12" t="s">
        <v>229</v>
      </c>
      <c r="O410" s="12"/>
      <c r="P410" s="13" t="n">
        <f aca="false">IF($E410="","",IF(OR($E410="Director Draw",$E410="Payroll/Employee Charge"),0,-$K410))</f>
        <v>-8000</v>
      </c>
      <c r="Q410" s="12" t="n">
        <f aca="false">IF($E410="Inventory Purchase",$H410,0)</f>
        <v>0</v>
      </c>
      <c r="U410" s="1" t="s">
        <v>1383</v>
      </c>
      <c r="V410" s="1" t="s">
        <v>1384</v>
      </c>
      <c r="W410" s="1" t="s">
        <v>246</v>
      </c>
      <c r="X410" s="1" t="n">
        <v>790</v>
      </c>
      <c r="Y410" s="1" t="s">
        <v>135</v>
      </c>
    </row>
    <row r="411" customFormat="false" ht="15" hidden="false" customHeight="true" outlineLevel="0" collapsed="false">
      <c r="A411" s="19" t="n">
        <v>46285</v>
      </c>
      <c r="B411" s="12" t="n">
        <f aca="false">IF($A411="","",ROW()-4)</f>
        <v>407</v>
      </c>
      <c r="C411" s="12" t="s">
        <v>355</v>
      </c>
      <c r="D411" s="12" t="s">
        <v>1385</v>
      </c>
      <c r="E411" s="24" t="s">
        <v>143</v>
      </c>
      <c r="F411" s="12"/>
      <c r="G411" s="12" t="str">
        <f aca="false">IFERROR(VLOOKUP($F411,ItemList_Full,2,0),"")</f>
        <v/>
      </c>
      <c r="H411" s="12"/>
      <c r="I411" s="12" t="str">
        <f aca="false">IFERROR(VLOOKUP($F411,ItemList_Full,3,0),"")</f>
        <v/>
      </c>
      <c r="J411" s="12" t="str">
        <f aca="false">IFERROR(VLOOKUP($F411,ItemList_Full,4,0),"")</f>
        <v/>
      </c>
      <c r="K411" s="13" t="n">
        <v>8000</v>
      </c>
      <c r="L411" s="12"/>
      <c r="M411" s="24"/>
      <c r="N411" s="12" t="s">
        <v>229</v>
      </c>
      <c r="O411" s="12"/>
      <c r="P411" s="13" t="n">
        <f aca="false">IF($E411="","",IF(OR($E411="Director Draw",$E411="Payroll/Employee Charge"),0,-$K411))</f>
        <v>-8000</v>
      </c>
      <c r="Q411" s="12" t="n">
        <f aca="false">IF($E411="Inventory Purchase",$H411,0)</f>
        <v>0</v>
      </c>
      <c r="U411" s="1" t="s">
        <v>1386</v>
      </c>
      <c r="V411" s="1" t="s">
        <v>1387</v>
      </c>
      <c r="W411" s="1" t="s">
        <v>246</v>
      </c>
      <c r="X411" s="1" t="n">
        <v>10000</v>
      </c>
      <c r="Y411" s="1" t="s">
        <v>135</v>
      </c>
    </row>
    <row r="412" customFormat="false" ht="15" hidden="false" customHeight="true" outlineLevel="0" collapsed="false">
      <c r="A412" s="19" t="n">
        <v>46285</v>
      </c>
      <c r="B412" s="12" t="n">
        <f aca="false">IF($A412="","",ROW()-4)</f>
        <v>408</v>
      </c>
      <c r="C412" s="12" t="s">
        <v>355</v>
      </c>
      <c r="D412" s="12" t="s">
        <v>1388</v>
      </c>
      <c r="E412" s="24" t="s">
        <v>143</v>
      </c>
      <c r="F412" s="12"/>
      <c r="G412" s="12" t="str">
        <f aca="false">IFERROR(VLOOKUP($F412,ItemList_Full,2,0),"")</f>
        <v/>
      </c>
      <c r="H412" s="12"/>
      <c r="I412" s="12" t="str">
        <f aca="false">IFERROR(VLOOKUP($F412,ItemList_Full,3,0),"")</f>
        <v/>
      </c>
      <c r="J412" s="12" t="str">
        <f aca="false">IFERROR(VLOOKUP($F412,ItemList_Full,4,0),"")</f>
        <v/>
      </c>
      <c r="K412" s="13" t="n">
        <v>8000</v>
      </c>
      <c r="L412" s="12"/>
      <c r="M412" s="24"/>
      <c r="N412" s="12" t="s">
        <v>229</v>
      </c>
      <c r="O412" s="12"/>
      <c r="P412" s="13" t="n">
        <f aca="false">IF($E412="","",IF(OR($E412="Director Draw",$E412="Payroll/Employee Charge"),0,-$K412))</f>
        <v>-8000</v>
      </c>
      <c r="Q412" s="12" t="n">
        <f aca="false">IF($E412="Inventory Purchase",$H412,0)</f>
        <v>0</v>
      </c>
      <c r="U412" s="1" t="s">
        <v>1389</v>
      </c>
      <c r="V412" s="1" t="s">
        <v>1390</v>
      </c>
      <c r="W412" s="1" t="s">
        <v>246</v>
      </c>
      <c r="X412" s="1" t="n">
        <v>50</v>
      </c>
      <c r="Y412" s="1" t="s">
        <v>135</v>
      </c>
    </row>
    <row r="413" customFormat="false" ht="15" hidden="false" customHeight="true" outlineLevel="0" collapsed="false">
      <c r="A413" s="19" t="n">
        <v>46285</v>
      </c>
      <c r="B413" s="12" t="n">
        <f aca="false">IF($A413="","",ROW()-4)</f>
        <v>409</v>
      </c>
      <c r="C413" s="12" t="s">
        <v>355</v>
      </c>
      <c r="D413" s="12" t="s">
        <v>1391</v>
      </c>
      <c r="E413" s="24" t="s">
        <v>143</v>
      </c>
      <c r="F413" s="12"/>
      <c r="G413" s="12" t="str">
        <f aca="false">IFERROR(VLOOKUP($F413,ItemList_Full,2,0),"")</f>
        <v/>
      </c>
      <c r="H413" s="12"/>
      <c r="I413" s="12" t="str">
        <f aca="false">IFERROR(VLOOKUP($F413,ItemList_Full,3,0),"")</f>
        <v/>
      </c>
      <c r="J413" s="12" t="str">
        <f aca="false">IFERROR(VLOOKUP($F413,ItemList_Full,4,0),"")</f>
        <v/>
      </c>
      <c r="K413" s="13" t="n">
        <v>7000</v>
      </c>
      <c r="L413" s="12"/>
      <c r="M413" s="24"/>
      <c r="N413" s="12" t="s">
        <v>229</v>
      </c>
      <c r="O413" s="12"/>
      <c r="P413" s="13" t="n">
        <f aca="false">IF($E413="","",IF(OR($E413="Director Draw",$E413="Payroll/Employee Charge"),0,-$K413))</f>
        <v>-7000</v>
      </c>
      <c r="Q413" s="12" t="n">
        <f aca="false">IF($E413="Inventory Purchase",$H413,0)</f>
        <v>0</v>
      </c>
      <c r="U413" s="1" t="s">
        <v>1392</v>
      </c>
      <c r="V413" s="1" t="s">
        <v>1393</v>
      </c>
      <c r="W413" s="1" t="s">
        <v>246</v>
      </c>
      <c r="X413" s="1" t="n">
        <v>3500</v>
      </c>
      <c r="Y413" s="1" t="s">
        <v>135</v>
      </c>
    </row>
    <row r="414" customFormat="false" ht="15" hidden="false" customHeight="true" outlineLevel="0" collapsed="false">
      <c r="A414" s="19" t="n">
        <v>46286</v>
      </c>
      <c r="B414" s="12" t="n">
        <f aca="false">IF($A414="","",ROW()-4)</f>
        <v>410</v>
      </c>
      <c r="C414" s="12" t="s">
        <v>225</v>
      </c>
      <c r="D414" s="12" t="s">
        <v>431</v>
      </c>
      <c r="E414" s="24" t="s">
        <v>227</v>
      </c>
      <c r="F414" s="12"/>
      <c r="G414" s="12" t="str">
        <f aca="false">IFERROR(VLOOKUP($F414,ItemList_Full,2,0),"")</f>
        <v/>
      </c>
      <c r="H414" s="12"/>
      <c r="I414" s="12" t="str">
        <f aca="false">IFERROR(VLOOKUP($F414,ItemList_Full,3,0),"")</f>
        <v/>
      </c>
      <c r="J414" s="12" t="str">
        <f aca="false">IFERROR(VLOOKUP($F414,ItemList_Full,4,0),"")</f>
        <v/>
      </c>
      <c r="K414" s="13" t="n">
        <v>2965</v>
      </c>
      <c r="L414" s="12"/>
      <c r="M414" s="24" t="s">
        <v>228</v>
      </c>
      <c r="N414" s="12" t="s">
        <v>229</v>
      </c>
      <c r="O414" s="12"/>
      <c r="P414" s="13" t="n">
        <f aca="false">IF($E414="","",IF(OR($E414="Director Draw",$E414="Payroll/Employee Charge"),0,-$K414))</f>
        <v>0</v>
      </c>
      <c r="Q414" s="12" t="n">
        <f aca="false">IF($E414="Inventory Purchase",$H414,0)</f>
        <v>0</v>
      </c>
      <c r="U414" s="1" t="s">
        <v>1394</v>
      </c>
      <c r="V414" s="1" t="s">
        <v>1395</v>
      </c>
      <c r="W414" s="1" t="s">
        <v>246</v>
      </c>
      <c r="X414" s="1" t="n">
        <v>850</v>
      </c>
      <c r="Y414" s="1" t="s">
        <v>135</v>
      </c>
    </row>
    <row r="415" customFormat="false" ht="15" hidden="false" customHeight="true" outlineLevel="0" collapsed="false">
      <c r="A415" s="19" t="n">
        <v>46286</v>
      </c>
      <c r="B415" s="12" t="n">
        <f aca="false">IF($A415="","",ROW()-4)</f>
        <v>411</v>
      </c>
      <c r="C415" s="12" t="s">
        <v>225</v>
      </c>
      <c r="D415" s="12" t="s">
        <v>305</v>
      </c>
      <c r="E415" s="24" t="s">
        <v>227</v>
      </c>
      <c r="F415" s="12"/>
      <c r="G415" s="12" t="str">
        <f aca="false">IFERROR(VLOOKUP($F415,ItemList_Full,2,0),"")</f>
        <v/>
      </c>
      <c r="H415" s="12"/>
      <c r="I415" s="12" t="str">
        <f aca="false">IFERROR(VLOOKUP($F415,ItemList_Full,3,0),"")</f>
        <v/>
      </c>
      <c r="J415" s="12" t="str">
        <f aca="false">IFERROR(VLOOKUP($F415,ItemList_Full,4,0),"")</f>
        <v/>
      </c>
      <c r="K415" s="13" t="n">
        <v>3240</v>
      </c>
      <c r="L415" s="12"/>
      <c r="M415" s="24" t="s">
        <v>228</v>
      </c>
      <c r="N415" s="12" t="s">
        <v>229</v>
      </c>
      <c r="O415" s="12"/>
      <c r="P415" s="13" t="n">
        <f aca="false">IF($E415="","",IF(OR($E415="Director Draw",$E415="Payroll/Employee Charge"),0,-$K415))</f>
        <v>0</v>
      </c>
      <c r="Q415" s="12" t="n">
        <f aca="false">IF($E415="Inventory Purchase",$H415,0)</f>
        <v>0</v>
      </c>
      <c r="U415" s="1" t="s">
        <v>1396</v>
      </c>
      <c r="V415" s="1" t="s">
        <v>1397</v>
      </c>
      <c r="W415" s="1" t="s">
        <v>246</v>
      </c>
      <c r="X415" s="1" t="n">
        <v>770</v>
      </c>
      <c r="Y415" s="1" t="s">
        <v>135</v>
      </c>
    </row>
    <row r="416" customFormat="false" ht="15" hidden="false" customHeight="true" outlineLevel="0" collapsed="false">
      <c r="A416" s="19" t="n">
        <v>46286</v>
      </c>
      <c r="B416" s="12" t="n">
        <f aca="false">IF($A416="","",ROW()-4)</f>
        <v>412</v>
      </c>
      <c r="C416" s="12" t="s">
        <v>225</v>
      </c>
      <c r="D416" s="12" t="s">
        <v>671</v>
      </c>
      <c r="E416" s="24" t="s">
        <v>227</v>
      </c>
      <c r="F416" s="12"/>
      <c r="G416" s="12" t="str">
        <f aca="false">IFERROR(VLOOKUP($F416,ItemList_Full,2,0),"")</f>
        <v/>
      </c>
      <c r="H416" s="12"/>
      <c r="I416" s="12" t="str">
        <f aca="false">IFERROR(VLOOKUP($F416,ItemList_Full,3,0),"")</f>
        <v/>
      </c>
      <c r="J416" s="12" t="str">
        <f aca="false">IFERROR(VLOOKUP($F416,ItemList_Full,4,0),"")</f>
        <v/>
      </c>
      <c r="K416" s="13" t="n">
        <v>1230</v>
      </c>
      <c r="L416" s="12"/>
      <c r="M416" s="24" t="s">
        <v>234</v>
      </c>
      <c r="N416" s="12" t="s">
        <v>229</v>
      </c>
      <c r="O416" s="12"/>
      <c r="P416" s="13" t="n">
        <f aca="false">IF($E416="","",IF(OR($E416="Director Draw",$E416="Payroll/Employee Charge"),0,-$K416))</f>
        <v>0</v>
      </c>
      <c r="Q416" s="12" t="n">
        <f aca="false">IF($E416="Inventory Purchase",$H416,0)</f>
        <v>0</v>
      </c>
      <c r="U416" s="1" t="s">
        <v>1398</v>
      </c>
      <c r="V416" s="1" t="s">
        <v>1399</v>
      </c>
      <c r="W416" s="1" t="s">
        <v>246</v>
      </c>
      <c r="X416" s="1" t="n">
        <v>660</v>
      </c>
      <c r="Y416" s="1" t="s">
        <v>135</v>
      </c>
    </row>
    <row r="417" customFormat="false" ht="15" hidden="false" customHeight="true" outlineLevel="0" collapsed="false">
      <c r="A417" s="19" t="n">
        <v>46286</v>
      </c>
      <c r="B417" s="12" t="n">
        <f aca="false">IF($A417="","",ROW()-4)</f>
        <v>413</v>
      </c>
      <c r="C417" s="12" t="s">
        <v>255</v>
      </c>
      <c r="D417" s="12" t="s">
        <v>256</v>
      </c>
      <c r="E417" s="24" t="s">
        <v>139</v>
      </c>
      <c r="F417" s="12"/>
      <c r="G417" s="12" t="str">
        <f aca="false">IFERROR(VLOOKUP($F417,ItemList_Full,2,0),"")</f>
        <v/>
      </c>
      <c r="H417" s="12"/>
      <c r="I417" s="12" t="str">
        <f aca="false">IFERROR(VLOOKUP($F417,ItemList_Full,3,0),"")</f>
        <v/>
      </c>
      <c r="J417" s="12" t="str">
        <f aca="false">IFERROR(VLOOKUP($F417,ItemList_Full,4,0),"")</f>
        <v/>
      </c>
      <c r="K417" s="13" t="n">
        <v>1260</v>
      </c>
      <c r="L417" s="12"/>
      <c r="M417" s="24"/>
      <c r="N417" s="12" t="s">
        <v>229</v>
      </c>
      <c r="O417" s="12"/>
      <c r="P417" s="13" t="n">
        <f aca="false">IF($E417="","",IF(OR($E417="Director Draw",$E417="Payroll/Employee Charge"),0,-$K417))</f>
        <v>-1260</v>
      </c>
      <c r="Q417" s="12" t="n">
        <f aca="false">IF($E417="Inventory Purchase",$H417,0)</f>
        <v>0</v>
      </c>
      <c r="U417" s="1" t="s">
        <v>1400</v>
      </c>
      <c r="V417" s="1" t="s">
        <v>1401</v>
      </c>
      <c r="W417" s="1" t="s">
        <v>246</v>
      </c>
      <c r="X417" s="1" t="n">
        <v>220</v>
      </c>
      <c r="Y417" s="1" t="s">
        <v>135</v>
      </c>
    </row>
    <row r="418" customFormat="false" ht="15" hidden="false" customHeight="true" outlineLevel="0" collapsed="false">
      <c r="A418" s="19" t="n">
        <v>46286</v>
      </c>
      <c r="B418" s="12" t="n">
        <f aca="false">IF($A418="","",ROW()-4)</f>
        <v>414</v>
      </c>
      <c r="C418" s="12" t="s">
        <v>255</v>
      </c>
      <c r="D418" s="12" t="s">
        <v>391</v>
      </c>
      <c r="E418" s="24" t="s">
        <v>139</v>
      </c>
      <c r="F418" s="12"/>
      <c r="G418" s="12" t="str">
        <f aca="false">IFERROR(VLOOKUP($F418,ItemList_Full,2,0),"")</f>
        <v/>
      </c>
      <c r="H418" s="12"/>
      <c r="I418" s="12" t="str">
        <f aca="false">IFERROR(VLOOKUP($F418,ItemList_Full,3,0),"")</f>
        <v/>
      </c>
      <c r="J418" s="12" t="str">
        <f aca="false">IFERROR(VLOOKUP($F418,ItemList_Full,4,0),"")</f>
        <v/>
      </c>
      <c r="K418" s="13" t="n">
        <v>750</v>
      </c>
      <c r="L418" s="12"/>
      <c r="M418" s="24"/>
      <c r="N418" s="12" t="s">
        <v>229</v>
      </c>
      <c r="O418" s="12"/>
      <c r="P418" s="13" t="n">
        <f aca="false">IF($E418="","",IF(OR($E418="Director Draw",$E418="Payroll/Employee Charge"),0,-$K418))</f>
        <v>-750</v>
      </c>
      <c r="Q418" s="12" t="n">
        <f aca="false">IF($E418="Inventory Purchase",$H418,0)</f>
        <v>0</v>
      </c>
      <c r="U418" s="1" t="s">
        <v>1402</v>
      </c>
      <c r="V418" s="1" t="s">
        <v>1403</v>
      </c>
      <c r="W418" s="1" t="s">
        <v>246</v>
      </c>
      <c r="X418" s="1" t="n">
        <v>220</v>
      </c>
      <c r="Y418" s="1" t="s">
        <v>135</v>
      </c>
    </row>
    <row r="419" customFormat="false" ht="15" hidden="false" customHeight="true" outlineLevel="0" collapsed="false">
      <c r="A419" s="19" t="n">
        <v>46286</v>
      </c>
      <c r="B419" s="12" t="n">
        <f aca="false">IF($A419="","",ROW()-4)</f>
        <v>415</v>
      </c>
      <c r="C419" s="12" t="s">
        <v>449</v>
      </c>
      <c r="D419" s="12" t="s">
        <v>749</v>
      </c>
      <c r="E419" s="24" t="s">
        <v>139</v>
      </c>
      <c r="F419" s="12"/>
      <c r="G419" s="12" t="str">
        <f aca="false">IFERROR(VLOOKUP($F419,ItemList_Full,2,0),"")</f>
        <v/>
      </c>
      <c r="H419" s="12"/>
      <c r="I419" s="12" t="str">
        <f aca="false">IFERROR(VLOOKUP($F419,ItemList_Full,3,0),"")</f>
        <v/>
      </c>
      <c r="J419" s="12" t="str">
        <f aca="false">IFERROR(VLOOKUP($F419,ItemList_Full,4,0),"")</f>
        <v/>
      </c>
      <c r="K419" s="13" t="n">
        <v>680</v>
      </c>
      <c r="L419" s="12"/>
      <c r="M419" s="24"/>
      <c r="N419" s="12" t="s">
        <v>229</v>
      </c>
      <c r="O419" s="12"/>
      <c r="P419" s="13" t="n">
        <f aca="false">IF($E419="","",IF(OR($E419="Director Draw",$E419="Payroll/Employee Charge"),0,-$K419))</f>
        <v>-680</v>
      </c>
      <c r="Q419" s="12" t="n">
        <f aca="false">IF($E419="Inventory Purchase",$H419,0)</f>
        <v>0</v>
      </c>
      <c r="U419" s="1" t="s">
        <v>1404</v>
      </c>
      <c r="V419" s="1" t="s">
        <v>1405</v>
      </c>
      <c r="W419" s="1" t="s">
        <v>246</v>
      </c>
      <c r="X419" s="1" t="n">
        <v>280</v>
      </c>
      <c r="Y419" s="1" t="s">
        <v>135</v>
      </c>
    </row>
    <row r="420" customFormat="false" ht="15" hidden="false" customHeight="true" outlineLevel="0" collapsed="false">
      <c r="A420" s="19" t="n">
        <v>46286</v>
      </c>
      <c r="B420" s="12" t="n">
        <f aca="false">IF($A420="","",ROW()-4)</f>
        <v>416</v>
      </c>
      <c r="C420" s="12" t="s">
        <v>449</v>
      </c>
      <c r="D420" s="12" t="s">
        <v>373</v>
      </c>
      <c r="E420" s="24" t="s">
        <v>139</v>
      </c>
      <c r="F420" s="12"/>
      <c r="G420" s="12" t="str">
        <f aca="false">IFERROR(VLOOKUP($F420,ItemList_Full,2,0),"")</f>
        <v/>
      </c>
      <c r="H420" s="12"/>
      <c r="I420" s="12" t="str">
        <f aca="false">IFERROR(VLOOKUP($F420,ItemList_Full,3,0),"")</f>
        <v/>
      </c>
      <c r="J420" s="12" t="str">
        <f aca="false">IFERROR(VLOOKUP($F420,ItemList_Full,4,0),"")</f>
        <v/>
      </c>
      <c r="K420" s="13" t="n">
        <v>16400</v>
      </c>
      <c r="L420" s="12"/>
      <c r="M420" s="24"/>
      <c r="N420" s="12" t="s">
        <v>229</v>
      </c>
      <c r="O420" s="12"/>
      <c r="P420" s="13" t="n">
        <f aca="false">IF($E420="","",IF(OR($E420="Director Draw",$E420="Payroll/Employee Charge"),0,-$K420))</f>
        <v>-16400</v>
      </c>
      <c r="Q420" s="12" t="n">
        <f aca="false">IF($E420="Inventory Purchase",$H420,0)</f>
        <v>0</v>
      </c>
      <c r="U420" s="1" t="s">
        <v>1406</v>
      </c>
      <c r="V420" s="1" t="s">
        <v>1407</v>
      </c>
      <c r="W420" s="1" t="s">
        <v>246</v>
      </c>
      <c r="X420" s="1" t="n">
        <v>0</v>
      </c>
      <c r="Y420" s="1" t="s">
        <v>135</v>
      </c>
    </row>
    <row r="421" customFormat="false" ht="15" hidden="false" customHeight="true" outlineLevel="0" collapsed="false">
      <c r="A421" s="19" t="n">
        <v>46286</v>
      </c>
      <c r="B421" s="12" t="n">
        <f aca="false">IF($A421="","",ROW()-4)</f>
        <v>417</v>
      </c>
      <c r="C421" s="12" t="s">
        <v>449</v>
      </c>
      <c r="D421" s="12" t="s">
        <v>260</v>
      </c>
      <c r="E421" s="24" t="s">
        <v>139</v>
      </c>
      <c r="F421" s="12"/>
      <c r="G421" s="12" t="str">
        <f aca="false">IFERROR(VLOOKUP($F421,ItemList_Full,2,0),"")</f>
        <v/>
      </c>
      <c r="H421" s="12"/>
      <c r="I421" s="12" t="str">
        <f aca="false">IFERROR(VLOOKUP($F421,ItemList_Full,3,0),"")</f>
        <v/>
      </c>
      <c r="J421" s="12" t="str">
        <f aca="false">IFERROR(VLOOKUP($F421,ItemList_Full,4,0),"")</f>
        <v/>
      </c>
      <c r="K421" s="13" t="n">
        <v>2180</v>
      </c>
      <c r="L421" s="12"/>
      <c r="M421" s="24"/>
      <c r="N421" s="12" t="s">
        <v>229</v>
      </c>
      <c r="O421" s="12"/>
      <c r="P421" s="13" t="n">
        <f aca="false">IF($E421="","",IF(OR($E421="Director Draw",$E421="Payroll/Employee Charge"),0,-$K421))</f>
        <v>-2180</v>
      </c>
      <c r="Q421" s="12" t="n">
        <f aca="false">IF($E421="Inventory Purchase",$H421,0)</f>
        <v>0</v>
      </c>
      <c r="U421" s="1" t="s">
        <v>1408</v>
      </c>
      <c r="V421" s="1" t="s">
        <v>1409</v>
      </c>
      <c r="W421" s="1" t="s">
        <v>246</v>
      </c>
      <c r="X421" s="1" t="n">
        <v>2100</v>
      </c>
      <c r="Y421" s="1" t="s">
        <v>135</v>
      </c>
    </row>
    <row r="422" customFormat="false" ht="15" hidden="false" customHeight="true" outlineLevel="0" collapsed="false">
      <c r="A422" s="19" t="n">
        <v>46286</v>
      </c>
      <c r="B422" s="12" t="n">
        <f aca="false">IF($A422="","",ROW()-4)</f>
        <v>418</v>
      </c>
      <c r="C422" s="12" t="s">
        <v>449</v>
      </c>
      <c r="D422" s="12" t="s">
        <v>547</v>
      </c>
      <c r="E422" s="24" t="s">
        <v>139</v>
      </c>
      <c r="F422" s="12"/>
      <c r="G422" s="12" t="str">
        <f aca="false">IFERROR(VLOOKUP($F422,ItemList_Full,2,0),"")</f>
        <v/>
      </c>
      <c r="H422" s="12"/>
      <c r="I422" s="12" t="str">
        <f aca="false">IFERROR(VLOOKUP($F422,ItemList_Full,3,0),"")</f>
        <v/>
      </c>
      <c r="J422" s="12" t="str">
        <f aca="false">IFERROR(VLOOKUP($F422,ItemList_Full,4,0),"")</f>
        <v/>
      </c>
      <c r="K422" s="13" t="n">
        <v>35160</v>
      </c>
      <c r="L422" s="12"/>
      <c r="M422" s="24"/>
      <c r="N422" s="12" t="s">
        <v>229</v>
      </c>
      <c r="O422" s="12"/>
      <c r="P422" s="13" t="n">
        <f aca="false">IF($E422="","",IF(OR($E422="Director Draw",$E422="Payroll/Employee Charge"),0,-$K422))</f>
        <v>-35160</v>
      </c>
      <c r="Q422" s="12" t="n">
        <f aca="false">IF($E422="Inventory Purchase",$H422,0)</f>
        <v>0</v>
      </c>
      <c r="U422" s="1" t="s">
        <v>1410</v>
      </c>
      <c r="V422" s="1" t="s">
        <v>1411</v>
      </c>
      <c r="W422" s="1" t="s">
        <v>246</v>
      </c>
      <c r="X422" s="1" t="n">
        <v>4000</v>
      </c>
      <c r="Y422" s="1" t="s">
        <v>135</v>
      </c>
    </row>
    <row r="423" customFormat="false" ht="15" hidden="false" customHeight="true" outlineLevel="0" collapsed="false">
      <c r="A423" s="19" t="n">
        <v>46286</v>
      </c>
      <c r="B423" s="12" t="n">
        <f aca="false">IF($A423="","",ROW()-4)</f>
        <v>419</v>
      </c>
      <c r="C423" s="12" t="s">
        <v>1412</v>
      </c>
      <c r="D423" s="12" t="s">
        <v>1413</v>
      </c>
      <c r="E423" s="24" t="s">
        <v>139</v>
      </c>
      <c r="F423" s="12"/>
      <c r="G423" s="12" t="str">
        <f aca="false">IFERROR(VLOOKUP($F423,ItemList_Full,2,0),"")</f>
        <v/>
      </c>
      <c r="H423" s="12"/>
      <c r="I423" s="12" t="str">
        <f aca="false">IFERROR(VLOOKUP($F423,ItemList_Full,3,0),"")</f>
        <v/>
      </c>
      <c r="J423" s="12" t="str">
        <f aca="false">IFERROR(VLOOKUP($F423,ItemList_Full,4,0),"")</f>
        <v/>
      </c>
      <c r="K423" s="13" t="n">
        <v>251160</v>
      </c>
      <c r="L423" s="12"/>
      <c r="M423" s="24"/>
      <c r="N423" s="12" t="s">
        <v>229</v>
      </c>
      <c r="O423" s="12"/>
      <c r="P423" s="13" t="n">
        <f aca="false">IF($E423="","",IF(OR($E423="Director Draw",$E423="Payroll/Employee Charge"),0,-$K423))</f>
        <v>-251160</v>
      </c>
      <c r="Q423" s="12" t="n">
        <f aca="false">IF($E423="Inventory Purchase",$H423,0)</f>
        <v>0</v>
      </c>
      <c r="U423" s="1" t="s">
        <v>1414</v>
      </c>
      <c r="V423" s="1" t="s">
        <v>1415</v>
      </c>
      <c r="W423" s="1" t="s">
        <v>246</v>
      </c>
      <c r="X423" s="1" t="n">
        <v>700</v>
      </c>
      <c r="Y423" s="1" t="s">
        <v>135</v>
      </c>
    </row>
    <row r="424" customFormat="false" ht="15" hidden="false" customHeight="true" outlineLevel="0" collapsed="false">
      <c r="A424" s="19" t="n">
        <v>46286</v>
      </c>
      <c r="B424" s="12" t="n">
        <f aca="false">IF($A424="","",ROW()-4)</f>
        <v>420</v>
      </c>
      <c r="C424" s="12" t="s">
        <v>1026</v>
      </c>
      <c r="D424" s="12" t="s">
        <v>388</v>
      </c>
      <c r="E424" s="24" t="s">
        <v>139</v>
      </c>
      <c r="F424" s="12"/>
      <c r="G424" s="12" t="str">
        <f aca="false">IFERROR(VLOOKUP($F424,ItemList_Full,2,0),"")</f>
        <v/>
      </c>
      <c r="H424" s="12"/>
      <c r="I424" s="12" t="str">
        <f aca="false">IFERROR(VLOOKUP($F424,ItemList_Full,3,0),"")</f>
        <v/>
      </c>
      <c r="J424" s="12" t="str">
        <f aca="false">IFERROR(VLOOKUP($F424,ItemList_Full,4,0),"")</f>
        <v/>
      </c>
      <c r="K424" s="13" t="n">
        <v>47500</v>
      </c>
      <c r="L424" s="12"/>
      <c r="M424" s="24"/>
      <c r="N424" s="12" t="s">
        <v>229</v>
      </c>
      <c r="O424" s="12"/>
      <c r="P424" s="13" t="n">
        <f aca="false">IF($E424="","",IF(OR($E424="Director Draw",$E424="Payroll/Employee Charge"),0,-$K424))</f>
        <v>-47500</v>
      </c>
      <c r="Q424" s="12" t="n">
        <f aca="false">IF($E424="Inventory Purchase",$H424,0)</f>
        <v>0</v>
      </c>
      <c r="U424" s="1" t="s">
        <v>1416</v>
      </c>
      <c r="V424" s="1" t="s">
        <v>1417</v>
      </c>
      <c r="W424" s="1" t="s">
        <v>246</v>
      </c>
      <c r="X424" s="1" t="n">
        <v>660</v>
      </c>
      <c r="Y424" s="1" t="s">
        <v>128</v>
      </c>
    </row>
    <row r="425" customFormat="false" ht="15" hidden="false" customHeight="true" outlineLevel="0" collapsed="false">
      <c r="A425" s="19" t="n">
        <v>46286</v>
      </c>
      <c r="B425" s="12" t="n">
        <f aca="false">IF($A425="","",ROW()-4)</f>
        <v>421</v>
      </c>
      <c r="C425" s="12" t="s">
        <v>1031</v>
      </c>
      <c r="D425" s="12" t="s">
        <v>686</v>
      </c>
      <c r="E425" s="24" t="s">
        <v>139</v>
      </c>
      <c r="F425" s="12"/>
      <c r="G425" s="12" t="str">
        <f aca="false">IFERROR(VLOOKUP($F425,ItemList_Full,2,0),"")</f>
        <v/>
      </c>
      <c r="H425" s="12"/>
      <c r="I425" s="12" t="str">
        <f aca="false">IFERROR(VLOOKUP($F425,ItemList_Full,3,0),"")</f>
        <v/>
      </c>
      <c r="J425" s="12" t="str">
        <f aca="false">IFERROR(VLOOKUP($F425,ItemList_Full,4,0),"")</f>
        <v/>
      </c>
      <c r="K425" s="13" t="n">
        <v>62855</v>
      </c>
      <c r="L425" s="12"/>
      <c r="M425" s="24"/>
      <c r="N425" s="12" t="s">
        <v>229</v>
      </c>
      <c r="O425" s="12"/>
      <c r="P425" s="13" t="n">
        <f aca="false">IF($E425="","",IF(OR($E425="Director Draw",$E425="Payroll/Employee Charge"),0,-$K425))</f>
        <v>-62855</v>
      </c>
      <c r="Q425" s="12" t="n">
        <f aca="false">IF($E425="Inventory Purchase",$H425,0)</f>
        <v>0</v>
      </c>
      <c r="U425" s="1" t="s">
        <v>1418</v>
      </c>
      <c r="V425" s="1" t="s">
        <v>1419</v>
      </c>
      <c r="W425" s="1" t="s">
        <v>246</v>
      </c>
      <c r="X425" s="1" t="n">
        <v>450</v>
      </c>
      <c r="Y425" s="1" t="s">
        <v>128</v>
      </c>
    </row>
    <row r="426" customFormat="false" ht="15" hidden="false" customHeight="true" outlineLevel="0" collapsed="false">
      <c r="A426" s="19" t="n">
        <v>46286</v>
      </c>
      <c r="B426" s="12" t="n">
        <f aca="false">IF($A426="","",ROW()-4)</f>
        <v>422</v>
      </c>
      <c r="C426" s="12" t="s">
        <v>1420</v>
      </c>
      <c r="D426" s="12" t="s">
        <v>501</v>
      </c>
      <c r="E426" s="24" t="s">
        <v>139</v>
      </c>
      <c r="F426" s="12"/>
      <c r="G426" s="12" t="str">
        <f aca="false">IFERROR(VLOOKUP($F426,ItemList_Full,2,0),"")</f>
        <v/>
      </c>
      <c r="H426" s="12"/>
      <c r="I426" s="12" t="str">
        <f aca="false">IFERROR(VLOOKUP($F426,ItemList_Full,3,0),"")</f>
        <v/>
      </c>
      <c r="J426" s="12" t="str">
        <f aca="false">IFERROR(VLOOKUP($F426,ItemList_Full,4,0),"")</f>
        <v/>
      </c>
      <c r="K426" s="13" t="n">
        <v>52500</v>
      </c>
      <c r="L426" s="12"/>
      <c r="M426" s="24"/>
      <c r="N426" s="12" t="s">
        <v>229</v>
      </c>
      <c r="O426" s="12"/>
      <c r="P426" s="13" t="n">
        <f aca="false">IF($E426="","",IF(OR($E426="Director Draw",$E426="Payroll/Employee Charge"),0,-$K426))</f>
        <v>-52500</v>
      </c>
      <c r="Q426" s="12" t="n">
        <f aca="false">IF($E426="Inventory Purchase",$H426,0)</f>
        <v>0</v>
      </c>
      <c r="U426" s="1" t="s">
        <v>1421</v>
      </c>
      <c r="V426" s="1" t="s">
        <v>1422</v>
      </c>
      <c r="W426" s="1" t="s">
        <v>246</v>
      </c>
      <c r="X426" s="1" t="n">
        <v>450</v>
      </c>
      <c r="Y426" s="1" t="s">
        <v>128</v>
      </c>
    </row>
    <row r="427" customFormat="false" ht="15" hidden="false" customHeight="true" outlineLevel="0" collapsed="false">
      <c r="A427" s="19" t="n">
        <v>46286</v>
      </c>
      <c r="B427" s="12" t="n">
        <f aca="false">IF($A427="","",ROW()-4)</f>
        <v>423</v>
      </c>
      <c r="C427" s="12" t="s">
        <v>1029</v>
      </c>
      <c r="D427" s="12" t="s">
        <v>1423</v>
      </c>
      <c r="E427" s="24" t="s">
        <v>139</v>
      </c>
      <c r="F427" s="12"/>
      <c r="G427" s="12" t="str">
        <f aca="false">IFERROR(VLOOKUP($F427,ItemList_Full,2,0),"")</f>
        <v/>
      </c>
      <c r="H427" s="12"/>
      <c r="I427" s="12" t="str">
        <f aca="false">IFERROR(VLOOKUP($F427,ItemList_Full,3,0),"")</f>
        <v/>
      </c>
      <c r="J427" s="12" t="str">
        <f aca="false">IFERROR(VLOOKUP($F427,ItemList_Full,4,0),"")</f>
        <v/>
      </c>
      <c r="K427" s="13" t="n">
        <v>60086</v>
      </c>
      <c r="L427" s="12"/>
      <c r="M427" s="24"/>
      <c r="N427" s="12" t="s">
        <v>229</v>
      </c>
      <c r="O427" s="12"/>
      <c r="P427" s="13" t="n">
        <f aca="false">IF($E427="","",IF(OR($E427="Director Draw",$E427="Payroll/Employee Charge"),0,-$K427))</f>
        <v>-60086</v>
      </c>
      <c r="Q427" s="12" t="n">
        <f aca="false">IF($E427="Inventory Purchase",$H427,0)</f>
        <v>0</v>
      </c>
      <c r="U427" s="1" t="s">
        <v>1424</v>
      </c>
      <c r="V427" s="1" t="s">
        <v>1425</v>
      </c>
      <c r="W427" s="1" t="s">
        <v>246</v>
      </c>
      <c r="X427" s="1" t="n">
        <v>1300</v>
      </c>
      <c r="Y427" s="1" t="s">
        <v>128</v>
      </c>
    </row>
    <row r="428" customFormat="false" ht="15" hidden="false" customHeight="true" outlineLevel="0" collapsed="false">
      <c r="A428" s="19" t="n">
        <v>46286</v>
      </c>
      <c r="B428" s="12" t="n">
        <f aca="false">IF($A428="","",ROW()-4)</f>
        <v>424</v>
      </c>
      <c r="C428" s="12" t="s">
        <v>237</v>
      </c>
      <c r="D428" s="12" t="s">
        <v>238</v>
      </c>
      <c r="E428" s="24" t="s">
        <v>139</v>
      </c>
      <c r="F428" s="12"/>
      <c r="G428" s="12" t="str">
        <f aca="false">IFERROR(VLOOKUP($F428,ItemList_Full,2,0),"")</f>
        <v/>
      </c>
      <c r="H428" s="12"/>
      <c r="I428" s="12" t="str">
        <f aca="false">IFERROR(VLOOKUP($F428,ItemList_Full,3,0),"")</f>
        <v/>
      </c>
      <c r="J428" s="12" t="str">
        <f aca="false">IFERROR(VLOOKUP($F428,ItemList_Full,4,0),"")</f>
        <v/>
      </c>
      <c r="K428" s="13" t="n">
        <v>149031</v>
      </c>
      <c r="L428" s="12"/>
      <c r="M428" s="24"/>
      <c r="N428" s="12" t="s">
        <v>229</v>
      </c>
      <c r="O428" s="12"/>
      <c r="P428" s="13" t="n">
        <f aca="false">IF($E428="","",IF(OR($E428="Director Draw",$E428="Payroll/Employee Charge"),0,-$K428))</f>
        <v>-149031</v>
      </c>
      <c r="Q428" s="12" t="n">
        <f aca="false">IF($E428="Inventory Purchase",$H428,0)</f>
        <v>0</v>
      </c>
      <c r="U428" s="1" t="s">
        <v>1426</v>
      </c>
      <c r="V428" s="1" t="s">
        <v>1427</v>
      </c>
      <c r="W428" s="1" t="s">
        <v>246</v>
      </c>
      <c r="X428" s="1" t="n">
        <v>925</v>
      </c>
      <c r="Y428" s="1" t="s">
        <v>128</v>
      </c>
    </row>
    <row r="429" customFormat="false" ht="15" hidden="false" customHeight="true" outlineLevel="0" collapsed="false">
      <c r="A429" s="19" t="n">
        <v>46286</v>
      </c>
      <c r="B429" s="12" t="n">
        <f aca="false">IF($A429="","",ROW()-4)</f>
        <v>425</v>
      </c>
      <c r="C429" s="12" t="s">
        <v>242</v>
      </c>
      <c r="D429" s="12" t="s">
        <v>243</v>
      </c>
      <c r="E429" s="24" t="s">
        <v>139</v>
      </c>
      <c r="F429" s="12"/>
      <c r="G429" s="12" t="str">
        <f aca="false">IFERROR(VLOOKUP($F429,ItemList_Full,2,0),"")</f>
        <v/>
      </c>
      <c r="H429" s="12"/>
      <c r="I429" s="12" t="str">
        <f aca="false">IFERROR(VLOOKUP($F429,ItemList_Full,3,0),"")</f>
        <v/>
      </c>
      <c r="J429" s="12" t="str">
        <f aca="false">IFERROR(VLOOKUP($F429,ItemList_Full,4,0),"")</f>
        <v/>
      </c>
      <c r="K429" s="13" t="n">
        <v>21000</v>
      </c>
      <c r="L429" s="12"/>
      <c r="M429" s="24"/>
      <c r="N429" s="12" t="s">
        <v>229</v>
      </c>
      <c r="O429" s="12"/>
      <c r="P429" s="13" t="n">
        <f aca="false">IF($E429="","",IF(OR($E429="Director Draw",$E429="Payroll/Employee Charge"),0,-$K429))</f>
        <v>-21000</v>
      </c>
      <c r="Q429" s="12" t="n">
        <f aca="false">IF($E429="Inventory Purchase",$H429,0)</f>
        <v>0</v>
      </c>
      <c r="U429" s="1" t="s">
        <v>1428</v>
      </c>
      <c r="V429" s="1" t="s">
        <v>1429</v>
      </c>
      <c r="W429" s="1" t="s">
        <v>246</v>
      </c>
      <c r="X429" s="1" t="n">
        <v>1390</v>
      </c>
      <c r="Y429" s="1" t="s">
        <v>128</v>
      </c>
    </row>
    <row r="430" customFormat="false" ht="15" hidden="false" customHeight="true" outlineLevel="0" collapsed="false">
      <c r="A430" s="19" t="n">
        <v>46286</v>
      </c>
      <c r="B430" s="12" t="n">
        <f aca="false">IF($A430="","",ROW()-4)</f>
        <v>426</v>
      </c>
      <c r="C430" s="12" t="s">
        <v>1430</v>
      </c>
      <c r="D430" s="12" t="s">
        <v>1431</v>
      </c>
      <c r="E430" s="24" t="s">
        <v>140</v>
      </c>
      <c r="F430" s="12"/>
      <c r="G430" s="12" t="str">
        <f aca="false">IFERROR(VLOOKUP($F430,ItemList_Full,2,0),"")</f>
        <v/>
      </c>
      <c r="H430" s="12"/>
      <c r="I430" s="12" t="str">
        <f aca="false">IFERROR(VLOOKUP($F430,ItemList_Full,3,0),"")</f>
        <v/>
      </c>
      <c r="J430" s="12" t="str">
        <f aca="false">IFERROR(VLOOKUP($F430,ItemList_Full,4,0),"")</f>
        <v/>
      </c>
      <c r="K430" s="13" t="n">
        <v>70000</v>
      </c>
      <c r="L430" s="12"/>
      <c r="M430" s="24"/>
      <c r="N430" s="12" t="s">
        <v>229</v>
      </c>
      <c r="O430" s="12"/>
      <c r="P430" s="13" t="n">
        <f aca="false">IF($E430="","",IF(OR($E430="Director Draw",$E430="Payroll/Employee Charge"),0,-$K430))</f>
        <v>-70000</v>
      </c>
      <c r="Q430" s="12" t="n">
        <f aca="false">IF($E430="Inventory Purchase",$H430,0)</f>
        <v>0</v>
      </c>
      <c r="U430" s="1" t="s">
        <v>1432</v>
      </c>
      <c r="V430" s="1" t="s">
        <v>1433</v>
      </c>
      <c r="W430" s="1" t="s">
        <v>246</v>
      </c>
      <c r="X430" s="1" t="n">
        <v>920</v>
      </c>
      <c r="Y430" s="1" t="s">
        <v>128</v>
      </c>
    </row>
    <row r="431" customFormat="false" ht="15" hidden="false" customHeight="true" outlineLevel="0" collapsed="false">
      <c r="A431" s="19" t="n">
        <v>46286</v>
      </c>
      <c r="B431" s="12" t="n">
        <f aca="false">IF($A431="","",ROW()-4)</f>
        <v>427</v>
      </c>
      <c r="C431" s="12" t="s">
        <v>1434</v>
      </c>
      <c r="D431" s="12" t="s">
        <v>1435</v>
      </c>
      <c r="E431" s="24" t="s">
        <v>140</v>
      </c>
      <c r="F431" s="12"/>
      <c r="G431" s="12" t="str">
        <f aca="false">IFERROR(VLOOKUP($F431,ItemList_Full,2,0),"")</f>
        <v/>
      </c>
      <c r="H431" s="12"/>
      <c r="I431" s="12" t="str">
        <f aca="false">IFERROR(VLOOKUP($F431,ItemList_Full,3,0),"")</f>
        <v/>
      </c>
      <c r="J431" s="12" t="str">
        <f aca="false">IFERROR(VLOOKUP($F431,ItemList_Full,4,0),"")</f>
        <v/>
      </c>
      <c r="K431" s="13" t="n">
        <v>54280</v>
      </c>
      <c r="L431" s="12"/>
      <c r="M431" s="24"/>
      <c r="N431" s="12" t="s">
        <v>229</v>
      </c>
      <c r="O431" s="12"/>
      <c r="P431" s="13" t="n">
        <f aca="false">IF($E431="","",IF(OR($E431="Director Draw",$E431="Payroll/Employee Charge"),0,-$K431))</f>
        <v>-54280</v>
      </c>
      <c r="Q431" s="12" t="n">
        <f aca="false">IF($E431="Inventory Purchase",$H431,0)</f>
        <v>0</v>
      </c>
      <c r="U431" s="1" t="s">
        <v>1436</v>
      </c>
      <c r="V431" s="1" t="s">
        <v>1437</v>
      </c>
      <c r="W431" s="1" t="s">
        <v>246</v>
      </c>
      <c r="X431" s="1" t="n">
        <v>4650</v>
      </c>
      <c r="Y431" s="1" t="s">
        <v>128</v>
      </c>
    </row>
    <row r="432" customFormat="false" ht="15" hidden="false" customHeight="true" outlineLevel="0" collapsed="false">
      <c r="A432" s="19" t="n">
        <v>46286</v>
      </c>
      <c r="B432" s="12" t="n">
        <f aca="false">IF($A432="","",ROW()-4)</f>
        <v>428</v>
      </c>
      <c r="C432" s="12" t="s">
        <v>1438</v>
      </c>
      <c r="D432" s="12" t="s">
        <v>1439</v>
      </c>
      <c r="E432" s="24" t="s">
        <v>134</v>
      </c>
      <c r="F432" s="12"/>
      <c r="G432" s="12" t="str">
        <f aca="false">IFERROR(VLOOKUP($F432,ItemList_Full,2,0),"")</f>
        <v/>
      </c>
      <c r="H432" s="12"/>
      <c r="I432" s="12" t="str">
        <f aca="false">IFERROR(VLOOKUP($F432,ItemList_Full,3,0),"")</f>
        <v/>
      </c>
      <c r="J432" s="12" t="str">
        <f aca="false">IFERROR(VLOOKUP($F432,ItemList_Full,4,0),"")</f>
        <v/>
      </c>
      <c r="K432" s="13" t="n">
        <v>15120</v>
      </c>
      <c r="L432" s="12"/>
      <c r="M432" s="24"/>
      <c r="N432" s="12" t="s">
        <v>229</v>
      </c>
      <c r="O432" s="12"/>
      <c r="P432" s="13" t="n">
        <f aca="false">IF($E432="","",IF(OR($E432="Director Draw",$E432="Payroll/Employee Charge"),0,-$K432))</f>
        <v>-15120</v>
      </c>
      <c r="Q432" s="12" t="n">
        <f aca="false">IF($E432="Inventory Purchase",$H432,0)</f>
        <v>0</v>
      </c>
      <c r="U432" s="1" t="s">
        <v>1440</v>
      </c>
      <c r="V432" s="1" t="s">
        <v>1441</v>
      </c>
      <c r="W432" s="1" t="s">
        <v>246</v>
      </c>
      <c r="X432" s="1" t="n">
        <v>470</v>
      </c>
      <c r="Y432" s="1" t="s">
        <v>128</v>
      </c>
    </row>
    <row r="433" customFormat="false" ht="15" hidden="false" customHeight="true" outlineLevel="0" collapsed="false">
      <c r="A433" s="19" t="n">
        <v>46286</v>
      </c>
      <c r="B433" s="12" t="n">
        <f aca="false">IF($A433="","",ROW()-4)</f>
        <v>429</v>
      </c>
      <c r="C433" s="12" t="s">
        <v>1438</v>
      </c>
      <c r="D433" s="12" t="s">
        <v>1442</v>
      </c>
      <c r="E433" s="24" t="s">
        <v>140</v>
      </c>
      <c r="F433" s="12"/>
      <c r="G433" s="12" t="str">
        <f aca="false">IFERROR(VLOOKUP($F433,ItemList_Full,2,0),"")</f>
        <v/>
      </c>
      <c r="H433" s="12"/>
      <c r="I433" s="12" t="str">
        <f aca="false">IFERROR(VLOOKUP($F433,ItemList_Full,3,0),"")</f>
        <v/>
      </c>
      <c r="J433" s="12" t="str">
        <f aca="false">IFERROR(VLOOKUP($F433,ItemList_Full,4,0),"")</f>
        <v/>
      </c>
      <c r="K433" s="13" t="n">
        <v>39400</v>
      </c>
      <c r="L433" s="12"/>
      <c r="M433" s="24"/>
      <c r="N433" s="12" t="s">
        <v>229</v>
      </c>
      <c r="O433" s="12"/>
      <c r="P433" s="13" t="n">
        <f aca="false">IF($E433="","",IF(OR($E433="Director Draw",$E433="Payroll/Employee Charge"),0,-$K433))</f>
        <v>-39400</v>
      </c>
      <c r="Q433" s="12" t="n">
        <f aca="false">IF($E433="Inventory Purchase",$H433,0)</f>
        <v>0</v>
      </c>
      <c r="U433" s="1" t="s">
        <v>1443</v>
      </c>
      <c r="V433" s="1" t="s">
        <v>1444</v>
      </c>
      <c r="W433" s="1" t="s">
        <v>246</v>
      </c>
      <c r="X433" s="1" t="n">
        <v>377</v>
      </c>
      <c r="Y433" s="1" t="s">
        <v>128</v>
      </c>
    </row>
    <row r="434" customFormat="false" ht="15" hidden="false" customHeight="true" outlineLevel="0" collapsed="false">
      <c r="A434" s="19" t="n">
        <v>46286</v>
      </c>
      <c r="B434" s="12" t="n">
        <f aca="false">IF($A434="","",ROW()-4)</f>
        <v>430</v>
      </c>
      <c r="C434" s="12" t="s">
        <v>1445</v>
      </c>
      <c r="D434" s="12" t="s">
        <v>1446</v>
      </c>
      <c r="E434" s="24" t="s">
        <v>145</v>
      </c>
      <c r="F434" s="12"/>
      <c r="G434" s="12" t="str">
        <f aca="false">IFERROR(VLOOKUP($F434,ItemList_Full,2,0),"")</f>
        <v/>
      </c>
      <c r="H434" s="12"/>
      <c r="I434" s="12" t="str">
        <f aca="false">IFERROR(VLOOKUP($F434,ItemList_Full,3,0),"")</f>
        <v/>
      </c>
      <c r="J434" s="12" t="str">
        <f aca="false">IFERROR(VLOOKUP($F434,ItemList_Full,4,0),"")</f>
        <v/>
      </c>
      <c r="K434" s="13" t="n">
        <v>74568</v>
      </c>
      <c r="L434" s="12"/>
      <c r="M434" s="24"/>
      <c r="N434" s="12" t="s">
        <v>229</v>
      </c>
      <c r="O434" s="12"/>
      <c r="P434" s="13" t="n">
        <f aca="false">IF($E434="","",IF(OR($E434="Director Draw",$E434="Payroll/Employee Charge"),0,-$K434))</f>
        <v>-74568</v>
      </c>
      <c r="Q434" s="12" t="n">
        <f aca="false">IF($E434="Inventory Purchase",$H434,0)</f>
        <v>0</v>
      </c>
      <c r="U434" s="1" t="s">
        <v>1447</v>
      </c>
      <c r="V434" s="1" t="s">
        <v>1448</v>
      </c>
      <c r="W434" s="1" t="s">
        <v>246</v>
      </c>
      <c r="X434" s="1" t="n">
        <v>80</v>
      </c>
      <c r="Y434" s="1" t="s">
        <v>128</v>
      </c>
    </row>
    <row r="435" customFormat="false" ht="15" hidden="false" customHeight="true" outlineLevel="0" collapsed="false">
      <c r="A435" s="19" t="n">
        <v>46286</v>
      </c>
      <c r="B435" s="12" t="n">
        <f aca="false">IF($A435="","",ROW()-4)</f>
        <v>431</v>
      </c>
      <c r="C435" s="12" t="s">
        <v>343</v>
      </c>
      <c r="D435" s="12" t="s">
        <v>347</v>
      </c>
      <c r="E435" s="24" t="s">
        <v>143</v>
      </c>
      <c r="F435" s="12"/>
      <c r="G435" s="12" t="str">
        <f aca="false">IFERROR(VLOOKUP($F435,ItemList_Full,2,0),"")</f>
        <v/>
      </c>
      <c r="H435" s="12"/>
      <c r="I435" s="12" t="str">
        <f aca="false">IFERROR(VLOOKUP($F435,ItemList_Full,3,0),"")</f>
        <v/>
      </c>
      <c r="J435" s="12" t="str">
        <f aca="false">IFERROR(VLOOKUP($F435,ItemList_Full,4,0),"")</f>
        <v/>
      </c>
      <c r="K435" s="13" t="n">
        <v>1000</v>
      </c>
      <c r="L435" s="12"/>
      <c r="M435" s="24"/>
      <c r="N435" s="12" t="s">
        <v>229</v>
      </c>
      <c r="O435" s="12"/>
      <c r="P435" s="13" t="n">
        <f aca="false">IF($E435="","",IF(OR($E435="Director Draw",$E435="Payroll/Employee Charge"),0,-$K435))</f>
        <v>-1000</v>
      </c>
      <c r="Q435" s="12" t="n">
        <f aca="false">IF($E435="Inventory Purchase",$H435,0)</f>
        <v>0</v>
      </c>
      <c r="U435" s="1" t="s">
        <v>1449</v>
      </c>
      <c r="V435" s="1" t="s">
        <v>1450</v>
      </c>
      <c r="W435" s="1" t="s">
        <v>246</v>
      </c>
      <c r="X435" s="1" t="n">
        <v>314</v>
      </c>
      <c r="Y435" s="1" t="s">
        <v>128</v>
      </c>
    </row>
    <row r="436" customFormat="false" ht="15" hidden="false" customHeight="true" outlineLevel="0" collapsed="false">
      <c r="A436" s="19" t="n">
        <v>46286</v>
      </c>
      <c r="B436" s="12" t="n">
        <f aca="false">IF($A436="","",ROW()-4)</f>
        <v>432</v>
      </c>
      <c r="C436" s="12" t="s">
        <v>343</v>
      </c>
      <c r="D436" s="12" t="s">
        <v>459</v>
      </c>
      <c r="E436" s="24" t="s">
        <v>143</v>
      </c>
      <c r="F436" s="12"/>
      <c r="G436" s="12" t="str">
        <f aca="false">IFERROR(VLOOKUP($F436,ItemList_Full,2,0),"")</f>
        <v/>
      </c>
      <c r="H436" s="12"/>
      <c r="I436" s="12" t="str">
        <f aca="false">IFERROR(VLOOKUP($F436,ItemList_Full,3,0),"")</f>
        <v/>
      </c>
      <c r="J436" s="12" t="str">
        <f aca="false">IFERROR(VLOOKUP($F436,ItemList_Full,4,0),"")</f>
        <v/>
      </c>
      <c r="K436" s="13" t="n">
        <v>1645</v>
      </c>
      <c r="L436" s="12"/>
      <c r="M436" s="24"/>
      <c r="N436" s="12" t="s">
        <v>229</v>
      </c>
      <c r="O436" s="12"/>
      <c r="P436" s="13" t="n">
        <f aca="false">IF($E436="","",IF(OR($E436="Director Draw",$E436="Payroll/Employee Charge"),0,-$K436))</f>
        <v>-1645</v>
      </c>
      <c r="Q436" s="12" t="n">
        <f aca="false">IF($E436="Inventory Purchase",$H436,0)</f>
        <v>0</v>
      </c>
      <c r="U436" s="1" t="s">
        <v>1451</v>
      </c>
      <c r="V436" s="1" t="s">
        <v>1452</v>
      </c>
      <c r="W436" s="1" t="s">
        <v>246</v>
      </c>
      <c r="X436" s="1" t="n">
        <v>87.5</v>
      </c>
      <c r="Y436" s="1" t="s">
        <v>128</v>
      </c>
    </row>
    <row r="437" customFormat="false" ht="15" hidden="false" customHeight="true" outlineLevel="0" collapsed="false">
      <c r="A437" s="19" t="n">
        <v>46286</v>
      </c>
      <c r="B437" s="12" t="n">
        <f aca="false">IF($A437="","",ROW()-4)</f>
        <v>433</v>
      </c>
      <c r="C437" s="12" t="s">
        <v>355</v>
      </c>
      <c r="D437" s="12" t="s">
        <v>967</v>
      </c>
      <c r="E437" s="24" t="s">
        <v>143</v>
      </c>
      <c r="F437" s="12"/>
      <c r="G437" s="12" t="str">
        <f aca="false">IFERROR(VLOOKUP($F437,ItemList_Full,2,0),"")</f>
        <v/>
      </c>
      <c r="H437" s="12"/>
      <c r="I437" s="12" t="str">
        <f aca="false">IFERROR(VLOOKUP($F437,ItemList_Full,3,0),"")</f>
        <v/>
      </c>
      <c r="J437" s="12" t="str">
        <f aca="false">IFERROR(VLOOKUP($F437,ItemList_Full,4,0),"")</f>
        <v/>
      </c>
      <c r="K437" s="13" t="n">
        <v>1990</v>
      </c>
      <c r="L437" s="12"/>
      <c r="M437" s="24"/>
      <c r="N437" s="12" t="s">
        <v>229</v>
      </c>
      <c r="O437" s="12"/>
      <c r="P437" s="13" t="n">
        <f aca="false">IF($E437="","",IF(OR($E437="Director Draw",$E437="Payroll/Employee Charge"),0,-$K437))</f>
        <v>-1990</v>
      </c>
      <c r="Q437" s="12" t="n">
        <f aca="false">IF($E437="Inventory Purchase",$H437,0)</f>
        <v>0</v>
      </c>
      <c r="U437" s="1" t="s">
        <v>1453</v>
      </c>
      <c r="V437" s="1" t="s">
        <v>1454</v>
      </c>
      <c r="W437" s="1" t="s">
        <v>246</v>
      </c>
      <c r="X437" s="1" t="n">
        <v>1250</v>
      </c>
      <c r="Y437" s="1" t="s">
        <v>128</v>
      </c>
    </row>
    <row r="438" customFormat="false" ht="15" hidden="false" customHeight="true" outlineLevel="0" collapsed="false">
      <c r="A438" s="19" t="n">
        <v>46286</v>
      </c>
      <c r="B438" s="12" t="n">
        <f aca="false">IF($A438="","",ROW()-4)</f>
        <v>434</v>
      </c>
      <c r="C438" s="12" t="s">
        <v>876</v>
      </c>
      <c r="D438" s="12" t="s">
        <v>877</v>
      </c>
      <c r="E438" s="24" t="s">
        <v>143</v>
      </c>
      <c r="F438" s="12"/>
      <c r="G438" s="12" t="str">
        <f aca="false">IFERROR(VLOOKUP($F438,ItemList_Full,2,0),"")</f>
        <v/>
      </c>
      <c r="H438" s="12"/>
      <c r="I438" s="12" t="str">
        <f aca="false">IFERROR(VLOOKUP($F438,ItemList_Full,3,0),"")</f>
        <v/>
      </c>
      <c r="J438" s="12" t="str">
        <f aca="false">IFERROR(VLOOKUP($F438,ItemList_Full,4,0),"")</f>
        <v/>
      </c>
      <c r="K438" s="13" t="n">
        <v>2320</v>
      </c>
      <c r="L438" s="12"/>
      <c r="M438" s="24"/>
      <c r="N438" s="12" t="s">
        <v>229</v>
      </c>
      <c r="O438" s="12"/>
      <c r="P438" s="13" t="n">
        <f aca="false">IF($E438="","",IF(OR($E438="Director Draw",$E438="Payroll/Employee Charge"),0,-$K438))</f>
        <v>-2320</v>
      </c>
      <c r="Q438" s="12" t="n">
        <f aca="false">IF($E438="Inventory Purchase",$H438,0)</f>
        <v>0</v>
      </c>
      <c r="U438" s="1" t="s">
        <v>1455</v>
      </c>
      <c r="V438" s="1" t="s">
        <v>1456</v>
      </c>
      <c r="W438" s="1" t="s">
        <v>246</v>
      </c>
      <c r="X438" s="1" t="n">
        <v>350</v>
      </c>
      <c r="Y438" s="1" t="s">
        <v>128</v>
      </c>
    </row>
    <row r="439" customFormat="false" ht="15" hidden="false" customHeight="true" outlineLevel="0" collapsed="false">
      <c r="A439" s="19" t="n">
        <v>46286</v>
      </c>
      <c r="B439" s="12" t="n">
        <f aca="false">IF($A439="","",ROW()-4)</f>
        <v>435</v>
      </c>
      <c r="C439" s="12" t="s">
        <v>361</v>
      </c>
      <c r="D439" s="12" t="s">
        <v>1457</v>
      </c>
      <c r="E439" s="24" t="s">
        <v>149</v>
      </c>
      <c r="F439" s="12"/>
      <c r="G439" s="12" t="str">
        <f aca="false">IFERROR(VLOOKUP($F439,ItemList_Full,2,0),"")</f>
        <v/>
      </c>
      <c r="H439" s="12"/>
      <c r="I439" s="12" t="str">
        <f aca="false">IFERROR(VLOOKUP($F439,ItemList_Full,3,0),"")</f>
        <v/>
      </c>
      <c r="J439" s="12" t="str">
        <f aca="false">IFERROR(VLOOKUP($F439,ItemList_Full,4,0),"")</f>
        <v/>
      </c>
      <c r="K439" s="13" t="n">
        <v>1715</v>
      </c>
      <c r="L439" s="12"/>
      <c r="M439" s="24"/>
      <c r="N439" s="12" t="s">
        <v>229</v>
      </c>
      <c r="O439" s="12"/>
      <c r="P439" s="13" t="n">
        <f aca="false">IF($E439="","",IF(OR($E439="Director Draw",$E439="Payroll/Employee Charge"),0,-$K439))</f>
        <v>-1715</v>
      </c>
      <c r="Q439" s="12" t="n">
        <f aca="false">IF($E439="Inventory Purchase",$H439,0)</f>
        <v>0</v>
      </c>
      <c r="U439" s="1" t="s">
        <v>1458</v>
      </c>
      <c r="V439" s="1" t="s">
        <v>1459</v>
      </c>
      <c r="W439" s="1" t="s">
        <v>246</v>
      </c>
      <c r="X439" s="1" t="n">
        <v>850</v>
      </c>
      <c r="Y439" s="1" t="s">
        <v>128</v>
      </c>
    </row>
    <row r="440" customFormat="false" ht="15" hidden="false" customHeight="true" outlineLevel="0" collapsed="false">
      <c r="A440" s="19" t="n">
        <v>46286</v>
      </c>
      <c r="B440" s="12" t="n">
        <f aca="false">IF($A440="","",ROW()-4)</f>
        <v>436</v>
      </c>
      <c r="C440" s="12" t="s">
        <v>361</v>
      </c>
      <c r="D440" s="12" t="s">
        <v>1460</v>
      </c>
      <c r="E440" s="24" t="s">
        <v>149</v>
      </c>
      <c r="F440" s="12"/>
      <c r="G440" s="12" t="str">
        <f aca="false">IFERROR(VLOOKUP($F440,ItemList_Full,2,0),"")</f>
        <v/>
      </c>
      <c r="H440" s="12"/>
      <c r="I440" s="12" t="str">
        <f aca="false">IFERROR(VLOOKUP($F440,ItemList_Full,3,0),"")</f>
        <v/>
      </c>
      <c r="J440" s="12" t="str">
        <f aca="false">IFERROR(VLOOKUP($F440,ItemList_Full,4,0),"")</f>
        <v/>
      </c>
      <c r="K440" s="13" t="n">
        <v>95</v>
      </c>
      <c r="L440" s="12"/>
      <c r="M440" s="24"/>
      <c r="N440" s="12" t="s">
        <v>229</v>
      </c>
      <c r="O440" s="12"/>
      <c r="P440" s="13" t="n">
        <f aca="false">IF($E440="","",IF(OR($E440="Director Draw",$E440="Payroll/Employee Charge"),0,-$K440))</f>
        <v>-95</v>
      </c>
      <c r="Q440" s="12" t="n">
        <f aca="false">IF($E440="Inventory Purchase",$H440,0)</f>
        <v>0</v>
      </c>
      <c r="U440" s="1" t="s">
        <v>1461</v>
      </c>
      <c r="V440" s="1" t="s">
        <v>1462</v>
      </c>
      <c r="W440" s="1" t="s">
        <v>246</v>
      </c>
      <c r="X440" s="1" t="n">
        <v>1150</v>
      </c>
      <c r="Y440" s="1" t="s">
        <v>128</v>
      </c>
    </row>
    <row r="441" customFormat="false" ht="15" hidden="false" customHeight="true" outlineLevel="0" collapsed="false">
      <c r="A441" s="19" t="n">
        <v>46286</v>
      </c>
      <c r="B441" s="12" t="n">
        <f aca="false">IF($A441="","",ROW()-4)</f>
        <v>437</v>
      </c>
      <c r="C441" s="12" t="s">
        <v>361</v>
      </c>
      <c r="D441" s="12" t="s">
        <v>1463</v>
      </c>
      <c r="E441" s="24" t="s">
        <v>149</v>
      </c>
      <c r="F441" s="12"/>
      <c r="G441" s="12" t="str">
        <f aca="false">IFERROR(VLOOKUP($F441,ItemList_Full,2,0),"")</f>
        <v/>
      </c>
      <c r="H441" s="12"/>
      <c r="I441" s="12" t="str">
        <f aca="false">IFERROR(VLOOKUP($F441,ItemList_Full,3,0),"")</f>
        <v/>
      </c>
      <c r="J441" s="12" t="str">
        <f aca="false">IFERROR(VLOOKUP($F441,ItemList_Full,4,0),"")</f>
        <v/>
      </c>
      <c r="K441" s="13" t="n">
        <v>815</v>
      </c>
      <c r="L441" s="12"/>
      <c r="M441" s="24"/>
      <c r="N441" s="12" t="s">
        <v>229</v>
      </c>
      <c r="O441" s="12"/>
      <c r="P441" s="13" t="n">
        <f aca="false">IF($E441="","",IF(OR($E441="Director Draw",$E441="Payroll/Employee Charge"),0,-$K441))</f>
        <v>-815</v>
      </c>
      <c r="Q441" s="12" t="n">
        <f aca="false">IF($E441="Inventory Purchase",$H441,0)</f>
        <v>0</v>
      </c>
      <c r="U441" s="1" t="s">
        <v>1464</v>
      </c>
      <c r="V441" s="1" t="s">
        <v>1465</v>
      </c>
      <c r="W441" s="1" t="s">
        <v>246</v>
      </c>
      <c r="X441" s="1" t="n">
        <v>1050</v>
      </c>
      <c r="Y441" s="1" t="s">
        <v>128</v>
      </c>
    </row>
    <row r="442" customFormat="false" ht="15" hidden="false" customHeight="true" outlineLevel="0" collapsed="false">
      <c r="A442" s="19" t="n">
        <v>46286</v>
      </c>
      <c r="B442" s="12" t="n">
        <f aca="false">IF($A442="","",ROW()-4)</f>
        <v>438</v>
      </c>
      <c r="C442" s="12" t="s">
        <v>295</v>
      </c>
      <c r="D442" s="12" t="s">
        <v>1466</v>
      </c>
      <c r="E442" s="24" t="s">
        <v>150</v>
      </c>
      <c r="F442" s="12"/>
      <c r="G442" s="12" t="str">
        <f aca="false">IFERROR(VLOOKUP($F442,ItemList_Full,2,0),"")</f>
        <v/>
      </c>
      <c r="H442" s="12"/>
      <c r="I442" s="12" t="str">
        <f aca="false">IFERROR(VLOOKUP($F442,ItemList_Full,3,0),"")</f>
        <v/>
      </c>
      <c r="J442" s="12" t="str">
        <f aca="false">IFERROR(VLOOKUP($F442,ItemList_Full,4,0),"")</f>
        <v/>
      </c>
      <c r="K442" s="13" t="n">
        <v>250</v>
      </c>
      <c r="L442" s="12"/>
      <c r="M442" s="24"/>
      <c r="N442" s="12" t="s">
        <v>229</v>
      </c>
      <c r="O442" s="12"/>
      <c r="P442" s="13" t="n">
        <f aca="false">IF($E442="","",IF(OR($E442="Director Draw",$E442="Payroll/Employee Charge"),0,-$K442))</f>
        <v>-250</v>
      </c>
      <c r="Q442" s="12" t="n">
        <f aca="false">IF($E442="Inventory Purchase",$H442,0)</f>
        <v>0</v>
      </c>
      <c r="U442" s="1" t="s">
        <v>1467</v>
      </c>
      <c r="V442" s="1" t="s">
        <v>1468</v>
      </c>
      <c r="W442" s="1" t="s">
        <v>246</v>
      </c>
      <c r="X442" s="1" t="n">
        <v>280</v>
      </c>
      <c r="Y442" s="1" t="s">
        <v>128</v>
      </c>
    </row>
    <row r="443" customFormat="false" ht="15" hidden="false" customHeight="true" outlineLevel="0" collapsed="false">
      <c r="A443" s="19" t="n">
        <v>46286</v>
      </c>
      <c r="B443" s="12" t="n">
        <f aca="false">IF($A443="","",ROW()-4)</f>
        <v>439</v>
      </c>
      <c r="C443" s="12" t="s">
        <v>480</v>
      </c>
      <c r="D443" s="12" t="s">
        <v>1469</v>
      </c>
      <c r="E443" s="24" t="s">
        <v>150</v>
      </c>
      <c r="F443" s="12"/>
      <c r="G443" s="12" t="str">
        <f aca="false">IFERROR(VLOOKUP($F443,ItemList_Full,2,0),"")</f>
        <v/>
      </c>
      <c r="H443" s="12"/>
      <c r="I443" s="12" t="str">
        <f aca="false">IFERROR(VLOOKUP($F443,ItemList_Full,3,0),"")</f>
        <v/>
      </c>
      <c r="J443" s="12" t="str">
        <f aca="false">IFERROR(VLOOKUP($F443,ItemList_Full,4,0),"")</f>
        <v/>
      </c>
      <c r="K443" s="13" t="n">
        <v>575</v>
      </c>
      <c r="L443" s="12"/>
      <c r="M443" s="24"/>
      <c r="N443" s="12" t="s">
        <v>229</v>
      </c>
      <c r="O443" s="12"/>
      <c r="P443" s="13" t="n">
        <f aca="false">IF($E443="","",IF(OR($E443="Director Draw",$E443="Payroll/Employee Charge"),0,-$K443))</f>
        <v>-575</v>
      </c>
      <c r="Q443" s="12" t="n">
        <f aca="false">IF($E443="Inventory Purchase",$H443,0)</f>
        <v>0</v>
      </c>
      <c r="U443" s="1" t="s">
        <v>1470</v>
      </c>
      <c r="V443" s="1" t="s">
        <v>1471</v>
      </c>
      <c r="W443" s="1" t="s">
        <v>246</v>
      </c>
      <c r="X443" s="1" t="n">
        <v>521.42</v>
      </c>
      <c r="Y443" s="1" t="s">
        <v>128</v>
      </c>
    </row>
    <row r="444" customFormat="false" ht="15" hidden="false" customHeight="true" outlineLevel="0" collapsed="false">
      <c r="A444" s="19" t="n">
        <v>46286</v>
      </c>
      <c r="B444" s="12" t="n">
        <f aca="false">IF($A444="","",ROW()-4)</f>
        <v>440</v>
      </c>
      <c r="C444" s="12" t="s">
        <v>480</v>
      </c>
      <c r="D444" s="12" t="s">
        <v>1472</v>
      </c>
      <c r="E444" s="24" t="s">
        <v>150</v>
      </c>
      <c r="F444" s="12"/>
      <c r="G444" s="12" t="str">
        <f aca="false">IFERROR(VLOOKUP($F444,ItemList_Full,2,0),"")</f>
        <v/>
      </c>
      <c r="H444" s="12"/>
      <c r="I444" s="12" t="str">
        <f aca="false">IFERROR(VLOOKUP($F444,ItemList_Full,3,0),"")</f>
        <v/>
      </c>
      <c r="J444" s="12" t="str">
        <f aca="false">IFERROR(VLOOKUP($F444,ItemList_Full,4,0),"")</f>
        <v/>
      </c>
      <c r="K444" s="13" t="n">
        <v>1890</v>
      </c>
      <c r="L444" s="12"/>
      <c r="M444" s="24"/>
      <c r="N444" s="12" t="s">
        <v>229</v>
      </c>
      <c r="O444" s="12"/>
      <c r="P444" s="13" t="n">
        <f aca="false">IF($E444="","",IF(OR($E444="Director Draw",$E444="Payroll/Employee Charge"),0,-$K444))</f>
        <v>-1890</v>
      </c>
      <c r="Q444" s="12" t="n">
        <f aca="false">IF($E444="Inventory Purchase",$H444,0)</f>
        <v>0</v>
      </c>
      <c r="U444" s="1" t="s">
        <v>1473</v>
      </c>
      <c r="V444" s="1" t="s">
        <v>1474</v>
      </c>
      <c r="W444" s="1" t="s">
        <v>246</v>
      </c>
      <c r="X444" s="1" t="n">
        <v>900</v>
      </c>
      <c r="Y444" s="1" t="s">
        <v>128</v>
      </c>
    </row>
    <row r="445" customFormat="false" ht="15" hidden="false" customHeight="true" outlineLevel="0" collapsed="false">
      <c r="A445" s="19" t="n">
        <v>46286</v>
      </c>
      <c r="B445" s="12" t="n">
        <f aca="false">IF($A445="","",ROW()-4)</f>
        <v>441</v>
      </c>
      <c r="C445" s="12" t="s">
        <v>295</v>
      </c>
      <c r="D445" s="12" t="s">
        <v>1475</v>
      </c>
      <c r="E445" s="24" t="s">
        <v>150</v>
      </c>
      <c r="F445" s="12"/>
      <c r="G445" s="12" t="str">
        <f aca="false">IFERROR(VLOOKUP($F445,ItemList_Full,2,0),"")</f>
        <v/>
      </c>
      <c r="H445" s="12"/>
      <c r="I445" s="12" t="str">
        <f aca="false">IFERROR(VLOOKUP($F445,ItemList_Full,3,0),"")</f>
        <v/>
      </c>
      <c r="J445" s="12" t="str">
        <f aca="false">IFERROR(VLOOKUP($F445,ItemList_Full,4,0),"")</f>
        <v/>
      </c>
      <c r="K445" s="13" t="n">
        <v>1890</v>
      </c>
      <c r="L445" s="12"/>
      <c r="M445" s="24"/>
      <c r="N445" s="12" t="s">
        <v>229</v>
      </c>
      <c r="O445" s="12"/>
      <c r="P445" s="13" t="n">
        <f aca="false">IF($E445="","",IF(OR($E445="Director Draw",$E445="Payroll/Employee Charge"),0,-$K445))</f>
        <v>-1890</v>
      </c>
      <c r="Q445" s="12" t="n">
        <f aca="false">IF($E445="Inventory Purchase",$H445,0)</f>
        <v>0</v>
      </c>
      <c r="U445" s="1" t="s">
        <v>1476</v>
      </c>
      <c r="V445" s="1" t="s">
        <v>1477</v>
      </c>
      <c r="W445" s="1" t="s">
        <v>246</v>
      </c>
      <c r="X445" s="1" t="n">
        <v>300</v>
      </c>
      <c r="Y445" s="1" t="s">
        <v>128</v>
      </c>
    </row>
    <row r="446" customFormat="false" ht="15" hidden="false" customHeight="true" outlineLevel="0" collapsed="false">
      <c r="A446" s="19" t="n">
        <v>46286</v>
      </c>
      <c r="B446" s="12" t="n">
        <f aca="false">IF($A446="","",ROW()-4)</f>
        <v>442</v>
      </c>
      <c r="C446" s="12" t="s">
        <v>1393</v>
      </c>
      <c r="D446" s="12" t="s">
        <v>1478</v>
      </c>
      <c r="E446" s="24" t="s">
        <v>135</v>
      </c>
      <c r="F446" s="12"/>
      <c r="G446" s="12" t="str">
        <f aca="false">IFERROR(VLOOKUP($F446,ItemList_Full,2,0),"")</f>
        <v/>
      </c>
      <c r="H446" s="12"/>
      <c r="I446" s="12" t="str">
        <f aca="false">IFERROR(VLOOKUP($F446,ItemList_Full,3,0),"")</f>
        <v/>
      </c>
      <c r="J446" s="12" t="str">
        <f aca="false">IFERROR(VLOOKUP($F446,ItemList_Full,4,0),"")</f>
        <v/>
      </c>
      <c r="K446" s="13" t="n">
        <v>6000</v>
      </c>
      <c r="L446" s="12"/>
      <c r="M446" s="24"/>
      <c r="N446" s="12" t="s">
        <v>229</v>
      </c>
      <c r="O446" s="12"/>
      <c r="P446" s="13" t="n">
        <f aca="false">IF($E446="","",IF(OR($E446="Director Draw",$E446="Payroll/Employee Charge"),0,-$K446))</f>
        <v>-6000</v>
      </c>
      <c r="Q446" s="12" t="n">
        <f aca="false">IF($E446="Inventory Purchase",$H446,0)</f>
        <v>0</v>
      </c>
      <c r="U446" s="1" t="s">
        <v>1479</v>
      </c>
      <c r="V446" s="1" t="s">
        <v>1480</v>
      </c>
      <c r="W446" s="1" t="s">
        <v>246</v>
      </c>
      <c r="X446" s="1" t="n">
        <v>200</v>
      </c>
      <c r="Y446" s="1" t="s">
        <v>128</v>
      </c>
    </row>
    <row r="447" customFormat="false" ht="15" hidden="false" customHeight="true" outlineLevel="0" collapsed="false">
      <c r="A447" s="19" t="n">
        <v>46286</v>
      </c>
      <c r="B447" s="12" t="n">
        <f aca="false">IF($A447="","",ROW()-4)</f>
        <v>443</v>
      </c>
      <c r="C447" s="12" t="s">
        <v>832</v>
      </c>
      <c r="D447" s="12" t="s">
        <v>1481</v>
      </c>
      <c r="E447" s="24" t="s">
        <v>135</v>
      </c>
      <c r="F447" s="12"/>
      <c r="G447" s="12" t="str">
        <f aca="false">IFERROR(VLOOKUP($F447,ItemList_Full,2,0),"")</f>
        <v/>
      </c>
      <c r="H447" s="12"/>
      <c r="I447" s="12" t="str">
        <f aca="false">IFERROR(VLOOKUP($F447,ItemList_Full,3,0),"")</f>
        <v/>
      </c>
      <c r="J447" s="12" t="str">
        <f aca="false">IFERROR(VLOOKUP($F447,ItemList_Full,4,0),"")</f>
        <v/>
      </c>
      <c r="K447" s="13" t="n">
        <v>106560</v>
      </c>
      <c r="L447" s="12"/>
      <c r="M447" s="24"/>
      <c r="N447" s="12" t="s">
        <v>229</v>
      </c>
      <c r="O447" s="12"/>
      <c r="P447" s="13" t="n">
        <f aca="false">IF($E447="","",IF(OR($E447="Director Draw",$E447="Payroll/Employee Charge"),0,-$K447))</f>
        <v>-106560</v>
      </c>
      <c r="Q447" s="12" t="n">
        <f aca="false">IF($E447="Inventory Purchase",$H447,0)</f>
        <v>0</v>
      </c>
      <c r="U447" s="1" t="s">
        <v>1482</v>
      </c>
      <c r="V447" s="1" t="s">
        <v>1483</v>
      </c>
      <c r="W447" s="1" t="s">
        <v>246</v>
      </c>
      <c r="X447" s="1" t="n">
        <v>200</v>
      </c>
      <c r="Y447" s="1" t="s">
        <v>128</v>
      </c>
    </row>
    <row r="448" customFormat="false" ht="15" hidden="false" customHeight="true" outlineLevel="0" collapsed="false">
      <c r="A448" s="19" t="n">
        <v>46287</v>
      </c>
      <c r="B448" s="12" t="n">
        <f aca="false">IF($A448="","",ROW()-4)</f>
        <v>444</v>
      </c>
      <c r="C448" s="12" t="s">
        <v>225</v>
      </c>
      <c r="D448" s="12" t="s">
        <v>1484</v>
      </c>
      <c r="E448" s="24" t="s">
        <v>227</v>
      </c>
      <c r="F448" s="12"/>
      <c r="G448" s="12" t="str">
        <f aca="false">IFERROR(VLOOKUP($F448,ItemList_Full,2,0),"")</f>
        <v/>
      </c>
      <c r="H448" s="12"/>
      <c r="I448" s="12" t="str">
        <f aca="false">IFERROR(VLOOKUP($F448,ItemList_Full,3,0),"")</f>
        <v/>
      </c>
      <c r="J448" s="12" t="str">
        <f aca="false">IFERROR(VLOOKUP($F448,ItemList_Full,4,0),"")</f>
        <v/>
      </c>
      <c r="K448" s="13" t="n">
        <v>2600</v>
      </c>
      <c r="L448" s="12"/>
      <c r="M448" s="24" t="s">
        <v>228</v>
      </c>
      <c r="N448" s="12" t="s">
        <v>229</v>
      </c>
      <c r="O448" s="12"/>
      <c r="P448" s="13" t="n">
        <f aca="false">IF($E448="","",IF(OR($E448="Director Draw",$E448="Payroll/Employee Charge"),0,-$K448))</f>
        <v>0</v>
      </c>
      <c r="Q448" s="12" t="n">
        <f aca="false">IF($E448="Inventory Purchase",$H448,0)</f>
        <v>0</v>
      </c>
      <c r="U448" s="1" t="s">
        <v>1485</v>
      </c>
      <c r="V448" s="1" t="s">
        <v>1486</v>
      </c>
      <c r="W448" s="1" t="s">
        <v>246</v>
      </c>
      <c r="X448" s="1" t="n">
        <v>250</v>
      </c>
      <c r="Y448" s="1" t="s">
        <v>128</v>
      </c>
    </row>
    <row r="449" customFormat="false" ht="15" hidden="false" customHeight="true" outlineLevel="0" collapsed="false">
      <c r="A449" s="19" t="n">
        <v>46287</v>
      </c>
      <c r="B449" s="12" t="n">
        <f aca="false">IF($A449="","",ROW()-4)</f>
        <v>445</v>
      </c>
      <c r="C449" s="12" t="s">
        <v>225</v>
      </c>
      <c r="D449" s="12" t="s">
        <v>671</v>
      </c>
      <c r="E449" s="24" t="s">
        <v>227</v>
      </c>
      <c r="F449" s="12"/>
      <c r="G449" s="12" t="str">
        <f aca="false">IFERROR(VLOOKUP($F449,ItemList_Full,2,0),"")</f>
        <v/>
      </c>
      <c r="H449" s="12"/>
      <c r="I449" s="12" t="str">
        <f aca="false">IFERROR(VLOOKUP($F449,ItemList_Full,3,0),"")</f>
        <v/>
      </c>
      <c r="J449" s="12" t="str">
        <f aca="false">IFERROR(VLOOKUP($F449,ItemList_Full,4,0),"")</f>
        <v/>
      </c>
      <c r="K449" s="13" t="n">
        <v>460</v>
      </c>
      <c r="L449" s="12"/>
      <c r="M449" s="24" t="s">
        <v>234</v>
      </c>
      <c r="N449" s="12" t="s">
        <v>229</v>
      </c>
      <c r="O449" s="12"/>
      <c r="P449" s="13" t="n">
        <f aca="false">IF($E449="","",IF(OR($E449="Director Draw",$E449="Payroll/Employee Charge"),0,-$K449))</f>
        <v>0</v>
      </c>
      <c r="Q449" s="12" t="n">
        <f aca="false">IF($E449="Inventory Purchase",$H449,0)</f>
        <v>0</v>
      </c>
      <c r="U449" s="1" t="s">
        <v>1487</v>
      </c>
      <c r="V449" s="1" t="s">
        <v>1488</v>
      </c>
      <c r="W449" s="1" t="s">
        <v>246</v>
      </c>
      <c r="X449" s="1" t="n">
        <v>950</v>
      </c>
      <c r="Y449" s="1" t="s">
        <v>128</v>
      </c>
    </row>
    <row r="450" customFormat="false" ht="15" hidden="false" customHeight="true" outlineLevel="0" collapsed="false">
      <c r="A450" s="19" t="n">
        <v>46287</v>
      </c>
      <c r="B450" s="12" t="n">
        <f aca="false">IF($A450="","",ROW()-4)</f>
        <v>446</v>
      </c>
      <c r="C450" s="12" t="s">
        <v>247</v>
      </c>
      <c r="D450" s="12" t="s">
        <v>248</v>
      </c>
      <c r="E450" s="24" t="s">
        <v>153</v>
      </c>
      <c r="F450" s="12"/>
      <c r="G450" s="12" t="str">
        <f aca="false">IFERROR(VLOOKUP($F450,ItemList_Full,2,0),"")</f>
        <v/>
      </c>
      <c r="H450" s="12"/>
      <c r="I450" s="12" t="str">
        <f aca="false">IFERROR(VLOOKUP($F450,ItemList_Full,3,0),"")</f>
        <v/>
      </c>
      <c r="J450" s="12" t="str">
        <f aca="false">IFERROR(VLOOKUP($F450,ItemList_Full,4,0),"")</f>
        <v/>
      </c>
      <c r="K450" s="13" t="n">
        <v>4626</v>
      </c>
      <c r="L450" s="12"/>
      <c r="M450" s="24"/>
      <c r="N450" s="12" t="s">
        <v>229</v>
      </c>
      <c r="O450" s="12"/>
      <c r="P450" s="13" t="n">
        <f aca="false">IF($E450="","",IF(OR($E450="Director Draw",$E450="Payroll/Employee Charge"),0,-$K450))</f>
        <v>-4626</v>
      </c>
      <c r="Q450" s="12" t="n">
        <f aca="false">IF($E450="Inventory Purchase",$H450,0)</f>
        <v>0</v>
      </c>
      <c r="U450" s="1" t="s">
        <v>1489</v>
      </c>
      <c r="V450" s="1" t="s">
        <v>1490</v>
      </c>
      <c r="W450" s="1" t="s">
        <v>246</v>
      </c>
      <c r="X450" s="1" t="n">
        <v>750</v>
      </c>
      <c r="Y450" s="1" t="s">
        <v>128</v>
      </c>
    </row>
    <row r="451" customFormat="false" ht="15" hidden="false" customHeight="true" outlineLevel="0" collapsed="false">
      <c r="A451" s="19" t="n">
        <v>46287</v>
      </c>
      <c r="B451" s="12" t="n">
        <f aca="false">IF($A451="","",ROW()-4)</f>
        <v>447</v>
      </c>
      <c r="C451" s="12" t="s">
        <v>255</v>
      </c>
      <c r="D451" s="12" t="s">
        <v>542</v>
      </c>
      <c r="E451" s="24" t="s">
        <v>139</v>
      </c>
      <c r="F451" s="12"/>
      <c r="G451" s="12" t="str">
        <f aca="false">IFERROR(VLOOKUP($F451,ItemList_Full,2,0),"")</f>
        <v/>
      </c>
      <c r="H451" s="12"/>
      <c r="I451" s="12" t="str">
        <f aca="false">IFERROR(VLOOKUP($F451,ItemList_Full,3,0),"")</f>
        <v/>
      </c>
      <c r="J451" s="12" t="str">
        <f aca="false">IFERROR(VLOOKUP($F451,ItemList_Full,4,0),"")</f>
        <v/>
      </c>
      <c r="K451" s="13" t="n">
        <v>900</v>
      </c>
      <c r="L451" s="12"/>
      <c r="M451" s="24"/>
      <c r="N451" s="12" t="s">
        <v>229</v>
      </c>
      <c r="O451" s="12"/>
      <c r="P451" s="13" t="n">
        <f aca="false">IF($E451="","",IF(OR($E451="Director Draw",$E451="Payroll/Employee Charge"),0,-$K451))</f>
        <v>-900</v>
      </c>
      <c r="Q451" s="12" t="n">
        <f aca="false">IF($E451="Inventory Purchase",$H451,0)</f>
        <v>0</v>
      </c>
      <c r="U451" s="1" t="s">
        <v>1491</v>
      </c>
      <c r="V451" s="1" t="s">
        <v>1492</v>
      </c>
      <c r="W451" s="1" t="s">
        <v>246</v>
      </c>
      <c r="X451" s="1" t="n">
        <v>12.6</v>
      </c>
      <c r="Y451" s="1" t="s">
        <v>128</v>
      </c>
    </row>
    <row r="452" customFormat="false" ht="15" hidden="false" customHeight="true" outlineLevel="0" collapsed="false">
      <c r="A452" s="19" t="n">
        <v>46287</v>
      </c>
      <c r="B452" s="12" t="n">
        <f aca="false">IF($A452="","",ROW()-4)</f>
        <v>448</v>
      </c>
      <c r="C452" s="12" t="s">
        <v>449</v>
      </c>
      <c r="D452" s="12" t="s">
        <v>846</v>
      </c>
      <c r="E452" s="24" t="s">
        <v>139</v>
      </c>
      <c r="F452" s="12"/>
      <c r="G452" s="12" t="str">
        <f aca="false">IFERROR(VLOOKUP($F452,ItemList_Full,2,0),"")</f>
        <v/>
      </c>
      <c r="H452" s="12"/>
      <c r="I452" s="12" t="str">
        <f aca="false">IFERROR(VLOOKUP($F452,ItemList_Full,3,0),"")</f>
        <v/>
      </c>
      <c r="J452" s="12" t="str">
        <f aca="false">IFERROR(VLOOKUP($F452,ItemList_Full,4,0),"")</f>
        <v/>
      </c>
      <c r="K452" s="13" t="n">
        <v>4000</v>
      </c>
      <c r="L452" s="12"/>
      <c r="M452" s="24"/>
      <c r="N452" s="12" t="s">
        <v>229</v>
      </c>
      <c r="O452" s="12"/>
      <c r="P452" s="13" t="n">
        <f aca="false">IF($E452="","",IF(OR($E452="Director Draw",$E452="Payroll/Employee Charge"),0,-$K452))</f>
        <v>-4000</v>
      </c>
      <c r="Q452" s="12" t="n">
        <f aca="false">IF($E452="Inventory Purchase",$H452,0)</f>
        <v>0</v>
      </c>
      <c r="U452" s="1" t="s">
        <v>1493</v>
      </c>
      <c r="V452" s="1" t="s">
        <v>1494</v>
      </c>
      <c r="W452" s="1" t="s">
        <v>246</v>
      </c>
      <c r="X452" s="1" t="n">
        <v>2300</v>
      </c>
      <c r="Y452" s="1" t="s">
        <v>128</v>
      </c>
    </row>
    <row r="453" customFormat="false" ht="15" hidden="false" customHeight="true" outlineLevel="0" collapsed="false">
      <c r="A453" s="19" t="n">
        <v>46287</v>
      </c>
      <c r="B453" s="12" t="n">
        <f aca="false">IF($A453="","",ROW()-4)</f>
        <v>449</v>
      </c>
      <c r="C453" s="12" t="s">
        <v>445</v>
      </c>
      <c r="D453" s="12" t="s">
        <v>819</v>
      </c>
      <c r="E453" s="24" t="s">
        <v>139</v>
      </c>
      <c r="F453" s="12"/>
      <c r="G453" s="12" t="str">
        <f aca="false">IFERROR(VLOOKUP($F453,ItemList_Full,2,0),"")</f>
        <v/>
      </c>
      <c r="H453" s="12"/>
      <c r="I453" s="12" t="str">
        <f aca="false">IFERROR(VLOOKUP($F453,ItemList_Full,3,0),"")</f>
        <v/>
      </c>
      <c r="J453" s="12" t="str">
        <f aca="false">IFERROR(VLOOKUP($F453,ItemList_Full,4,0),"")</f>
        <v/>
      </c>
      <c r="K453" s="13" t="n">
        <v>2310</v>
      </c>
      <c r="L453" s="12"/>
      <c r="M453" s="24"/>
      <c r="N453" s="12" t="s">
        <v>229</v>
      </c>
      <c r="O453" s="12"/>
      <c r="P453" s="13" t="n">
        <f aca="false">IF($E453="","",IF(OR($E453="Director Draw",$E453="Payroll/Employee Charge"),0,-$K453))</f>
        <v>-2310</v>
      </c>
      <c r="Q453" s="12" t="n">
        <f aca="false">IF($E453="Inventory Purchase",$H453,0)</f>
        <v>0</v>
      </c>
      <c r="U453" s="1" t="s">
        <v>1495</v>
      </c>
      <c r="V453" s="1" t="s">
        <v>1496</v>
      </c>
      <c r="W453" s="1" t="s">
        <v>246</v>
      </c>
      <c r="X453" s="1" t="n">
        <v>140</v>
      </c>
      <c r="Y453" s="1" t="s">
        <v>128</v>
      </c>
    </row>
    <row r="454" customFormat="false" ht="15" hidden="false" customHeight="true" outlineLevel="0" collapsed="false">
      <c r="A454" s="19" t="n">
        <v>46287</v>
      </c>
      <c r="B454" s="12" t="n">
        <f aca="false">IF($A454="","",ROW()-4)</f>
        <v>450</v>
      </c>
      <c r="C454" s="12" t="s">
        <v>675</v>
      </c>
      <c r="D454" s="12" t="s">
        <v>879</v>
      </c>
      <c r="E454" s="24" t="s">
        <v>139</v>
      </c>
      <c r="F454" s="12"/>
      <c r="G454" s="12" t="str">
        <f aca="false">IFERROR(VLOOKUP($F454,ItemList_Full,2,0),"")</f>
        <v/>
      </c>
      <c r="H454" s="12"/>
      <c r="I454" s="12" t="str">
        <f aca="false">IFERROR(VLOOKUP($F454,ItemList_Full,3,0),"")</f>
        <v/>
      </c>
      <c r="J454" s="12" t="str">
        <f aca="false">IFERROR(VLOOKUP($F454,ItemList_Full,4,0),"")</f>
        <v/>
      </c>
      <c r="K454" s="13" t="n">
        <v>800</v>
      </c>
      <c r="L454" s="12"/>
      <c r="M454" s="24"/>
      <c r="N454" s="12" t="s">
        <v>229</v>
      </c>
      <c r="O454" s="12"/>
      <c r="P454" s="13" t="n">
        <f aca="false">IF($E454="","",IF(OR($E454="Director Draw",$E454="Payroll/Employee Charge"),0,-$K454))</f>
        <v>-800</v>
      </c>
      <c r="Q454" s="12" t="n">
        <f aca="false">IF($E454="Inventory Purchase",$H454,0)</f>
        <v>0</v>
      </c>
      <c r="U454" s="1" t="s">
        <v>1497</v>
      </c>
      <c r="V454" s="1" t="s">
        <v>1498</v>
      </c>
      <c r="W454" s="1" t="s">
        <v>246</v>
      </c>
      <c r="X454" s="1" t="n">
        <v>180</v>
      </c>
      <c r="Y454" s="1" t="s">
        <v>128</v>
      </c>
    </row>
    <row r="455" customFormat="false" ht="15" hidden="false" customHeight="true" outlineLevel="0" collapsed="false">
      <c r="A455" s="19" t="n">
        <v>46287</v>
      </c>
      <c r="B455" s="12" t="n">
        <f aca="false">IF($A455="","",ROW()-4)</f>
        <v>451</v>
      </c>
      <c r="C455" s="12" t="s">
        <v>255</v>
      </c>
      <c r="D455" s="12" t="s">
        <v>809</v>
      </c>
      <c r="E455" s="24" t="s">
        <v>139</v>
      </c>
      <c r="F455" s="12"/>
      <c r="G455" s="12" t="str">
        <f aca="false">IFERROR(VLOOKUP($F455,ItemList_Full,2,0),"")</f>
        <v/>
      </c>
      <c r="H455" s="12"/>
      <c r="I455" s="12" t="str">
        <f aca="false">IFERROR(VLOOKUP($F455,ItemList_Full,3,0),"")</f>
        <v/>
      </c>
      <c r="J455" s="12" t="str">
        <f aca="false">IFERROR(VLOOKUP($F455,ItemList_Full,4,0),"")</f>
        <v/>
      </c>
      <c r="K455" s="13" t="n">
        <v>900</v>
      </c>
      <c r="L455" s="12"/>
      <c r="M455" s="24"/>
      <c r="N455" s="12" t="s">
        <v>229</v>
      </c>
      <c r="O455" s="12"/>
      <c r="P455" s="13" t="n">
        <f aca="false">IF($E455="","",IF(OR($E455="Director Draw",$E455="Payroll/Employee Charge"),0,-$K455))</f>
        <v>-900</v>
      </c>
      <c r="Q455" s="12" t="n">
        <f aca="false">IF($E455="Inventory Purchase",$H455,0)</f>
        <v>0</v>
      </c>
      <c r="U455" s="1" t="s">
        <v>1499</v>
      </c>
      <c r="V455" s="1" t="s">
        <v>1500</v>
      </c>
      <c r="W455" s="1" t="s">
        <v>246</v>
      </c>
      <c r="X455" s="1" t="n">
        <v>460</v>
      </c>
      <c r="Y455" s="1" t="s">
        <v>128</v>
      </c>
    </row>
    <row r="456" customFormat="false" ht="15" hidden="false" customHeight="true" outlineLevel="0" collapsed="false">
      <c r="A456" s="19" t="n">
        <v>46287</v>
      </c>
      <c r="B456" s="12" t="n">
        <f aca="false">IF($A456="","",ROW()-4)</f>
        <v>452</v>
      </c>
      <c r="C456" s="12" t="s">
        <v>674</v>
      </c>
      <c r="D456" s="12" t="s">
        <v>675</v>
      </c>
      <c r="E456" s="24" t="s">
        <v>139</v>
      </c>
      <c r="F456" s="12"/>
      <c r="G456" s="12" t="str">
        <f aca="false">IFERROR(VLOOKUP($F456,ItemList_Full,2,0),"")</f>
        <v/>
      </c>
      <c r="H456" s="12"/>
      <c r="I456" s="12" t="str">
        <f aca="false">IFERROR(VLOOKUP($F456,ItemList_Full,3,0),"")</f>
        <v/>
      </c>
      <c r="J456" s="12" t="str">
        <f aca="false">IFERROR(VLOOKUP($F456,ItemList_Full,4,0),"")</f>
        <v/>
      </c>
      <c r="K456" s="13" t="n">
        <v>16430</v>
      </c>
      <c r="L456" s="12"/>
      <c r="M456" s="24"/>
      <c r="N456" s="12" t="s">
        <v>229</v>
      </c>
      <c r="O456" s="12"/>
      <c r="P456" s="13" t="n">
        <f aca="false">IF($E456="","",IF(OR($E456="Director Draw",$E456="Payroll/Employee Charge"),0,-$K456))</f>
        <v>-16430</v>
      </c>
      <c r="Q456" s="12" t="n">
        <f aca="false">IF($E456="Inventory Purchase",$H456,0)</f>
        <v>0</v>
      </c>
      <c r="U456" s="1" t="s">
        <v>1501</v>
      </c>
      <c r="V456" s="1" t="s">
        <v>1502</v>
      </c>
      <c r="W456" s="1" t="s">
        <v>246</v>
      </c>
      <c r="X456" s="1" t="n">
        <v>165</v>
      </c>
      <c r="Y456" s="1" t="s">
        <v>128</v>
      </c>
    </row>
    <row r="457" customFormat="false" ht="15" hidden="false" customHeight="true" outlineLevel="0" collapsed="false">
      <c r="A457" s="19" t="n">
        <v>46287</v>
      </c>
      <c r="B457" s="12" t="n">
        <f aca="false">IF($A457="","",ROW()-4)</f>
        <v>453</v>
      </c>
      <c r="C457" s="12" t="s">
        <v>237</v>
      </c>
      <c r="D457" s="12" t="s">
        <v>238</v>
      </c>
      <c r="E457" s="24" t="s">
        <v>139</v>
      </c>
      <c r="F457" s="12"/>
      <c r="G457" s="12" t="str">
        <f aca="false">IFERROR(VLOOKUP($F457,ItemList_Full,2,0),"")</f>
        <v/>
      </c>
      <c r="H457" s="12"/>
      <c r="I457" s="12" t="str">
        <f aca="false">IFERROR(VLOOKUP($F457,ItemList_Full,3,0),"")</f>
        <v/>
      </c>
      <c r="J457" s="12" t="str">
        <f aca="false">IFERROR(VLOOKUP($F457,ItemList_Full,4,0),"")</f>
        <v/>
      </c>
      <c r="K457" s="13" t="n">
        <v>51792</v>
      </c>
      <c r="L457" s="12"/>
      <c r="M457" s="24"/>
      <c r="N457" s="12" t="s">
        <v>229</v>
      </c>
      <c r="O457" s="12"/>
      <c r="P457" s="13" t="n">
        <f aca="false">IF($E457="","",IF(OR($E457="Director Draw",$E457="Payroll/Employee Charge"),0,-$K457))</f>
        <v>-51792</v>
      </c>
      <c r="Q457" s="12" t="n">
        <f aca="false">IF($E457="Inventory Purchase",$H457,0)</f>
        <v>0</v>
      </c>
      <c r="U457" s="1" t="s">
        <v>1503</v>
      </c>
      <c r="V457" s="1" t="s">
        <v>1504</v>
      </c>
      <c r="W457" s="1" t="s">
        <v>246</v>
      </c>
      <c r="X457" s="1" t="n">
        <v>140</v>
      </c>
      <c r="Y457" s="1" t="s">
        <v>128</v>
      </c>
    </row>
    <row r="458" customFormat="false" ht="15" hidden="false" customHeight="true" outlineLevel="0" collapsed="false">
      <c r="A458" s="19" t="n">
        <v>46287</v>
      </c>
      <c r="B458" s="12" t="n">
        <f aca="false">IF($A458="","",ROW()-4)</f>
        <v>454</v>
      </c>
      <c r="C458" s="12" t="s">
        <v>242</v>
      </c>
      <c r="D458" s="12" t="s">
        <v>243</v>
      </c>
      <c r="E458" s="24" t="s">
        <v>139</v>
      </c>
      <c r="F458" s="12"/>
      <c r="G458" s="12" t="str">
        <f aca="false">IFERROR(VLOOKUP($F458,ItemList_Full,2,0),"")</f>
        <v/>
      </c>
      <c r="H458" s="12"/>
      <c r="I458" s="12" t="str">
        <f aca="false">IFERROR(VLOOKUP($F458,ItemList_Full,3,0),"")</f>
        <v/>
      </c>
      <c r="J458" s="12" t="str">
        <f aca="false">IFERROR(VLOOKUP($F458,ItemList_Full,4,0),"")</f>
        <v/>
      </c>
      <c r="K458" s="13" t="n">
        <v>10000</v>
      </c>
      <c r="L458" s="12"/>
      <c r="M458" s="24"/>
      <c r="N458" s="12" t="s">
        <v>229</v>
      </c>
      <c r="O458" s="12"/>
      <c r="P458" s="13" t="n">
        <f aca="false">IF($E458="","",IF(OR($E458="Director Draw",$E458="Payroll/Employee Charge"),0,-$K458))</f>
        <v>-10000</v>
      </c>
      <c r="Q458" s="12" t="n">
        <f aca="false">IF($E458="Inventory Purchase",$H458,0)</f>
        <v>0</v>
      </c>
      <c r="U458" s="1" t="s">
        <v>1505</v>
      </c>
      <c r="V458" s="1" t="s">
        <v>1506</v>
      </c>
      <c r="W458" s="1" t="s">
        <v>246</v>
      </c>
      <c r="X458" s="1" t="n">
        <v>75</v>
      </c>
      <c r="Y458" s="1" t="s">
        <v>128</v>
      </c>
    </row>
    <row r="459" customFormat="false" ht="15" hidden="false" customHeight="true" outlineLevel="0" collapsed="false">
      <c r="A459" s="19" t="n">
        <v>46287</v>
      </c>
      <c r="B459" s="12" t="n">
        <f aca="false">IF($A459="","",ROW()-4)</f>
        <v>455</v>
      </c>
      <c r="C459" s="12" t="s">
        <v>1163</v>
      </c>
      <c r="D459" s="12" t="s">
        <v>1507</v>
      </c>
      <c r="E459" s="24" t="s">
        <v>139</v>
      </c>
      <c r="F459" s="12"/>
      <c r="G459" s="12" t="str">
        <f aca="false">IFERROR(VLOOKUP($F459,ItemList_Full,2,0),"")</f>
        <v/>
      </c>
      <c r="H459" s="12"/>
      <c r="I459" s="12" t="str">
        <f aca="false">IFERROR(VLOOKUP($F459,ItemList_Full,3,0),"")</f>
        <v/>
      </c>
      <c r="J459" s="12" t="str">
        <f aca="false">IFERROR(VLOOKUP($F459,ItemList_Full,4,0),"")</f>
        <v/>
      </c>
      <c r="K459" s="13" t="n">
        <v>3750</v>
      </c>
      <c r="L459" s="12"/>
      <c r="M459" s="24"/>
      <c r="N459" s="12" t="s">
        <v>229</v>
      </c>
      <c r="O459" s="12"/>
      <c r="P459" s="13" t="n">
        <f aca="false">IF($E459="","",IF(OR($E459="Director Draw",$E459="Payroll/Employee Charge"),0,-$K459))</f>
        <v>-3750</v>
      </c>
      <c r="Q459" s="12" t="n">
        <f aca="false">IF($E459="Inventory Purchase",$H459,0)</f>
        <v>0</v>
      </c>
      <c r="U459" s="1" t="s">
        <v>1508</v>
      </c>
      <c r="V459" s="1" t="s">
        <v>1509</v>
      </c>
      <c r="W459" s="1" t="s">
        <v>246</v>
      </c>
      <c r="X459" s="1" t="n">
        <v>33.3333333333333</v>
      </c>
      <c r="Y459" s="1" t="s">
        <v>128</v>
      </c>
    </row>
    <row r="460" customFormat="false" ht="15" hidden="false" customHeight="true" outlineLevel="0" collapsed="false">
      <c r="A460" s="19" t="n">
        <v>46287</v>
      </c>
      <c r="B460" s="12" t="n">
        <f aca="false">IF($A460="","",ROW()-4)</f>
        <v>456</v>
      </c>
      <c r="C460" s="12" t="s">
        <v>707</v>
      </c>
      <c r="D460" s="12" t="s">
        <v>708</v>
      </c>
      <c r="E460" s="24" t="s">
        <v>151</v>
      </c>
      <c r="F460" s="12"/>
      <c r="G460" s="12" t="str">
        <f aca="false">IFERROR(VLOOKUP($F460,ItemList_Full,2,0),"")</f>
        <v/>
      </c>
      <c r="H460" s="12"/>
      <c r="I460" s="12" t="str">
        <f aca="false">IFERROR(VLOOKUP($F460,ItemList_Full,3,0),"")</f>
        <v/>
      </c>
      <c r="J460" s="12" t="str">
        <f aca="false">IFERROR(VLOOKUP($F460,ItemList_Full,4,0),"")</f>
        <v/>
      </c>
      <c r="K460" s="13" t="n">
        <v>5000</v>
      </c>
      <c r="L460" s="12"/>
      <c r="M460" s="24"/>
      <c r="N460" s="12" t="s">
        <v>229</v>
      </c>
      <c r="O460" s="12"/>
      <c r="P460" s="13" t="n">
        <f aca="false">IF($E460="","",IF(OR($E460="Director Draw",$E460="Payroll/Employee Charge"),0,-$K460))</f>
        <v>-5000</v>
      </c>
      <c r="Q460" s="12" t="n">
        <f aca="false">IF($E460="Inventory Purchase",$H460,0)</f>
        <v>0</v>
      </c>
      <c r="U460" s="1" t="s">
        <v>1510</v>
      </c>
      <c r="V460" s="1" t="s">
        <v>1511</v>
      </c>
      <c r="W460" s="1" t="s">
        <v>246</v>
      </c>
      <c r="X460" s="1" t="n">
        <v>7950</v>
      </c>
      <c r="Y460" s="1" t="s">
        <v>128</v>
      </c>
    </row>
    <row r="461" customFormat="false" ht="15" hidden="false" customHeight="true" outlineLevel="0" collapsed="false">
      <c r="A461" s="19" t="n">
        <v>46287</v>
      </c>
      <c r="B461" s="12" t="n">
        <f aca="false">IF($A461="","",ROW()-4)</f>
        <v>457</v>
      </c>
      <c r="C461" s="12" t="s">
        <v>608</v>
      </c>
      <c r="D461" s="12" t="s">
        <v>1512</v>
      </c>
      <c r="E461" s="24" t="s">
        <v>151</v>
      </c>
      <c r="F461" s="12"/>
      <c r="G461" s="12" t="str">
        <f aca="false">IFERROR(VLOOKUP($F461,ItemList_Full,2,0),"")</f>
        <v/>
      </c>
      <c r="H461" s="12"/>
      <c r="I461" s="12" t="str">
        <f aca="false">IFERROR(VLOOKUP($F461,ItemList_Full,3,0),"")</f>
        <v/>
      </c>
      <c r="J461" s="12" t="str">
        <f aca="false">IFERROR(VLOOKUP($F461,ItemList_Full,4,0),"")</f>
        <v/>
      </c>
      <c r="K461" s="13" t="n">
        <v>1220</v>
      </c>
      <c r="L461" s="12"/>
      <c r="M461" s="24"/>
      <c r="N461" s="12" t="s">
        <v>229</v>
      </c>
      <c r="O461" s="12"/>
      <c r="P461" s="13" t="n">
        <f aca="false">IF($E461="","",IF(OR($E461="Director Draw",$E461="Payroll/Employee Charge"),0,-$K461))</f>
        <v>-1220</v>
      </c>
      <c r="Q461" s="12" t="n">
        <f aca="false">IF($E461="Inventory Purchase",$H461,0)</f>
        <v>0</v>
      </c>
      <c r="U461" s="1" t="s">
        <v>1513</v>
      </c>
      <c r="V461" s="1" t="s">
        <v>1514</v>
      </c>
      <c r="W461" s="1" t="s">
        <v>246</v>
      </c>
      <c r="X461" s="1" t="n">
        <v>850</v>
      </c>
      <c r="Y461" s="1" t="s">
        <v>128</v>
      </c>
    </row>
    <row r="462" customFormat="false" ht="15" hidden="false" customHeight="true" outlineLevel="0" collapsed="false">
      <c r="A462" s="19" t="n">
        <v>46287</v>
      </c>
      <c r="B462" s="12" t="n">
        <f aca="false">IF($A462="","",ROW()-4)</f>
        <v>458</v>
      </c>
      <c r="C462" s="12" t="s">
        <v>1515</v>
      </c>
      <c r="D462" s="12" t="s">
        <v>1516</v>
      </c>
      <c r="E462" s="24" t="s">
        <v>151</v>
      </c>
      <c r="F462" s="12"/>
      <c r="G462" s="12" t="str">
        <f aca="false">IFERROR(VLOOKUP($F462,ItemList_Full,2,0),"")</f>
        <v/>
      </c>
      <c r="H462" s="12"/>
      <c r="I462" s="12" t="str">
        <f aca="false">IFERROR(VLOOKUP($F462,ItemList_Full,3,0),"")</f>
        <v/>
      </c>
      <c r="J462" s="12" t="str">
        <f aca="false">IFERROR(VLOOKUP($F462,ItemList_Full,4,0),"")</f>
        <v/>
      </c>
      <c r="K462" s="13" t="n">
        <v>200</v>
      </c>
      <c r="L462" s="12"/>
      <c r="M462" s="24"/>
      <c r="N462" s="12" t="s">
        <v>229</v>
      </c>
      <c r="O462" s="12"/>
      <c r="P462" s="13" t="n">
        <f aca="false">IF($E462="","",IF(OR($E462="Director Draw",$E462="Payroll/Employee Charge"),0,-$K462))</f>
        <v>-200</v>
      </c>
      <c r="Q462" s="12" t="n">
        <f aca="false">IF($E462="Inventory Purchase",$H462,0)</f>
        <v>0</v>
      </c>
      <c r="U462" s="1" t="s">
        <v>1517</v>
      </c>
      <c r="V462" s="1" t="s">
        <v>1518</v>
      </c>
      <c r="W462" s="1" t="s">
        <v>246</v>
      </c>
      <c r="X462" s="1" t="n">
        <v>400</v>
      </c>
      <c r="Y462" s="1" t="s">
        <v>128</v>
      </c>
    </row>
    <row r="463" customFormat="false" ht="15" hidden="false" customHeight="true" outlineLevel="0" collapsed="false">
      <c r="A463" s="19" t="n">
        <v>46287</v>
      </c>
      <c r="B463" s="12" t="n">
        <f aca="false">IF($A463="","",ROW()-4)</f>
        <v>459</v>
      </c>
      <c r="C463" s="12" t="s">
        <v>1033</v>
      </c>
      <c r="D463" s="12" t="s">
        <v>1519</v>
      </c>
      <c r="E463" s="24" t="s">
        <v>154</v>
      </c>
      <c r="F463" s="12"/>
      <c r="G463" s="12" t="str">
        <f aca="false">IFERROR(VLOOKUP($F463,ItemList_Full,2,0),"")</f>
        <v/>
      </c>
      <c r="H463" s="12"/>
      <c r="I463" s="12" t="str">
        <f aca="false">IFERROR(VLOOKUP($F463,ItemList_Full,3,0),"")</f>
        <v/>
      </c>
      <c r="J463" s="12" t="str">
        <f aca="false">IFERROR(VLOOKUP($F463,ItemList_Full,4,0),"")</f>
        <v/>
      </c>
      <c r="K463" s="13" t="n">
        <v>3000</v>
      </c>
      <c r="L463" s="12"/>
      <c r="M463" s="24"/>
      <c r="N463" s="12" t="s">
        <v>229</v>
      </c>
      <c r="O463" s="12"/>
      <c r="P463" s="13" t="n">
        <f aca="false">IF($E463="","",IF(OR($E463="Director Draw",$E463="Payroll/Employee Charge"),0,-$K463))</f>
        <v>-3000</v>
      </c>
      <c r="Q463" s="12" t="n">
        <f aca="false">IF($E463="Inventory Purchase",$H463,0)</f>
        <v>0</v>
      </c>
      <c r="U463" s="1" t="s">
        <v>1520</v>
      </c>
      <c r="V463" s="1" t="s">
        <v>1521</v>
      </c>
      <c r="W463" s="1" t="s">
        <v>246</v>
      </c>
      <c r="X463" s="1" t="n">
        <v>480</v>
      </c>
      <c r="Y463" s="1" t="s">
        <v>128</v>
      </c>
    </row>
    <row r="464" customFormat="false" ht="15" hidden="false" customHeight="true" outlineLevel="0" collapsed="false">
      <c r="A464" s="19" t="n">
        <v>46287</v>
      </c>
      <c r="B464" s="12" t="n">
        <f aca="false">IF($A464="","",ROW()-4)</f>
        <v>460</v>
      </c>
      <c r="C464" s="12" t="s">
        <v>832</v>
      </c>
      <c r="D464" s="12" t="s">
        <v>1522</v>
      </c>
      <c r="E464" s="24" t="s">
        <v>141</v>
      </c>
      <c r="F464" s="12"/>
      <c r="G464" s="12" t="str">
        <f aca="false">IFERROR(VLOOKUP($F464,ItemList_Full,2,0),"")</f>
        <v/>
      </c>
      <c r="H464" s="12"/>
      <c r="I464" s="12" t="str">
        <f aca="false">IFERROR(VLOOKUP($F464,ItemList_Full,3,0),"")</f>
        <v/>
      </c>
      <c r="J464" s="12" t="str">
        <f aca="false">IFERROR(VLOOKUP($F464,ItemList_Full,4,0),"")</f>
        <v/>
      </c>
      <c r="K464" s="13" t="n">
        <v>1950</v>
      </c>
      <c r="L464" s="12"/>
      <c r="M464" s="24"/>
      <c r="N464" s="12" t="s">
        <v>229</v>
      </c>
      <c r="O464" s="12"/>
      <c r="P464" s="13" t="n">
        <f aca="false">IF($E464="","",IF(OR($E464="Director Draw",$E464="Payroll/Employee Charge"),0,-$K464))</f>
        <v>-1950</v>
      </c>
      <c r="Q464" s="12" t="n">
        <f aca="false">IF($E464="Inventory Purchase",$H464,0)</f>
        <v>0</v>
      </c>
      <c r="U464" s="1" t="s">
        <v>1523</v>
      </c>
      <c r="V464" s="1" t="s">
        <v>1524</v>
      </c>
      <c r="W464" s="1" t="s">
        <v>246</v>
      </c>
      <c r="X464" s="1" t="n">
        <v>250</v>
      </c>
      <c r="Y464" s="1" t="s">
        <v>128</v>
      </c>
    </row>
    <row r="465" customFormat="false" ht="15" hidden="false" customHeight="true" outlineLevel="0" collapsed="false">
      <c r="A465" s="19" t="n">
        <v>46287</v>
      </c>
      <c r="B465" s="12" t="n">
        <f aca="false">IF($A465="","",ROW()-4)</f>
        <v>461</v>
      </c>
      <c r="C465" s="12" t="s">
        <v>1119</v>
      </c>
      <c r="D465" s="12" t="s">
        <v>1525</v>
      </c>
      <c r="E465" s="24" t="s">
        <v>147</v>
      </c>
      <c r="F465" s="12"/>
      <c r="G465" s="12" t="str">
        <f aca="false">IFERROR(VLOOKUP($F465,ItemList_Full,2,0),"")</f>
        <v/>
      </c>
      <c r="H465" s="12"/>
      <c r="I465" s="12" t="str">
        <f aca="false">IFERROR(VLOOKUP($F465,ItemList_Full,3,0),"")</f>
        <v/>
      </c>
      <c r="J465" s="12" t="str">
        <f aca="false">IFERROR(VLOOKUP($F465,ItemList_Full,4,0),"")</f>
        <v/>
      </c>
      <c r="K465" s="13" t="n">
        <v>350</v>
      </c>
      <c r="L465" s="12"/>
      <c r="M465" s="24"/>
      <c r="N465" s="12" t="s">
        <v>229</v>
      </c>
      <c r="O465" s="12"/>
      <c r="P465" s="13" t="n">
        <f aca="false">IF($E465="","",IF(OR($E465="Director Draw",$E465="Payroll/Employee Charge"),0,-$K465))</f>
        <v>-350</v>
      </c>
      <c r="Q465" s="12" t="n">
        <f aca="false">IF($E465="Inventory Purchase",$H465,0)</f>
        <v>0</v>
      </c>
      <c r="U465" s="1" t="s">
        <v>1526</v>
      </c>
      <c r="V465" s="1" t="s">
        <v>1527</v>
      </c>
      <c r="W465" s="1" t="s">
        <v>246</v>
      </c>
      <c r="X465" s="1" t="n">
        <v>83</v>
      </c>
      <c r="Y465" s="1" t="s">
        <v>128</v>
      </c>
    </row>
    <row r="466" customFormat="false" ht="15" hidden="false" customHeight="true" outlineLevel="0" collapsed="false">
      <c r="A466" s="19" t="n">
        <v>46287</v>
      </c>
      <c r="B466" s="12" t="n">
        <f aca="false">IF($A466="","",ROW()-4)</f>
        <v>462</v>
      </c>
      <c r="C466" s="12" t="s">
        <v>343</v>
      </c>
      <c r="D466" s="12" t="s">
        <v>1357</v>
      </c>
      <c r="E466" s="24" t="s">
        <v>143</v>
      </c>
      <c r="F466" s="12"/>
      <c r="G466" s="12" t="str">
        <f aca="false">IFERROR(VLOOKUP($F466,ItemList_Full,2,0),"")</f>
        <v/>
      </c>
      <c r="H466" s="12"/>
      <c r="I466" s="12" t="str">
        <f aca="false">IFERROR(VLOOKUP($F466,ItemList_Full,3,0),"")</f>
        <v/>
      </c>
      <c r="J466" s="12" t="str">
        <f aca="false">IFERROR(VLOOKUP($F466,ItemList_Full,4,0),"")</f>
        <v/>
      </c>
      <c r="K466" s="13" t="n">
        <v>1950</v>
      </c>
      <c r="L466" s="12"/>
      <c r="M466" s="24"/>
      <c r="N466" s="12" t="s">
        <v>229</v>
      </c>
      <c r="O466" s="12"/>
      <c r="P466" s="13" t="n">
        <f aca="false">IF($E466="","",IF(OR($E466="Director Draw",$E466="Payroll/Employee Charge"),0,-$K466))</f>
        <v>-1950</v>
      </c>
      <c r="Q466" s="12" t="n">
        <f aca="false">IF($E466="Inventory Purchase",$H466,0)</f>
        <v>0</v>
      </c>
      <c r="U466" s="1" t="s">
        <v>1528</v>
      </c>
      <c r="V466" s="1" t="s">
        <v>1529</v>
      </c>
      <c r="W466" s="1" t="s">
        <v>246</v>
      </c>
      <c r="X466" s="1" t="n">
        <v>133</v>
      </c>
      <c r="Y466" s="1" t="s">
        <v>128</v>
      </c>
    </row>
    <row r="467" customFormat="false" ht="15" hidden="false" customHeight="true" outlineLevel="0" collapsed="false">
      <c r="A467" s="19" t="n">
        <v>46287</v>
      </c>
      <c r="B467" s="12" t="n">
        <f aca="false">IF($A467="","",ROW()-4)</f>
        <v>463</v>
      </c>
      <c r="C467" s="12" t="s">
        <v>343</v>
      </c>
      <c r="D467" s="12" t="s">
        <v>1530</v>
      </c>
      <c r="E467" s="24" t="s">
        <v>143</v>
      </c>
      <c r="F467" s="12"/>
      <c r="G467" s="12" t="str">
        <f aca="false">IFERROR(VLOOKUP($F467,ItemList_Full,2,0),"")</f>
        <v/>
      </c>
      <c r="H467" s="12"/>
      <c r="I467" s="12" t="str">
        <f aca="false">IFERROR(VLOOKUP($F467,ItemList_Full,3,0),"")</f>
        <v/>
      </c>
      <c r="J467" s="12" t="str">
        <f aca="false">IFERROR(VLOOKUP($F467,ItemList_Full,4,0),"")</f>
        <v/>
      </c>
      <c r="K467" s="13" t="n">
        <v>1750</v>
      </c>
      <c r="L467" s="12"/>
      <c r="M467" s="24"/>
      <c r="N467" s="12" t="s">
        <v>229</v>
      </c>
      <c r="O467" s="12"/>
      <c r="P467" s="13" t="n">
        <f aca="false">IF($E467="","",IF(OR($E467="Director Draw",$E467="Payroll/Employee Charge"),0,-$K467))</f>
        <v>-1750</v>
      </c>
      <c r="Q467" s="12" t="n">
        <f aca="false">IF($E467="Inventory Purchase",$H467,0)</f>
        <v>0</v>
      </c>
      <c r="U467" s="1" t="s">
        <v>1531</v>
      </c>
      <c r="V467" s="1" t="s">
        <v>1532</v>
      </c>
      <c r="W467" s="1" t="s">
        <v>246</v>
      </c>
      <c r="X467" s="1" t="n">
        <v>3250</v>
      </c>
      <c r="Y467" s="1" t="s">
        <v>128</v>
      </c>
    </row>
    <row r="468" customFormat="false" ht="15" hidden="false" customHeight="true" outlineLevel="0" collapsed="false">
      <c r="A468" s="19" t="n">
        <v>46287</v>
      </c>
      <c r="B468" s="12" t="n">
        <f aca="false">IF($A468="","",ROW()-4)</f>
        <v>464</v>
      </c>
      <c r="C468" s="12" t="s">
        <v>276</v>
      </c>
      <c r="D468" s="12" t="s">
        <v>1533</v>
      </c>
      <c r="E468" s="24" t="s">
        <v>143</v>
      </c>
      <c r="F468" s="12"/>
      <c r="G468" s="12" t="str">
        <f aca="false">IFERROR(VLOOKUP($F468,ItemList_Full,2,0),"")</f>
        <v/>
      </c>
      <c r="H468" s="12"/>
      <c r="I468" s="12" t="str">
        <f aca="false">IFERROR(VLOOKUP($F468,ItemList_Full,3,0),"")</f>
        <v/>
      </c>
      <c r="J468" s="12" t="str">
        <f aca="false">IFERROR(VLOOKUP($F468,ItemList_Full,4,0),"")</f>
        <v/>
      </c>
      <c r="K468" s="13" t="n">
        <v>690</v>
      </c>
      <c r="L468" s="12"/>
      <c r="M468" s="24"/>
      <c r="N468" s="12" t="s">
        <v>229</v>
      </c>
      <c r="O468" s="12"/>
      <c r="P468" s="13" t="n">
        <f aca="false">IF($E468="","",IF(OR($E468="Director Draw",$E468="Payroll/Employee Charge"),0,-$K468))</f>
        <v>-690</v>
      </c>
      <c r="Q468" s="12" t="n">
        <f aca="false">IF($E468="Inventory Purchase",$H468,0)</f>
        <v>0</v>
      </c>
      <c r="U468" s="1" t="s">
        <v>1534</v>
      </c>
      <c r="V468" s="1" t="s">
        <v>1535</v>
      </c>
      <c r="W468" s="1" t="s">
        <v>1536</v>
      </c>
      <c r="X468" s="1" t="n">
        <v>0</v>
      </c>
      <c r="Y468" s="1" t="s">
        <v>136</v>
      </c>
    </row>
    <row r="469" customFormat="false" ht="15" hidden="false" customHeight="true" outlineLevel="0" collapsed="false">
      <c r="A469" s="19" t="n">
        <v>46287</v>
      </c>
      <c r="B469" s="12" t="n">
        <f aca="false">IF($A469="","",ROW()-4)</f>
        <v>465</v>
      </c>
      <c r="C469" s="12" t="s">
        <v>355</v>
      </c>
      <c r="D469" s="12" t="s">
        <v>526</v>
      </c>
      <c r="E469" s="24" t="s">
        <v>143</v>
      </c>
      <c r="F469" s="12"/>
      <c r="G469" s="12" t="str">
        <f aca="false">IFERROR(VLOOKUP($F469,ItemList_Full,2,0),"")</f>
        <v/>
      </c>
      <c r="H469" s="12"/>
      <c r="I469" s="12" t="str">
        <f aca="false">IFERROR(VLOOKUP($F469,ItemList_Full,3,0),"")</f>
        <v/>
      </c>
      <c r="J469" s="12" t="str">
        <f aca="false">IFERROR(VLOOKUP($F469,ItemList_Full,4,0),"")</f>
        <v/>
      </c>
      <c r="K469" s="13" t="n">
        <v>865</v>
      </c>
      <c r="L469" s="12"/>
      <c r="M469" s="24"/>
      <c r="N469" s="12" t="s">
        <v>229</v>
      </c>
      <c r="O469" s="12"/>
      <c r="P469" s="13" t="n">
        <f aca="false">IF($E469="","",IF(OR($E469="Director Draw",$E469="Payroll/Employee Charge"),0,-$K469))</f>
        <v>-865</v>
      </c>
      <c r="Q469" s="12" t="n">
        <f aca="false">IF($E469="Inventory Purchase",$H469,0)</f>
        <v>0</v>
      </c>
      <c r="U469" s="1" t="s">
        <v>1537</v>
      </c>
      <c r="V469" s="1" t="s">
        <v>1119</v>
      </c>
      <c r="W469" s="1" t="s">
        <v>1536</v>
      </c>
      <c r="X469" s="1" t="n">
        <v>0</v>
      </c>
      <c r="Y469" s="1" t="s">
        <v>136</v>
      </c>
    </row>
    <row r="470" customFormat="false" ht="15" hidden="false" customHeight="true" outlineLevel="0" collapsed="false">
      <c r="A470" s="19" t="n">
        <v>46287</v>
      </c>
      <c r="B470" s="12" t="n">
        <f aca="false">IF($A470="","",ROW()-4)</f>
        <v>466</v>
      </c>
      <c r="C470" s="12" t="s">
        <v>355</v>
      </c>
      <c r="D470" s="12" t="s">
        <v>1538</v>
      </c>
      <c r="E470" s="24" t="s">
        <v>143</v>
      </c>
      <c r="F470" s="12"/>
      <c r="G470" s="12" t="str">
        <f aca="false">IFERROR(VLOOKUP($F470,ItemList_Full,2,0),"")</f>
        <v/>
      </c>
      <c r="H470" s="12"/>
      <c r="I470" s="12" t="str">
        <f aca="false">IFERROR(VLOOKUP($F470,ItemList_Full,3,0),"")</f>
        <v/>
      </c>
      <c r="J470" s="12" t="str">
        <f aca="false">IFERROR(VLOOKUP($F470,ItemList_Full,4,0),"")</f>
        <v/>
      </c>
      <c r="K470" s="13" t="n">
        <v>600</v>
      </c>
      <c r="L470" s="12"/>
      <c r="M470" s="24"/>
      <c r="N470" s="12" t="s">
        <v>229</v>
      </c>
      <c r="O470" s="12"/>
      <c r="P470" s="13" t="n">
        <f aca="false">IF($E470="","",IF(OR($E470="Director Draw",$E470="Payroll/Employee Charge"),0,-$K470))</f>
        <v>-600</v>
      </c>
      <c r="Q470" s="12" t="n">
        <f aca="false">IF($E470="Inventory Purchase",$H470,0)</f>
        <v>0</v>
      </c>
      <c r="U470" s="1" t="s">
        <v>1539</v>
      </c>
      <c r="V470" s="1" t="s">
        <v>1540</v>
      </c>
      <c r="W470" s="1" t="s">
        <v>1536</v>
      </c>
      <c r="X470" s="1" t="n">
        <v>1900</v>
      </c>
      <c r="Y470" s="1" t="s">
        <v>136</v>
      </c>
    </row>
    <row r="471" customFormat="false" ht="15" hidden="false" customHeight="true" outlineLevel="0" collapsed="false">
      <c r="A471" s="19" t="n">
        <v>46287</v>
      </c>
      <c r="B471" s="12" t="n">
        <f aca="false">IF($A471="","",ROW()-4)</f>
        <v>467</v>
      </c>
      <c r="C471" s="12" t="s">
        <v>361</v>
      </c>
      <c r="D471" s="12" t="s">
        <v>1541</v>
      </c>
      <c r="E471" s="24" t="s">
        <v>149</v>
      </c>
      <c r="F471" s="12"/>
      <c r="G471" s="12" t="str">
        <f aca="false">IFERROR(VLOOKUP($F471,ItemList_Full,2,0),"")</f>
        <v/>
      </c>
      <c r="H471" s="12"/>
      <c r="I471" s="12" t="str">
        <f aca="false">IFERROR(VLOOKUP($F471,ItemList_Full,3,0),"")</f>
        <v/>
      </c>
      <c r="J471" s="12" t="str">
        <f aca="false">IFERROR(VLOOKUP($F471,ItemList_Full,4,0),"")</f>
        <v/>
      </c>
      <c r="K471" s="13" t="n">
        <v>200</v>
      </c>
      <c r="L471" s="12"/>
      <c r="M471" s="24"/>
      <c r="N471" s="12" t="s">
        <v>229</v>
      </c>
      <c r="O471" s="12"/>
      <c r="P471" s="13" t="n">
        <f aca="false">IF($E471="","",IF(OR($E471="Director Draw",$E471="Payroll/Employee Charge"),0,-$K471))</f>
        <v>-200</v>
      </c>
      <c r="Q471" s="12" t="n">
        <f aca="false">IF($E471="Inventory Purchase",$H471,0)</f>
        <v>0</v>
      </c>
      <c r="U471" s="1" t="s">
        <v>1542</v>
      </c>
      <c r="V471" s="1" t="s">
        <v>1543</v>
      </c>
      <c r="W471" s="1" t="s">
        <v>601</v>
      </c>
      <c r="X471" s="1" t="n">
        <v>500</v>
      </c>
      <c r="Y471" s="1" t="s">
        <v>136</v>
      </c>
    </row>
    <row r="472" customFormat="false" ht="15" hidden="false" customHeight="true" outlineLevel="0" collapsed="false">
      <c r="A472" s="19" t="n">
        <v>46287</v>
      </c>
      <c r="B472" s="12" t="n">
        <f aca="false">IF($A472="","",ROW()-4)</f>
        <v>468</v>
      </c>
      <c r="C472" s="12" t="s">
        <v>480</v>
      </c>
      <c r="D472" s="12" t="s">
        <v>1544</v>
      </c>
      <c r="E472" s="24" t="s">
        <v>150</v>
      </c>
      <c r="F472" s="12"/>
      <c r="G472" s="12" t="str">
        <f aca="false">IFERROR(VLOOKUP($F472,ItemList_Full,2,0),"")</f>
        <v/>
      </c>
      <c r="H472" s="12"/>
      <c r="I472" s="12" t="str">
        <f aca="false">IFERROR(VLOOKUP($F472,ItemList_Full,3,0),"")</f>
        <v/>
      </c>
      <c r="J472" s="12" t="str">
        <f aca="false">IFERROR(VLOOKUP($F472,ItemList_Full,4,0),"")</f>
        <v/>
      </c>
      <c r="K472" s="13" t="n">
        <v>1945</v>
      </c>
      <c r="L472" s="12"/>
      <c r="M472" s="24"/>
      <c r="N472" s="12" t="s">
        <v>229</v>
      </c>
      <c r="O472" s="12"/>
      <c r="P472" s="13" t="n">
        <f aca="false">IF($E472="","",IF(OR($E472="Director Draw",$E472="Payroll/Employee Charge"),0,-$K472))</f>
        <v>-1945</v>
      </c>
      <c r="Q472" s="12" t="n">
        <f aca="false">IF($E472="Inventory Purchase",$H472,0)</f>
        <v>0</v>
      </c>
      <c r="U472" s="1" t="s">
        <v>1545</v>
      </c>
      <c r="V472" s="1" t="s">
        <v>1546</v>
      </c>
      <c r="W472" s="1" t="s">
        <v>246</v>
      </c>
      <c r="X472" s="1" t="n">
        <v>104.166666666667</v>
      </c>
      <c r="Y472" s="1" t="s">
        <v>128</v>
      </c>
    </row>
    <row r="473" customFormat="false" ht="15" hidden="false" customHeight="true" outlineLevel="0" collapsed="false">
      <c r="A473" s="19" t="n">
        <v>46288</v>
      </c>
      <c r="B473" s="12" t="n">
        <f aca="false">IF($A473="","",ROW()-4)</f>
        <v>469</v>
      </c>
      <c r="C473" s="12" t="s">
        <v>225</v>
      </c>
      <c r="D473" s="12" t="s">
        <v>1547</v>
      </c>
      <c r="E473" s="24" t="s">
        <v>227</v>
      </c>
      <c r="F473" s="12"/>
      <c r="G473" s="12" t="str">
        <f aca="false">IFERROR(VLOOKUP($F473,ItemList_Full,2,0),"")</f>
        <v/>
      </c>
      <c r="H473" s="12"/>
      <c r="I473" s="12" t="str">
        <f aca="false">IFERROR(VLOOKUP($F473,ItemList_Full,3,0),"")</f>
        <v/>
      </c>
      <c r="J473" s="12" t="str">
        <f aca="false">IFERROR(VLOOKUP($F473,ItemList_Full,4,0),"")</f>
        <v/>
      </c>
      <c r="K473" s="13" t="n">
        <v>400</v>
      </c>
      <c r="L473" s="12"/>
      <c r="M473" s="24" t="s">
        <v>228</v>
      </c>
      <c r="N473" s="12" t="s">
        <v>229</v>
      </c>
      <c r="O473" s="12"/>
      <c r="P473" s="13" t="n">
        <f aca="false">IF($E473="","",IF(OR($E473="Director Draw",$E473="Payroll/Employee Charge"),0,-$K473))</f>
        <v>0</v>
      </c>
      <c r="Q473" s="12" t="n">
        <f aca="false">IF($E473="Inventory Purchase",$H473,0)</f>
        <v>0</v>
      </c>
      <c r="U473" s="1" t="s">
        <v>1548</v>
      </c>
      <c r="V473" s="1" t="s">
        <v>1549</v>
      </c>
      <c r="W473" s="1" t="s">
        <v>246</v>
      </c>
      <c r="X473" s="1" t="n">
        <v>0</v>
      </c>
      <c r="Y473" s="1" t="s">
        <v>131</v>
      </c>
    </row>
    <row r="474" customFormat="false" ht="15" hidden="false" customHeight="true" outlineLevel="0" collapsed="false">
      <c r="A474" s="19" t="n">
        <v>46288</v>
      </c>
      <c r="B474" s="12" t="n">
        <f aca="false">IF($A474="","",ROW()-4)</f>
        <v>470</v>
      </c>
      <c r="C474" s="12" t="s">
        <v>225</v>
      </c>
      <c r="D474" s="12" t="s">
        <v>1150</v>
      </c>
      <c r="E474" s="24" t="s">
        <v>227</v>
      </c>
      <c r="F474" s="12"/>
      <c r="G474" s="12" t="str">
        <f aca="false">IFERROR(VLOOKUP($F474,ItemList_Full,2,0),"")</f>
        <v/>
      </c>
      <c r="H474" s="12"/>
      <c r="I474" s="12" t="str">
        <f aca="false">IFERROR(VLOOKUP($F474,ItemList_Full,3,0),"")</f>
        <v/>
      </c>
      <c r="J474" s="12" t="str">
        <f aca="false">IFERROR(VLOOKUP($F474,ItemList_Full,4,0),"")</f>
        <v/>
      </c>
      <c r="K474" s="13" t="n">
        <v>250</v>
      </c>
      <c r="L474" s="12"/>
      <c r="M474" s="24" t="s">
        <v>234</v>
      </c>
      <c r="N474" s="12" t="s">
        <v>229</v>
      </c>
      <c r="O474" s="12"/>
      <c r="P474" s="13" t="n">
        <f aca="false">IF($E474="","",IF(OR($E474="Director Draw",$E474="Payroll/Employee Charge"),0,-$K474))</f>
        <v>0</v>
      </c>
      <c r="Q474" s="12" t="n">
        <f aca="false">IF($E474="Inventory Purchase",$H474,0)</f>
        <v>0</v>
      </c>
      <c r="U474" s="1" t="s">
        <v>1550</v>
      </c>
      <c r="V474" s="1" t="s">
        <v>1551</v>
      </c>
      <c r="W474" s="1" t="s">
        <v>246</v>
      </c>
      <c r="X474" s="1" t="n">
        <v>304</v>
      </c>
      <c r="Y474" s="1" t="s">
        <v>131</v>
      </c>
    </row>
    <row r="475" customFormat="false" ht="15" hidden="false" customHeight="true" outlineLevel="0" collapsed="false">
      <c r="A475" s="19" t="n">
        <v>46288</v>
      </c>
      <c r="B475" s="12" t="n">
        <f aca="false">IF($A475="","",ROW()-4)</f>
        <v>471</v>
      </c>
      <c r="C475" s="12" t="s">
        <v>247</v>
      </c>
      <c r="D475" s="12" t="s">
        <v>248</v>
      </c>
      <c r="E475" s="24" t="s">
        <v>153</v>
      </c>
      <c r="F475" s="12"/>
      <c r="G475" s="12" t="str">
        <f aca="false">IFERROR(VLOOKUP($F475,ItemList_Full,2,0),"")</f>
        <v/>
      </c>
      <c r="H475" s="12"/>
      <c r="I475" s="12" t="str">
        <f aca="false">IFERROR(VLOOKUP($F475,ItemList_Full,3,0),"")</f>
        <v/>
      </c>
      <c r="J475" s="12" t="str">
        <f aca="false">IFERROR(VLOOKUP($F475,ItemList_Full,4,0),"")</f>
        <v/>
      </c>
      <c r="K475" s="13" t="n">
        <v>9559</v>
      </c>
      <c r="L475" s="12"/>
      <c r="M475" s="24"/>
      <c r="N475" s="12" t="s">
        <v>229</v>
      </c>
      <c r="O475" s="12"/>
      <c r="P475" s="13" t="n">
        <f aca="false">IF($E475="","",IF(OR($E475="Director Draw",$E475="Payroll/Employee Charge"),0,-$K475))</f>
        <v>-9559</v>
      </c>
      <c r="Q475" s="12" t="n">
        <f aca="false">IF($E475="Inventory Purchase",$H475,0)</f>
        <v>0</v>
      </c>
      <c r="U475" s="1" t="s">
        <v>1552</v>
      </c>
      <c r="V475" s="1" t="s">
        <v>1553</v>
      </c>
      <c r="W475" s="1" t="s">
        <v>246</v>
      </c>
      <c r="X475" s="1" t="n">
        <v>900</v>
      </c>
      <c r="Y475" s="1" t="s">
        <v>128</v>
      </c>
    </row>
    <row r="476" customFormat="false" ht="15" hidden="false" customHeight="true" outlineLevel="0" collapsed="false">
      <c r="A476" s="19" t="n">
        <v>46288</v>
      </c>
      <c r="B476" s="12" t="n">
        <f aca="false">IF($A476="","",ROW()-4)</f>
        <v>472</v>
      </c>
      <c r="C476" s="12" t="s">
        <v>276</v>
      </c>
      <c r="D476" s="12" t="s">
        <v>542</v>
      </c>
      <c r="E476" s="24" t="s">
        <v>139</v>
      </c>
      <c r="F476" s="12"/>
      <c r="G476" s="12" t="str">
        <f aca="false">IFERROR(VLOOKUP($F476,ItemList_Full,2,0),"")</f>
        <v/>
      </c>
      <c r="H476" s="12"/>
      <c r="I476" s="12" t="str">
        <f aca="false">IFERROR(VLOOKUP($F476,ItemList_Full,3,0),"")</f>
        <v/>
      </c>
      <c r="J476" s="12" t="str">
        <f aca="false">IFERROR(VLOOKUP($F476,ItemList_Full,4,0),"")</f>
        <v/>
      </c>
      <c r="K476" s="13" t="n">
        <v>720</v>
      </c>
      <c r="L476" s="12"/>
      <c r="M476" s="24"/>
      <c r="N476" s="12" t="s">
        <v>229</v>
      </c>
      <c r="O476" s="12"/>
      <c r="P476" s="13" t="n">
        <f aca="false">IF($E476="","",IF(OR($E476="Director Draw",$E476="Payroll/Employee Charge"),0,-$K476))</f>
        <v>-720</v>
      </c>
      <c r="Q476" s="12" t="n">
        <f aca="false">IF($E476="Inventory Purchase",$H476,0)</f>
        <v>0</v>
      </c>
      <c r="U476" s="1" t="s">
        <v>1554</v>
      </c>
      <c r="V476" s="1" t="s">
        <v>1555</v>
      </c>
      <c r="W476" s="1" t="s">
        <v>246</v>
      </c>
      <c r="X476" s="1" t="n">
        <v>500</v>
      </c>
      <c r="Y476" s="1" t="s">
        <v>128</v>
      </c>
    </row>
    <row r="477" customFormat="false" ht="15" hidden="false" customHeight="true" outlineLevel="0" collapsed="false">
      <c r="A477" s="19" t="n">
        <v>46288</v>
      </c>
      <c r="B477" s="12" t="n">
        <f aca="false">IF($A477="","",ROW()-4)</f>
        <v>473</v>
      </c>
      <c r="C477" s="12" t="s">
        <v>449</v>
      </c>
      <c r="D477" s="12" t="s">
        <v>557</v>
      </c>
      <c r="E477" s="24" t="s">
        <v>139</v>
      </c>
      <c r="F477" s="12"/>
      <c r="G477" s="12" t="str">
        <f aca="false">IFERROR(VLOOKUP($F477,ItemList_Full,2,0),"")</f>
        <v/>
      </c>
      <c r="H477" s="12"/>
      <c r="I477" s="12" t="str">
        <f aca="false">IFERROR(VLOOKUP($F477,ItemList_Full,3,0),"")</f>
        <v/>
      </c>
      <c r="J477" s="12" t="str">
        <f aca="false">IFERROR(VLOOKUP($F477,ItemList_Full,4,0),"")</f>
        <v/>
      </c>
      <c r="K477" s="13" t="n">
        <v>301</v>
      </c>
      <c r="L477" s="12"/>
      <c r="M477" s="24"/>
      <c r="N477" s="12" t="s">
        <v>229</v>
      </c>
      <c r="O477" s="12"/>
      <c r="P477" s="13" t="n">
        <f aca="false">IF($E477="","",IF(OR($E477="Director Draw",$E477="Payroll/Employee Charge"),0,-$K477))</f>
        <v>-301</v>
      </c>
      <c r="Q477" s="12" t="n">
        <f aca="false">IF($E477="Inventory Purchase",$H477,0)</f>
        <v>0</v>
      </c>
      <c r="U477" s="1" t="s">
        <v>1556</v>
      </c>
      <c r="V477" s="1" t="s">
        <v>1557</v>
      </c>
      <c r="W477" s="1" t="s">
        <v>246</v>
      </c>
      <c r="X477" s="1" t="n">
        <v>1800</v>
      </c>
      <c r="Y477" s="1" t="s">
        <v>128</v>
      </c>
    </row>
    <row r="478" customFormat="false" ht="15" hidden="false" customHeight="true" outlineLevel="0" collapsed="false">
      <c r="A478" s="19" t="n">
        <v>46288</v>
      </c>
      <c r="B478" s="12" t="n">
        <f aca="false">IF($A478="","",ROW()-4)</f>
        <v>474</v>
      </c>
      <c r="C478" s="12" t="s">
        <v>449</v>
      </c>
      <c r="D478" s="12" t="s">
        <v>846</v>
      </c>
      <c r="E478" s="24" t="s">
        <v>139</v>
      </c>
      <c r="F478" s="12"/>
      <c r="G478" s="12" t="str">
        <f aca="false">IFERROR(VLOOKUP($F478,ItemList_Full,2,0),"")</f>
        <v/>
      </c>
      <c r="H478" s="12"/>
      <c r="I478" s="12" t="str">
        <f aca="false">IFERROR(VLOOKUP($F478,ItemList_Full,3,0),"")</f>
        <v/>
      </c>
      <c r="J478" s="12" t="str">
        <f aca="false">IFERROR(VLOOKUP($F478,ItemList_Full,4,0),"")</f>
        <v/>
      </c>
      <c r="K478" s="13" t="n">
        <v>3400</v>
      </c>
      <c r="L478" s="12"/>
      <c r="M478" s="24"/>
      <c r="N478" s="12" t="s">
        <v>229</v>
      </c>
      <c r="O478" s="12"/>
      <c r="P478" s="13" t="n">
        <f aca="false">IF($E478="","",IF(OR($E478="Director Draw",$E478="Payroll/Employee Charge"),0,-$K478))</f>
        <v>-3400</v>
      </c>
      <c r="Q478" s="12" t="n">
        <f aca="false">IF($E478="Inventory Purchase",$H478,0)</f>
        <v>0</v>
      </c>
      <c r="U478" s="1" t="s">
        <v>1558</v>
      </c>
      <c r="V478" s="1" t="s">
        <v>1559</v>
      </c>
      <c r="W478" s="1" t="s">
        <v>246</v>
      </c>
      <c r="X478" s="1" t="n">
        <v>3500</v>
      </c>
      <c r="Y478" s="1" t="s">
        <v>128</v>
      </c>
    </row>
    <row r="479" customFormat="false" ht="15" hidden="false" customHeight="true" outlineLevel="0" collapsed="false">
      <c r="A479" s="19" t="n">
        <v>46288</v>
      </c>
      <c r="B479" s="12" t="n">
        <f aca="false">IF($A479="","",ROW()-4)</f>
        <v>475</v>
      </c>
      <c r="C479" s="12" t="s">
        <v>449</v>
      </c>
      <c r="D479" s="12" t="s">
        <v>1560</v>
      </c>
      <c r="E479" s="24" t="s">
        <v>139</v>
      </c>
      <c r="F479" s="12"/>
      <c r="G479" s="12" t="str">
        <f aca="false">IFERROR(VLOOKUP($F479,ItemList_Full,2,0),"")</f>
        <v/>
      </c>
      <c r="H479" s="12"/>
      <c r="I479" s="12" t="str">
        <f aca="false">IFERROR(VLOOKUP($F479,ItemList_Full,3,0),"")</f>
        <v/>
      </c>
      <c r="J479" s="12" t="str">
        <f aca="false">IFERROR(VLOOKUP($F479,ItemList_Full,4,0),"")</f>
        <v/>
      </c>
      <c r="K479" s="13" t="n">
        <v>19000</v>
      </c>
      <c r="L479" s="12"/>
      <c r="M479" s="24"/>
      <c r="N479" s="12" t="s">
        <v>229</v>
      </c>
      <c r="O479" s="12"/>
      <c r="P479" s="13" t="n">
        <f aca="false">IF($E479="","",IF(OR($E479="Director Draw",$E479="Payroll/Employee Charge"),0,-$K479))</f>
        <v>-19000</v>
      </c>
      <c r="Q479" s="12" t="n">
        <f aca="false">IF($E479="Inventory Purchase",$H479,0)</f>
        <v>0</v>
      </c>
      <c r="U479" s="1" t="s">
        <v>1561</v>
      </c>
      <c r="V479" s="1" t="s">
        <v>1562</v>
      </c>
      <c r="W479" s="1" t="s">
        <v>246</v>
      </c>
      <c r="X479" s="1" t="n">
        <v>4000</v>
      </c>
      <c r="Y479" s="1" t="s">
        <v>128</v>
      </c>
    </row>
    <row r="480" customFormat="false" ht="15" hidden="false" customHeight="true" outlineLevel="0" collapsed="false">
      <c r="A480" s="19" t="n">
        <v>46288</v>
      </c>
      <c r="B480" s="12" t="n">
        <f aca="false">IF($A480="","",ROW()-4)</f>
        <v>476</v>
      </c>
      <c r="C480" s="12" t="s">
        <v>1563</v>
      </c>
      <c r="D480" s="12" t="s">
        <v>1564</v>
      </c>
      <c r="E480" s="24" t="s">
        <v>139</v>
      </c>
      <c r="F480" s="12"/>
      <c r="G480" s="12" t="str">
        <f aca="false">IFERROR(VLOOKUP($F480,ItemList_Full,2,0),"")</f>
        <v/>
      </c>
      <c r="H480" s="12"/>
      <c r="I480" s="12" t="str">
        <f aca="false">IFERROR(VLOOKUP($F480,ItemList_Full,3,0),"")</f>
        <v/>
      </c>
      <c r="J480" s="12" t="str">
        <f aca="false">IFERROR(VLOOKUP($F480,ItemList_Full,4,0),"")</f>
        <v/>
      </c>
      <c r="K480" s="13" t="n">
        <v>350000</v>
      </c>
      <c r="L480" s="12"/>
      <c r="M480" s="24"/>
      <c r="N480" s="12" t="s">
        <v>229</v>
      </c>
      <c r="O480" s="12"/>
      <c r="P480" s="13" t="n">
        <f aca="false">IF($E480="","",IF(OR($E480="Director Draw",$E480="Payroll/Employee Charge"),0,-$K480))</f>
        <v>-350000</v>
      </c>
      <c r="Q480" s="12" t="n">
        <f aca="false">IF($E480="Inventory Purchase",$H480,0)</f>
        <v>0</v>
      </c>
      <c r="U480" s="1" t="s">
        <v>1565</v>
      </c>
      <c r="V480" s="1" t="s">
        <v>1566</v>
      </c>
      <c r="W480" s="1" t="s">
        <v>815</v>
      </c>
      <c r="X480" s="1" t="n">
        <v>1070</v>
      </c>
      <c r="Y480" s="1" t="s">
        <v>128</v>
      </c>
    </row>
    <row r="481" customFormat="false" ht="15" hidden="false" customHeight="true" outlineLevel="0" collapsed="false">
      <c r="A481" s="19" t="n">
        <v>46288</v>
      </c>
      <c r="B481" s="12" t="n">
        <f aca="false">IF($A481="","",ROW()-4)</f>
        <v>477</v>
      </c>
      <c r="C481" s="12" t="s">
        <v>242</v>
      </c>
      <c r="D481" s="12" t="s">
        <v>243</v>
      </c>
      <c r="E481" s="24" t="s">
        <v>139</v>
      </c>
      <c r="F481" s="12"/>
      <c r="G481" s="12" t="str">
        <f aca="false">IFERROR(VLOOKUP($F481,ItemList_Full,2,0),"")</f>
        <v/>
      </c>
      <c r="H481" s="12"/>
      <c r="I481" s="12" t="str">
        <f aca="false">IFERROR(VLOOKUP($F481,ItemList_Full,3,0),"")</f>
        <v/>
      </c>
      <c r="J481" s="12" t="str">
        <f aca="false">IFERROR(VLOOKUP($F481,ItemList_Full,4,0),"")</f>
        <v/>
      </c>
      <c r="K481" s="13" t="n">
        <v>11000</v>
      </c>
      <c r="L481" s="12"/>
      <c r="M481" s="24"/>
      <c r="N481" s="12" t="s">
        <v>229</v>
      </c>
      <c r="O481" s="12"/>
      <c r="P481" s="13" t="n">
        <f aca="false">IF($E481="","",IF(OR($E481="Director Draw",$E481="Payroll/Employee Charge"),0,-$K481))</f>
        <v>-11000</v>
      </c>
      <c r="Q481" s="12" t="n">
        <f aca="false">IF($E481="Inventory Purchase",$H481,0)</f>
        <v>0</v>
      </c>
      <c r="U481" s="1" t="s">
        <v>1567</v>
      </c>
      <c r="V481" s="1" t="s">
        <v>1568</v>
      </c>
      <c r="W481" s="1" t="s">
        <v>815</v>
      </c>
      <c r="X481" s="1" t="n">
        <v>400</v>
      </c>
      <c r="Y481" s="1" t="s">
        <v>128</v>
      </c>
    </row>
    <row r="482" customFormat="false" ht="15" hidden="false" customHeight="true" outlineLevel="0" collapsed="false">
      <c r="A482" s="19" t="n">
        <v>46288</v>
      </c>
      <c r="B482" s="12" t="n">
        <f aca="false">IF($A482="","",ROW()-4)</f>
        <v>478</v>
      </c>
      <c r="C482" s="12" t="s">
        <v>1569</v>
      </c>
      <c r="D482" s="12" t="s">
        <v>1569</v>
      </c>
      <c r="E482" s="24" t="s">
        <v>152</v>
      </c>
      <c r="F482" s="12"/>
      <c r="G482" s="12" t="str">
        <f aca="false">IFERROR(VLOOKUP($F482,ItemList_Full,2,0),"")</f>
        <v/>
      </c>
      <c r="H482" s="12"/>
      <c r="I482" s="12" t="str">
        <f aca="false">IFERROR(VLOOKUP($F482,ItemList_Full,3,0),"")</f>
        <v/>
      </c>
      <c r="J482" s="12" t="str">
        <f aca="false">IFERROR(VLOOKUP($F482,ItemList_Full,4,0),"")</f>
        <v/>
      </c>
      <c r="K482" s="13" t="n">
        <v>250100</v>
      </c>
      <c r="L482" s="12"/>
      <c r="M482" s="24"/>
      <c r="N482" s="12" t="s">
        <v>229</v>
      </c>
      <c r="O482" s="12"/>
      <c r="P482" s="13" t="n">
        <f aca="false">IF($E482="","",IF(OR($E482="Director Draw",$E482="Payroll/Employee Charge"),0,-$K482))</f>
        <v>-250100</v>
      </c>
      <c r="Q482" s="12" t="n">
        <f aca="false">IF($E482="Inventory Purchase",$H482,0)</f>
        <v>0</v>
      </c>
      <c r="U482" s="1" t="s">
        <v>1570</v>
      </c>
      <c r="V482" s="1" t="s">
        <v>1571</v>
      </c>
      <c r="W482" s="1" t="s">
        <v>1081</v>
      </c>
      <c r="X482" s="1" t="n">
        <v>6200</v>
      </c>
      <c r="Y482" s="1" t="s">
        <v>128</v>
      </c>
    </row>
    <row r="483" customFormat="false" ht="15" hidden="false" customHeight="true" outlineLevel="0" collapsed="false">
      <c r="A483" s="19" t="n">
        <v>46288</v>
      </c>
      <c r="B483" s="12" t="n">
        <f aca="false">IF($A483="","",ROW()-4)</f>
        <v>479</v>
      </c>
      <c r="C483" s="12" t="s">
        <v>1572</v>
      </c>
      <c r="D483" s="12" t="s">
        <v>1573</v>
      </c>
      <c r="E483" s="24" t="s">
        <v>151</v>
      </c>
      <c r="F483" s="12"/>
      <c r="G483" s="12" t="str">
        <f aca="false">IFERROR(VLOOKUP($F483,ItemList_Full,2,0),"")</f>
        <v/>
      </c>
      <c r="H483" s="12"/>
      <c r="I483" s="12" t="str">
        <f aca="false">IFERROR(VLOOKUP($F483,ItemList_Full,3,0),"")</f>
        <v/>
      </c>
      <c r="J483" s="12" t="str">
        <f aca="false">IFERROR(VLOOKUP($F483,ItemList_Full,4,0),"")</f>
        <v/>
      </c>
      <c r="K483" s="13" t="n">
        <v>1800</v>
      </c>
      <c r="L483" s="12"/>
      <c r="M483" s="24"/>
      <c r="N483" s="12" t="s">
        <v>229</v>
      </c>
      <c r="O483" s="12"/>
      <c r="P483" s="13" t="n">
        <f aca="false">IF($E483="","",IF(OR($E483="Director Draw",$E483="Payroll/Employee Charge"),0,-$K483))</f>
        <v>-1800</v>
      </c>
      <c r="Q483" s="12" t="n">
        <f aca="false">IF($E483="Inventory Purchase",$H483,0)</f>
        <v>0</v>
      </c>
      <c r="U483" s="1" t="s">
        <v>1574</v>
      </c>
      <c r="V483" s="1" t="s">
        <v>1575</v>
      </c>
      <c r="W483" s="1" t="s">
        <v>1081</v>
      </c>
      <c r="X483" s="1" t="n">
        <v>0</v>
      </c>
      <c r="Y483" s="1" t="s">
        <v>131</v>
      </c>
    </row>
    <row r="484" customFormat="false" ht="15" hidden="false" customHeight="true" outlineLevel="0" collapsed="false">
      <c r="A484" s="19" t="n">
        <v>46288</v>
      </c>
      <c r="B484" s="12" t="n">
        <f aca="false">IF($A484="","",ROW()-4)</f>
        <v>480</v>
      </c>
      <c r="C484" s="12" t="s">
        <v>276</v>
      </c>
      <c r="D484" s="12" t="s">
        <v>1326</v>
      </c>
      <c r="E484" s="24" t="s">
        <v>143</v>
      </c>
      <c r="F484" s="12"/>
      <c r="G484" s="12" t="str">
        <f aca="false">IFERROR(VLOOKUP($F484,ItemList_Full,2,0),"")</f>
        <v/>
      </c>
      <c r="H484" s="12"/>
      <c r="I484" s="12" t="str">
        <f aca="false">IFERROR(VLOOKUP($F484,ItemList_Full,3,0),"")</f>
        <v/>
      </c>
      <c r="J484" s="12" t="str">
        <f aca="false">IFERROR(VLOOKUP($F484,ItemList_Full,4,0),"")</f>
        <v/>
      </c>
      <c r="K484" s="13" t="n">
        <v>865</v>
      </c>
      <c r="L484" s="12"/>
      <c r="M484" s="24"/>
      <c r="N484" s="12" t="s">
        <v>229</v>
      </c>
      <c r="O484" s="12"/>
      <c r="P484" s="13" t="n">
        <f aca="false">IF($E484="","",IF(OR($E484="Director Draw",$E484="Payroll/Employee Charge"),0,-$K484))</f>
        <v>-865</v>
      </c>
      <c r="Q484" s="12" t="n">
        <f aca="false">IF($E484="Inventory Purchase",$H484,0)</f>
        <v>0</v>
      </c>
      <c r="U484" s="1" t="s">
        <v>1576</v>
      </c>
      <c r="V484" s="1" t="s">
        <v>1446</v>
      </c>
      <c r="W484" s="1" t="s">
        <v>815</v>
      </c>
      <c r="X484" s="1" t="n">
        <v>371.59</v>
      </c>
      <c r="Y484" s="1" t="s">
        <v>130</v>
      </c>
    </row>
    <row r="485" customFormat="false" ht="15" hidden="false" customHeight="true" outlineLevel="0" collapsed="false">
      <c r="A485" s="19" t="n">
        <v>46288</v>
      </c>
      <c r="B485" s="12" t="n">
        <f aca="false">IF($A485="","",ROW()-4)</f>
        <v>481</v>
      </c>
      <c r="C485" s="12" t="s">
        <v>276</v>
      </c>
      <c r="D485" s="12" t="s">
        <v>1323</v>
      </c>
      <c r="E485" s="24" t="s">
        <v>143</v>
      </c>
      <c r="F485" s="12"/>
      <c r="G485" s="12" t="str">
        <f aca="false">IFERROR(VLOOKUP($F485,ItemList_Full,2,0),"")</f>
        <v/>
      </c>
      <c r="H485" s="12"/>
      <c r="I485" s="12" t="str">
        <f aca="false">IFERROR(VLOOKUP($F485,ItemList_Full,3,0),"")</f>
        <v/>
      </c>
      <c r="J485" s="12" t="str">
        <f aca="false">IFERROR(VLOOKUP($F485,ItemList_Full,4,0),"")</f>
        <v/>
      </c>
      <c r="K485" s="13" t="n">
        <v>1095</v>
      </c>
      <c r="L485" s="12"/>
      <c r="M485" s="24"/>
      <c r="N485" s="12" t="s">
        <v>229</v>
      </c>
      <c r="O485" s="12"/>
      <c r="P485" s="13" t="n">
        <f aca="false">IF($E485="","",IF(OR($E485="Director Draw",$E485="Payroll/Employee Charge"),0,-$K485))</f>
        <v>-1095</v>
      </c>
      <c r="Q485" s="12" t="n">
        <f aca="false">IF($E485="Inventory Purchase",$H485,0)</f>
        <v>0</v>
      </c>
      <c r="U485" s="1" t="s">
        <v>1577</v>
      </c>
      <c r="V485" s="1" t="s">
        <v>1578</v>
      </c>
      <c r="W485" s="1" t="s">
        <v>354</v>
      </c>
      <c r="X485" s="1" t="n">
        <v>17025</v>
      </c>
      <c r="Y485" s="1" t="s">
        <v>130</v>
      </c>
    </row>
    <row r="486" customFormat="false" ht="15" hidden="false" customHeight="true" outlineLevel="0" collapsed="false">
      <c r="A486" s="19" t="n">
        <v>46288</v>
      </c>
      <c r="B486" s="12" t="n">
        <f aca="false">IF($A486="","",ROW()-4)</f>
        <v>482</v>
      </c>
      <c r="C486" s="12" t="s">
        <v>361</v>
      </c>
      <c r="D486" s="12" t="s">
        <v>1579</v>
      </c>
      <c r="E486" s="24" t="s">
        <v>149</v>
      </c>
      <c r="F486" s="12"/>
      <c r="G486" s="12" t="str">
        <f aca="false">IFERROR(VLOOKUP($F486,ItemList_Full,2,0),"")</f>
        <v/>
      </c>
      <c r="H486" s="12"/>
      <c r="I486" s="12" t="str">
        <f aca="false">IFERROR(VLOOKUP($F486,ItemList_Full,3,0),"")</f>
        <v/>
      </c>
      <c r="J486" s="12" t="str">
        <f aca="false">IFERROR(VLOOKUP($F486,ItemList_Full,4,0),"")</f>
        <v/>
      </c>
      <c r="K486" s="13" t="n">
        <v>240</v>
      </c>
      <c r="L486" s="12"/>
      <c r="M486" s="24"/>
      <c r="N486" s="12" t="s">
        <v>229</v>
      </c>
      <c r="O486" s="12"/>
      <c r="P486" s="13" t="n">
        <f aca="false">IF($E486="","",IF(OR($E486="Director Draw",$E486="Payroll/Employee Charge"),0,-$K486))</f>
        <v>-240</v>
      </c>
      <c r="Q486" s="12" t="n">
        <f aca="false">IF($E486="Inventory Purchase",$H486,0)</f>
        <v>0</v>
      </c>
    </row>
    <row r="487" customFormat="false" ht="15" hidden="false" customHeight="true" outlineLevel="0" collapsed="false">
      <c r="A487" s="19" t="n">
        <v>46288</v>
      </c>
      <c r="B487" s="12" t="n">
        <f aca="false">IF($A487="","",ROW()-4)</f>
        <v>483</v>
      </c>
      <c r="C487" s="12" t="s">
        <v>361</v>
      </c>
      <c r="D487" s="12" t="s">
        <v>1580</v>
      </c>
      <c r="E487" s="24" t="s">
        <v>149</v>
      </c>
      <c r="F487" s="12"/>
      <c r="G487" s="12" t="str">
        <f aca="false">IFERROR(VLOOKUP($F487,ItemList_Full,2,0),"")</f>
        <v/>
      </c>
      <c r="H487" s="12"/>
      <c r="I487" s="12" t="str">
        <f aca="false">IFERROR(VLOOKUP($F487,ItemList_Full,3,0),"")</f>
        <v/>
      </c>
      <c r="J487" s="12" t="str">
        <f aca="false">IFERROR(VLOOKUP($F487,ItemList_Full,4,0),"")</f>
        <v/>
      </c>
      <c r="K487" s="13" t="n">
        <v>180</v>
      </c>
      <c r="L487" s="12"/>
      <c r="M487" s="24"/>
      <c r="N487" s="12" t="s">
        <v>229</v>
      </c>
      <c r="O487" s="12"/>
      <c r="P487" s="13" t="n">
        <f aca="false">IF($E487="","",IF(OR($E487="Director Draw",$E487="Payroll/Employee Charge"),0,-$K487))</f>
        <v>-180</v>
      </c>
      <c r="Q487" s="12" t="n">
        <f aca="false">IF($E487="Inventory Purchase",$H487,0)</f>
        <v>0</v>
      </c>
    </row>
    <row r="488" customFormat="false" ht="15" hidden="false" customHeight="true" outlineLevel="0" collapsed="false">
      <c r="A488" s="19" t="n">
        <v>46288</v>
      </c>
      <c r="B488" s="12" t="n">
        <f aca="false">IF($A488="","",ROW()-4)</f>
        <v>484</v>
      </c>
      <c r="C488" s="12" t="s">
        <v>480</v>
      </c>
      <c r="D488" s="12" t="s">
        <v>1581</v>
      </c>
      <c r="E488" s="24" t="s">
        <v>150</v>
      </c>
      <c r="F488" s="12"/>
      <c r="G488" s="12" t="str">
        <f aca="false">IFERROR(VLOOKUP($F488,ItemList_Full,2,0),"")</f>
        <v/>
      </c>
      <c r="H488" s="12"/>
      <c r="I488" s="12" t="str">
        <f aca="false">IFERROR(VLOOKUP($F488,ItemList_Full,3,0),"")</f>
        <v/>
      </c>
      <c r="J488" s="12" t="str">
        <f aca="false">IFERROR(VLOOKUP($F488,ItemList_Full,4,0),"")</f>
        <v/>
      </c>
      <c r="K488" s="13" t="n">
        <v>675</v>
      </c>
      <c r="L488" s="12"/>
      <c r="M488" s="24"/>
      <c r="N488" s="12" t="s">
        <v>229</v>
      </c>
      <c r="O488" s="12"/>
      <c r="P488" s="13" t="n">
        <f aca="false">IF($E488="","",IF(OR($E488="Director Draw",$E488="Payroll/Employee Charge"),0,-$K488))</f>
        <v>-675</v>
      </c>
      <c r="Q488" s="12" t="n">
        <f aca="false">IF($E488="Inventory Purchase",$H488,0)</f>
        <v>0</v>
      </c>
    </row>
    <row r="489" customFormat="false" ht="15" hidden="false" customHeight="true" outlineLevel="0" collapsed="false">
      <c r="A489" s="19" t="n">
        <v>46289</v>
      </c>
      <c r="B489" s="12" t="n">
        <f aca="false">IF($A489="","",ROW()-4)</f>
        <v>485</v>
      </c>
      <c r="C489" s="12" t="s">
        <v>225</v>
      </c>
      <c r="D489" s="12" t="s">
        <v>1582</v>
      </c>
      <c r="E489" s="24" t="s">
        <v>227</v>
      </c>
      <c r="F489" s="12"/>
      <c r="G489" s="12" t="str">
        <f aca="false">IFERROR(VLOOKUP($F489,ItemList_Full,2,0),"")</f>
        <v/>
      </c>
      <c r="H489" s="12"/>
      <c r="I489" s="12" t="str">
        <f aca="false">IFERROR(VLOOKUP($F489,ItemList_Full,3,0),"")</f>
        <v/>
      </c>
      <c r="J489" s="12" t="str">
        <f aca="false">IFERROR(VLOOKUP($F489,ItemList_Full,4,0),"")</f>
        <v/>
      </c>
      <c r="K489" s="13" t="n">
        <v>320</v>
      </c>
      <c r="L489" s="12"/>
      <c r="M489" s="24" t="s">
        <v>234</v>
      </c>
      <c r="N489" s="12" t="s">
        <v>229</v>
      </c>
      <c r="O489" s="12"/>
      <c r="P489" s="13" t="n">
        <f aca="false">IF($E489="","",IF(OR($E489="Director Draw",$E489="Payroll/Employee Charge"),0,-$K489))</f>
        <v>0</v>
      </c>
      <c r="Q489" s="12" t="n">
        <f aca="false">IF($E489="Inventory Purchase",$H489,0)</f>
        <v>0</v>
      </c>
    </row>
    <row r="490" customFormat="false" ht="15" hidden="false" customHeight="true" outlineLevel="0" collapsed="false">
      <c r="A490" s="19" t="n">
        <v>46289</v>
      </c>
      <c r="B490" s="12" t="n">
        <f aca="false">IF($A490="","",ROW()-4)</f>
        <v>486</v>
      </c>
      <c r="C490" s="12" t="s">
        <v>247</v>
      </c>
      <c r="D490" s="12" t="s">
        <v>248</v>
      </c>
      <c r="E490" s="24" t="s">
        <v>153</v>
      </c>
      <c r="F490" s="12"/>
      <c r="G490" s="12" t="str">
        <f aca="false">IFERROR(VLOOKUP($F490,ItemList_Full,2,0),"")</f>
        <v/>
      </c>
      <c r="H490" s="12"/>
      <c r="I490" s="12" t="str">
        <f aca="false">IFERROR(VLOOKUP($F490,ItemList_Full,3,0),"")</f>
        <v/>
      </c>
      <c r="J490" s="12" t="str">
        <f aca="false">IFERROR(VLOOKUP($F490,ItemList_Full,4,0),"")</f>
        <v/>
      </c>
      <c r="K490" s="13" t="n">
        <v>8311</v>
      </c>
      <c r="L490" s="12"/>
      <c r="M490" s="24"/>
      <c r="N490" s="12" t="s">
        <v>229</v>
      </c>
      <c r="O490" s="12"/>
      <c r="P490" s="13" t="n">
        <f aca="false">IF($E490="","",IF(OR($E490="Director Draw",$E490="Payroll/Employee Charge"),0,-$K490))</f>
        <v>-8311</v>
      </c>
      <c r="Q490" s="12" t="n">
        <f aca="false">IF($E490="Inventory Purchase",$H490,0)</f>
        <v>0</v>
      </c>
    </row>
    <row r="491" customFormat="false" ht="15" hidden="false" customHeight="true" outlineLevel="0" collapsed="false">
      <c r="A491" s="19" t="n">
        <v>46289</v>
      </c>
      <c r="B491" s="12" t="n">
        <f aca="false">IF($A491="","",ROW()-4)</f>
        <v>487</v>
      </c>
      <c r="C491" s="12" t="s">
        <v>255</v>
      </c>
      <c r="D491" s="12" t="s">
        <v>542</v>
      </c>
      <c r="E491" s="24" t="s">
        <v>139</v>
      </c>
      <c r="F491" s="12"/>
      <c r="G491" s="12" t="str">
        <f aca="false">IFERROR(VLOOKUP($F491,ItemList_Full,2,0),"")</f>
        <v/>
      </c>
      <c r="H491" s="12"/>
      <c r="I491" s="12" t="str">
        <f aca="false">IFERROR(VLOOKUP($F491,ItemList_Full,3,0),"")</f>
        <v/>
      </c>
      <c r="J491" s="12" t="str">
        <f aca="false">IFERROR(VLOOKUP($F491,ItemList_Full,4,0),"")</f>
        <v/>
      </c>
      <c r="K491" s="13" t="n">
        <v>900</v>
      </c>
      <c r="L491" s="12"/>
      <c r="M491" s="24"/>
      <c r="N491" s="12" t="s">
        <v>229</v>
      </c>
      <c r="O491" s="12"/>
      <c r="P491" s="13" t="n">
        <f aca="false">IF($E491="","",IF(OR($E491="Director Draw",$E491="Payroll/Employee Charge"),0,-$K491))</f>
        <v>-900</v>
      </c>
      <c r="Q491" s="12" t="n">
        <f aca="false">IF($E491="Inventory Purchase",$H491,0)</f>
        <v>0</v>
      </c>
    </row>
    <row r="492" customFormat="false" ht="15" hidden="false" customHeight="true" outlineLevel="0" collapsed="false">
      <c r="A492" s="19" t="n">
        <v>46289</v>
      </c>
      <c r="B492" s="12" t="n">
        <f aca="false">IF($A492="","",ROW()-4)</f>
        <v>488</v>
      </c>
      <c r="C492" s="12" t="s">
        <v>449</v>
      </c>
      <c r="D492" s="12" t="s">
        <v>260</v>
      </c>
      <c r="E492" s="24" t="s">
        <v>139</v>
      </c>
      <c r="F492" s="12"/>
      <c r="G492" s="12" t="str">
        <f aca="false">IFERROR(VLOOKUP($F492,ItemList_Full,2,0),"")</f>
        <v/>
      </c>
      <c r="H492" s="12"/>
      <c r="I492" s="12" t="str">
        <f aca="false">IFERROR(VLOOKUP($F492,ItemList_Full,3,0),"")</f>
        <v/>
      </c>
      <c r="J492" s="12" t="str">
        <f aca="false">IFERROR(VLOOKUP($F492,ItemList_Full,4,0),"")</f>
        <v/>
      </c>
      <c r="K492" s="13" t="n">
        <v>1635</v>
      </c>
      <c r="L492" s="12"/>
      <c r="M492" s="24"/>
      <c r="N492" s="12" t="s">
        <v>229</v>
      </c>
      <c r="O492" s="12"/>
      <c r="P492" s="13" t="n">
        <f aca="false">IF($E492="","",IF(OR($E492="Director Draw",$E492="Payroll/Employee Charge"),0,-$K492))</f>
        <v>-1635</v>
      </c>
      <c r="Q492" s="12" t="n">
        <f aca="false">IF($E492="Inventory Purchase",$H492,0)</f>
        <v>0</v>
      </c>
    </row>
    <row r="493" customFormat="false" ht="15" hidden="false" customHeight="true" outlineLevel="0" collapsed="false">
      <c r="A493" s="19" t="n">
        <v>46289</v>
      </c>
      <c r="B493" s="12" t="n">
        <f aca="false">IF($A493="","",ROW()-4)</f>
        <v>489</v>
      </c>
      <c r="C493" s="12" t="s">
        <v>1563</v>
      </c>
      <c r="D493" s="12" t="s">
        <v>1564</v>
      </c>
      <c r="E493" s="24" t="s">
        <v>139</v>
      </c>
      <c r="F493" s="12"/>
      <c r="G493" s="12" t="str">
        <f aca="false">IFERROR(VLOOKUP($F493,ItemList_Full,2,0),"")</f>
        <v/>
      </c>
      <c r="H493" s="12"/>
      <c r="I493" s="12" t="str">
        <f aca="false">IFERROR(VLOOKUP($F493,ItemList_Full,3,0),"")</f>
        <v/>
      </c>
      <c r="J493" s="12" t="str">
        <f aca="false">IFERROR(VLOOKUP($F493,ItemList_Full,4,0),"")</f>
        <v/>
      </c>
      <c r="K493" s="13" t="n">
        <v>72500</v>
      </c>
      <c r="L493" s="12"/>
      <c r="M493" s="24"/>
      <c r="N493" s="12" t="s">
        <v>229</v>
      </c>
      <c r="O493" s="12"/>
      <c r="P493" s="13" t="n">
        <f aca="false">IF($E493="","",IF(OR($E493="Director Draw",$E493="Payroll/Employee Charge"),0,-$K493))</f>
        <v>-72500</v>
      </c>
      <c r="Q493" s="12" t="n">
        <f aca="false">IF($E493="Inventory Purchase",$H493,0)</f>
        <v>0</v>
      </c>
    </row>
    <row r="494" customFormat="false" ht="15" hidden="false" customHeight="true" outlineLevel="0" collapsed="false">
      <c r="A494" s="19" t="n">
        <v>46289</v>
      </c>
      <c r="B494" s="12" t="n">
        <f aca="false">IF($A494="","",ROW()-4)</f>
        <v>490</v>
      </c>
      <c r="C494" s="12" t="s">
        <v>317</v>
      </c>
      <c r="D494" s="12" t="s">
        <v>680</v>
      </c>
      <c r="E494" s="24" t="s">
        <v>139</v>
      </c>
      <c r="F494" s="12"/>
      <c r="G494" s="12" t="str">
        <f aca="false">IFERROR(VLOOKUP($F494,ItemList_Full,2,0),"")</f>
        <v/>
      </c>
      <c r="H494" s="12"/>
      <c r="I494" s="12" t="str">
        <f aca="false">IFERROR(VLOOKUP($F494,ItemList_Full,3,0),"")</f>
        <v/>
      </c>
      <c r="J494" s="12" t="str">
        <f aca="false">IFERROR(VLOOKUP($F494,ItemList_Full,4,0),"")</f>
        <v/>
      </c>
      <c r="K494" s="13" t="n">
        <v>13619</v>
      </c>
      <c r="L494" s="12"/>
      <c r="M494" s="24"/>
      <c r="N494" s="12" t="s">
        <v>229</v>
      </c>
      <c r="O494" s="12"/>
      <c r="P494" s="13" t="n">
        <f aca="false">IF($E494="","",IF(OR($E494="Director Draw",$E494="Payroll/Employee Charge"),0,-$K494))</f>
        <v>-13619</v>
      </c>
      <c r="Q494" s="12" t="n">
        <f aca="false">IF($E494="Inventory Purchase",$H494,0)</f>
        <v>0</v>
      </c>
    </row>
    <row r="495" customFormat="false" ht="15" hidden="false" customHeight="true" outlineLevel="0" collapsed="false">
      <c r="A495" s="19" t="n">
        <v>46289</v>
      </c>
      <c r="B495" s="12" t="n">
        <f aca="false">IF($A495="","",ROW()-4)</f>
        <v>491</v>
      </c>
      <c r="C495" s="12" t="s">
        <v>237</v>
      </c>
      <c r="D495" s="12" t="s">
        <v>238</v>
      </c>
      <c r="E495" s="24" t="s">
        <v>139</v>
      </c>
      <c r="F495" s="12"/>
      <c r="G495" s="12" t="str">
        <f aca="false">IFERROR(VLOOKUP($F495,ItemList_Full,2,0),"")</f>
        <v/>
      </c>
      <c r="H495" s="12"/>
      <c r="I495" s="12" t="str">
        <f aca="false">IFERROR(VLOOKUP($F495,ItemList_Full,3,0),"")</f>
        <v/>
      </c>
      <c r="J495" s="12" t="str">
        <f aca="false">IFERROR(VLOOKUP($F495,ItemList_Full,4,0),"")</f>
        <v/>
      </c>
      <c r="K495" s="13" t="n">
        <v>79152</v>
      </c>
      <c r="L495" s="12"/>
      <c r="M495" s="24"/>
      <c r="N495" s="12" t="s">
        <v>229</v>
      </c>
      <c r="O495" s="12"/>
      <c r="P495" s="13" t="n">
        <f aca="false">IF($E495="","",IF(OR($E495="Director Draw",$E495="Payroll/Employee Charge"),0,-$K495))</f>
        <v>-79152</v>
      </c>
      <c r="Q495" s="12" t="n">
        <f aca="false">IF($E495="Inventory Purchase",$H495,0)</f>
        <v>0</v>
      </c>
    </row>
    <row r="496" customFormat="false" ht="15" hidden="false" customHeight="true" outlineLevel="0" collapsed="false">
      <c r="A496" s="19" t="n">
        <v>46289</v>
      </c>
      <c r="B496" s="12" t="n">
        <f aca="false">IF($A496="","",ROW()-4)</f>
        <v>492</v>
      </c>
      <c r="C496" s="12" t="s">
        <v>242</v>
      </c>
      <c r="D496" s="12" t="s">
        <v>243</v>
      </c>
      <c r="E496" s="24" t="s">
        <v>139</v>
      </c>
      <c r="F496" s="12"/>
      <c r="G496" s="12" t="str">
        <f aca="false">IFERROR(VLOOKUP($F496,ItemList_Full,2,0),"")</f>
        <v/>
      </c>
      <c r="H496" s="12"/>
      <c r="I496" s="12" t="str">
        <f aca="false">IFERROR(VLOOKUP($F496,ItemList_Full,3,0),"")</f>
        <v/>
      </c>
      <c r="J496" s="12" t="str">
        <f aca="false">IFERROR(VLOOKUP($F496,ItemList_Full,4,0),"")</f>
        <v/>
      </c>
      <c r="K496" s="13" t="n">
        <v>18000</v>
      </c>
      <c r="L496" s="12"/>
      <c r="M496" s="24"/>
      <c r="N496" s="12" t="s">
        <v>229</v>
      </c>
      <c r="O496" s="12"/>
      <c r="P496" s="13" t="n">
        <f aca="false">IF($E496="","",IF(OR($E496="Director Draw",$E496="Payroll/Employee Charge"),0,-$K496))</f>
        <v>-18000</v>
      </c>
      <c r="Q496" s="12" t="n">
        <f aca="false">IF($E496="Inventory Purchase",$H496,0)</f>
        <v>0</v>
      </c>
    </row>
    <row r="497" customFormat="false" ht="15" hidden="false" customHeight="true" outlineLevel="0" collapsed="false">
      <c r="A497" s="19" t="n">
        <v>46289</v>
      </c>
      <c r="B497" s="12" t="n">
        <f aca="false">IF($A497="","",ROW()-4)</f>
        <v>493</v>
      </c>
      <c r="C497" s="12" t="s">
        <v>414</v>
      </c>
      <c r="D497" s="12" t="s">
        <v>1172</v>
      </c>
      <c r="E497" s="24" t="s">
        <v>145</v>
      </c>
      <c r="F497" s="12"/>
      <c r="G497" s="12" t="str">
        <f aca="false">IFERROR(VLOOKUP($F497,ItemList_Full,2,0),"")</f>
        <v/>
      </c>
      <c r="H497" s="12"/>
      <c r="I497" s="12" t="str">
        <f aca="false">IFERROR(VLOOKUP($F497,ItemList_Full,3,0),"")</f>
        <v/>
      </c>
      <c r="J497" s="12" t="str">
        <f aca="false">IFERROR(VLOOKUP($F497,ItemList_Full,4,0),"")</f>
        <v/>
      </c>
      <c r="K497" s="13" t="n">
        <v>38136</v>
      </c>
      <c r="L497" s="12"/>
      <c r="M497" s="24"/>
      <c r="N497" s="12" t="s">
        <v>229</v>
      </c>
      <c r="O497" s="12"/>
      <c r="P497" s="13" t="n">
        <f aca="false">IF($E497="","",IF(OR($E497="Director Draw",$E497="Payroll/Employee Charge"),0,-$K497))</f>
        <v>-38136</v>
      </c>
      <c r="Q497" s="12" t="n">
        <f aca="false">IF($E497="Inventory Purchase",$H497,0)</f>
        <v>0</v>
      </c>
    </row>
    <row r="498" customFormat="false" ht="15" hidden="false" customHeight="true" outlineLevel="0" collapsed="false">
      <c r="A498" s="19" t="n">
        <v>46289</v>
      </c>
      <c r="B498" s="12" t="n">
        <f aca="false">IF($A498="","",ROW()-4)</f>
        <v>494</v>
      </c>
      <c r="C498" s="12" t="s">
        <v>674</v>
      </c>
      <c r="D498" s="12" t="s">
        <v>1028</v>
      </c>
      <c r="E498" s="24" t="s">
        <v>127</v>
      </c>
      <c r="F498" s="12"/>
      <c r="G498" s="12" t="str">
        <f aca="false">IFERROR(VLOOKUP($F498,ItemList_Full,2,0),"")</f>
        <v/>
      </c>
      <c r="H498" s="12"/>
      <c r="I498" s="12" t="str">
        <f aca="false">IFERROR(VLOOKUP($F498,ItemList_Full,3,0),"")</f>
        <v/>
      </c>
      <c r="J498" s="12" t="str">
        <f aca="false">IFERROR(VLOOKUP($F498,ItemList_Full,4,0),"")</f>
        <v/>
      </c>
      <c r="K498" s="13" t="n">
        <v>18000</v>
      </c>
      <c r="L498" s="12"/>
      <c r="M498" s="24"/>
      <c r="N498" s="12" t="s">
        <v>229</v>
      </c>
      <c r="O498" s="12"/>
      <c r="P498" s="13" t="n">
        <f aca="false">IF($E498="","",IF(OR($E498="Director Draw",$E498="Payroll/Employee Charge"),0,-$K498))</f>
        <v>-18000</v>
      </c>
      <c r="Q498" s="12" t="n">
        <f aca="false">IF($E498="Inventory Purchase",$H498,0)</f>
        <v>0</v>
      </c>
    </row>
    <row r="499" customFormat="false" ht="15" hidden="false" customHeight="true" outlineLevel="0" collapsed="false">
      <c r="A499" s="19" t="n">
        <v>46289</v>
      </c>
      <c r="B499" s="12" t="n">
        <f aca="false">IF($A499="","",ROW()-4)</f>
        <v>495</v>
      </c>
      <c r="C499" s="12" t="s">
        <v>1163</v>
      </c>
      <c r="D499" s="12" t="s">
        <v>1583</v>
      </c>
      <c r="E499" s="24" t="s">
        <v>146</v>
      </c>
      <c r="F499" s="12"/>
      <c r="G499" s="12" t="str">
        <f aca="false">IFERROR(VLOOKUP($F499,ItemList_Full,2,0),"")</f>
        <v/>
      </c>
      <c r="H499" s="12"/>
      <c r="I499" s="12" t="str">
        <f aca="false">IFERROR(VLOOKUP($F499,ItemList_Full,3,0),"")</f>
        <v/>
      </c>
      <c r="J499" s="12" t="str">
        <f aca="false">IFERROR(VLOOKUP($F499,ItemList_Full,4,0),"")</f>
        <v/>
      </c>
      <c r="K499" s="13" t="n">
        <v>1200</v>
      </c>
      <c r="L499" s="12"/>
      <c r="M499" s="24"/>
      <c r="N499" s="12" t="s">
        <v>229</v>
      </c>
      <c r="O499" s="12"/>
      <c r="P499" s="13" t="n">
        <f aca="false">IF($E499="","",IF(OR($E499="Director Draw",$E499="Payroll/Employee Charge"),0,-$K499))</f>
        <v>-1200</v>
      </c>
      <c r="Q499" s="12" t="n">
        <f aca="false">IF($E499="Inventory Purchase",$H499,0)</f>
        <v>0</v>
      </c>
    </row>
    <row r="500" customFormat="false" ht="15" hidden="false" customHeight="true" outlineLevel="0" collapsed="false">
      <c r="A500" s="19" t="n">
        <v>46289</v>
      </c>
      <c r="B500" s="12" t="n">
        <f aca="false">IF($A500="","",ROW()-4)</f>
        <v>496</v>
      </c>
      <c r="C500" s="12" t="s">
        <v>272</v>
      </c>
      <c r="D500" s="12" t="s">
        <v>273</v>
      </c>
      <c r="E500" s="24" t="s">
        <v>143</v>
      </c>
      <c r="F500" s="12"/>
      <c r="G500" s="12" t="str">
        <f aca="false">IFERROR(VLOOKUP($F500,ItemList_Full,2,0),"")</f>
        <v/>
      </c>
      <c r="H500" s="12"/>
      <c r="I500" s="12" t="str">
        <f aca="false">IFERROR(VLOOKUP($F500,ItemList_Full,3,0),"")</f>
        <v/>
      </c>
      <c r="J500" s="12" t="str">
        <f aca="false">IFERROR(VLOOKUP($F500,ItemList_Full,4,0),"")</f>
        <v/>
      </c>
      <c r="K500" s="13" t="n">
        <v>625</v>
      </c>
      <c r="L500" s="12"/>
      <c r="M500" s="24"/>
      <c r="N500" s="12" t="s">
        <v>229</v>
      </c>
      <c r="O500" s="12"/>
      <c r="P500" s="13" t="n">
        <f aca="false">IF($E500="","",IF(OR($E500="Director Draw",$E500="Payroll/Employee Charge"),0,-$K500))</f>
        <v>-625</v>
      </c>
      <c r="Q500" s="12" t="n">
        <f aca="false">IF($E500="Inventory Purchase",$H500,0)</f>
        <v>0</v>
      </c>
    </row>
    <row r="501" customFormat="false" ht="15" hidden="false" customHeight="true" outlineLevel="0" collapsed="false">
      <c r="A501" s="19" t="n">
        <v>46289</v>
      </c>
      <c r="B501" s="12" t="n">
        <f aca="false">IF($A501="","",ROW()-4)</f>
        <v>497</v>
      </c>
      <c r="C501" s="12" t="s">
        <v>343</v>
      </c>
      <c r="D501" s="12" t="s">
        <v>1584</v>
      </c>
      <c r="E501" s="24" t="s">
        <v>143</v>
      </c>
      <c r="F501" s="12"/>
      <c r="G501" s="12" t="str">
        <f aca="false">IFERROR(VLOOKUP($F501,ItemList_Full,2,0),"")</f>
        <v/>
      </c>
      <c r="H501" s="12"/>
      <c r="I501" s="12" t="str">
        <f aca="false">IFERROR(VLOOKUP($F501,ItemList_Full,3,0),"")</f>
        <v/>
      </c>
      <c r="J501" s="12" t="str">
        <f aca="false">IFERROR(VLOOKUP($F501,ItemList_Full,4,0),"")</f>
        <v/>
      </c>
      <c r="K501" s="13" t="n">
        <v>3000</v>
      </c>
      <c r="L501" s="12"/>
      <c r="M501" s="24"/>
      <c r="N501" s="12" t="s">
        <v>229</v>
      </c>
      <c r="O501" s="12"/>
      <c r="P501" s="13" t="n">
        <f aca="false">IF($E501="","",IF(OR($E501="Director Draw",$E501="Payroll/Employee Charge"),0,-$K501))</f>
        <v>-3000</v>
      </c>
      <c r="Q501" s="12" t="n">
        <f aca="false">IF($E501="Inventory Purchase",$H501,0)</f>
        <v>0</v>
      </c>
    </row>
    <row r="502" customFormat="false" ht="15" hidden="false" customHeight="true" outlineLevel="0" collapsed="false">
      <c r="A502" s="19" t="n">
        <v>46289</v>
      </c>
      <c r="B502" s="12" t="n">
        <f aca="false">IF($A502="","",ROW()-4)</f>
        <v>498</v>
      </c>
      <c r="C502" s="12" t="s">
        <v>785</v>
      </c>
      <c r="D502" s="12" t="s">
        <v>1585</v>
      </c>
      <c r="E502" s="24" t="s">
        <v>146</v>
      </c>
      <c r="F502" s="12"/>
      <c r="G502" s="12" t="str">
        <f aca="false">IFERROR(VLOOKUP($F502,ItemList_Full,2,0),"")</f>
        <v/>
      </c>
      <c r="H502" s="12"/>
      <c r="I502" s="12" t="str">
        <f aca="false">IFERROR(VLOOKUP($F502,ItemList_Full,3,0),"")</f>
        <v/>
      </c>
      <c r="J502" s="12" t="str">
        <f aca="false">IFERROR(VLOOKUP($F502,ItemList_Full,4,0),"")</f>
        <v/>
      </c>
      <c r="K502" s="13" t="n">
        <v>200</v>
      </c>
      <c r="L502" s="12"/>
      <c r="M502" s="24"/>
      <c r="N502" s="12" t="s">
        <v>229</v>
      </c>
      <c r="O502" s="12"/>
      <c r="P502" s="13" t="n">
        <f aca="false">IF($E502="","",IF(OR($E502="Director Draw",$E502="Payroll/Employee Charge"),0,-$K502))</f>
        <v>-200</v>
      </c>
      <c r="Q502" s="12" t="n">
        <f aca="false">IF($E502="Inventory Purchase",$H502,0)</f>
        <v>0</v>
      </c>
    </row>
    <row r="503" customFormat="false" ht="15" hidden="false" customHeight="true" outlineLevel="0" collapsed="false">
      <c r="A503" s="19" t="n">
        <v>46289</v>
      </c>
      <c r="B503" s="12" t="n">
        <f aca="false">IF($A503="","",ROW()-4)</f>
        <v>499</v>
      </c>
      <c r="C503" s="12" t="s">
        <v>1586</v>
      </c>
      <c r="D503" s="12" t="s">
        <v>1587</v>
      </c>
      <c r="E503" s="24" t="s">
        <v>154</v>
      </c>
      <c r="F503" s="12"/>
      <c r="G503" s="12" t="str">
        <f aca="false">IFERROR(VLOOKUP($F503,ItemList_Full,2,0),"")</f>
        <v/>
      </c>
      <c r="H503" s="12"/>
      <c r="I503" s="12" t="str">
        <f aca="false">IFERROR(VLOOKUP($F503,ItemList_Full,3,0),"")</f>
        <v/>
      </c>
      <c r="J503" s="12" t="str">
        <f aca="false">IFERROR(VLOOKUP($F503,ItemList_Full,4,0),"")</f>
        <v/>
      </c>
      <c r="K503" s="13" t="n">
        <v>620</v>
      </c>
      <c r="L503" s="12"/>
      <c r="M503" s="24"/>
      <c r="N503" s="12" t="s">
        <v>229</v>
      </c>
      <c r="O503" s="12"/>
      <c r="P503" s="13" t="n">
        <f aca="false">IF($E503="","",IF(OR($E503="Director Draw",$E503="Payroll/Employee Charge"),0,-$K503))</f>
        <v>-620</v>
      </c>
      <c r="Q503" s="12" t="n">
        <f aca="false">IF($E503="Inventory Purchase",$H503,0)</f>
        <v>0</v>
      </c>
    </row>
    <row r="504" customFormat="false" ht="15" hidden="false" customHeight="true" outlineLevel="0" collapsed="false">
      <c r="A504" s="19" t="n">
        <v>46289</v>
      </c>
      <c r="B504" s="12" t="n">
        <f aca="false">IF($A504="","",ROW()-4)</f>
        <v>500</v>
      </c>
      <c r="C504" s="12" t="s">
        <v>361</v>
      </c>
      <c r="D504" s="12" t="s">
        <v>1588</v>
      </c>
      <c r="E504" s="24" t="s">
        <v>149</v>
      </c>
      <c r="F504" s="12"/>
      <c r="G504" s="12" t="str">
        <f aca="false">IFERROR(VLOOKUP($F504,ItemList_Full,2,0),"")</f>
        <v/>
      </c>
      <c r="H504" s="12"/>
      <c r="I504" s="12" t="str">
        <f aca="false">IFERROR(VLOOKUP($F504,ItemList_Full,3,0),"")</f>
        <v/>
      </c>
      <c r="J504" s="12" t="str">
        <f aca="false">IFERROR(VLOOKUP($F504,ItemList_Full,4,0),"")</f>
        <v/>
      </c>
      <c r="K504" s="13" t="n">
        <v>600</v>
      </c>
      <c r="L504" s="12"/>
      <c r="M504" s="24"/>
      <c r="N504" s="12" t="s">
        <v>229</v>
      </c>
      <c r="O504" s="12"/>
      <c r="P504" s="13" t="n">
        <f aca="false">IF($E504="","",IF(OR($E504="Director Draw",$E504="Payroll/Employee Charge"),0,-$K504))</f>
        <v>-600</v>
      </c>
      <c r="Q504" s="12" t="n">
        <f aca="false">IF($E504="Inventory Purchase",$H504,0)</f>
        <v>0</v>
      </c>
    </row>
    <row r="505" customFormat="false" ht="15" hidden="false" customHeight="true" outlineLevel="0" collapsed="false">
      <c r="A505" s="19" t="n">
        <v>46289</v>
      </c>
      <c r="B505" s="12" t="n">
        <f aca="false">IF($A505="","",ROW()-4)</f>
        <v>501</v>
      </c>
      <c r="C505" s="12" t="s">
        <v>361</v>
      </c>
      <c r="D505" s="12" t="s">
        <v>1589</v>
      </c>
      <c r="E505" s="24" t="s">
        <v>149</v>
      </c>
      <c r="F505" s="12"/>
      <c r="G505" s="12" t="str">
        <f aca="false">IFERROR(VLOOKUP($F505,ItemList_Full,2,0),"")</f>
        <v/>
      </c>
      <c r="H505" s="12"/>
      <c r="I505" s="12" t="str">
        <f aca="false">IFERROR(VLOOKUP($F505,ItemList_Full,3,0),"")</f>
        <v/>
      </c>
      <c r="J505" s="12" t="str">
        <f aca="false">IFERROR(VLOOKUP($F505,ItemList_Full,4,0),"")</f>
        <v/>
      </c>
      <c r="K505" s="13" t="n">
        <v>400</v>
      </c>
      <c r="L505" s="12"/>
      <c r="M505" s="24"/>
      <c r="N505" s="12" t="s">
        <v>229</v>
      </c>
      <c r="O505" s="12"/>
      <c r="P505" s="13" t="n">
        <f aca="false">IF($E505="","",IF(OR($E505="Director Draw",$E505="Payroll/Employee Charge"),0,-$K505))</f>
        <v>-400</v>
      </c>
      <c r="Q505" s="12" t="n">
        <f aca="false">IF($E505="Inventory Purchase",$H505,0)</f>
        <v>0</v>
      </c>
    </row>
    <row r="506" customFormat="false" ht="15" hidden="false" customHeight="true" outlineLevel="0" collapsed="false">
      <c r="A506" s="19" t="n">
        <v>46289</v>
      </c>
      <c r="B506" s="12" t="n">
        <f aca="false">IF($A506="","",ROW()-4)</f>
        <v>502</v>
      </c>
      <c r="C506" s="12" t="s">
        <v>480</v>
      </c>
      <c r="D506" s="12" t="s">
        <v>1590</v>
      </c>
      <c r="E506" s="24" t="s">
        <v>150</v>
      </c>
      <c r="F506" s="12"/>
      <c r="G506" s="12" t="str">
        <f aca="false">IFERROR(VLOOKUP($F506,ItemList_Full,2,0),"")</f>
        <v/>
      </c>
      <c r="H506" s="12"/>
      <c r="I506" s="12" t="str">
        <f aca="false">IFERROR(VLOOKUP($F506,ItemList_Full,3,0),"")</f>
        <v/>
      </c>
      <c r="J506" s="12" t="str">
        <f aca="false">IFERROR(VLOOKUP($F506,ItemList_Full,4,0),"")</f>
        <v/>
      </c>
      <c r="K506" s="13" t="n">
        <v>1520</v>
      </c>
      <c r="L506" s="12"/>
      <c r="M506" s="24"/>
      <c r="N506" s="12" t="s">
        <v>229</v>
      </c>
      <c r="O506" s="12"/>
      <c r="P506" s="13" t="n">
        <f aca="false">IF($E506="","",IF(OR($E506="Director Draw",$E506="Payroll/Employee Charge"),0,-$K506))</f>
        <v>-1520</v>
      </c>
      <c r="Q506" s="12" t="n">
        <f aca="false">IF($E506="Inventory Purchase",$H506,0)</f>
        <v>0</v>
      </c>
    </row>
    <row r="507" customFormat="false" ht="15" hidden="false" customHeight="true" outlineLevel="0" collapsed="false">
      <c r="A507" s="19" t="n">
        <v>46290</v>
      </c>
      <c r="B507" s="12" t="n">
        <f aca="false">IF($A507="","",ROW()-4)</f>
        <v>503</v>
      </c>
      <c r="C507" s="12" t="s">
        <v>225</v>
      </c>
      <c r="D507" s="12" t="s">
        <v>1591</v>
      </c>
      <c r="E507" s="24" t="s">
        <v>227</v>
      </c>
      <c r="F507" s="12"/>
      <c r="G507" s="12" t="str">
        <f aca="false">IFERROR(VLOOKUP($F507,ItemList_Full,2,0),"")</f>
        <v/>
      </c>
      <c r="H507" s="12"/>
      <c r="I507" s="12" t="str">
        <f aca="false">IFERROR(VLOOKUP($F507,ItemList_Full,3,0),"")</f>
        <v/>
      </c>
      <c r="J507" s="12" t="str">
        <f aca="false">IFERROR(VLOOKUP($F507,ItemList_Full,4,0),"")</f>
        <v/>
      </c>
      <c r="K507" s="13" t="n">
        <v>14350</v>
      </c>
      <c r="L507" s="12"/>
      <c r="M507" s="24" t="s">
        <v>228</v>
      </c>
      <c r="N507" s="12" t="s">
        <v>229</v>
      </c>
      <c r="O507" s="12"/>
      <c r="P507" s="13" t="n">
        <f aca="false">IF($E507="","",IF(OR($E507="Director Draw",$E507="Payroll/Employee Charge"),0,-$K507))</f>
        <v>0</v>
      </c>
      <c r="Q507" s="12" t="n">
        <f aca="false">IF($E507="Inventory Purchase",$H507,0)</f>
        <v>0</v>
      </c>
    </row>
    <row r="508" customFormat="false" ht="15" hidden="false" customHeight="true" outlineLevel="0" collapsed="false">
      <c r="A508" s="19" t="n">
        <v>46290</v>
      </c>
      <c r="B508" s="12" t="n">
        <f aca="false">IF($A508="","",ROW()-4)</f>
        <v>504</v>
      </c>
      <c r="C508" s="12" t="s">
        <v>225</v>
      </c>
      <c r="D508" s="12" t="s">
        <v>1592</v>
      </c>
      <c r="E508" s="24" t="s">
        <v>227</v>
      </c>
      <c r="F508" s="12"/>
      <c r="G508" s="12" t="str">
        <f aca="false">IFERROR(VLOOKUP($F508,ItemList_Full,2,0),"")</f>
        <v/>
      </c>
      <c r="H508" s="12"/>
      <c r="I508" s="12" t="str">
        <f aca="false">IFERROR(VLOOKUP($F508,ItemList_Full,3,0),"")</f>
        <v/>
      </c>
      <c r="J508" s="12" t="str">
        <f aca="false">IFERROR(VLOOKUP($F508,ItemList_Full,4,0),"")</f>
        <v/>
      </c>
      <c r="K508" s="13" t="n">
        <v>165</v>
      </c>
      <c r="L508" s="12"/>
      <c r="M508" s="24" t="s">
        <v>1593</v>
      </c>
      <c r="N508" s="12" t="s">
        <v>229</v>
      </c>
      <c r="O508" s="12"/>
      <c r="P508" s="13" t="n">
        <f aca="false">IF($E508="","",IF(OR($E508="Director Draw",$E508="Payroll/Employee Charge"),0,-$K508))</f>
        <v>0</v>
      </c>
      <c r="Q508" s="12" t="n">
        <f aca="false">IF($E508="Inventory Purchase",$H508,0)</f>
        <v>0</v>
      </c>
    </row>
    <row r="509" customFormat="false" ht="15" hidden="false" customHeight="true" outlineLevel="0" collapsed="false">
      <c r="A509" s="19" t="n">
        <v>46290</v>
      </c>
      <c r="B509" s="12" t="n">
        <f aca="false">IF($A509="","",ROW()-4)</f>
        <v>505</v>
      </c>
      <c r="C509" s="12" t="s">
        <v>247</v>
      </c>
      <c r="D509" s="12" t="s">
        <v>248</v>
      </c>
      <c r="E509" s="24" t="s">
        <v>153</v>
      </c>
      <c r="F509" s="12"/>
      <c r="G509" s="12" t="str">
        <f aca="false">IFERROR(VLOOKUP($F509,ItemList_Full,2,0),"")</f>
        <v/>
      </c>
      <c r="H509" s="12"/>
      <c r="I509" s="12" t="str">
        <f aca="false">IFERROR(VLOOKUP($F509,ItemList_Full,3,0),"")</f>
        <v/>
      </c>
      <c r="J509" s="12" t="str">
        <f aca="false">IFERROR(VLOOKUP($F509,ItemList_Full,4,0),"")</f>
        <v/>
      </c>
      <c r="K509" s="13" t="n">
        <v>7955</v>
      </c>
      <c r="L509" s="12"/>
      <c r="M509" s="24"/>
      <c r="N509" s="12" t="s">
        <v>229</v>
      </c>
      <c r="O509" s="12"/>
      <c r="P509" s="13" t="n">
        <f aca="false">IF($E509="","",IF(OR($E509="Director Draw",$E509="Payroll/Employee Charge"),0,-$K509))</f>
        <v>-7955</v>
      </c>
      <c r="Q509" s="12" t="n">
        <f aca="false">IF($E509="Inventory Purchase",$H509,0)</f>
        <v>0</v>
      </c>
    </row>
    <row r="510" customFormat="false" ht="15" hidden="false" customHeight="true" outlineLevel="0" collapsed="false">
      <c r="A510" s="19" t="n">
        <v>46290</v>
      </c>
      <c r="B510" s="12" t="n">
        <f aca="false">IF($A510="","",ROW()-4)</f>
        <v>506</v>
      </c>
      <c r="C510" s="12" t="s">
        <v>445</v>
      </c>
      <c r="D510" s="12" t="s">
        <v>819</v>
      </c>
      <c r="E510" s="24" t="s">
        <v>139</v>
      </c>
      <c r="F510" s="12"/>
      <c r="G510" s="12" t="str">
        <f aca="false">IFERROR(VLOOKUP($F510,ItemList_Full,2,0),"")</f>
        <v/>
      </c>
      <c r="H510" s="12"/>
      <c r="I510" s="12" t="str">
        <f aca="false">IFERROR(VLOOKUP($F510,ItemList_Full,3,0),"")</f>
        <v/>
      </c>
      <c r="J510" s="12" t="str">
        <f aca="false">IFERROR(VLOOKUP($F510,ItemList_Full,4,0),"")</f>
        <v/>
      </c>
      <c r="K510" s="13" t="n">
        <v>2320</v>
      </c>
      <c r="L510" s="12"/>
      <c r="M510" s="24"/>
      <c r="N510" s="12" t="s">
        <v>229</v>
      </c>
      <c r="O510" s="12"/>
      <c r="P510" s="13" t="n">
        <f aca="false">IF($E510="","",IF(OR($E510="Director Draw",$E510="Payroll/Employee Charge"),0,-$K510))</f>
        <v>-2320</v>
      </c>
      <c r="Q510" s="12" t="n">
        <f aca="false">IF($E510="Inventory Purchase",$H510,0)</f>
        <v>0</v>
      </c>
    </row>
    <row r="511" customFormat="false" ht="15" hidden="false" customHeight="true" outlineLevel="0" collapsed="false">
      <c r="A511" s="19" t="n">
        <v>46290</v>
      </c>
      <c r="B511" s="12" t="n">
        <f aca="false">IF($A511="","",ROW()-4)</f>
        <v>507</v>
      </c>
      <c r="C511" s="12" t="s">
        <v>449</v>
      </c>
      <c r="D511" s="12" t="s">
        <v>749</v>
      </c>
      <c r="E511" s="24" t="s">
        <v>139</v>
      </c>
      <c r="F511" s="12"/>
      <c r="G511" s="12" t="str">
        <f aca="false">IFERROR(VLOOKUP($F511,ItemList_Full,2,0),"")</f>
        <v/>
      </c>
      <c r="H511" s="12"/>
      <c r="I511" s="12" t="str">
        <f aca="false">IFERROR(VLOOKUP($F511,ItemList_Full,3,0),"")</f>
        <v/>
      </c>
      <c r="J511" s="12" t="str">
        <f aca="false">IFERROR(VLOOKUP($F511,ItemList_Full,4,0),"")</f>
        <v/>
      </c>
      <c r="K511" s="13" t="n">
        <v>760</v>
      </c>
      <c r="L511" s="12"/>
      <c r="M511" s="24"/>
      <c r="N511" s="12" t="s">
        <v>229</v>
      </c>
      <c r="O511" s="12"/>
      <c r="P511" s="13" t="n">
        <f aca="false">IF($E511="","",IF(OR($E511="Director Draw",$E511="Payroll/Employee Charge"),0,-$K511))</f>
        <v>-760</v>
      </c>
      <c r="Q511" s="12" t="n">
        <f aca="false">IF($E511="Inventory Purchase",$H511,0)</f>
        <v>0</v>
      </c>
    </row>
    <row r="512" customFormat="false" ht="15" hidden="false" customHeight="true" outlineLevel="0" collapsed="false">
      <c r="A512" s="19" t="n">
        <v>46290</v>
      </c>
      <c r="B512" s="12" t="n">
        <f aca="false">IF($A512="","",ROW()-4)</f>
        <v>508</v>
      </c>
      <c r="C512" s="12" t="s">
        <v>675</v>
      </c>
      <c r="D512" s="12" t="s">
        <v>675</v>
      </c>
      <c r="E512" s="24" t="s">
        <v>139</v>
      </c>
      <c r="F512" s="12"/>
      <c r="G512" s="12" t="str">
        <f aca="false">IFERROR(VLOOKUP($F512,ItemList_Full,2,0),"")</f>
        <v/>
      </c>
      <c r="H512" s="12"/>
      <c r="I512" s="12" t="str">
        <f aca="false">IFERROR(VLOOKUP($F512,ItemList_Full,3,0),"")</f>
        <v/>
      </c>
      <c r="J512" s="12" t="str">
        <f aca="false">IFERROR(VLOOKUP($F512,ItemList_Full,4,0),"")</f>
        <v/>
      </c>
      <c r="K512" s="13" t="n">
        <v>500</v>
      </c>
      <c r="L512" s="12"/>
      <c r="M512" s="24"/>
      <c r="N512" s="12" t="s">
        <v>229</v>
      </c>
      <c r="O512" s="12"/>
      <c r="P512" s="13" t="n">
        <f aca="false">IF($E512="","",IF(OR($E512="Director Draw",$E512="Payroll/Employee Charge"),0,-$K512))</f>
        <v>-500</v>
      </c>
      <c r="Q512" s="12" t="n">
        <f aca="false">IF($E512="Inventory Purchase",$H512,0)</f>
        <v>0</v>
      </c>
    </row>
    <row r="513" customFormat="false" ht="15" hidden="false" customHeight="true" outlineLevel="0" collapsed="false">
      <c r="A513" s="19" t="n">
        <v>46290</v>
      </c>
      <c r="B513" s="12" t="n">
        <f aca="false">IF($A513="","",ROW()-4)</f>
        <v>509</v>
      </c>
      <c r="C513" s="12" t="s">
        <v>255</v>
      </c>
      <c r="D513" s="12" t="s">
        <v>542</v>
      </c>
      <c r="E513" s="24" t="s">
        <v>139</v>
      </c>
      <c r="F513" s="12"/>
      <c r="G513" s="12" t="str">
        <f aca="false">IFERROR(VLOOKUP($F513,ItemList_Full,2,0),"")</f>
        <v/>
      </c>
      <c r="H513" s="12"/>
      <c r="I513" s="12" t="str">
        <f aca="false">IFERROR(VLOOKUP($F513,ItemList_Full,3,0),"")</f>
        <v/>
      </c>
      <c r="J513" s="12" t="str">
        <f aca="false">IFERROR(VLOOKUP($F513,ItemList_Full,4,0),"")</f>
        <v/>
      </c>
      <c r="K513" s="13" t="n">
        <v>900</v>
      </c>
      <c r="L513" s="12"/>
      <c r="M513" s="24"/>
      <c r="N513" s="12" t="s">
        <v>229</v>
      </c>
      <c r="O513" s="12"/>
      <c r="P513" s="13" t="n">
        <f aca="false">IF($E513="","",IF(OR($E513="Director Draw",$E513="Payroll/Employee Charge"),0,-$K513))</f>
        <v>-900</v>
      </c>
      <c r="Q513" s="12" t="n">
        <f aca="false">IF($E513="Inventory Purchase",$H513,0)</f>
        <v>0</v>
      </c>
    </row>
    <row r="514" customFormat="false" ht="15" hidden="false" customHeight="true" outlineLevel="0" collapsed="false">
      <c r="A514" s="19" t="n">
        <v>46290</v>
      </c>
      <c r="B514" s="12" t="n">
        <f aca="false">IF($A514="","",ROW()-4)</f>
        <v>510</v>
      </c>
      <c r="C514" s="12" t="s">
        <v>255</v>
      </c>
      <c r="D514" s="12" t="s">
        <v>391</v>
      </c>
      <c r="E514" s="24" t="s">
        <v>139</v>
      </c>
      <c r="F514" s="12"/>
      <c r="G514" s="12" t="str">
        <f aca="false">IFERROR(VLOOKUP($F514,ItemList_Full,2,0),"")</f>
        <v/>
      </c>
      <c r="H514" s="12"/>
      <c r="I514" s="12" t="str">
        <f aca="false">IFERROR(VLOOKUP($F514,ItemList_Full,3,0),"")</f>
        <v/>
      </c>
      <c r="J514" s="12" t="str">
        <f aca="false">IFERROR(VLOOKUP($F514,ItemList_Full,4,0),"")</f>
        <v/>
      </c>
      <c r="K514" s="13" t="n">
        <v>950</v>
      </c>
      <c r="L514" s="12"/>
      <c r="M514" s="24"/>
      <c r="N514" s="12" t="s">
        <v>229</v>
      </c>
      <c r="O514" s="12"/>
      <c r="P514" s="13" t="n">
        <f aca="false">IF($E514="","",IF(OR($E514="Director Draw",$E514="Payroll/Employee Charge"),0,-$K514))</f>
        <v>-950</v>
      </c>
      <c r="Q514" s="12" t="n">
        <f aca="false">IF($E514="Inventory Purchase",$H514,0)</f>
        <v>0</v>
      </c>
    </row>
    <row r="515" customFormat="false" ht="15" hidden="false" customHeight="true" outlineLevel="0" collapsed="false">
      <c r="A515" s="19" t="n">
        <v>46290</v>
      </c>
      <c r="B515" s="12" t="n">
        <f aca="false">IF($A515="","",ROW()-4)</f>
        <v>511</v>
      </c>
      <c r="C515" s="12" t="s">
        <v>449</v>
      </c>
      <c r="D515" s="12" t="s">
        <v>260</v>
      </c>
      <c r="E515" s="24" t="s">
        <v>139</v>
      </c>
      <c r="F515" s="12"/>
      <c r="G515" s="12" t="str">
        <f aca="false">IFERROR(VLOOKUP($F515,ItemList_Full,2,0),"")</f>
        <v/>
      </c>
      <c r="H515" s="12"/>
      <c r="I515" s="12" t="str">
        <f aca="false">IFERROR(VLOOKUP($F515,ItemList_Full,3,0),"")</f>
        <v/>
      </c>
      <c r="J515" s="12" t="str">
        <f aca="false">IFERROR(VLOOKUP($F515,ItemList_Full,4,0),"")</f>
        <v/>
      </c>
      <c r="K515" s="13" t="n">
        <v>1090</v>
      </c>
      <c r="L515" s="12"/>
      <c r="M515" s="24"/>
      <c r="N515" s="12" t="s">
        <v>229</v>
      </c>
      <c r="O515" s="12"/>
      <c r="P515" s="13" t="n">
        <f aca="false">IF($E515="","",IF(OR($E515="Director Draw",$E515="Payroll/Employee Charge"),0,-$K515))</f>
        <v>-1090</v>
      </c>
      <c r="Q515" s="12" t="n">
        <f aca="false">IF($E515="Inventory Purchase",$H515,0)</f>
        <v>0</v>
      </c>
    </row>
    <row r="516" customFormat="false" ht="15" hidden="false" customHeight="true" outlineLevel="0" collapsed="false">
      <c r="A516" s="19" t="n">
        <v>46290</v>
      </c>
      <c r="B516" s="12" t="n">
        <f aca="false">IF($A516="","",ROW()-4)</f>
        <v>512</v>
      </c>
      <c r="C516" s="12" t="s">
        <v>1563</v>
      </c>
      <c r="D516" s="12" t="s">
        <v>1564</v>
      </c>
      <c r="E516" s="24" t="s">
        <v>139</v>
      </c>
      <c r="F516" s="12"/>
      <c r="G516" s="12" t="str">
        <f aca="false">IFERROR(VLOOKUP($F516,ItemList_Full,2,0),"")</f>
        <v/>
      </c>
      <c r="H516" s="12"/>
      <c r="I516" s="12" t="str">
        <f aca="false">IFERROR(VLOOKUP($F516,ItemList_Full,3,0),"")</f>
        <v/>
      </c>
      <c r="J516" s="12" t="str">
        <f aca="false">IFERROR(VLOOKUP($F516,ItemList_Full,4,0),"")</f>
        <v/>
      </c>
      <c r="K516" s="13" t="n">
        <v>72500</v>
      </c>
      <c r="L516" s="12"/>
      <c r="M516" s="24"/>
      <c r="N516" s="12" t="s">
        <v>229</v>
      </c>
      <c r="O516" s="12"/>
      <c r="P516" s="13" t="n">
        <f aca="false">IF($E516="","",IF(OR($E516="Director Draw",$E516="Payroll/Employee Charge"),0,-$K516))</f>
        <v>-72500</v>
      </c>
      <c r="Q516" s="12" t="n">
        <f aca="false">IF($E516="Inventory Purchase",$H516,0)</f>
        <v>0</v>
      </c>
    </row>
    <row r="517" customFormat="false" ht="15" hidden="false" customHeight="true" outlineLevel="0" collapsed="false">
      <c r="A517" s="19" t="n">
        <v>46290</v>
      </c>
      <c r="B517" s="12" t="n">
        <f aca="false">IF($A517="","",ROW()-4)</f>
        <v>513</v>
      </c>
      <c r="C517" s="12" t="s">
        <v>1563</v>
      </c>
      <c r="D517" s="12" t="s">
        <v>1564</v>
      </c>
      <c r="E517" s="24" t="s">
        <v>139</v>
      </c>
      <c r="F517" s="12"/>
      <c r="G517" s="12" t="str">
        <f aca="false">IFERROR(VLOOKUP($F517,ItemList_Full,2,0),"")</f>
        <v/>
      </c>
      <c r="H517" s="12"/>
      <c r="I517" s="12" t="str">
        <f aca="false">IFERROR(VLOOKUP($F517,ItemList_Full,3,0),"")</f>
        <v/>
      </c>
      <c r="J517" s="12" t="str">
        <f aca="false">IFERROR(VLOOKUP($F517,ItemList_Full,4,0),"")</f>
        <v/>
      </c>
      <c r="K517" s="13" t="n">
        <v>350000</v>
      </c>
      <c r="L517" s="12"/>
      <c r="M517" s="24"/>
      <c r="N517" s="12" t="s">
        <v>229</v>
      </c>
      <c r="O517" s="12"/>
      <c r="P517" s="13" t="n">
        <f aca="false">IF($E517="","",IF(OR($E517="Director Draw",$E517="Payroll/Employee Charge"),0,-$K517))</f>
        <v>-350000</v>
      </c>
      <c r="Q517" s="12" t="n">
        <f aca="false">IF($E517="Inventory Purchase",$H517,0)</f>
        <v>0</v>
      </c>
    </row>
    <row r="518" customFormat="false" ht="15" hidden="false" customHeight="true" outlineLevel="0" collapsed="false">
      <c r="A518" s="19" t="n">
        <v>46290</v>
      </c>
      <c r="B518" s="12" t="n">
        <f aca="false">IF($A518="","",ROW()-4)</f>
        <v>514</v>
      </c>
      <c r="C518" s="12" t="s">
        <v>237</v>
      </c>
      <c r="D518" s="12" t="s">
        <v>238</v>
      </c>
      <c r="E518" s="24" t="s">
        <v>139</v>
      </c>
      <c r="F518" s="12"/>
      <c r="G518" s="12" t="str">
        <f aca="false">IFERROR(VLOOKUP($F518,ItemList_Full,2,0),"")</f>
        <v/>
      </c>
      <c r="H518" s="12"/>
      <c r="I518" s="12" t="str">
        <f aca="false">IFERROR(VLOOKUP($F518,ItemList_Full,3,0),"")</f>
        <v/>
      </c>
      <c r="J518" s="12" t="str">
        <f aca="false">IFERROR(VLOOKUP($F518,ItemList_Full,4,0),"")</f>
        <v/>
      </c>
      <c r="K518" s="13" t="n">
        <v>49164</v>
      </c>
      <c r="L518" s="12"/>
      <c r="M518" s="24"/>
      <c r="N518" s="12" t="s">
        <v>229</v>
      </c>
      <c r="O518" s="12"/>
      <c r="P518" s="13" t="n">
        <f aca="false">IF($E518="","",IF(OR($E518="Director Draw",$E518="Payroll/Employee Charge"),0,-$K518))</f>
        <v>-49164</v>
      </c>
      <c r="Q518" s="12" t="n">
        <f aca="false">IF($E518="Inventory Purchase",$H518,0)</f>
        <v>0</v>
      </c>
    </row>
    <row r="519" customFormat="false" ht="15" hidden="false" customHeight="true" outlineLevel="0" collapsed="false">
      <c r="A519" s="19" t="n">
        <v>46290</v>
      </c>
      <c r="B519" s="12" t="n">
        <f aca="false">IF($A519="","",ROW()-4)</f>
        <v>515</v>
      </c>
      <c r="C519" s="12" t="s">
        <v>242</v>
      </c>
      <c r="D519" s="12" t="s">
        <v>243</v>
      </c>
      <c r="E519" s="24" t="s">
        <v>139</v>
      </c>
      <c r="F519" s="12"/>
      <c r="G519" s="12" t="str">
        <f aca="false">IFERROR(VLOOKUP($F519,ItemList_Full,2,0),"")</f>
        <v/>
      </c>
      <c r="H519" s="12"/>
      <c r="I519" s="12" t="str">
        <f aca="false">IFERROR(VLOOKUP($F519,ItemList_Full,3,0),"")</f>
        <v/>
      </c>
      <c r="J519" s="12" t="str">
        <f aca="false">IFERROR(VLOOKUP($F519,ItemList_Full,4,0),"")</f>
        <v/>
      </c>
      <c r="K519" s="13" t="n">
        <v>15000</v>
      </c>
      <c r="L519" s="12"/>
      <c r="M519" s="24"/>
      <c r="N519" s="12" t="s">
        <v>229</v>
      </c>
      <c r="O519" s="12"/>
      <c r="P519" s="13" t="n">
        <f aca="false">IF($E519="","",IF(OR($E519="Director Draw",$E519="Payroll/Employee Charge"),0,-$K519))</f>
        <v>-15000</v>
      </c>
      <c r="Q519" s="12" t="n">
        <f aca="false">IF($E519="Inventory Purchase",$H519,0)</f>
        <v>0</v>
      </c>
    </row>
    <row r="520" customFormat="false" ht="15" hidden="false" customHeight="true" outlineLevel="0" collapsed="false">
      <c r="A520" s="19" t="n">
        <v>46290</v>
      </c>
      <c r="B520" s="12" t="n">
        <f aca="false">IF($A520="","",ROW()-4)</f>
        <v>516</v>
      </c>
      <c r="C520" s="12" t="s">
        <v>1594</v>
      </c>
      <c r="D520" s="12" t="s">
        <v>1595</v>
      </c>
      <c r="E520" s="24" t="s">
        <v>141</v>
      </c>
      <c r="F520" s="12"/>
      <c r="G520" s="12" t="str">
        <f aca="false">IFERROR(VLOOKUP($F520,ItemList_Full,2,0),"")</f>
        <v/>
      </c>
      <c r="H520" s="12"/>
      <c r="I520" s="12" t="str">
        <f aca="false">IFERROR(VLOOKUP($F520,ItemList_Full,3,0),"")</f>
        <v/>
      </c>
      <c r="J520" s="12" t="str">
        <f aca="false">IFERROR(VLOOKUP($F520,ItemList_Full,4,0),"")</f>
        <v/>
      </c>
      <c r="K520" s="13" t="n">
        <v>3650</v>
      </c>
      <c r="L520" s="12"/>
      <c r="M520" s="24"/>
      <c r="N520" s="12" t="s">
        <v>229</v>
      </c>
      <c r="O520" s="12"/>
      <c r="P520" s="13" t="n">
        <f aca="false">IF($E520="","",IF(OR($E520="Director Draw",$E520="Payroll/Employee Charge"),0,-$K520))</f>
        <v>-3650</v>
      </c>
      <c r="Q520" s="12" t="n">
        <f aca="false">IF($E520="Inventory Purchase",$H520,0)</f>
        <v>0</v>
      </c>
    </row>
    <row r="521" customFormat="false" ht="15" hidden="false" customHeight="true" outlineLevel="0" collapsed="false">
      <c r="A521" s="19" t="n">
        <v>46290</v>
      </c>
      <c r="B521" s="12" t="n">
        <f aca="false">IF($A521="","",ROW()-4)</f>
        <v>517</v>
      </c>
      <c r="C521" s="12" t="s">
        <v>1596</v>
      </c>
      <c r="D521" s="12" t="s">
        <v>1597</v>
      </c>
      <c r="E521" s="24" t="s">
        <v>154</v>
      </c>
      <c r="F521" s="12"/>
      <c r="G521" s="12" t="str">
        <f aca="false">IFERROR(VLOOKUP($F521,ItemList_Full,2,0),"")</f>
        <v/>
      </c>
      <c r="H521" s="12"/>
      <c r="I521" s="12" t="str">
        <f aca="false">IFERROR(VLOOKUP($F521,ItemList_Full,3,0),"")</f>
        <v/>
      </c>
      <c r="J521" s="12" t="str">
        <f aca="false">IFERROR(VLOOKUP($F521,ItemList_Full,4,0),"")</f>
        <v/>
      </c>
      <c r="K521" s="13" t="n">
        <v>300</v>
      </c>
      <c r="L521" s="12"/>
      <c r="M521" s="24"/>
      <c r="N521" s="12" t="s">
        <v>229</v>
      </c>
      <c r="O521" s="12"/>
      <c r="P521" s="13" t="n">
        <f aca="false">IF($E521="","",IF(OR($E521="Director Draw",$E521="Payroll/Employee Charge"),0,-$K521))</f>
        <v>-300</v>
      </c>
      <c r="Q521" s="12" t="n">
        <f aca="false">IF($E521="Inventory Purchase",$H521,0)</f>
        <v>0</v>
      </c>
    </row>
    <row r="522" customFormat="false" ht="15" hidden="false" customHeight="true" outlineLevel="0" collapsed="false">
      <c r="A522" s="19" t="n">
        <v>46290</v>
      </c>
      <c r="B522" s="12" t="n">
        <f aca="false">IF($A522="","",ROW()-4)</f>
        <v>518</v>
      </c>
      <c r="C522" s="12" t="s">
        <v>343</v>
      </c>
      <c r="D522" s="12" t="s">
        <v>1598</v>
      </c>
      <c r="E522" s="24" t="s">
        <v>143</v>
      </c>
      <c r="F522" s="12"/>
      <c r="G522" s="12" t="str">
        <f aca="false">IFERROR(VLOOKUP($F522,ItemList_Full,2,0),"")</f>
        <v/>
      </c>
      <c r="H522" s="12"/>
      <c r="I522" s="12" t="str">
        <f aca="false">IFERROR(VLOOKUP($F522,ItemList_Full,3,0),"")</f>
        <v/>
      </c>
      <c r="J522" s="12" t="str">
        <f aca="false">IFERROR(VLOOKUP($F522,ItemList_Full,4,0),"")</f>
        <v/>
      </c>
      <c r="K522" s="13" t="n">
        <v>2475</v>
      </c>
      <c r="L522" s="12"/>
      <c r="M522" s="24"/>
      <c r="N522" s="12" t="s">
        <v>229</v>
      </c>
      <c r="O522" s="12"/>
      <c r="P522" s="13" t="n">
        <f aca="false">IF($E522="","",IF(OR($E522="Director Draw",$E522="Payroll/Employee Charge"),0,-$K522))</f>
        <v>-2475</v>
      </c>
      <c r="Q522" s="12" t="n">
        <f aca="false">IF($E522="Inventory Purchase",$H522,0)</f>
        <v>0</v>
      </c>
    </row>
    <row r="523" customFormat="false" ht="15" hidden="false" customHeight="true" outlineLevel="0" collapsed="false">
      <c r="A523" s="19" t="n">
        <v>46290</v>
      </c>
      <c r="B523" s="12" t="n">
        <f aca="false">IF($A523="","",ROW()-4)</f>
        <v>519</v>
      </c>
      <c r="C523" s="12" t="s">
        <v>276</v>
      </c>
      <c r="D523" s="12" t="s">
        <v>977</v>
      </c>
      <c r="E523" s="24" t="s">
        <v>143</v>
      </c>
      <c r="F523" s="12"/>
      <c r="G523" s="12" t="str">
        <f aca="false">IFERROR(VLOOKUP($F523,ItemList_Full,2,0),"")</f>
        <v/>
      </c>
      <c r="H523" s="12"/>
      <c r="I523" s="12" t="str">
        <f aca="false">IFERROR(VLOOKUP($F523,ItemList_Full,3,0),"")</f>
        <v/>
      </c>
      <c r="J523" s="12" t="str">
        <f aca="false">IFERROR(VLOOKUP($F523,ItemList_Full,4,0),"")</f>
        <v/>
      </c>
      <c r="K523" s="13" t="n">
        <v>575</v>
      </c>
      <c r="L523" s="12"/>
      <c r="M523" s="24"/>
      <c r="N523" s="12" t="s">
        <v>229</v>
      </c>
      <c r="O523" s="12"/>
      <c r="P523" s="13" t="n">
        <f aca="false">IF($E523="","",IF(OR($E523="Director Draw",$E523="Payroll/Employee Charge"),0,-$K523))</f>
        <v>-575</v>
      </c>
      <c r="Q523" s="12" t="n">
        <f aca="false">IF($E523="Inventory Purchase",$H523,0)</f>
        <v>0</v>
      </c>
    </row>
    <row r="524" customFormat="false" ht="15" hidden="false" customHeight="true" outlineLevel="0" collapsed="false">
      <c r="A524" s="19" t="n">
        <v>46290</v>
      </c>
      <c r="B524" s="12" t="n">
        <f aca="false">IF($A524="","",ROW()-4)</f>
        <v>520</v>
      </c>
      <c r="C524" s="12" t="s">
        <v>276</v>
      </c>
      <c r="D524" s="12" t="s">
        <v>1599</v>
      </c>
      <c r="E524" s="24" t="s">
        <v>143</v>
      </c>
      <c r="F524" s="12"/>
      <c r="G524" s="12" t="str">
        <f aca="false">IFERROR(VLOOKUP($F524,ItemList_Full,2,0),"")</f>
        <v/>
      </c>
      <c r="H524" s="12"/>
      <c r="I524" s="12" t="str">
        <f aca="false">IFERROR(VLOOKUP($F524,ItemList_Full,3,0),"")</f>
        <v/>
      </c>
      <c r="J524" s="12" t="str">
        <f aca="false">IFERROR(VLOOKUP($F524,ItemList_Full,4,0),"")</f>
        <v/>
      </c>
      <c r="K524" s="13" t="n">
        <v>865</v>
      </c>
      <c r="L524" s="12"/>
      <c r="M524" s="24"/>
      <c r="N524" s="12" t="s">
        <v>229</v>
      </c>
      <c r="O524" s="12"/>
      <c r="P524" s="13" t="n">
        <f aca="false">IF($E524="","",IF(OR($E524="Director Draw",$E524="Payroll/Employee Charge"),0,-$K524))</f>
        <v>-865</v>
      </c>
      <c r="Q524" s="12" t="n">
        <f aca="false">IF($E524="Inventory Purchase",$H524,0)</f>
        <v>0</v>
      </c>
    </row>
    <row r="525" customFormat="false" ht="15" hidden="false" customHeight="true" outlineLevel="0" collapsed="false">
      <c r="A525" s="19" t="n">
        <v>46290</v>
      </c>
      <c r="B525" s="12" t="n">
        <f aca="false">IF($A525="","",ROW()-4)</f>
        <v>521</v>
      </c>
      <c r="C525" s="12" t="s">
        <v>355</v>
      </c>
      <c r="D525" s="12" t="s">
        <v>1600</v>
      </c>
      <c r="E525" s="24" t="s">
        <v>143</v>
      </c>
      <c r="F525" s="12"/>
      <c r="G525" s="12" t="str">
        <f aca="false">IFERROR(VLOOKUP($F525,ItemList_Full,2,0),"")</f>
        <v/>
      </c>
      <c r="H525" s="12"/>
      <c r="I525" s="12" t="str">
        <f aca="false">IFERROR(VLOOKUP($F525,ItemList_Full,3,0),"")</f>
        <v/>
      </c>
      <c r="J525" s="12" t="str">
        <f aca="false">IFERROR(VLOOKUP($F525,ItemList_Full,4,0),"")</f>
        <v/>
      </c>
      <c r="K525" s="13" t="n">
        <v>575</v>
      </c>
      <c r="L525" s="12"/>
      <c r="M525" s="24"/>
      <c r="N525" s="12" t="s">
        <v>229</v>
      </c>
      <c r="O525" s="12"/>
      <c r="P525" s="13" t="n">
        <f aca="false">IF($E525="","",IF(OR($E525="Director Draw",$E525="Payroll/Employee Charge"),0,-$K525))</f>
        <v>-575</v>
      </c>
      <c r="Q525" s="12" t="n">
        <f aca="false">IF($E525="Inventory Purchase",$H525,0)</f>
        <v>0</v>
      </c>
    </row>
    <row r="526" customFormat="false" ht="15" hidden="false" customHeight="true" outlineLevel="0" collapsed="false">
      <c r="A526" s="19" t="n">
        <v>46290</v>
      </c>
      <c r="B526" s="12" t="n">
        <f aca="false">IF($A526="","",ROW()-4)</f>
        <v>522</v>
      </c>
      <c r="C526" s="12" t="s">
        <v>361</v>
      </c>
      <c r="D526" s="12" t="s">
        <v>1601</v>
      </c>
      <c r="E526" s="24" t="s">
        <v>149</v>
      </c>
      <c r="F526" s="12"/>
      <c r="G526" s="12" t="str">
        <f aca="false">IFERROR(VLOOKUP($F526,ItemList_Full,2,0),"")</f>
        <v/>
      </c>
      <c r="H526" s="12"/>
      <c r="I526" s="12" t="str">
        <f aca="false">IFERROR(VLOOKUP($F526,ItemList_Full,3,0),"")</f>
        <v/>
      </c>
      <c r="J526" s="12" t="str">
        <f aca="false">IFERROR(VLOOKUP($F526,ItemList_Full,4,0),"")</f>
        <v/>
      </c>
      <c r="K526" s="13" t="n">
        <v>180</v>
      </c>
      <c r="L526" s="12"/>
      <c r="M526" s="24"/>
      <c r="N526" s="12" t="s">
        <v>229</v>
      </c>
      <c r="O526" s="12"/>
      <c r="P526" s="13" t="n">
        <f aca="false">IF($E526="","",IF(OR($E526="Director Draw",$E526="Payroll/Employee Charge"),0,-$K526))</f>
        <v>-180</v>
      </c>
      <c r="Q526" s="12" t="n">
        <f aca="false">IF($E526="Inventory Purchase",$H526,0)</f>
        <v>0</v>
      </c>
    </row>
    <row r="527" customFormat="false" ht="15" hidden="false" customHeight="true" outlineLevel="0" collapsed="false">
      <c r="A527" s="19" t="n">
        <v>46291</v>
      </c>
      <c r="B527" s="12" t="n">
        <f aca="false">IF($A527="","",ROW()-4)</f>
        <v>523</v>
      </c>
      <c r="C527" s="12" t="s">
        <v>247</v>
      </c>
      <c r="D527" s="12" t="s">
        <v>248</v>
      </c>
      <c r="E527" s="24" t="s">
        <v>153</v>
      </c>
      <c r="F527" s="12"/>
      <c r="G527" s="12" t="str">
        <f aca="false">IFERROR(VLOOKUP($F527,ItemList_Full,2,0),"")</f>
        <v/>
      </c>
      <c r="H527" s="12"/>
      <c r="I527" s="12" t="str">
        <f aca="false">IFERROR(VLOOKUP($F527,ItemList_Full,3,0),"")</f>
        <v/>
      </c>
      <c r="J527" s="12" t="str">
        <f aca="false">IFERROR(VLOOKUP($F527,ItemList_Full,4,0),"")</f>
        <v/>
      </c>
      <c r="K527" s="13" t="n">
        <v>7553</v>
      </c>
      <c r="L527" s="12"/>
      <c r="M527" s="24"/>
      <c r="N527" s="12" t="s">
        <v>229</v>
      </c>
      <c r="O527" s="12"/>
      <c r="P527" s="13" t="n">
        <f aca="false">IF($E527="","",IF(OR($E527="Director Draw",$E527="Payroll/Employee Charge"),0,-$K527))</f>
        <v>-7553</v>
      </c>
      <c r="Q527" s="12" t="n">
        <f aca="false">IF($E527="Inventory Purchase",$H527,0)</f>
        <v>0</v>
      </c>
    </row>
    <row r="528" customFormat="false" ht="15" hidden="false" customHeight="true" outlineLevel="0" collapsed="false">
      <c r="A528" s="19" t="n">
        <v>46291</v>
      </c>
      <c r="B528" s="12" t="n">
        <f aca="false">IF($A528="","",ROW()-4)</f>
        <v>524</v>
      </c>
      <c r="C528" s="12" t="s">
        <v>255</v>
      </c>
      <c r="D528" s="12" t="s">
        <v>256</v>
      </c>
      <c r="E528" s="24" t="s">
        <v>139</v>
      </c>
      <c r="F528" s="12"/>
      <c r="G528" s="12" t="str">
        <f aca="false">IFERROR(VLOOKUP($F528,ItemList_Full,2,0),"")</f>
        <v/>
      </c>
      <c r="H528" s="12"/>
      <c r="I528" s="12" t="str">
        <f aca="false">IFERROR(VLOOKUP($F528,ItemList_Full,3,0),"")</f>
        <v/>
      </c>
      <c r="J528" s="12" t="str">
        <f aca="false">IFERROR(VLOOKUP($F528,ItemList_Full,4,0),"")</f>
        <v/>
      </c>
      <c r="K528" s="13" t="n">
        <v>540</v>
      </c>
      <c r="L528" s="12"/>
      <c r="M528" s="24"/>
      <c r="N528" s="12" t="s">
        <v>229</v>
      </c>
      <c r="O528" s="12"/>
      <c r="P528" s="13" t="n">
        <f aca="false">IF($E528="","",IF(OR($E528="Director Draw",$E528="Payroll/Employee Charge"),0,-$K528))</f>
        <v>-540</v>
      </c>
      <c r="Q528" s="12" t="n">
        <f aca="false">IF($E528="Inventory Purchase",$H528,0)</f>
        <v>0</v>
      </c>
    </row>
    <row r="529" customFormat="false" ht="15" hidden="false" customHeight="true" outlineLevel="0" collapsed="false">
      <c r="A529" s="19" t="n">
        <v>46291</v>
      </c>
      <c r="B529" s="12" t="n">
        <f aca="false">IF($A529="","",ROW()-4)</f>
        <v>525</v>
      </c>
      <c r="C529" s="12" t="s">
        <v>675</v>
      </c>
      <c r="D529" s="12" t="s">
        <v>873</v>
      </c>
      <c r="E529" s="24" t="s">
        <v>139</v>
      </c>
      <c r="F529" s="12"/>
      <c r="G529" s="12" t="str">
        <f aca="false">IFERROR(VLOOKUP($F529,ItemList_Full,2,0),"")</f>
        <v/>
      </c>
      <c r="H529" s="12"/>
      <c r="I529" s="12" t="str">
        <f aca="false">IFERROR(VLOOKUP($F529,ItemList_Full,3,0),"")</f>
        <v/>
      </c>
      <c r="J529" s="12" t="str">
        <f aca="false">IFERROR(VLOOKUP($F529,ItemList_Full,4,0),"")</f>
        <v/>
      </c>
      <c r="K529" s="13" t="n">
        <v>1000</v>
      </c>
      <c r="L529" s="12"/>
      <c r="M529" s="24"/>
      <c r="N529" s="12" t="s">
        <v>229</v>
      </c>
      <c r="O529" s="12"/>
      <c r="P529" s="13" t="n">
        <f aca="false">IF($E529="","",IF(OR($E529="Director Draw",$E529="Payroll/Employee Charge"),0,-$K529))</f>
        <v>-1000</v>
      </c>
      <c r="Q529" s="12" t="n">
        <f aca="false">IF($E529="Inventory Purchase",$H529,0)</f>
        <v>0</v>
      </c>
    </row>
    <row r="530" customFormat="false" ht="15" hidden="false" customHeight="true" outlineLevel="0" collapsed="false">
      <c r="A530" s="19" t="n">
        <v>46291</v>
      </c>
      <c r="B530" s="12" t="n">
        <f aca="false">IF($A530="","",ROW()-4)</f>
        <v>526</v>
      </c>
      <c r="C530" s="12" t="s">
        <v>822</v>
      </c>
      <c r="D530" s="12" t="s">
        <v>302</v>
      </c>
      <c r="E530" s="24" t="s">
        <v>139</v>
      </c>
      <c r="F530" s="12"/>
      <c r="G530" s="12" t="str">
        <f aca="false">IFERROR(VLOOKUP($F530,ItemList_Full,2,0),"")</f>
        <v/>
      </c>
      <c r="H530" s="12"/>
      <c r="I530" s="12" t="str">
        <f aca="false">IFERROR(VLOOKUP($F530,ItemList_Full,3,0),"")</f>
        <v/>
      </c>
      <c r="J530" s="12" t="str">
        <f aca="false">IFERROR(VLOOKUP($F530,ItemList_Full,4,0),"")</f>
        <v/>
      </c>
      <c r="K530" s="13" t="n">
        <v>9010</v>
      </c>
      <c r="L530" s="12"/>
      <c r="M530" s="24"/>
      <c r="N530" s="12" t="s">
        <v>229</v>
      </c>
      <c r="O530" s="12"/>
      <c r="P530" s="13" t="n">
        <f aca="false">IF($E530="","",IF(OR($E530="Director Draw",$E530="Payroll/Employee Charge"),0,-$K530))</f>
        <v>-9010</v>
      </c>
      <c r="Q530" s="12" t="n">
        <f aca="false">IF($E530="Inventory Purchase",$H530,0)</f>
        <v>0</v>
      </c>
    </row>
    <row r="531" customFormat="false" ht="15" hidden="false" customHeight="true" outlineLevel="0" collapsed="false">
      <c r="A531" s="19" t="n">
        <v>46291</v>
      </c>
      <c r="B531" s="12" t="n">
        <f aca="false">IF($A531="","",ROW()-4)</f>
        <v>527</v>
      </c>
      <c r="C531" s="12" t="s">
        <v>343</v>
      </c>
      <c r="D531" s="12" t="s">
        <v>347</v>
      </c>
      <c r="E531" s="24" t="s">
        <v>143</v>
      </c>
      <c r="F531" s="12"/>
      <c r="G531" s="12" t="str">
        <f aca="false">IFERROR(VLOOKUP($F531,ItemList_Full,2,0),"")</f>
        <v/>
      </c>
      <c r="H531" s="12"/>
      <c r="I531" s="12" t="str">
        <f aca="false">IFERROR(VLOOKUP($F531,ItemList_Full,3,0),"")</f>
        <v/>
      </c>
      <c r="J531" s="12" t="str">
        <f aca="false">IFERROR(VLOOKUP($F531,ItemList_Full,4,0),"")</f>
        <v/>
      </c>
      <c r="K531" s="13" t="n">
        <v>900</v>
      </c>
      <c r="L531" s="12"/>
      <c r="M531" s="24"/>
      <c r="N531" s="12" t="s">
        <v>229</v>
      </c>
      <c r="O531" s="12"/>
      <c r="P531" s="13" t="n">
        <f aca="false">IF($E531="","",IF(OR($E531="Director Draw",$E531="Payroll/Employee Charge"),0,-$K531))</f>
        <v>-900</v>
      </c>
      <c r="Q531" s="12" t="n">
        <f aca="false">IF($E531="Inventory Purchase",$H531,0)</f>
        <v>0</v>
      </c>
    </row>
    <row r="532" customFormat="false" ht="15" hidden="false" customHeight="true" outlineLevel="0" collapsed="false">
      <c r="A532" s="19" t="n">
        <v>46291</v>
      </c>
      <c r="B532" s="12" t="n">
        <f aca="false">IF($A532="","",ROW()-4)</f>
        <v>528</v>
      </c>
      <c r="C532" s="12" t="s">
        <v>343</v>
      </c>
      <c r="D532" s="12" t="s">
        <v>1602</v>
      </c>
      <c r="E532" s="24" t="s">
        <v>143</v>
      </c>
      <c r="F532" s="12"/>
      <c r="G532" s="12" t="str">
        <f aca="false">IFERROR(VLOOKUP($F532,ItemList_Full,2,0),"")</f>
        <v/>
      </c>
      <c r="H532" s="12"/>
      <c r="I532" s="12" t="str">
        <f aca="false">IFERROR(VLOOKUP($F532,ItemList_Full,3,0),"")</f>
        <v/>
      </c>
      <c r="J532" s="12" t="str">
        <f aca="false">IFERROR(VLOOKUP($F532,ItemList_Full,4,0),"")</f>
        <v/>
      </c>
      <c r="K532" s="13" t="n">
        <v>675</v>
      </c>
      <c r="L532" s="12"/>
      <c r="M532" s="24"/>
      <c r="N532" s="12" t="s">
        <v>229</v>
      </c>
      <c r="O532" s="12"/>
      <c r="P532" s="13" t="n">
        <f aca="false">IF($E532="","",IF(OR($E532="Director Draw",$E532="Payroll/Employee Charge"),0,-$K532))</f>
        <v>-675</v>
      </c>
      <c r="Q532" s="12" t="n">
        <f aca="false">IF($E532="Inventory Purchase",$H532,0)</f>
        <v>0</v>
      </c>
    </row>
    <row r="533" customFormat="false" ht="15" hidden="false" customHeight="true" outlineLevel="0" collapsed="false">
      <c r="A533" s="19" t="n">
        <v>46291</v>
      </c>
      <c r="B533" s="12" t="n">
        <f aca="false">IF($A533="","",ROW()-4)</f>
        <v>529</v>
      </c>
      <c r="C533" s="12" t="s">
        <v>355</v>
      </c>
      <c r="D533" s="12" t="s">
        <v>720</v>
      </c>
      <c r="E533" s="24" t="s">
        <v>143</v>
      </c>
      <c r="F533" s="12"/>
      <c r="G533" s="12" t="str">
        <f aca="false">IFERROR(VLOOKUP($F533,ItemList_Full,2,0),"")</f>
        <v/>
      </c>
      <c r="H533" s="12"/>
      <c r="I533" s="12" t="str">
        <f aca="false">IFERROR(VLOOKUP($F533,ItemList_Full,3,0),"")</f>
        <v/>
      </c>
      <c r="J533" s="12" t="str">
        <f aca="false">IFERROR(VLOOKUP($F533,ItemList_Full,4,0),"")</f>
        <v/>
      </c>
      <c r="K533" s="13" t="n">
        <v>1645</v>
      </c>
      <c r="L533" s="12"/>
      <c r="M533" s="24"/>
      <c r="N533" s="12" t="s">
        <v>229</v>
      </c>
      <c r="O533" s="12"/>
      <c r="P533" s="13" t="n">
        <f aca="false">IF($E533="","",IF(OR($E533="Director Draw",$E533="Payroll/Employee Charge"),0,-$K533))</f>
        <v>-1645</v>
      </c>
      <c r="Q533" s="12" t="n">
        <f aca="false">IF($E533="Inventory Purchase",$H533,0)</f>
        <v>0</v>
      </c>
    </row>
    <row r="534" customFormat="false" ht="15" hidden="false" customHeight="true" outlineLevel="0" collapsed="false">
      <c r="A534" s="19" t="n">
        <v>46291</v>
      </c>
      <c r="B534" s="12" t="n">
        <f aca="false">IF($A534="","",ROW()-4)</f>
        <v>530</v>
      </c>
      <c r="C534" s="12" t="s">
        <v>1193</v>
      </c>
      <c r="D534" s="12" t="s">
        <v>1603</v>
      </c>
      <c r="E534" s="24" t="s">
        <v>150</v>
      </c>
      <c r="F534" s="12"/>
      <c r="G534" s="12" t="str">
        <f aca="false">IFERROR(VLOOKUP($F534,ItemList_Full,2,0),"")</f>
        <v/>
      </c>
      <c r="H534" s="12"/>
      <c r="I534" s="12" t="str">
        <f aca="false">IFERROR(VLOOKUP($F534,ItemList_Full,3,0),"")</f>
        <v/>
      </c>
      <c r="J534" s="12" t="str">
        <f aca="false">IFERROR(VLOOKUP($F534,ItemList_Full,4,0),"")</f>
        <v/>
      </c>
      <c r="K534" s="13" t="n">
        <v>1300</v>
      </c>
      <c r="L534" s="12"/>
      <c r="M534" s="24"/>
      <c r="N534" s="12" t="s">
        <v>229</v>
      </c>
      <c r="O534" s="12"/>
      <c r="P534" s="13" t="n">
        <f aca="false">IF($E534="","",IF(OR($E534="Director Draw",$E534="Payroll/Employee Charge"),0,-$K534))</f>
        <v>-1300</v>
      </c>
      <c r="Q534" s="12" t="n">
        <f aca="false">IF($E534="Inventory Purchase",$H534,0)</f>
        <v>0</v>
      </c>
    </row>
    <row r="535" customFormat="false" ht="15" hidden="false" customHeight="true" outlineLevel="0" collapsed="false">
      <c r="A535" s="19" t="n">
        <v>46292</v>
      </c>
      <c r="B535" s="12" t="n">
        <f aca="false">IF($A535="","",ROW()-4)</f>
        <v>531</v>
      </c>
      <c r="C535" s="12" t="s">
        <v>247</v>
      </c>
      <c r="D535" s="12" t="s">
        <v>248</v>
      </c>
      <c r="E535" s="24" t="s">
        <v>153</v>
      </c>
      <c r="F535" s="12"/>
      <c r="G535" s="12" t="str">
        <f aca="false">IFERROR(VLOOKUP($F535,ItemList_Full,2,0),"")</f>
        <v/>
      </c>
      <c r="H535" s="12"/>
      <c r="I535" s="12" t="str">
        <f aca="false">IFERROR(VLOOKUP($F535,ItemList_Full,3,0),"")</f>
        <v/>
      </c>
      <c r="J535" s="12" t="str">
        <f aca="false">IFERROR(VLOOKUP($F535,ItemList_Full,4,0),"")</f>
        <v/>
      </c>
      <c r="K535" s="13" t="n">
        <v>6790</v>
      </c>
      <c r="L535" s="12"/>
      <c r="M535" s="24"/>
      <c r="N535" s="12" t="s">
        <v>229</v>
      </c>
      <c r="O535" s="12"/>
      <c r="P535" s="13" t="n">
        <f aca="false">IF($E535="","",IF(OR($E535="Director Draw",$E535="Payroll/Employee Charge"),0,-$K535))</f>
        <v>-6790</v>
      </c>
      <c r="Q535" s="12" t="n">
        <f aca="false">IF($E535="Inventory Purchase",$H535,0)</f>
        <v>0</v>
      </c>
    </row>
    <row r="536" customFormat="false" ht="15" hidden="false" customHeight="true" outlineLevel="0" collapsed="false">
      <c r="A536" s="19" t="n">
        <v>46292</v>
      </c>
      <c r="B536" s="12" t="n">
        <f aca="false">IF($A536="","",ROW()-4)</f>
        <v>532</v>
      </c>
      <c r="C536" s="12" t="s">
        <v>242</v>
      </c>
      <c r="D536" s="12" t="s">
        <v>243</v>
      </c>
      <c r="E536" s="24" t="s">
        <v>139</v>
      </c>
      <c r="F536" s="12"/>
      <c r="G536" s="12" t="str">
        <f aca="false">IFERROR(VLOOKUP($F536,ItemList_Full,2,0),"")</f>
        <v/>
      </c>
      <c r="H536" s="12"/>
      <c r="I536" s="12" t="str">
        <f aca="false">IFERROR(VLOOKUP($F536,ItemList_Full,3,0),"")</f>
        <v/>
      </c>
      <c r="J536" s="12" t="str">
        <f aca="false">IFERROR(VLOOKUP($F536,ItemList_Full,4,0),"")</f>
        <v/>
      </c>
      <c r="K536" s="13" t="n">
        <v>31600</v>
      </c>
      <c r="L536" s="12"/>
      <c r="M536" s="24"/>
      <c r="N536" s="12" t="s">
        <v>229</v>
      </c>
      <c r="O536" s="12"/>
      <c r="P536" s="13" t="n">
        <f aca="false">IF($E536="","",IF(OR($E536="Director Draw",$E536="Payroll/Employee Charge"),0,-$K536))</f>
        <v>-31600</v>
      </c>
      <c r="Q536" s="12" t="n">
        <f aca="false">IF($E536="Inventory Purchase",$H536,0)</f>
        <v>0</v>
      </c>
    </row>
    <row r="537" customFormat="false" ht="15" hidden="false" customHeight="true" outlineLevel="0" collapsed="false">
      <c r="A537" s="19" t="n">
        <v>46292</v>
      </c>
      <c r="B537" s="12" t="n">
        <f aca="false">IF($A537="","",ROW()-4)</f>
        <v>533</v>
      </c>
      <c r="C537" s="12" t="s">
        <v>251</v>
      </c>
      <c r="D537" s="12" t="s">
        <v>1034</v>
      </c>
      <c r="E537" s="24" t="s">
        <v>139</v>
      </c>
      <c r="F537" s="12"/>
      <c r="G537" s="12" t="str">
        <f aca="false">IFERROR(VLOOKUP($F537,ItemList_Full,2,0),"")</f>
        <v/>
      </c>
      <c r="H537" s="12"/>
      <c r="I537" s="12" t="str">
        <f aca="false">IFERROR(VLOOKUP($F537,ItemList_Full,3,0),"")</f>
        <v/>
      </c>
      <c r="J537" s="12" t="str">
        <f aca="false">IFERROR(VLOOKUP($F537,ItemList_Full,4,0),"")</f>
        <v/>
      </c>
      <c r="K537" s="13" t="n">
        <v>138850</v>
      </c>
      <c r="L537" s="12"/>
      <c r="M537" s="24"/>
      <c r="N537" s="12" t="s">
        <v>229</v>
      </c>
      <c r="O537" s="12"/>
      <c r="P537" s="13" t="n">
        <f aca="false">IF($E537="","",IF(OR($E537="Director Draw",$E537="Payroll/Employee Charge"),0,-$K537))</f>
        <v>-138850</v>
      </c>
      <c r="Q537" s="12" t="n">
        <f aca="false">IF($E537="Inventory Purchase",$H537,0)</f>
        <v>0</v>
      </c>
    </row>
    <row r="538" customFormat="false" ht="15" hidden="false" customHeight="true" outlineLevel="0" collapsed="false">
      <c r="A538" s="19" t="n">
        <v>46292</v>
      </c>
      <c r="B538" s="12" t="n">
        <f aca="false">IF($A538="","",ROW()-4)</f>
        <v>534</v>
      </c>
      <c r="C538" s="12" t="s">
        <v>832</v>
      </c>
      <c r="D538" s="12" t="s">
        <v>991</v>
      </c>
      <c r="E538" s="24" t="s">
        <v>140</v>
      </c>
      <c r="F538" s="12"/>
      <c r="G538" s="12" t="str">
        <f aca="false">IFERROR(VLOOKUP($F538,ItemList_Full,2,0),"")</f>
        <v/>
      </c>
      <c r="H538" s="12"/>
      <c r="I538" s="12" t="str">
        <f aca="false">IFERROR(VLOOKUP($F538,ItemList_Full,3,0),"")</f>
        <v/>
      </c>
      <c r="J538" s="12" t="str">
        <f aca="false">IFERROR(VLOOKUP($F538,ItemList_Full,4,0),"")</f>
        <v/>
      </c>
      <c r="K538" s="13" t="n">
        <v>15000</v>
      </c>
      <c r="L538" s="12"/>
      <c r="M538" s="24"/>
      <c r="N538" s="12" t="s">
        <v>229</v>
      </c>
      <c r="O538" s="12"/>
      <c r="P538" s="13" t="n">
        <f aca="false">IF($E538="","",IF(OR($E538="Director Draw",$E538="Payroll/Employee Charge"),0,-$K538))</f>
        <v>-15000</v>
      </c>
      <c r="Q538" s="12" t="n">
        <f aca="false">IF($E538="Inventory Purchase",$H538,0)</f>
        <v>0</v>
      </c>
    </row>
    <row r="539" customFormat="false" ht="15" hidden="false" customHeight="true" outlineLevel="0" collapsed="false">
      <c r="A539" s="19" t="n">
        <v>46292</v>
      </c>
      <c r="B539" s="12" t="n">
        <f aca="false">IF($A539="","",ROW()-4)</f>
        <v>535</v>
      </c>
      <c r="C539" s="12" t="s">
        <v>832</v>
      </c>
      <c r="D539" s="12" t="s">
        <v>1020</v>
      </c>
      <c r="E539" s="24" t="s">
        <v>140</v>
      </c>
      <c r="F539" s="12"/>
      <c r="G539" s="12" t="str">
        <f aca="false">IFERROR(VLOOKUP($F539,ItemList_Full,2,0),"")</f>
        <v/>
      </c>
      <c r="H539" s="12"/>
      <c r="I539" s="12" t="str">
        <f aca="false">IFERROR(VLOOKUP($F539,ItemList_Full,3,0),"")</f>
        <v/>
      </c>
      <c r="J539" s="12" t="str">
        <f aca="false">IFERROR(VLOOKUP($F539,ItemList_Full,4,0),"")</f>
        <v/>
      </c>
      <c r="K539" s="13" t="n">
        <v>18000</v>
      </c>
      <c r="L539" s="12"/>
      <c r="M539" s="24"/>
      <c r="N539" s="12" t="s">
        <v>229</v>
      </c>
      <c r="O539" s="12"/>
      <c r="P539" s="13" t="n">
        <f aca="false">IF($E539="","",IF(OR($E539="Director Draw",$E539="Payroll/Employee Charge"),0,-$K539))</f>
        <v>-18000</v>
      </c>
      <c r="Q539" s="12" t="n">
        <f aca="false">IF($E539="Inventory Purchase",$H539,0)</f>
        <v>0</v>
      </c>
    </row>
    <row r="540" customFormat="false" ht="15" hidden="false" customHeight="true" outlineLevel="0" collapsed="false">
      <c r="A540" s="19" t="n">
        <v>46292</v>
      </c>
      <c r="B540" s="12" t="n">
        <f aca="false">IF($A540="","",ROW()-4)</f>
        <v>536</v>
      </c>
      <c r="C540" s="12" t="s">
        <v>832</v>
      </c>
      <c r="D540" s="12" t="s">
        <v>1004</v>
      </c>
      <c r="E540" s="24" t="s">
        <v>140</v>
      </c>
      <c r="F540" s="12"/>
      <c r="G540" s="12" t="str">
        <f aca="false">IFERROR(VLOOKUP($F540,ItemList_Full,2,0),"")</f>
        <v/>
      </c>
      <c r="H540" s="12"/>
      <c r="I540" s="12" t="str">
        <f aca="false">IFERROR(VLOOKUP($F540,ItemList_Full,3,0),"")</f>
        <v/>
      </c>
      <c r="J540" s="12" t="str">
        <f aca="false">IFERROR(VLOOKUP($F540,ItemList_Full,4,0),"")</f>
        <v/>
      </c>
      <c r="K540" s="13" t="n">
        <v>19500</v>
      </c>
      <c r="L540" s="12"/>
      <c r="M540" s="24"/>
      <c r="N540" s="12" t="s">
        <v>229</v>
      </c>
      <c r="O540" s="12"/>
      <c r="P540" s="13" t="n">
        <f aca="false">IF($E540="","",IF(OR($E540="Director Draw",$E540="Payroll/Employee Charge"),0,-$K540))</f>
        <v>-19500</v>
      </c>
      <c r="Q540" s="12" t="n">
        <f aca="false">IF($E540="Inventory Purchase",$H540,0)</f>
        <v>0</v>
      </c>
    </row>
    <row r="541" customFormat="false" ht="15" hidden="false" customHeight="true" outlineLevel="0" collapsed="false">
      <c r="A541" s="19" t="n">
        <v>46292</v>
      </c>
      <c r="B541" s="12" t="n">
        <f aca="false">IF($A541="","",ROW()-4)</f>
        <v>537</v>
      </c>
      <c r="C541" s="12" t="s">
        <v>832</v>
      </c>
      <c r="D541" s="12" t="s">
        <v>1012</v>
      </c>
      <c r="E541" s="24" t="s">
        <v>140</v>
      </c>
      <c r="F541" s="12"/>
      <c r="G541" s="12" t="str">
        <f aca="false">IFERROR(VLOOKUP($F541,ItemList_Full,2,0),"")</f>
        <v/>
      </c>
      <c r="H541" s="12"/>
      <c r="I541" s="12" t="str">
        <f aca="false">IFERROR(VLOOKUP($F541,ItemList_Full,3,0),"")</f>
        <v/>
      </c>
      <c r="J541" s="12" t="str">
        <f aca="false">IFERROR(VLOOKUP($F541,ItemList_Full,4,0),"")</f>
        <v/>
      </c>
      <c r="K541" s="13" t="n">
        <v>11250</v>
      </c>
      <c r="L541" s="12"/>
      <c r="M541" s="24"/>
      <c r="N541" s="12" t="s">
        <v>229</v>
      </c>
      <c r="O541" s="12"/>
      <c r="P541" s="13" t="n">
        <f aca="false">IF($E541="","",IF(OR($E541="Director Draw",$E541="Payroll/Employee Charge"),0,-$K541))</f>
        <v>-11250</v>
      </c>
      <c r="Q541" s="12" t="n">
        <f aca="false">IF($E541="Inventory Purchase",$H541,0)</f>
        <v>0</v>
      </c>
    </row>
    <row r="542" customFormat="false" ht="15" hidden="false" customHeight="true" outlineLevel="0" collapsed="false">
      <c r="A542" s="19" t="n">
        <v>46292</v>
      </c>
      <c r="B542" s="12" t="n">
        <f aca="false">IF($A542="","",ROW()-4)</f>
        <v>538</v>
      </c>
      <c r="C542" s="12" t="s">
        <v>280</v>
      </c>
      <c r="D542" s="12" t="s">
        <v>1604</v>
      </c>
      <c r="E542" s="24" t="s">
        <v>151</v>
      </c>
      <c r="F542" s="12"/>
      <c r="G542" s="12" t="str">
        <f aca="false">IFERROR(VLOOKUP($F542,ItemList_Full,2,0),"")</f>
        <v/>
      </c>
      <c r="H542" s="12"/>
      <c r="I542" s="12" t="str">
        <f aca="false">IFERROR(VLOOKUP($F542,ItemList_Full,3,0),"")</f>
        <v/>
      </c>
      <c r="J542" s="12" t="str">
        <f aca="false">IFERROR(VLOOKUP($F542,ItemList_Full,4,0),"")</f>
        <v/>
      </c>
      <c r="K542" s="13" t="n">
        <v>44050</v>
      </c>
      <c r="L542" s="12"/>
      <c r="M542" s="24"/>
      <c r="N542" s="12" t="s">
        <v>229</v>
      </c>
      <c r="O542" s="12"/>
      <c r="P542" s="13" t="n">
        <f aca="false">IF($E542="","",IF(OR($E542="Director Draw",$E542="Payroll/Employee Charge"),0,-$K542))</f>
        <v>-44050</v>
      </c>
      <c r="Q542" s="12" t="n">
        <f aca="false">IF($E542="Inventory Purchase",$H542,0)</f>
        <v>0</v>
      </c>
    </row>
    <row r="543" customFormat="false" ht="15" hidden="false" customHeight="true" outlineLevel="0" collapsed="false">
      <c r="A543" s="19" t="n">
        <v>46293</v>
      </c>
      <c r="B543" s="12" t="n">
        <f aca="false">IF($A543="","",ROW()-4)</f>
        <v>539</v>
      </c>
      <c r="C543" s="12" t="s">
        <v>247</v>
      </c>
      <c r="D543" s="12" t="s">
        <v>248</v>
      </c>
      <c r="E543" s="24" t="s">
        <v>153</v>
      </c>
      <c r="F543" s="12"/>
      <c r="G543" s="12" t="str">
        <f aca="false">IFERROR(VLOOKUP($F543,ItemList_Full,2,0),"")</f>
        <v/>
      </c>
      <c r="H543" s="12"/>
      <c r="I543" s="12" t="str">
        <f aca="false">IFERROR(VLOOKUP($F543,ItemList_Full,3,0),"")</f>
        <v/>
      </c>
      <c r="J543" s="12" t="str">
        <f aca="false">IFERROR(VLOOKUP($F543,ItemList_Full,4,0),"")</f>
        <v/>
      </c>
      <c r="K543" s="13" t="n">
        <v>8883</v>
      </c>
      <c r="L543" s="12"/>
      <c r="M543" s="24"/>
      <c r="N543" s="12" t="s">
        <v>229</v>
      </c>
      <c r="O543" s="12"/>
      <c r="P543" s="13" t="n">
        <f aca="false">IF($E543="","",IF(OR($E543="Director Draw",$E543="Payroll/Employee Charge"),0,-$K543))</f>
        <v>-8883</v>
      </c>
      <c r="Q543" s="12" t="n">
        <f aca="false">IF($E543="Inventory Purchase",$H543,0)</f>
        <v>0</v>
      </c>
    </row>
    <row r="544" customFormat="false" ht="15" hidden="false" customHeight="true" outlineLevel="0" collapsed="false">
      <c r="A544" s="19" t="n">
        <v>46293</v>
      </c>
      <c r="B544" s="12" t="n">
        <f aca="false">IF($A544="","",ROW()-4)</f>
        <v>540</v>
      </c>
      <c r="C544" s="12" t="s">
        <v>242</v>
      </c>
      <c r="D544" s="12" t="s">
        <v>243</v>
      </c>
      <c r="E544" s="24" t="s">
        <v>139</v>
      </c>
      <c r="F544" s="12"/>
      <c r="G544" s="12" t="str">
        <f aca="false">IFERROR(VLOOKUP($F544,ItemList_Full,2,0),"")</f>
        <v/>
      </c>
      <c r="H544" s="12"/>
      <c r="I544" s="12" t="str">
        <f aca="false">IFERROR(VLOOKUP($F544,ItemList_Full,3,0),"")</f>
        <v/>
      </c>
      <c r="J544" s="12" t="str">
        <f aca="false">IFERROR(VLOOKUP($F544,ItemList_Full,4,0),"")</f>
        <v/>
      </c>
      <c r="K544" s="13" t="n">
        <v>12000</v>
      </c>
      <c r="L544" s="12"/>
      <c r="M544" s="24"/>
      <c r="N544" s="12" t="s">
        <v>229</v>
      </c>
      <c r="O544" s="12"/>
      <c r="P544" s="13" t="n">
        <f aca="false">IF($E544="","",IF(OR($E544="Director Draw",$E544="Payroll/Employee Charge"),0,-$K544))</f>
        <v>-12000</v>
      </c>
      <c r="Q544" s="12" t="n">
        <f aca="false">IF($E544="Inventory Purchase",$H544,0)</f>
        <v>0</v>
      </c>
    </row>
    <row r="545" customFormat="false" ht="15" hidden="false" customHeight="true" outlineLevel="0" collapsed="false">
      <c r="A545" s="19" t="n">
        <v>46293</v>
      </c>
      <c r="B545" s="12" t="n">
        <f aca="false">IF($A545="","",ROW()-4)</f>
        <v>541</v>
      </c>
      <c r="C545" s="12" t="s">
        <v>1563</v>
      </c>
      <c r="D545" s="12" t="s">
        <v>1564</v>
      </c>
      <c r="E545" s="24" t="s">
        <v>139</v>
      </c>
      <c r="F545" s="12"/>
      <c r="G545" s="12" t="str">
        <f aca="false">IFERROR(VLOOKUP($F545,ItemList_Full,2,0),"")</f>
        <v/>
      </c>
      <c r="H545" s="12"/>
      <c r="I545" s="12" t="str">
        <f aca="false">IFERROR(VLOOKUP($F545,ItemList_Full,3,0),"")</f>
        <v/>
      </c>
      <c r="J545" s="12" t="str">
        <f aca="false">IFERROR(VLOOKUP($F545,ItemList_Full,4,0),"")</f>
        <v/>
      </c>
      <c r="K545" s="13" t="n">
        <v>338000</v>
      </c>
      <c r="L545" s="12"/>
      <c r="M545" s="24"/>
      <c r="N545" s="12" t="s">
        <v>229</v>
      </c>
      <c r="O545" s="12"/>
      <c r="P545" s="13" t="n">
        <f aca="false">IF($E545="","",IF(OR($E545="Director Draw",$E545="Payroll/Employee Charge"),0,-$K545))</f>
        <v>-338000</v>
      </c>
      <c r="Q545" s="12" t="n">
        <f aca="false">IF($E545="Inventory Purchase",$H545,0)</f>
        <v>0</v>
      </c>
    </row>
    <row r="546" customFormat="false" ht="15" hidden="false" customHeight="true" outlineLevel="0" collapsed="false">
      <c r="A546" s="19" t="n">
        <v>46293</v>
      </c>
      <c r="B546" s="12" t="n">
        <f aca="false">IF($A546="","",ROW()-4)</f>
        <v>542</v>
      </c>
      <c r="C546" s="12" t="s">
        <v>514</v>
      </c>
      <c r="D546" s="12" t="s">
        <v>1605</v>
      </c>
      <c r="E546" s="24" t="s">
        <v>139</v>
      </c>
      <c r="F546" s="12"/>
      <c r="G546" s="12" t="str">
        <f aca="false">IFERROR(VLOOKUP($F546,ItemList_Full,2,0),"")</f>
        <v/>
      </c>
      <c r="H546" s="12"/>
      <c r="I546" s="12" t="str">
        <f aca="false">IFERROR(VLOOKUP($F546,ItemList_Full,3,0),"")</f>
        <v/>
      </c>
      <c r="J546" s="12" t="str">
        <f aca="false">IFERROR(VLOOKUP($F546,ItemList_Full,4,0),"")</f>
        <v/>
      </c>
      <c r="K546" s="13" t="n">
        <v>58250</v>
      </c>
      <c r="L546" s="12"/>
      <c r="M546" s="24"/>
      <c r="N546" s="12" t="s">
        <v>229</v>
      </c>
      <c r="O546" s="12"/>
      <c r="P546" s="13" t="n">
        <f aca="false">IF($E546="","",IF(OR($E546="Director Draw",$E546="Payroll/Employee Charge"),0,-$K546))</f>
        <v>-58250</v>
      </c>
      <c r="Q546" s="12" t="n">
        <f aca="false">IF($E546="Inventory Purchase",$H546,0)</f>
        <v>0</v>
      </c>
    </row>
    <row r="547" customFormat="false" ht="15" hidden="false" customHeight="true" outlineLevel="0" collapsed="false">
      <c r="A547" s="19" t="n">
        <v>46293</v>
      </c>
      <c r="B547" s="12" t="n">
        <f aca="false">IF($A547="","",ROW()-4)</f>
        <v>543</v>
      </c>
      <c r="C547" s="12" t="s">
        <v>1606</v>
      </c>
      <c r="D547" s="12" t="s">
        <v>1607</v>
      </c>
      <c r="E547" s="24" t="s">
        <v>139</v>
      </c>
      <c r="F547" s="12"/>
      <c r="G547" s="12" t="str">
        <f aca="false">IFERROR(VLOOKUP($F547,ItemList_Full,2,0),"")</f>
        <v/>
      </c>
      <c r="H547" s="12"/>
      <c r="I547" s="12" t="str">
        <f aca="false">IFERROR(VLOOKUP($F547,ItemList_Full,3,0),"")</f>
        <v/>
      </c>
      <c r="J547" s="12" t="str">
        <f aca="false">IFERROR(VLOOKUP($F547,ItemList_Full,4,0),"")</f>
        <v/>
      </c>
      <c r="K547" s="13" t="n">
        <v>400000</v>
      </c>
      <c r="L547" s="12"/>
      <c r="M547" s="24"/>
      <c r="N547" s="12" t="s">
        <v>229</v>
      </c>
      <c r="O547" s="12"/>
      <c r="P547" s="13" t="n">
        <f aca="false">IF($E547="","",IF(OR($E547="Director Draw",$E547="Payroll/Employee Charge"),0,-$K547))</f>
        <v>-400000</v>
      </c>
      <c r="Q547" s="12" t="n">
        <f aca="false">IF($E547="Inventory Purchase",$H547,0)</f>
        <v>0</v>
      </c>
    </row>
    <row r="548" customFormat="false" ht="15" hidden="false" customHeight="true" outlineLevel="0" collapsed="false">
      <c r="A548" s="19" t="n">
        <v>46293</v>
      </c>
      <c r="B548" s="12" t="n">
        <f aca="false">IF($A548="","",ROW()-4)</f>
        <v>544</v>
      </c>
      <c r="C548" s="12" t="s">
        <v>1608</v>
      </c>
      <c r="D548" s="12" t="s">
        <v>1609</v>
      </c>
      <c r="E548" s="24" t="s">
        <v>139</v>
      </c>
      <c r="F548" s="12"/>
      <c r="G548" s="12" t="str">
        <f aca="false">IFERROR(VLOOKUP($F548,ItemList_Full,2,0),"")</f>
        <v/>
      </c>
      <c r="H548" s="12"/>
      <c r="I548" s="12" t="str">
        <f aca="false">IFERROR(VLOOKUP($F548,ItemList_Full,3,0),"")</f>
        <v/>
      </c>
      <c r="J548" s="12" t="str">
        <f aca="false">IFERROR(VLOOKUP($F548,ItemList_Full,4,0),"")</f>
        <v/>
      </c>
      <c r="K548" s="13" t="n">
        <v>49606</v>
      </c>
      <c r="L548" s="12"/>
      <c r="M548" s="24"/>
      <c r="N548" s="12" t="s">
        <v>229</v>
      </c>
      <c r="O548" s="12"/>
      <c r="P548" s="13" t="n">
        <f aca="false">IF($E548="","",IF(OR($E548="Director Draw",$E548="Payroll/Employee Charge"),0,-$K548))</f>
        <v>-49606</v>
      </c>
      <c r="Q548" s="12" t="n">
        <f aca="false">IF($E548="Inventory Purchase",$H548,0)</f>
        <v>0</v>
      </c>
    </row>
    <row r="549" customFormat="false" ht="15" hidden="false" customHeight="true" outlineLevel="0" collapsed="false">
      <c r="A549" s="19" t="n">
        <v>46293</v>
      </c>
      <c r="B549" s="12" t="n">
        <f aca="false">IF($A549="","",ROW()-4)</f>
        <v>545</v>
      </c>
      <c r="C549" s="12" t="s">
        <v>325</v>
      </c>
      <c r="D549" s="12" t="s">
        <v>1610</v>
      </c>
      <c r="E549" s="24" t="s">
        <v>139</v>
      </c>
      <c r="F549" s="12"/>
      <c r="G549" s="12" t="str">
        <f aca="false">IFERROR(VLOOKUP($F549,ItemList_Full,2,0),"")</f>
        <v/>
      </c>
      <c r="H549" s="12"/>
      <c r="I549" s="12" t="str">
        <f aca="false">IFERROR(VLOOKUP($F549,ItemList_Full,3,0),"")</f>
        <v/>
      </c>
      <c r="J549" s="12" t="str">
        <f aca="false">IFERROR(VLOOKUP($F549,ItemList_Full,4,0),"")</f>
        <v/>
      </c>
      <c r="K549" s="13" t="n">
        <v>27000</v>
      </c>
      <c r="L549" s="12"/>
      <c r="M549" s="24"/>
      <c r="N549" s="12" t="s">
        <v>229</v>
      </c>
      <c r="O549" s="12"/>
      <c r="P549" s="13" t="n">
        <f aca="false">IF($E549="","",IF(OR($E549="Director Draw",$E549="Payroll/Employee Charge"),0,-$K549))</f>
        <v>-27000</v>
      </c>
      <c r="Q549" s="12" t="n">
        <f aca="false">IF($E549="Inventory Purchase",$H549,0)</f>
        <v>0</v>
      </c>
    </row>
    <row r="550" customFormat="false" ht="15" hidden="false" customHeight="true" outlineLevel="0" collapsed="false">
      <c r="A550" s="19" t="n">
        <v>46293</v>
      </c>
      <c r="B550" s="12" t="n">
        <f aca="false">IF($A550="","",ROW()-4)</f>
        <v>546</v>
      </c>
      <c r="C550" s="12" t="s">
        <v>675</v>
      </c>
      <c r="D550" s="12" t="s">
        <v>675</v>
      </c>
      <c r="E550" s="24" t="s">
        <v>139</v>
      </c>
      <c r="F550" s="12"/>
      <c r="G550" s="12" t="str">
        <f aca="false">IFERROR(VLOOKUP($F550,ItemList_Full,2,0),"")</f>
        <v/>
      </c>
      <c r="H550" s="12"/>
      <c r="I550" s="12" t="str">
        <f aca="false">IFERROR(VLOOKUP($F550,ItemList_Full,3,0),"")</f>
        <v/>
      </c>
      <c r="J550" s="12" t="str">
        <f aca="false">IFERROR(VLOOKUP($F550,ItemList_Full,4,0),"")</f>
        <v/>
      </c>
      <c r="K550" s="13" t="n">
        <v>110</v>
      </c>
      <c r="L550" s="12"/>
      <c r="M550" s="24"/>
      <c r="N550" s="12" t="s">
        <v>229</v>
      </c>
      <c r="O550" s="12"/>
      <c r="P550" s="13" t="n">
        <f aca="false">IF($E550="","",IF(OR($E550="Director Draw",$E550="Payroll/Employee Charge"),0,-$K550))</f>
        <v>-110</v>
      </c>
      <c r="Q550" s="12" t="n">
        <f aca="false">IF($E550="Inventory Purchase",$H550,0)</f>
        <v>0</v>
      </c>
    </row>
    <row r="551" customFormat="false" ht="15" hidden="false" customHeight="true" outlineLevel="0" collapsed="false">
      <c r="A551" s="19" t="n">
        <v>46293</v>
      </c>
      <c r="B551" s="12" t="n">
        <f aca="false">IF($A551="","",ROW()-4)</f>
        <v>547</v>
      </c>
      <c r="C551" s="12" t="s">
        <v>225</v>
      </c>
      <c r="D551" s="12" t="s">
        <v>305</v>
      </c>
      <c r="E551" s="24" t="s">
        <v>227</v>
      </c>
      <c r="F551" s="12"/>
      <c r="G551" s="12" t="str">
        <f aca="false">IFERROR(VLOOKUP($F551,ItemList_Full,2,0),"")</f>
        <v/>
      </c>
      <c r="H551" s="12"/>
      <c r="I551" s="12" t="str">
        <f aca="false">IFERROR(VLOOKUP($F551,ItemList_Full,3,0),"")</f>
        <v/>
      </c>
      <c r="J551" s="12" t="str">
        <f aca="false">IFERROR(VLOOKUP($F551,ItemList_Full,4,0),"")</f>
        <v/>
      </c>
      <c r="K551" s="13" t="n">
        <v>12580</v>
      </c>
      <c r="L551" s="12"/>
      <c r="M551" s="24" t="s">
        <v>228</v>
      </c>
      <c r="N551" s="12" t="s">
        <v>229</v>
      </c>
      <c r="O551" s="12"/>
      <c r="P551" s="13" t="n">
        <f aca="false">IF($E551="","",IF(OR($E551="Director Draw",$E551="Payroll/Employee Charge"),0,-$K551))</f>
        <v>0</v>
      </c>
      <c r="Q551" s="12" t="n">
        <f aca="false">IF($E551="Inventory Purchase",$H551,0)</f>
        <v>0</v>
      </c>
    </row>
    <row r="552" customFormat="false" ht="15" hidden="false" customHeight="true" outlineLevel="0" collapsed="false">
      <c r="A552" s="19" t="n">
        <v>46293</v>
      </c>
      <c r="B552" s="12" t="n">
        <f aca="false">IF($A552="","",ROW()-4)</f>
        <v>548</v>
      </c>
      <c r="C552" s="12" t="s">
        <v>1611</v>
      </c>
      <c r="D552" s="12" t="s">
        <v>1612</v>
      </c>
      <c r="E552" s="24" t="s">
        <v>149</v>
      </c>
      <c r="F552" s="12"/>
      <c r="G552" s="12" t="str">
        <f aca="false">IFERROR(VLOOKUP($F552,ItemList_Full,2,0),"")</f>
        <v/>
      </c>
      <c r="H552" s="12"/>
      <c r="I552" s="12" t="str">
        <f aca="false">IFERROR(VLOOKUP($F552,ItemList_Full,3,0),"")</f>
        <v/>
      </c>
      <c r="J552" s="12" t="str">
        <f aca="false">IFERROR(VLOOKUP($F552,ItemList_Full,4,0),"")</f>
        <v/>
      </c>
      <c r="K552" s="13" t="n">
        <v>585</v>
      </c>
      <c r="L552" s="12"/>
      <c r="M552" s="24"/>
      <c r="N552" s="12" t="s">
        <v>229</v>
      </c>
      <c r="O552" s="12"/>
      <c r="P552" s="13" t="n">
        <f aca="false">IF($E552="","",IF(OR($E552="Director Draw",$E552="Payroll/Employee Charge"),0,-$K552))</f>
        <v>-585</v>
      </c>
      <c r="Q552" s="12" t="n">
        <f aca="false">IF($E552="Inventory Purchase",$H552,0)</f>
        <v>0</v>
      </c>
    </row>
    <row r="553" customFormat="false" ht="15" hidden="false" customHeight="true" outlineLevel="0" collapsed="false">
      <c r="A553" s="19" t="n">
        <v>46293</v>
      </c>
      <c r="B553" s="12" t="n">
        <f aca="false">IF($A553="","",ROW()-4)</f>
        <v>549</v>
      </c>
      <c r="C553" s="12" t="s">
        <v>1613</v>
      </c>
      <c r="D553" s="12" t="s">
        <v>1614</v>
      </c>
      <c r="E553" s="24" t="s">
        <v>149</v>
      </c>
      <c r="F553" s="12"/>
      <c r="G553" s="12" t="str">
        <f aca="false">IFERROR(VLOOKUP($F553,ItemList_Full,2,0),"")</f>
        <v/>
      </c>
      <c r="H553" s="12"/>
      <c r="I553" s="12" t="str">
        <f aca="false">IFERROR(VLOOKUP($F553,ItemList_Full,3,0),"")</f>
        <v/>
      </c>
      <c r="J553" s="12" t="str">
        <f aca="false">IFERROR(VLOOKUP($F553,ItemList_Full,4,0),"")</f>
        <v/>
      </c>
      <c r="K553" s="13" t="n">
        <v>360</v>
      </c>
      <c r="L553" s="12"/>
      <c r="M553" s="24"/>
      <c r="N553" s="12" t="s">
        <v>229</v>
      </c>
      <c r="O553" s="12"/>
      <c r="P553" s="13" t="n">
        <f aca="false">IF($E553="","",IF(OR($E553="Director Draw",$E553="Payroll/Employee Charge"),0,-$K553))</f>
        <v>-360</v>
      </c>
      <c r="Q553" s="12" t="n">
        <f aca="false">IF($E553="Inventory Purchase",$H553,0)</f>
        <v>0</v>
      </c>
    </row>
    <row r="554" customFormat="false" ht="15" hidden="false" customHeight="true" outlineLevel="0" collapsed="false">
      <c r="A554" s="19" t="n">
        <v>46293</v>
      </c>
      <c r="B554" s="12" t="n">
        <f aca="false">IF($A554="","",ROW()-4)</f>
        <v>550</v>
      </c>
      <c r="C554" s="12" t="s">
        <v>225</v>
      </c>
      <c r="D554" s="12" t="s">
        <v>1615</v>
      </c>
      <c r="E554" s="24" t="s">
        <v>227</v>
      </c>
      <c r="F554" s="12"/>
      <c r="G554" s="12" t="str">
        <f aca="false">IFERROR(VLOOKUP($F554,ItemList_Full,2,0),"")</f>
        <v/>
      </c>
      <c r="H554" s="12"/>
      <c r="I554" s="12" t="str">
        <f aca="false">IFERROR(VLOOKUP($F554,ItemList_Full,3,0),"")</f>
        <v/>
      </c>
      <c r="J554" s="12" t="str">
        <f aca="false">IFERROR(VLOOKUP($F554,ItemList_Full,4,0),"")</f>
        <v/>
      </c>
      <c r="K554" s="13" t="n">
        <v>450</v>
      </c>
      <c r="L554" s="12"/>
      <c r="M554" s="24" t="s">
        <v>234</v>
      </c>
      <c r="N554" s="12" t="s">
        <v>229</v>
      </c>
      <c r="O554" s="12"/>
      <c r="P554" s="13" t="n">
        <f aca="false">IF($E554="","",IF(OR($E554="Director Draw",$E554="Payroll/Employee Charge"),0,-$K554))</f>
        <v>0</v>
      </c>
      <c r="Q554" s="12" t="n">
        <f aca="false">IF($E554="Inventory Purchase",$H554,0)</f>
        <v>0</v>
      </c>
    </row>
    <row r="555" customFormat="false" ht="15" hidden="false" customHeight="true" outlineLevel="0" collapsed="false">
      <c r="A555" s="19" t="n">
        <v>46293</v>
      </c>
      <c r="B555" s="12" t="n">
        <f aca="false">IF($A555="","",ROW()-4)</f>
        <v>551</v>
      </c>
      <c r="C555" s="12" t="s">
        <v>225</v>
      </c>
      <c r="D555" s="12" t="s">
        <v>1082</v>
      </c>
      <c r="E555" s="24" t="s">
        <v>227</v>
      </c>
      <c r="F555" s="12"/>
      <c r="G555" s="12" t="str">
        <f aca="false">IFERROR(VLOOKUP($F555,ItemList_Full,2,0),"")</f>
        <v/>
      </c>
      <c r="H555" s="12"/>
      <c r="I555" s="12" t="str">
        <f aca="false">IFERROR(VLOOKUP($F555,ItemList_Full,3,0),"")</f>
        <v/>
      </c>
      <c r="J555" s="12" t="str">
        <f aca="false">IFERROR(VLOOKUP($F555,ItemList_Full,4,0),"")</f>
        <v/>
      </c>
      <c r="K555" s="13" t="n">
        <v>190</v>
      </c>
      <c r="L555" s="12"/>
      <c r="M555" s="24" t="s">
        <v>234</v>
      </c>
      <c r="N555" s="12" t="s">
        <v>229</v>
      </c>
      <c r="O555" s="12"/>
      <c r="P555" s="13" t="n">
        <f aca="false">IF($E555="","",IF(OR($E555="Director Draw",$E555="Payroll/Employee Charge"),0,-$K555))</f>
        <v>0</v>
      </c>
      <c r="Q555" s="12" t="n">
        <f aca="false">IF($E555="Inventory Purchase",$H555,0)</f>
        <v>0</v>
      </c>
    </row>
    <row r="556" customFormat="false" ht="15" hidden="false" customHeight="true" outlineLevel="0" collapsed="false">
      <c r="A556" s="19" t="n">
        <v>46293</v>
      </c>
      <c r="B556" s="12" t="n">
        <f aca="false">IF($A556="","",ROW()-4)</f>
        <v>552</v>
      </c>
      <c r="C556" s="12" t="s">
        <v>225</v>
      </c>
      <c r="D556" s="12" t="s">
        <v>431</v>
      </c>
      <c r="E556" s="24" t="s">
        <v>227</v>
      </c>
      <c r="F556" s="12"/>
      <c r="G556" s="12" t="str">
        <f aca="false">IFERROR(VLOOKUP($F556,ItemList_Full,2,0),"")</f>
        <v/>
      </c>
      <c r="H556" s="12"/>
      <c r="I556" s="12" t="str">
        <f aca="false">IFERROR(VLOOKUP($F556,ItemList_Full,3,0),"")</f>
        <v/>
      </c>
      <c r="J556" s="12" t="str">
        <f aca="false">IFERROR(VLOOKUP($F556,ItemList_Full,4,0),"")</f>
        <v/>
      </c>
      <c r="K556" s="13" t="n">
        <v>275</v>
      </c>
      <c r="L556" s="12"/>
      <c r="M556" s="24" t="s">
        <v>228</v>
      </c>
      <c r="N556" s="12" t="s">
        <v>229</v>
      </c>
      <c r="O556" s="12"/>
      <c r="P556" s="13" t="n">
        <f aca="false">IF($E556="","",IF(OR($E556="Director Draw",$E556="Payroll/Employee Charge"),0,-$K556))</f>
        <v>0</v>
      </c>
      <c r="Q556" s="12" t="n">
        <f aca="false">IF($E556="Inventory Purchase",$H556,0)</f>
        <v>0</v>
      </c>
    </row>
    <row r="557" customFormat="false" ht="15" hidden="false" customHeight="true" outlineLevel="0" collapsed="false">
      <c r="A557" s="19" t="n">
        <v>46293</v>
      </c>
      <c r="B557" s="12" t="n">
        <f aca="false">IF($A557="","",ROW()-4)</f>
        <v>553</v>
      </c>
      <c r="C557" s="12" t="s">
        <v>449</v>
      </c>
      <c r="D557" s="12" t="s">
        <v>260</v>
      </c>
      <c r="E557" s="24" t="s">
        <v>139</v>
      </c>
      <c r="F557" s="12"/>
      <c r="G557" s="12" t="str">
        <f aca="false">IFERROR(VLOOKUP($F557,ItemList_Full,2,0),"")</f>
        <v/>
      </c>
      <c r="H557" s="12"/>
      <c r="I557" s="12" t="str">
        <f aca="false">IFERROR(VLOOKUP($F557,ItemList_Full,3,0),"")</f>
        <v/>
      </c>
      <c r="J557" s="12" t="str">
        <f aca="false">IFERROR(VLOOKUP($F557,ItemList_Full,4,0),"")</f>
        <v/>
      </c>
      <c r="K557" s="13" t="n">
        <v>3815</v>
      </c>
      <c r="L557" s="12"/>
      <c r="M557" s="24"/>
      <c r="N557" s="12" t="s">
        <v>229</v>
      </c>
      <c r="O557" s="12"/>
      <c r="P557" s="13" t="n">
        <f aca="false">IF($E557="","",IF(OR($E557="Director Draw",$E557="Payroll/Employee Charge"),0,-$K557))</f>
        <v>-3815</v>
      </c>
      <c r="Q557" s="12" t="n">
        <f aca="false">IF($E557="Inventory Purchase",$H557,0)</f>
        <v>0</v>
      </c>
    </row>
    <row r="558" customFormat="false" ht="15" hidden="false" customHeight="true" outlineLevel="0" collapsed="false">
      <c r="A558" s="19" t="n">
        <v>46293</v>
      </c>
      <c r="B558" s="12" t="n">
        <f aca="false">IF($A558="","",ROW()-4)</f>
        <v>554</v>
      </c>
      <c r="C558" s="12" t="s">
        <v>550</v>
      </c>
      <c r="D558" s="12" t="s">
        <v>550</v>
      </c>
      <c r="E558" s="24" t="s">
        <v>152</v>
      </c>
      <c r="F558" s="12"/>
      <c r="G558" s="12" t="str">
        <f aca="false">IFERROR(VLOOKUP($F558,ItemList_Full,2,0),"")</f>
        <v/>
      </c>
      <c r="H558" s="12"/>
      <c r="I558" s="12" t="str">
        <f aca="false">IFERROR(VLOOKUP($F558,ItemList_Full,3,0),"")</f>
        <v/>
      </c>
      <c r="J558" s="12" t="str">
        <f aca="false">IFERROR(VLOOKUP($F558,ItemList_Full,4,0),"")</f>
        <v/>
      </c>
      <c r="K558" s="13" t="n">
        <v>36000</v>
      </c>
      <c r="L558" s="12"/>
      <c r="M558" s="24"/>
      <c r="N558" s="12" t="s">
        <v>229</v>
      </c>
      <c r="O558" s="12"/>
      <c r="P558" s="13" t="n">
        <f aca="false">IF($E558="","",IF(OR($E558="Director Draw",$E558="Payroll/Employee Charge"),0,-$K558))</f>
        <v>-36000</v>
      </c>
      <c r="Q558" s="12" t="n">
        <f aca="false">IF($E558="Inventory Purchase",$H558,0)</f>
        <v>0</v>
      </c>
    </row>
    <row r="559" customFormat="false" ht="15" hidden="false" customHeight="true" outlineLevel="0" collapsed="false">
      <c r="A559" s="19" t="n">
        <v>46293</v>
      </c>
      <c r="B559" s="12" t="n">
        <f aca="false">IF($A559="","",ROW()-4)</f>
        <v>555</v>
      </c>
      <c r="C559" s="12" t="s">
        <v>445</v>
      </c>
      <c r="D559" s="12" t="s">
        <v>1041</v>
      </c>
      <c r="E559" s="24" t="s">
        <v>148</v>
      </c>
      <c r="F559" s="12"/>
      <c r="G559" s="12" t="str">
        <f aca="false">IFERROR(VLOOKUP($F559,ItemList_Full,2,0),"")</f>
        <v/>
      </c>
      <c r="H559" s="12"/>
      <c r="I559" s="12" t="str">
        <f aca="false">IFERROR(VLOOKUP($F559,ItemList_Full,3,0),"")</f>
        <v/>
      </c>
      <c r="J559" s="12" t="str">
        <f aca="false">IFERROR(VLOOKUP($F559,ItemList_Full,4,0),"")</f>
        <v/>
      </c>
      <c r="K559" s="13" t="n">
        <v>400000</v>
      </c>
      <c r="L559" s="12"/>
      <c r="M559" s="24"/>
      <c r="N559" s="12" t="s">
        <v>229</v>
      </c>
      <c r="O559" s="12"/>
      <c r="P559" s="13" t="n">
        <f aca="false">IF($E559="","",IF(OR($E559="Director Draw",$E559="Payroll/Employee Charge"),0,-$K559))</f>
        <v>-400000</v>
      </c>
      <c r="Q559" s="12" t="n">
        <f aca="false">IF($E559="Inventory Purchase",$H559,0)</f>
        <v>0</v>
      </c>
    </row>
    <row r="560" customFormat="false" ht="15" hidden="false" customHeight="true" outlineLevel="0" collapsed="false">
      <c r="A560" s="19" t="n">
        <v>46293</v>
      </c>
      <c r="B560" s="12" t="n">
        <f aca="false">IF($A560="","",ROW()-4)</f>
        <v>556</v>
      </c>
      <c r="C560" s="12" t="s">
        <v>343</v>
      </c>
      <c r="D560" s="12" t="s">
        <v>404</v>
      </c>
      <c r="E560" s="24" t="s">
        <v>143</v>
      </c>
      <c r="F560" s="12"/>
      <c r="G560" s="12" t="str">
        <f aca="false">IFERROR(VLOOKUP($F560,ItemList_Full,2,0),"")</f>
        <v/>
      </c>
      <c r="H560" s="12"/>
      <c r="I560" s="12" t="str">
        <f aca="false">IFERROR(VLOOKUP($F560,ItemList_Full,3,0),"")</f>
        <v/>
      </c>
      <c r="J560" s="12" t="str">
        <f aca="false">IFERROR(VLOOKUP($F560,ItemList_Full,4,0),"")</f>
        <v/>
      </c>
      <c r="K560" s="13" t="n">
        <v>30000</v>
      </c>
      <c r="L560" s="12"/>
      <c r="M560" s="24"/>
      <c r="N560" s="12" t="s">
        <v>229</v>
      </c>
      <c r="O560" s="12"/>
      <c r="P560" s="13" t="n">
        <f aca="false">IF($E560="","",IF(OR($E560="Director Draw",$E560="Payroll/Employee Charge"),0,-$K560))</f>
        <v>-30000</v>
      </c>
      <c r="Q560" s="12" t="n">
        <f aca="false">IF($E560="Inventory Purchase",$H560,0)</f>
        <v>0</v>
      </c>
    </row>
    <row r="561" customFormat="false" ht="15" hidden="false" customHeight="true" outlineLevel="0" collapsed="false">
      <c r="A561" s="19" t="n">
        <v>46293</v>
      </c>
      <c r="B561" s="12" t="n">
        <f aca="false">IF($A561="","",ROW()-4)</f>
        <v>557</v>
      </c>
      <c r="C561" s="12" t="s">
        <v>785</v>
      </c>
      <c r="D561" s="12" t="s">
        <v>1616</v>
      </c>
      <c r="E561" s="24" t="s">
        <v>146</v>
      </c>
      <c r="F561" s="12"/>
      <c r="G561" s="12" t="str">
        <f aca="false">IFERROR(VLOOKUP($F561,ItemList_Full,2,0),"")</f>
        <v/>
      </c>
      <c r="H561" s="12"/>
      <c r="I561" s="12" t="str">
        <f aca="false">IFERROR(VLOOKUP($F561,ItemList_Full,3,0),"")</f>
        <v/>
      </c>
      <c r="J561" s="12" t="str">
        <f aca="false">IFERROR(VLOOKUP($F561,ItemList_Full,4,0),"")</f>
        <v/>
      </c>
      <c r="K561" s="13" t="n">
        <v>350</v>
      </c>
      <c r="L561" s="12"/>
      <c r="M561" s="24"/>
      <c r="N561" s="12" t="s">
        <v>229</v>
      </c>
      <c r="O561" s="12"/>
      <c r="P561" s="13" t="n">
        <f aca="false">IF($E561="","",IF(OR($E561="Director Draw",$E561="Payroll/Employee Charge"),0,-$K561))</f>
        <v>-350</v>
      </c>
      <c r="Q561" s="12" t="n">
        <f aca="false">IF($E561="Inventory Purchase",$H561,0)</f>
        <v>0</v>
      </c>
    </row>
    <row r="562" customFormat="false" ht="15" hidden="false" customHeight="true" outlineLevel="0" collapsed="false">
      <c r="A562" s="19" t="n">
        <v>46293</v>
      </c>
      <c r="B562" s="12" t="n">
        <f aca="false">IF($A562="","",ROW()-4)</f>
        <v>558</v>
      </c>
      <c r="C562" s="12" t="s">
        <v>280</v>
      </c>
      <c r="D562" s="12" t="s">
        <v>1617</v>
      </c>
      <c r="E562" s="24" t="s">
        <v>151</v>
      </c>
      <c r="F562" s="12"/>
      <c r="G562" s="12" t="str">
        <f aca="false">IFERROR(VLOOKUP($F562,ItemList_Full,2,0),"")</f>
        <v/>
      </c>
      <c r="H562" s="12"/>
      <c r="I562" s="12" t="str">
        <f aca="false">IFERROR(VLOOKUP($F562,ItemList_Full,3,0),"")</f>
        <v/>
      </c>
      <c r="J562" s="12" t="str">
        <f aca="false">IFERROR(VLOOKUP($F562,ItemList_Full,4,0),"")</f>
        <v/>
      </c>
      <c r="K562" s="13" t="n">
        <v>2520</v>
      </c>
      <c r="L562" s="12"/>
      <c r="M562" s="24"/>
      <c r="N562" s="12" t="s">
        <v>229</v>
      </c>
      <c r="O562" s="12"/>
      <c r="P562" s="13" t="n">
        <f aca="false">IF($E562="","",IF(OR($E562="Director Draw",$E562="Payroll/Employee Charge"),0,-$K562))</f>
        <v>-2520</v>
      </c>
      <c r="Q562" s="12" t="n">
        <f aca="false">IF($E562="Inventory Purchase",$H562,0)</f>
        <v>0</v>
      </c>
    </row>
    <row r="563" customFormat="false" ht="15" hidden="false" customHeight="true" outlineLevel="0" collapsed="false">
      <c r="A563" s="19" t="n">
        <v>46293</v>
      </c>
      <c r="B563" s="12" t="n">
        <f aca="false">IF($A563="","",ROW()-4)</f>
        <v>559</v>
      </c>
      <c r="C563" s="12" t="s">
        <v>225</v>
      </c>
      <c r="D563" s="12" t="s">
        <v>1618</v>
      </c>
      <c r="E563" s="24" t="s">
        <v>227</v>
      </c>
      <c r="F563" s="12"/>
      <c r="G563" s="12" t="str">
        <f aca="false">IFERROR(VLOOKUP($F563,ItemList_Full,2,0),"")</f>
        <v/>
      </c>
      <c r="H563" s="12"/>
      <c r="I563" s="12" t="str">
        <f aca="false">IFERROR(VLOOKUP($F563,ItemList_Full,3,0),"")</f>
        <v/>
      </c>
      <c r="J563" s="12" t="str">
        <f aca="false">IFERROR(VLOOKUP($F563,ItemList_Full,4,0),"")</f>
        <v/>
      </c>
      <c r="K563" s="13" t="n">
        <v>390</v>
      </c>
      <c r="L563" s="12"/>
      <c r="M563" s="24" t="s">
        <v>228</v>
      </c>
      <c r="N563" s="12" t="s">
        <v>229</v>
      </c>
      <c r="O563" s="12"/>
      <c r="P563" s="13" t="n">
        <f aca="false">IF($E563="","",IF(OR($E563="Director Draw",$E563="Payroll/Employee Charge"),0,-$K563))</f>
        <v>0</v>
      </c>
      <c r="Q563" s="12" t="n">
        <f aca="false">IF($E563="Inventory Purchase",$H563,0)</f>
        <v>0</v>
      </c>
    </row>
    <row r="564" customFormat="false" ht="15" hidden="false" customHeight="true" outlineLevel="0" collapsed="false">
      <c r="A564" s="19" t="n">
        <v>46293</v>
      </c>
      <c r="B564" s="12" t="n">
        <f aca="false">IF($A564="","",ROW()-4)</f>
        <v>560</v>
      </c>
      <c r="C564" s="12" t="s">
        <v>445</v>
      </c>
      <c r="D564" s="12" t="s">
        <v>566</v>
      </c>
      <c r="E564" s="24" t="s">
        <v>139</v>
      </c>
      <c r="F564" s="12"/>
      <c r="G564" s="12" t="str">
        <f aca="false">IFERROR(VLOOKUP($F564,ItemList_Full,2,0),"")</f>
        <v/>
      </c>
      <c r="H564" s="12"/>
      <c r="I564" s="12" t="str">
        <f aca="false">IFERROR(VLOOKUP($F564,ItemList_Full,3,0),"")</f>
        <v/>
      </c>
      <c r="J564" s="12" t="str">
        <f aca="false">IFERROR(VLOOKUP($F564,ItemList_Full,4,0),"")</f>
        <v/>
      </c>
      <c r="K564" s="13" t="n">
        <v>670</v>
      </c>
      <c r="L564" s="12"/>
      <c r="M564" s="24"/>
      <c r="N564" s="12" t="s">
        <v>229</v>
      </c>
      <c r="O564" s="12"/>
      <c r="P564" s="13" t="n">
        <f aca="false">IF($E564="","",IF(OR($E564="Director Draw",$E564="Payroll/Employee Charge"),0,-$K564))</f>
        <v>-670</v>
      </c>
      <c r="Q564" s="12" t="n">
        <f aca="false">IF($E564="Inventory Purchase",$H564,0)</f>
        <v>0</v>
      </c>
    </row>
    <row r="565" customFormat="false" ht="15" hidden="false" customHeight="true" outlineLevel="0" collapsed="false">
      <c r="A565" s="19" t="n">
        <v>46293</v>
      </c>
      <c r="B565" s="12" t="n">
        <f aca="false">IF($A565="","",ROW()-4)</f>
        <v>561</v>
      </c>
      <c r="C565" s="12" t="s">
        <v>255</v>
      </c>
      <c r="D565" s="12" t="s">
        <v>256</v>
      </c>
      <c r="E565" s="24" t="s">
        <v>139</v>
      </c>
      <c r="F565" s="12"/>
      <c r="G565" s="12" t="str">
        <f aca="false">IFERROR(VLOOKUP($F565,ItemList_Full,2,0),"")</f>
        <v/>
      </c>
      <c r="H565" s="12"/>
      <c r="I565" s="12" t="str">
        <f aca="false">IFERROR(VLOOKUP($F565,ItemList_Full,3,0),"")</f>
        <v/>
      </c>
      <c r="J565" s="12" t="str">
        <f aca="false">IFERROR(VLOOKUP($F565,ItemList_Full,4,0),"")</f>
        <v/>
      </c>
      <c r="K565" s="13" t="n">
        <v>510</v>
      </c>
      <c r="L565" s="12"/>
      <c r="M565" s="24"/>
      <c r="N565" s="12" t="s">
        <v>229</v>
      </c>
      <c r="O565" s="12"/>
      <c r="P565" s="13" t="n">
        <f aca="false">IF($E565="","",IF(OR($E565="Director Draw",$E565="Payroll/Employee Charge"),0,-$K565))</f>
        <v>-510</v>
      </c>
      <c r="Q565" s="12" t="n">
        <f aca="false">IF($E565="Inventory Purchase",$H565,0)</f>
        <v>0</v>
      </c>
    </row>
    <row r="566" customFormat="false" ht="15" hidden="false" customHeight="true" outlineLevel="0" collapsed="false">
      <c r="A566" s="19" t="n">
        <v>46293</v>
      </c>
      <c r="B566" s="12" t="n">
        <f aca="false">IF($A566="","",ROW()-4)</f>
        <v>562</v>
      </c>
      <c r="C566" s="12" t="s">
        <v>255</v>
      </c>
      <c r="D566" s="12" t="s">
        <v>391</v>
      </c>
      <c r="E566" s="24" t="s">
        <v>139</v>
      </c>
      <c r="F566" s="12"/>
      <c r="G566" s="12" t="str">
        <f aca="false">IFERROR(VLOOKUP($F566,ItemList_Full,2,0),"")</f>
        <v/>
      </c>
      <c r="H566" s="12"/>
      <c r="I566" s="12" t="str">
        <f aca="false">IFERROR(VLOOKUP($F566,ItemList_Full,3,0),"")</f>
        <v/>
      </c>
      <c r="J566" s="12" t="str">
        <f aca="false">IFERROR(VLOOKUP($F566,ItemList_Full,4,0),"")</f>
        <v/>
      </c>
      <c r="K566" s="13" t="n">
        <v>750</v>
      </c>
      <c r="L566" s="12"/>
      <c r="M566" s="24"/>
      <c r="N566" s="12" t="s">
        <v>229</v>
      </c>
      <c r="O566" s="12"/>
      <c r="P566" s="13" t="n">
        <f aca="false">IF($E566="","",IF(OR($E566="Director Draw",$E566="Payroll/Employee Charge"),0,-$K566))</f>
        <v>-750</v>
      </c>
      <c r="Q566" s="12" t="n">
        <f aca="false">IF($E566="Inventory Purchase",$H566,0)</f>
        <v>0</v>
      </c>
    </row>
    <row r="567" customFormat="false" ht="15" hidden="false" customHeight="true" outlineLevel="0" collapsed="false">
      <c r="A567" s="19" t="n">
        <v>46293</v>
      </c>
      <c r="B567" s="12" t="n">
        <f aca="false">IF($A567="","",ROW()-4)</f>
        <v>563</v>
      </c>
      <c r="C567" s="12" t="s">
        <v>449</v>
      </c>
      <c r="D567" s="12" t="s">
        <v>557</v>
      </c>
      <c r="E567" s="24" t="s">
        <v>139</v>
      </c>
      <c r="F567" s="12"/>
      <c r="G567" s="12" t="str">
        <f aca="false">IFERROR(VLOOKUP($F567,ItemList_Full,2,0),"")</f>
        <v/>
      </c>
      <c r="H567" s="12"/>
      <c r="I567" s="12" t="str">
        <f aca="false">IFERROR(VLOOKUP($F567,ItemList_Full,3,0),"")</f>
        <v/>
      </c>
      <c r="J567" s="12" t="str">
        <f aca="false">IFERROR(VLOOKUP($F567,ItemList_Full,4,0),"")</f>
        <v/>
      </c>
      <c r="K567" s="13" t="n">
        <v>262</v>
      </c>
      <c r="L567" s="12"/>
      <c r="M567" s="24"/>
      <c r="N567" s="12" t="s">
        <v>229</v>
      </c>
      <c r="O567" s="12"/>
      <c r="P567" s="13" t="n">
        <f aca="false">IF($E567="","",IF(OR($E567="Director Draw",$E567="Payroll/Employee Charge"),0,-$K567))</f>
        <v>-262</v>
      </c>
      <c r="Q567" s="12" t="n">
        <f aca="false">IF($E567="Inventory Purchase",$H567,0)</f>
        <v>0</v>
      </c>
    </row>
    <row r="568" customFormat="false" ht="15" hidden="false" customHeight="true" outlineLevel="0" collapsed="false">
      <c r="A568" s="19" t="n">
        <v>46293</v>
      </c>
      <c r="B568" s="12" t="n">
        <f aca="false">IF($A568="","",ROW()-4)</f>
        <v>564</v>
      </c>
      <c r="C568" s="12" t="s">
        <v>1619</v>
      </c>
      <c r="D568" s="12" t="s">
        <v>1620</v>
      </c>
      <c r="E568" s="24" t="s">
        <v>149</v>
      </c>
      <c r="F568" s="12"/>
      <c r="G568" s="12" t="str">
        <f aca="false">IFERROR(VLOOKUP($F568,ItemList_Full,2,0),"")</f>
        <v/>
      </c>
      <c r="H568" s="12"/>
      <c r="I568" s="12" t="str">
        <f aca="false">IFERROR(VLOOKUP($F568,ItemList_Full,3,0),"")</f>
        <v/>
      </c>
      <c r="J568" s="12" t="str">
        <f aca="false">IFERROR(VLOOKUP($F568,ItemList_Full,4,0),"")</f>
        <v/>
      </c>
      <c r="K568" s="13" t="n">
        <v>180</v>
      </c>
      <c r="L568" s="12"/>
      <c r="M568" s="24"/>
      <c r="N568" s="12" t="s">
        <v>229</v>
      </c>
      <c r="O568" s="12"/>
      <c r="P568" s="13" t="n">
        <f aca="false">IF($E568="","",IF(OR($E568="Director Draw",$E568="Payroll/Employee Charge"),0,-$K568))</f>
        <v>-180</v>
      </c>
      <c r="Q568" s="12" t="n">
        <f aca="false">IF($E568="Inventory Purchase",$H568,0)</f>
        <v>0</v>
      </c>
    </row>
    <row r="569" customFormat="false" ht="15" hidden="false" customHeight="true" outlineLevel="0" collapsed="false">
      <c r="A569" s="19" t="n">
        <v>46293</v>
      </c>
      <c r="B569" s="12" t="n">
        <f aca="false">IF($A569="","",ROW()-4)</f>
        <v>565</v>
      </c>
      <c r="C569" s="12" t="s">
        <v>295</v>
      </c>
      <c r="D569" s="12" t="s">
        <v>1621</v>
      </c>
      <c r="E569" s="24" t="s">
        <v>150</v>
      </c>
      <c r="F569" s="12"/>
      <c r="G569" s="12" t="str">
        <f aca="false">IFERROR(VLOOKUP($F569,ItemList_Full,2,0),"")</f>
        <v/>
      </c>
      <c r="H569" s="12"/>
      <c r="I569" s="12" t="str">
        <f aca="false">IFERROR(VLOOKUP($F569,ItemList_Full,3,0),"")</f>
        <v/>
      </c>
      <c r="J569" s="12" t="str">
        <f aca="false">IFERROR(VLOOKUP($F569,ItemList_Full,4,0),"")</f>
        <v/>
      </c>
      <c r="K569" s="13" t="n">
        <v>11080</v>
      </c>
      <c r="L569" s="12"/>
      <c r="M569" s="24"/>
      <c r="N569" s="12" t="s">
        <v>229</v>
      </c>
      <c r="O569" s="12"/>
      <c r="P569" s="13" t="n">
        <f aca="false">IF($E569="","",IF(OR($E569="Director Draw",$E569="Payroll/Employee Charge"),0,-$K569))</f>
        <v>-11080</v>
      </c>
      <c r="Q569" s="12" t="n">
        <f aca="false">IF($E569="Inventory Purchase",$H569,0)</f>
        <v>0</v>
      </c>
    </row>
    <row r="570" customFormat="false" ht="15" hidden="false" customHeight="true" outlineLevel="0" collapsed="false">
      <c r="A570" s="19" t="n">
        <v>46293</v>
      </c>
      <c r="B570" s="12" t="n">
        <f aca="false">IF($A570="","",ROW()-4)</f>
        <v>566</v>
      </c>
      <c r="C570" s="12" t="s">
        <v>343</v>
      </c>
      <c r="D570" s="12" t="s">
        <v>1530</v>
      </c>
      <c r="E570" s="24" t="s">
        <v>143</v>
      </c>
      <c r="F570" s="12"/>
      <c r="G570" s="12" t="str">
        <f aca="false">IFERROR(VLOOKUP($F570,ItemList_Full,2,0),"")</f>
        <v/>
      </c>
      <c r="H570" s="12"/>
      <c r="I570" s="12" t="str">
        <f aca="false">IFERROR(VLOOKUP($F570,ItemList_Full,3,0),"")</f>
        <v/>
      </c>
      <c r="J570" s="12" t="str">
        <f aca="false">IFERROR(VLOOKUP($F570,ItemList_Full,4,0),"")</f>
        <v/>
      </c>
      <c r="K570" s="13" t="n">
        <v>845</v>
      </c>
      <c r="L570" s="12"/>
      <c r="M570" s="24"/>
      <c r="N570" s="12" t="s">
        <v>229</v>
      </c>
      <c r="O570" s="12"/>
      <c r="P570" s="13" t="n">
        <f aca="false">IF($E570="","",IF(OR($E570="Director Draw",$E570="Payroll/Employee Charge"),0,-$K570))</f>
        <v>-845</v>
      </c>
      <c r="Q570" s="12" t="n">
        <f aca="false">IF($E570="Inventory Purchase",$H570,0)</f>
        <v>0</v>
      </c>
    </row>
    <row r="571" customFormat="false" ht="15" hidden="false" customHeight="true" outlineLevel="0" collapsed="false">
      <c r="A571" s="19" t="n">
        <v>46293</v>
      </c>
      <c r="B571" s="12" t="n">
        <f aca="false">IF($A571="","",ROW()-4)</f>
        <v>567</v>
      </c>
      <c r="C571" s="12" t="s">
        <v>343</v>
      </c>
      <c r="D571" s="12" t="s">
        <v>459</v>
      </c>
      <c r="E571" s="24" t="s">
        <v>143</v>
      </c>
      <c r="F571" s="12"/>
      <c r="G571" s="12" t="str">
        <f aca="false">IFERROR(VLOOKUP($F571,ItemList_Full,2,0),"")</f>
        <v/>
      </c>
      <c r="H571" s="12"/>
      <c r="I571" s="12" t="str">
        <f aca="false">IFERROR(VLOOKUP($F571,ItemList_Full,3,0),"")</f>
        <v/>
      </c>
      <c r="J571" s="12" t="str">
        <f aca="false">IFERROR(VLOOKUP($F571,ItemList_Full,4,0),"")</f>
        <v/>
      </c>
      <c r="K571" s="13" t="n">
        <v>2225</v>
      </c>
      <c r="L571" s="12"/>
      <c r="M571" s="24"/>
      <c r="N571" s="12" t="s">
        <v>229</v>
      </c>
      <c r="O571" s="12"/>
      <c r="P571" s="13" t="n">
        <f aca="false">IF($E571="","",IF(OR($E571="Director Draw",$E571="Payroll/Employee Charge"),0,-$K571))</f>
        <v>-2225</v>
      </c>
      <c r="Q571" s="12" t="n">
        <f aca="false">IF($E571="Inventory Purchase",$H571,0)</f>
        <v>0</v>
      </c>
    </row>
    <row r="572" customFormat="false" ht="15" hidden="false" customHeight="true" outlineLevel="0" collapsed="false">
      <c r="A572" s="19" t="n">
        <v>46293</v>
      </c>
      <c r="B572" s="12" t="n">
        <f aca="false">IF($A572="","",ROW()-4)</f>
        <v>568</v>
      </c>
      <c r="C572" s="12" t="s">
        <v>276</v>
      </c>
      <c r="D572" s="12" t="s">
        <v>1326</v>
      </c>
      <c r="E572" s="24" t="s">
        <v>143</v>
      </c>
      <c r="F572" s="12"/>
      <c r="G572" s="12" t="str">
        <f aca="false">IFERROR(VLOOKUP($F572,ItemList_Full,2,0),"")</f>
        <v/>
      </c>
      <c r="H572" s="12"/>
      <c r="I572" s="12" t="str">
        <f aca="false">IFERROR(VLOOKUP($F572,ItemList_Full,3,0),"")</f>
        <v/>
      </c>
      <c r="J572" s="12" t="str">
        <f aca="false">IFERROR(VLOOKUP($F572,ItemList_Full,4,0),"")</f>
        <v/>
      </c>
      <c r="K572" s="13" t="n">
        <v>815</v>
      </c>
      <c r="L572" s="12"/>
      <c r="M572" s="24"/>
      <c r="N572" s="12" t="s">
        <v>229</v>
      </c>
      <c r="O572" s="12"/>
      <c r="P572" s="13" t="n">
        <f aca="false">IF($E572="","",IF(OR($E572="Director Draw",$E572="Payroll/Employee Charge"),0,-$K572))</f>
        <v>-815</v>
      </c>
      <c r="Q572" s="12" t="n">
        <f aca="false">IF($E572="Inventory Purchase",$H572,0)</f>
        <v>0</v>
      </c>
    </row>
    <row r="573" customFormat="false" ht="15" hidden="false" customHeight="true" outlineLevel="0" collapsed="false">
      <c r="A573" s="19" t="n">
        <v>46293</v>
      </c>
      <c r="B573" s="12" t="n">
        <f aca="false">IF($A573="","",ROW()-4)</f>
        <v>569</v>
      </c>
      <c r="C573" s="12" t="s">
        <v>355</v>
      </c>
      <c r="D573" s="12" t="s">
        <v>1368</v>
      </c>
      <c r="E573" s="24" t="s">
        <v>143</v>
      </c>
      <c r="F573" s="12"/>
      <c r="G573" s="12" t="str">
        <f aca="false">IFERROR(VLOOKUP($F573,ItemList_Full,2,0),"")</f>
        <v/>
      </c>
      <c r="H573" s="12"/>
      <c r="I573" s="12" t="str">
        <f aca="false">IFERROR(VLOOKUP($F573,ItemList_Full,3,0),"")</f>
        <v/>
      </c>
      <c r="J573" s="12" t="str">
        <f aca="false">IFERROR(VLOOKUP($F573,ItemList_Full,4,0),"")</f>
        <v/>
      </c>
      <c r="K573" s="13" t="n">
        <v>1500</v>
      </c>
      <c r="L573" s="12"/>
      <c r="M573" s="24"/>
      <c r="N573" s="12" t="s">
        <v>229</v>
      </c>
      <c r="O573" s="12"/>
      <c r="P573" s="13" t="n">
        <f aca="false">IF($E573="","",IF(OR($E573="Director Draw",$E573="Payroll/Employee Charge"),0,-$K573))</f>
        <v>-1500</v>
      </c>
      <c r="Q573" s="12" t="n">
        <f aca="false">IF($E573="Inventory Purchase",$H573,0)</f>
        <v>0</v>
      </c>
    </row>
    <row r="574" customFormat="false" ht="15" hidden="false" customHeight="true" outlineLevel="0" collapsed="false">
      <c r="A574" s="19" t="n">
        <v>46293</v>
      </c>
      <c r="B574" s="12" t="n">
        <f aca="false">IF($A574="","",ROW()-4)</f>
        <v>570</v>
      </c>
      <c r="C574" s="12" t="s">
        <v>272</v>
      </c>
      <c r="D574" s="12" t="s">
        <v>273</v>
      </c>
      <c r="E574" s="24" t="s">
        <v>143</v>
      </c>
      <c r="F574" s="12"/>
      <c r="G574" s="12" t="str">
        <f aca="false">IFERROR(VLOOKUP($F574,ItemList_Full,2,0),"")</f>
        <v/>
      </c>
      <c r="H574" s="12"/>
      <c r="I574" s="12" t="str">
        <f aca="false">IFERROR(VLOOKUP($F574,ItemList_Full,3,0),"")</f>
        <v/>
      </c>
      <c r="J574" s="12" t="str">
        <f aca="false">IFERROR(VLOOKUP($F574,ItemList_Full,4,0),"")</f>
        <v/>
      </c>
      <c r="K574" s="13" t="n">
        <v>5344</v>
      </c>
      <c r="L574" s="12"/>
      <c r="M574" s="24"/>
      <c r="N574" s="12" t="s">
        <v>229</v>
      </c>
      <c r="O574" s="12"/>
      <c r="P574" s="13" t="n">
        <f aca="false">IF($E574="","",IF(OR($E574="Director Draw",$E574="Payroll/Employee Charge"),0,-$K574))</f>
        <v>-5344</v>
      </c>
      <c r="Q574" s="12" t="n">
        <f aca="false">IF($E574="Inventory Purchase",$H574,0)</f>
        <v>0</v>
      </c>
    </row>
    <row r="575" customFormat="false" ht="15" hidden="false" customHeight="true" outlineLevel="0" collapsed="false">
      <c r="A575" s="19" t="n">
        <v>46293</v>
      </c>
      <c r="B575" s="12" t="n">
        <f aca="false">IF($A575="","",ROW()-4)</f>
        <v>571</v>
      </c>
      <c r="C575" s="12" t="s">
        <v>1586</v>
      </c>
      <c r="D575" s="12" t="s">
        <v>1622</v>
      </c>
      <c r="E575" s="24" t="s">
        <v>154</v>
      </c>
      <c r="F575" s="12"/>
      <c r="G575" s="12" t="str">
        <f aca="false">IFERROR(VLOOKUP($F575,ItemList_Full,2,0),"")</f>
        <v/>
      </c>
      <c r="H575" s="12"/>
      <c r="I575" s="12" t="str">
        <f aca="false">IFERROR(VLOOKUP($F575,ItemList_Full,3,0),"")</f>
        <v/>
      </c>
      <c r="J575" s="12" t="str">
        <f aca="false">IFERROR(VLOOKUP($F575,ItemList_Full,4,0),"")</f>
        <v/>
      </c>
      <c r="K575" s="13" t="n">
        <v>1260</v>
      </c>
      <c r="L575" s="12"/>
      <c r="M575" s="24"/>
      <c r="N575" s="12" t="s">
        <v>229</v>
      </c>
      <c r="O575" s="12"/>
      <c r="P575" s="13" t="n">
        <f aca="false">IF($E575="","",IF(OR($E575="Director Draw",$E575="Payroll/Employee Charge"),0,-$K575))</f>
        <v>-1260</v>
      </c>
      <c r="Q575" s="12" t="n">
        <f aca="false">IF($E575="Inventory Purchase",$H575,0)</f>
        <v>0</v>
      </c>
    </row>
    <row r="576" customFormat="false" ht="15" hidden="false" customHeight="true" outlineLevel="0" collapsed="false">
      <c r="A576" s="19" t="n">
        <v>46294</v>
      </c>
      <c r="B576" s="12" t="n">
        <f aca="false">IF($A576="","",ROW()-4)</f>
        <v>572</v>
      </c>
      <c r="C576" s="12" t="s">
        <v>225</v>
      </c>
      <c r="D576" s="12" t="s">
        <v>431</v>
      </c>
      <c r="E576" s="24" t="s">
        <v>227</v>
      </c>
      <c r="F576" s="12"/>
      <c r="G576" s="12" t="str">
        <f aca="false">IFERROR(VLOOKUP($F576,ItemList_Full,2,0),"")</f>
        <v/>
      </c>
      <c r="H576" s="12"/>
      <c r="I576" s="12" t="str">
        <f aca="false">IFERROR(VLOOKUP($F576,ItemList_Full,3,0),"")</f>
        <v/>
      </c>
      <c r="J576" s="12" t="str">
        <f aca="false">IFERROR(VLOOKUP($F576,ItemList_Full,4,0),"")</f>
        <v/>
      </c>
      <c r="K576" s="13" t="n">
        <v>620</v>
      </c>
      <c r="L576" s="12"/>
      <c r="M576" s="24" t="s">
        <v>228</v>
      </c>
      <c r="N576" s="12" t="s">
        <v>229</v>
      </c>
      <c r="O576" s="12"/>
      <c r="P576" s="13" t="n">
        <f aca="false">IF($E576="","",IF(OR($E576="Director Draw",$E576="Payroll/Employee Charge"),0,-$K576))</f>
        <v>0</v>
      </c>
      <c r="Q576" s="12" t="n">
        <f aca="false">IF($E576="Inventory Purchase",$H576,0)</f>
        <v>0</v>
      </c>
    </row>
    <row r="577" customFormat="false" ht="15" hidden="false" customHeight="true" outlineLevel="0" collapsed="false">
      <c r="A577" s="19" t="n">
        <v>46294</v>
      </c>
      <c r="B577" s="12" t="n">
        <f aca="false">IF($A577="","",ROW()-4)</f>
        <v>573</v>
      </c>
      <c r="C577" s="12" t="s">
        <v>225</v>
      </c>
      <c r="D577" s="12" t="s">
        <v>1623</v>
      </c>
      <c r="E577" s="24" t="s">
        <v>227</v>
      </c>
      <c r="F577" s="12"/>
      <c r="G577" s="12" t="str">
        <f aca="false">IFERROR(VLOOKUP($F577,ItemList_Full,2,0),"")</f>
        <v/>
      </c>
      <c r="H577" s="12"/>
      <c r="I577" s="12" t="str">
        <f aca="false">IFERROR(VLOOKUP($F577,ItemList_Full,3,0),"")</f>
        <v/>
      </c>
      <c r="J577" s="12" t="str">
        <f aca="false">IFERROR(VLOOKUP($F577,ItemList_Full,4,0),"")</f>
        <v/>
      </c>
      <c r="K577" s="13" t="n">
        <v>700</v>
      </c>
      <c r="L577" s="12"/>
      <c r="M577" s="24" t="s">
        <v>228</v>
      </c>
      <c r="N577" s="12" t="s">
        <v>229</v>
      </c>
      <c r="O577" s="12"/>
      <c r="P577" s="13" t="n">
        <f aca="false">IF($E577="","",IF(OR($E577="Director Draw",$E577="Payroll/Employee Charge"),0,-$K577))</f>
        <v>0</v>
      </c>
      <c r="Q577" s="12" t="n">
        <f aca="false">IF($E577="Inventory Purchase",$H577,0)</f>
        <v>0</v>
      </c>
    </row>
    <row r="578" customFormat="false" ht="15" hidden="false" customHeight="true" outlineLevel="0" collapsed="false">
      <c r="A578" s="19" t="n">
        <v>46294</v>
      </c>
      <c r="B578" s="12" t="n">
        <f aca="false">IF($A578="","",ROW()-4)</f>
        <v>574</v>
      </c>
      <c r="C578" s="12" t="s">
        <v>225</v>
      </c>
      <c r="D578" s="12" t="s">
        <v>1624</v>
      </c>
      <c r="E578" s="24" t="s">
        <v>227</v>
      </c>
      <c r="F578" s="12"/>
      <c r="G578" s="12" t="str">
        <f aca="false">IFERROR(VLOOKUP($F578,ItemList_Full,2,0),"")</f>
        <v/>
      </c>
      <c r="H578" s="12"/>
      <c r="I578" s="12" t="str">
        <f aca="false">IFERROR(VLOOKUP($F578,ItemList_Full,3,0),"")</f>
        <v/>
      </c>
      <c r="J578" s="12" t="str">
        <f aca="false">IFERROR(VLOOKUP($F578,ItemList_Full,4,0),"")</f>
        <v/>
      </c>
      <c r="K578" s="13" t="n">
        <v>1999</v>
      </c>
      <c r="L578" s="12"/>
      <c r="M578" s="24" t="s">
        <v>1625</v>
      </c>
      <c r="N578" s="12" t="s">
        <v>229</v>
      </c>
      <c r="O578" s="12"/>
      <c r="P578" s="13" t="n">
        <f aca="false">IF($E578="","",IF(OR($E578="Director Draw",$E578="Payroll/Employee Charge"),0,-$K578))</f>
        <v>0</v>
      </c>
      <c r="Q578" s="12" t="n">
        <f aca="false">IF($E578="Inventory Purchase",$H578,0)</f>
        <v>0</v>
      </c>
    </row>
    <row r="579" customFormat="false" ht="15" hidden="false" customHeight="true" outlineLevel="0" collapsed="false">
      <c r="A579" s="19" t="n">
        <v>46294</v>
      </c>
      <c r="B579" s="12" t="n">
        <f aca="false">IF($A579="","",ROW()-4)</f>
        <v>575</v>
      </c>
      <c r="C579" s="12" t="s">
        <v>225</v>
      </c>
      <c r="D579" s="12" t="s">
        <v>1626</v>
      </c>
      <c r="E579" s="24" t="s">
        <v>227</v>
      </c>
      <c r="F579" s="12"/>
      <c r="G579" s="12" t="str">
        <f aca="false">IFERROR(VLOOKUP($F579,ItemList_Full,2,0),"")</f>
        <v/>
      </c>
      <c r="H579" s="12"/>
      <c r="I579" s="12" t="str">
        <f aca="false">IFERROR(VLOOKUP($F579,ItemList_Full,3,0),"")</f>
        <v/>
      </c>
      <c r="J579" s="12" t="str">
        <f aca="false">IFERROR(VLOOKUP($F579,ItemList_Full,4,0),"")</f>
        <v/>
      </c>
      <c r="K579" s="13" t="n">
        <v>360</v>
      </c>
      <c r="L579" s="12"/>
      <c r="M579" s="24" t="s">
        <v>234</v>
      </c>
      <c r="N579" s="12" t="s">
        <v>229</v>
      </c>
      <c r="O579" s="12"/>
      <c r="P579" s="13" t="n">
        <f aca="false">IF($E579="","",IF(OR($E579="Director Draw",$E579="Payroll/Employee Charge"),0,-$K579))</f>
        <v>0</v>
      </c>
      <c r="Q579" s="12" t="n">
        <f aca="false">IF($E579="Inventory Purchase",$H579,0)</f>
        <v>0</v>
      </c>
    </row>
    <row r="580" customFormat="false" ht="15" hidden="false" customHeight="true" outlineLevel="0" collapsed="false">
      <c r="A580" s="19" t="n">
        <v>46294</v>
      </c>
      <c r="B580" s="12" t="n">
        <f aca="false">IF($A580="","",ROW()-4)</f>
        <v>576</v>
      </c>
      <c r="C580" s="12" t="s">
        <v>247</v>
      </c>
      <c r="D580" s="12" t="s">
        <v>248</v>
      </c>
      <c r="E580" s="24" t="s">
        <v>153</v>
      </c>
      <c r="F580" s="12"/>
      <c r="G580" s="12" t="str">
        <f aca="false">IFERROR(VLOOKUP($F580,ItemList_Full,2,0),"")</f>
        <v/>
      </c>
      <c r="H580" s="12"/>
      <c r="I580" s="12" t="str">
        <f aca="false">IFERROR(VLOOKUP($F580,ItemList_Full,3,0),"")</f>
        <v/>
      </c>
      <c r="J580" s="12" t="str">
        <f aca="false">IFERROR(VLOOKUP($F580,ItemList_Full,4,0),"")</f>
        <v/>
      </c>
      <c r="K580" s="13" t="n">
        <v>2512</v>
      </c>
      <c r="L580" s="12"/>
      <c r="M580" s="24"/>
      <c r="N580" s="12" t="s">
        <v>229</v>
      </c>
      <c r="O580" s="12"/>
      <c r="P580" s="13" t="n">
        <f aca="false">IF($E580="","",IF(OR($E580="Director Draw",$E580="Payroll/Employee Charge"),0,-$K580))</f>
        <v>-2512</v>
      </c>
      <c r="Q580" s="12" t="n">
        <f aca="false">IF($E580="Inventory Purchase",$H580,0)</f>
        <v>0</v>
      </c>
    </row>
    <row r="581" customFormat="false" ht="15" hidden="false" customHeight="true" outlineLevel="0" collapsed="false">
      <c r="A581" s="19" t="n">
        <v>46294</v>
      </c>
      <c r="B581" s="12" t="n">
        <f aca="false">IF($A581="","",ROW()-4)</f>
        <v>577</v>
      </c>
      <c r="C581" s="12" t="s">
        <v>255</v>
      </c>
      <c r="D581" s="12" t="s">
        <v>391</v>
      </c>
      <c r="E581" s="24" t="s">
        <v>139</v>
      </c>
      <c r="F581" s="12"/>
      <c r="G581" s="12" t="str">
        <f aca="false">IFERROR(VLOOKUP($F581,ItemList_Full,2,0),"")</f>
        <v/>
      </c>
      <c r="H581" s="12"/>
      <c r="I581" s="12" t="str">
        <f aca="false">IFERROR(VLOOKUP($F581,ItemList_Full,3,0),"")</f>
        <v/>
      </c>
      <c r="J581" s="12" t="str">
        <f aca="false">IFERROR(VLOOKUP($F581,ItemList_Full,4,0),"")</f>
        <v/>
      </c>
      <c r="K581" s="13" t="n">
        <v>750</v>
      </c>
      <c r="L581" s="12"/>
      <c r="M581" s="24"/>
      <c r="N581" s="12" t="s">
        <v>229</v>
      </c>
      <c r="O581" s="12"/>
      <c r="P581" s="13" t="n">
        <f aca="false">IF($E581="","",IF(OR($E581="Director Draw",$E581="Payroll/Employee Charge"),0,-$K581))</f>
        <v>-750</v>
      </c>
      <c r="Q581" s="12" t="n">
        <f aca="false">IF($E581="Inventory Purchase",$H581,0)</f>
        <v>0</v>
      </c>
    </row>
    <row r="582" customFormat="false" ht="15" hidden="false" customHeight="true" outlineLevel="0" collapsed="false">
      <c r="A582" s="19" t="n">
        <v>46294</v>
      </c>
      <c r="B582" s="12" t="n">
        <f aca="false">IF($A582="","",ROW()-4)</f>
        <v>578</v>
      </c>
      <c r="C582" s="12" t="s">
        <v>255</v>
      </c>
      <c r="D582" s="12" t="s">
        <v>256</v>
      </c>
      <c r="E582" s="24" t="s">
        <v>139</v>
      </c>
      <c r="F582" s="12"/>
      <c r="G582" s="12" t="str">
        <f aca="false">IFERROR(VLOOKUP($F582,ItemList_Full,2,0),"")</f>
        <v/>
      </c>
      <c r="H582" s="12"/>
      <c r="I582" s="12" t="str">
        <f aca="false">IFERROR(VLOOKUP($F582,ItemList_Full,3,0),"")</f>
        <v/>
      </c>
      <c r="J582" s="12" t="str">
        <f aca="false">IFERROR(VLOOKUP($F582,ItemList_Full,4,0),"")</f>
        <v/>
      </c>
      <c r="K582" s="13" t="n">
        <v>1260</v>
      </c>
      <c r="L582" s="12"/>
      <c r="M582" s="24"/>
      <c r="N582" s="12" t="s">
        <v>229</v>
      </c>
      <c r="O582" s="12"/>
      <c r="P582" s="13" t="n">
        <f aca="false">IF($E582="","",IF(OR($E582="Director Draw",$E582="Payroll/Employee Charge"),0,-$K582))</f>
        <v>-1260</v>
      </c>
      <c r="Q582" s="12" t="n">
        <f aca="false">IF($E582="Inventory Purchase",$H582,0)</f>
        <v>0</v>
      </c>
    </row>
    <row r="583" customFormat="false" ht="15" hidden="false" customHeight="true" outlineLevel="0" collapsed="false">
      <c r="A583" s="19" t="n">
        <v>46294</v>
      </c>
      <c r="B583" s="12" t="n">
        <f aca="false">IF($A583="","",ROW()-4)</f>
        <v>579</v>
      </c>
      <c r="C583" s="12" t="s">
        <v>449</v>
      </c>
      <c r="D583" s="12" t="s">
        <v>749</v>
      </c>
      <c r="E583" s="24" t="s">
        <v>139</v>
      </c>
      <c r="F583" s="12"/>
      <c r="G583" s="12" t="str">
        <f aca="false">IFERROR(VLOOKUP($F583,ItemList_Full,2,0),"")</f>
        <v/>
      </c>
      <c r="H583" s="12"/>
      <c r="I583" s="12" t="str">
        <f aca="false">IFERROR(VLOOKUP($F583,ItemList_Full,3,0),"")</f>
        <v/>
      </c>
      <c r="J583" s="12" t="str">
        <f aca="false">IFERROR(VLOOKUP($F583,ItemList_Full,4,0),"")</f>
        <v/>
      </c>
      <c r="K583" s="13" t="n">
        <v>680</v>
      </c>
      <c r="L583" s="12"/>
      <c r="M583" s="24"/>
      <c r="N583" s="12" t="s">
        <v>229</v>
      </c>
      <c r="O583" s="12"/>
      <c r="P583" s="13" t="n">
        <f aca="false">IF($E583="","",IF(OR($E583="Director Draw",$E583="Payroll/Employee Charge"),0,-$K583))</f>
        <v>-680</v>
      </c>
      <c r="Q583" s="12" t="n">
        <f aca="false">IF($E583="Inventory Purchase",$H583,0)</f>
        <v>0</v>
      </c>
    </row>
    <row r="584" customFormat="false" ht="15" hidden="false" customHeight="true" outlineLevel="0" collapsed="false">
      <c r="A584" s="19" t="n">
        <v>46294</v>
      </c>
      <c r="B584" s="12" t="n">
        <f aca="false">IF($A584="","",ROW()-4)</f>
        <v>580</v>
      </c>
      <c r="C584" s="12" t="s">
        <v>1627</v>
      </c>
      <c r="D584" s="12" t="s">
        <v>1628</v>
      </c>
      <c r="E584" s="24" t="s">
        <v>139</v>
      </c>
      <c r="F584" s="12"/>
      <c r="G584" s="12" t="str">
        <f aca="false">IFERROR(VLOOKUP($F584,ItemList_Full,2,0),"")</f>
        <v/>
      </c>
      <c r="H584" s="12"/>
      <c r="I584" s="12" t="str">
        <f aca="false">IFERROR(VLOOKUP($F584,ItemList_Full,3,0),"")</f>
        <v/>
      </c>
      <c r="J584" s="12" t="str">
        <f aca="false">IFERROR(VLOOKUP($F584,ItemList_Full,4,0),"")</f>
        <v/>
      </c>
      <c r="K584" s="13" t="n">
        <v>3600</v>
      </c>
      <c r="L584" s="12"/>
      <c r="M584" s="24"/>
      <c r="N584" s="12" t="s">
        <v>229</v>
      </c>
      <c r="O584" s="12"/>
      <c r="P584" s="13" t="n">
        <f aca="false">IF($E584="","",IF(OR($E584="Director Draw",$E584="Payroll/Employee Charge"),0,-$K584))</f>
        <v>-3600</v>
      </c>
      <c r="Q584" s="12" t="n">
        <f aca="false">IF($E584="Inventory Purchase",$H584,0)</f>
        <v>0</v>
      </c>
    </row>
    <row r="585" customFormat="false" ht="15" hidden="false" customHeight="true" outlineLevel="0" collapsed="false">
      <c r="A585" s="19" t="n">
        <v>46294</v>
      </c>
      <c r="B585" s="12" t="n">
        <f aca="false">IF($A585="","",ROW()-4)</f>
        <v>581</v>
      </c>
      <c r="C585" s="12" t="s">
        <v>317</v>
      </c>
      <c r="D585" s="12" t="s">
        <v>713</v>
      </c>
      <c r="E585" s="24" t="s">
        <v>139</v>
      </c>
      <c r="F585" s="12"/>
      <c r="G585" s="12" t="str">
        <f aca="false">IFERROR(VLOOKUP($F585,ItemList_Full,2,0),"")</f>
        <v/>
      </c>
      <c r="H585" s="12"/>
      <c r="I585" s="12" t="str">
        <f aca="false">IFERROR(VLOOKUP($F585,ItemList_Full,3,0),"")</f>
        <v/>
      </c>
      <c r="J585" s="12" t="str">
        <f aca="false">IFERROR(VLOOKUP($F585,ItemList_Full,4,0),"")</f>
        <v/>
      </c>
      <c r="K585" s="13" t="n">
        <v>3700</v>
      </c>
      <c r="L585" s="12"/>
      <c r="M585" s="24"/>
      <c r="N585" s="12" t="s">
        <v>229</v>
      </c>
      <c r="O585" s="12"/>
      <c r="P585" s="13" t="n">
        <f aca="false">IF($E585="","",IF(OR($E585="Director Draw",$E585="Payroll/Employee Charge"),0,-$K585))</f>
        <v>-3700</v>
      </c>
      <c r="Q585" s="12" t="n">
        <f aca="false">IF($E585="Inventory Purchase",$H585,0)</f>
        <v>0</v>
      </c>
    </row>
    <row r="586" customFormat="false" ht="15" hidden="false" customHeight="true" outlineLevel="0" collapsed="false">
      <c r="A586" s="19" t="n">
        <v>46294</v>
      </c>
      <c r="B586" s="12" t="n">
        <f aca="false">IF($A586="","",ROW()-4)</f>
        <v>582</v>
      </c>
      <c r="C586" s="12" t="s">
        <v>1629</v>
      </c>
      <c r="D586" s="12" t="s">
        <v>479</v>
      </c>
      <c r="E586" s="24" t="s">
        <v>139</v>
      </c>
      <c r="F586" s="12"/>
      <c r="G586" s="12" t="str">
        <f aca="false">IFERROR(VLOOKUP($F586,ItemList_Full,2,0),"")</f>
        <v/>
      </c>
      <c r="H586" s="12"/>
      <c r="I586" s="12" t="str">
        <f aca="false">IFERROR(VLOOKUP($F586,ItemList_Full,3,0),"")</f>
        <v/>
      </c>
      <c r="J586" s="12" t="str">
        <f aca="false">IFERROR(VLOOKUP($F586,ItemList_Full,4,0),"")</f>
        <v/>
      </c>
      <c r="K586" s="13" t="n">
        <v>150000</v>
      </c>
      <c r="L586" s="12"/>
      <c r="M586" s="24"/>
      <c r="N586" s="12" t="s">
        <v>229</v>
      </c>
      <c r="O586" s="12"/>
      <c r="P586" s="13" t="n">
        <f aca="false">IF($E586="","",IF(OR($E586="Director Draw",$E586="Payroll/Employee Charge"),0,-$K586))</f>
        <v>-150000</v>
      </c>
      <c r="Q586" s="12" t="n">
        <f aca="false">IF($E586="Inventory Purchase",$H586,0)</f>
        <v>0</v>
      </c>
    </row>
    <row r="587" customFormat="false" ht="15" hidden="false" customHeight="true" outlineLevel="0" collapsed="false">
      <c r="A587" s="19" t="n">
        <v>46294</v>
      </c>
      <c r="B587" s="12" t="n">
        <f aca="false">IF($A587="","",ROW()-4)</f>
        <v>583</v>
      </c>
      <c r="C587" s="12" t="s">
        <v>242</v>
      </c>
      <c r="D587" s="12" t="s">
        <v>243</v>
      </c>
      <c r="E587" s="24" t="s">
        <v>139</v>
      </c>
      <c r="F587" s="12"/>
      <c r="G587" s="12" t="str">
        <f aca="false">IFERROR(VLOOKUP($F587,ItemList_Full,2,0),"")</f>
        <v/>
      </c>
      <c r="H587" s="12"/>
      <c r="I587" s="12" t="str">
        <f aca="false">IFERROR(VLOOKUP($F587,ItemList_Full,3,0),"")</f>
        <v/>
      </c>
      <c r="J587" s="12" t="str">
        <f aca="false">IFERROR(VLOOKUP($F587,ItemList_Full,4,0),"")</f>
        <v/>
      </c>
      <c r="K587" s="13" t="n">
        <v>18000</v>
      </c>
      <c r="L587" s="12"/>
      <c r="M587" s="24"/>
      <c r="N587" s="12" t="s">
        <v>229</v>
      </c>
      <c r="O587" s="12"/>
      <c r="P587" s="13" t="n">
        <f aca="false">IF($E587="","",IF(OR($E587="Director Draw",$E587="Payroll/Employee Charge"),0,-$K587))</f>
        <v>-18000</v>
      </c>
      <c r="Q587" s="12" t="n">
        <f aca="false">IF($E587="Inventory Purchase",$H587,0)</f>
        <v>0</v>
      </c>
    </row>
    <row r="588" customFormat="false" ht="15" hidden="false" customHeight="true" outlineLevel="0" collapsed="false">
      <c r="A588" s="19" t="n">
        <v>46294</v>
      </c>
      <c r="B588" s="12" t="n">
        <f aca="false">IF($A588="","",ROW()-4)</f>
        <v>584</v>
      </c>
      <c r="C588" s="12" t="s">
        <v>449</v>
      </c>
      <c r="D588" s="12" t="s">
        <v>640</v>
      </c>
      <c r="E588" s="24" t="s">
        <v>133</v>
      </c>
      <c r="F588" s="12"/>
      <c r="G588" s="12" t="str">
        <f aca="false">IFERROR(VLOOKUP($F588,ItemList_Full,2,0),"")</f>
        <v/>
      </c>
      <c r="H588" s="12"/>
      <c r="I588" s="12" t="str">
        <f aca="false">IFERROR(VLOOKUP($F588,ItemList_Full,3,0),"")</f>
        <v/>
      </c>
      <c r="J588" s="12" t="str">
        <f aca="false">IFERROR(VLOOKUP($F588,ItemList_Full,4,0),"")</f>
        <v/>
      </c>
      <c r="K588" s="13" t="n">
        <v>960</v>
      </c>
      <c r="L588" s="12"/>
      <c r="M588" s="24"/>
      <c r="N588" s="12" t="s">
        <v>229</v>
      </c>
      <c r="O588" s="12"/>
      <c r="P588" s="13" t="n">
        <f aca="false">IF($E588="","",IF(OR($E588="Director Draw",$E588="Payroll/Employee Charge"),0,-$K588))</f>
        <v>-960</v>
      </c>
      <c r="Q588" s="12" t="n">
        <f aca="false">IF($E588="Inventory Purchase",$H588,0)</f>
        <v>0</v>
      </c>
    </row>
    <row r="589" customFormat="false" ht="15" hidden="false" customHeight="true" outlineLevel="0" collapsed="false">
      <c r="A589" s="19" t="n">
        <v>46294</v>
      </c>
      <c r="B589" s="12" t="n">
        <f aca="false">IF($A589="","",ROW()-4)</f>
        <v>585</v>
      </c>
      <c r="C589" s="12" t="s">
        <v>276</v>
      </c>
      <c r="D589" s="12" t="s">
        <v>1630</v>
      </c>
      <c r="E589" s="24" t="s">
        <v>143</v>
      </c>
      <c r="F589" s="12"/>
      <c r="G589" s="12" t="str">
        <f aca="false">IFERROR(VLOOKUP($F589,ItemList_Full,2,0),"")</f>
        <v/>
      </c>
      <c r="H589" s="12"/>
      <c r="I589" s="12" t="str">
        <f aca="false">IFERROR(VLOOKUP($F589,ItemList_Full,3,0),"")</f>
        <v/>
      </c>
      <c r="J589" s="12" t="str">
        <f aca="false">IFERROR(VLOOKUP($F589,ItemList_Full,4,0),"")</f>
        <v/>
      </c>
      <c r="K589" s="13" t="n">
        <v>2000</v>
      </c>
      <c r="L589" s="12"/>
      <c r="M589" s="24"/>
      <c r="N589" s="12" t="s">
        <v>229</v>
      </c>
      <c r="O589" s="12"/>
      <c r="P589" s="13" t="n">
        <f aca="false">IF($E589="","",IF(OR($E589="Director Draw",$E589="Payroll/Employee Charge"),0,-$K589))</f>
        <v>-2000</v>
      </c>
      <c r="Q589" s="12" t="n">
        <f aca="false">IF($E589="Inventory Purchase",$H589,0)</f>
        <v>0</v>
      </c>
    </row>
    <row r="590" customFormat="false" ht="15" hidden="false" customHeight="true" outlineLevel="0" collapsed="false">
      <c r="A590" s="19" t="n">
        <v>46294</v>
      </c>
      <c r="B590" s="12" t="n">
        <f aca="false">IF($A590="","",ROW()-4)</f>
        <v>586</v>
      </c>
      <c r="C590" s="12" t="s">
        <v>355</v>
      </c>
      <c r="D590" s="12" t="s">
        <v>974</v>
      </c>
      <c r="E590" s="24" t="s">
        <v>143</v>
      </c>
      <c r="F590" s="12"/>
      <c r="G590" s="12" t="str">
        <f aca="false">IFERROR(VLOOKUP($F590,ItemList_Full,2,0),"")</f>
        <v/>
      </c>
      <c r="H590" s="12"/>
      <c r="I590" s="12" t="str">
        <f aca="false">IFERROR(VLOOKUP($F590,ItemList_Full,3,0),"")</f>
        <v/>
      </c>
      <c r="J590" s="12" t="str">
        <f aca="false">IFERROR(VLOOKUP($F590,ItemList_Full,4,0),"")</f>
        <v/>
      </c>
      <c r="K590" s="13" t="n">
        <v>1990</v>
      </c>
      <c r="L590" s="12"/>
      <c r="M590" s="24"/>
      <c r="N590" s="12" t="s">
        <v>229</v>
      </c>
      <c r="O590" s="12"/>
      <c r="P590" s="13" t="n">
        <f aca="false">IF($E590="","",IF(OR($E590="Director Draw",$E590="Payroll/Employee Charge"),0,-$K590))</f>
        <v>-1990</v>
      </c>
      <c r="Q590" s="12" t="n">
        <f aca="false">IF($E590="Inventory Purchase",$H590,0)</f>
        <v>0</v>
      </c>
    </row>
    <row r="591" customFormat="false" ht="15" hidden="false" customHeight="true" outlineLevel="0" collapsed="false">
      <c r="A591" s="19" t="n">
        <v>46294</v>
      </c>
      <c r="B591" s="12" t="n">
        <f aca="false">IF($A591="","",ROW()-4)</f>
        <v>587</v>
      </c>
      <c r="C591" s="12" t="s">
        <v>295</v>
      </c>
      <c r="D591" s="12" t="s">
        <v>1631</v>
      </c>
      <c r="E591" s="24" t="s">
        <v>150</v>
      </c>
      <c r="F591" s="12"/>
      <c r="G591" s="12" t="str">
        <f aca="false">IFERROR(VLOOKUP($F591,ItemList_Full,2,0),"")</f>
        <v/>
      </c>
      <c r="H591" s="12"/>
      <c r="I591" s="12" t="str">
        <f aca="false">IFERROR(VLOOKUP($F591,ItemList_Full,3,0),"")</f>
        <v/>
      </c>
      <c r="J591" s="12" t="str">
        <f aca="false">IFERROR(VLOOKUP($F591,ItemList_Full,4,0),"")</f>
        <v/>
      </c>
      <c r="K591" s="13" t="n">
        <v>500</v>
      </c>
      <c r="L591" s="12"/>
      <c r="M591" s="24"/>
      <c r="N591" s="12" t="s">
        <v>229</v>
      </c>
      <c r="O591" s="12"/>
      <c r="P591" s="13" t="n">
        <f aca="false">IF($E591="","",IF(OR($E591="Director Draw",$E591="Payroll/Employee Charge"),0,-$K591))</f>
        <v>-500</v>
      </c>
      <c r="Q591" s="12" t="n">
        <f aca="false">IF($E591="Inventory Purchase",$H591,0)</f>
        <v>0</v>
      </c>
    </row>
    <row r="592" customFormat="false" ht="15" hidden="false" customHeight="true" outlineLevel="0" collapsed="false">
      <c r="A592" s="19" t="n">
        <v>46294</v>
      </c>
      <c r="B592" s="12" t="n">
        <f aca="false">IF($A592="","",ROW()-4)</f>
        <v>588</v>
      </c>
      <c r="C592" s="12" t="s">
        <v>295</v>
      </c>
      <c r="D592" s="12" t="s">
        <v>1632</v>
      </c>
      <c r="E592" s="24" t="s">
        <v>150</v>
      </c>
      <c r="F592" s="12"/>
      <c r="G592" s="12" t="str">
        <f aca="false">IFERROR(VLOOKUP($F592,ItemList_Full,2,0),"")</f>
        <v/>
      </c>
      <c r="H592" s="12"/>
      <c r="I592" s="12" t="str">
        <f aca="false">IFERROR(VLOOKUP($F592,ItemList_Full,3,0),"")</f>
        <v/>
      </c>
      <c r="J592" s="12" t="str">
        <f aca="false">IFERROR(VLOOKUP($F592,ItemList_Full,4,0),"")</f>
        <v/>
      </c>
      <c r="K592" s="13" t="n">
        <v>1300</v>
      </c>
      <c r="L592" s="12"/>
      <c r="M592" s="24"/>
      <c r="N592" s="12" t="s">
        <v>229</v>
      </c>
      <c r="O592" s="12"/>
      <c r="P592" s="13" t="n">
        <f aca="false">IF($E592="","",IF(OR($E592="Director Draw",$E592="Payroll/Employee Charge"),0,-$K592))</f>
        <v>-1300</v>
      </c>
      <c r="Q592" s="12" t="n">
        <f aca="false">IF($E592="Inventory Purchase",$H592,0)</f>
        <v>0</v>
      </c>
    </row>
    <row r="593" customFormat="false" ht="15" hidden="false" customHeight="true" outlineLevel="0" collapsed="false">
      <c r="A593" s="19" t="n">
        <v>46294</v>
      </c>
      <c r="B593" s="12" t="n">
        <f aca="false">IF($A593="","",ROW()-4)</f>
        <v>589</v>
      </c>
      <c r="C593" s="12" t="s">
        <v>480</v>
      </c>
      <c r="D593" s="12" t="s">
        <v>1633</v>
      </c>
      <c r="E593" s="24" t="s">
        <v>150</v>
      </c>
      <c r="F593" s="12"/>
      <c r="G593" s="12" t="str">
        <f aca="false">IFERROR(VLOOKUP($F593,ItemList_Full,2,0),"")</f>
        <v/>
      </c>
      <c r="H593" s="12"/>
      <c r="I593" s="12" t="str">
        <f aca="false">IFERROR(VLOOKUP($F593,ItemList_Full,3,0),"")</f>
        <v/>
      </c>
      <c r="J593" s="12" t="str">
        <f aca="false">IFERROR(VLOOKUP($F593,ItemList_Full,4,0),"")</f>
        <v/>
      </c>
      <c r="K593" s="13" t="n">
        <v>375</v>
      </c>
      <c r="L593" s="12"/>
      <c r="M593" s="24"/>
      <c r="N593" s="12" t="s">
        <v>229</v>
      </c>
      <c r="O593" s="12"/>
      <c r="P593" s="13" t="n">
        <f aca="false">IF($E593="","",IF(OR($E593="Director Draw",$E593="Payroll/Employee Charge"),0,-$K593))</f>
        <v>-375</v>
      </c>
      <c r="Q593" s="12" t="n">
        <f aca="false">IF($E593="Inventory Purchase",$H593,0)</f>
        <v>0</v>
      </c>
    </row>
    <row r="594" customFormat="false" ht="15" hidden="false" customHeight="true" outlineLevel="0" collapsed="false">
      <c r="A594" s="19" t="n">
        <v>46295</v>
      </c>
      <c r="B594" s="12" t="n">
        <f aca="false">IF($A594="","",ROW()-4)</f>
        <v>590</v>
      </c>
      <c r="C594" s="12" t="s">
        <v>225</v>
      </c>
      <c r="D594" s="12" t="s">
        <v>1618</v>
      </c>
      <c r="E594" s="24" t="s">
        <v>227</v>
      </c>
      <c r="F594" s="12"/>
      <c r="G594" s="12" t="str">
        <f aca="false">IFERROR(VLOOKUP($F594,ItemList_Full,2,0),"")</f>
        <v/>
      </c>
      <c r="H594" s="12"/>
      <c r="I594" s="12" t="str">
        <f aca="false">IFERROR(VLOOKUP($F594,ItemList_Full,3,0),"")</f>
        <v/>
      </c>
      <c r="J594" s="12" t="str">
        <f aca="false">IFERROR(VLOOKUP($F594,ItemList_Full,4,0),"")</f>
        <v/>
      </c>
      <c r="K594" s="13" t="n">
        <v>416</v>
      </c>
      <c r="L594" s="12"/>
      <c r="M594" s="24" t="s">
        <v>228</v>
      </c>
      <c r="N594" s="12" t="s">
        <v>229</v>
      </c>
      <c r="O594" s="12"/>
      <c r="P594" s="13" t="n">
        <f aca="false">IF($E594="","",IF(OR($E594="Director Draw",$E594="Payroll/Employee Charge"),0,-$K594))</f>
        <v>0</v>
      </c>
      <c r="Q594" s="12" t="n">
        <f aca="false">IF($E594="Inventory Purchase",$H594,0)</f>
        <v>0</v>
      </c>
    </row>
    <row r="595" customFormat="false" ht="15" hidden="false" customHeight="true" outlineLevel="0" collapsed="false">
      <c r="A595" s="19" t="n">
        <v>46295</v>
      </c>
      <c r="B595" s="12" t="n">
        <f aca="false">IF($A595="","",ROW()-4)</f>
        <v>591</v>
      </c>
      <c r="C595" s="12" t="s">
        <v>247</v>
      </c>
      <c r="D595" s="12" t="s">
        <v>248</v>
      </c>
      <c r="E595" s="24" t="s">
        <v>153</v>
      </c>
      <c r="F595" s="12"/>
      <c r="G595" s="12" t="str">
        <f aca="false">IFERROR(VLOOKUP($F595,ItemList_Full,2,0),"")</f>
        <v/>
      </c>
      <c r="H595" s="12"/>
      <c r="I595" s="12" t="str">
        <f aca="false">IFERROR(VLOOKUP($F595,ItemList_Full,3,0),"")</f>
        <v/>
      </c>
      <c r="J595" s="12" t="str">
        <f aca="false">IFERROR(VLOOKUP($F595,ItemList_Full,4,0),"")</f>
        <v/>
      </c>
      <c r="K595" s="13" t="n">
        <v>5712</v>
      </c>
      <c r="L595" s="12"/>
      <c r="M595" s="24"/>
      <c r="N595" s="12" t="s">
        <v>229</v>
      </c>
      <c r="O595" s="12"/>
      <c r="P595" s="13" t="n">
        <f aca="false">IF($E595="","",IF(OR($E595="Director Draw",$E595="Payroll/Employee Charge"),0,-$K595))</f>
        <v>-5712</v>
      </c>
      <c r="Q595" s="12" t="n">
        <f aca="false">IF($E595="Inventory Purchase",$H595,0)</f>
        <v>0</v>
      </c>
    </row>
    <row r="596" customFormat="false" ht="15" hidden="false" customHeight="true" outlineLevel="0" collapsed="false">
      <c r="A596" s="19" t="n">
        <v>46295</v>
      </c>
      <c r="B596" s="12" t="n">
        <f aca="false">IF($A596="","",ROW()-4)</f>
        <v>592</v>
      </c>
      <c r="C596" s="12" t="s">
        <v>445</v>
      </c>
      <c r="D596" s="12" t="s">
        <v>819</v>
      </c>
      <c r="E596" s="24" t="s">
        <v>139</v>
      </c>
      <c r="F596" s="12"/>
      <c r="G596" s="12" t="str">
        <f aca="false">IFERROR(VLOOKUP($F596,ItemList_Full,2,0),"")</f>
        <v/>
      </c>
      <c r="H596" s="12"/>
      <c r="I596" s="12" t="str">
        <f aca="false">IFERROR(VLOOKUP($F596,ItemList_Full,3,0),"")</f>
        <v/>
      </c>
      <c r="J596" s="12" t="str">
        <f aca="false">IFERROR(VLOOKUP($F596,ItemList_Full,4,0),"")</f>
        <v/>
      </c>
      <c r="K596" s="13" t="n">
        <v>2320</v>
      </c>
      <c r="L596" s="12"/>
      <c r="M596" s="24"/>
      <c r="N596" s="12" t="s">
        <v>229</v>
      </c>
      <c r="O596" s="12"/>
      <c r="P596" s="13" t="n">
        <f aca="false">IF($E596="","",IF(OR($E596="Director Draw",$E596="Payroll/Employee Charge"),0,-$K596))</f>
        <v>-2320</v>
      </c>
      <c r="Q596" s="12" t="n">
        <f aca="false">IF($E596="Inventory Purchase",$H596,0)</f>
        <v>0</v>
      </c>
    </row>
    <row r="597" customFormat="false" ht="15" hidden="false" customHeight="true" outlineLevel="0" collapsed="false">
      <c r="A597" s="19" t="n">
        <v>46295</v>
      </c>
      <c r="B597" s="12" t="n">
        <f aca="false">IF($A597="","",ROW()-4)</f>
        <v>593</v>
      </c>
      <c r="C597" s="12" t="s">
        <v>449</v>
      </c>
      <c r="D597" s="12" t="s">
        <v>557</v>
      </c>
      <c r="E597" s="24" t="s">
        <v>139</v>
      </c>
      <c r="F597" s="12"/>
      <c r="G597" s="12" t="str">
        <f aca="false">IFERROR(VLOOKUP($F597,ItemList_Full,2,0),"")</f>
        <v/>
      </c>
      <c r="H597" s="12"/>
      <c r="I597" s="12" t="str">
        <f aca="false">IFERROR(VLOOKUP($F597,ItemList_Full,3,0),"")</f>
        <v/>
      </c>
      <c r="J597" s="12" t="str">
        <f aca="false">IFERROR(VLOOKUP($F597,ItemList_Full,4,0),"")</f>
        <v/>
      </c>
      <c r="K597" s="13" t="n">
        <v>287</v>
      </c>
      <c r="L597" s="12"/>
      <c r="M597" s="24"/>
      <c r="N597" s="12" t="s">
        <v>229</v>
      </c>
      <c r="O597" s="12"/>
      <c r="P597" s="13" t="n">
        <f aca="false">IF($E597="","",IF(OR($E597="Director Draw",$E597="Payroll/Employee Charge"),0,-$K597))</f>
        <v>-287</v>
      </c>
      <c r="Q597" s="12" t="n">
        <f aca="false">IF($E597="Inventory Purchase",$H597,0)</f>
        <v>0</v>
      </c>
    </row>
    <row r="598" customFormat="false" ht="15" hidden="false" customHeight="true" outlineLevel="0" collapsed="false">
      <c r="A598" s="19" t="n">
        <v>46295</v>
      </c>
      <c r="B598" s="12" t="n">
        <f aca="false">IF($A598="","",ROW()-4)</f>
        <v>594</v>
      </c>
      <c r="C598" s="12" t="s">
        <v>449</v>
      </c>
      <c r="D598" s="12" t="s">
        <v>260</v>
      </c>
      <c r="E598" s="24" t="s">
        <v>139</v>
      </c>
      <c r="F598" s="12"/>
      <c r="G598" s="12" t="str">
        <f aca="false">IFERROR(VLOOKUP($F598,ItemList_Full,2,0),"")</f>
        <v/>
      </c>
      <c r="H598" s="12"/>
      <c r="I598" s="12" t="str">
        <f aca="false">IFERROR(VLOOKUP($F598,ItemList_Full,3,0),"")</f>
        <v/>
      </c>
      <c r="J598" s="12" t="str">
        <f aca="false">IFERROR(VLOOKUP($F598,ItemList_Full,4,0),"")</f>
        <v/>
      </c>
      <c r="K598" s="13" t="n">
        <v>2180</v>
      </c>
      <c r="L598" s="12"/>
      <c r="M598" s="24"/>
      <c r="N598" s="12" t="s">
        <v>229</v>
      </c>
      <c r="O598" s="12"/>
      <c r="P598" s="13" t="n">
        <f aca="false">IF($E598="","",IF(OR($E598="Director Draw",$E598="Payroll/Employee Charge"),0,-$K598))</f>
        <v>-2180</v>
      </c>
      <c r="Q598" s="12" t="n">
        <f aca="false">IF($E598="Inventory Purchase",$H598,0)</f>
        <v>0</v>
      </c>
    </row>
    <row r="599" customFormat="false" ht="15" hidden="false" customHeight="true" outlineLevel="0" collapsed="false">
      <c r="A599" s="19" t="n">
        <v>46295</v>
      </c>
      <c r="B599" s="12" t="n">
        <f aca="false">IF($A599="","",ROW()-4)</f>
        <v>595</v>
      </c>
      <c r="C599" s="12" t="s">
        <v>1026</v>
      </c>
      <c r="D599" s="12" t="s">
        <v>388</v>
      </c>
      <c r="E599" s="24" t="s">
        <v>139</v>
      </c>
      <c r="F599" s="12"/>
      <c r="G599" s="12" t="str">
        <f aca="false">IFERROR(VLOOKUP($F599,ItemList_Full,2,0),"")</f>
        <v/>
      </c>
      <c r="H599" s="12"/>
      <c r="I599" s="12" t="str">
        <f aca="false">IFERROR(VLOOKUP($F599,ItemList_Full,3,0),"")</f>
        <v/>
      </c>
      <c r="J599" s="12" t="str">
        <f aca="false">IFERROR(VLOOKUP($F599,ItemList_Full,4,0),"")</f>
        <v/>
      </c>
      <c r="K599" s="13" t="n">
        <v>71262</v>
      </c>
      <c r="L599" s="12"/>
      <c r="M599" s="24"/>
      <c r="N599" s="12" t="s">
        <v>229</v>
      </c>
      <c r="O599" s="12"/>
      <c r="P599" s="13" t="n">
        <f aca="false">IF($E599="","",IF(OR($E599="Director Draw",$E599="Payroll/Employee Charge"),0,-$K599))</f>
        <v>-71262</v>
      </c>
      <c r="Q599" s="12" t="n">
        <f aca="false">IF($E599="Inventory Purchase",$H599,0)</f>
        <v>0</v>
      </c>
    </row>
    <row r="600" customFormat="false" ht="15" hidden="false" customHeight="true" outlineLevel="0" collapsed="false">
      <c r="A600" s="19" t="n">
        <v>46295</v>
      </c>
      <c r="B600" s="12" t="n">
        <f aca="false">IF($A600="","",ROW()-4)</f>
        <v>596</v>
      </c>
      <c r="C600" s="12" t="s">
        <v>1634</v>
      </c>
      <c r="D600" s="12" t="s">
        <v>1635</v>
      </c>
      <c r="E600" s="24" t="s">
        <v>139</v>
      </c>
      <c r="F600" s="12"/>
      <c r="G600" s="12" t="str">
        <f aca="false">IFERROR(VLOOKUP($F600,ItemList_Full,2,0),"")</f>
        <v/>
      </c>
      <c r="H600" s="12"/>
      <c r="I600" s="12" t="str">
        <f aca="false">IFERROR(VLOOKUP($F600,ItemList_Full,3,0),"")</f>
        <v/>
      </c>
      <c r="J600" s="12" t="str">
        <f aca="false">IFERROR(VLOOKUP($F600,ItemList_Full,4,0),"")</f>
        <v/>
      </c>
      <c r="K600" s="13" t="n">
        <v>49070</v>
      </c>
      <c r="L600" s="12"/>
      <c r="M600" s="24"/>
      <c r="N600" s="12" t="s">
        <v>229</v>
      </c>
      <c r="O600" s="12"/>
      <c r="P600" s="13" t="n">
        <f aca="false">IF($E600="","",IF(OR($E600="Director Draw",$E600="Payroll/Employee Charge"),0,-$K600))</f>
        <v>-49070</v>
      </c>
      <c r="Q600" s="12" t="n">
        <f aca="false">IF($E600="Inventory Purchase",$H600,0)</f>
        <v>0</v>
      </c>
    </row>
    <row r="601" customFormat="false" ht="15" hidden="false" customHeight="true" outlineLevel="0" collapsed="false">
      <c r="A601" s="19" t="n">
        <v>46295</v>
      </c>
      <c r="B601" s="12" t="n">
        <f aca="false">IF($A601="","",ROW()-4)</f>
        <v>597</v>
      </c>
      <c r="C601" s="12" t="s">
        <v>1412</v>
      </c>
      <c r="D601" s="12" t="s">
        <v>1413</v>
      </c>
      <c r="E601" s="24" t="s">
        <v>139</v>
      </c>
      <c r="F601" s="12"/>
      <c r="G601" s="12" t="str">
        <f aca="false">IFERROR(VLOOKUP($F601,ItemList_Full,2,0),"")</f>
        <v/>
      </c>
      <c r="H601" s="12"/>
      <c r="I601" s="12" t="str">
        <f aca="false">IFERROR(VLOOKUP($F601,ItemList_Full,3,0),"")</f>
        <v/>
      </c>
      <c r="J601" s="12" t="str">
        <f aca="false">IFERROR(VLOOKUP($F601,ItemList_Full,4,0),"")</f>
        <v/>
      </c>
      <c r="K601" s="13" t="n">
        <v>400000</v>
      </c>
      <c r="L601" s="12"/>
      <c r="M601" s="24"/>
      <c r="N601" s="12" t="s">
        <v>229</v>
      </c>
      <c r="O601" s="12"/>
      <c r="P601" s="13" t="n">
        <f aca="false">IF($E601="","",IF(OR($E601="Director Draw",$E601="Payroll/Employee Charge"),0,-$K601))</f>
        <v>-400000</v>
      </c>
      <c r="Q601" s="12" t="n">
        <f aca="false">IF($E601="Inventory Purchase",$H601,0)</f>
        <v>0</v>
      </c>
    </row>
    <row r="602" customFormat="false" ht="15" hidden="false" customHeight="true" outlineLevel="0" collapsed="false">
      <c r="A602" s="19" t="n">
        <v>46295</v>
      </c>
      <c r="B602" s="12" t="n">
        <f aca="false">IF($A602="","",ROW()-4)</f>
        <v>598</v>
      </c>
      <c r="C602" s="12" t="s">
        <v>1606</v>
      </c>
      <c r="D602" s="12" t="s">
        <v>1607</v>
      </c>
      <c r="E602" s="24" t="s">
        <v>139</v>
      </c>
      <c r="F602" s="12"/>
      <c r="G602" s="12" t="str">
        <f aca="false">IFERROR(VLOOKUP($F602,ItemList_Full,2,0),"")</f>
        <v/>
      </c>
      <c r="H602" s="12"/>
      <c r="I602" s="12" t="str">
        <f aca="false">IFERROR(VLOOKUP($F602,ItemList_Full,3,0),"")</f>
        <v/>
      </c>
      <c r="J602" s="12" t="str">
        <f aca="false">IFERROR(VLOOKUP($F602,ItemList_Full,4,0),"")</f>
        <v/>
      </c>
      <c r="K602" s="13" t="n">
        <v>166627</v>
      </c>
      <c r="L602" s="12"/>
      <c r="M602" s="24"/>
      <c r="N602" s="12" t="s">
        <v>229</v>
      </c>
      <c r="O602" s="12"/>
      <c r="P602" s="13" t="n">
        <f aca="false">IF($E602="","",IF(OR($E602="Director Draw",$E602="Payroll/Employee Charge"),0,-$K602))</f>
        <v>-166627</v>
      </c>
      <c r="Q602" s="12" t="n">
        <f aca="false">IF($E602="Inventory Purchase",$H602,0)</f>
        <v>0</v>
      </c>
    </row>
    <row r="603" customFormat="false" ht="15" hidden="false" customHeight="true" outlineLevel="0" collapsed="false">
      <c r="A603" s="19" t="n">
        <v>46295</v>
      </c>
      <c r="B603" s="12" t="n">
        <f aca="false">IF($A603="","",ROW()-4)</f>
        <v>599</v>
      </c>
      <c r="C603" s="12" t="s">
        <v>237</v>
      </c>
      <c r="D603" s="12" t="s">
        <v>238</v>
      </c>
      <c r="E603" s="24" t="s">
        <v>139</v>
      </c>
      <c r="F603" s="12"/>
      <c r="G603" s="12" t="str">
        <f aca="false">IFERROR(VLOOKUP($F603,ItemList_Full,2,0),"")</f>
        <v/>
      </c>
      <c r="H603" s="12"/>
      <c r="I603" s="12" t="str">
        <f aca="false">IFERROR(VLOOKUP($F603,ItemList_Full,3,0),"")</f>
        <v/>
      </c>
      <c r="J603" s="12" t="str">
        <f aca="false">IFERROR(VLOOKUP($F603,ItemList_Full,4,0),"")</f>
        <v/>
      </c>
      <c r="K603" s="13" t="n">
        <v>170000</v>
      </c>
      <c r="L603" s="12"/>
      <c r="M603" s="24"/>
      <c r="N603" s="12" t="s">
        <v>229</v>
      </c>
      <c r="O603" s="12"/>
      <c r="P603" s="13" t="n">
        <f aca="false">IF($E603="","",IF(OR($E603="Director Draw",$E603="Payroll/Employee Charge"),0,-$K603))</f>
        <v>-170000</v>
      </c>
      <c r="Q603" s="12" t="n">
        <f aca="false">IF($E603="Inventory Purchase",$H603,0)</f>
        <v>0</v>
      </c>
    </row>
    <row r="604" customFormat="false" ht="15" hidden="false" customHeight="true" outlineLevel="0" collapsed="false">
      <c r="A604" s="19" t="n">
        <v>46295</v>
      </c>
      <c r="B604" s="12" t="n">
        <f aca="false">IF($A604="","",ROW()-4)</f>
        <v>600</v>
      </c>
      <c r="C604" s="12" t="s">
        <v>242</v>
      </c>
      <c r="D604" s="12" t="s">
        <v>243</v>
      </c>
      <c r="E604" s="24" t="s">
        <v>139</v>
      </c>
      <c r="F604" s="12"/>
      <c r="G604" s="12" t="str">
        <f aca="false">IFERROR(VLOOKUP($F604,ItemList_Full,2,0),"")</f>
        <v/>
      </c>
      <c r="H604" s="12"/>
      <c r="I604" s="12" t="str">
        <f aca="false">IFERROR(VLOOKUP($F604,ItemList_Full,3,0),"")</f>
        <v/>
      </c>
      <c r="J604" s="12" t="str">
        <f aca="false">IFERROR(VLOOKUP($F604,ItemList_Full,4,0),"")</f>
        <v/>
      </c>
      <c r="K604" s="13" t="n">
        <v>8000</v>
      </c>
      <c r="L604" s="12"/>
      <c r="M604" s="24"/>
      <c r="N604" s="12" t="s">
        <v>229</v>
      </c>
      <c r="O604" s="12"/>
      <c r="P604" s="13" t="n">
        <f aca="false">IF($E604="","",IF(OR($E604="Director Draw",$E604="Payroll/Employee Charge"),0,-$K604))</f>
        <v>-8000</v>
      </c>
      <c r="Q604" s="12" t="n">
        <f aca="false">IF($E604="Inventory Purchase",$H604,0)</f>
        <v>0</v>
      </c>
    </row>
    <row r="605" customFormat="false" ht="15" hidden="false" customHeight="true" outlineLevel="0" collapsed="false">
      <c r="A605" s="19" t="n">
        <v>46295</v>
      </c>
      <c r="B605" s="12" t="n">
        <f aca="false">IF($A605="","",ROW()-4)</f>
        <v>601</v>
      </c>
      <c r="C605" s="12" t="s">
        <v>343</v>
      </c>
      <c r="D605" s="12" t="s">
        <v>1360</v>
      </c>
      <c r="E605" s="24" t="s">
        <v>143</v>
      </c>
      <c r="F605" s="12"/>
      <c r="G605" s="12" t="str">
        <f aca="false">IFERROR(VLOOKUP($F605,ItemList_Full,2,0),"")</f>
        <v/>
      </c>
      <c r="H605" s="12"/>
      <c r="I605" s="12" t="str">
        <f aca="false">IFERROR(VLOOKUP($F605,ItemList_Full,3,0),"")</f>
        <v/>
      </c>
      <c r="J605" s="12" t="str">
        <f aca="false">IFERROR(VLOOKUP($F605,ItemList_Full,4,0),"")</f>
        <v/>
      </c>
      <c r="K605" s="13" t="n">
        <v>833</v>
      </c>
      <c r="L605" s="12"/>
      <c r="M605" s="24"/>
      <c r="N605" s="12" t="s">
        <v>229</v>
      </c>
      <c r="O605" s="12"/>
      <c r="P605" s="13" t="n">
        <f aca="false">IF($E605="","",IF(OR($E605="Director Draw",$E605="Payroll/Employee Charge"),0,-$K605))</f>
        <v>-833</v>
      </c>
      <c r="Q605" s="12" t="n">
        <f aca="false">IF($E605="Inventory Purchase",$H605,0)</f>
        <v>0</v>
      </c>
    </row>
    <row r="606" customFormat="false" ht="15" hidden="false" customHeight="true" outlineLevel="0" collapsed="false">
      <c r="A606" s="19" t="n">
        <v>46295</v>
      </c>
      <c r="B606" s="12" t="n">
        <f aca="false">IF($A606="","",ROW()-4)</f>
        <v>602</v>
      </c>
      <c r="C606" s="12" t="s">
        <v>355</v>
      </c>
      <c r="D606" s="12" t="s">
        <v>1636</v>
      </c>
      <c r="E606" s="24" t="s">
        <v>143</v>
      </c>
      <c r="F606" s="12"/>
      <c r="G606" s="12" t="str">
        <f aca="false">IFERROR(VLOOKUP($F606,ItemList_Full,2,0),"")</f>
        <v/>
      </c>
      <c r="H606" s="12"/>
      <c r="I606" s="12" t="str">
        <f aca="false">IFERROR(VLOOKUP($F606,ItemList_Full,3,0),"")</f>
        <v/>
      </c>
      <c r="J606" s="12" t="str">
        <f aca="false">IFERROR(VLOOKUP($F606,ItemList_Full,4,0),"")</f>
        <v/>
      </c>
      <c r="K606" s="13" t="n">
        <v>1645</v>
      </c>
      <c r="L606" s="12"/>
      <c r="M606" s="24"/>
      <c r="N606" s="12" t="s">
        <v>229</v>
      </c>
      <c r="O606" s="12"/>
      <c r="P606" s="13" t="n">
        <f aca="false">IF($E606="","",IF(OR($E606="Director Draw",$E606="Payroll/Employee Charge"),0,-$K606))</f>
        <v>-1645</v>
      </c>
      <c r="Q606" s="12" t="n">
        <f aca="false">IF($E606="Inventory Purchase",$H606,0)</f>
        <v>0</v>
      </c>
    </row>
    <row r="607" customFormat="false" ht="15" hidden="false" customHeight="true" outlineLevel="0" collapsed="false">
      <c r="A607" s="19" t="n">
        <v>46295</v>
      </c>
      <c r="B607" s="12" t="n">
        <f aca="false">IF($A607="","",ROW()-4)</f>
        <v>603</v>
      </c>
      <c r="C607" s="12" t="s">
        <v>355</v>
      </c>
      <c r="D607" s="12" t="s">
        <v>356</v>
      </c>
      <c r="E607" s="24" t="s">
        <v>143</v>
      </c>
      <c r="F607" s="12"/>
      <c r="G607" s="12" t="str">
        <f aca="false">IFERROR(VLOOKUP($F607,ItemList_Full,2,0),"")</f>
        <v/>
      </c>
      <c r="H607" s="12"/>
      <c r="I607" s="12" t="str">
        <f aca="false">IFERROR(VLOOKUP($F607,ItemList_Full,3,0),"")</f>
        <v/>
      </c>
      <c r="J607" s="12" t="str">
        <f aca="false">IFERROR(VLOOKUP($F607,ItemList_Full,4,0),"")</f>
        <v/>
      </c>
      <c r="K607" s="13" t="n">
        <v>1300</v>
      </c>
      <c r="L607" s="12"/>
      <c r="M607" s="24"/>
      <c r="N607" s="12" t="s">
        <v>229</v>
      </c>
      <c r="O607" s="12"/>
      <c r="P607" s="13" t="n">
        <f aca="false">IF($E607="","",IF(OR($E607="Director Draw",$E607="Payroll/Employee Charge"),0,-$K607))</f>
        <v>-1300</v>
      </c>
      <c r="Q607" s="12" t="n">
        <f aca="false">IF($E607="Inventory Purchase",$H607,0)</f>
        <v>0</v>
      </c>
    </row>
    <row r="608" customFormat="false" ht="15" hidden="false" customHeight="true" outlineLevel="0" collapsed="false">
      <c r="A608" s="19"/>
      <c r="B608" s="12" t="str">
        <f aca="false">IF($A608="","",ROW()-4)</f>
        <v/>
      </c>
      <c r="C608" s="12"/>
      <c r="D608" s="12"/>
      <c r="E608" s="24"/>
      <c r="F608" s="12"/>
      <c r="G608" s="12" t="str">
        <f aca="false">IFERROR(VLOOKUP($F608,ItemList_Full,2,0),"")</f>
        <v/>
      </c>
      <c r="H608" s="12"/>
      <c r="I608" s="12" t="str">
        <f aca="false">IFERROR(VLOOKUP($F608,ItemList_Full,3,0),"")</f>
        <v/>
      </c>
      <c r="J608" s="12" t="str">
        <f aca="false">IFERROR(VLOOKUP($F608,ItemList_Full,4,0),"")</f>
        <v/>
      </c>
      <c r="K608" s="13"/>
      <c r="L608" s="12"/>
      <c r="M608" s="24"/>
      <c r="N608" s="12"/>
      <c r="O608" s="12"/>
      <c r="P608" s="13" t="str">
        <f aca="false">IF($E608="","",IF(OR($E608="Director Draw",$E608="Payroll/Employee Charge"),0,-$K608))</f>
        <v/>
      </c>
      <c r="Q608" s="12" t="n">
        <f aca="false">IF($E608="Inventory Purchase",$H608,0)</f>
        <v>0</v>
      </c>
    </row>
    <row r="609" customFormat="false" ht="15" hidden="false" customHeight="true" outlineLevel="0" collapsed="false">
      <c r="A609" s="19"/>
      <c r="B609" s="12" t="str">
        <f aca="false">IF($A609="","",ROW()-4)</f>
        <v/>
      </c>
      <c r="C609" s="12"/>
      <c r="D609" s="12"/>
      <c r="E609" s="24"/>
      <c r="F609" s="12"/>
      <c r="G609" s="12" t="str">
        <f aca="false">IFERROR(VLOOKUP($F609,ItemList_Full,2,0),"")</f>
        <v/>
      </c>
      <c r="H609" s="12"/>
      <c r="I609" s="12" t="str">
        <f aca="false">IFERROR(VLOOKUP($F609,ItemList_Full,3,0),"")</f>
        <v/>
      </c>
      <c r="J609" s="12" t="str">
        <f aca="false">IFERROR(VLOOKUP($F609,ItemList_Full,4,0),"")</f>
        <v/>
      </c>
      <c r="K609" s="13"/>
      <c r="L609" s="12"/>
      <c r="M609" s="24"/>
      <c r="N609" s="12"/>
      <c r="O609" s="12"/>
      <c r="P609" s="13" t="str">
        <f aca="false">IF($E609="","",IF(OR($E609="Director Draw",$E609="Payroll/Employee Charge"),0,-$K609))</f>
        <v/>
      </c>
      <c r="Q609" s="12" t="n">
        <f aca="false">IF($E609="Inventory Purchase",$H609,0)</f>
        <v>0</v>
      </c>
    </row>
    <row r="610" customFormat="false" ht="15" hidden="false" customHeight="true" outlineLevel="0" collapsed="false">
      <c r="A610" s="19"/>
      <c r="B610" s="12" t="str">
        <f aca="false">IF($A610="","",ROW()-4)</f>
        <v/>
      </c>
      <c r="C610" s="12"/>
      <c r="D610" s="12"/>
      <c r="E610" s="24"/>
      <c r="F610" s="12"/>
      <c r="G610" s="12" t="str">
        <f aca="false">IFERROR(VLOOKUP($F610,ItemList_Full,2,0),"")</f>
        <v/>
      </c>
      <c r="H610" s="12"/>
      <c r="I610" s="12" t="str">
        <f aca="false">IFERROR(VLOOKUP($F610,ItemList_Full,3,0),"")</f>
        <v/>
      </c>
      <c r="J610" s="12" t="str">
        <f aca="false">IFERROR(VLOOKUP($F610,ItemList_Full,4,0),"")</f>
        <v/>
      </c>
      <c r="K610" s="13"/>
      <c r="L610" s="12"/>
      <c r="M610" s="24"/>
      <c r="N610" s="12"/>
      <c r="O610" s="12"/>
      <c r="P610" s="13" t="str">
        <f aca="false">IF($E610="","",IF(OR($E610="Director Draw",$E610="Payroll/Employee Charge"),0,-$K610))</f>
        <v/>
      </c>
      <c r="Q610" s="12" t="n">
        <f aca="false">IF($E610="Inventory Purchase",$H610,0)</f>
        <v>0</v>
      </c>
    </row>
    <row r="611" customFormat="false" ht="15" hidden="false" customHeight="true" outlineLevel="0" collapsed="false">
      <c r="A611" s="19"/>
      <c r="B611" s="12" t="str">
        <f aca="false">IF($A611="","",ROW()-4)</f>
        <v/>
      </c>
      <c r="C611" s="12"/>
      <c r="D611" s="12"/>
      <c r="E611" s="24"/>
      <c r="F611" s="12"/>
      <c r="G611" s="12" t="str">
        <f aca="false">IFERROR(VLOOKUP($F611,ItemList_Full,2,0),"")</f>
        <v/>
      </c>
      <c r="H611" s="12"/>
      <c r="I611" s="12" t="str">
        <f aca="false">IFERROR(VLOOKUP($F611,ItemList_Full,3,0),"")</f>
        <v/>
      </c>
      <c r="J611" s="12" t="str">
        <f aca="false">IFERROR(VLOOKUP($F611,ItemList_Full,4,0),"")</f>
        <v/>
      </c>
      <c r="K611" s="13"/>
      <c r="L611" s="12"/>
      <c r="M611" s="24"/>
      <c r="N611" s="12"/>
      <c r="O611" s="12"/>
      <c r="P611" s="13" t="str">
        <f aca="false">IF($E611="","",IF(OR($E611="Director Draw",$E611="Payroll/Employee Charge"),0,-$K611))</f>
        <v/>
      </c>
      <c r="Q611" s="12" t="n">
        <f aca="false">IF($E611="Inventory Purchase",$H611,0)</f>
        <v>0</v>
      </c>
    </row>
    <row r="612" customFormat="false" ht="15" hidden="false" customHeight="true" outlineLevel="0" collapsed="false">
      <c r="A612" s="19"/>
      <c r="B612" s="12" t="str">
        <f aca="false">IF($A612="","",ROW()-4)</f>
        <v/>
      </c>
      <c r="C612" s="12"/>
      <c r="D612" s="12"/>
      <c r="E612" s="24"/>
      <c r="F612" s="12"/>
      <c r="G612" s="12" t="str">
        <f aca="false">IFERROR(VLOOKUP($F612,ItemList_Full,2,0),"")</f>
        <v/>
      </c>
      <c r="H612" s="12"/>
      <c r="I612" s="12" t="str">
        <f aca="false">IFERROR(VLOOKUP($F612,ItemList_Full,3,0),"")</f>
        <v/>
      </c>
      <c r="J612" s="12" t="str">
        <f aca="false">IFERROR(VLOOKUP($F612,ItemList_Full,4,0),"")</f>
        <v/>
      </c>
      <c r="K612" s="13"/>
      <c r="L612" s="12"/>
      <c r="M612" s="24"/>
      <c r="N612" s="12"/>
      <c r="O612" s="12"/>
      <c r="P612" s="13" t="str">
        <f aca="false">IF($E612="","",IF(OR($E612="Director Draw",$E612="Payroll/Employee Charge"),0,-$K612))</f>
        <v/>
      </c>
      <c r="Q612" s="12" t="n">
        <f aca="false">IF($E612="Inventory Purchase",$H612,0)</f>
        <v>0</v>
      </c>
    </row>
    <row r="613" customFormat="false" ht="15" hidden="false" customHeight="true" outlineLevel="0" collapsed="false">
      <c r="A613" s="19"/>
      <c r="B613" s="12" t="str">
        <f aca="false">IF($A613="","",ROW()-4)</f>
        <v/>
      </c>
      <c r="C613" s="12"/>
      <c r="D613" s="12"/>
      <c r="E613" s="24"/>
      <c r="F613" s="12"/>
      <c r="G613" s="12" t="str">
        <f aca="false">IFERROR(VLOOKUP($F613,ItemList_Full,2,0),"")</f>
        <v/>
      </c>
      <c r="H613" s="12"/>
      <c r="I613" s="12" t="str">
        <f aca="false">IFERROR(VLOOKUP($F613,ItemList_Full,3,0),"")</f>
        <v/>
      </c>
      <c r="J613" s="12" t="str">
        <f aca="false">IFERROR(VLOOKUP($F613,ItemList_Full,4,0),"")</f>
        <v/>
      </c>
      <c r="K613" s="13"/>
      <c r="L613" s="12"/>
      <c r="M613" s="24"/>
      <c r="N613" s="12"/>
      <c r="O613" s="12"/>
      <c r="P613" s="13" t="str">
        <f aca="false">IF($E613="","",IF(OR($E613="Director Draw",$E613="Payroll/Employee Charge"),0,-$K613))</f>
        <v/>
      </c>
      <c r="Q613" s="12" t="n">
        <f aca="false">IF($E613="Inventory Purchase",$H613,0)</f>
        <v>0</v>
      </c>
    </row>
    <row r="614" customFormat="false" ht="15" hidden="false" customHeight="true" outlineLevel="0" collapsed="false">
      <c r="A614" s="19"/>
      <c r="B614" s="12" t="str">
        <f aca="false">IF($A614="","",ROW()-4)</f>
        <v/>
      </c>
      <c r="C614" s="12"/>
      <c r="D614" s="12"/>
      <c r="E614" s="24"/>
      <c r="F614" s="12"/>
      <c r="G614" s="12" t="str">
        <f aca="false">IFERROR(VLOOKUP($F614,ItemList_Full,2,0),"")</f>
        <v/>
      </c>
      <c r="H614" s="12"/>
      <c r="I614" s="12" t="str">
        <f aca="false">IFERROR(VLOOKUP($F614,ItemList_Full,3,0),"")</f>
        <v/>
      </c>
      <c r="J614" s="12" t="str">
        <f aca="false">IFERROR(VLOOKUP($F614,ItemList_Full,4,0),"")</f>
        <v/>
      </c>
      <c r="K614" s="13"/>
      <c r="L614" s="12"/>
      <c r="M614" s="24"/>
      <c r="N614" s="12"/>
      <c r="O614" s="12"/>
      <c r="P614" s="13" t="str">
        <f aca="false">IF($E614="","",IF(OR($E614="Director Draw",$E614="Payroll/Employee Charge"),0,-$K614))</f>
        <v/>
      </c>
      <c r="Q614" s="12" t="n">
        <f aca="false">IF($E614="Inventory Purchase",$H614,0)</f>
        <v>0</v>
      </c>
    </row>
    <row r="615" customFormat="false" ht="15" hidden="false" customHeight="true" outlineLevel="0" collapsed="false">
      <c r="A615" s="19"/>
      <c r="B615" s="12" t="str">
        <f aca="false">IF($A615="","",ROW()-4)</f>
        <v/>
      </c>
      <c r="C615" s="12"/>
      <c r="D615" s="12"/>
      <c r="E615" s="24"/>
      <c r="F615" s="12"/>
      <c r="G615" s="12" t="str">
        <f aca="false">IFERROR(VLOOKUP($F615,ItemList_Full,2,0),"")</f>
        <v/>
      </c>
      <c r="H615" s="12"/>
      <c r="I615" s="12" t="str">
        <f aca="false">IFERROR(VLOOKUP($F615,ItemList_Full,3,0),"")</f>
        <v/>
      </c>
      <c r="J615" s="12" t="str">
        <f aca="false">IFERROR(VLOOKUP($F615,ItemList_Full,4,0),"")</f>
        <v/>
      </c>
      <c r="K615" s="13"/>
      <c r="L615" s="12"/>
      <c r="M615" s="24"/>
      <c r="N615" s="12"/>
      <c r="O615" s="12"/>
      <c r="P615" s="13" t="str">
        <f aca="false">IF($E615="","",IF(OR($E615="Director Draw",$E615="Payroll/Employee Charge"),0,-$K615))</f>
        <v/>
      </c>
      <c r="Q615" s="12" t="n">
        <f aca="false">IF($E615="Inventory Purchase",$H615,0)</f>
        <v>0</v>
      </c>
    </row>
    <row r="616" customFormat="false" ht="15" hidden="false" customHeight="true" outlineLevel="0" collapsed="false">
      <c r="A616" s="19"/>
      <c r="B616" s="12" t="str">
        <f aca="false">IF($A616="","",ROW()-4)</f>
        <v/>
      </c>
      <c r="C616" s="12"/>
      <c r="D616" s="12"/>
      <c r="E616" s="24"/>
      <c r="F616" s="12"/>
      <c r="G616" s="12" t="str">
        <f aca="false">IFERROR(VLOOKUP($F616,ItemList_Full,2,0),"")</f>
        <v/>
      </c>
      <c r="H616" s="12"/>
      <c r="I616" s="12" t="str">
        <f aca="false">IFERROR(VLOOKUP($F616,ItemList_Full,3,0),"")</f>
        <v/>
      </c>
      <c r="J616" s="12" t="str">
        <f aca="false">IFERROR(VLOOKUP($F616,ItemList_Full,4,0),"")</f>
        <v/>
      </c>
      <c r="K616" s="13"/>
      <c r="L616" s="12"/>
      <c r="M616" s="24"/>
      <c r="N616" s="12"/>
      <c r="O616" s="12"/>
      <c r="P616" s="13" t="str">
        <f aca="false">IF($E616="","",IF(OR($E616="Director Draw",$E616="Payroll/Employee Charge"),0,-$K616))</f>
        <v/>
      </c>
      <c r="Q616" s="12" t="n">
        <f aca="false">IF($E616="Inventory Purchase",$H616,0)</f>
        <v>0</v>
      </c>
    </row>
    <row r="617" customFormat="false" ht="15" hidden="false" customHeight="true" outlineLevel="0" collapsed="false">
      <c r="A617" s="19"/>
      <c r="B617" s="12" t="str">
        <f aca="false">IF($A617="","",ROW()-4)</f>
        <v/>
      </c>
      <c r="C617" s="12"/>
      <c r="D617" s="12"/>
      <c r="E617" s="24"/>
      <c r="F617" s="12"/>
      <c r="G617" s="12" t="str">
        <f aca="false">IFERROR(VLOOKUP($F617,ItemList_Full,2,0),"")</f>
        <v/>
      </c>
      <c r="H617" s="12"/>
      <c r="I617" s="12" t="str">
        <f aca="false">IFERROR(VLOOKUP($F617,ItemList_Full,3,0),"")</f>
        <v/>
      </c>
      <c r="J617" s="12" t="str">
        <f aca="false">IFERROR(VLOOKUP($F617,ItemList_Full,4,0),"")</f>
        <v/>
      </c>
      <c r="K617" s="13"/>
      <c r="L617" s="12"/>
      <c r="M617" s="24"/>
      <c r="N617" s="12"/>
      <c r="O617" s="12"/>
      <c r="P617" s="13" t="str">
        <f aca="false">IF($E617="","",IF(OR($E617="Director Draw",$E617="Payroll/Employee Charge"),0,-$K617))</f>
        <v/>
      </c>
      <c r="Q617" s="12" t="n">
        <f aca="false">IF($E617="Inventory Purchase",$H617,0)</f>
        <v>0</v>
      </c>
    </row>
    <row r="618" customFormat="false" ht="15" hidden="false" customHeight="true" outlineLevel="0" collapsed="false">
      <c r="A618" s="19"/>
      <c r="B618" s="12" t="str">
        <f aca="false">IF($A618="","",ROW()-4)</f>
        <v/>
      </c>
      <c r="C618" s="12"/>
      <c r="D618" s="12"/>
      <c r="E618" s="24"/>
      <c r="F618" s="12"/>
      <c r="G618" s="12" t="str">
        <f aca="false">IFERROR(VLOOKUP($F618,ItemList_Full,2,0),"")</f>
        <v/>
      </c>
      <c r="H618" s="12"/>
      <c r="I618" s="12" t="str">
        <f aca="false">IFERROR(VLOOKUP($F618,ItemList_Full,3,0),"")</f>
        <v/>
      </c>
      <c r="J618" s="12" t="str">
        <f aca="false">IFERROR(VLOOKUP($F618,ItemList_Full,4,0),"")</f>
        <v/>
      </c>
      <c r="K618" s="13"/>
      <c r="L618" s="12"/>
      <c r="M618" s="24"/>
      <c r="N618" s="12"/>
      <c r="O618" s="12"/>
      <c r="P618" s="13" t="str">
        <f aca="false">IF($E618="","",IF(OR($E618="Director Draw",$E618="Payroll/Employee Charge"),0,-$K618))</f>
        <v/>
      </c>
      <c r="Q618" s="12" t="n">
        <f aca="false">IF($E618="Inventory Purchase",$H618,0)</f>
        <v>0</v>
      </c>
    </row>
    <row r="619" customFormat="false" ht="15" hidden="false" customHeight="true" outlineLevel="0" collapsed="false">
      <c r="A619" s="19"/>
      <c r="B619" s="12" t="str">
        <f aca="false">IF($A619="","",ROW()-4)</f>
        <v/>
      </c>
      <c r="C619" s="12"/>
      <c r="D619" s="12"/>
      <c r="E619" s="24"/>
      <c r="F619" s="12"/>
      <c r="G619" s="12" t="str">
        <f aca="false">IFERROR(VLOOKUP($F619,ItemList_Full,2,0),"")</f>
        <v/>
      </c>
      <c r="H619" s="12"/>
      <c r="I619" s="12" t="str">
        <f aca="false">IFERROR(VLOOKUP($F619,ItemList_Full,3,0),"")</f>
        <v/>
      </c>
      <c r="J619" s="12" t="str">
        <f aca="false">IFERROR(VLOOKUP($F619,ItemList_Full,4,0),"")</f>
        <v/>
      </c>
      <c r="K619" s="13"/>
      <c r="L619" s="12"/>
      <c r="M619" s="24"/>
      <c r="N619" s="12"/>
      <c r="O619" s="12"/>
      <c r="P619" s="13" t="str">
        <f aca="false">IF($E619="","",IF(OR($E619="Director Draw",$E619="Payroll/Employee Charge"),0,-$K619))</f>
        <v/>
      </c>
      <c r="Q619" s="12" t="n">
        <f aca="false">IF($E619="Inventory Purchase",$H619,0)</f>
        <v>0</v>
      </c>
    </row>
    <row r="620" customFormat="false" ht="15" hidden="false" customHeight="true" outlineLevel="0" collapsed="false">
      <c r="A620" s="19"/>
      <c r="B620" s="12" t="str">
        <f aca="false">IF($A620="","",ROW()-4)</f>
        <v/>
      </c>
      <c r="C620" s="12"/>
      <c r="D620" s="12"/>
      <c r="E620" s="24"/>
      <c r="F620" s="12"/>
      <c r="G620" s="12" t="str">
        <f aca="false">IFERROR(VLOOKUP($F620,ItemList_Full,2,0),"")</f>
        <v/>
      </c>
      <c r="H620" s="12"/>
      <c r="I620" s="12" t="str">
        <f aca="false">IFERROR(VLOOKUP($F620,ItemList_Full,3,0),"")</f>
        <v/>
      </c>
      <c r="J620" s="12" t="str">
        <f aca="false">IFERROR(VLOOKUP($F620,ItemList_Full,4,0),"")</f>
        <v/>
      </c>
      <c r="K620" s="13"/>
      <c r="L620" s="12"/>
      <c r="M620" s="24"/>
      <c r="N620" s="12"/>
      <c r="O620" s="12"/>
      <c r="P620" s="13" t="str">
        <f aca="false">IF($E620="","",IF(OR($E620="Director Draw",$E620="Payroll/Employee Charge"),0,-$K620))</f>
        <v/>
      </c>
      <c r="Q620" s="12" t="n">
        <f aca="false">IF($E620="Inventory Purchase",$H620,0)</f>
        <v>0</v>
      </c>
    </row>
    <row r="621" customFormat="false" ht="15" hidden="false" customHeight="true" outlineLevel="0" collapsed="false">
      <c r="A621" s="19"/>
      <c r="B621" s="12" t="str">
        <f aca="false">IF($A621="","",ROW()-4)</f>
        <v/>
      </c>
      <c r="C621" s="12"/>
      <c r="D621" s="12"/>
      <c r="E621" s="24"/>
      <c r="F621" s="12"/>
      <c r="G621" s="12" t="str">
        <f aca="false">IFERROR(VLOOKUP($F621,ItemList_Full,2,0),"")</f>
        <v/>
      </c>
      <c r="H621" s="12"/>
      <c r="I621" s="12" t="str">
        <f aca="false">IFERROR(VLOOKUP($F621,ItemList_Full,3,0),"")</f>
        <v/>
      </c>
      <c r="J621" s="12" t="str">
        <f aca="false">IFERROR(VLOOKUP($F621,ItemList_Full,4,0),"")</f>
        <v/>
      </c>
      <c r="K621" s="13"/>
      <c r="L621" s="12"/>
      <c r="M621" s="24"/>
      <c r="N621" s="12"/>
      <c r="O621" s="12"/>
      <c r="P621" s="13" t="str">
        <f aca="false">IF($E621="","",IF(OR($E621="Director Draw",$E621="Payroll/Employee Charge"),0,-$K621))</f>
        <v/>
      </c>
      <c r="Q621" s="12" t="n">
        <f aca="false">IF($E621="Inventory Purchase",$H621,0)</f>
        <v>0</v>
      </c>
    </row>
    <row r="622" customFormat="false" ht="15" hidden="false" customHeight="true" outlineLevel="0" collapsed="false">
      <c r="A622" s="19"/>
      <c r="B622" s="12" t="str">
        <f aca="false">IF($A622="","",ROW()-4)</f>
        <v/>
      </c>
      <c r="C622" s="12"/>
      <c r="D622" s="12"/>
      <c r="E622" s="24"/>
      <c r="F622" s="12"/>
      <c r="G622" s="12" t="str">
        <f aca="false">IFERROR(VLOOKUP($F622,ItemList_Full,2,0),"")</f>
        <v/>
      </c>
      <c r="H622" s="12"/>
      <c r="I622" s="12" t="str">
        <f aca="false">IFERROR(VLOOKUP($F622,ItemList_Full,3,0),"")</f>
        <v/>
      </c>
      <c r="J622" s="12" t="str">
        <f aca="false">IFERROR(VLOOKUP($F622,ItemList_Full,4,0),"")</f>
        <v/>
      </c>
      <c r="K622" s="13"/>
      <c r="L622" s="12"/>
      <c r="M622" s="24"/>
      <c r="N622" s="12"/>
      <c r="O622" s="12"/>
      <c r="P622" s="13" t="str">
        <f aca="false">IF($E622="","",IF(OR($E622="Director Draw",$E622="Payroll/Employee Charge"),0,-$K622))</f>
        <v/>
      </c>
      <c r="Q622" s="12" t="n">
        <f aca="false">IF($E622="Inventory Purchase",$H622,0)</f>
        <v>0</v>
      </c>
    </row>
    <row r="623" customFormat="false" ht="15" hidden="false" customHeight="true" outlineLevel="0" collapsed="false">
      <c r="A623" s="19"/>
      <c r="B623" s="12" t="str">
        <f aca="false">IF($A623="","",ROW()-4)</f>
        <v/>
      </c>
      <c r="C623" s="12"/>
      <c r="D623" s="12"/>
      <c r="E623" s="24"/>
      <c r="F623" s="12"/>
      <c r="G623" s="12" t="str">
        <f aca="false">IFERROR(VLOOKUP($F623,ItemList_Full,2,0),"")</f>
        <v/>
      </c>
      <c r="H623" s="12"/>
      <c r="I623" s="12" t="str">
        <f aca="false">IFERROR(VLOOKUP($F623,ItemList_Full,3,0),"")</f>
        <v/>
      </c>
      <c r="J623" s="12" t="str">
        <f aca="false">IFERROR(VLOOKUP($F623,ItemList_Full,4,0),"")</f>
        <v/>
      </c>
      <c r="K623" s="13"/>
      <c r="L623" s="12"/>
      <c r="M623" s="24"/>
      <c r="N623" s="12"/>
      <c r="O623" s="12"/>
      <c r="P623" s="13" t="str">
        <f aca="false">IF($E623="","",IF(OR($E623="Director Draw",$E623="Payroll/Employee Charge"),0,-$K623))</f>
        <v/>
      </c>
      <c r="Q623" s="12" t="n">
        <f aca="false">IF($E623="Inventory Purchase",$H623,0)</f>
        <v>0</v>
      </c>
    </row>
    <row r="624" customFormat="false" ht="15" hidden="false" customHeight="true" outlineLevel="0" collapsed="false">
      <c r="A624" s="19"/>
      <c r="B624" s="12" t="str">
        <f aca="false">IF($A624="","",ROW()-4)</f>
        <v/>
      </c>
      <c r="C624" s="12"/>
      <c r="D624" s="12"/>
      <c r="E624" s="24"/>
      <c r="F624" s="12"/>
      <c r="G624" s="12" t="str">
        <f aca="false">IFERROR(VLOOKUP($F624,ItemList_Full,2,0),"")</f>
        <v/>
      </c>
      <c r="H624" s="12"/>
      <c r="I624" s="12" t="str">
        <f aca="false">IFERROR(VLOOKUP($F624,ItemList_Full,3,0),"")</f>
        <v/>
      </c>
      <c r="J624" s="12" t="str">
        <f aca="false">IFERROR(VLOOKUP($F624,ItemList_Full,4,0),"")</f>
        <v/>
      </c>
      <c r="K624" s="13"/>
      <c r="L624" s="12"/>
      <c r="M624" s="24"/>
      <c r="N624" s="12"/>
      <c r="O624" s="12"/>
      <c r="P624" s="13" t="str">
        <f aca="false">IF($E624="","",IF(OR($E624="Director Draw",$E624="Payroll/Employee Charge"),0,-$K624))</f>
        <v/>
      </c>
      <c r="Q624" s="12" t="n">
        <f aca="false">IF($E624="Inventory Purchase",$H624,0)</f>
        <v>0</v>
      </c>
    </row>
    <row r="625" customFormat="false" ht="15" hidden="false" customHeight="true" outlineLevel="0" collapsed="false">
      <c r="A625" s="19"/>
      <c r="B625" s="12" t="str">
        <f aca="false">IF($A625="","",ROW()-4)</f>
        <v/>
      </c>
      <c r="C625" s="12"/>
      <c r="D625" s="12"/>
      <c r="E625" s="24"/>
      <c r="F625" s="12"/>
      <c r="G625" s="12" t="str">
        <f aca="false">IFERROR(VLOOKUP($F625,ItemList_Full,2,0),"")</f>
        <v/>
      </c>
      <c r="H625" s="12"/>
      <c r="I625" s="12" t="str">
        <f aca="false">IFERROR(VLOOKUP($F625,ItemList_Full,3,0),"")</f>
        <v/>
      </c>
      <c r="J625" s="12" t="str">
        <f aca="false">IFERROR(VLOOKUP($F625,ItemList_Full,4,0),"")</f>
        <v/>
      </c>
      <c r="K625" s="13"/>
      <c r="L625" s="12"/>
      <c r="M625" s="24"/>
      <c r="N625" s="12"/>
      <c r="O625" s="12"/>
      <c r="P625" s="13" t="str">
        <f aca="false">IF($E625="","",IF(OR($E625="Director Draw",$E625="Payroll/Employee Charge"),0,-$K625))</f>
        <v/>
      </c>
      <c r="Q625" s="12" t="n">
        <f aca="false">IF($E625="Inventory Purchase",$H625,0)</f>
        <v>0</v>
      </c>
    </row>
    <row r="626" customFormat="false" ht="15" hidden="false" customHeight="true" outlineLevel="0" collapsed="false">
      <c r="A626" s="19"/>
      <c r="B626" s="12" t="str">
        <f aca="false">IF($A626="","",ROW()-4)</f>
        <v/>
      </c>
      <c r="C626" s="12"/>
      <c r="D626" s="12"/>
      <c r="E626" s="24"/>
      <c r="F626" s="12"/>
      <c r="G626" s="12" t="str">
        <f aca="false">IFERROR(VLOOKUP($F626,ItemList_Full,2,0),"")</f>
        <v/>
      </c>
      <c r="H626" s="12"/>
      <c r="I626" s="12" t="str">
        <f aca="false">IFERROR(VLOOKUP($F626,ItemList_Full,3,0),"")</f>
        <v/>
      </c>
      <c r="J626" s="12" t="str">
        <f aca="false">IFERROR(VLOOKUP($F626,ItemList_Full,4,0),"")</f>
        <v/>
      </c>
      <c r="K626" s="13"/>
      <c r="L626" s="12"/>
      <c r="M626" s="24"/>
      <c r="N626" s="12"/>
      <c r="O626" s="12"/>
      <c r="P626" s="13" t="str">
        <f aca="false">IF($E626="","",IF(OR($E626="Director Draw",$E626="Payroll/Employee Charge"),0,-$K626))</f>
        <v/>
      </c>
      <c r="Q626" s="12" t="n">
        <f aca="false">IF($E626="Inventory Purchase",$H626,0)</f>
        <v>0</v>
      </c>
    </row>
    <row r="627" customFormat="false" ht="15" hidden="false" customHeight="true" outlineLevel="0" collapsed="false">
      <c r="A627" s="19"/>
      <c r="B627" s="12" t="str">
        <f aca="false">IF($A627="","",ROW()-4)</f>
        <v/>
      </c>
      <c r="C627" s="12"/>
      <c r="D627" s="12"/>
      <c r="E627" s="24"/>
      <c r="F627" s="12"/>
      <c r="G627" s="12" t="str">
        <f aca="false">IFERROR(VLOOKUP($F627,ItemList_Full,2,0),"")</f>
        <v/>
      </c>
      <c r="H627" s="12"/>
      <c r="I627" s="12" t="str">
        <f aca="false">IFERROR(VLOOKUP($F627,ItemList_Full,3,0),"")</f>
        <v/>
      </c>
      <c r="J627" s="12" t="str">
        <f aca="false">IFERROR(VLOOKUP($F627,ItemList_Full,4,0),"")</f>
        <v/>
      </c>
      <c r="K627" s="13"/>
      <c r="L627" s="12"/>
      <c r="M627" s="24"/>
      <c r="N627" s="12"/>
      <c r="O627" s="12"/>
      <c r="P627" s="13" t="str">
        <f aca="false">IF($E627="","",IF(OR($E627="Director Draw",$E627="Payroll/Employee Charge"),0,-$K627))</f>
        <v/>
      </c>
      <c r="Q627" s="12" t="n">
        <f aca="false">IF($E627="Inventory Purchase",$H627,0)</f>
        <v>0</v>
      </c>
    </row>
    <row r="628" customFormat="false" ht="15" hidden="false" customHeight="true" outlineLevel="0" collapsed="false">
      <c r="A628" s="19"/>
      <c r="B628" s="12" t="str">
        <f aca="false">IF($A628="","",ROW()-4)</f>
        <v/>
      </c>
      <c r="C628" s="12"/>
      <c r="D628" s="12"/>
      <c r="E628" s="24"/>
      <c r="F628" s="12"/>
      <c r="G628" s="12" t="str">
        <f aca="false">IFERROR(VLOOKUP($F628,ItemList_Full,2,0),"")</f>
        <v/>
      </c>
      <c r="H628" s="12"/>
      <c r="I628" s="12" t="str">
        <f aca="false">IFERROR(VLOOKUP($F628,ItemList_Full,3,0),"")</f>
        <v/>
      </c>
      <c r="J628" s="12" t="str">
        <f aca="false">IFERROR(VLOOKUP($F628,ItemList_Full,4,0),"")</f>
        <v/>
      </c>
      <c r="K628" s="13"/>
      <c r="L628" s="12"/>
      <c r="M628" s="24"/>
      <c r="N628" s="12"/>
      <c r="O628" s="12"/>
      <c r="P628" s="13" t="str">
        <f aca="false">IF($E628="","",IF(OR($E628="Director Draw",$E628="Payroll/Employee Charge"),0,-$K628))</f>
        <v/>
      </c>
      <c r="Q628" s="12" t="n">
        <f aca="false">IF($E628="Inventory Purchase",$H628,0)</f>
        <v>0</v>
      </c>
    </row>
    <row r="629" customFormat="false" ht="15" hidden="false" customHeight="true" outlineLevel="0" collapsed="false">
      <c r="A629" s="19"/>
      <c r="B629" s="12" t="str">
        <f aca="false">IF($A629="","",ROW()-4)</f>
        <v/>
      </c>
      <c r="C629" s="12"/>
      <c r="D629" s="12"/>
      <c r="E629" s="24"/>
      <c r="F629" s="12"/>
      <c r="G629" s="12" t="str">
        <f aca="false">IFERROR(VLOOKUP($F629,ItemList_Full,2,0),"")</f>
        <v/>
      </c>
      <c r="H629" s="12"/>
      <c r="I629" s="12" t="str">
        <f aca="false">IFERROR(VLOOKUP($F629,ItemList_Full,3,0),"")</f>
        <v/>
      </c>
      <c r="J629" s="12" t="str">
        <f aca="false">IFERROR(VLOOKUP($F629,ItemList_Full,4,0),"")</f>
        <v/>
      </c>
      <c r="K629" s="13"/>
      <c r="L629" s="12"/>
      <c r="M629" s="24"/>
      <c r="N629" s="12"/>
      <c r="O629" s="12"/>
      <c r="P629" s="13" t="str">
        <f aca="false">IF($E629="","",IF(OR($E629="Director Draw",$E629="Payroll/Employee Charge"),0,-$K629))</f>
        <v/>
      </c>
      <c r="Q629" s="12" t="n">
        <f aca="false">IF($E629="Inventory Purchase",$H629,0)</f>
        <v>0</v>
      </c>
    </row>
    <row r="630" customFormat="false" ht="15" hidden="false" customHeight="true" outlineLevel="0" collapsed="false">
      <c r="A630" s="19"/>
      <c r="B630" s="12" t="str">
        <f aca="false">IF($A630="","",ROW()-4)</f>
        <v/>
      </c>
      <c r="C630" s="12"/>
      <c r="D630" s="12"/>
      <c r="E630" s="24"/>
      <c r="F630" s="12"/>
      <c r="G630" s="12" t="str">
        <f aca="false">IFERROR(VLOOKUP($F630,ItemList_Full,2,0),"")</f>
        <v/>
      </c>
      <c r="H630" s="12"/>
      <c r="I630" s="12" t="str">
        <f aca="false">IFERROR(VLOOKUP($F630,ItemList_Full,3,0),"")</f>
        <v/>
      </c>
      <c r="J630" s="12" t="str">
        <f aca="false">IFERROR(VLOOKUP($F630,ItemList_Full,4,0),"")</f>
        <v/>
      </c>
      <c r="K630" s="13"/>
      <c r="L630" s="12"/>
      <c r="M630" s="24"/>
      <c r="N630" s="12"/>
      <c r="O630" s="12"/>
      <c r="P630" s="13" t="str">
        <f aca="false">IF($E630="","",IF(OR($E630="Director Draw",$E630="Payroll/Employee Charge"),0,-$K630))</f>
        <v/>
      </c>
      <c r="Q630" s="12" t="n">
        <f aca="false">IF($E630="Inventory Purchase",$H630,0)</f>
        <v>0</v>
      </c>
    </row>
    <row r="631" customFormat="false" ht="15" hidden="false" customHeight="true" outlineLevel="0" collapsed="false">
      <c r="A631" s="19"/>
      <c r="B631" s="12" t="str">
        <f aca="false">IF($A631="","",ROW()-4)</f>
        <v/>
      </c>
      <c r="C631" s="12"/>
      <c r="D631" s="12"/>
      <c r="E631" s="24"/>
      <c r="F631" s="12"/>
      <c r="G631" s="12" t="str">
        <f aca="false">IFERROR(VLOOKUP($F631,ItemList_Full,2,0),"")</f>
        <v/>
      </c>
      <c r="H631" s="12"/>
      <c r="I631" s="12" t="str">
        <f aca="false">IFERROR(VLOOKUP($F631,ItemList_Full,3,0),"")</f>
        <v/>
      </c>
      <c r="J631" s="12" t="str">
        <f aca="false">IFERROR(VLOOKUP($F631,ItemList_Full,4,0),"")</f>
        <v/>
      </c>
      <c r="K631" s="13"/>
      <c r="L631" s="12"/>
      <c r="M631" s="24"/>
      <c r="N631" s="12"/>
      <c r="O631" s="12"/>
      <c r="P631" s="13" t="str">
        <f aca="false">IF($E631="","",IF(OR($E631="Director Draw",$E631="Payroll/Employee Charge"),0,-$K631))</f>
        <v/>
      </c>
      <c r="Q631" s="12" t="n">
        <f aca="false">IF($E631="Inventory Purchase",$H631,0)</f>
        <v>0</v>
      </c>
    </row>
    <row r="632" customFormat="false" ht="15" hidden="false" customHeight="true" outlineLevel="0" collapsed="false">
      <c r="A632" s="19"/>
      <c r="B632" s="12" t="str">
        <f aca="false">IF($A632="","",ROW()-4)</f>
        <v/>
      </c>
      <c r="C632" s="12"/>
      <c r="D632" s="12"/>
      <c r="E632" s="24"/>
      <c r="F632" s="12"/>
      <c r="G632" s="12" t="str">
        <f aca="false">IFERROR(VLOOKUP($F632,ItemList_Full,2,0),"")</f>
        <v/>
      </c>
      <c r="H632" s="12"/>
      <c r="I632" s="12" t="str">
        <f aca="false">IFERROR(VLOOKUP($F632,ItemList_Full,3,0),"")</f>
        <v/>
      </c>
      <c r="J632" s="12" t="str">
        <f aca="false">IFERROR(VLOOKUP($F632,ItemList_Full,4,0),"")</f>
        <v/>
      </c>
      <c r="K632" s="13"/>
      <c r="L632" s="12"/>
      <c r="M632" s="24"/>
      <c r="N632" s="12"/>
      <c r="O632" s="12"/>
      <c r="P632" s="13" t="str">
        <f aca="false">IF($E632="","",IF(OR($E632="Director Draw",$E632="Payroll/Employee Charge"),0,-$K632))</f>
        <v/>
      </c>
      <c r="Q632" s="12" t="n">
        <f aca="false">IF($E632="Inventory Purchase",$H632,0)</f>
        <v>0</v>
      </c>
    </row>
    <row r="633" customFormat="false" ht="15" hidden="false" customHeight="true" outlineLevel="0" collapsed="false">
      <c r="A633" s="19"/>
      <c r="B633" s="12" t="str">
        <f aca="false">IF($A633="","",ROW()-4)</f>
        <v/>
      </c>
      <c r="C633" s="12"/>
      <c r="D633" s="12"/>
      <c r="E633" s="24"/>
      <c r="F633" s="12"/>
      <c r="G633" s="12" t="str">
        <f aca="false">IFERROR(VLOOKUP($F633,ItemList_Full,2,0),"")</f>
        <v/>
      </c>
      <c r="H633" s="12"/>
      <c r="I633" s="12" t="str">
        <f aca="false">IFERROR(VLOOKUP($F633,ItemList_Full,3,0),"")</f>
        <v/>
      </c>
      <c r="J633" s="12" t="str">
        <f aca="false">IFERROR(VLOOKUP($F633,ItemList_Full,4,0),"")</f>
        <v/>
      </c>
      <c r="K633" s="13"/>
      <c r="L633" s="12"/>
      <c r="M633" s="24"/>
      <c r="N633" s="12"/>
      <c r="O633" s="12"/>
      <c r="P633" s="13" t="str">
        <f aca="false">IF($E633="","",IF(OR($E633="Director Draw",$E633="Payroll/Employee Charge"),0,-$K633))</f>
        <v/>
      </c>
      <c r="Q633" s="12" t="n">
        <f aca="false">IF($E633="Inventory Purchase",$H633,0)</f>
        <v>0</v>
      </c>
    </row>
    <row r="634" customFormat="false" ht="15" hidden="false" customHeight="true" outlineLevel="0" collapsed="false">
      <c r="A634" s="19"/>
      <c r="B634" s="12" t="str">
        <f aca="false">IF($A634="","",ROW()-4)</f>
        <v/>
      </c>
      <c r="C634" s="12"/>
      <c r="D634" s="12"/>
      <c r="E634" s="24"/>
      <c r="F634" s="12"/>
      <c r="G634" s="12" t="str">
        <f aca="false">IFERROR(VLOOKUP($F634,ItemList_Full,2,0),"")</f>
        <v/>
      </c>
      <c r="H634" s="12"/>
      <c r="I634" s="12" t="str">
        <f aca="false">IFERROR(VLOOKUP($F634,ItemList_Full,3,0),"")</f>
        <v/>
      </c>
      <c r="J634" s="12" t="str">
        <f aca="false">IFERROR(VLOOKUP($F634,ItemList_Full,4,0),"")</f>
        <v/>
      </c>
      <c r="K634" s="13"/>
      <c r="L634" s="12"/>
      <c r="M634" s="24"/>
      <c r="N634" s="12"/>
      <c r="O634" s="12"/>
      <c r="P634" s="13" t="str">
        <f aca="false">IF($E634="","",IF(OR($E634="Director Draw",$E634="Payroll/Employee Charge"),0,-$K634))</f>
        <v/>
      </c>
      <c r="Q634" s="12" t="n">
        <f aca="false">IF($E634="Inventory Purchase",$H634,0)</f>
        <v>0</v>
      </c>
    </row>
    <row r="635" customFormat="false" ht="15" hidden="false" customHeight="true" outlineLevel="0" collapsed="false">
      <c r="A635" s="19"/>
      <c r="B635" s="12" t="str">
        <f aca="false">IF($A635="","",ROW()-4)</f>
        <v/>
      </c>
      <c r="C635" s="12"/>
      <c r="D635" s="12"/>
      <c r="E635" s="24"/>
      <c r="F635" s="12"/>
      <c r="G635" s="12" t="str">
        <f aca="false">IFERROR(VLOOKUP($F635,ItemList_Full,2,0),"")</f>
        <v/>
      </c>
      <c r="H635" s="12"/>
      <c r="I635" s="12" t="str">
        <f aca="false">IFERROR(VLOOKUP($F635,ItemList_Full,3,0),"")</f>
        <v/>
      </c>
      <c r="J635" s="12" t="str">
        <f aca="false">IFERROR(VLOOKUP($F635,ItemList_Full,4,0),"")</f>
        <v/>
      </c>
      <c r="K635" s="13"/>
      <c r="L635" s="12"/>
      <c r="M635" s="24"/>
      <c r="N635" s="12"/>
      <c r="O635" s="12"/>
      <c r="P635" s="13" t="str">
        <f aca="false">IF($E635="","",IF(OR($E635="Director Draw",$E635="Payroll/Employee Charge"),0,-$K635))</f>
        <v/>
      </c>
      <c r="Q635" s="12" t="n">
        <f aca="false">IF($E635="Inventory Purchase",$H635,0)</f>
        <v>0</v>
      </c>
    </row>
    <row r="636" customFormat="false" ht="15" hidden="false" customHeight="true" outlineLevel="0" collapsed="false">
      <c r="A636" s="19"/>
      <c r="B636" s="12" t="str">
        <f aca="false">IF($A636="","",ROW()-4)</f>
        <v/>
      </c>
      <c r="C636" s="12"/>
      <c r="D636" s="12"/>
      <c r="E636" s="24"/>
      <c r="F636" s="12"/>
      <c r="G636" s="12" t="str">
        <f aca="false">IFERROR(VLOOKUP($F636,ItemList_Full,2,0),"")</f>
        <v/>
      </c>
      <c r="H636" s="12"/>
      <c r="I636" s="12" t="str">
        <f aca="false">IFERROR(VLOOKUP($F636,ItemList_Full,3,0),"")</f>
        <v/>
      </c>
      <c r="J636" s="12" t="str">
        <f aca="false">IFERROR(VLOOKUP($F636,ItemList_Full,4,0),"")</f>
        <v/>
      </c>
      <c r="K636" s="13"/>
      <c r="L636" s="12"/>
      <c r="M636" s="24"/>
      <c r="N636" s="12"/>
      <c r="O636" s="12"/>
      <c r="P636" s="13" t="str">
        <f aca="false">IF($E636="","",IF(OR($E636="Director Draw",$E636="Payroll/Employee Charge"),0,-$K636))</f>
        <v/>
      </c>
      <c r="Q636" s="12" t="n">
        <f aca="false">IF($E636="Inventory Purchase",$H636,0)</f>
        <v>0</v>
      </c>
    </row>
    <row r="637" customFormat="false" ht="15" hidden="false" customHeight="true" outlineLevel="0" collapsed="false">
      <c r="A637" s="19"/>
      <c r="B637" s="12" t="str">
        <f aca="false">IF($A637="","",ROW()-4)</f>
        <v/>
      </c>
      <c r="C637" s="12"/>
      <c r="D637" s="12"/>
      <c r="E637" s="24"/>
      <c r="F637" s="12"/>
      <c r="G637" s="12" t="str">
        <f aca="false">IFERROR(VLOOKUP($F637,ItemList_Full,2,0),"")</f>
        <v/>
      </c>
      <c r="H637" s="12"/>
      <c r="I637" s="12" t="str">
        <f aca="false">IFERROR(VLOOKUP($F637,ItemList_Full,3,0),"")</f>
        <v/>
      </c>
      <c r="J637" s="12" t="str">
        <f aca="false">IFERROR(VLOOKUP($F637,ItemList_Full,4,0),"")</f>
        <v/>
      </c>
      <c r="K637" s="13"/>
      <c r="L637" s="12"/>
      <c r="M637" s="24"/>
      <c r="N637" s="12"/>
      <c r="O637" s="12"/>
      <c r="P637" s="13" t="str">
        <f aca="false">IF($E637="","",IF(OR($E637="Director Draw",$E637="Payroll/Employee Charge"),0,-$K637))</f>
        <v/>
      </c>
      <c r="Q637" s="12" t="n">
        <f aca="false">IF($E637="Inventory Purchase",$H637,0)</f>
        <v>0</v>
      </c>
    </row>
    <row r="638" customFormat="false" ht="15" hidden="false" customHeight="true" outlineLevel="0" collapsed="false">
      <c r="A638" s="19"/>
      <c r="B638" s="12" t="str">
        <f aca="false">IF($A638="","",ROW()-4)</f>
        <v/>
      </c>
      <c r="C638" s="12"/>
      <c r="D638" s="12"/>
      <c r="E638" s="24"/>
      <c r="F638" s="12"/>
      <c r="G638" s="12" t="str">
        <f aca="false">IFERROR(VLOOKUP($F638,ItemList_Full,2,0),"")</f>
        <v/>
      </c>
      <c r="H638" s="12"/>
      <c r="I638" s="12" t="str">
        <f aca="false">IFERROR(VLOOKUP($F638,ItemList_Full,3,0),"")</f>
        <v/>
      </c>
      <c r="J638" s="12" t="str">
        <f aca="false">IFERROR(VLOOKUP($F638,ItemList_Full,4,0),"")</f>
        <v/>
      </c>
      <c r="K638" s="13"/>
      <c r="L638" s="12"/>
      <c r="M638" s="24"/>
      <c r="N638" s="12"/>
      <c r="O638" s="12"/>
      <c r="P638" s="13" t="str">
        <f aca="false">IF($E638="","",IF(OR($E638="Director Draw",$E638="Payroll/Employee Charge"),0,-$K638))</f>
        <v/>
      </c>
      <c r="Q638" s="12" t="n">
        <f aca="false">IF($E638="Inventory Purchase",$H638,0)</f>
        <v>0</v>
      </c>
    </row>
    <row r="639" customFormat="false" ht="15" hidden="false" customHeight="true" outlineLevel="0" collapsed="false">
      <c r="A639" s="19"/>
      <c r="B639" s="12" t="str">
        <f aca="false">IF($A639="","",ROW()-4)</f>
        <v/>
      </c>
      <c r="C639" s="12"/>
      <c r="D639" s="12"/>
      <c r="E639" s="24"/>
      <c r="F639" s="12"/>
      <c r="G639" s="12" t="str">
        <f aca="false">IFERROR(VLOOKUP($F639,ItemList_Full,2,0),"")</f>
        <v/>
      </c>
      <c r="H639" s="12"/>
      <c r="I639" s="12" t="str">
        <f aca="false">IFERROR(VLOOKUP($F639,ItemList_Full,3,0),"")</f>
        <v/>
      </c>
      <c r="J639" s="12" t="str">
        <f aca="false">IFERROR(VLOOKUP($F639,ItemList_Full,4,0),"")</f>
        <v/>
      </c>
      <c r="K639" s="13"/>
      <c r="L639" s="12"/>
      <c r="M639" s="24"/>
      <c r="N639" s="12"/>
      <c r="O639" s="12"/>
      <c r="P639" s="13" t="str">
        <f aca="false">IF($E639="","",IF(OR($E639="Director Draw",$E639="Payroll/Employee Charge"),0,-$K639))</f>
        <v/>
      </c>
      <c r="Q639" s="12" t="n">
        <f aca="false">IF($E639="Inventory Purchase",$H639,0)</f>
        <v>0</v>
      </c>
    </row>
    <row r="640" customFormat="false" ht="15" hidden="false" customHeight="true" outlineLevel="0" collapsed="false">
      <c r="A640" s="19"/>
      <c r="B640" s="12" t="str">
        <f aca="false">IF($A640="","",ROW()-4)</f>
        <v/>
      </c>
      <c r="C640" s="12"/>
      <c r="D640" s="12"/>
      <c r="E640" s="24"/>
      <c r="F640" s="12"/>
      <c r="G640" s="12" t="str">
        <f aca="false">IFERROR(VLOOKUP($F640,ItemList_Full,2,0),"")</f>
        <v/>
      </c>
      <c r="H640" s="12"/>
      <c r="I640" s="12" t="str">
        <f aca="false">IFERROR(VLOOKUP($F640,ItemList_Full,3,0),"")</f>
        <v/>
      </c>
      <c r="J640" s="12" t="str">
        <f aca="false">IFERROR(VLOOKUP($F640,ItemList_Full,4,0),"")</f>
        <v/>
      </c>
      <c r="K640" s="13"/>
      <c r="L640" s="12"/>
      <c r="M640" s="24"/>
      <c r="N640" s="12"/>
      <c r="O640" s="12"/>
      <c r="P640" s="13" t="str">
        <f aca="false">IF($E640="","",IF(OR($E640="Director Draw",$E640="Payroll/Employee Charge"),0,-$K640))</f>
        <v/>
      </c>
      <c r="Q640" s="12" t="n">
        <f aca="false">IF($E640="Inventory Purchase",$H640,0)</f>
        <v>0</v>
      </c>
    </row>
    <row r="641" customFormat="false" ht="15" hidden="false" customHeight="true" outlineLevel="0" collapsed="false">
      <c r="A641" s="19"/>
      <c r="B641" s="12" t="str">
        <f aca="false">IF($A641="","",ROW()-4)</f>
        <v/>
      </c>
      <c r="C641" s="12"/>
      <c r="D641" s="12"/>
      <c r="E641" s="24"/>
      <c r="F641" s="12"/>
      <c r="G641" s="12" t="str">
        <f aca="false">IFERROR(VLOOKUP($F641,ItemList_Full,2,0),"")</f>
        <v/>
      </c>
      <c r="H641" s="12"/>
      <c r="I641" s="12" t="str">
        <f aca="false">IFERROR(VLOOKUP($F641,ItemList_Full,3,0),"")</f>
        <v/>
      </c>
      <c r="J641" s="12" t="str">
        <f aca="false">IFERROR(VLOOKUP($F641,ItemList_Full,4,0),"")</f>
        <v/>
      </c>
      <c r="K641" s="13"/>
      <c r="L641" s="12"/>
      <c r="M641" s="24"/>
      <c r="N641" s="12"/>
      <c r="O641" s="12"/>
      <c r="P641" s="13" t="str">
        <f aca="false">IF($E641="","",IF(OR($E641="Director Draw",$E641="Payroll/Employee Charge"),0,-$K641))</f>
        <v/>
      </c>
      <c r="Q641" s="12" t="n">
        <f aca="false">IF($E641="Inventory Purchase",$H641,0)</f>
        <v>0</v>
      </c>
    </row>
    <row r="642" customFormat="false" ht="15" hidden="false" customHeight="true" outlineLevel="0" collapsed="false">
      <c r="A642" s="19"/>
      <c r="B642" s="12" t="str">
        <f aca="false">IF($A642="","",ROW()-4)</f>
        <v/>
      </c>
      <c r="C642" s="12"/>
      <c r="D642" s="12"/>
      <c r="E642" s="24"/>
      <c r="F642" s="12"/>
      <c r="G642" s="12" t="str">
        <f aca="false">IFERROR(VLOOKUP($F642,ItemList_Full,2,0),"")</f>
        <v/>
      </c>
      <c r="H642" s="12"/>
      <c r="I642" s="12" t="str">
        <f aca="false">IFERROR(VLOOKUP($F642,ItemList_Full,3,0),"")</f>
        <v/>
      </c>
      <c r="J642" s="12" t="str">
        <f aca="false">IFERROR(VLOOKUP($F642,ItemList_Full,4,0),"")</f>
        <v/>
      </c>
      <c r="K642" s="13"/>
      <c r="L642" s="12"/>
      <c r="M642" s="24"/>
      <c r="N642" s="12"/>
      <c r="O642" s="12"/>
      <c r="P642" s="13" t="str">
        <f aca="false">IF($E642="","",IF(OR($E642="Director Draw",$E642="Payroll/Employee Charge"),0,-$K642))</f>
        <v/>
      </c>
      <c r="Q642" s="12" t="n">
        <f aca="false">IF($E642="Inventory Purchase",$H642,0)</f>
        <v>0</v>
      </c>
    </row>
    <row r="643" customFormat="false" ht="15" hidden="false" customHeight="true" outlineLevel="0" collapsed="false">
      <c r="A643" s="19"/>
      <c r="B643" s="12" t="str">
        <f aca="false">IF($A643="","",ROW()-4)</f>
        <v/>
      </c>
      <c r="C643" s="12"/>
      <c r="D643" s="12"/>
      <c r="E643" s="24"/>
      <c r="F643" s="12"/>
      <c r="G643" s="12" t="str">
        <f aca="false">IFERROR(VLOOKUP($F643,ItemList_Full,2,0),"")</f>
        <v/>
      </c>
      <c r="H643" s="12"/>
      <c r="I643" s="12" t="str">
        <f aca="false">IFERROR(VLOOKUP($F643,ItemList_Full,3,0),"")</f>
        <v/>
      </c>
      <c r="J643" s="12" t="str">
        <f aca="false">IFERROR(VLOOKUP($F643,ItemList_Full,4,0),"")</f>
        <v/>
      </c>
      <c r="K643" s="13"/>
      <c r="L643" s="12"/>
      <c r="M643" s="24"/>
      <c r="N643" s="12"/>
      <c r="O643" s="12"/>
      <c r="P643" s="13" t="str">
        <f aca="false">IF($E643="","",IF(OR($E643="Director Draw",$E643="Payroll/Employee Charge"),0,-$K643))</f>
        <v/>
      </c>
      <c r="Q643" s="12" t="n">
        <f aca="false">IF($E643="Inventory Purchase",$H643,0)</f>
        <v>0</v>
      </c>
    </row>
    <row r="644" customFormat="false" ht="15" hidden="false" customHeight="true" outlineLevel="0" collapsed="false">
      <c r="A644" s="19"/>
      <c r="B644" s="12" t="str">
        <f aca="false">IF($A644="","",ROW()-4)</f>
        <v/>
      </c>
      <c r="C644" s="12"/>
      <c r="D644" s="12"/>
      <c r="E644" s="24"/>
      <c r="F644" s="12"/>
      <c r="G644" s="12" t="str">
        <f aca="false">IFERROR(VLOOKUP($F644,ItemList_Full,2,0),"")</f>
        <v/>
      </c>
      <c r="H644" s="12"/>
      <c r="I644" s="12" t="str">
        <f aca="false">IFERROR(VLOOKUP($F644,ItemList_Full,3,0),"")</f>
        <v/>
      </c>
      <c r="J644" s="12" t="str">
        <f aca="false">IFERROR(VLOOKUP($F644,ItemList_Full,4,0),"")</f>
        <v/>
      </c>
      <c r="K644" s="13"/>
      <c r="L644" s="12"/>
      <c r="M644" s="24"/>
      <c r="N644" s="12"/>
      <c r="O644" s="12"/>
      <c r="P644" s="13" t="str">
        <f aca="false">IF($E644="","",IF(OR($E644="Director Draw",$E644="Payroll/Employee Charge"),0,-$K644))</f>
        <v/>
      </c>
      <c r="Q644" s="12" t="n">
        <f aca="false">IF($E644="Inventory Purchase",$H644,0)</f>
        <v>0</v>
      </c>
    </row>
    <row r="645" customFormat="false" ht="15" hidden="false" customHeight="true" outlineLevel="0" collapsed="false">
      <c r="A645" s="19"/>
      <c r="B645" s="12" t="str">
        <f aca="false">IF($A645="","",ROW()-4)</f>
        <v/>
      </c>
      <c r="C645" s="12"/>
      <c r="D645" s="12"/>
      <c r="E645" s="24"/>
      <c r="F645" s="12"/>
      <c r="G645" s="12" t="str">
        <f aca="false">IFERROR(VLOOKUP($F645,ItemList_Full,2,0),"")</f>
        <v/>
      </c>
      <c r="H645" s="12"/>
      <c r="I645" s="12" t="str">
        <f aca="false">IFERROR(VLOOKUP($F645,ItemList_Full,3,0),"")</f>
        <v/>
      </c>
      <c r="J645" s="12" t="str">
        <f aca="false">IFERROR(VLOOKUP($F645,ItemList_Full,4,0),"")</f>
        <v/>
      </c>
      <c r="K645" s="13"/>
      <c r="L645" s="12"/>
      <c r="M645" s="24"/>
      <c r="N645" s="12"/>
      <c r="O645" s="12"/>
      <c r="P645" s="13" t="str">
        <f aca="false">IF($E645="","",IF(OR($E645="Director Draw",$E645="Payroll/Employee Charge"),0,-$K645))</f>
        <v/>
      </c>
      <c r="Q645" s="12" t="n">
        <f aca="false">IF($E645="Inventory Purchase",$H645,0)</f>
        <v>0</v>
      </c>
    </row>
    <row r="646" customFormat="false" ht="15" hidden="false" customHeight="true" outlineLevel="0" collapsed="false">
      <c r="A646" s="19"/>
      <c r="B646" s="12" t="str">
        <f aca="false">IF($A646="","",ROW()-4)</f>
        <v/>
      </c>
      <c r="C646" s="12"/>
      <c r="D646" s="12"/>
      <c r="E646" s="24"/>
      <c r="F646" s="12"/>
      <c r="G646" s="12" t="str">
        <f aca="false">IFERROR(VLOOKUP($F646,ItemList_Full,2,0),"")</f>
        <v/>
      </c>
      <c r="H646" s="12"/>
      <c r="I646" s="12" t="str">
        <f aca="false">IFERROR(VLOOKUP($F646,ItemList_Full,3,0),"")</f>
        <v/>
      </c>
      <c r="J646" s="12" t="str">
        <f aca="false">IFERROR(VLOOKUP($F646,ItemList_Full,4,0),"")</f>
        <v/>
      </c>
      <c r="K646" s="13"/>
      <c r="L646" s="12"/>
      <c r="M646" s="24"/>
      <c r="N646" s="12"/>
      <c r="O646" s="12"/>
      <c r="P646" s="13" t="str">
        <f aca="false">IF($E646="","",IF(OR($E646="Director Draw",$E646="Payroll/Employee Charge"),0,-$K646))</f>
        <v/>
      </c>
      <c r="Q646" s="12" t="n">
        <f aca="false">IF($E646="Inventory Purchase",$H646,0)</f>
        <v>0</v>
      </c>
    </row>
    <row r="647" customFormat="false" ht="15" hidden="false" customHeight="true" outlineLevel="0" collapsed="false">
      <c r="A647" s="19"/>
      <c r="B647" s="12" t="str">
        <f aca="false">IF($A647="","",ROW()-4)</f>
        <v/>
      </c>
      <c r="C647" s="12"/>
      <c r="D647" s="12"/>
      <c r="E647" s="24"/>
      <c r="F647" s="12"/>
      <c r="G647" s="12" t="str">
        <f aca="false">IFERROR(VLOOKUP($F647,ItemList_Full,2,0),"")</f>
        <v/>
      </c>
      <c r="H647" s="12"/>
      <c r="I647" s="12" t="str">
        <f aca="false">IFERROR(VLOOKUP($F647,ItemList_Full,3,0),"")</f>
        <v/>
      </c>
      <c r="J647" s="12" t="str">
        <f aca="false">IFERROR(VLOOKUP($F647,ItemList_Full,4,0),"")</f>
        <v/>
      </c>
      <c r="K647" s="13"/>
      <c r="L647" s="12"/>
      <c r="M647" s="24"/>
      <c r="N647" s="12"/>
      <c r="O647" s="12"/>
      <c r="P647" s="13" t="str">
        <f aca="false">IF($E647="","",IF(OR($E647="Director Draw",$E647="Payroll/Employee Charge"),0,-$K647))</f>
        <v/>
      </c>
      <c r="Q647" s="12" t="n">
        <f aca="false">IF($E647="Inventory Purchase",$H647,0)</f>
        <v>0</v>
      </c>
    </row>
    <row r="648" customFormat="false" ht="15" hidden="false" customHeight="true" outlineLevel="0" collapsed="false">
      <c r="A648" s="19"/>
      <c r="B648" s="12" t="str">
        <f aca="false">IF($A648="","",ROW()-4)</f>
        <v/>
      </c>
      <c r="C648" s="12"/>
      <c r="D648" s="12"/>
      <c r="E648" s="24"/>
      <c r="F648" s="12"/>
      <c r="G648" s="12" t="str">
        <f aca="false">IFERROR(VLOOKUP($F648,ItemList_Full,2,0),"")</f>
        <v/>
      </c>
      <c r="H648" s="12"/>
      <c r="I648" s="12" t="str">
        <f aca="false">IFERROR(VLOOKUP($F648,ItemList_Full,3,0),"")</f>
        <v/>
      </c>
      <c r="J648" s="12" t="str">
        <f aca="false">IFERROR(VLOOKUP($F648,ItemList_Full,4,0),"")</f>
        <v/>
      </c>
      <c r="K648" s="13"/>
      <c r="L648" s="12"/>
      <c r="M648" s="24"/>
      <c r="N648" s="12"/>
      <c r="O648" s="12"/>
      <c r="P648" s="13" t="str">
        <f aca="false">IF($E648="","",IF(OR($E648="Director Draw",$E648="Payroll/Employee Charge"),0,-$K648))</f>
        <v/>
      </c>
      <c r="Q648" s="12" t="n">
        <f aca="false">IF($E648="Inventory Purchase",$H648,0)</f>
        <v>0</v>
      </c>
    </row>
    <row r="649" customFormat="false" ht="15" hidden="false" customHeight="true" outlineLevel="0" collapsed="false">
      <c r="A649" s="19"/>
      <c r="B649" s="12" t="str">
        <f aca="false">IF($A649="","",ROW()-4)</f>
        <v/>
      </c>
      <c r="C649" s="12"/>
      <c r="D649" s="12"/>
      <c r="E649" s="24"/>
      <c r="F649" s="12"/>
      <c r="G649" s="12" t="str">
        <f aca="false">IFERROR(VLOOKUP($F649,ItemList_Full,2,0),"")</f>
        <v/>
      </c>
      <c r="H649" s="12"/>
      <c r="I649" s="12" t="str">
        <f aca="false">IFERROR(VLOOKUP($F649,ItemList_Full,3,0),"")</f>
        <v/>
      </c>
      <c r="J649" s="12" t="str">
        <f aca="false">IFERROR(VLOOKUP($F649,ItemList_Full,4,0),"")</f>
        <v/>
      </c>
      <c r="K649" s="13"/>
      <c r="L649" s="12"/>
      <c r="M649" s="24"/>
      <c r="N649" s="12"/>
      <c r="O649" s="12"/>
      <c r="P649" s="13" t="str">
        <f aca="false">IF($E649="","",IF(OR($E649="Director Draw",$E649="Payroll/Employee Charge"),0,-$K649))</f>
        <v/>
      </c>
      <c r="Q649" s="12" t="n">
        <f aca="false">IF($E649="Inventory Purchase",$H649,0)</f>
        <v>0</v>
      </c>
    </row>
    <row r="650" customFormat="false" ht="15" hidden="false" customHeight="true" outlineLevel="0" collapsed="false">
      <c r="A650" s="19"/>
      <c r="B650" s="12" t="str">
        <f aca="false">IF($A650="","",ROW()-4)</f>
        <v/>
      </c>
      <c r="C650" s="12"/>
      <c r="D650" s="12"/>
      <c r="E650" s="24"/>
      <c r="F650" s="12"/>
      <c r="G650" s="12" t="str">
        <f aca="false">IFERROR(VLOOKUP($F650,ItemList_Full,2,0),"")</f>
        <v/>
      </c>
      <c r="H650" s="12"/>
      <c r="I650" s="12" t="str">
        <f aca="false">IFERROR(VLOOKUP($F650,ItemList_Full,3,0),"")</f>
        <v/>
      </c>
      <c r="J650" s="12" t="str">
        <f aca="false">IFERROR(VLOOKUP($F650,ItemList_Full,4,0),"")</f>
        <v/>
      </c>
      <c r="K650" s="13"/>
      <c r="L650" s="12"/>
      <c r="M650" s="24"/>
      <c r="N650" s="12"/>
      <c r="O650" s="12"/>
      <c r="P650" s="13" t="str">
        <f aca="false">IF($E650="","",IF(OR($E650="Director Draw",$E650="Payroll/Employee Charge"),0,-$K650))</f>
        <v/>
      </c>
      <c r="Q650" s="12" t="n">
        <f aca="false">IF($E650="Inventory Purchase",$H650,0)</f>
        <v>0</v>
      </c>
    </row>
    <row r="651" customFormat="false" ht="15" hidden="false" customHeight="true" outlineLevel="0" collapsed="false">
      <c r="A651" s="19"/>
      <c r="B651" s="12" t="str">
        <f aca="false">IF($A651="","",ROW()-4)</f>
        <v/>
      </c>
      <c r="C651" s="12"/>
      <c r="D651" s="12"/>
      <c r="E651" s="24"/>
      <c r="F651" s="12"/>
      <c r="G651" s="12" t="str">
        <f aca="false">IFERROR(VLOOKUP($F651,ItemList_Full,2,0),"")</f>
        <v/>
      </c>
      <c r="H651" s="12"/>
      <c r="I651" s="12" t="str">
        <f aca="false">IFERROR(VLOOKUP($F651,ItemList_Full,3,0),"")</f>
        <v/>
      </c>
      <c r="J651" s="12" t="str">
        <f aca="false">IFERROR(VLOOKUP($F651,ItemList_Full,4,0),"")</f>
        <v/>
      </c>
      <c r="K651" s="13"/>
      <c r="L651" s="12"/>
      <c r="M651" s="24"/>
      <c r="N651" s="12"/>
      <c r="O651" s="12"/>
      <c r="P651" s="13" t="str">
        <f aca="false">IF($E651="","",IF(OR($E651="Director Draw",$E651="Payroll/Employee Charge"),0,-$K651))</f>
        <v/>
      </c>
      <c r="Q651" s="12" t="n">
        <f aca="false">IF($E651="Inventory Purchase",$H651,0)</f>
        <v>0</v>
      </c>
    </row>
    <row r="652" customFormat="false" ht="15" hidden="false" customHeight="true" outlineLevel="0" collapsed="false">
      <c r="A652" s="19"/>
      <c r="B652" s="12" t="str">
        <f aca="false">IF($A652="","",ROW()-4)</f>
        <v/>
      </c>
      <c r="C652" s="12"/>
      <c r="D652" s="12"/>
      <c r="E652" s="24"/>
      <c r="F652" s="12"/>
      <c r="G652" s="12" t="str">
        <f aca="false">IFERROR(VLOOKUP($F652,ItemList_Full,2,0),"")</f>
        <v/>
      </c>
      <c r="H652" s="12"/>
      <c r="I652" s="12" t="str">
        <f aca="false">IFERROR(VLOOKUP($F652,ItemList_Full,3,0),"")</f>
        <v/>
      </c>
      <c r="J652" s="12" t="str">
        <f aca="false">IFERROR(VLOOKUP($F652,ItemList_Full,4,0),"")</f>
        <v/>
      </c>
      <c r="K652" s="13"/>
      <c r="L652" s="12"/>
      <c r="M652" s="24"/>
      <c r="N652" s="12"/>
      <c r="O652" s="12"/>
      <c r="P652" s="13" t="str">
        <f aca="false">IF($E652="","",IF(OR($E652="Director Draw",$E652="Payroll/Employee Charge"),0,-$K652))</f>
        <v/>
      </c>
      <c r="Q652" s="12" t="n">
        <f aca="false">IF($E652="Inventory Purchase",$H652,0)</f>
        <v>0</v>
      </c>
    </row>
    <row r="653" customFormat="false" ht="15" hidden="false" customHeight="true" outlineLevel="0" collapsed="false">
      <c r="A653" s="19"/>
      <c r="B653" s="12" t="str">
        <f aca="false">IF($A653="","",ROW()-4)</f>
        <v/>
      </c>
      <c r="C653" s="12"/>
      <c r="D653" s="12"/>
      <c r="E653" s="24"/>
      <c r="F653" s="12"/>
      <c r="G653" s="12" t="str">
        <f aca="false">IFERROR(VLOOKUP($F653,ItemList_Full,2,0),"")</f>
        <v/>
      </c>
      <c r="H653" s="12"/>
      <c r="I653" s="12" t="str">
        <f aca="false">IFERROR(VLOOKUP($F653,ItemList_Full,3,0),"")</f>
        <v/>
      </c>
      <c r="J653" s="12" t="str">
        <f aca="false">IFERROR(VLOOKUP($F653,ItemList_Full,4,0),"")</f>
        <v/>
      </c>
      <c r="K653" s="13"/>
      <c r="L653" s="12"/>
      <c r="M653" s="24"/>
      <c r="N653" s="12"/>
      <c r="O653" s="12"/>
      <c r="P653" s="13" t="str">
        <f aca="false">IF($E653="","",IF(OR($E653="Director Draw",$E653="Payroll/Employee Charge"),0,-$K653))</f>
        <v/>
      </c>
      <c r="Q653" s="12" t="n">
        <f aca="false">IF($E653="Inventory Purchase",$H653,0)</f>
        <v>0</v>
      </c>
    </row>
    <row r="654" customFormat="false" ht="15" hidden="false" customHeight="true" outlineLevel="0" collapsed="false">
      <c r="A654" s="19"/>
      <c r="B654" s="12" t="str">
        <f aca="false">IF($A654="","",ROW()-4)</f>
        <v/>
      </c>
      <c r="C654" s="12"/>
      <c r="D654" s="12"/>
      <c r="E654" s="24"/>
      <c r="F654" s="12"/>
      <c r="G654" s="12" t="str">
        <f aca="false">IFERROR(VLOOKUP($F654,ItemList_Full,2,0),"")</f>
        <v/>
      </c>
      <c r="H654" s="12"/>
      <c r="I654" s="12" t="str">
        <f aca="false">IFERROR(VLOOKUP($F654,ItemList_Full,3,0),"")</f>
        <v/>
      </c>
      <c r="J654" s="12" t="str">
        <f aca="false">IFERROR(VLOOKUP($F654,ItemList_Full,4,0),"")</f>
        <v/>
      </c>
      <c r="K654" s="13"/>
      <c r="L654" s="12"/>
      <c r="M654" s="24"/>
      <c r="N654" s="12"/>
      <c r="O654" s="12"/>
      <c r="P654" s="13" t="str">
        <f aca="false">IF($E654="","",IF(OR($E654="Director Draw",$E654="Payroll/Employee Charge"),0,-$K654))</f>
        <v/>
      </c>
      <c r="Q654" s="12" t="n">
        <f aca="false">IF($E654="Inventory Purchase",$H654,0)</f>
        <v>0</v>
      </c>
    </row>
    <row r="655" customFormat="false" ht="15" hidden="false" customHeight="true" outlineLevel="0" collapsed="false">
      <c r="A655" s="19"/>
      <c r="B655" s="12" t="str">
        <f aca="false">IF($A655="","",ROW()-4)</f>
        <v/>
      </c>
      <c r="C655" s="12"/>
      <c r="D655" s="12"/>
      <c r="E655" s="24"/>
      <c r="F655" s="12"/>
      <c r="G655" s="12" t="str">
        <f aca="false">IFERROR(VLOOKUP($F655,ItemList_Full,2,0),"")</f>
        <v/>
      </c>
      <c r="H655" s="12"/>
      <c r="I655" s="12" t="str">
        <f aca="false">IFERROR(VLOOKUP($F655,ItemList_Full,3,0),"")</f>
        <v/>
      </c>
      <c r="J655" s="12" t="str">
        <f aca="false">IFERROR(VLOOKUP($F655,ItemList_Full,4,0),"")</f>
        <v/>
      </c>
      <c r="K655" s="13"/>
      <c r="L655" s="12"/>
      <c r="M655" s="24"/>
      <c r="N655" s="12"/>
      <c r="O655" s="12"/>
      <c r="P655" s="13" t="str">
        <f aca="false">IF($E655="","",IF(OR($E655="Director Draw",$E655="Payroll/Employee Charge"),0,-$K655))</f>
        <v/>
      </c>
      <c r="Q655" s="12" t="n">
        <f aca="false">IF($E655="Inventory Purchase",$H655,0)</f>
        <v>0</v>
      </c>
    </row>
    <row r="656" customFormat="false" ht="15" hidden="false" customHeight="true" outlineLevel="0" collapsed="false">
      <c r="A656" s="19"/>
      <c r="B656" s="12" t="str">
        <f aca="false">IF($A656="","",ROW()-4)</f>
        <v/>
      </c>
      <c r="C656" s="12"/>
      <c r="D656" s="12"/>
      <c r="E656" s="24"/>
      <c r="F656" s="12"/>
      <c r="G656" s="12" t="str">
        <f aca="false">IFERROR(VLOOKUP($F656,ItemList_Full,2,0),"")</f>
        <v/>
      </c>
      <c r="H656" s="12"/>
      <c r="I656" s="12" t="str">
        <f aca="false">IFERROR(VLOOKUP($F656,ItemList_Full,3,0),"")</f>
        <v/>
      </c>
      <c r="J656" s="12" t="str">
        <f aca="false">IFERROR(VLOOKUP($F656,ItemList_Full,4,0),"")</f>
        <v/>
      </c>
      <c r="K656" s="13"/>
      <c r="L656" s="12"/>
      <c r="M656" s="24"/>
      <c r="N656" s="12"/>
      <c r="O656" s="12"/>
      <c r="P656" s="13" t="str">
        <f aca="false">IF($E656="","",IF(OR($E656="Director Draw",$E656="Payroll/Employee Charge"),0,-$K656))</f>
        <v/>
      </c>
      <c r="Q656" s="12" t="n">
        <f aca="false">IF($E656="Inventory Purchase",$H656,0)</f>
        <v>0</v>
      </c>
    </row>
    <row r="657" customFormat="false" ht="15" hidden="false" customHeight="true" outlineLevel="0" collapsed="false">
      <c r="A657" s="19"/>
      <c r="B657" s="12" t="str">
        <f aca="false">IF($A657="","",ROW()-4)</f>
        <v/>
      </c>
      <c r="C657" s="12"/>
      <c r="D657" s="12"/>
      <c r="E657" s="24"/>
      <c r="F657" s="12"/>
      <c r="G657" s="12" t="str">
        <f aca="false">IFERROR(VLOOKUP($F657,ItemList_Full,2,0),"")</f>
        <v/>
      </c>
      <c r="H657" s="12"/>
      <c r="I657" s="12" t="str">
        <f aca="false">IFERROR(VLOOKUP($F657,ItemList_Full,3,0),"")</f>
        <v/>
      </c>
      <c r="J657" s="12" t="str">
        <f aca="false">IFERROR(VLOOKUP($F657,ItemList_Full,4,0),"")</f>
        <v/>
      </c>
      <c r="K657" s="13"/>
      <c r="L657" s="12"/>
      <c r="M657" s="24"/>
      <c r="N657" s="12"/>
      <c r="O657" s="12"/>
      <c r="P657" s="13" t="str">
        <f aca="false">IF($E657="","",IF(OR($E657="Director Draw",$E657="Payroll/Employee Charge"),0,-$K657))</f>
        <v/>
      </c>
      <c r="Q657" s="12" t="n">
        <f aca="false">IF($E657="Inventory Purchase",$H657,0)</f>
        <v>0</v>
      </c>
    </row>
    <row r="658" customFormat="false" ht="15" hidden="false" customHeight="true" outlineLevel="0" collapsed="false">
      <c r="A658" s="19"/>
      <c r="B658" s="12" t="str">
        <f aca="false">IF($A658="","",ROW()-4)</f>
        <v/>
      </c>
      <c r="C658" s="12"/>
      <c r="D658" s="12"/>
      <c r="E658" s="24"/>
      <c r="F658" s="12"/>
      <c r="G658" s="12" t="str">
        <f aca="false">IFERROR(VLOOKUP($F658,ItemList_Full,2,0),"")</f>
        <v/>
      </c>
      <c r="H658" s="12"/>
      <c r="I658" s="12" t="str">
        <f aca="false">IFERROR(VLOOKUP($F658,ItemList_Full,3,0),"")</f>
        <v/>
      </c>
      <c r="J658" s="12" t="str">
        <f aca="false">IFERROR(VLOOKUP($F658,ItemList_Full,4,0),"")</f>
        <v/>
      </c>
      <c r="K658" s="13"/>
      <c r="L658" s="12"/>
      <c r="M658" s="24"/>
      <c r="N658" s="12"/>
      <c r="O658" s="12"/>
      <c r="P658" s="13" t="str">
        <f aca="false">IF($E658="","",IF(OR($E658="Director Draw",$E658="Payroll/Employee Charge"),0,-$K658))</f>
        <v/>
      </c>
      <c r="Q658" s="12" t="n">
        <f aca="false">IF($E658="Inventory Purchase",$H658,0)</f>
        <v>0</v>
      </c>
    </row>
    <row r="659" customFormat="false" ht="15" hidden="false" customHeight="true" outlineLevel="0" collapsed="false">
      <c r="A659" s="19"/>
      <c r="B659" s="12" t="str">
        <f aca="false">IF($A659="","",ROW()-4)</f>
        <v/>
      </c>
      <c r="C659" s="12"/>
      <c r="D659" s="12"/>
      <c r="E659" s="24"/>
      <c r="F659" s="12"/>
      <c r="G659" s="12" t="str">
        <f aca="false">IFERROR(VLOOKUP($F659,ItemList_Full,2,0),"")</f>
        <v/>
      </c>
      <c r="H659" s="12"/>
      <c r="I659" s="12" t="str">
        <f aca="false">IFERROR(VLOOKUP($F659,ItemList_Full,3,0),"")</f>
        <v/>
      </c>
      <c r="J659" s="12" t="str">
        <f aca="false">IFERROR(VLOOKUP($F659,ItemList_Full,4,0),"")</f>
        <v/>
      </c>
      <c r="K659" s="13"/>
      <c r="L659" s="12"/>
      <c r="M659" s="24"/>
      <c r="N659" s="12"/>
      <c r="O659" s="12"/>
      <c r="P659" s="13" t="str">
        <f aca="false">IF($E659="","",IF(OR($E659="Director Draw",$E659="Payroll/Employee Charge"),0,-$K659))</f>
        <v/>
      </c>
      <c r="Q659" s="12" t="n">
        <f aca="false">IF($E659="Inventory Purchase",$H659,0)</f>
        <v>0</v>
      </c>
    </row>
    <row r="660" customFormat="false" ht="15" hidden="false" customHeight="true" outlineLevel="0" collapsed="false">
      <c r="A660" s="19"/>
      <c r="B660" s="12" t="str">
        <f aca="false">IF($A660="","",ROW()-4)</f>
        <v/>
      </c>
      <c r="C660" s="12"/>
      <c r="D660" s="12"/>
      <c r="E660" s="24"/>
      <c r="F660" s="12"/>
      <c r="G660" s="12" t="str">
        <f aca="false">IFERROR(VLOOKUP($F660,ItemList_Full,2,0),"")</f>
        <v/>
      </c>
      <c r="H660" s="12"/>
      <c r="I660" s="12" t="str">
        <f aca="false">IFERROR(VLOOKUP($F660,ItemList_Full,3,0),"")</f>
        <v/>
      </c>
      <c r="J660" s="12" t="str">
        <f aca="false">IFERROR(VLOOKUP($F660,ItemList_Full,4,0),"")</f>
        <v/>
      </c>
      <c r="K660" s="13"/>
      <c r="L660" s="12"/>
      <c r="M660" s="24"/>
      <c r="N660" s="12"/>
      <c r="O660" s="12"/>
      <c r="P660" s="13" t="str">
        <f aca="false">IF($E660="","",IF(OR($E660="Director Draw",$E660="Payroll/Employee Charge"),0,-$K660))</f>
        <v/>
      </c>
      <c r="Q660" s="12" t="n">
        <f aca="false">IF($E660="Inventory Purchase",$H660,0)</f>
        <v>0</v>
      </c>
    </row>
    <row r="661" customFormat="false" ht="15" hidden="false" customHeight="true" outlineLevel="0" collapsed="false">
      <c r="A661" s="19"/>
      <c r="B661" s="12" t="str">
        <f aca="false">IF($A661="","",ROW()-4)</f>
        <v/>
      </c>
      <c r="C661" s="12"/>
      <c r="D661" s="12"/>
      <c r="E661" s="24"/>
      <c r="F661" s="12"/>
      <c r="G661" s="12" t="str">
        <f aca="false">IFERROR(VLOOKUP($F661,ItemList_Full,2,0),"")</f>
        <v/>
      </c>
      <c r="H661" s="12"/>
      <c r="I661" s="12" t="str">
        <f aca="false">IFERROR(VLOOKUP($F661,ItemList_Full,3,0),"")</f>
        <v/>
      </c>
      <c r="J661" s="12" t="str">
        <f aca="false">IFERROR(VLOOKUP($F661,ItemList_Full,4,0),"")</f>
        <v/>
      </c>
      <c r="K661" s="13"/>
      <c r="L661" s="12"/>
      <c r="M661" s="24"/>
      <c r="N661" s="12"/>
      <c r="O661" s="12"/>
      <c r="P661" s="13" t="str">
        <f aca="false">IF($E661="","",IF(OR($E661="Director Draw",$E661="Payroll/Employee Charge"),0,-$K661))</f>
        <v/>
      </c>
      <c r="Q661" s="12" t="n">
        <f aca="false">IF($E661="Inventory Purchase",$H661,0)</f>
        <v>0</v>
      </c>
    </row>
    <row r="662" customFormat="false" ht="15" hidden="false" customHeight="true" outlineLevel="0" collapsed="false">
      <c r="A662" s="19"/>
      <c r="B662" s="12" t="str">
        <f aca="false">IF($A662="","",ROW()-4)</f>
        <v/>
      </c>
      <c r="C662" s="12"/>
      <c r="D662" s="12"/>
      <c r="E662" s="24"/>
      <c r="F662" s="12"/>
      <c r="G662" s="12" t="str">
        <f aca="false">IFERROR(VLOOKUP($F662,ItemList_Full,2,0),"")</f>
        <v/>
      </c>
      <c r="H662" s="12"/>
      <c r="I662" s="12" t="str">
        <f aca="false">IFERROR(VLOOKUP($F662,ItemList_Full,3,0),"")</f>
        <v/>
      </c>
      <c r="J662" s="12" t="str">
        <f aca="false">IFERROR(VLOOKUP($F662,ItemList_Full,4,0),"")</f>
        <v/>
      </c>
      <c r="K662" s="13"/>
      <c r="L662" s="12"/>
      <c r="M662" s="24"/>
      <c r="N662" s="12"/>
      <c r="O662" s="12"/>
      <c r="P662" s="13" t="str">
        <f aca="false">IF($E662="","",IF(OR($E662="Director Draw",$E662="Payroll/Employee Charge"),0,-$K662))</f>
        <v/>
      </c>
      <c r="Q662" s="12" t="n">
        <f aca="false">IF($E662="Inventory Purchase",$H662,0)</f>
        <v>0</v>
      </c>
    </row>
    <row r="663" customFormat="false" ht="15" hidden="false" customHeight="true" outlineLevel="0" collapsed="false">
      <c r="A663" s="19"/>
      <c r="B663" s="12" t="str">
        <f aca="false">IF($A663="","",ROW()-4)</f>
        <v/>
      </c>
      <c r="C663" s="12"/>
      <c r="D663" s="12"/>
      <c r="E663" s="24"/>
      <c r="F663" s="12"/>
      <c r="G663" s="12" t="str">
        <f aca="false">IFERROR(VLOOKUP($F663,ItemList_Full,2,0),"")</f>
        <v/>
      </c>
      <c r="H663" s="12"/>
      <c r="I663" s="12" t="str">
        <f aca="false">IFERROR(VLOOKUP($F663,ItemList_Full,3,0),"")</f>
        <v/>
      </c>
      <c r="J663" s="12" t="str">
        <f aca="false">IFERROR(VLOOKUP($F663,ItemList_Full,4,0),"")</f>
        <v/>
      </c>
      <c r="K663" s="13"/>
      <c r="L663" s="12"/>
      <c r="M663" s="24"/>
      <c r="N663" s="12"/>
      <c r="O663" s="12"/>
      <c r="P663" s="13" t="str">
        <f aca="false">IF($E663="","",IF(OR($E663="Director Draw",$E663="Payroll/Employee Charge"),0,-$K663))</f>
        <v/>
      </c>
      <c r="Q663" s="12" t="n">
        <f aca="false">IF($E663="Inventory Purchase",$H663,0)</f>
        <v>0</v>
      </c>
    </row>
    <row r="664" customFormat="false" ht="15" hidden="false" customHeight="true" outlineLevel="0" collapsed="false">
      <c r="A664" s="19"/>
      <c r="B664" s="12" t="str">
        <f aca="false">IF($A664="","",ROW()-4)</f>
        <v/>
      </c>
      <c r="C664" s="12"/>
      <c r="D664" s="12"/>
      <c r="E664" s="24"/>
      <c r="F664" s="12"/>
      <c r="G664" s="12" t="str">
        <f aca="false">IFERROR(VLOOKUP($F664,ItemList_Full,2,0),"")</f>
        <v/>
      </c>
      <c r="H664" s="12"/>
      <c r="I664" s="12" t="str">
        <f aca="false">IFERROR(VLOOKUP($F664,ItemList_Full,3,0),"")</f>
        <v/>
      </c>
      <c r="J664" s="12" t="str">
        <f aca="false">IFERROR(VLOOKUP($F664,ItemList_Full,4,0),"")</f>
        <v/>
      </c>
      <c r="K664" s="13"/>
      <c r="L664" s="12"/>
      <c r="M664" s="24"/>
      <c r="N664" s="12"/>
      <c r="O664" s="12"/>
      <c r="P664" s="13" t="str">
        <f aca="false">IF($E664="","",IF(OR($E664="Director Draw",$E664="Payroll/Employee Charge"),0,-$K664))</f>
        <v/>
      </c>
      <c r="Q664" s="12" t="n">
        <f aca="false">IF($E664="Inventory Purchase",$H664,0)</f>
        <v>0</v>
      </c>
    </row>
    <row r="665" customFormat="false" ht="15" hidden="false" customHeight="true" outlineLevel="0" collapsed="false">
      <c r="A665" s="19"/>
      <c r="B665" s="12" t="str">
        <f aca="false">IF($A665="","",ROW()-4)</f>
        <v/>
      </c>
      <c r="C665" s="12"/>
      <c r="D665" s="12"/>
      <c r="E665" s="24"/>
      <c r="F665" s="12"/>
      <c r="G665" s="12" t="str">
        <f aca="false">IFERROR(VLOOKUP($F665,ItemList_Full,2,0),"")</f>
        <v/>
      </c>
      <c r="H665" s="12"/>
      <c r="I665" s="12" t="str">
        <f aca="false">IFERROR(VLOOKUP($F665,ItemList_Full,3,0),"")</f>
        <v/>
      </c>
      <c r="J665" s="12" t="str">
        <f aca="false">IFERROR(VLOOKUP($F665,ItemList_Full,4,0),"")</f>
        <v/>
      </c>
      <c r="K665" s="13"/>
      <c r="L665" s="12"/>
      <c r="M665" s="24"/>
      <c r="N665" s="12"/>
      <c r="O665" s="12"/>
      <c r="P665" s="13" t="str">
        <f aca="false">IF($E665="","",IF(OR($E665="Director Draw",$E665="Payroll/Employee Charge"),0,-$K665))</f>
        <v/>
      </c>
      <c r="Q665" s="12" t="n">
        <f aca="false">IF($E665="Inventory Purchase",$H665,0)</f>
        <v>0</v>
      </c>
    </row>
    <row r="666" customFormat="false" ht="15" hidden="false" customHeight="true" outlineLevel="0" collapsed="false">
      <c r="A666" s="19"/>
      <c r="B666" s="12" t="str">
        <f aca="false">IF($A666="","",ROW()-4)</f>
        <v/>
      </c>
      <c r="C666" s="12"/>
      <c r="D666" s="12"/>
      <c r="E666" s="24"/>
      <c r="F666" s="12"/>
      <c r="G666" s="12" t="str">
        <f aca="false">IFERROR(VLOOKUP($F666,ItemList_Full,2,0),"")</f>
        <v/>
      </c>
      <c r="H666" s="12"/>
      <c r="I666" s="12" t="str">
        <f aca="false">IFERROR(VLOOKUP($F666,ItemList_Full,3,0),"")</f>
        <v/>
      </c>
      <c r="J666" s="12" t="str">
        <f aca="false">IFERROR(VLOOKUP($F666,ItemList_Full,4,0),"")</f>
        <v/>
      </c>
      <c r="K666" s="13"/>
      <c r="L666" s="12"/>
      <c r="M666" s="24"/>
      <c r="N666" s="12"/>
      <c r="O666" s="12"/>
      <c r="P666" s="13" t="str">
        <f aca="false">IF($E666="","",IF(OR($E666="Director Draw",$E666="Payroll/Employee Charge"),0,-$K666))</f>
        <v/>
      </c>
      <c r="Q666" s="12" t="n">
        <f aca="false">IF($E666="Inventory Purchase",$H666,0)</f>
        <v>0</v>
      </c>
    </row>
    <row r="667" customFormat="false" ht="15" hidden="false" customHeight="true" outlineLevel="0" collapsed="false">
      <c r="A667" s="19"/>
      <c r="B667" s="12" t="str">
        <f aca="false">IF($A667="","",ROW()-4)</f>
        <v/>
      </c>
      <c r="C667" s="12"/>
      <c r="D667" s="12"/>
      <c r="E667" s="24"/>
      <c r="F667" s="12"/>
      <c r="G667" s="12" t="str">
        <f aca="false">IFERROR(VLOOKUP($F667,ItemList_Full,2,0),"")</f>
        <v/>
      </c>
      <c r="H667" s="12"/>
      <c r="I667" s="12" t="str">
        <f aca="false">IFERROR(VLOOKUP($F667,ItemList_Full,3,0),"")</f>
        <v/>
      </c>
      <c r="J667" s="12" t="str">
        <f aca="false">IFERROR(VLOOKUP($F667,ItemList_Full,4,0),"")</f>
        <v/>
      </c>
      <c r="K667" s="13"/>
      <c r="L667" s="12"/>
      <c r="M667" s="24"/>
      <c r="N667" s="12"/>
      <c r="O667" s="12"/>
      <c r="P667" s="13" t="str">
        <f aca="false">IF($E667="","",IF(OR($E667="Director Draw",$E667="Payroll/Employee Charge"),0,-$K667))</f>
        <v/>
      </c>
      <c r="Q667" s="12" t="n">
        <f aca="false">IF($E667="Inventory Purchase",$H667,0)</f>
        <v>0</v>
      </c>
    </row>
    <row r="668" customFormat="false" ht="15" hidden="false" customHeight="true" outlineLevel="0" collapsed="false">
      <c r="A668" s="19"/>
      <c r="B668" s="12" t="str">
        <f aca="false">IF($A668="","",ROW()-4)</f>
        <v/>
      </c>
      <c r="C668" s="12"/>
      <c r="D668" s="12"/>
      <c r="E668" s="24"/>
      <c r="F668" s="12"/>
      <c r="G668" s="12" t="str">
        <f aca="false">IFERROR(VLOOKUP($F668,ItemList_Full,2,0),"")</f>
        <v/>
      </c>
      <c r="H668" s="12"/>
      <c r="I668" s="12" t="str">
        <f aca="false">IFERROR(VLOOKUP($F668,ItemList_Full,3,0),"")</f>
        <v/>
      </c>
      <c r="J668" s="12" t="str">
        <f aca="false">IFERROR(VLOOKUP($F668,ItemList_Full,4,0),"")</f>
        <v/>
      </c>
      <c r="K668" s="13"/>
      <c r="L668" s="12"/>
      <c r="M668" s="24"/>
      <c r="N668" s="12"/>
      <c r="O668" s="12"/>
      <c r="P668" s="13" t="str">
        <f aca="false">IF($E668="","",IF(OR($E668="Director Draw",$E668="Payroll/Employee Charge"),0,-$K668))</f>
        <v/>
      </c>
      <c r="Q668" s="12" t="n">
        <f aca="false">IF($E668="Inventory Purchase",$H668,0)</f>
        <v>0</v>
      </c>
    </row>
    <row r="669" customFormat="false" ht="15" hidden="false" customHeight="true" outlineLevel="0" collapsed="false">
      <c r="A669" s="19"/>
      <c r="B669" s="12" t="str">
        <f aca="false">IF($A669="","",ROW()-4)</f>
        <v/>
      </c>
      <c r="C669" s="12"/>
      <c r="D669" s="12"/>
      <c r="E669" s="24"/>
      <c r="F669" s="12"/>
      <c r="G669" s="12" t="str">
        <f aca="false">IFERROR(VLOOKUP($F669,ItemList_Full,2,0),"")</f>
        <v/>
      </c>
      <c r="H669" s="12"/>
      <c r="I669" s="12" t="str">
        <f aca="false">IFERROR(VLOOKUP($F669,ItemList_Full,3,0),"")</f>
        <v/>
      </c>
      <c r="J669" s="12" t="str">
        <f aca="false">IFERROR(VLOOKUP($F669,ItemList_Full,4,0),"")</f>
        <v/>
      </c>
      <c r="K669" s="13"/>
      <c r="L669" s="12"/>
      <c r="M669" s="24"/>
      <c r="N669" s="12"/>
      <c r="O669" s="12"/>
      <c r="P669" s="13" t="str">
        <f aca="false">IF($E669="","",IF(OR($E669="Director Draw",$E669="Payroll/Employee Charge"),0,-$K669))</f>
        <v/>
      </c>
      <c r="Q669" s="12" t="n">
        <f aca="false">IF($E669="Inventory Purchase",$H669,0)</f>
        <v>0</v>
      </c>
    </row>
    <row r="670" customFormat="false" ht="15" hidden="false" customHeight="true" outlineLevel="0" collapsed="false">
      <c r="A670" s="19"/>
      <c r="B670" s="12" t="str">
        <f aca="false">IF($A670="","",ROW()-4)</f>
        <v/>
      </c>
      <c r="C670" s="12"/>
      <c r="D670" s="12"/>
      <c r="E670" s="24"/>
      <c r="F670" s="12"/>
      <c r="G670" s="12" t="str">
        <f aca="false">IFERROR(VLOOKUP($F670,ItemList_Full,2,0),"")</f>
        <v/>
      </c>
      <c r="H670" s="12"/>
      <c r="I670" s="12" t="str">
        <f aca="false">IFERROR(VLOOKUP($F670,ItemList_Full,3,0),"")</f>
        <v/>
      </c>
      <c r="J670" s="12" t="str">
        <f aca="false">IFERROR(VLOOKUP($F670,ItemList_Full,4,0),"")</f>
        <v/>
      </c>
      <c r="K670" s="13"/>
      <c r="L670" s="12"/>
      <c r="M670" s="24"/>
      <c r="N670" s="12"/>
      <c r="O670" s="12"/>
      <c r="P670" s="13" t="str">
        <f aca="false">IF($E670="","",IF(OR($E670="Director Draw",$E670="Payroll/Employee Charge"),0,-$K670))</f>
        <v/>
      </c>
      <c r="Q670" s="12" t="n">
        <f aca="false">IF($E670="Inventory Purchase",$H670,0)</f>
        <v>0</v>
      </c>
    </row>
    <row r="671" customFormat="false" ht="15" hidden="false" customHeight="true" outlineLevel="0" collapsed="false">
      <c r="A671" s="19"/>
      <c r="B671" s="12" t="str">
        <f aca="false">IF($A671="","",ROW()-4)</f>
        <v/>
      </c>
      <c r="C671" s="12"/>
      <c r="D671" s="12"/>
      <c r="E671" s="24"/>
      <c r="F671" s="12"/>
      <c r="G671" s="12" t="str">
        <f aca="false">IFERROR(VLOOKUP($F671,ItemList_Full,2,0),"")</f>
        <v/>
      </c>
      <c r="H671" s="12"/>
      <c r="I671" s="12" t="str">
        <f aca="false">IFERROR(VLOOKUP($F671,ItemList_Full,3,0),"")</f>
        <v/>
      </c>
      <c r="J671" s="12" t="str">
        <f aca="false">IFERROR(VLOOKUP($F671,ItemList_Full,4,0),"")</f>
        <v/>
      </c>
      <c r="K671" s="13"/>
      <c r="L671" s="12"/>
      <c r="M671" s="24"/>
      <c r="N671" s="12"/>
      <c r="O671" s="12"/>
      <c r="P671" s="13" t="str">
        <f aca="false">IF($E671="","",IF(OR($E671="Director Draw",$E671="Payroll/Employee Charge"),0,-$K671))</f>
        <v/>
      </c>
      <c r="Q671" s="12" t="n">
        <f aca="false">IF($E671="Inventory Purchase",$H671,0)</f>
        <v>0</v>
      </c>
    </row>
    <row r="672" customFormat="false" ht="15" hidden="false" customHeight="true" outlineLevel="0" collapsed="false">
      <c r="A672" s="19"/>
      <c r="B672" s="12" t="str">
        <f aca="false">IF($A672="","",ROW()-4)</f>
        <v/>
      </c>
      <c r="C672" s="12"/>
      <c r="D672" s="12"/>
      <c r="E672" s="24"/>
      <c r="F672" s="12"/>
      <c r="G672" s="12" t="str">
        <f aca="false">IFERROR(VLOOKUP($F672,ItemList_Full,2,0),"")</f>
        <v/>
      </c>
      <c r="H672" s="12"/>
      <c r="I672" s="12" t="str">
        <f aca="false">IFERROR(VLOOKUP($F672,ItemList_Full,3,0),"")</f>
        <v/>
      </c>
      <c r="J672" s="12" t="str">
        <f aca="false">IFERROR(VLOOKUP($F672,ItemList_Full,4,0),"")</f>
        <v/>
      </c>
      <c r="K672" s="13"/>
      <c r="L672" s="12"/>
      <c r="M672" s="24"/>
      <c r="N672" s="12"/>
      <c r="O672" s="12"/>
      <c r="P672" s="13" t="str">
        <f aca="false">IF($E672="","",IF(OR($E672="Director Draw",$E672="Payroll/Employee Charge"),0,-$K672))</f>
        <v/>
      </c>
      <c r="Q672" s="12" t="n">
        <f aca="false">IF($E672="Inventory Purchase",$H672,0)</f>
        <v>0</v>
      </c>
    </row>
    <row r="673" customFormat="false" ht="15" hidden="false" customHeight="true" outlineLevel="0" collapsed="false">
      <c r="A673" s="19"/>
      <c r="B673" s="12" t="str">
        <f aca="false">IF($A673="","",ROW()-4)</f>
        <v/>
      </c>
      <c r="C673" s="12"/>
      <c r="D673" s="12"/>
      <c r="E673" s="24"/>
      <c r="F673" s="12"/>
      <c r="G673" s="12" t="str">
        <f aca="false">IFERROR(VLOOKUP($F673,ItemList_Full,2,0),"")</f>
        <v/>
      </c>
      <c r="H673" s="12"/>
      <c r="I673" s="12" t="str">
        <f aca="false">IFERROR(VLOOKUP($F673,ItemList_Full,3,0),"")</f>
        <v/>
      </c>
      <c r="J673" s="12" t="str">
        <f aca="false">IFERROR(VLOOKUP($F673,ItemList_Full,4,0),"")</f>
        <v/>
      </c>
      <c r="K673" s="13"/>
      <c r="L673" s="12"/>
      <c r="M673" s="24"/>
      <c r="N673" s="12"/>
      <c r="O673" s="12"/>
      <c r="P673" s="13" t="str">
        <f aca="false">IF($E673="","",IF(OR($E673="Director Draw",$E673="Payroll/Employee Charge"),0,-$K673))</f>
        <v/>
      </c>
      <c r="Q673" s="12" t="n">
        <f aca="false">IF($E673="Inventory Purchase",$H673,0)</f>
        <v>0</v>
      </c>
    </row>
    <row r="674" customFormat="false" ht="15" hidden="false" customHeight="true" outlineLevel="0" collapsed="false">
      <c r="A674" s="19"/>
      <c r="B674" s="12" t="str">
        <f aca="false">IF($A674="","",ROW()-4)</f>
        <v/>
      </c>
      <c r="C674" s="12"/>
      <c r="D674" s="12"/>
      <c r="E674" s="24"/>
      <c r="F674" s="12"/>
      <c r="G674" s="12" t="str">
        <f aca="false">IFERROR(VLOOKUP($F674,ItemList_Full,2,0),"")</f>
        <v/>
      </c>
      <c r="H674" s="12"/>
      <c r="I674" s="12" t="str">
        <f aca="false">IFERROR(VLOOKUP($F674,ItemList_Full,3,0),"")</f>
        <v/>
      </c>
      <c r="J674" s="12" t="str">
        <f aca="false">IFERROR(VLOOKUP($F674,ItemList_Full,4,0),"")</f>
        <v/>
      </c>
      <c r="K674" s="13"/>
      <c r="L674" s="12"/>
      <c r="M674" s="24"/>
      <c r="N674" s="12"/>
      <c r="O674" s="12"/>
      <c r="P674" s="13" t="str">
        <f aca="false">IF($E674="","",IF(OR($E674="Director Draw",$E674="Payroll/Employee Charge"),0,-$K674))</f>
        <v/>
      </c>
      <c r="Q674" s="12" t="n">
        <f aca="false">IF($E674="Inventory Purchase",$H674,0)</f>
        <v>0</v>
      </c>
    </row>
    <row r="675" customFormat="false" ht="15" hidden="false" customHeight="true" outlineLevel="0" collapsed="false">
      <c r="A675" s="19"/>
      <c r="B675" s="12" t="str">
        <f aca="false">IF($A675="","",ROW()-4)</f>
        <v/>
      </c>
      <c r="C675" s="12"/>
      <c r="D675" s="12"/>
      <c r="E675" s="24"/>
      <c r="F675" s="12"/>
      <c r="G675" s="12" t="str">
        <f aca="false">IFERROR(VLOOKUP($F675,ItemList_Full,2,0),"")</f>
        <v/>
      </c>
      <c r="H675" s="12"/>
      <c r="I675" s="12" t="str">
        <f aca="false">IFERROR(VLOOKUP($F675,ItemList_Full,3,0),"")</f>
        <v/>
      </c>
      <c r="J675" s="12" t="str">
        <f aca="false">IFERROR(VLOOKUP($F675,ItemList_Full,4,0),"")</f>
        <v/>
      </c>
      <c r="K675" s="13"/>
      <c r="L675" s="12"/>
      <c r="M675" s="24"/>
      <c r="N675" s="12"/>
      <c r="O675" s="12"/>
      <c r="P675" s="13" t="str">
        <f aca="false">IF($E675="","",IF(OR($E675="Director Draw",$E675="Payroll/Employee Charge"),0,-$K675))</f>
        <v/>
      </c>
      <c r="Q675" s="12" t="n">
        <f aca="false">IF($E675="Inventory Purchase",$H675,0)</f>
        <v>0</v>
      </c>
    </row>
    <row r="676" customFormat="false" ht="15" hidden="false" customHeight="true" outlineLevel="0" collapsed="false">
      <c r="A676" s="19"/>
      <c r="B676" s="12" t="str">
        <f aca="false">IF($A676="","",ROW()-4)</f>
        <v/>
      </c>
      <c r="C676" s="12"/>
      <c r="D676" s="12"/>
      <c r="E676" s="24"/>
      <c r="F676" s="12"/>
      <c r="G676" s="12" t="str">
        <f aca="false">IFERROR(VLOOKUP($F676,ItemList_Full,2,0),"")</f>
        <v/>
      </c>
      <c r="H676" s="12"/>
      <c r="I676" s="12" t="str">
        <f aca="false">IFERROR(VLOOKUP($F676,ItemList_Full,3,0),"")</f>
        <v/>
      </c>
      <c r="J676" s="12" t="str">
        <f aca="false">IFERROR(VLOOKUP($F676,ItemList_Full,4,0),"")</f>
        <v/>
      </c>
      <c r="K676" s="13"/>
      <c r="L676" s="12"/>
      <c r="M676" s="24"/>
      <c r="N676" s="12"/>
      <c r="O676" s="12"/>
      <c r="P676" s="13" t="str">
        <f aca="false">IF($E676="","",IF(OR($E676="Director Draw",$E676="Payroll/Employee Charge"),0,-$K676))</f>
        <v/>
      </c>
      <c r="Q676" s="12" t="n">
        <f aca="false">IF($E676="Inventory Purchase",$H676,0)</f>
        <v>0</v>
      </c>
    </row>
    <row r="677" customFormat="false" ht="15" hidden="false" customHeight="true" outlineLevel="0" collapsed="false">
      <c r="A677" s="19"/>
      <c r="B677" s="12" t="str">
        <f aca="false">IF($A677="","",ROW()-4)</f>
        <v/>
      </c>
      <c r="C677" s="12"/>
      <c r="D677" s="12"/>
      <c r="E677" s="24"/>
      <c r="F677" s="12"/>
      <c r="G677" s="12" t="str">
        <f aca="false">IFERROR(VLOOKUP($F677,ItemList_Full,2,0),"")</f>
        <v/>
      </c>
      <c r="H677" s="12"/>
      <c r="I677" s="12" t="str">
        <f aca="false">IFERROR(VLOOKUP($F677,ItemList_Full,3,0),"")</f>
        <v/>
      </c>
      <c r="J677" s="12" t="str">
        <f aca="false">IFERROR(VLOOKUP($F677,ItemList_Full,4,0),"")</f>
        <v/>
      </c>
      <c r="K677" s="13"/>
      <c r="L677" s="12"/>
      <c r="M677" s="24"/>
      <c r="N677" s="12"/>
      <c r="O677" s="12"/>
      <c r="P677" s="13" t="str">
        <f aca="false">IF($E677="","",IF(OR($E677="Director Draw",$E677="Payroll/Employee Charge"),0,-$K677))</f>
        <v/>
      </c>
      <c r="Q677" s="12" t="n">
        <f aca="false">IF($E677="Inventory Purchase",$H677,0)</f>
        <v>0</v>
      </c>
    </row>
    <row r="678" customFormat="false" ht="15" hidden="false" customHeight="true" outlineLevel="0" collapsed="false">
      <c r="A678" s="19"/>
      <c r="B678" s="12" t="str">
        <f aca="false">IF($A678="","",ROW()-4)</f>
        <v/>
      </c>
      <c r="C678" s="12"/>
      <c r="D678" s="12"/>
      <c r="E678" s="24"/>
      <c r="F678" s="12"/>
      <c r="G678" s="12" t="str">
        <f aca="false">IFERROR(VLOOKUP($F678,ItemList_Full,2,0),"")</f>
        <v/>
      </c>
      <c r="H678" s="12"/>
      <c r="I678" s="12" t="str">
        <f aca="false">IFERROR(VLOOKUP($F678,ItemList_Full,3,0),"")</f>
        <v/>
      </c>
      <c r="J678" s="12" t="str">
        <f aca="false">IFERROR(VLOOKUP($F678,ItemList_Full,4,0),"")</f>
        <v/>
      </c>
      <c r="K678" s="13"/>
      <c r="L678" s="12"/>
      <c r="M678" s="24"/>
      <c r="N678" s="12"/>
      <c r="O678" s="12"/>
      <c r="P678" s="13" t="str">
        <f aca="false">IF($E678="","",IF(OR($E678="Director Draw",$E678="Payroll/Employee Charge"),0,-$K678))</f>
        <v/>
      </c>
      <c r="Q678" s="12" t="n">
        <f aca="false">IF($E678="Inventory Purchase",$H678,0)</f>
        <v>0</v>
      </c>
    </row>
    <row r="679" customFormat="false" ht="15" hidden="false" customHeight="true" outlineLevel="0" collapsed="false">
      <c r="A679" s="19"/>
      <c r="B679" s="12" t="str">
        <f aca="false">IF($A679="","",ROW()-4)</f>
        <v/>
      </c>
      <c r="C679" s="12"/>
      <c r="D679" s="12"/>
      <c r="E679" s="24"/>
      <c r="F679" s="12"/>
      <c r="G679" s="12" t="str">
        <f aca="false">IFERROR(VLOOKUP($F679,ItemList_Full,2,0),"")</f>
        <v/>
      </c>
      <c r="H679" s="12"/>
      <c r="I679" s="12" t="str">
        <f aca="false">IFERROR(VLOOKUP($F679,ItemList_Full,3,0),"")</f>
        <v/>
      </c>
      <c r="J679" s="12" t="str">
        <f aca="false">IFERROR(VLOOKUP($F679,ItemList_Full,4,0),"")</f>
        <v/>
      </c>
      <c r="K679" s="13"/>
      <c r="L679" s="12"/>
      <c r="M679" s="24"/>
      <c r="N679" s="12"/>
      <c r="O679" s="12"/>
      <c r="P679" s="13" t="str">
        <f aca="false">IF($E679="","",IF(OR($E679="Director Draw",$E679="Payroll/Employee Charge"),0,-$K679))</f>
        <v/>
      </c>
      <c r="Q679" s="12" t="n">
        <f aca="false">IF($E679="Inventory Purchase",$H679,0)</f>
        <v>0</v>
      </c>
    </row>
    <row r="680" customFormat="false" ht="15" hidden="false" customHeight="true" outlineLevel="0" collapsed="false">
      <c r="A680" s="19"/>
      <c r="B680" s="12" t="str">
        <f aca="false">IF($A680="","",ROW()-4)</f>
        <v/>
      </c>
      <c r="C680" s="12"/>
      <c r="D680" s="12"/>
      <c r="E680" s="24"/>
      <c r="F680" s="12"/>
      <c r="G680" s="12" t="str">
        <f aca="false">IFERROR(VLOOKUP($F680,ItemList_Full,2,0),"")</f>
        <v/>
      </c>
      <c r="H680" s="12"/>
      <c r="I680" s="12" t="str">
        <f aca="false">IFERROR(VLOOKUP($F680,ItemList_Full,3,0),"")</f>
        <v/>
      </c>
      <c r="J680" s="12" t="str">
        <f aca="false">IFERROR(VLOOKUP($F680,ItemList_Full,4,0),"")</f>
        <v/>
      </c>
      <c r="K680" s="13"/>
      <c r="L680" s="12"/>
      <c r="M680" s="24"/>
      <c r="N680" s="12"/>
      <c r="O680" s="12"/>
      <c r="P680" s="13" t="str">
        <f aca="false">IF($E680="","",IF(OR($E680="Director Draw",$E680="Payroll/Employee Charge"),0,-$K680))</f>
        <v/>
      </c>
      <c r="Q680" s="12" t="n">
        <f aca="false">IF($E680="Inventory Purchase",$H680,0)</f>
        <v>0</v>
      </c>
    </row>
    <row r="681" customFormat="false" ht="15" hidden="false" customHeight="true" outlineLevel="0" collapsed="false">
      <c r="A681" s="19"/>
      <c r="B681" s="12" t="str">
        <f aca="false">IF($A681="","",ROW()-4)</f>
        <v/>
      </c>
      <c r="C681" s="12"/>
      <c r="D681" s="12"/>
      <c r="E681" s="24"/>
      <c r="F681" s="12"/>
      <c r="G681" s="12" t="str">
        <f aca="false">IFERROR(VLOOKUP($F681,ItemList_Full,2,0),"")</f>
        <v/>
      </c>
      <c r="H681" s="12"/>
      <c r="I681" s="12" t="str">
        <f aca="false">IFERROR(VLOOKUP($F681,ItemList_Full,3,0),"")</f>
        <v/>
      </c>
      <c r="J681" s="12" t="str">
        <f aca="false">IFERROR(VLOOKUP($F681,ItemList_Full,4,0),"")</f>
        <v/>
      </c>
      <c r="K681" s="13"/>
      <c r="L681" s="12"/>
      <c r="M681" s="24"/>
      <c r="N681" s="12"/>
      <c r="O681" s="12"/>
      <c r="P681" s="13" t="str">
        <f aca="false">IF($E681="","",IF(OR($E681="Director Draw",$E681="Payroll/Employee Charge"),0,-$K681))</f>
        <v/>
      </c>
      <c r="Q681" s="12" t="n">
        <f aca="false">IF($E681="Inventory Purchase",$H681,0)</f>
        <v>0</v>
      </c>
    </row>
    <row r="682" customFormat="false" ht="15" hidden="false" customHeight="true" outlineLevel="0" collapsed="false">
      <c r="A682" s="19"/>
      <c r="B682" s="12" t="str">
        <f aca="false">IF($A682="","",ROW()-4)</f>
        <v/>
      </c>
      <c r="C682" s="12"/>
      <c r="D682" s="12"/>
      <c r="E682" s="24"/>
      <c r="F682" s="12"/>
      <c r="G682" s="12" t="str">
        <f aca="false">IFERROR(VLOOKUP($F682,ItemList_Full,2,0),"")</f>
        <v/>
      </c>
      <c r="H682" s="12"/>
      <c r="I682" s="12" t="str">
        <f aca="false">IFERROR(VLOOKUP($F682,ItemList_Full,3,0),"")</f>
        <v/>
      </c>
      <c r="J682" s="12" t="str">
        <f aca="false">IFERROR(VLOOKUP($F682,ItemList_Full,4,0),"")</f>
        <v/>
      </c>
      <c r="K682" s="13"/>
      <c r="L682" s="12"/>
      <c r="M682" s="24"/>
      <c r="N682" s="12"/>
      <c r="O682" s="12"/>
      <c r="P682" s="13" t="str">
        <f aca="false">IF($E682="","",IF(OR($E682="Director Draw",$E682="Payroll/Employee Charge"),0,-$K682))</f>
        <v/>
      </c>
      <c r="Q682" s="12" t="n">
        <f aca="false">IF($E682="Inventory Purchase",$H682,0)</f>
        <v>0</v>
      </c>
    </row>
    <row r="683" customFormat="false" ht="15" hidden="false" customHeight="true" outlineLevel="0" collapsed="false">
      <c r="A683" s="19"/>
      <c r="B683" s="12" t="str">
        <f aca="false">IF($A683="","",ROW()-4)</f>
        <v/>
      </c>
      <c r="C683" s="12"/>
      <c r="D683" s="12"/>
      <c r="E683" s="24"/>
      <c r="F683" s="12"/>
      <c r="G683" s="12" t="str">
        <f aca="false">IFERROR(VLOOKUP($F683,ItemList_Full,2,0),"")</f>
        <v/>
      </c>
      <c r="H683" s="12"/>
      <c r="I683" s="12" t="str">
        <f aca="false">IFERROR(VLOOKUP($F683,ItemList_Full,3,0),"")</f>
        <v/>
      </c>
      <c r="J683" s="12" t="str">
        <f aca="false">IFERROR(VLOOKUP($F683,ItemList_Full,4,0),"")</f>
        <v/>
      </c>
      <c r="K683" s="13"/>
      <c r="L683" s="12"/>
      <c r="M683" s="24"/>
      <c r="N683" s="12"/>
      <c r="O683" s="12"/>
      <c r="P683" s="13" t="str">
        <f aca="false">IF($E683="","",IF(OR($E683="Director Draw",$E683="Payroll/Employee Charge"),0,-$K683))</f>
        <v/>
      </c>
      <c r="Q683" s="12" t="n">
        <f aca="false">IF($E683="Inventory Purchase",$H683,0)</f>
        <v>0</v>
      </c>
    </row>
    <row r="684" customFormat="false" ht="15" hidden="false" customHeight="true" outlineLevel="0" collapsed="false">
      <c r="A684" s="19"/>
      <c r="B684" s="12" t="str">
        <f aca="false">IF($A684="","",ROW()-4)</f>
        <v/>
      </c>
      <c r="C684" s="12"/>
      <c r="D684" s="12"/>
      <c r="E684" s="24"/>
      <c r="F684" s="12"/>
      <c r="G684" s="12" t="str">
        <f aca="false">IFERROR(VLOOKUP($F684,ItemList_Full,2,0),"")</f>
        <v/>
      </c>
      <c r="H684" s="12"/>
      <c r="I684" s="12" t="str">
        <f aca="false">IFERROR(VLOOKUP($F684,ItemList_Full,3,0),"")</f>
        <v/>
      </c>
      <c r="J684" s="12" t="str">
        <f aca="false">IFERROR(VLOOKUP($F684,ItemList_Full,4,0),"")</f>
        <v/>
      </c>
      <c r="K684" s="13"/>
      <c r="L684" s="12"/>
      <c r="M684" s="24"/>
      <c r="N684" s="12"/>
      <c r="O684" s="12"/>
      <c r="P684" s="13" t="str">
        <f aca="false">IF($E684="","",IF(OR($E684="Director Draw",$E684="Payroll/Employee Charge"),0,-$K684))</f>
        <v/>
      </c>
      <c r="Q684" s="12" t="n">
        <f aca="false">IF($E684="Inventory Purchase",$H684,0)</f>
        <v>0</v>
      </c>
    </row>
    <row r="685" customFormat="false" ht="15" hidden="false" customHeight="true" outlineLevel="0" collapsed="false">
      <c r="A685" s="19"/>
      <c r="B685" s="12" t="str">
        <f aca="false">IF($A685="","",ROW()-4)</f>
        <v/>
      </c>
      <c r="C685" s="12"/>
      <c r="D685" s="12"/>
      <c r="E685" s="24"/>
      <c r="F685" s="12"/>
      <c r="G685" s="12" t="str">
        <f aca="false">IFERROR(VLOOKUP($F685,ItemList_Full,2,0),"")</f>
        <v/>
      </c>
      <c r="H685" s="12"/>
      <c r="I685" s="12" t="str">
        <f aca="false">IFERROR(VLOOKUP($F685,ItemList_Full,3,0),"")</f>
        <v/>
      </c>
      <c r="J685" s="12" t="str">
        <f aca="false">IFERROR(VLOOKUP($F685,ItemList_Full,4,0),"")</f>
        <v/>
      </c>
      <c r="K685" s="13"/>
      <c r="L685" s="12"/>
      <c r="M685" s="24"/>
      <c r="N685" s="12"/>
      <c r="O685" s="12"/>
      <c r="P685" s="13" t="str">
        <f aca="false">IF($E685="","",IF(OR($E685="Director Draw",$E685="Payroll/Employee Charge"),0,-$K685))</f>
        <v/>
      </c>
      <c r="Q685" s="12" t="n">
        <f aca="false">IF($E685="Inventory Purchase",$H685,0)</f>
        <v>0</v>
      </c>
    </row>
    <row r="686" customFormat="false" ht="15" hidden="false" customHeight="true" outlineLevel="0" collapsed="false">
      <c r="A686" s="19"/>
      <c r="B686" s="12" t="str">
        <f aca="false">IF($A686="","",ROW()-4)</f>
        <v/>
      </c>
      <c r="C686" s="12"/>
      <c r="D686" s="12"/>
      <c r="E686" s="24"/>
      <c r="F686" s="12"/>
      <c r="G686" s="12" t="str">
        <f aca="false">IFERROR(VLOOKUP($F686,ItemList_Full,2,0),"")</f>
        <v/>
      </c>
      <c r="H686" s="12"/>
      <c r="I686" s="12" t="str">
        <f aca="false">IFERROR(VLOOKUP($F686,ItemList_Full,3,0),"")</f>
        <v/>
      </c>
      <c r="J686" s="12" t="str">
        <f aca="false">IFERROR(VLOOKUP($F686,ItemList_Full,4,0),"")</f>
        <v/>
      </c>
      <c r="K686" s="13"/>
      <c r="L686" s="12"/>
      <c r="M686" s="24"/>
      <c r="N686" s="12"/>
      <c r="O686" s="12"/>
      <c r="P686" s="13" t="str">
        <f aca="false">IF($E686="","",IF(OR($E686="Director Draw",$E686="Payroll/Employee Charge"),0,-$K686))</f>
        <v/>
      </c>
      <c r="Q686" s="12" t="n">
        <f aca="false">IF($E686="Inventory Purchase",$H686,0)</f>
        <v>0</v>
      </c>
    </row>
    <row r="687" customFormat="false" ht="15" hidden="false" customHeight="true" outlineLevel="0" collapsed="false">
      <c r="A687" s="19"/>
      <c r="B687" s="12" t="str">
        <f aca="false">IF($A687="","",ROW()-4)</f>
        <v/>
      </c>
      <c r="C687" s="12"/>
      <c r="D687" s="12"/>
      <c r="E687" s="24"/>
      <c r="F687" s="12"/>
      <c r="G687" s="12" t="str">
        <f aca="false">IFERROR(VLOOKUP($F687,ItemList_Full,2,0),"")</f>
        <v/>
      </c>
      <c r="H687" s="12"/>
      <c r="I687" s="12" t="str">
        <f aca="false">IFERROR(VLOOKUP($F687,ItemList_Full,3,0),"")</f>
        <v/>
      </c>
      <c r="J687" s="12" t="str">
        <f aca="false">IFERROR(VLOOKUP($F687,ItemList_Full,4,0),"")</f>
        <v/>
      </c>
      <c r="K687" s="13"/>
      <c r="L687" s="12"/>
      <c r="M687" s="24"/>
      <c r="N687" s="12"/>
      <c r="O687" s="12"/>
      <c r="P687" s="13" t="str">
        <f aca="false">IF($E687="","",IF(OR($E687="Director Draw",$E687="Payroll/Employee Charge"),0,-$K687))</f>
        <v/>
      </c>
      <c r="Q687" s="12" t="n">
        <f aca="false">IF($E687="Inventory Purchase",$H687,0)</f>
        <v>0</v>
      </c>
    </row>
    <row r="688" customFormat="false" ht="15" hidden="false" customHeight="true" outlineLevel="0" collapsed="false">
      <c r="A688" s="19"/>
      <c r="B688" s="12" t="str">
        <f aca="false">IF($A688="","",ROW()-4)</f>
        <v/>
      </c>
      <c r="C688" s="12"/>
      <c r="D688" s="12"/>
      <c r="E688" s="24"/>
      <c r="F688" s="12"/>
      <c r="G688" s="12" t="str">
        <f aca="false">IFERROR(VLOOKUP($F688,ItemList_Full,2,0),"")</f>
        <v/>
      </c>
      <c r="H688" s="12"/>
      <c r="I688" s="12" t="str">
        <f aca="false">IFERROR(VLOOKUP($F688,ItemList_Full,3,0),"")</f>
        <v/>
      </c>
      <c r="J688" s="12" t="str">
        <f aca="false">IFERROR(VLOOKUP($F688,ItemList_Full,4,0),"")</f>
        <v/>
      </c>
      <c r="K688" s="13"/>
      <c r="L688" s="12"/>
      <c r="M688" s="24"/>
      <c r="N688" s="12"/>
      <c r="O688" s="12"/>
      <c r="P688" s="13" t="str">
        <f aca="false">IF($E688="","",IF(OR($E688="Director Draw",$E688="Payroll/Employee Charge"),0,-$K688))</f>
        <v/>
      </c>
      <c r="Q688" s="12" t="n">
        <f aca="false">IF($E688="Inventory Purchase",$H688,0)</f>
        <v>0</v>
      </c>
    </row>
    <row r="689" customFormat="false" ht="15" hidden="false" customHeight="true" outlineLevel="0" collapsed="false">
      <c r="A689" s="19"/>
      <c r="B689" s="12" t="str">
        <f aca="false">IF($A689="","",ROW()-4)</f>
        <v/>
      </c>
      <c r="C689" s="12"/>
      <c r="D689" s="12"/>
      <c r="E689" s="24"/>
      <c r="F689" s="12"/>
      <c r="G689" s="12" t="str">
        <f aca="false">IFERROR(VLOOKUP($F689,ItemList_Full,2,0),"")</f>
        <v/>
      </c>
      <c r="H689" s="12"/>
      <c r="I689" s="12" t="str">
        <f aca="false">IFERROR(VLOOKUP($F689,ItemList_Full,3,0),"")</f>
        <v/>
      </c>
      <c r="J689" s="12" t="str">
        <f aca="false">IFERROR(VLOOKUP($F689,ItemList_Full,4,0),"")</f>
        <v/>
      </c>
      <c r="K689" s="13"/>
      <c r="L689" s="12"/>
      <c r="M689" s="24"/>
      <c r="N689" s="12"/>
      <c r="O689" s="12"/>
      <c r="P689" s="13" t="str">
        <f aca="false">IF($E689="","",IF(OR($E689="Director Draw",$E689="Payroll/Employee Charge"),0,-$K689))</f>
        <v/>
      </c>
      <c r="Q689" s="12" t="n">
        <f aca="false">IF($E689="Inventory Purchase",$H689,0)</f>
        <v>0</v>
      </c>
    </row>
    <row r="690" customFormat="false" ht="15" hidden="false" customHeight="true" outlineLevel="0" collapsed="false">
      <c r="A690" s="19"/>
      <c r="B690" s="12" t="str">
        <f aca="false">IF($A690="","",ROW()-4)</f>
        <v/>
      </c>
      <c r="C690" s="12"/>
      <c r="D690" s="12"/>
      <c r="E690" s="24"/>
      <c r="F690" s="12"/>
      <c r="G690" s="12" t="str">
        <f aca="false">IFERROR(VLOOKUP($F690,ItemList_Full,2,0),"")</f>
        <v/>
      </c>
      <c r="H690" s="12"/>
      <c r="I690" s="12" t="str">
        <f aca="false">IFERROR(VLOOKUP($F690,ItemList_Full,3,0),"")</f>
        <v/>
      </c>
      <c r="J690" s="12" t="str">
        <f aca="false">IFERROR(VLOOKUP($F690,ItemList_Full,4,0),"")</f>
        <v/>
      </c>
      <c r="K690" s="13"/>
      <c r="L690" s="12"/>
      <c r="M690" s="24"/>
      <c r="N690" s="12"/>
      <c r="O690" s="12"/>
      <c r="P690" s="13" t="str">
        <f aca="false">IF($E690="","",IF(OR($E690="Director Draw",$E690="Payroll/Employee Charge"),0,-$K690))</f>
        <v/>
      </c>
      <c r="Q690" s="12" t="n">
        <f aca="false">IF($E690="Inventory Purchase",$H690,0)</f>
        <v>0</v>
      </c>
    </row>
    <row r="691" customFormat="false" ht="15" hidden="false" customHeight="true" outlineLevel="0" collapsed="false">
      <c r="A691" s="19"/>
      <c r="B691" s="12" t="str">
        <f aca="false">IF($A691="","",ROW()-4)</f>
        <v/>
      </c>
      <c r="C691" s="12"/>
      <c r="D691" s="12"/>
      <c r="E691" s="24"/>
      <c r="F691" s="12"/>
      <c r="G691" s="12" t="str">
        <f aca="false">IFERROR(VLOOKUP($F691,ItemList_Full,2,0),"")</f>
        <v/>
      </c>
      <c r="H691" s="12"/>
      <c r="I691" s="12" t="str">
        <f aca="false">IFERROR(VLOOKUP($F691,ItemList_Full,3,0),"")</f>
        <v/>
      </c>
      <c r="J691" s="12" t="str">
        <f aca="false">IFERROR(VLOOKUP($F691,ItemList_Full,4,0),"")</f>
        <v/>
      </c>
      <c r="K691" s="13"/>
      <c r="L691" s="12"/>
      <c r="M691" s="24"/>
      <c r="N691" s="12"/>
      <c r="O691" s="12"/>
      <c r="P691" s="13" t="str">
        <f aca="false">IF($E691="","",IF(OR($E691="Director Draw",$E691="Payroll/Employee Charge"),0,-$K691))</f>
        <v/>
      </c>
      <c r="Q691" s="12" t="n">
        <f aca="false">IF($E691="Inventory Purchase",$H691,0)</f>
        <v>0</v>
      </c>
    </row>
    <row r="692" customFormat="false" ht="15" hidden="false" customHeight="true" outlineLevel="0" collapsed="false">
      <c r="A692" s="19"/>
      <c r="B692" s="12" t="str">
        <f aca="false">IF($A692="","",ROW()-4)</f>
        <v/>
      </c>
      <c r="C692" s="12"/>
      <c r="D692" s="12"/>
      <c r="E692" s="24"/>
      <c r="F692" s="12"/>
      <c r="G692" s="12" t="str">
        <f aca="false">IFERROR(VLOOKUP($F692,ItemList_Full,2,0),"")</f>
        <v/>
      </c>
      <c r="H692" s="12"/>
      <c r="I692" s="12" t="str">
        <f aca="false">IFERROR(VLOOKUP($F692,ItemList_Full,3,0),"")</f>
        <v/>
      </c>
      <c r="J692" s="12" t="str">
        <f aca="false">IFERROR(VLOOKUP($F692,ItemList_Full,4,0),"")</f>
        <v/>
      </c>
      <c r="K692" s="13"/>
      <c r="L692" s="12"/>
      <c r="M692" s="24"/>
      <c r="N692" s="12"/>
      <c r="O692" s="12"/>
      <c r="P692" s="13" t="str">
        <f aca="false">IF($E692="","",IF(OR($E692="Director Draw",$E692="Payroll/Employee Charge"),0,-$K692))</f>
        <v/>
      </c>
      <c r="Q692" s="12" t="n">
        <f aca="false">IF($E692="Inventory Purchase",$H692,0)</f>
        <v>0</v>
      </c>
    </row>
    <row r="693" customFormat="false" ht="15" hidden="false" customHeight="true" outlineLevel="0" collapsed="false">
      <c r="A693" s="19"/>
      <c r="B693" s="12" t="str">
        <f aca="false">IF($A693="","",ROW()-4)</f>
        <v/>
      </c>
      <c r="C693" s="12"/>
      <c r="D693" s="12"/>
      <c r="E693" s="24"/>
      <c r="F693" s="12"/>
      <c r="G693" s="12" t="str">
        <f aca="false">IFERROR(VLOOKUP($F693,ItemList_Full,2,0),"")</f>
        <v/>
      </c>
      <c r="H693" s="12"/>
      <c r="I693" s="12" t="str">
        <f aca="false">IFERROR(VLOOKUP($F693,ItemList_Full,3,0),"")</f>
        <v/>
      </c>
      <c r="J693" s="12" t="str">
        <f aca="false">IFERROR(VLOOKUP($F693,ItemList_Full,4,0),"")</f>
        <v/>
      </c>
      <c r="K693" s="13"/>
      <c r="L693" s="12"/>
      <c r="M693" s="24"/>
      <c r="N693" s="12"/>
      <c r="O693" s="12"/>
      <c r="P693" s="13" t="str">
        <f aca="false">IF($E693="","",IF(OR($E693="Director Draw",$E693="Payroll/Employee Charge"),0,-$K693))</f>
        <v/>
      </c>
      <c r="Q693" s="12" t="n">
        <f aca="false">IF($E693="Inventory Purchase",$H693,0)</f>
        <v>0</v>
      </c>
    </row>
    <row r="694" customFormat="false" ht="15" hidden="false" customHeight="true" outlineLevel="0" collapsed="false">
      <c r="A694" s="19"/>
      <c r="B694" s="12" t="str">
        <f aca="false">IF($A694="","",ROW()-4)</f>
        <v/>
      </c>
      <c r="C694" s="12"/>
      <c r="D694" s="12"/>
      <c r="E694" s="24"/>
      <c r="F694" s="12"/>
      <c r="G694" s="12" t="str">
        <f aca="false">IFERROR(VLOOKUP($F694,ItemList_Full,2,0),"")</f>
        <v/>
      </c>
      <c r="H694" s="12"/>
      <c r="I694" s="12" t="str">
        <f aca="false">IFERROR(VLOOKUP($F694,ItemList_Full,3,0),"")</f>
        <v/>
      </c>
      <c r="J694" s="12" t="str">
        <f aca="false">IFERROR(VLOOKUP($F694,ItemList_Full,4,0),"")</f>
        <v/>
      </c>
      <c r="K694" s="13"/>
      <c r="L694" s="12"/>
      <c r="M694" s="24"/>
      <c r="N694" s="12"/>
      <c r="O694" s="12"/>
      <c r="P694" s="13" t="str">
        <f aca="false">IF($E694="","",IF(OR($E694="Director Draw",$E694="Payroll/Employee Charge"),0,-$K694))</f>
        <v/>
      </c>
      <c r="Q694" s="12" t="n">
        <f aca="false">IF($E694="Inventory Purchase",$H694,0)</f>
        <v>0</v>
      </c>
    </row>
    <row r="695" customFormat="false" ht="15" hidden="false" customHeight="true" outlineLevel="0" collapsed="false">
      <c r="A695" s="19"/>
      <c r="B695" s="12" t="str">
        <f aca="false">IF($A695="","",ROW()-4)</f>
        <v/>
      </c>
      <c r="C695" s="12"/>
      <c r="D695" s="12"/>
      <c r="E695" s="24"/>
      <c r="F695" s="12"/>
      <c r="G695" s="12" t="str">
        <f aca="false">IFERROR(VLOOKUP($F695,ItemList_Full,2,0),"")</f>
        <v/>
      </c>
      <c r="H695" s="12"/>
      <c r="I695" s="12" t="str">
        <f aca="false">IFERROR(VLOOKUP($F695,ItemList_Full,3,0),"")</f>
        <v/>
      </c>
      <c r="J695" s="12" t="str">
        <f aca="false">IFERROR(VLOOKUP($F695,ItemList_Full,4,0),"")</f>
        <v/>
      </c>
      <c r="K695" s="13"/>
      <c r="L695" s="12"/>
      <c r="M695" s="24"/>
      <c r="N695" s="12"/>
      <c r="O695" s="12"/>
      <c r="P695" s="13" t="str">
        <f aca="false">IF($E695="","",IF(OR($E695="Director Draw",$E695="Payroll/Employee Charge"),0,-$K695))</f>
        <v/>
      </c>
      <c r="Q695" s="12" t="n">
        <f aca="false">IF($E695="Inventory Purchase",$H695,0)</f>
        <v>0</v>
      </c>
    </row>
    <row r="696" customFormat="false" ht="15" hidden="false" customHeight="true" outlineLevel="0" collapsed="false">
      <c r="A696" s="19"/>
      <c r="B696" s="12" t="str">
        <f aca="false">IF($A696="","",ROW()-4)</f>
        <v/>
      </c>
      <c r="C696" s="12"/>
      <c r="D696" s="12"/>
      <c r="E696" s="24"/>
      <c r="F696" s="12"/>
      <c r="G696" s="12" t="str">
        <f aca="false">IFERROR(VLOOKUP($F696,ItemList_Full,2,0),"")</f>
        <v/>
      </c>
      <c r="H696" s="12"/>
      <c r="I696" s="12" t="str">
        <f aca="false">IFERROR(VLOOKUP($F696,ItemList_Full,3,0),"")</f>
        <v/>
      </c>
      <c r="J696" s="12" t="str">
        <f aca="false">IFERROR(VLOOKUP($F696,ItemList_Full,4,0),"")</f>
        <v/>
      </c>
      <c r="K696" s="13"/>
      <c r="L696" s="12"/>
      <c r="M696" s="24"/>
      <c r="N696" s="12"/>
      <c r="O696" s="12"/>
      <c r="P696" s="13" t="str">
        <f aca="false">IF($E696="","",IF(OR($E696="Director Draw",$E696="Payroll/Employee Charge"),0,-$K696))</f>
        <v/>
      </c>
      <c r="Q696" s="12" t="n">
        <f aca="false">IF($E696="Inventory Purchase",$H696,0)</f>
        <v>0</v>
      </c>
    </row>
    <row r="697" customFormat="false" ht="15" hidden="false" customHeight="true" outlineLevel="0" collapsed="false">
      <c r="A697" s="19"/>
      <c r="B697" s="12" t="str">
        <f aca="false">IF($A697="","",ROW()-4)</f>
        <v/>
      </c>
      <c r="C697" s="12"/>
      <c r="D697" s="12"/>
      <c r="E697" s="24"/>
      <c r="F697" s="12"/>
      <c r="G697" s="12" t="str">
        <f aca="false">IFERROR(VLOOKUP($F697,ItemList_Full,2,0),"")</f>
        <v/>
      </c>
      <c r="H697" s="12"/>
      <c r="I697" s="12" t="str">
        <f aca="false">IFERROR(VLOOKUP($F697,ItemList_Full,3,0),"")</f>
        <v/>
      </c>
      <c r="J697" s="12" t="str">
        <f aca="false">IFERROR(VLOOKUP($F697,ItemList_Full,4,0),"")</f>
        <v/>
      </c>
      <c r="K697" s="13"/>
      <c r="L697" s="12"/>
      <c r="M697" s="24"/>
      <c r="N697" s="12"/>
      <c r="O697" s="12"/>
      <c r="P697" s="13" t="str">
        <f aca="false">IF($E697="","",IF(OR($E697="Director Draw",$E697="Payroll/Employee Charge"),0,-$K697))</f>
        <v/>
      </c>
      <c r="Q697" s="12" t="n">
        <f aca="false">IF($E697="Inventory Purchase",$H697,0)</f>
        <v>0</v>
      </c>
    </row>
    <row r="698" customFormat="false" ht="15" hidden="false" customHeight="true" outlineLevel="0" collapsed="false">
      <c r="A698" s="19"/>
      <c r="B698" s="12" t="str">
        <f aca="false">IF($A698="","",ROW()-4)</f>
        <v/>
      </c>
      <c r="C698" s="12"/>
      <c r="D698" s="12"/>
      <c r="E698" s="24"/>
      <c r="F698" s="12"/>
      <c r="G698" s="12" t="str">
        <f aca="false">IFERROR(VLOOKUP($F698,ItemList_Full,2,0),"")</f>
        <v/>
      </c>
      <c r="H698" s="12"/>
      <c r="I698" s="12" t="str">
        <f aca="false">IFERROR(VLOOKUP($F698,ItemList_Full,3,0),"")</f>
        <v/>
      </c>
      <c r="J698" s="12" t="str">
        <f aca="false">IFERROR(VLOOKUP($F698,ItemList_Full,4,0),"")</f>
        <v/>
      </c>
      <c r="K698" s="13"/>
      <c r="L698" s="12"/>
      <c r="M698" s="24"/>
      <c r="N698" s="12"/>
      <c r="O698" s="12"/>
      <c r="P698" s="13" t="str">
        <f aca="false">IF($E698="","",IF(OR($E698="Director Draw",$E698="Payroll/Employee Charge"),0,-$K698))</f>
        <v/>
      </c>
      <c r="Q698" s="12" t="n">
        <f aca="false">IF($E698="Inventory Purchase",$H698,0)</f>
        <v>0</v>
      </c>
    </row>
    <row r="699" customFormat="false" ht="15" hidden="false" customHeight="true" outlineLevel="0" collapsed="false">
      <c r="A699" s="19"/>
      <c r="B699" s="12" t="str">
        <f aca="false">IF($A699="","",ROW()-4)</f>
        <v/>
      </c>
      <c r="C699" s="12"/>
      <c r="D699" s="12"/>
      <c r="E699" s="24"/>
      <c r="F699" s="12"/>
      <c r="G699" s="12" t="str">
        <f aca="false">IFERROR(VLOOKUP($F699,ItemList_Full,2,0),"")</f>
        <v/>
      </c>
      <c r="H699" s="12"/>
      <c r="I699" s="12" t="str">
        <f aca="false">IFERROR(VLOOKUP($F699,ItemList_Full,3,0),"")</f>
        <v/>
      </c>
      <c r="J699" s="12" t="str">
        <f aca="false">IFERROR(VLOOKUP($F699,ItemList_Full,4,0),"")</f>
        <v/>
      </c>
      <c r="K699" s="13"/>
      <c r="L699" s="12"/>
      <c r="M699" s="24"/>
      <c r="N699" s="12"/>
      <c r="O699" s="12"/>
      <c r="P699" s="13" t="str">
        <f aca="false">IF($E699="","",IF(OR($E699="Director Draw",$E699="Payroll/Employee Charge"),0,-$K699))</f>
        <v/>
      </c>
      <c r="Q699" s="12" t="n">
        <f aca="false">IF($E699="Inventory Purchase",$H699,0)</f>
        <v>0</v>
      </c>
    </row>
    <row r="700" customFormat="false" ht="15" hidden="false" customHeight="true" outlineLevel="0" collapsed="false">
      <c r="A700" s="19"/>
      <c r="B700" s="12" t="str">
        <f aca="false">IF($A700="","",ROW()-4)</f>
        <v/>
      </c>
      <c r="C700" s="12"/>
      <c r="D700" s="12"/>
      <c r="E700" s="24"/>
      <c r="F700" s="12"/>
      <c r="G700" s="12" t="str">
        <f aca="false">IFERROR(VLOOKUP($F700,ItemList_Full,2,0),"")</f>
        <v/>
      </c>
      <c r="H700" s="12"/>
      <c r="I700" s="12" t="str">
        <f aca="false">IFERROR(VLOOKUP($F700,ItemList_Full,3,0),"")</f>
        <v/>
      </c>
      <c r="J700" s="12" t="str">
        <f aca="false">IFERROR(VLOOKUP($F700,ItemList_Full,4,0),"")</f>
        <v/>
      </c>
      <c r="K700" s="13"/>
      <c r="L700" s="12"/>
      <c r="M700" s="24"/>
      <c r="N700" s="12"/>
      <c r="O700" s="12"/>
      <c r="P700" s="13" t="str">
        <f aca="false">IF($E700="","",IF(OR($E700="Director Draw",$E700="Payroll/Employee Charge"),0,-$K700))</f>
        <v/>
      </c>
      <c r="Q700" s="12" t="n">
        <f aca="false">IF($E700="Inventory Purchase",$H700,0)</f>
        <v>0</v>
      </c>
    </row>
    <row r="701" customFormat="false" ht="15" hidden="false" customHeight="true" outlineLevel="0" collapsed="false">
      <c r="A701" s="19"/>
      <c r="B701" s="12" t="str">
        <f aca="false">IF($A701="","",ROW()-4)</f>
        <v/>
      </c>
      <c r="C701" s="12"/>
      <c r="D701" s="12"/>
      <c r="E701" s="24"/>
      <c r="F701" s="12"/>
      <c r="G701" s="12" t="str">
        <f aca="false">IFERROR(VLOOKUP($F701,ItemList_Full,2,0),"")</f>
        <v/>
      </c>
      <c r="H701" s="12"/>
      <c r="I701" s="12" t="str">
        <f aca="false">IFERROR(VLOOKUP($F701,ItemList_Full,3,0),"")</f>
        <v/>
      </c>
      <c r="J701" s="12" t="str">
        <f aca="false">IFERROR(VLOOKUP($F701,ItemList_Full,4,0),"")</f>
        <v/>
      </c>
      <c r="K701" s="13"/>
      <c r="L701" s="12"/>
      <c r="M701" s="24"/>
      <c r="N701" s="12"/>
      <c r="O701" s="12"/>
      <c r="P701" s="13" t="str">
        <f aca="false">IF($E701="","",IF(OR($E701="Director Draw",$E701="Payroll/Employee Charge"),0,-$K701))</f>
        <v/>
      </c>
      <c r="Q701" s="12" t="n">
        <f aca="false">IF($E701="Inventory Purchase",$H701,0)</f>
        <v>0</v>
      </c>
    </row>
    <row r="702" customFormat="false" ht="15" hidden="false" customHeight="true" outlineLevel="0" collapsed="false">
      <c r="A702" s="19"/>
      <c r="B702" s="12" t="str">
        <f aca="false">IF($A702="","",ROW()-4)</f>
        <v/>
      </c>
      <c r="C702" s="12"/>
      <c r="D702" s="12"/>
      <c r="E702" s="24"/>
      <c r="F702" s="12"/>
      <c r="G702" s="12" t="str">
        <f aca="false">IFERROR(VLOOKUP($F702,ItemList_Full,2,0),"")</f>
        <v/>
      </c>
      <c r="H702" s="12"/>
      <c r="I702" s="12" t="str">
        <f aca="false">IFERROR(VLOOKUP($F702,ItemList_Full,3,0),"")</f>
        <v/>
      </c>
      <c r="J702" s="12" t="str">
        <f aca="false">IFERROR(VLOOKUP($F702,ItemList_Full,4,0),"")</f>
        <v/>
      </c>
      <c r="K702" s="13"/>
      <c r="L702" s="12"/>
      <c r="M702" s="24"/>
      <c r="N702" s="12"/>
      <c r="O702" s="12"/>
      <c r="P702" s="13" t="str">
        <f aca="false">IF($E702="","",IF(OR($E702="Director Draw",$E702="Payroll/Employee Charge"),0,-$K702))</f>
        <v/>
      </c>
      <c r="Q702" s="12" t="n">
        <f aca="false">IF($E702="Inventory Purchase",$H702,0)</f>
        <v>0</v>
      </c>
    </row>
    <row r="703" customFormat="false" ht="15" hidden="false" customHeight="true" outlineLevel="0" collapsed="false">
      <c r="A703" s="19"/>
      <c r="B703" s="12" t="str">
        <f aca="false">IF($A703="","",ROW()-4)</f>
        <v/>
      </c>
      <c r="C703" s="12"/>
      <c r="D703" s="12"/>
      <c r="E703" s="24"/>
      <c r="F703" s="12"/>
      <c r="G703" s="12" t="str">
        <f aca="false">IFERROR(VLOOKUP($F703,ItemList_Full,2,0),"")</f>
        <v/>
      </c>
      <c r="H703" s="12"/>
      <c r="I703" s="12" t="str">
        <f aca="false">IFERROR(VLOOKUP($F703,ItemList_Full,3,0),"")</f>
        <v/>
      </c>
      <c r="J703" s="12" t="str">
        <f aca="false">IFERROR(VLOOKUP($F703,ItemList_Full,4,0),"")</f>
        <v/>
      </c>
      <c r="K703" s="13"/>
      <c r="L703" s="12"/>
      <c r="M703" s="24"/>
      <c r="N703" s="12"/>
      <c r="O703" s="12"/>
      <c r="P703" s="13" t="str">
        <f aca="false">IF($E703="","",IF(OR($E703="Director Draw",$E703="Payroll/Employee Charge"),0,-$K703))</f>
        <v/>
      </c>
      <c r="Q703" s="12" t="n">
        <f aca="false">IF($E703="Inventory Purchase",$H703,0)</f>
        <v>0</v>
      </c>
    </row>
    <row r="704" customFormat="false" ht="15" hidden="false" customHeight="true" outlineLevel="0" collapsed="false">
      <c r="A704" s="19"/>
      <c r="B704" s="12" t="str">
        <f aca="false">IF($A704="","",ROW()-4)</f>
        <v/>
      </c>
      <c r="C704" s="12"/>
      <c r="D704" s="12"/>
      <c r="E704" s="24"/>
      <c r="F704" s="12"/>
      <c r="G704" s="12" t="str">
        <f aca="false">IFERROR(VLOOKUP($F704,ItemList_Full,2,0),"")</f>
        <v/>
      </c>
      <c r="H704" s="12"/>
      <c r="I704" s="12" t="str">
        <f aca="false">IFERROR(VLOOKUP($F704,ItemList_Full,3,0),"")</f>
        <v/>
      </c>
      <c r="J704" s="12" t="str">
        <f aca="false">IFERROR(VLOOKUP($F704,ItemList_Full,4,0),"")</f>
        <v/>
      </c>
      <c r="K704" s="13"/>
      <c r="L704" s="12"/>
      <c r="M704" s="24"/>
      <c r="N704" s="12"/>
      <c r="O704" s="12"/>
      <c r="P704" s="13" t="str">
        <f aca="false">IF($E704="","",IF(OR($E704="Director Draw",$E704="Payroll/Employee Charge"),0,-$K704))</f>
        <v/>
      </c>
      <c r="Q704" s="12" t="n">
        <f aca="false">IF($E704="Inventory Purchase",$H704,0)</f>
        <v>0</v>
      </c>
    </row>
    <row r="705" customFormat="false" ht="15" hidden="false" customHeight="true" outlineLevel="0" collapsed="false">
      <c r="A705" s="19"/>
      <c r="B705" s="12" t="str">
        <f aca="false">IF($A705="","",ROW()-4)</f>
        <v/>
      </c>
      <c r="C705" s="12"/>
      <c r="D705" s="12"/>
      <c r="E705" s="24"/>
      <c r="F705" s="12"/>
      <c r="G705" s="12" t="str">
        <f aca="false">IFERROR(VLOOKUP($F705,ItemList_Full,2,0),"")</f>
        <v/>
      </c>
      <c r="H705" s="12"/>
      <c r="I705" s="12" t="str">
        <f aca="false">IFERROR(VLOOKUP($F705,ItemList_Full,3,0),"")</f>
        <v/>
      </c>
      <c r="J705" s="12" t="str">
        <f aca="false">IFERROR(VLOOKUP($F705,ItemList_Full,4,0),"")</f>
        <v/>
      </c>
      <c r="K705" s="13"/>
      <c r="L705" s="12"/>
      <c r="M705" s="24"/>
      <c r="N705" s="12"/>
      <c r="O705" s="12"/>
      <c r="P705" s="13" t="str">
        <f aca="false">IF($E705="","",IF(OR($E705="Director Draw",$E705="Payroll/Employee Charge"),0,-$K705))</f>
        <v/>
      </c>
      <c r="Q705" s="12" t="n">
        <f aca="false">IF($E705="Inventory Purchase",$H705,0)</f>
        <v>0</v>
      </c>
    </row>
    <row r="706" customFormat="false" ht="15" hidden="false" customHeight="true" outlineLevel="0" collapsed="false">
      <c r="A706" s="19"/>
      <c r="B706" s="12" t="str">
        <f aca="false">IF($A706="","",ROW()-4)</f>
        <v/>
      </c>
      <c r="C706" s="12"/>
      <c r="D706" s="12"/>
      <c r="E706" s="24"/>
      <c r="F706" s="12"/>
      <c r="G706" s="12" t="str">
        <f aca="false">IFERROR(VLOOKUP($F706,ItemList_Full,2,0),"")</f>
        <v/>
      </c>
      <c r="H706" s="12"/>
      <c r="I706" s="12" t="str">
        <f aca="false">IFERROR(VLOOKUP($F706,ItemList_Full,3,0),"")</f>
        <v/>
      </c>
      <c r="J706" s="12" t="str">
        <f aca="false">IFERROR(VLOOKUP($F706,ItemList_Full,4,0),"")</f>
        <v/>
      </c>
      <c r="K706" s="13"/>
      <c r="L706" s="12"/>
      <c r="M706" s="24"/>
      <c r="N706" s="12"/>
      <c r="O706" s="12"/>
      <c r="P706" s="13" t="str">
        <f aca="false">IF($E706="","",IF(OR($E706="Director Draw",$E706="Payroll/Employee Charge"),0,-$K706))</f>
        <v/>
      </c>
      <c r="Q706" s="12" t="n">
        <f aca="false">IF($E706="Inventory Purchase",$H706,0)</f>
        <v>0</v>
      </c>
    </row>
    <row r="707" customFormat="false" ht="15" hidden="false" customHeight="true" outlineLevel="0" collapsed="false">
      <c r="A707" s="19"/>
      <c r="B707" s="12" t="str">
        <f aca="false">IF($A707="","",ROW()-4)</f>
        <v/>
      </c>
      <c r="C707" s="12"/>
      <c r="D707" s="12"/>
      <c r="E707" s="24"/>
      <c r="F707" s="12"/>
      <c r="G707" s="12" t="str">
        <f aca="false">IFERROR(VLOOKUP($F707,ItemList_Full,2,0),"")</f>
        <v/>
      </c>
      <c r="H707" s="12"/>
      <c r="I707" s="12" t="str">
        <f aca="false">IFERROR(VLOOKUP($F707,ItemList_Full,3,0),"")</f>
        <v/>
      </c>
      <c r="J707" s="12" t="str">
        <f aca="false">IFERROR(VLOOKUP($F707,ItemList_Full,4,0),"")</f>
        <v/>
      </c>
      <c r="K707" s="13"/>
      <c r="L707" s="12"/>
      <c r="M707" s="24"/>
      <c r="N707" s="12"/>
      <c r="O707" s="12"/>
      <c r="P707" s="13" t="str">
        <f aca="false">IF($E707="","",IF(OR($E707="Director Draw",$E707="Payroll/Employee Charge"),0,-$K707))</f>
        <v/>
      </c>
      <c r="Q707" s="12" t="n">
        <f aca="false">IF($E707="Inventory Purchase",$H707,0)</f>
        <v>0</v>
      </c>
    </row>
    <row r="708" customFormat="false" ht="15" hidden="false" customHeight="true" outlineLevel="0" collapsed="false">
      <c r="A708" s="19"/>
      <c r="B708" s="12" t="str">
        <f aca="false">IF($A708="","",ROW()-4)</f>
        <v/>
      </c>
      <c r="C708" s="12"/>
      <c r="D708" s="12"/>
      <c r="E708" s="24"/>
      <c r="F708" s="12"/>
      <c r="G708" s="12" t="str">
        <f aca="false">IFERROR(VLOOKUP($F708,ItemList_Full,2,0),"")</f>
        <v/>
      </c>
      <c r="H708" s="12"/>
      <c r="I708" s="12" t="str">
        <f aca="false">IFERROR(VLOOKUP($F708,ItemList_Full,3,0),"")</f>
        <v/>
      </c>
      <c r="J708" s="12" t="str">
        <f aca="false">IFERROR(VLOOKUP($F708,ItemList_Full,4,0),"")</f>
        <v/>
      </c>
      <c r="K708" s="13"/>
      <c r="L708" s="12"/>
      <c r="M708" s="24"/>
      <c r="N708" s="12"/>
      <c r="O708" s="12"/>
      <c r="P708" s="13" t="str">
        <f aca="false">IF($E708="","",IF(OR($E708="Director Draw",$E708="Payroll/Employee Charge"),0,-$K708))</f>
        <v/>
      </c>
      <c r="Q708" s="12" t="n">
        <f aca="false">IF($E708="Inventory Purchase",$H708,0)</f>
        <v>0</v>
      </c>
    </row>
    <row r="709" customFormat="false" ht="15" hidden="false" customHeight="true" outlineLevel="0" collapsed="false">
      <c r="A709" s="19"/>
      <c r="B709" s="12" t="str">
        <f aca="false">IF($A709="","",ROW()-4)</f>
        <v/>
      </c>
      <c r="C709" s="12"/>
      <c r="D709" s="12"/>
      <c r="E709" s="24"/>
      <c r="F709" s="12"/>
      <c r="G709" s="12" t="str">
        <f aca="false">IFERROR(VLOOKUP($F709,ItemList_Full,2,0),"")</f>
        <v/>
      </c>
      <c r="H709" s="12"/>
      <c r="I709" s="12" t="str">
        <f aca="false">IFERROR(VLOOKUP($F709,ItemList_Full,3,0),"")</f>
        <v/>
      </c>
      <c r="J709" s="12" t="str">
        <f aca="false">IFERROR(VLOOKUP($F709,ItemList_Full,4,0),"")</f>
        <v/>
      </c>
      <c r="K709" s="13"/>
      <c r="L709" s="12"/>
      <c r="M709" s="24"/>
      <c r="N709" s="12"/>
      <c r="O709" s="12"/>
      <c r="P709" s="13" t="str">
        <f aca="false">IF($E709="","",IF(OR($E709="Director Draw",$E709="Payroll/Employee Charge"),0,-$K709))</f>
        <v/>
      </c>
      <c r="Q709" s="12" t="n">
        <f aca="false">IF($E709="Inventory Purchase",$H709,0)</f>
        <v>0</v>
      </c>
    </row>
    <row r="710" customFormat="false" ht="15" hidden="false" customHeight="true" outlineLevel="0" collapsed="false">
      <c r="A710" s="19"/>
      <c r="B710" s="12" t="str">
        <f aca="false">IF($A710="","",ROW()-4)</f>
        <v/>
      </c>
      <c r="C710" s="12"/>
      <c r="D710" s="12"/>
      <c r="E710" s="24"/>
      <c r="F710" s="12"/>
      <c r="G710" s="12" t="str">
        <f aca="false">IFERROR(VLOOKUP($F710,ItemList_Full,2,0),"")</f>
        <v/>
      </c>
      <c r="H710" s="12"/>
      <c r="I710" s="12" t="str">
        <f aca="false">IFERROR(VLOOKUP($F710,ItemList_Full,3,0),"")</f>
        <v/>
      </c>
      <c r="J710" s="12" t="str">
        <f aca="false">IFERROR(VLOOKUP($F710,ItemList_Full,4,0),"")</f>
        <v/>
      </c>
      <c r="K710" s="13"/>
      <c r="L710" s="12"/>
      <c r="M710" s="24"/>
      <c r="N710" s="12"/>
      <c r="O710" s="12"/>
      <c r="P710" s="13" t="str">
        <f aca="false">IF($E710="","",IF(OR($E710="Director Draw",$E710="Payroll/Employee Charge"),0,-$K710))</f>
        <v/>
      </c>
      <c r="Q710" s="12" t="n">
        <f aca="false">IF($E710="Inventory Purchase",$H710,0)</f>
        <v>0</v>
      </c>
    </row>
    <row r="711" customFormat="false" ht="15" hidden="false" customHeight="true" outlineLevel="0" collapsed="false">
      <c r="A711" s="19"/>
      <c r="B711" s="12" t="str">
        <f aca="false">IF($A711="","",ROW()-4)</f>
        <v/>
      </c>
      <c r="C711" s="12"/>
      <c r="D711" s="12"/>
      <c r="E711" s="24"/>
      <c r="F711" s="12"/>
      <c r="G711" s="12" t="str">
        <f aca="false">IFERROR(VLOOKUP($F711,ItemList_Full,2,0),"")</f>
        <v/>
      </c>
      <c r="H711" s="12"/>
      <c r="I711" s="12" t="str">
        <f aca="false">IFERROR(VLOOKUP($F711,ItemList_Full,3,0),"")</f>
        <v/>
      </c>
      <c r="J711" s="12" t="str">
        <f aca="false">IFERROR(VLOOKUP($F711,ItemList_Full,4,0),"")</f>
        <v/>
      </c>
      <c r="K711" s="13"/>
      <c r="L711" s="12"/>
      <c r="M711" s="24"/>
      <c r="N711" s="12"/>
      <c r="O711" s="12"/>
      <c r="P711" s="13" t="str">
        <f aca="false">IF($E711="","",IF(OR($E711="Director Draw",$E711="Payroll/Employee Charge"),0,-$K711))</f>
        <v/>
      </c>
      <c r="Q711" s="12" t="n">
        <f aca="false">IF($E711="Inventory Purchase",$H711,0)</f>
        <v>0</v>
      </c>
    </row>
    <row r="712" customFormat="false" ht="15" hidden="false" customHeight="true" outlineLevel="0" collapsed="false">
      <c r="A712" s="19"/>
      <c r="B712" s="12" t="str">
        <f aca="false">IF($A712="","",ROW()-4)</f>
        <v/>
      </c>
      <c r="C712" s="12"/>
      <c r="D712" s="12"/>
      <c r="E712" s="24"/>
      <c r="F712" s="12"/>
      <c r="G712" s="12" t="str">
        <f aca="false">IFERROR(VLOOKUP($F712,ItemList_Full,2,0),"")</f>
        <v/>
      </c>
      <c r="H712" s="12"/>
      <c r="I712" s="12" t="str">
        <f aca="false">IFERROR(VLOOKUP($F712,ItemList_Full,3,0),"")</f>
        <v/>
      </c>
      <c r="J712" s="12" t="str">
        <f aca="false">IFERROR(VLOOKUP($F712,ItemList_Full,4,0),"")</f>
        <v/>
      </c>
      <c r="K712" s="13"/>
      <c r="L712" s="12"/>
      <c r="M712" s="24"/>
      <c r="N712" s="12"/>
      <c r="O712" s="12"/>
      <c r="P712" s="13" t="str">
        <f aca="false">IF($E712="","",IF(OR($E712="Director Draw",$E712="Payroll/Employee Charge"),0,-$K712))</f>
        <v/>
      </c>
      <c r="Q712" s="12" t="n">
        <f aca="false">IF($E712="Inventory Purchase",$H712,0)</f>
        <v>0</v>
      </c>
    </row>
    <row r="713" customFormat="false" ht="15" hidden="false" customHeight="true" outlineLevel="0" collapsed="false">
      <c r="A713" s="19"/>
      <c r="B713" s="12" t="str">
        <f aca="false">IF($A713="","",ROW()-4)</f>
        <v/>
      </c>
      <c r="C713" s="12"/>
      <c r="D713" s="12"/>
      <c r="E713" s="24"/>
      <c r="F713" s="12"/>
      <c r="G713" s="12" t="str">
        <f aca="false">IFERROR(VLOOKUP($F713,ItemList_Full,2,0),"")</f>
        <v/>
      </c>
      <c r="H713" s="12"/>
      <c r="I713" s="12" t="str">
        <f aca="false">IFERROR(VLOOKUP($F713,ItemList_Full,3,0),"")</f>
        <v/>
      </c>
      <c r="J713" s="12" t="str">
        <f aca="false">IFERROR(VLOOKUP($F713,ItemList_Full,4,0),"")</f>
        <v/>
      </c>
      <c r="K713" s="13"/>
      <c r="L713" s="12"/>
      <c r="M713" s="24"/>
      <c r="N713" s="12"/>
      <c r="O713" s="12"/>
      <c r="P713" s="13" t="str">
        <f aca="false">IF($E713="","",IF(OR($E713="Director Draw",$E713="Payroll/Employee Charge"),0,-$K713))</f>
        <v/>
      </c>
      <c r="Q713" s="12" t="n">
        <f aca="false">IF($E713="Inventory Purchase",$H713,0)</f>
        <v>0</v>
      </c>
    </row>
    <row r="714" customFormat="false" ht="15" hidden="false" customHeight="true" outlineLevel="0" collapsed="false">
      <c r="A714" s="19"/>
      <c r="B714" s="12" t="str">
        <f aca="false">IF($A714="","",ROW()-4)</f>
        <v/>
      </c>
      <c r="C714" s="12"/>
      <c r="D714" s="12"/>
      <c r="E714" s="24"/>
      <c r="F714" s="12"/>
      <c r="G714" s="12" t="str">
        <f aca="false">IFERROR(VLOOKUP($F714,ItemList_Full,2,0),"")</f>
        <v/>
      </c>
      <c r="H714" s="12"/>
      <c r="I714" s="12" t="str">
        <f aca="false">IFERROR(VLOOKUP($F714,ItemList_Full,3,0),"")</f>
        <v/>
      </c>
      <c r="J714" s="12" t="str">
        <f aca="false">IFERROR(VLOOKUP($F714,ItemList_Full,4,0),"")</f>
        <v/>
      </c>
      <c r="K714" s="13"/>
      <c r="L714" s="12"/>
      <c r="M714" s="24"/>
      <c r="N714" s="12"/>
      <c r="O714" s="12"/>
      <c r="P714" s="13" t="str">
        <f aca="false">IF($E714="","",IF(OR($E714="Director Draw",$E714="Payroll/Employee Charge"),0,-$K714))</f>
        <v/>
      </c>
      <c r="Q714" s="12" t="n">
        <f aca="false">IF($E714="Inventory Purchase",$H714,0)</f>
        <v>0</v>
      </c>
    </row>
    <row r="715" customFormat="false" ht="15" hidden="false" customHeight="true" outlineLevel="0" collapsed="false">
      <c r="A715" s="19"/>
      <c r="B715" s="12" t="str">
        <f aca="false">IF($A715="","",ROW()-4)</f>
        <v/>
      </c>
      <c r="C715" s="12"/>
      <c r="D715" s="12"/>
      <c r="E715" s="24"/>
      <c r="F715" s="12"/>
      <c r="G715" s="12" t="str">
        <f aca="false">IFERROR(VLOOKUP($F715,ItemList_Full,2,0),"")</f>
        <v/>
      </c>
      <c r="H715" s="12"/>
      <c r="I715" s="12" t="str">
        <f aca="false">IFERROR(VLOOKUP($F715,ItemList_Full,3,0),"")</f>
        <v/>
      </c>
      <c r="J715" s="12" t="str">
        <f aca="false">IFERROR(VLOOKUP($F715,ItemList_Full,4,0),"")</f>
        <v/>
      </c>
      <c r="K715" s="13"/>
      <c r="L715" s="12"/>
      <c r="M715" s="24"/>
      <c r="N715" s="12"/>
      <c r="O715" s="12"/>
      <c r="P715" s="13" t="str">
        <f aca="false">IF($E715="","",IF(OR($E715="Director Draw",$E715="Payroll/Employee Charge"),0,-$K715))</f>
        <v/>
      </c>
      <c r="Q715" s="12" t="n">
        <f aca="false">IF($E715="Inventory Purchase",$H715,0)</f>
        <v>0</v>
      </c>
    </row>
    <row r="716" customFormat="false" ht="15" hidden="false" customHeight="true" outlineLevel="0" collapsed="false">
      <c r="A716" s="19"/>
      <c r="B716" s="12" t="str">
        <f aca="false">IF($A716="","",ROW()-4)</f>
        <v/>
      </c>
      <c r="C716" s="12"/>
      <c r="D716" s="12"/>
      <c r="E716" s="24"/>
      <c r="F716" s="12"/>
      <c r="G716" s="12" t="str">
        <f aca="false">IFERROR(VLOOKUP($F716,ItemList_Full,2,0),"")</f>
        <v/>
      </c>
      <c r="H716" s="12"/>
      <c r="I716" s="12" t="str">
        <f aca="false">IFERROR(VLOOKUP($F716,ItemList_Full,3,0),"")</f>
        <v/>
      </c>
      <c r="J716" s="12" t="str">
        <f aca="false">IFERROR(VLOOKUP($F716,ItemList_Full,4,0),"")</f>
        <v/>
      </c>
      <c r="K716" s="13"/>
      <c r="L716" s="12"/>
      <c r="M716" s="24"/>
      <c r="N716" s="12"/>
      <c r="O716" s="12"/>
      <c r="P716" s="13" t="str">
        <f aca="false">IF($E716="","",IF(OR($E716="Director Draw",$E716="Payroll/Employee Charge"),0,-$K716))</f>
        <v/>
      </c>
      <c r="Q716" s="12" t="n">
        <f aca="false">IF($E716="Inventory Purchase",$H716,0)</f>
        <v>0</v>
      </c>
    </row>
    <row r="717" customFormat="false" ht="15" hidden="false" customHeight="true" outlineLevel="0" collapsed="false">
      <c r="A717" s="19"/>
      <c r="B717" s="12" t="str">
        <f aca="false">IF($A717="","",ROW()-4)</f>
        <v/>
      </c>
      <c r="C717" s="12"/>
      <c r="D717" s="12"/>
      <c r="E717" s="24"/>
      <c r="F717" s="12"/>
      <c r="G717" s="12" t="str">
        <f aca="false">IFERROR(VLOOKUP($F717,ItemList_Full,2,0),"")</f>
        <v/>
      </c>
      <c r="H717" s="12"/>
      <c r="I717" s="12" t="str">
        <f aca="false">IFERROR(VLOOKUP($F717,ItemList_Full,3,0),"")</f>
        <v/>
      </c>
      <c r="J717" s="12" t="str">
        <f aca="false">IFERROR(VLOOKUP($F717,ItemList_Full,4,0),"")</f>
        <v/>
      </c>
      <c r="K717" s="13"/>
      <c r="L717" s="12"/>
      <c r="M717" s="24"/>
      <c r="N717" s="12"/>
      <c r="O717" s="12"/>
      <c r="P717" s="13" t="str">
        <f aca="false">IF($E717="","",IF(OR($E717="Director Draw",$E717="Payroll/Employee Charge"),0,-$K717))</f>
        <v/>
      </c>
      <c r="Q717" s="12" t="n">
        <f aca="false">IF($E717="Inventory Purchase",$H717,0)</f>
        <v>0</v>
      </c>
    </row>
    <row r="718" customFormat="false" ht="15" hidden="false" customHeight="true" outlineLevel="0" collapsed="false">
      <c r="A718" s="19"/>
      <c r="B718" s="12" t="str">
        <f aca="false">IF($A718="","",ROW()-4)</f>
        <v/>
      </c>
      <c r="C718" s="12"/>
      <c r="D718" s="12"/>
      <c r="E718" s="24"/>
      <c r="F718" s="12"/>
      <c r="G718" s="12" t="str">
        <f aca="false">IFERROR(VLOOKUP($F718,ItemList_Full,2,0),"")</f>
        <v/>
      </c>
      <c r="H718" s="12"/>
      <c r="I718" s="12" t="str">
        <f aca="false">IFERROR(VLOOKUP($F718,ItemList_Full,3,0),"")</f>
        <v/>
      </c>
      <c r="J718" s="12" t="str">
        <f aca="false">IFERROR(VLOOKUP($F718,ItemList_Full,4,0),"")</f>
        <v/>
      </c>
      <c r="K718" s="13"/>
      <c r="L718" s="12"/>
      <c r="M718" s="24"/>
      <c r="N718" s="12"/>
      <c r="O718" s="12"/>
      <c r="P718" s="13" t="str">
        <f aca="false">IF($E718="","",IF(OR($E718="Director Draw",$E718="Payroll/Employee Charge"),0,-$K718))</f>
        <v/>
      </c>
      <c r="Q718" s="12" t="n">
        <f aca="false">IF($E718="Inventory Purchase",$H718,0)</f>
        <v>0</v>
      </c>
    </row>
    <row r="719" customFormat="false" ht="15" hidden="false" customHeight="true" outlineLevel="0" collapsed="false">
      <c r="A719" s="19"/>
      <c r="B719" s="12" t="str">
        <f aca="false">IF($A719="","",ROW()-4)</f>
        <v/>
      </c>
      <c r="C719" s="12"/>
      <c r="D719" s="12"/>
      <c r="E719" s="24"/>
      <c r="F719" s="12"/>
      <c r="G719" s="12" t="str">
        <f aca="false">IFERROR(VLOOKUP($F719,ItemList_Full,2,0),"")</f>
        <v/>
      </c>
      <c r="H719" s="12"/>
      <c r="I719" s="12" t="str">
        <f aca="false">IFERROR(VLOOKUP($F719,ItemList_Full,3,0),"")</f>
        <v/>
      </c>
      <c r="J719" s="12" t="str">
        <f aca="false">IFERROR(VLOOKUP($F719,ItemList_Full,4,0),"")</f>
        <v/>
      </c>
      <c r="K719" s="13"/>
      <c r="L719" s="12"/>
      <c r="M719" s="24"/>
      <c r="N719" s="12"/>
      <c r="O719" s="12"/>
      <c r="P719" s="13" t="str">
        <f aca="false">IF($E719="","",IF(OR($E719="Director Draw",$E719="Payroll/Employee Charge"),0,-$K719))</f>
        <v/>
      </c>
      <c r="Q719" s="12" t="n">
        <f aca="false">IF($E719="Inventory Purchase",$H719,0)</f>
        <v>0</v>
      </c>
    </row>
    <row r="720" customFormat="false" ht="15" hidden="false" customHeight="true" outlineLevel="0" collapsed="false">
      <c r="A720" s="19"/>
      <c r="B720" s="12" t="str">
        <f aca="false">IF($A720="","",ROW()-4)</f>
        <v/>
      </c>
      <c r="C720" s="12"/>
      <c r="D720" s="12"/>
      <c r="E720" s="24"/>
      <c r="F720" s="12"/>
      <c r="G720" s="12" t="str">
        <f aca="false">IFERROR(VLOOKUP($F720,ItemList_Full,2,0),"")</f>
        <v/>
      </c>
      <c r="H720" s="12"/>
      <c r="I720" s="12" t="str">
        <f aca="false">IFERROR(VLOOKUP($F720,ItemList_Full,3,0),"")</f>
        <v/>
      </c>
      <c r="J720" s="12" t="str">
        <f aca="false">IFERROR(VLOOKUP($F720,ItemList_Full,4,0),"")</f>
        <v/>
      </c>
      <c r="K720" s="13"/>
      <c r="L720" s="12"/>
      <c r="M720" s="24"/>
      <c r="N720" s="12"/>
      <c r="O720" s="12"/>
      <c r="P720" s="13" t="str">
        <f aca="false">IF($E720="","",IF(OR($E720="Director Draw",$E720="Payroll/Employee Charge"),0,-$K720))</f>
        <v/>
      </c>
      <c r="Q720" s="12" t="n">
        <f aca="false">IF($E720="Inventory Purchase",$H720,0)</f>
        <v>0</v>
      </c>
    </row>
    <row r="721" customFormat="false" ht="15" hidden="false" customHeight="true" outlineLevel="0" collapsed="false">
      <c r="A721" s="19"/>
      <c r="B721" s="12" t="str">
        <f aca="false">IF($A721="","",ROW()-4)</f>
        <v/>
      </c>
      <c r="C721" s="12"/>
      <c r="D721" s="12"/>
      <c r="E721" s="24"/>
      <c r="F721" s="12"/>
      <c r="G721" s="12" t="str">
        <f aca="false">IFERROR(VLOOKUP($F721,ItemList_Full,2,0),"")</f>
        <v/>
      </c>
      <c r="H721" s="12"/>
      <c r="I721" s="12" t="str">
        <f aca="false">IFERROR(VLOOKUP($F721,ItemList_Full,3,0),"")</f>
        <v/>
      </c>
      <c r="J721" s="12" t="str">
        <f aca="false">IFERROR(VLOOKUP($F721,ItemList_Full,4,0),"")</f>
        <v/>
      </c>
      <c r="K721" s="13"/>
      <c r="L721" s="12"/>
      <c r="M721" s="24"/>
      <c r="N721" s="12"/>
      <c r="O721" s="12"/>
      <c r="P721" s="13" t="str">
        <f aca="false">IF($E721="","",IF(OR($E721="Director Draw",$E721="Payroll/Employee Charge"),0,-$K721))</f>
        <v/>
      </c>
      <c r="Q721" s="12" t="n">
        <f aca="false">IF($E721="Inventory Purchase",$H721,0)</f>
        <v>0</v>
      </c>
    </row>
    <row r="722" customFormat="false" ht="15" hidden="false" customHeight="true" outlineLevel="0" collapsed="false">
      <c r="A722" s="19"/>
      <c r="B722" s="12" t="str">
        <f aca="false">IF($A722="","",ROW()-4)</f>
        <v/>
      </c>
      <c r="C722" s="12"/>
      <c r="D722" s="12"/>
      <c r="E722" s="24"/>
      <c r="F722" s="12"/>
      <c r="G722" s="12" t="str">
        <f aca="false">IFERROR(VLOOKUP($F722,ItemList_Full,2,0),"")</f>
        <v/>
      </c>
      <c r="H722" s="12"/>
      <c r="I722" s="12" t="str">
        <f aca="false">IFERROR(VLOOKUP($F722,ItemList_Full,3,0),"")</f>
        <v/>
      </c>
      <c r="J722" s="12" t="str">
        <f aca="false">IFERROR(VLOOKUP($F722,ItemList_Full,4,0),"")</f>
        <v/>
      </c>
      <c r="K722" s="13"/>
      <c r="L722" s="12"/>
      <c r="M722" s="24"/>
      <c r="N722" s="12"/>
      <c r="O722" s="12"/>
      <c r="P722" s="13" t="str">
        <f aca="false">IF($E722="","",IF(OR($E722="Director Draw",$E722="Payroll/Employee Charge"),0,-$K722))</f>
        <v/>
      </c>
      <c r="Q722" s="12" t="n">
        <f aca="false">IF($E722="Inventory Purchase",$H722,0)</f>
        <v>0</v>
      </c>
    </row>
    <row r="723" customFormat="false" ht="15" hidden="false" customHeight="true" outlineLevel="0" collapsed="false">
      <c r="A723" s="19"/>
      <c r="B723" s="12" t="str">
        <f aca="false">IF($A723="","",ROW()-4)</f>
        <v/>
      </c>
      <c r="C723" s="12"/>
      <c r="D723" s="12"/>
      <c r="E723" s="24"/>
      <c r="F723" s="12"/>
      <c r="G723" s="12" t="str">
        <f aca="false">IFERROR(VLOOKUP($F723,ItemList_Full,2,0),"")</f>
        <v/>
      </c>
      <c r="H723" s="12"/>
      <c r="I723" s="12" t="str">
        <f aca="false">IFERROR(VLOOKUP($F723,ItemList_Full,3,0),"")</f>
        <v/>
      </c>
      <c r="J723" s="12" t="str">
        <f aca="false">IFERROR(VLOOKUP($F723,ItemList_Full,4,0),"")</f>
        <v/>
      </c>
      <c r="K723" s="13"/>
      <c r="L723" s="12"/>
      <c r="M723" s="24"/>
      <c r="N723" s="12"/>
      <c r="O723" s="12"/>
      <c r="P723" s="13" t="str">
        <f aca="false">IF($E723="","",IF(OR($E723="Director Draw",$E723="Payroll/Employee Charge"),0,-$K723))</f>
        <v/>
      </c>
      <c r="Q723" s="12" t="n">
        <f aca="false">IF($E723="Inventory Purchase",$H723,0)</f>
        <v>0</v>
      </c>
    </row>
    <row r="724" customFormat="false" ht="15" hidden="false" customHeight="true" outlineLevel="0" collapsed="false">
      <c r="A724" s="19"/>
      <c r="B724" s="12" t="str">
        <f aca="false">IF($A724="","",ROW()-4)</f>
        <v/>
      </c>
      <c r="C724" s="12"/>
      <c r="D724" s="12"/>
      <c r="E724" s="24"/>
      <c r="F724" s="12"/>
      <c r="G724" s="12" t="str">
        <f aca="false">IFERROR(VLOOKUP($F724,ItemList_Full,2,0),"")</f>
        <v/>
      </c>
      <c r="H724" s="12"/>
      <c r="I724" s="12" t="str">
        <f aca="false">IFERROR(VLOOKUP($F724,ItemList_Full,3,0),"")</f>
        <v/>
      </c>
      <c r="J724" s="12" t="str">
        <f aca="false">IFERROR(VLOOKUP($F724,ItemList_Full,4,0),"")</f>
        <v/>
      </c>
      <c r="K724" s="13"/>
      <c r="L724" s="12"/>
      <c r="M724" s="24"/>
      <c r="N724" s="12"/>
      <c r="O724" s="12"/>
      <c r="P724" s="13" t="str">
        <f aca="false">IF($E724="","",IF(OR($E724="Director Draw",$E724="Payroll/Employee Charge"),0,-$K724))</f>
        <v/>
      </c>
      <c r="Q724" s="12" t="n">
        <f aca="false">IF($E724="Inventory Purchase",$H724,0)</f>
        <v>0</v>
      </c>
    </row>
    <row r="725" customFormat="false" ht="15" hidden="false" customHeight="true" outlineLevel="0" collapsed="false">
      <c r="A725" s="19"/>
      <c r="B725" s="12" t="str">
        <f aca="false">IF($A725="","",ROW()-4)</f>
        <v/>
      </c>
      <c r="C725" s="12"/>
      <c r="D725" s="12"/>
      <c r="E725" s="24"/>
      <c r="F725" s="12"/>
      <c r="G725" s="12" t="str">
        <f aca="false">IFERROR(VLOOKUP($F725,ItemList_Full,2,0),"")</f>
        <v/>
      </c>
      <c r="H725" s="12"/>
      <c r="I725" s="12" t="str">
        <f aca="false">IFERROR(VLOOKUP($F725,ItemList_Full,3,0),"")</f>
        <v/>
      </c>
      <c r="J725" s="12" t="str">
        <f aca="false">IFERROR(VLOOKUP($F725,ItemList_Full,4,0),"")</f>
        <v/>
      </c>
      <c r="K725" s="13"/>
      <c r="L725" s="12"/>
      <c r="M725" s="24"/>
      <c r="N725" s="12"/>
      <c r="O725" s="12"/>
      <c r="P725" s="13" t="str">
        <f aca="false">IF($E725="","",IF(OR($E725="Director Draw",$E725="Payroll/Employee Charge"),0,-$K725))</f>
        <v/>
      </c>
      <c r="Q725" s="12" t="n">
        <f aca="false">IF($E725="Inventory Purchase",$H725,0)</f>
        <v>0</v>
      </c>
    </row>
    <row r="726" customFormat="false" ht="15" hidden="false" customHeight="true" outlineLevel="0" collapsed="false">
      <c r="A726" s="19"/>
      <c r="B726" s="12" t="str">
        <f aca="false">IF($A726="","",ROW()-4)</f>
        <v/>
      </c>
      <c r="C726" s="12"/>
      <c r="D726" s="12"/>
      <c r="E726" s="24"/>
      <c r="F726" s="12"/>
      <c r="G726" s="12" t="str">
        <f aca="false">IFERROR(VLOOKUP($F726,ItemList_Full,2,0),"")</f>
        <v/>
      </c>
      <c r="H726" s="12"/>
      <c r="I726" s="12" t="str">
        <f aca="false">IFERROR(VLOOKUP($F726,ItemList_Full,3,0),"")</f>
        <v/>
      </c>
      <c r="J726" s="12" t="str">
        <f aca="false">IFERROR(VLOOKUP($F726,ItemList_Full,4,0),"")</f>
        <v/>
      </c>
      <c r="K726" s="13"/>
      <c r="L726" s="12"/>
      <c r="M726" s="24"/>
      <c r="N726" s="12"/>
      <c r="O726" s="12"/>
      <c r="P726" s="13" t="str">
        <f aca="false">IF($E726="","",IF(OR($E726="Director Draw",$E726="Payroll/Employee Charge"),0,-$K726))</f>
        <v/>
      </c>
      <c r="Q726" s="12" t="n">
        <f aca="false">IF($E726="Inventory Purchase",$H726,0)</f>
        <v>0</v>
      </c>
    </row>
    <row r="727" customFormat="false" ht="15" hidden="false" customHeight="true" outlineLevel="0" collapsed="false">
      <c r="A727" s="19"/>
      <c r="B727" s="12" t="str">
        <f aca="false">IF($A727="","",ROW()-4)</f>
        <v/>
      </c>
      <c r="C727" s="12"/>
      <c r="D727" s="12"/>
      <c r="E727" s="24"/>
      <c r="F727" s="12"/>
      <c r="G727" s="12" t="str">
        <f aca="false">IFERROR(VLOOKUP($F727,ItemList_Full,2,0),"")</f>
        <v/>
      </c>
      <c r="H727" s="12"/>
      <c r="I727" s="12" t="str">
        <f aca="false">IFERROR(VLOOKUP($F727,ItemList_Full,3,0),"")</f>
        <v/>
      </c>
      <c r="J727" s="12" t="str">
        <f aca="false">IFERROR(VLOOKUP($F727,ItemList_Full,4,0),"")</f>
        <v/>
      </c>
      <c r="K727" s="13"/>
      <c r="L727" s="12"/>
      <c r="M727" s="24"/>
      <c r="N727" s="12"/>
      <c r="O727" s="12"/>
      <c r="P727" s="13" t="str">
        <f aca="false">IF($E727="","",IF(OR($E727="Director Draw",$E727="Payroll/Employee Charge"),0,-$K727))</f>
        <v/>
      </c>
      <c r="Q727" s="12" t="n">
        <f aca="false">IF($E727="Inventory Purchase",$H727,0)</f>
        <v>0</v>
      </c>
    </row>
    <row r="728" customFormat="false" ht="15" hidden="false" customHeight="true" outlineLevel="0" collapsed="false">
      <c r="A728" s="19"/>
      <c r="B728" s="12" t="str">
        <f aca="false">IF($A728="","",ROW()-4)</f>
        <v/>
      </c>
      <c r="C728" s="12"/>
      <c r="D728" s="12"/>
      <c r="E728" s="24"/>
      <c r="F728" s="12"/>
      <c r="G728" s="12" t="str">
        <f aca="false">IFERROR(VLOOKUP($F728,ItemList_Full,2,0),"")</f>
        <v/>
      </c>
      <c r="H728" s="12"/>
      <c r="I728" s="12" t="str">
        <f aca="false">IFERROR(VLOOKUP($F728,ItemList_Full,3,0),"")</f>
        <v/>
      </c>
      <c r="J728" s="12" t="str">
        <f aca="false">IFERROR(VLOOKUP($F728,ItemList_Full,4,0),"")</f>
        <v/>
      </c>
      <c r="K728" s="13"/>
      <c r="L728" s="12"/>
      <c r="M728" s="24"/>
      <c r="N728" s="12"/>
      <c r="O728" s="12"/>
      <c r="P728" s="13" t="str">
        <f aca="false">IF($E728="","",IF(OR($E728="Director Draw",$E728="Payroll/Employee Charge"),0,-$K728))</f>
        <v/>
      </c>
      <c r="Q728" s="12" t="n">
        <f aca="false">IF($E728="Inventory Purchase",$H728,0)</f>
        <v>0</v>
      </c>
    </row>
    <row r="729" customFormat="false" ht="15" hidden="false" customHeight="true" outlineLevel="0" collapsed="false">
      <c r="A729" s="19"/>
      <c r="B729" s="12" t="str">
        <f aca="false">IF($A729="","",ROW()-4)</f>
        <v/>
      </c>
      <c r="C729" s="12"/>
      <c r="D729" s="12"/>
      <c r="E729" s="24"/>
      <c r="F729" s="12"/>
      <c r="G729" s="12" t="str">
        <f aca="false">IFERROR(VLOOKUP($F729,ItemList_Full,2,0),"")</f>
        <v/>
      </c>
      <c r="H729" s="12"/>
      <c r="I729" s="12" t="str">
        <f aca="false">IFERROR(VLOOKUP($F729,ItemList_Full,3,0),"")</f>
        <v/>
      </c>
      <c r="J729" s="12" t="str">
        <f aca="false">IFERROR(VLOOKUP($F729,ItemList_Full,4,0),"")</f>
        <v/>
      </c>
      <c r="K729" s="13"/>
      <c r="L729" s="12"/>
      <c r="M729" s="24"/>
      <c r="N729" s="12"/>
      <c r="O729" s="12"/>
      <c r="P729" s="13" t="str">
        <f aca="false">IF($E729="","",IF(OR($E729="Director Draw",$E729="Payroll/Employee Charge"),0,-$K729))</f>
        <v/>
      </c>
      <c r="Q729" s="12" t="n">
        <f aca="false">IF($E729="Inventory Purchase",$H729,0)</f>
        <v>0</v>
      </c>
    </row>
    <row r="730" customFormat="false" ht="15" hidden="false" customHeight="true" outlineLevel="0" collapsed="false">
      <c r="A730" s="19"/>
      <c r="B730" s="12" t="str">
        <f aca="false">IF($A730="","",ROW()-4)</f>
        <v/>
      </c>
      <c r="C730" s="12"/>
      <c r="D730" s="12"/>
      <c r="E730" s="24"/>
      <c r="F730" s="12"/>
      <c r="G730" s="12" t="str">
        <f aca="false">IFERROR(VLOOKUP($F730,ItemList_Full,2,0),"")</f>
        <v/>
      </c>
      <c r="H730" s="12"/>
      <c r="I730" s="12" t="str">
        <f aca="false">IFERROR(VLOOKUP($F730,ItemList_Full,3,0),"")</f>
        <v/>
      </c>
      <c r="J730" s="12" t="str">
        <f aca="false">IFERROR(VLOOKUP($F730,ItemList_Full,4,0),"")</f>
        <v/>
      </c>
      <c r="K730" s="13"/>
      <c r="L730" s="12"/>
      <c r="M730" s="24"/>
      <c r="N730" s="12"/>
      <c r="O730" s="12"/>
      <c r="P730" s="13" t="str">
        <f aca="false">IF($E730="","",IF(OR($E730="Director Draw",$E730="Payroll/Employee Charge"),0,-$K730))</f>
        <v/>
      </c>
      <c r="Q730" s="12" t="n">
        <f aca="false">IF($E730="Inventory Purchase",$H730,0)</f>
        <v>0</v>
      </c>
    </row>
    <row r="731" customFormat="false" ht="15" hidden="false" customHeight="true" outlineLevel="0" collapsed="false">
      <c r="A731" s="19"/>
      <c r="B731" s="12" t="str">
        <f aca="false">IF($A731="","",ROW()-4)</f>
        <v/>
      </c>
      <c r="C731" s="12"/>
      <c r="D731" s="12"/>
      <c r="E731" s="24"/>
      <c r="F731" s="12"/>
      <c r="G731" s="12" t="str">
        <f aca="false">IFERROR(VLOOKUP($F731,ItemList_Full,2,0),"")</f>
        <v/>
      </c>
      <c r="H731" s="12"/>
      <c r="I731" s="12" t="str">
        <f aca="false">IFERROR(VLOOKUP($F731,ItemList_Full,3,0),"")</f>
        <v/>
      </c>
      <c r="J731" s="12" t="str">
        <f aca="false">IFERROR(VLOOKUP($F731,ItemList_Full,4,0),"")</f>
        <v/>
      </c>
      <c r="K731" s="13"/>
      <c r="L731" s="12"/>
      <c r="M731" s="24"/>
      <c r="N731" s="12"/>
      <c r="O731" s="12"/>
      <c r="P731" s="13" t="str">
        <f aca="false">IF($E731="","",IF(OR($E731="Director Draw",$E731="Payroll/Employee Charge"),0,-$K731))</f>
        <v/>
      </c>
      <c r="Q731" s="12" t="n">
        <f aca="false">IF($E731="Inventory Purchase",$H731,0)</f>
        <v>0</v>
      </c>
    </row>
    <row r="732" customFormat="false" ht="15" hidden="false" customHeight="true" outlineLevel="0" collapsed="false">
      <c r="A732" s="19"/>
      <c r="B732" s="12" t="str">
        <f aca="false">IF($A732="","",ROW()-4)</f>
        <v/>
      </c>
      <c r="C732" s="12"/>
      <c r="D732" s="12"/>
      <c r="E732" s="24"/>
      <c r="F732" s="12"/>
      <c r="G732" s="12" t="str">
        <f aca="false">IFERROR(VLOOKUP($F732,ItemList_Full,2,0),"")</f>
        <v/>
      </c>
      <c r="H732" s="12"/>
      <c r="I732" s="12" t="str">
        <f aca="false">IFERROR(VLOOKUP($F732,ItemList_Full,3,0),"")</f>
        <v/>
      </c>
      <c r="J732" s="12" t="str">
        <f aca="false">IFERROR(VLOOKUP($F732,ItemList_Full,4,0),"")</f>
        <v/>
      </c>
      <c r="K732" s="13"/>
      <c r="L732" s="12"/>
      <c r="M732" s="24"/>
      <c r="N732" s="12"/>
      <c r="O732" s="12"/>
      <c r="P732" s="13" t="str">
        <f aca="false">IF($E732="","",IF(OR($E732="Director Draw",$E732="Payroll/Employee Charge"),0,-$K732))</f>
        <v/>
      </c>
      <c r="Q732" s="12" t="n">
        <f aca="false">IF($E732="Inventory Purchase",$H732,0)</f>
        <v>0</v>
      </c>
    </row>
    <row r="733" customFormat="false" ht="15" hidden="false" customHeight="true" outlineLevel="0" collapsed="false">
      <c r="A733" s="19"/>
      <c r="B733" s="12" t="str">
        <f aca="false">IF($A733="","",ROW()-4)</f>
        <v/>
      </c>
      <c r="C733" s="12"/>
      <c r="D733" s="12"/>
      <c r="E733" s="24"/>
      <c r="F733" s="12"/>
      <c r="G733" s="12" t="str">
        <f aca="false">IFERROR(VLOOKUP($F733,ItemList_Full,2,0),"")</f>
        <v/>
      </c>
      <c r="H733" s="12"/>
      <c r="I733" s="12" t="str">
        <f aca="false">IFERROR(VLOOKUP($F733,ItemList_Full,3,0),"")</f>
        <v/>
      </c>
      <c r="J733" s="12" t="str">
        <f aca="false">IFERROR(VLOOKUP($F733,ItemList_Full,4,0),"")</f>
        <v/>
      </c>
      <c r="K733" s="13"/>
      <c r="L733" s="12"/>
      <c r="M733" s="24"/>
      <c r="N733" s="12"/>
      <c r="O733" s="12"/>
      <c r="P733" s="13" t="str">
        <f aca="false">IF($E733="","",IF(OR($E733="Director Draw",$E733="Payroll/Employee Charge"),0,-$K733))</f>
        <v/>
      </c>
      <c r="Q733" s="12" t="n">
        <f aca="false">IF($E733="Inventory Purchase",$H733,0)</f>
        <v>0</v>
      </c>
    </row>
    <row r="734" customFormat="false" ht="15" hidden="false" customHeight="true" outlineLevel="0" collapsed="false">
      <c r="A734" s="19"/>
      <c r="B734" s="12" t="str">
        <f aca="false">IF($A734="","",ROW()-4)</f>
        <v/>
      </c>
      <c r="C734" s="12"/>
      <c r="D734" s="12"/>
      <c r="E734" s="24"/>
      <c r="F734" s="12"/>
      <c r="G734" s="12" t="str">
        <f aca="false">IFERROR(VLOOKUP($F734,ItemList_Full,2,0),"")</f>
        <v/>
      </c>
      <c r="H734" s="12"/>
      <c r="I734" s="12" t="str">
        <f aca="false">IFERROR(VLOOKUP($F734,ItemList_Full,3,0),"")</f>
        <v/>
      </c>
      <c r="J734" s="12" t="str">
        <f aca="false">IFERROR(VLOOKUP($F734,ItemList_Full,4,0),"")</f>
        <v/>
      </c>
      <c r="K734" s="13"/>
      <c r="L734" s="12"/>
      <c r="M734" s="24"/>
      <c r="N734" s="12"/>
      <c r="O734" s="12"/>
      <c r="P734" s="13" t="str">
        <f aca="false">IF($E734="","",IF(OR($E734="Director Draw",$E734="Payroll/Employee Charge"),0,-$K734))</f>
        <v/>
      </c>
      <c r="Q734" s="12" t="n">
        <f aca="false">IF($E734="Inventory Purchase",$H734,0)</f>
        <v>0</v>
      </c>
    </row>
    <row r="735" customFormat="false" ht="15" hidden="false" customHeight="true" outlineLevel="0" collapsed="false">
      <c r="A735" s="19"/>
      <c r="B735" s="12" t="str">
        <f aca="false">IF($A735="","",ROW()-4)</f>
        <v/>
      </c>
      <c r="C735" s="12"/>
      <c r="D735" s="12"/>
      <c r="E735" s="24"/>
      <c r="F735" s="12"/>
      <c r="G735" s="12" t="str">
        <f aca="false">IFERROR(VLOOKUP($F735,ItemList_Full,2,0),"")</f>
        <v/>
      </c>
      <c r="H735" s="12"/>
      <c r="I735" s="12" t="str">
        <f aca="false">IFERROR(VLOOKUP($F735,ItemList_Full,3,0),"")</f>
        <v/>
      </c>
      <c r="J735" s="12" t="str">
        <f aca="false">IFERROR(VLOOKUP($F735,ItemList_Full,4,0),"")</f>
        <v/>
      </c>
      <c r="K735" s="13"/>
      <c r="L735" s="12"/>
      <c r="M735" s="24"/>
      <c r="N735" s="12"/>
      <c r="O735" s="12"/>
      <c r="P735" s="13" t="str">
        <f aca="false">IF($E735="","",IF(OR($E735="Director Draw",$E735="Payroll/Employee Charge"),0,-$K735))</f>
        <v/>
      </c>
      <c r="Q735" s="12" t="n">
        <f aca="false">IF($E735="Inventory Purchase",$H735,0)</f>
        <v>0</v>
      </c>
    </row>
    <row r="736" customFormat="false" ht="15" hidden="false" customHeight="true" outlineLevel="0" collapsed="false">
      <c r="A736" s="19"/>
      <c r="B736" s="12" t="str">
        <f aca="false">IF($A736="","",ROW()-4)</f>
        <v/>
      </c>
      <c r="C736" s="12"/>
      <c r="D736" s="12"/>
      <c r="E736" s="24"/>
      <c r="F736" s="12"/>
      <c r="G736" s="12" t="str">
        <f aca="false">IFERROR(VLOOKUP($F736,ItemList_Full,2,0),"")</f>
        <v/>
      </c>
      <c r="H736" s="12"/>
      <c r="I736" s="12" t="str">
        <f aca="false">IFERROR(VLOOKUP($F736,ItemList_Full,3,0),"")</f>
        <v/>
      </c>
      <c r="J736" s="12" t="str">
        <f aca="false">IFERROR(VLOOKUP($F736,ItemList_Full,4,0),"")</f>
        <v/>
      </c>
      <c r="K736" s="13"/>
      <c r="L736" s="12"/>
      <c r="M736" s="24"/>
      <c r="N736" s="12"/>
      <c r="O736" s="12"/>
      <c r="P736" s="13" t="str">
        <f aca="false">IF($E736="","",IF(OR($E736="Director Draw",$E736="Payroll/Employee Charge"),0,-$K736))</f>
        <v/>
      </c>
      <c r="Q736" s="12" t="n">
        <f aca="false">IF($E736="Inventory Purchase",$H736,0)</f>
        <v>0</v>
      </c>
    </row>
    <row r="737" customFormat="false" ht="15" hidden="false" customHeight="true" outlineLevel="0" collapsed="false">
      <c r="A737" s="19"/>
      <c r="B737" s="12" t="str">
        <f aca="false">IF($A737="","",ROW()-4)</f>
        <v/>
      </c>
      <c r="C737" s="12"/>
      <c r="D737" s="12"/>
      <c r="E737" s="24"/>
      <c r="F737" s="12"/>
      <c r="G737" s="12" t="str">
        <f aca="false">IFERROR(VLOOKUP($F737,ItemList_Full,2,0),"")</f>
        <v/>
      </c>
      <c r="H737" s="12"/>
      <c r="I737" s="12" t="str">
        <f aca="false">IFERROR(VLOOKUP($F737,ItemList_Full,3,0),"")</f>
        <v/>
      </c>
      <c r="J737" s="12" t="str">
        <f aca="false">IFERROR(VLOOKUP($F737,ItemList_Full,4,0),"")</f>
        <v/>
      </c>
      <c r="K737" s="13"/>
      <c r="L737" s="12"/>
      <c r="M737" s="24"/>
      <c r="N737" s="12"/>
      <c r="O737" s="12"/>
      <c r="P737" s="13" t="str">
        <f aca="false">IF($E737="","",IF(OR($E737="Director Draw",$E737="Payroll/Employee Charge"),0,-$K737))</f>
        <v/>
      </c>
      <c r="Q737" s="12" t="n">
        <f aca="false">IF($E737="Inventory Purchase",$H737,0)</f>
        <v>0</v>
      </c>
    </row>
    <row r="738" customFormat="false" ht="15" hidden="false" customHeight="true" outlineLevel="0" collapsed="false">
      <c r="A738" s="19"/>
      <c r="B738" s="12" t="str">
        <f aca="false">IF($A738="","",ROW()-4)</f>
        <v/>
      </c>
      <c r="C738" s="12"/>
      <c r="D738" s="12"/>
      <c r="E738" s="24"/>
      <c r="F738" s="12"/>
      <c r="G738" s="12" t="str">
        <f aca="false">IFERROR(VLOOKUP($F738,ItemList_Full,2,0),"")</f>
        <v/>
      </c>
      <c r="H738" s="12"/>
      <c r="I738" s="12" t="str">
        <f aca="false">IFERROR(VLOOKUP($F738,ItemList_Full,3,0),"")</f>
        <v/>
      </c>
      <c r="J738" s="12" t="str">
        <f aca="false">IFERROR(VLOOKUP($F738,ItemList_Full,4,0),"")</f>
        <v/>
      </c>
      <c r="K738" s="13"/>
      <c r="L738" s="12"/>
      <c r="M738" s="24"/>
      <c r="N738" s="12"/>
      <c r="O738" s="12"/>
      <c r="P738" s="13" t="str">
        <f aca="false">IF($E738="","",IF(OR($E738="Director Draw",$E738="Payroll/Employee Charge"),0,-$K738))</f>
        <v/>
      </c>
      <c r="Q738" s="12" t="n">
        <f aca="false">IF($E738="Inventory Purchase",$H738,0)</f>
        <v>0</v>
      </c>
    </row>
    <row r="739" customFormat="false" ht="15" hidden="false" customHeight="true" outlineLevel="0" collapsed="false">
      <c r="A739" s="19"/>
      <c r="B739" s="12" t="str">
        <f aca="false">IF($A739="","",ROW()-4)</f>
        <v/>
      </c>
      <c r="C739" s="12"/>
      <c r="D739" s="12"/>
      <c r="E739" s="24"/>
      <c r="F739" s="12"/>
      <c r="G739" s="12" t="str">
        <f aca="false">IFERROR(VLOOKUP($F739,ItemList_Full,2,0),"")</f>
        <v/>
      </c>
      <c r="H739" s="12"/>
      <c r="I739" s="12" t="str">
        <f aca="false">IFERROR(VLOOKUP($F739,ItemList_Full,3,0),"")</f>
        <v/>
      </c>
      <c r="J739" s="12" t="str">
        <f aca="false">IFERROR(VLOOKUP($F739,ItemList_Full,4,0),"")</f>
        <v/>
      </c>
      <c r="K739" s="13"/>
      <c r="L739" s="12"/>
      <c r="M739" s="24"/>
      <c r="N739" s="12"/>
      <c r="O739" s="12"/>
      <c r="P739" s="13" t="str">
        <f aca="false">IF($E739="","",IF(OR($E739="Director Draw",$E739="Payroll/Employee Charge"),0,-$K739))</f>
        <v/>
      </c>
      <c r="Q739" s="12" t="n">
        <f aca="false">IF($E739="Inventory Purchase",$H739,0)</f>
        <v>0</v>
      </c>
    </row>
    <row r="740" customFormat="false" ht="15" hidden="false" customHeight="true" outlineLevel="0" collapsed="false">
      <c r="A740" s="19"/>
      <c r="B740" s="12" t="str">
        <f aca="false">IF($A740="","",ROW()-4)</f>
        <v/>
      </c>
      <c r="C740" s="12"/>
      <c r="D740" s="12"/>
      <c r="E740" s="24"/>
      <c r="F740" s="12"/>
      <c r="G740" s="12" t="str">
        <f aca="false">IFERROR(VLOOKUP($F740,ItemList_Full,2,0),"")</f>
        <v/>
      </c>
      <c r="H740" s="12"/>
      <c r="I740" s="12" t="str">
        <f aca="false">IFERROR(VLOOKUP($F740,ItemList_Full,3,0),"")</f>
        <v/>
      </c>
      <c r="J740" s="12" t="str">
        <f aca="false">IFERROR(VLOOKUP($F740,ItemList_Full,4,0),"")</f>
        <v/>
      </c>
      <c r="K740" s="13"/>
      <c r="L740" s="12"/>
      <c r="M740" s="24"/>
      <c r="N740" s="12"/>
      <c r="O740" s="12"/>
      <c r="P740" s="13" t="str">
        <f aca="false">IF($E740="","",IF(OR($E740="Director Draw",$E740="Payroll/Employee Charge"),0,-$K740))</f>
        <v/>
      </c>
      <c r="Q740" s="12" t="n">
        <f aca="false">IF($E740="Inventory Purchase",$H740,0)</f>
        <v>0</v>
      </c>
    </row>
    <row r="741" customFormat="false" ht="15" hidden="false" customHeight="true" outlineLevel="0" collapsed="false">
      <c r="A741" s="19"/>
      <c r="B741" s="12" t="str">
        <f aca="false">IF($A741="","",ROW()-4)</f>
        <v/>
      </c>
      <c r="C741" s="12"/>
      <c r="D741" s="12"/>
      <c r="E741" s="24"/>
      <c r="F741" s="12"/>
      <c r="G741" s="12" t="str">
        <f aca="false">IFERROR(VLOOKUP($F741,ItemList_Full,2,0),"")</f>
        <v/>
      </c>
      <c r="H741" s="12"/>
      <c r="I741" s="12" t="str">
        <f aca="false">IFERROR(VLOOKUP($F741,ItemList_Full,3,0),"")</f>
        <v/>
      </c>
      <c r="J741" s="12" t="str">
        <f aca="false">IFERROR(VLOOKUP($F741,ItemList_Full,4,0),"")</f>
        <v/>
      </c>
      <c r="K741" s="13"/>
      <c r="L741" s="12"/>
      <c r="M741" s="24"/>
      <c r="N741" s="12"/>
      <c r="O741" s="12"/>
      <c r="P741" s="13" t="str">
        <f aca="false">IF($E741="","",IF(OR($E741="Director Draw",$E741="Payroll/Employee Charge"),0,-$K741))</f>
        <v/>
      </c>
      <c r="Q741" s="12" t="n">
        <f aca="false">IF($E741="Inventory Purchase",$H741,0)</f>
        <v>0</v>
      </c>
    </row>
    <row r="742" customFormat="false" ht="15" hidden="false" customHeight="true" outlineLevel="0" collapsed="false">
      <c r="A742" s="19"/>
      <c r="B742" s="12" t="str">
        <f aca="false">IF($A742="","",ROW()-4)</f>
        <v/>
      </c>
      <c r="C742" s="12"/>
      <c r="D742" s="12"/>
      <c r="E742" s="24"/>
      <c r="F742" s="12"/>
      <c r="G742" s="12" t="str">
        <f aca="false">IFERROR(VLOOKUP($F742,ItemList_Full,2,0),"")</f>
        <v/>
      </c>
      <c r="H742" s="12"/>
      <c r="I742" s="12" t="str">
        <f aca="false">IFERROR(VLOOKUP($F742,ItemList_Full,3,0),"")</f>
        <v/>
      </c>
      <c r="J742" s="12" t="str">
        <f aca="false">IFERROR(VLOOKUP($F742,ItemList_Full,4,0),"")</f>
        <v/>
      </c>
      <c r="K742" s="13"/>
      <c r="L742" s="12"/>
      <c r="M742" s="24"/>
      <c r="N742" s="12"/>
      <c r="O742" s="12"/>
      <c r="P742" s="13" t="str">
        <f aca="false">IF($E742="","",IF(OR($E742="Director Draw",$E742="Payroll/Employee Charge"),0,-$K742))</f>
        <v/>
      </c>
      <c r="Q742" s="12" t="n">
        <f aca="false">IF($E742="Inventory Purchase",$H742,0)</f>
        <v>0</v>
      </c>
    </row>
    <row r="743" customFormat="false" ht="15" hidden="false" customHeight="true" outlineLevel="0" collapsed="false">
      <c r="A743" s="19"/>
      <c r="B743" s="12" t="str">
        <f aca="false">IF($A743="","",ROW()-4)</f>
        <v/>
      </c>
      <c r="C743" s="12"/>
      <c r="D743" s="12"/>
      <c r="E743" s="24"/>
      <c r="F743" s="12"/>
      <c r="G743" s="12" t="str">
        <f aca="false">IFERROR(VLOOKUP($F743,ItemList_Full,2,0),"")</f>
        <v/>
      </c>
      <c r="H743" s="12"/>
      <c r="I743" s="12" t="str">
        <f aca="false">IFERROR(VLOOKUP($F743,ItemList_Full,3,0),"")</f>
        <v/>
      </c>
      <c r="J743" s="12" t="str">
        <f aca="false">IFERROR(VLOOKUP($F743,ItemList_Full,4,0),"")</f>
        <v/>
      </c>
      <c r="K743" s="13"/>
      <c r="L743" s="12"/>
      <c r="M743" s="24"/>
      <c r="N743" s="12"/>
      <c r="O743" s="12"/>
      <c r="P743" s="13" t="str">
        <f aca="false">IF($E743="","",IF(OR($E743="Director Draw",$E743="Payroll/Employee Charge"),0,-$K743))</f>
        <v/>
      </c>
      <c r="Q743" s="12" t="n">
        <f aca="false">IF($E743="Inventory Purchase",$H743,0)</f>
        <v>0</v>
      </c>
    </row>
    <row r="744" customFormat="false" ht="15" hidden="false" customHeight="true" outlineLevel="0" collapsed="false">
      <c r="A744" s="19"/>
      <c r="B744" s="12" t="str">
        <f aca="false">IF($A744="","",ROW()-4)</f>
        <v/>
      </c>
      <c r="C744" s="12"/>
      <c r="D744" s="12"/>
      <c r="E744" s="24"/>
      <c r="F744" s="12"/>
      <c r="G744" s="12" t="str">
        <f aca="false">IFERROR(VLOOKUP($F744,ItemList_Full,2,0),"")</f>
        <v/>
      </c>
      <c r="H744" s="12"/>
      <c r="I744" s="12" t="str">
        <f aca="false">IFERROR(VLOOKUP($F744,ItemList_Full,3,0),"")</f>
        <v/>
      </c>
      <c r="J744" s="12" t="str">
        <f aca="false">IFERROR(VLOOKUP($F744,ItemList_Full,4,0),"")</f>
        <v/>
      </c>
      <c r="K744" s="13"/>
      <c r="L744" s="12"/>
      <c r="M744" s="24"/>
      <c r="N744" s="12"/>
      <c r="O744" s="12"/>
      <c r="P744" s="13" t="str">
        <f aca="false">IF($E744="","",IF(OR($E744="Director Draw",$E744="Payroll/Employee Charge"),0,-$K744))</f>
        <v/>
      </c>
      <c r="Q744" s="12" t="n">
        <f aca="false">IF($E744="Inventory Purchase",$H744,0)</f>
        <v>0</v>
      </c>
    </row>
    <row r="745" customFormat="false" ht="15" hidden="false" customHeight="true" outlineLevel="0" collapsed="false">
      <c r="A745" s="19"/>
      <c r="B745" s="12" t="str">
        <f aca="false">IF($A745="","",ROW()-4)</f>
        <v/>
      </c>
      <c r="C745" s="12"/>
      <c r="D745" s="12"/>
      <c r="E745" s="24"/>
      <c r="F745" s="12"/>
      <c r="G745" s="12" t="str">
        <f aca="false">IFERROR(VLOOKUP($F745,ItemList_Full,2,0),"")</f>
        <v/>
      </c>
      <c r="H745" s="12"/>
      <c r="I745" s="12" t="str">
        <f aca="false">IFERROR(VLOOKUP($F745,ItemList_Full,3,0),"")</f>
        <v/>
      </c>
      <c r="J745" s="12" t="str">
        <f aca="false">IFERROR(VLOOKUP($F745,ItemList_Full,4,0),"")</f>
        <v/>
      </c>
      <c r="K745" s="13"/>
      <c r="L745" s="12"/>
      <c r="M745" s="24"/>
      <c r="N745" s="12"/>
      <c r="O745" s="12"/>
      <c r="P745" s="13" t="str">
        <f aca="false">IF($E745="","",IF(OR($E745="Director Draw",$E745="Payroll/Employee Charge"),0,-$K745))</f>
        <v/>
      </c>
      <c r="Q745" s="12" t="n">
        <f aca="false">IF($E745="Inventory Purchase",$H745,0)</f>
        <v>0</v>
      </c>
    </row>
    <row r="746" customFormat="false" ht="15" hidden="false" customHeight="true" outlineLevel="0" collapsed="false">
      <c r="A746" s="19"/>
      <c r="B746" s="12" t="str">
        <f aca="false">IF($A746="","",ROW()-4)</f>
        <v/>
      </c>
      <c r="C746" s="12"/>
      <c r="D746" s="12"/>
      <c r="E746" s="24"/>
      <c r="F746" s="12"/>
      <c r="G746" s="12" t="str">
        <f aca="false">IFERROR(VLOOKUP($F746,ItemList_Full,2,0),"")</f>
        <v/>
      </c>
      <c r="H746" s="12"/>
      <c r="I746" s="12" t="str">
        <f aca="false">IFERROR(VLOOKUP($F746,ItemList_Full,3,0),"")</f>
        <v/>
      </c>
      <c r="J746" s="12" t="str">
        <f aca="false">IFERROR(VLOOKUP($F746,ItemList_Full,4,0),"")</f>
        <v/>
      </c>
      <c r="K746" s="13"/>
      <c r="L746" s="12"/>
      <c r="M746" s="24"/>
      <c r="N746" s="12"/>
      <c r="O746" s="12"/>
      <c r="P746" s="13" t="str">
        <f aca="false">IF($E746="","",IF(OR($E746="Director Draw",$E746="Payroll/Employee Charge"),0,-$K746))</f>
        <v/>
      </c>
      <c r="Q746" s="12" t="n">
        <f aca="false">IF($E746="Inventory Purchase",$H746,0)</f>
        <v>0</v>
      </c>
    </row>
    <row r="747" customFormat="false" ht="15" hidden="false" customHeight="true" outlineLevel="0" collapsed="false">
      <c r="A747" s="19"/>
      <c r="B747" s="12" t="str">
        <f aca="false">IF($A747="","",ROW()-4)</f>
        <v/>
      </c>
      <c r="C747" s="12"/>
      <c r="D747" s="12"/>
      <c r="E747" s="24"/>
      <c r="F747" s="12"/>
      <c r="G747" s="12" t="str">
        <f aca="false">IFERROR(VLOOKUP($F747,ItemList_Full,2,0),"")</f>
        <v/>
      </c>
      <c r="H747" s="12"/>
      <c r="I747" s="12" t="str">
        <f aca="false">IFERROR(VLOOKUP($F747,ItemList_Full,3,0),"")</f>
        <v/>
      </c>
      <c r="J747" s="12" t="str">
        <f aca="false">IFERROR(VLOOKUP($F747,ItemList_Full,4,0),"")</f>
        <v/>
      </c>
      <c r="K747" s="13"/>
      <c r="L747" s="12"/>
      <c r="M747" s="24"/>
      <c r="N747" s="12"/>
      <c r="O747" s="12"/>
      <c r="P747" s="13" t="str">
        <f aca="false">IF($E747="","",IF(OR($E747="Director Draw",$E747="Payroll/Employee Charge"),0,-$K747))</f>
        <v/>
      </c>
      <c r="Q747" s="12" t="n">
        <f aca="false">IF($E747="Inventory Purchase",$H747,0)</f>
        <v>0</v>
      </c>
    </row>
    <row r="748" customFormat="false" ht="15" hidden="false" customHeight="true" outlineLevel="0" collapsed="false">
      <c r="A748" s="19"/>
      <c r="B748" s="12" t="str">
        <f aca="false">IF($A748="","",ROW()-4)</f>
        <v/>
      </c>
      <c r="C748" s="12"/>
      <c r="D748" s="12"/>
      <c r="E748" s="24"/>
      <c r="F748" s="12"/>
      <c r="G748" s="12" t="str">
        <f aca="false">IFERROR(VLOOKUP($F748,ItemList_Full,2,0),"")</f>
        <v/>
      </c>
      <c r="H748" s="12"/>
      <c r="I748" s="12" t="str">
        <f aca="false">IFERROR(VLOOKUP($F748,ItemList_Full,3,0),"")</f>
        <v/>
      </c>
      <c r="J748" s="12" t="str">
        <f aca="false">IFERROR(VLOOKUP($F748,ItemList_Full,4,0),"")</f>
        <v/>
      </c>
      <c r="K748" s="13"/>
      <c r="L748" s="12"/>
      <c r="M748" s="24"/>
      <c r="N748" s="12"/>
      <c r="O748" s="12"/>
      <c r="P748" s="13" t="str">
        <f aca="false">IF($E748="","",IF(OR($E748="Director Draw",$E748="Payroll/Employee Charge"),0,-$K748))</f>
        <v/>
      </c>
      <c r="Q748" s="12" t="n">
        <f aca="false">IF($E748="Inventory Purchase",$H748,0)</f>
        <v>0</v>
      </c>
    </row>
    <row r="749" customFormat="false" ht="15" hidden="false" customHeight="true" outlineLevel="0" collapsed="false">
      <c r="A749" s="19"/>
      <c r="B749" s="12" t="str">
        <f aca="false">IF($A749="","",ROW()-4)</f>
        <v/>
      </c>
      <c r="C749" s="12"/>
      <c r="D749" s="12"/>
      <c r="E749" s="24"/>
      <c r="F749" s="12"/>
      <c r="G749" s="12" t="str">
        <f aca="false">IFERROR(VLOOKUP($F749,ItemList_Full,2,0),"")</f>
        <v/>
      </c>
      <c r="H749" s="12"/>
      <c r="I749" s="12" t="str">
        <f aca="false">IFERROR(VLOOKUP($F749,ItemList_Full,3,0),"")</f>
        <v/>
      </c>
      <c r="J749" s="12" t="str">
        <f aca="false">IFERROR(VLOOKUP($F749,ItemList_Full,4,0),"")</f>
        <v/>
      </c>
      <c r="K749" s="13"/>
      <c r="L749" s="12"/>
      <c r="M749" s="24"/>
      <c r="N749" s="12"/>
      <c r="O749" s="12"/>
      <c r="P749" s="13" t="str">
        <f aca="false">IF($E749="","",IF(OR($E749="Director Draw",$E749="Payroll/Employee Charge"),0,-$K749))</f>
        <v/>
      </c>
      <c r="Q749" s="12" t="n">
        <f aca="false">IF($E749="Inventory Purchase",$H749,0)</f>
        <v>0</v>
      </c>
    </row>
    <row r="750" customFormat="false" ht="15" hidden="false" customHeight="true" outlineLevel="0" collapsed="false">
      <c r="A750" s="19"/>
      <c r="B750" s="12" t="str">
        <f aca="false">IF($A750="","",ROW()-4)</f>
        <v/>
      </c>
      <c r="C750" s="12"/>
      <c r="D750" s="12"/>
      <c r="E750" s="24"/>
      <c r="F750" s="12"/>
      <c r="G750" s="12" t="str">
        <f aca="false">IFERROR(VLOOKUP($F750,ItemList_Full,2,0),"")</f>
        <v/>
      </c>
      <c r="H750" s="12"/>
      <c r="I750" s="12" t="str">
        <f aca="false">IFERROR(VLOOKUP($F750,ItemList_Full,3,0),"")</f>
        <v/>
      </c>
      <c r="J750" s="12" t="str">
        <f aca="false">IFERROR(VLOOKUP($F750,ItemList_Full,4,0),"")</f>
        <v/>
      </c>
      <c r="K750" s="13"/>
      <c r="L750" s="12"/>
      <c r="M750" s="24"/>
      <c r="N750" s="12"/>
      <c r="O750" s="12"/>
      <c r="P750" s="13" t="str">
        <f aca="false">IF($E750="","",IF(OR($E750="Director Draw",$E750="Payroll/Employee Charge"),0,-$K750))</f>
        <v/>
      </c>
      <c r="Q750" s="12" t="n">
        <f aca="false">IF($E750="Inventory Purchase",$H750,0)</f>
        <v>0</v>
      </c>
    </row>
    <row r="751" customFormat="false" ht="15" hidden="false" customHeight="true" outlineLevel="0" collapsed="false">
      <c r="A751" s="19"/>
      <c r="B751" s="12" t="str">
        <f aca="false">IF($A751="","",ROW()-4)</f>
        <v/>
      </c>
      <c r="C751" s="12"/>
      <c r="D751" s="12"/>
      <c r="E751" s="24"/>
      <c r="F751" s="12"/>
      <c r="G751" s="12" t="str">
        <f aca="false">IFERROR(VLOOKUP($F751,ItemList_Full,2,0),"")</f>
        <v/>
      </c>
      <c r="H751" s="12"/>
      <c r="I751" s="12" t="str">
        <f aca="false">IFERROR(VLOOKUP($F751,ItemList_Full,3,0),"")</f>
        <v/>
      </c>
      <c r="J751" s="12" t="str">
        <f aca="false">IFERROR(VLOOKUP($F751,ItemList_Full,4,0),"")</f>
        <v/>
      </c>
      <c r="K751" s="13"/>
      <c r="L751" s="12"/>
      <c r="M751" s="24"/>
      <c r="N751" s="12"/>
      <c r="O751" s="12"/>
      <c r="P751" s="13" t="str">
        <f aca="false">IF($E751="","",IF(OR($E751="Director Draw",$E751="Payroll/Employee Charge"),0,-$K751))</f>
        <v/>
      </c>
      <c r="Q751" s="12" t="n">
        <f aca="false">IF($E751="Inventory Purchase",$H751,0)</f>
        <v>0</v>
      </c>
    </row>
    <row r="752" customFormat="false" ht="15" hidden="false" customHeight="true" outlineLevel="0" collapsed="false">
      <c r="A752" s="19"/>
      <c r="B752" s="12" t="str">
        <f aca="false">IF($A752="","",ROW()-4)</f>
        <v/>
      </c>
      <c r="C752" s="12"/>
      <c r="D752" s="12"/>
      <c r="E752" s="24"/>
      <c r="F752" s="12"/>
      <c r="G752" s="12" t="str">
        <f aca="false">IFERROR(VLOOKUP($F752,ItemList_Full,2,0),"")</f>
        <v/>
      </c>
      <c r="H752" s="12"/>
      <c r="I752" s="12" t="str">
        <f aca="false">IFERROR(VLOOKUP($F752,ItemList_Full,3,0),"")</f>
        <v/>
      </c>
      <c r="J752" s="12" t="str">
        <f aca="false">IFERROR(VLOOKUP($F752,ItemList_Full,4,0),"")</f>
        <v/>
      </c>
      <c r="K752" s="13"/>
      <c r="L752" s="12"/>
      <c r="M752" s="24"/>
      <c r="N752" s="12"/>
      <c r="O752" s="12"/>
      <c r="P752" s="13" t="str">
        <f aca="false">IF($E752="","",IF(OR($E752="Director Draw",$E752="Payroll/Employee Charge"),0,-$K752))</f>
        <v/>
      </c>
      <c r="Q752" s="12" t="n">
        <f aca="false">IF($E752="Inventory Purchase",$H752,0)</f>
        <v>0</v>
      </c>
    </row>
    <row r="753" customFormat="false" ht="15" hidden="false" customHeight="true" outlineLevel="0" collapsed="false">
      <c r="A753" s="19"/>
      <c r="B753" s="12" t="str">
        <f aca="false">IF($A753="","",ROW()-4)</f>
        <v/>
      </c>
      <c r="C753" s="12"/>
      <c r="D753" s="12"/>
      <c r="E753" s="24"/>
      <c r="F753" s="12"/>
      <c r="G753" s="12" t="str">
        <f aca="false">IFERROR(VLOOKUP($F753,ItemList_Full,2,0),"")</f>
        <v/>
      </c>
      <c r="H753" s="12"/>
      <c r="I753" s="12" t="str">
        <f aca="false">IFERROR(VLOOKUP($F753,ItemList_Full,3,0),"")</f>
        <v/>
      </c>
      <c r="J753" s="12" t="str">
        <f aca="false">IFERROR(VLOOKUP($F753,ItemList_Full,4,0),"")</f>
        <v/>
      </c>
      <c r="K753" s="13"/>
      <c r="L753" s="12"/>
      <c r="M753" s="24"/>
      <c r="N753" s="12"/>
      <c r="O753" s="12"/>
      <c r="P753" s="13" t="str">
        <f aca="false">IF($E753="","",IF(OR($E753="Director Draw",$E753="Payroll/Employee Charge"),0,-$K753))</f>
        <v/>
      </c>
      <c r="Q753" s="12" t="n">
        <f aca="false">IF($E753="Inventory Purchase",$H753,0)</f>
        <v>0</v>
      </c>
    </row>
    <row r="754" customFormat="false" ht="15" hidden="false" customHeight="true" outlineLevel="0" collapsed="false">
      <c r="A754" s="19"/>
      <c r="B754" s="12" t="str">
        <f aca="false">IF($A754="","",ROW()-4)</f>
        <v/>
      </c>
      <c r="C754" s="12"/>
      <c r="D754" s="12"/>
      <c r="E754" s="24"/>
      <c r="F754" s="12"/>
      <c r="G754" s="12" t="str">
        <f aca="false">IFERROR(VLOOKUP($F754,ItemList_Full,2,0),"")</f>
        <v/>
      </c>
      <c r="H754" s="12"/>
      <c r="I754" s="12" t="str">
        <f aca="false">IFERROR(VLOOKUP($F754,ItemList_Full,3,0),"")</f>
        <v/>
      </c>
      <c r="J754" s="12" t="str">
        <f aca="false">IFERROR(VLOOKUP($F754,ItemList_Full,4,0),"")</f>
        <v/>
      </c>
      <c r="K754" s="13"/>
      <c r="L754" s="12"/>
      <c r="M754" s="24"/>
      <c r="N754" s="12"/>
      <c r="O754" s="12"/>
      <c r="P754" s="13" t="str">
        <f aca="false">IF($E754="","",IF(OR($E754="Director Draw",$E754="Payroll/Employee Charge"),0,-$K754))</f>
        <v/>
      </c>
      <c r="Q754" s="12" t="n">
        <f aca="false">IF($E754="Inventory Purchase",$H754,0)</f>
        <v>0</v>
      </c>
    </row>
    <row r="755" customFormat="false" ht="15" hidden="false" customHeight="true" outlineLevel="0" collapsed="false">
      <c r="A755" s="19"/>
      <c r="B755" s="12" t="str">
        <f aca="false">IF($A755="","",ROW()-4)</f>
        <v/>
      </c>
      <c r="C755" s="12"/>
      <c r="D755" s="12"/>
      <c r="E755" s="24"/>
      <c r="F755" s="12"/>
      <c r="G755" s="12" t="str">
        <f aca="false">IFERROR(VLOOKUP($F755,ItemList_Full,2,0),"")</f>
        <v/>
      </c>
      <c r="H755" s="12"/>
      <c r="I755" s="12" t="str">
        <f aca="false">IFERROR(VLOOKUP($F755,ItemList_Full,3,0),"")</f>
        <v/>
      </c>
      <c r="J755" s="12" t="str">
        <f aca="false">IFERROR(VLOOKUP($F755,ItemList_Full,4,0),"")</f>
        <v/>
      </c>
      <c r="K755" s="13"/>
      <c r="L755" s="12"/>
      <c r="M755" s="24"/>
      <c r="N755" s="12"/>
      <c r="O755" s="12"/>
      <c r="P755" s="13" t="str">
        <f aca="false">IF($E755="","",IF(OR($E755="Director Draw",$E755="Payroll/Employee Charge"),0,-$K755))</f>
        <v/>
      </c>
      <c r="Q755" s="12" t="n">
        <f aca="false">IF($E755="Inventory Purchase",$H755,0)</f>
        <v>0</v>
      </c>
    </row>
    <row r="756" customFormat="false" ht="15" hidden="false" customHeight="true" outlineLevel="0" collapsed="false">
      <c r="A756" s="19"/>
      <c r="B756" s="12" t="str">
        <f aca="false">IF($A756="","",ROW()-4)</f>
        <v/>
      </c>
      <c r="C756" s="12"/>
      <c r="D756" s="12"/>
      <c r="E756" s="24"/>
      <c r="F756" s="12"/>
      <c r="G756" s="12" t="str">
        <f aca="false">IFERROR(VLOOKUP($F756,ItemList_Full,2,0),"")</f>
        <v/>
      </c>
      <c r="H756" s="12"/>
      <c r="I756" s="12" t="str">
        <f aca="false">IFERROR(VLOOKUP($F756,ItemList_Full,3,0),"")</f>
        <v/>
      </c>
      <c r="J756" s="12" t="str">
        <f aca="false">IFERROR(VLOOKUP($F756,ItemList_Full,4,0),"")</f>
        <v/>
      </c>
      <c r="K756" s="13"/>
      <c r="L756" s="12"/>
      <c r="M756" s="24"/>
      <c r="N756" s="12"/>
      <c r="O756" s="12"/>
      <c r="P756" s="13" t="str">
        <f aca="false">IF($E756="","",IF(OR($E756="Director Draw",$E756="Payroll/Employee Charge"),0,-$K756))</f>
        <v/>
      </c>
      <c r="Q756" s="12" t="n">
        <f aca="false">IF($E756="Inventory Purchase",$H756,0)</f>
        <v>0</v>
      </c>
    </row>
    <row r="757" customFormat="false" ht="15" hidden="false" customHeight="true" outlineLevel="0" collapsed="false">
      <c r="A757" s="19"/>
      <c r="B757" s="12" t="str">
        <f aca="false">IF($A757="","",ROW()-4)</f>
        <v/>
      </c>
      <c r="C757" s="12"/>
      <c r="D757" s="12"/>
      <c r="E757" s="24"/>
      <c r="F757" s="12"/>
      <c r="G757" s="12" t="str">
        <f aca="false">IFERROR(VLOOKUP($F757,ItemList_Full,2,0),"")</f>
        <v/>
      </c>
      <c r="H757" s="12"/>
      <c r="I757" s="12" t="str">
        <f aca="false">IFERROR(VLOOKUP($F757,ItemList_Full,3,0),"")</f>
        <v/>
      </c>
      <c r="J757" s="12" t="str">
        <f aca="false">IFERROR(VLOOKUP($F757,ItemList_Full,4,0),"")</f>
        <v/>
      </c>
      <c r="K757" s="13"/>
      <c r="L757" s="12"/>
      <c r="M757" s="24"/>
      <c r="N757" s="12"/>
      <c r="O757" s="12"/>
      <c r="P757" s="13" t="str">
        <f aca="false">IF($E757="","",IF(OR($E757="Director Draw",$E757="Payroll/Employee Charge"),0,-$K757))</f>
        <v/>
      </c>
      <c r="Q757" s="12" t="n">
        <f aca="false">IF($E757="Inventory Purchase",$H757,0)</f>
        <v>0</v>
      </c>
    </row>
    <row r="758" customFormat="false" ht="15" hidden="false" customHeight="true" outlineLevel="0" collapsed="false">
      <c r="A758" s="19"/>
      <c r="B758" s="12" t="str">
        <f aca="false">IF($A758="","",ROW()-4)</f>
        <v/>
      </c>
      <c r="C758" s="12"/>
      <c r="D758" s="12"/>
      <c r="E758" s="24"/>
      <c r="F758" s="12"/>
      <c r="G758" s="12" t="str">
        <f aca="false">IFERROR(VLOOKUP($F758,ItemList_Full,2,0),"")</f>
        <v/>
      </c>
      <c r="H758" s="12"/>
      <c r="I758" s="12" t="str">
        <f aca="false">IFERROR(VLOOKUP($F758,ItemList_Full,3,0),"")</f>
        <v/>
      </c>
      <c r="J758" s="12" t="str">
        <f aca="false">IFERROR(VLOOKUP($F758,ItemList_Full,4,0),"")</f>
        <v/>
      </c>
      <c r="K758" s="13"/>
      <c r="L758" s="12"/>
      <c r="M758" s="24"/>
      <c r="N758" s="12"/>
      <c r="O758" s="12"/>
      <c r="P758" s="13" t="str">
        <f aca="false">IF($E758="","",IF(OR($E758="Director Draw",$E758="Payroll/Employee Charge"),0,-$K758))</f>
        <v/>
      </c>
      <c r="Q758" s="12" t="n">
        <f aca="false">IF($E758="Inventory Purchase",$H758,0)</f>
        <v>0</v>
      </c>
    </row>
    <row r="759" customFormat="false" ht="15" hidden="false" customHeight="true" outlineLevel="0" collapsed="false">
      <c r="A759" s="19"/>
      <c r="B759" s="12" t="str">
        <f aca="false">IF($A759="","",ROW()-4)</f>
        <v/>
      </c>
      <c r="C759" s="12"/>
      <c r="D759" s="12"/>
      <c r="E759" s="24"/>
      <c r="F759" s="12"/>
      <c r="G759" s="12" t="str">
        <f aca="false">IFERROR(VLOOKUP($F759,ItemList_Full,2,0),"")</f>
        <v/>
      </c>
      <c r="H759" s="12"/>
      <c r="I759" s="12" t="str">
        <f aca="false">IFERROR(VLOOKUP($F759,ItemList_Full,3,0),"")</f>
        <v/>
      </c>
      <c r="J759" s="12" t="str">
        <f aca="false">IFERROR(VLOOKUP($F759,ItemList_Full,4,0),"")</f>
        <v/>
      </c>
      <c r="K759" s="13"/>
      <c r="L759" s="12"/>
      <c r="M759" s="24"/>
      <c r="N759" s="12"/>
      <c r="O759" s="12"/>
      <c r="P759" s="13" t="str">
        <f aca="false">IF($E759="","",IF(OR($E759="Director Draw",$E759="Payroll/Employee Charge"),0,-$K759))</f>
        <v/>
      </c>
      <c r="Q759" s="12" t="n">
        <f aca="false">IF($E759="Inventory Purchase",$H759,0)</f>
        <v>0</v>
      </c>
    </row>
    <row r="760" customFormat="false" ht="15" hidden="false" customHeight="true" outlineLevel="0" collapsed="false">
      <c r="A760" s="19"/>
      <c r="B760" s="12" t="str">
        <f aca="false">IF($A760="","",ROW()-4)</f>
        <v/>
      </c>
      <c r="C760" s="12"/>
      <c r="D760" s="12"/>
      <c r="E760" s="24"/>
      <c r="F760" s="12"/>
      <c r="G760" s="12" t="str">
        <f aca="false">IFERROR(VLOOKUP($F760,ItemList_Full,2,0),"")</f>
        <v/>
      </c>
      <c r="H760" s="12"/>
      <c r="I760" s="12" t="str">
        <f aca="false">IFERROR(VLOOKUP($F760,ItemList_Full,3,0),"")</f>
        <v/>
      </c>
      <c r="J760" s="12" t="str">
        <f aca="false">IFERROR(VLOOKUP($F760,ItemList_Full,4,0),"")</f>
        <v/>
      </c>
      <c r="K760" s="13"/>
      <c r="L760" s="12"/>
      <c r="M760" s="24"/>
      <c r="N760" s="12"/>
      <c r="O760" s="12"/>
      <c r="P760" s="13" t="str">
        <f aca="false">IF($E760="","",IF(OR($E760="Director Draw",$E760="Payroll/Employee Charge"),0,-$K760))</f>
        <v/>
      </c>
      <c r="Q760" s="12" t="n">
        <f aca="false">IF($E760="Inventory Purchase",$H760,0)</f>
        <v>0</v>
      </c>
    </row>
    <row r="761" customFormat="false" ht="15" hidden="false" customHeight="true" outlineLevel="0" collapsed="false">
      <c r="A761" s="19"/>
      <c r="B761" s="12" t="str">
        <f aca="false">IF($A761="","",ROW()-4)</f>
        <v/>
      </c>
      <c r="C761" s="12"/>
      <c r="D761" s="12"/>
      <c r="E761" s="24"/>
      <c r="F761" s="12"/>
      <c r="G761" s="12" t="str">
        <f aca="false">IFERROR(VLOOKUP($F761,ItemList_Full,2,0),"")</f>
        <v/>
      </c>
      <c r="H761" s="12"/>
      <c r="I761" s="12" t="str">
        <f aca="false">IFERROR(VLOOKUP($F761,ItemList_Full,3,0),"")</f>
        <v/>
      </c>
      <c r="J761" s="12" t="str">
        <f aca="false">IFERROR(VLOOKUP($F761,ItemList_Full,4,0),"")</f>
        <v/>
      </c>
      <c r="K761" s="13"/>
      <c r="L761" s="12"/>
      <c r="M761" s="24"/>
      <c r="N761" s="12"/>
      <c r="O761" s="12"/>
      <c r="P761" s="13" t="str">
        <f aca="false">IF($E761="","",IF(OR($E761="Director Draw",$E761="Payroll/Employee Charge"),0,-$K761))</f>
        <v/>
      </c>
      <c r="Q761" s="12" t="n">
        <f aca="false">IF($E761="Inventory Purchase",$H761,0)</f>
        <v>0</v>
      </c>
    </row>
    <row r="762" customFormat="false" ht="15" hidden="false" customHeight="true" outlineLevel="0" collapsed="false">
      <c r="A762" s="19"/>
      <c r="B762" s="12" t="str">
        <f aca="false">IF($A762="","",ROW()-4)</f>
        <v/>
      </c>
      <c r="C762" s="12"/>
      <c r="D762" s="12"/>
      <c r="E762" s="24"/>
      <c r="F762" s="12"/>
      <c r="G762" s="12" t="str">
        <f aca="false">IFERROR(VLOOKUP($F762,ItemList_Full,2,0),"")</f>
        <v/>
      </c>
      <c r="H762" s="12"/>
      <c r="I762" s="12" t="str">
        <f aca="false">IFERROR(VLOOKUP($F762,ItemList_Full,3,0),"")</f>
        <v/>
      </c>
      <c r="J762" s="12" t="str">
        <f aca="false">IFERROR(VLOOKUP($F762,ItemList_Full,4,0),"")</f>
        <v/>
      </c>
      <c r="K762" s="13"/>
      <c r="L762" s="12"/>
      <c r="M762" s="24"/>
      <c r="N762" s="12"/>
      <c r="O762" s="12"/>
      <c r="P762" s="13" t="str">
        <f aca="false">IF($E762="","",IF(OR($E762="Director Draw",$E762="Payroll/Employee Charge"),0,-$K762))</f>
        <v/>
      </c>
      <c r="Q762" s="12" t="n">
        <f aca="false">IF($E762="Inventory Purchase",$H762,0)</f>
        <v>0</v>
      </c>
    </row>
    <row r="763" customFormat="false" ht="15" hidden="false" customHeight="true" outlineLevel="0" collapsed="false">
      <c r="A763" s="19"/>
      <c r="B763" s="12" t="str">
        <f aca="false">IF($A763="","",ROW()-4)</f>
        <v/>
      </c>
      <c r="C763" s="12"/>
      <c r="D763" s="12"/>
      <c r="E763" s="24"/>
      <c r="F763" s="12"/>
      <c r="G763" s="12" t="str">
        <f aca="false">IFERROR(VLOOKUP($F763,ItemList_Full,2,0),"")</f>
        <v/>
      </c>
      <c r="H763" s="12"/>
      <c r="I763" s="12" t="str">
        <f aca="false">IFERROR(VLOOKUP($F763,ItemList_Full,3,0),"")</f>
        <v/>
      </c>
      <c r="J763" s="12" t="str">
        <f aca="false">IFERROR(VLOOKUP($F763,ItemList_Full,4,0),"")</f>
        <v/>
      </c>
      <c r="K763" s="13"/>
      <c r="L763" s="12"/>
      <c r="M763" s="24"/>
      <c r="N763" s="12"/>
      <c r="O763" s="12"/>
      <c r="P763" s="13" t="str">
        <f aca="false">IF($E763="","",IF(OR($E763="Director Draw",$E763="Payroll/Employee Charge"),0,-$K763))</f>
        <v/>
      </c>
      <c r="Q763" s="12" t="n">
        <f aca="false">IF($E763="Inventory Purchase",$H763,0)</f>
        <v>0</v>
      </c>
    </row>
    <row r="764" customFormat="false" ht="15" hidden="false" customHeight="true" outlineLevel="0" collapsed="false">
      <c r="A764" s="19"/>
      <c r="B764" s="12" t="str">
        <f aca="false">IF($A764="","",ROW()-4)</f>
        <v/>
      </c>
      <c r="C764" s="12"/>
      <c r="D764" s="12"/>
      <c r="E764" s="24"/>
      <c r="F764" s="12"/>
      <c r="G764" s="12" t="str">
        <f aca="false">IFERROR(VLOOKUP($F764,ItemList_Full,2,0),"")</f>
        <v/>
      </c>
      <c r="H764" s="12"/>
      <c r="I764" s="12" t="str">
        <f aca="false">IFERROR(VLOOKUP($F764,ItemList_Full,3,0),"")</f>
        <v/>
      </c>
      <c r="J764" s="12" t="str">
        <f aca="false">IFERROR(VLOOKUP($F764,ItemList_Full,4,0),"")</f>
        <v/>
      </c>
      <c r="K764" s="13"/>
      <c r="L764" s="12"/>
      <c r="M764" s="24"/>
      <c r="N764" s="12"/>
      <c r="O764" s="12"/>
      <c r="P764" s="13" t="str">
        <f aca="false">IF($E764="","",IF(OR($E764="Director Draw",$E764="Payroll/Employee Charge"),0,-$K764))</f>
        <v/>
      </c>
      <c r="Q764" s="12" t="n">
        <f aca="false">IF($E764="Inventory Purchase",$H764,0)</f>
        <v>0</v>
      </c>
    </row>
    <row r="765" customFormat="false" ht="15" hidden="false" customHeight="true" outlineLevel="0" collapsed="false">
      <c r="A765" s="19"/>
      <c r="B765" s="12" t="str">
        <f aca="false">IF($A765="","",ROW()-4)</f>
        <v/>
      </c>
      <c r="C765" s="12"/>
      <c r="D765" s="12"/>
      <c r="E765" s="24"/>
      <c r="F765" s="12"/>
      <c r="G765" s="12" t="str">
        <f aca="false">IFERROR(VLOOKUP($F765,ItemList_Full,2,0),"")</f>
        <v/>
      </c>
      <c r="H765" s="12"/>
      <c r="I765" s="12" t="str">
        <f aca="false">IFERROR(VLOOKUP($F765,ItemList_Full,3,0),"")</f>
        <v/>
      </c>
      <c r="J765" s="12" t="str">
        <f aca="false">IFERROR(VLOOKUP($F765,ItemList_Full,4,0),"")</f>
        <v/>
      </c>
      <c r="K765" s="13"/>
      <c r="L765" s="12"/>
      <c r="M765" s="24"/>
      <c r="N765" s="12"/>
      <c r="O765" s="12"/>
      <c r="P765" s="13" t="str">
        <f aca="false">IF($E765="","",IF(OR($E765="Director Draw",$E765="Payroll/Employee Charge"),0,-$K765))</f>
        <v/>
      </c>
      <c r="Q765" s="12" t="n">
        <f aca="false">IF($E765="Inventory Purchase",$H765,0)</f>
        <v>0</v>
      </c>
    </row>
    <row r="766" customFormat="false" ht="15" hidden="false" customHeight="true" outlineLevel="0" collapsed="false">
      <c r="A766" s="19"/>
      <c r="B766" s="12" t="str">
        <f aca="false">IF($A766="","",ROW()-4)</f>
        <v/>
      </c>
      <c r="C766" s="12"/>
      <c r="D766" s="12"/>
      <c r="E766" s="24"/>
      <c r="F766" s="12"/>
      <c r="G766" s="12" t="str">
        <f aca="false">IFERROR(VLOOKUP($F766,ItemList_Full,2,0),"")</f>
        <v/>
      </c>
      <c r="H766" s="12"/>
      <c r="I766" s="12" t="str">
        <f aca="false">IFERROR(VLOOKUP($F766,ItemList_Full,3,0),"")</f>
        <v/>
      </c>
      <c r="J766" s="12" t="str">
        <f aca="false">IFERROR(VLOOKUP($F766,ItemList_Full,4,0),"")</f>
        <v/>
      </c>
      <c r="K766" s="13"/>
      <c r="L766" s="12"/>
      <c r="M766" s="24"/>
      <c r="N766" s="12"/>
      <c r="O766" s="12"/>
      <c r="P766" s="13" t="str">
        <f aca="false">IF($E766="","",IF(OR($E766="Director Draw",$E766="Payroll/Employee Charge"),0,-$K766))</f>
        <v/>
      </c>
      <c r="Q766" s="12" t="n">
        <f aca="false">IF($E766="Inventory Purchase",$H766,0)</f>
        <v>0</v>
      </c>
    </row>
    <row r="767" customFormat="false" ht="15" hidden="false" customHeight="true" outlineLevel="0" collapsed="false">
      <c r="A767" s="19"/>
      <c r="B767" s="12" t="str">
        <f aca="false">IF($A767="","",ROW()-4)</f>
        <v/>
      </c>
      <c r="C767" s="12"/>
      <c r="D767" s="12"/>
      <c r="E767" s="24"/>
      <c r="F767" s="12"/>
      <c r="G767" s="12" t="str">
        <f aca="false">IFERROR(VLOOKUP($F767,ItemList_Full,2,0),"")</f>
        <v/>
      </c>
      <c r="H767" s="12"/>
      <c r="I767" s="12" t="str">
        <f aca="false">IFERROR(VLOOKUP($F767,ItemList_Full,3,0),"")</f>
        <v/>
      </c>
      <c r="J767" s="12" t="str">
        <f aca="false">IFERROR(VLOOKUP($F767,ItemList_Full,4,0),"")</f>
        <v/>
      </c>
      <c r="K767" s="13"/>
      <c r="L767" s="12"/>
      <c r="M767" s="24"/>
      <c r="N767" s="12"/>
      <c r="O767" s="12"/>
      <c r="P767" s="13" t="str">
        <f aca="false">IF($E767="","",IF(OR($E767="Director Draw",$E767="Payroll/Employee Charge"),0,-$K767))</f>
        <v/>
      </c>
      <c r="Q767" s="12" t="n">
        <f aca="false">IF($E767="Inventory Purchase",$H767,0)</f>
        <v>0</v>
      </c>
    </row>
    <row r="768" customFormat="false" ht="15" hidden="false" customHeight="true" outlineLevel="0" collapsed="false">
      <c r="A768" s="19"/>
      <c r="B768" s="12" t="str">
        <f aca="false">IF($A768="","",ROW()-4)</f>
        <v/>
      </c>
      <c r="C768" s="12"/>
      <c r="D768" s="12"/>
      <c r="E768" s="24"/>
      <c r="F768" s="12"/>
      <c r="G768" s="12" t="str">
        <f aca="false">IFERROR(VLOOKUP($F768,ItemList_Full,2,0),"")</f>
        <v/>
      </c>
      <c r="H768" s="12"/>
      <c r="I768" s="12" t="str">
        <f aca="false">IFERROR(VLOOKUP($F768,ItemList_Full,3,0),"")</f>
        <v/>
      </c>
      <c r="J768" s="12" t="str">
        <f aca="false">IFERROR(VLOOKUP($F768,ItemList_Full,4,0),"")</f>
        <v/>
      </c>
      <c r="K768" s="13"/>
      <c r="L768" s="12"/>
      <c r="M768" s="24"/>
      <c r="N768" s="12"/>
      <c r="O768" s="12"/>
      <c r="P768" s="13" t="str">
        <f aca="false">IF($E768="","",IF(OR($E768="Director Draw",$E768="Payroll/Employee Charge"),0,-$K768))</f>
        <v/>
      </c>
      <c r="Q768" s="12" t="n">
        <f aca="false">IF($E768="Inventory Purchase",$H768,0)</f>
        <v>0</v>
      </c>
    </row>
    <row r="769" customFormat="false" ht="15" hidden="false" customHeight="true" outlineLevel="0" collapsed="false">
      <c r="A769" s="19"/>
      <c r="B769" s="12" t="str">
        <f aca="false">IF($A769="","",ROW()-4)</f>
        <v/>
      </c>
      <c r="C769" s="12"/>
      <c r="D769" s="12"/>
      <c r="E769" s="24"/>
      <c r="F769" s="12"/>
      <c r="G769" s="12" t="str">
        <f aca="false">IFERROR(VLOOKUP($F769,ItemList_Full,2,0),"")</f>
        <v/>
      </c>
      <c r="H769" s="12"/>
      <c r="I769" s="12" t="str">
        <f aca="false">IFERROR(VLOOKUP($F769,ItemList_Full,3,0),"")</f>
        <v/>
      </c>
      <c r="J769" s="12" t="str">
        <f aca="false">IFERROR(VLOOKUP($F769,ItemList_Full,4,0),"")</f>
        <v/>
      </c>
      <c r="K769" s="13"/>
      <c r="L769" s="12"/>
      <c r="M769" s="24"/>
      <c r="N769" s="12"/>
      <c r="O769" s="12"/>
      <c r="P769" s="13" t="str">
        <f aca="false">IF($E769="","",IF(OR($E769="Director Draw",$E769="Payroll/Employee Charge"),0,-$K769))</f>
        <v/>
      </c>
      <c r="Q769" s="12" t="n">
        <f aca="false">IF($E769="Inventory Purchase",$H769,0)</f>
        <v>0</v>
      </c>
    </row>
    <row r="770" customFormat="false" ht="15" hidden="false" customHeight="true" outlineLevel="0" collapsed="false">
      <c r="A770" s="19"/>
      <c r="B770" s="12" t="str">
        <f aca="false">IF($A770="","",ROW()-4)</f>
        <v/>
      </c>
      <c r="C770" s="12"/>
      <c r="D770" s="12"/>
      <c r="E770" s="24"/>
      <c r="F770" s="12"/>
      <c r="G770" s="12" t="str">
        <f aca="false">IFERROR(VLOOKUP($F770,ItemList_Full,2,0),"")</f>
        <v/>
      </c>
      <c r="H770" s="12"/>
      <c r="I770" s="12" t="str">
        <f aca="false">IFERROR(VLOOKUP($F770,ItemList_Full,3,0),"")</f>
        <v/>
      </c>
      <c r="J770" s="12" t="str">
        <f aca="false">IFERROR(VLOOKUP($F770,ItemList_Full,4,0),"")</f>
        <v/>
      </c>
      <c r="K770" s="13"/>
      <c r="L770" s="12"/>
      <c r="M770" s="24"/>
      <c r="N770" s="12"/>
      <c r="O770" s="12"/>
      <c r="P770" s="13" t="str">
        <f aca="false">IF($E770="","",IF(OR($E770="Director Draw",$E770="Payroll/Employee Charge"),0,-$K770))</f>
        <v/>
      </c>
      <c r="Q770" s="12" t="n">
        <f aca="false">IF($E770="Inventory Purchase",$H770,0)</f>
        <v>0</v>
      </c>
    </row>
    <row r="771" customFormat="false" ht="15" hidden="false" customHeight="true" outlineLevel="0" collapsed="false">
      <c r="A771" s="19"/>
      <c r="B771" s="12" t="str">
        <f aca="false">IF($A771="","",ROW()-4)</f>
        <v/>
      </c>
      <c r="C771" s="12"/>
      <c r="D771" s="12"/>
      <c r="E771" s="24"/>
      <c r="F771" s="12"/>
      <c r="G771" s="12" t="str">
        <f aca="false">IFERROR(VLOOKUP($F771,ItemList_Full,2,0),"")</f>
        <v/>
      </c>
      <c r="H771" s="12"/>
      <c r="I771" s="12" t="str">
        <f aca="false">IFERROR(VLOOKUP($F771,ItemList_Full,3,0),"")</f>
        <v/>
      </c>
      <c r="J771" s="12" t="str">
        <f aca="false">IFERROR(VLOOKUP($F771,ItemList_Full,4,0),"")</f>
        <v/>
      </c>
      <c r="K771" s="13"/>
      <c r="L771" s="12"/>
      <c r="M771" s="24"/>
      <c r="N771" s="12"/>
      <c r="O771" s="12"/>
      <c r="P771" s="13" t="str">
        <f aca="false">IF($E771="","",IF(OR($E771="Director Draw",$E771="Payroll/Employee Charge"),0,-$K771))</f>
        <v/>
      </c>
      <c r="Q771" s="12" t="n">
        <f aca="false">IF($E771="Inventory Purchase",$H771,0)</f>
        <v>0</v>
      </c>
    </row>
    <row r="772" customFormat="false" ht="15" hidden="false" customHeight="true" outlineLevel="0" collapsed="false">
      <c r="A772" s="19"/>
      <c r="B772" s="12" t="str">
        <f aca="false">IF($A772="","",ROW()-4)</f>
        <v/>
      </c>
      <c r="C772" s="12"/>
      <c r="D772" s="12"/>
      <c r="E772" s="24"/>
      <c r="F772" s="12"/>
      <c r="G772" s="12" t="str">
        <f aca="false">IFERROR(VLOOKUP($F772,ItemList_Full,2,0),"")</f>
        <v/>
      </c>
      <c r="H772" s="12"/>
      <c r="I772" s="12" t="str">
        <f aca="false">IFERROR(VLOOKUP($F772,ItemList_Full,3,0),"")</f>
        <v/>
      </c>
      <c r="J772" s="12" t="str">
        <f aca="false">IFERROR(VLOOKUP($F772,ItemList_Full,4,0),"")</f>
        <v/>
      </c>
      <c r="K772" s="13"/>
      <c r="L772" s="12"/>
      <c r="M772" s="24"/>
      <c r="N772" s="12"/>
      <c r="O772" s="12"/>
      <c r="P772" s="13" t="str">
        <f aca="false">IF($E772="","",IF(OR($E772="Director Draw",$E772="Payroll/Employee Charge"),0,-$K772))</f>
        <v/>
      </c>
      <c r="Q772" s="12" t="n">
        <f aca="false">IF($E772="Inventory Purchase",$H772,0)</f>
        <v>0</v>
      </c>
    </row>
    <row r="773" customFormat="false" ht="15" hidden="false" customHeight="true" outlineLevel="0" collapsed="false">
      <c r="A773" s="19"/>
      <c r="B773" s="12" t="str">
        <f aca="false">IF($A773="","",ROW()-4)</f>
        <v/>
      </c>
      <c r="C773" s="12"/>
      <c r="D773" s="12"/>
      <c r="E773" s="24"/>
      <c r="F773" s="12"/>
      <c r="G773" s="12" t="str">
        <f aca="false">IFERROR(VLOOKUP($F773,ItemList_Full,2,0),"")</f>
        <v/>
      </c>
      <c r="H773" s="12"/>
      <c r="I773" s="12" t="str">
        <f aca="false">IFERROR(VLOOKUP($F773,ItemList_Full,3,0),"")</f>
        <v/>
      </c>
      <c r="J773" s="12" t="str">
        <f aca="false">IFERROR(VLOOKUP($F773,ItemList_Full,4,0),"")</f>
        <v/>
      </c>
      <c r="K773" s="13"/>
      <c r="L773" s="12"/>
      <c r="M773" s="24"/>
      <c r="N773" s="12"/>
      <c r="O773" s="12"/>
      <c r="P773" s="13" t="str">
        <f aca="false">IF($E773="","",IF(OR($E773="Director Draw",$E773="Payroll/Employee Charge"),0,-$K773))</f>
        <v/>
      </c>
      <c r="Q773" s="12" t="n">
        <f aca="false">IF($E773="Inventory Purchase",$H773,0)</f>
        <v>0</v>
      </c>
    </row>
    <row r="774" customFormat="false" ht="15" hidden="false" customHeight="true" outlineLevel="0" collapsed="false">
      <c r="A774" s="19"/>
      <c r="B774" s="12" t="str">
        <f aca="false">IF($A774="","",ROW()-4)</f>
        <v/>
      </c>
      <c r="C774" s="12"/>
      <c r="D774" s="12"/>
      <c r="E774" s="24"/>
      <c r="F774" s="12"/>
      <c r="G774" s="12" t="str">
        <f aca="false">IFERROR(VLOOKUP($F774,ItemList_Full,2,0),"")</f>
        <v/>
      </c>
      <c r="H774" s="12"/>
      <c r="I774" s="12" t="str">
        <f aca="false">IFERROR(VLOOKUP($F774,ItemList_Full,3,0),"")</f>
        <v/>
      </c>
      <c r="J774" s="12" t="str">
        <f aca="false">IFERROR(VLOOKUP($F774,ItemList_Full,4,0),"")</f>
        <v/>
      </c>
      <c r="K774" s="13"/>
      <c r="L774" s="12"/>
      <c r="M774" s="24"/>
      <c r="N774" s="12"/>
      <c r="O774" s="12"/>
      <c r="P774" s="13" t="str">
        <f aca="false">IF($E774="","",IF(OR($E774="Director Draw",$E774="Payroll/Employee Charge"),0,-$K774))</f>
        <v/>
      </c>
      <c r="Q774" s="12" t="n">
        <f aca="false">IF($E774="Inventory Purchase",$H774,0)</f>
        <v>0</v>
      </c>
    </row>
    <row r="775" customFormat="false" ht="15" hidden="false" customHeight="true" outlineLevel="0" collapsed="false">
      <c r="A775" s="19"/>
      <c r="B775" s="12" t="str">
        <f aca="false">IF($A775="","",ROW()-4)</f>
        <v/>
      </c>
      <c r="C775" s="12"/>
      <c r="D775" s="12"/>
      <c r="E775" s="24"/>
      <c r="F775" s="12"/>
      <c r="G775" s="12" t="str">
        <f aca="false">IFERROR(VLOOKUP($F775,ItemList_Full,2,0),"")</f>
        <v/>
      </c>
      <c r="H775" s="12"/>
      <c r="I775" s="12" t="str">
        <f aca="false">IFERROR(VLOOKUP($F775,ItemList_Full,3,0),"")</f>
        <v/>
      </c>
      <c r="J775" s="12" t="str">
        <f aca="false">IFERROR(VLOOKUP($F775,ItemList_Full,4,0),"")</f>
        <v/>
      </c>
      <c r="K775" s="13"/>
      <c r="L775" s="12"/>
      <c r="M775" s="24"/>
      <c r="N775" s="12"/>
      <c r="O775" s="12"/>
      <c r="P775" s="13" t="str">
        <f aca="false">IF($E775="","",IF(OR($E775="Director Draw",$E775="Payroll/Employee Charge"),0,-$K775))</f>
        <v/>
      </c>
      <c r="Q775" s="12" t="n">
        <f aca="false">IF($E775="Inventory Purchase",$H775,0)</f>
        <v>0</v>
      </c>
    </row>
    <row r="776" customFormat="false" ht="15" hidden="false" customHeight="true" outlineLevel="0" collapsed="false">
      <c r="A776" s="19"/>
      <c r="B776" s="12" t="str">
        <f aca="false">IF($A776="","",ROW()-4)</f>
        <v/>
      </c>
      <c r="C776" s="12"/>
      <c r="D776" s="12"/>
      <c r="E776" s="24"/>
      <c r="F776" s="12"/>
      <c r="G776" s="12" t="str">
        <f aca="false">IFERROR(VLOOKUP($F776,ItemList_Full,2,0),"")</f>
        <v/>
      </c>
      <c r="H776" s="12"/>
      <c r="I776" s="12" t="str">
        <f aca="false">IFERROR(VLOOKUP($F776,ItemList_Full,3,0),"")</f>
        <v/>
      </c>
      <c r="J776" s="12" t="str">
        <f aca="false">IFERROR(VLOOKUP($F776,ItemList_Full,4,0),"")</f>
        <v/>
      </c>
      <c r="K776" s="13"/>
      <c r="L776" s="12"/>
      <c r="M776" s="24"/>
      <c r="N776" s="12"/>
      <c r="O776" s="12"/>
      <c r="P776" s="13" t="str">
        <f aca="false">IF($E776="","",IF(OR($E776="Director Draw",$E776="Payroll/Employee Charge"),0,-$K776))</f>
        <v/>
      </c>
      <c r="Q776" s="12" t="n">
        <f aca="false">IF($E776="Inventory Purchase",$H776,0)</f>
        <v>0</v>
      </c>
    </row>
    <row r="777" customFormat="false" ht="15" hidden="false" customHeight="true" outlineLevel="0" collapsed="false">
      <c r="A777" s="19"/>
      <c r="B777" s="12" t="str">
        <f aca="false">IF($A777="","",ROW()-4)</f>
        <v/>
      </c>
      <c r="C777" s="12"/>
      <c r="D777" s="12"/>
      <c r="E777" s="24"/>
      <c r="F777" s="12"/>
      <c r="G777" s="12" t="str">
        <f aca="false">IFERROR(VLOOKUP($F777,ItemList_Full,2,0),"")</f>
        <v/>
      </c>
      <c r="H777" s="12"/>
      <c r="I777" s="12" t="str">
        <f aca="false">IFERROR(VLOOKUP($F777,ItemList_Full,3,0),"")</f>
        <v/>
      </c>
      <c r="J777" s="12" t="str">
        <f aca="false">IFERROR(VLOOKUP($F777,ItemList_Full,4,0),"")</f>
        <v/>
      </c>
      <c r="K777" s="13"/>
      <c r="L777" s="12"/>
      <c r="M777" s="24"/>
      <c r="N777" s="12"/>
      <c r="O777" s="12"/>
      <c r="P777" s="13" t="str">
        <f aca="false">IF($E777="","",IF(OR($E777="Director Draw",$E777="Payroll/Employee Charge"),0,-$K777))</f>
        <v/>
      </c>
      <c r="Q777" s="12" t="n">
        <f aca="false">IF($E777="Inventory Purchase",$H777,0)</f>
        <v>0</v>
      </c>
    </row>
    <row r="778" customFormat="false" ht="15" hidden="false" customHeight="true" outlineLevel="0" collapsed="false">
      <c r="A778" s="19"/>
      <c r="B778" s="12" t="str">
        <f aca="false">IF($A778="","",ROW()-4)</f>
        <v/>
      </c>
      <c r="C778" s="12"/>
      <c r="D778" s="12"/>
      <c r="E778" s="24"/>
      <c r="F778" s="12"/>
      <c r="G778" s="12" t="str">
        <f aca="false">IFERROR(VLOOKUP($F778,ItemList_Full,2,0),"")</f>
        <v/>
      </c>
      <c r="H778" s="12"/>
      <c r="I778" s="12" t="str">
        <f aca="false">IFERROR(VLOOKUP($F778,ItemList_Full,3,0),"")</f>
        <v/>
      </c>
      <c r="J778" s="12" t="str">
        <f aca="false">IFERROR(VLOOKUP($F778,ItemList_Full,4,0),"")</f>
        <v/>
      </c>
      <c r="K778" s="13"/>
      <c r="L778" s="12"/>
      <c r="M778" s="24"/>
      <c r="N778" s="12"/>
      <c r="O778" s="12"/>
      <c r="P778" s="13" t="str">
        <f aca="false">IF($E778="","",IF(OR($E778="Director Draw",$E778="Payroll/Employee Charge"),0,-$K778))</f>
        <v/>
      </c>
      <c r="Q778" s="12" t="n">
        <f aca="false">IF($E778="Inventory Purchase",$H778,0)</f>
        <v>0</v>
      </c>
    </row>
    <row r="779" customFormat="false" ht="15" hidden="false" customHeight="true" outlineLevel="0" collapsed="false">
      <c r="A779" s="19"/>
      <c r="B779" s="12" t="str">
        <f aca="false">IF($A779="","",ROW()-4)</f>
        <v/>
      </c>
      <c r="C779" s="12"/>
      <c r="D779" s="12"/>
      <c r="E779" s="24"/>
      <c r="F779" s="12"/>
      <c r="G779" s="12" t="str">
        <f aca="false">IFERROR(VLOOKUP($F779,ItemList_Full,2,0),"")</f>
        <v/>
      </c>
      <c r="H779" s="12"/>
      <c r="I779" s="12" t="str">
        <f aca="false">IFERROR(VLOOKUP($F779,ItemList_Full,3,0),"")</f>
        <v/>
      </c>
      <c r="J779" s="12" t="str">
        <f aca="false">IFERROR(VLOOKUP($F779,ItemList_Full,4,0),"")</f>
        <v/>
      </c>
      <c r="K779" s="13"/>
      <c r="L779" s="12"/>
      <c r="M779" s="24"/>
      <c r="N779" s="12"/>
      <c r="O779" s="12"/>
      <c r="P779" s="13" t="str">
        <f aca="false">IF($E779="","",IF(OR($E779="Director Draw",$E779="Payroll/Employee Charge"),0,-$K779))</f>
        <v/>
      </c>
      <c r="Q779" s="12" t="n">
        <f aca="false">IF($E779="Inventory Purchase",$H779,0)</f>
        <v>0</v>
      </c>
    </row>
    <row r="780" customFormat="false" ht="15" hidden="false" customHeight="true" outlineLevel="0" collapsed="false">
      <c r="A780" s="19"/>
      <c r="B780" s="12" t="str">
        <f aca="false">IF($A780="","",ROW()-4)</f>
        <v/>
      </c>
      <c r="C780" s="12"/>
      <c r="D780" s="12"/>
      <c r="E780" s="24"/>
      <c r="F780" s="12"/>
      <c r="G780" s="12" t="str">
        <f aca="false">IFERROR(VLOOKUP($F780,ItemList_Full,2,0),"")</f>
        <v/>
      </c>
      <c r="H780" s="12"/>
      <c r="I780" s="12" t="str">
        <f aca="false">IFERROR(VLOOKUP($F780,ItemList_Full,3,0),"")</f>
        <v/>
      </c>
      <c r="J780" s="12" t="str">
        <f aca="false">IFERROR(VLOOKUP($F780,ItemList_Full,4,0),"")</f>
        <v/>
      </c>
      <c r="K780" s="13"/>
      <c r="L780" s="12"/>
      <c r="M780" s="24"/>
      <c r="N780" s="12"/>
      <c r="O780" s="12"/>
      <c r="P780" s="13" t="str">
        <f aca="false">IF($E780="","",IF(OR($E780="Director Draw",$E780="Payroll/Employee Charge"),0,-$K780))</f>
        <v/>
      </c>
      <c r="Q780" s="12" t="n">
        <f aca="false">IF($E780="Inventory Purchase",$H780,0)</f>
        <v>0</v>
      </c>
    </row>
    <row r="781" customFormat="false" ht="15" hidden="false" customHeight="true" outlineLevel="0" collapsed="false">
      <c r="A781" s="19"/>
      <c r="B781" s="12" t="str">
        <f aca="false">IF($A781="","",ROW()-4)</f>
        <v/>
      </c>
      <c r="C781" s="12"/>
      <c r="D781" s="12"/>
      <c r="E781" s="24"/>
      <c r="F781" s="12"/>
      <c r="G781" s="12" t="str">
        <f aca="false">IFERROR(VLOOKUP($F781,ItemList_Full,2,0),"")</f>
        <v/>
      </c>
      <c r="H781" s="12"/>
      <c r="I781" s="12" t="str">
        <f aca="false">IFERROR(VLOOKUP($F781,ItemList_Full,3,0),"")</f>
        <v/>
      </c>
      <c r="J781" s="12" t="str">
        <f aca="false">IFERROR(VLOOKUP($F781,ItemList_Full,4,0),"")</f>
        <v/>
      </c>
      <c r="K781" s="13"/>
      <c r="L781" s="12"/>
      <c r="M781" s="24"/>
      <c r="N781" s="12"/>
      <c r="O781" s="12"/>
      <c r="P781" s="13" t="str">
        <f aca="false">IF($E781="","",IF(OR($E781="Director Draw",$E781="Payroll/Employee Charge"),0,-$K781))</f>
        <v/>
      </c>
      <c r="Q781" s="12" t="n">
        <f aca="false">IF($E781="Inventory Purchase",$H781,0)</f>
        <v>0</v>
      </c>
    </row>
    <row r="782" customFormat="false" ht="15" hidden="false" customHeight="true" outlineLevel="0" collapsed="false">
      <c r="A782" s="19"/>
      <c r="B782" s="12" t="str">
        <f aca="false">IF($A782="","",ROW()-4)</f>
        <v/>
      </c>
      <c r="C782" s="12"/>
      <c r="D782" s="12"/>
      <c r="E782" s="24"/>
      <c r="F782" s="12"/>
      <c r="G782" s="12" t="str">
        <f aca="false">IFERROR(VLOOKUP($F782,ItemList_Full,2,0),"")</f>
        <v/>
      </c>
      <c r="H782" s="12"/>
      <c r="I782" s="12" t="str">
        <f aca="false">IFERROR(VLOOKUP($F782,ItemList_Full,3,0),"")</f>
        <v/>
      </c>
      <c r="J782" s="12" t="str">
        <f aca="false">IFERROR(VLOOKUP($F782,ItemList_Full,4,0),"")</f>
        <v/>
      </c>
      <c r="K782" s="13"/>
      <c r="L782" s="12"/>
      <c r="M782" s="24"/>
      <c r="N782" s="12"/>
      <c r="O782" s="12"/>
      <c r="P782" s="13" t="str">
        <f aca="false">IF($E782="","",IF(OR($E782="Director Draw",$E782="Payroll/Employee Charge"),0,-$K782))</f>
        <v/>
      </c>
      <c r="Q782" s="12" t="n">
        <f aca="false">IF($E782="Inventory Purchase",$H782,0)</f>
        <v>0</v>
      </c>
    </row>
    <row r="783" customFormat="false" ht="15" hidden="false" customHeight="true" outlineLevel="0" collapsed="false">
      <c r="A783" s="19"/>
      <c r="B783" s="12" t="str">
        <f aca="false">IF($A783="","",ROW()-4)</f>
        <v/>
      </c>
      <c r="C783" s="12"/>
      <c r="D783" s="12"/>
      <c r="E783" s="24"/>
      <c r="F783" s="12"/>
      <c r="G783" s="12" t="str">
        <f aca="false">IFERROR(VLOOKUP($F783,ItemList_Full,2,0),"")</f>
        <v/>
      </c>
      <c r="H783" s="12"/>
      <c r="I783" s="12" t="str">
        <f aca="false">IFERROR(VLOOKUP($F783,ItemList_Full,3,0),"")</f>
        <v/>
      </c>
      <c r="J783" s="12" t="str">
        <f aca="false">IFERROR(VLOOKUP($F783,ItemList_Full,4,0),"")</f>
        <v/>
      </c>
      <c r="K783" s="13"/>
      <c r="L783" s="12"/>
      <c r="M783" s="24"/>
      <c r="N783" s="12"/>
      <c r="O783" s="12"/>
      <c r="P783" s="13" t="str">
        <f aca="false">IF($E783="","",IF(OR($E783="Director Draw",$E783="Payroll/Employee Charge"),0,-$K783))</f>
        <v/>
      </c>
      <c r="Q783" s="12" t="n">
        <f aca="false">IF($E783="Inventory Purchase",$H783,0)</f>
        <v>0</v>
      </c>
    </row>
    <row r="784" customFormat="false" ht="15" hidden="false" customHeight="true" outlineLevel="0" collapsed="false">
      <c r="A784" s="19"/>
      <c r="B784" s="12" t="str">
        <f aca="false">IF($A784="","",ROW()-4)</f>
        <v/>
      </c>
      <c r="C784" s="12"/>
      <c r="D784" s="12"/>
      <c r="E784" s="24"/>
      <c r="F784" s="12"/>
      <c r="G784" s="12" t="str">
        <f aca="false">IFERROR(VLOOKUP($F784,ItemList_Full,2,0),"")</f>
        <v/>
      </c>
      <c r="H784" s="12"/>
      <c r="I784" s="12" t="str">
        <f aca="false">IFERROR(VLOOKUP($F784,ItemList_Full,3,0),"")</f>
        <v/>
      </c>
      <c r="J784" s="12" t="str">
        <f aca="false">IFERROR(VLOOKUP($F784,ItemList_Full,4,0),"")</f>
        <v/>
      </c>
      <c r="K784" s="13"/>
      <c r="L784" s="12"/>
      <c r="M784" s="24"/>
      <c r="N784" s="12"/>
      <c r="O784" s="12"/>
      <c r="P784" s="13" t="str">
        <f aca="false">IF($E784="","",IF(OR($E784="Director Draw",$E784="Payroll/Employee Charge"),0,-$K784))</f>
        <v/>
      </c>
      <c r="Q784" s="12" t="n">
        <f aca="false">IF($E784="Inventory Purchase",$H784,0)</f>
        <v>0</v>
      </c>
    </row>
    <row r="785" customFormat="false" ht="15" hidden="false" customHeight="true" outlineLevel="0" collapsed="false">
      <c r="A785" s="19"/>
      <c r="B785" s="12" t="str">
        <f aca="false">IF($A785="","",ROW()-4)</f>
        <v/>
      </c>
      <c r="C785" s="12"/>
      <c r="D785" s="12"/>
      <c r="E785" s="24"/>
      <c r="F785" s="12"/>
      <c r="G785" s="12" t="str">
        <f aca="false">IFERROR(VLOOKUP($F785,ItemList_Full,2,0),"")</f>
        <v/>
      </c>
      <c r="H785" s="12"/>
      <c r="I785" s="12" t="str">
        <f aca="false">IFERROR(VLOOKUP($F785,ItemList_Full,3,0),"")</f>
        <v/>
      </c>
      <c r="J785" s="12" t="str">
        <f aca="false">IFERROR(VLOOKUP($F785,ItemList_Full,4,0),"")</f>
        <v/>
      </c>
      <c r="K785" s="13"/>
      <c r="L785" s="12"/>
      <c r="M785" s="24"/>
      <c r="N785" s="12"/>
      <c r="O785" s="12"/>
      <c r="P785" s="13" t="str">
        <f aca="false">IF($E785="","",IF(OR($E785="Director Draw",$E785="Payroll/Employee Charge"),0,-$K785))</f>
        <v/>
      </c>
      <c r="Q785" s="12" t="n">
        <f aca="false">IF($E785="Inventory Purchase",$H785,0)</f>
        <v>0</v>
      </c>
    </row>
    <row r="786" customFormat="false" ht="15" hidden="false" customHeight="true" outlineLevel="0" collapsed="false">
      <c r="A786" s="19"/>
      <c r="B786" s="12" t="str">
        <f aca="false">IF($A786="","",ROW()-4)</f>
        <v/>
      </c>
      <c r="C786" s="12"/>
      <c r="D786" s="12"/>
      <c r="E786" s="24"/>
      <c r="F786" s="12"/>
      <c r="G786" s="12" t="str">
        <f aca="false">IFERROR(VLOOKUP($F786,ItemList_Full,2,0),"")</f>
        <v/>
      </c>
      <c r="H786" s="12"/>
      <c r="I786" s="12" t="str">
        <f aca="false">IFERROR(VLOOKUP($F786,ItemList_Full,3,0),"")</f>
        <v/>
      </c>
      <c r="J786" s="12" t="str">
        <f aca="false">IFERROR(VLOOKUP($F786,ItemList_Full,4,0),"")</f>
        <v/>
      </c>
      <c r="K786" s="13"/>
      <c r="L786" s="12"/>
      <c r="M786" s="24"/>
      <c r="N786" s="12"/>
      <c r="O786" s="12"/>
      <c r="P786" s="13" t="str">
        <f aca="false">IF($E786="","",IF(OR($E786="Director Draw",$E786="Payroll/Employee Charge"),0,-$K786))</f>
        <v/>
      </c>
      <c r="Q786" s="12" t="n">
        <f aca="false">IF($E786="Inventory Purchase",$H786,0)</f>
        <v>0</v>
      </c>
    </row>
    <row r="787" customFormat="false" ht="15" hidden="false" customHeight="true" outlineLevel="0" collapsed="false">
      <c r="A787" s="19"/>
      <c r="B787" s="12" t="str">
        <f aca="false">IF($A787="","",ROW()-4)</f>
        <v/>
      </c>
      <c r="C787" s="12"/>
      <c r="D787" s="12"/>
      <c r="E787" s="24"/>
      <c r="F787" s="12"/>
      <c r="G787" s="12" t="str">
        <f aca="false">IFERROR(VLOOKUP($F787,ItemList_Full,2,0),"")</f>
        <v/>
      </c>
      <c r="H787" s="12"/>
      <c r="I787" s="12" t="str">
        <f aca="false">IFERROR(VLOOKUP($F787,ItemList_Full,3,0),"")</f>
        <v/>
      </c>
      <c r="J787" s="12" t="str">
        <f aca="false">IFERROR(VLOOKUP($F787,ItemList_Full,4,0),"")</f>
        <v/>
      </c>
      <c r="K787" s="13"/>
      <c r="L787" s="12"/>
      <c r="M787" s="24"/>
      <c r="N787" s="12"/>
      <c r="O787" s="12"/>
      <c r="P787" s="13" t="str">
        <f aca="false">IF($E787="","",IF(OR($E787="Director Draw",$E787="Payroll/Employee Charge"),0,-$K787))</f>
        <v/>
      </c>
      <c r="Q787" s="12" t="n">
        <f aca="false">IF($E787="Inventory Purchase",$H787,0)</f>
        <v>0</v>
      </c>
    </row>
    <row r="788" customFormat="false" ht="15" hidden="false" customHeight="true" outlineLevel="0" collapsed="false">
      <c r="A788" s="19"/>
      <c r="B788" s="12" t="str">
        <f aca="false">IF($A788="","",ROW()-4)</f>
        <v/>
      </c>
      <c r="C788" s="12"/>
      <c r="D788" s="12"/>
      <c r="E788" s="24"/>
      <c r="F788" s="12"/>
      <c r="G788" s="12" t="str">
        <f aca="false">IFERROR(VLOOKUP($F788,ItemList_Full,2,0),"")</f>
        <v/>
      </c>
      <c r="H788" s="12"/>
      <c r="I788" s="12" t="str">
        <f aca="false">IFERROR(VLOOKUP($F788,ItemList_Full,3,0),"")</f>
        <v/>
      </c>
      <c r="J788" s="12" t="str">
        <f aca="false">IFERROR(VLOOKUP($F788,ItemList_Full,4,0),"")</f>
        <v/>
      </c>
      <c r="K788" s="13"/>
      <c r="L788" s="12"/>
      <c r="M788" s="24"/>
      <c r="N788" s="12"/>
      <c r="O788" s="12"/>
      <c r="P788" s="13" t="str">
        <f aca="false">IF($E788="","",IF(OR($E788="Director Draw",$E788="Payroll/Employee Charge"),0,-$K788))</f>
        <v/>
      </c>
      <c r="Q788" s="12" t="n">
        <f aca="false">IF($E788="Inventory Purchase",$H788,0)</f>
        <v>0</v>
      </c>
    </row>
    <row r="789" customFormat="false" ht="15" hidden="false" customHeight="true" outlineLevel="0" collapsed="false">
      <c r="A789" s="19"/>
      <c r="B789" s="12" t="str">
        <f aca="false">IF($A789="","",ROW()-4)</f>
        <v/>
      </c>
      <c r="C789" s="12"/>
      <c r="D789" s="12"/>
      <c r="E789" s="24"/>
      <c r="F789" s="12"/>
      <c r="G789" s="12" t="str">
        <f aca="false">IFERROR(VLOOKUP($F789,ItemList_Full,2,0),"")</f>
        <v/>
      </c>
      <c r="H789" s="12"/>
      <c r="I789" s="12" t="str">
        <f aca="false">IFERROR(VLOOKUP($F789,ItemList_Full,3,0),"")</f>
        <v/>
      </c>
      <c r="J789" s="12" t="str">
        <f aca="false">IFERROR(VLOOKUP($F789,ItemList_Full,4,0),"")</f>
        <v/>
      </c>
      <c r="K789" s="13"/>
      <c r="L789" s="12"/>
      <c r="M789" s="24"/>
      <c r="N789" s="12"/>
      <c r="O789" s="12"/>
      <c r="P789" s="13" t="str">
        <f aca="false">IF($E789="","",IF(OR($E789="Director Draw",$E789="Payroll/Employee Charge"),0,-$K789))</f>
        <v/>
      </c>
      <c r="Q789" s="12" t="n">
        <f aca="false">IF($E789="Inventory Purchase",$H789,0)</f>
        <v>0</v>
      </c>
    </row>
    <row r="790" customFormat="false" ht="15" hidden="false" customHeight="true" outlineLevel="0" collapsed="false">
      <c r="A790" s="19"/>
      <c r="B790" s="12" t="str">
        <f aca="false">IF($A790="","",ROW()-4)</f>
        <v/>
      </c>
      <c r="C790" s="12"/>
      <c r="D790" s="12"/>
      <c r="E790" s="24"/>
      <c r="F790" s="12"/>
      <c r="G790" s="12" t="str">
        <f aca="false">IFERROR(VLOOKUP($F790,ItemList_Full,2,0),"")</f>
        <v/>
      </c>
      <c r="H790" s="12"/>
      <c r="I790" s="12" t="str">
        <f aca="false">IFERROR(VLOOKUP($F790,ItemList_Full,3,0),"")</f>
        <v/>
      </c>
      <c r="J790" s="12" t="str">
        <f aca="false">IFERROR(VLOOKUP($F790,ItemList_Full,4,0),"")</f>
        <v/>
      </c>
      <c r="K790" s="13"/>
      <c r="L790" s="12"/>
      <c r="M790" s="24"/>
      <c r="N790" s="12"/>
      <c r="O790" s="12"/>
      <c r="P790" s="13" t="str">
        <f aca="false">IF($E790="","",IF(OR($E790="Director Draw",$E790="Payroll/Employee Charge"),0,-$K790))</f>
        <v/>
      </c>
      <c r="Q790" s="12" t="n">
        <f aca="false">IF($E790="Inventory Purchase",$H790,0)</f>
        <v>0</v>
      </c>
    </row>
    <row r="791" customFormat="false" ht="15" hidden="false" customHeight="true" outlineLevel="0" collapsed="false">
      <c r="A791" s="19"/>
      <c r="B791" s="12" t="str">
        <f aca="false">IF($A791="","",ROW()-4)</f>
        <v/>
      </c>
      <c r="C791" s="12"/>
      <c r="D791" s="12"/>
      <c r="E791" s="24"/>
      <c r="F791" s="12"/>
      <c r="G791" s="12" t="str">
        <f aca="false">IFERROR(VLOOKUP($F791,ItemList_Full,2,0),"")</f>
        <v/>
      </c>
      <c r="H791" s="12"/>
      <c r="I791" s="12" t="str">
        <f aca="false">IFERROR(VLOOKUP($F791,ItemList_Full,3,0),"")</f>
        <v/>
      </c>
      <c r="J791" s="12" t="str">
        <f aca="false">IFERROR(VLOOKUP($F791,ItemList_Full,4,0),"")</f>
        <v/>
      </c>
      <c r="K791" s="13"/>
      <c r="L791" s="12"/>
      <c r="M791" s="24"/>
      <c r="N791" s="12"/>
      <c r="O791" s="12"/>
      <c r="P791" s="13" t="str">
        <f aca="false">IF($E791="","",IF(OR($E791="Director Draw",$E791="Payroll/Employee Charge"),0,-$K791))</f>
        <v/>
      </c>
      <c r="Q791" s="12" t="n">
        <f aca="false">IF($E791="Inventory Purchase",$H791,0)</f>
        <v>0</v>
      </c>
    </row>
    <row r="792" customFormat="false" ht="15" hidden="false" customHeight="true" outlineLevel="0" collapsed="false">
      <c r="A792" s="19"/>
      <c r="B792" s="12" t="str">
        <f aca="false">IF($A792="","",ROW()-4)</f>
        <v/>
      </c>
      <c r="C792" s="12"/>
      <c r="D792" s="12"/>
      <c r="E792" s="24"/>
      <c r="F792" s="12"/>
      <c r="G792" s="12" t="str">
        <f aca="false">IFERROR(VLOOKUP($F792,ItemList_Full,2,0),"")</f>
        <v/>
      </c>
      <c r="H792" s="12"/>
      <c r="I792" s="12" t="str">
        <f aca="false">IFERROR(VLOOKUP($F792,ItemList_Full,3,0),"")</f>
        <v/>
      </c>
      <c r="J792" s="12" t="str">
        <f aca="false">IFERROR(VLOOKUP($F792,ItemList_Full,4,0),"")</f>
        <v/>
      </c>
      <c r="K792" s="13"/>
      <c r="L792" s="12"/>
      <c r="M792" s="24"/>
      <c r="N792" s="12"/>
      <c r="O792" s="12"/>
      <c r="P792" s="13" t="str">
        <f aca="false">IF($E792="","",IF(OR($E792="Director Draw",$E792="Payroll/Employee Charge"),0,-$K792))</f>
        <v/>
      </c>
      <c r="Q792" s="12" t="n">
        <f aca="false">IF($E792="Inventory Purchase",$H792,0)</f>
        <v>0</v>
      </c>
    </row>
    <row r="793" customFormat="false" ht="15" hidden="false" customHeight="true" outlineLevel="0" collapsed="false">
      <c r="A793" s="19"/>
      <c r="B793" s="12" t="str">
        <f aca="false">IF($A793="","",ROW()-4)</f>
        <v/>
      </c>
      <c r="C793" s="12"/>
      <c r="D793" s="12"/>
      <c r="E793" s="24"/>
      <c r="F793" s="12"/>
      <c r="G793" s="12" t="str">
        <f aca="false">IFERROR(VLOOKUP($F793,ItemList_Full,2,0),"")</f>
        <v/>
      </c>
      <c r="H793" s="12"/>
      <c r="I793" s="12" t="str">
        <f aca="false">IFERROR(VLOOKUP($F793,ItemList_Full,3,0),"")</f>
        <v/>
      </c>
      <c r="J793" s="12" t="str">
        <f aca="false">IFERROR(VLOOKUP($F793,ItemList_Full,4,0),"")</f>
        <v/>
      </c>
      <c r="K793" s="13"/>
      <c r="L793" s="12"/>
      <c r="M793" s="24"/>
      <c r="N793" s="12"/>
      <c r="O793" s="12"/>
      <c r="P793" s="13" t="str">
        <f aca="false">IF($E793="","",IF(OR($E793="Director Draw",$E793="Payroll/Employee Charge"),0,-$K793))</f>
        <v/>
      </c>
      <c r="Q793" s="12" t="n">
        <f aca="false">IF($E793="Inventory Purchase",$H793,0)</f>
        <v>0</v>
      </c>
    </row>
    <row r="794" customFormat="false" ht="15" hidden="false" customHeight="true" outlineLevel="0" collapsed="false">
      <c r="A794" s="19"/>
      <c r="B794" s="12" t="str">
        <f aca="false">IF($A794="","",ROW()-4)</f>
        <v/>
      </c>
      <c r="C794" s="12"/>
      <c r="D794" s="12"/>
      <c r="E794" s="24"/>
      <c r="F794" s="12"/>
      <c r="G794" s="12" t="str">
        <f aca="false">IFERROR(VLOOKUP($F794,ItemList_Full,2,0),"")</f>
        <v/>
      </c>
      <c r="H794" s="12"/>
      <c r="I794" s="12" t="str">
        <f aca="false">IFERROR(VLOOKUP($F794,ItemList_Full,3,0),"")</f>
        <v/>
      </c>
      <c r="J794" s="12" t="str">
        <f aca="false">IFERROR(VLOOKUP($F794,ItemList_Full,4,0),"")</f>
        <v/>
      </c>
      <c r="K794" s="13"/>
      <c r="L794" s="12"/>
      <c r="M794" s="24"/>
      <c r="N794" s="12"/>
      <c r="O794" s="12"/>
      <c r="P794" s="13" t="str">
        <f aca="false">IF($E794="","",IF(OR($E794="Director Draw",$E794="Payroll/Employee Charge"),0,-$K794))</f>
        <v/>
      </c>
      <c r="Q794" s="12" t="n">
        <f aca="false">IF($E794="Inventory Purchase",$H794,0)</f>
        <v>0</v>
      </c>
    </row>
    <row r="795" customFormat="false" ht="15" hidden="false" customHeight="true" outlineLevel="0" collapsed="false">
      <c r="A795" s="19"/>
      <c r="B795" s="12" t="str">
        <f aca="false">IF($A795="","",ROW()-4)</f>
        <v/>
      </c>
      <c r="C795" s="12"/>
      <c r="D795" s="12"/>
      <c r="E795" s="24"/>
      <c r="F795" s="12"/>
      <c r="G795" s="12" t="str">
        <f aca="false">IFERROR(VLOOKUP($F795,ItemList_Full,2,0),"")</f>
        <v/>
      </c>
      <c r="H795" s="12"/>
      <c r="I795" s="12" t="str">
        <f aca="false">IFERROR(VLOOKUP($F795,ItemList_Full,3,0),"")</f>
        <v/>
      </c>
      <c r="J795" s="12" t="str">
        <f aca="false">IFERROR(VLOOKUP($F795,ItemList_Full,4,0),"")</f>
        <v/>
      </c>
      <c r="K795" s="13"/>
      <c r="L795" s="12"/>
      <c r="M795" s="24"/>
      <c r="N795" s="12"/>
      <c r="O795" s="12"/>
      <c r="P795" s="13" t="str">
        <f aca="false">IF($E795="","",IF(OR($E795="Director Draw",$E795="Payroll/Employee Charge"),0,-$K795))</f>
        <v/>
      </c>
      <c r="Q795" s="12" t="n">
        <f aca="false">IF($E795="Inventory Purchase",$H795,0)</f>
        <v>0</v>
      </c>
    </row>
    <row r="796" customFormat="false" ht="15" hidden="false" customHeight="true" outlineLevel="0" collapsed="false">
      <c r="A796" s="19"/>
      <c r="B796" s="12" t="str">
        <f aca="false">IF($A796="","",ROW()-4)</f>
        <v/>
      </c>
      <c r="C796" s="12"/>
      <c r="D796" s="12"/>
      <c r="E796" s="24"/>
      <c r="F796" s="12"/>
      <c r="G796" s="12" t="str">
        <f aca="false">IFERROR(VLOOKUP($F796,ItemList_Full,2,0),"")</f>
        <v/>
      </c>
      <c r="H796" s="12"/>
      <c r="I796" s="12" t="str">
        <f aca="false">IFERROR(VLOOKUP($F796,ItemList_Full,3,0),"")</f>
        <v/>
      </c>
      <c r="J796" s="12" t="str">
        <f aca="false">IFERROR(VLOOKUP($F796,ItemList_Full,4,0),"")</f>
        <v/>
      </c>
      <c r="K796" s="13"/>
      <c r="L796" s="12"/>
      <c r="M796" s="24"/>
      <c r="N796" s="12"/>
      <c r="O796" s="12"/>
      <c r="P796" s="13" t="str">
        <f aca="false">IF($E796="","",IF(OR($E796="Director Draw",$E796="Payroll/Employee Charge"),0,-$K796))</f>
        <v/>
      </c>
      <c r="Q796" s="12" t="n">
        <f aca="false">IF($E796="Inventory Purchase",$H796,0)</f>
        <v>0</v>
      </c>
    </row>
    <row r="797" customFormat="false" ht="15" hidden="false" customHeight="true" outlineLevel="0" collapsed="false">
      <c r="A797" s="19"/>
      <c r="B797" s="12" t="str">
        <f aca="false">IF($A797="","",ROW()-4)</f>
        <v/>
      </c>
      <c r="C797" s="12"/>
      <c r="D797" s="12"/>
      <c r="E797" s="24"/>
      <c r="F797" s="12"/>
      <c r="G797" s="12" t="str">
        <f aca="false">IFERROR(VLOOKUP($F797,ItemList_Full,2,0),"")</f>
        <v/>
      </c>
      <c r="H797" s="12"/>
      <c r="I797" s="12" t="str">
        <f aca="false">IFERROR(VLOOKUP($F797,ItemList_Full,3,0),"")</f>
        <v/>
      </c>
      <c r="J797" s="12" t="str">
        <f aca="false">IFERROR(VLOOKUP($F797,ItemList_Full,4,0),"")</f>
        <v/>
      </c>
      <c r="K797" s="13"/>
      <c r="L797" s="12"/>
      <c r="M797" s="24"/>
      <c r="N797" s="12"/>
      <c r="O797" s="12"/>
      <c r="P797" s="13" t="str">
        <f aca="false">IF($E797="","",IF(OR($E797="Director Draw",$E797="Payroll/Employee Charge"),0,-$K797))</f>
        <v/>
      </c>
      <c r="Q797" s="12" t="n">
        <f aca="false">IF($E797="Inventory Purchase",$H797,0)</f>
        <v>0</v>
      </c>
    </row>
    <row r="798" customFormat="false" ht="15" hidden="false" customHeight="true" outlineLevel="0" collapsed="false">
      <c r="A798" s="19"/>
      <c r="B798" s="12" t="str">
        <f aca="false">IF($A798="","",ROW()-4)</f>
        <v/>
      </c>
      <c r="C798" s="12"/>
      <c r="D798" s="12"/>
      <c r="E798" s="24"/>
      <c r="F798" s="12"/>
      <c r="G798" s="12" t="str">
        <f aca="false">IFERROR(VLOOKUP($F798,ItemList_Full,2,0),"")</f>
        <v/>
      </c>
      <c r="H798" s="12"/>
      <c r="I798" s="12" t="str">
        <f aca="false">IFERROR(VLOOKUP($F798,ItemList_Full,3,0),"")</f>
        <v/>
      </c>
      <c r="J798" s="12" t="str">
        <f aca="false">IFERROR(VLOOKUP($F798,ItemList_Full,4,0),"")</f>
        <v/>
      </c>
      <c r="K798" s="13"/>
      <c r="L798" s="12"/>
      <c r="M798" s="24"/>
      <c r="N798" s="12"/>
      <c r="O798" s="12"/>
      <c r="P798" s="13" t="str">
        <f aca="false">IF($E798="","",IF(OR($E798="Director Draw",$E798="Payroll/Employee Charge"),0,-$K798))</f>
        <v/>
      </c>
      <c r="Q798" s="12" t="n">
        <f aca="false">IF($E798="Inventory Purchase",$H798,0)</f>
        <v>0</v>
      </c>
    </row>
    <row r="799" customFormat="false" ht="15" hidden="false" customHeight="true" outlineLevel="0" collapsed="false">
      <c r="A799" s="19"/>
      <c r="B799" s="12" t="str">
        <f aca="false">IF($A799="","",ROW()-4)</f>
        <v/>
      </c>
      <c r="C799" s="12"/>
      <c r="D799" s="12"/>
      <c r="E799" s="24"/>
      <c r="F799" s="12"/>
      <c r="G799" s="12" t="str">
        <f aca="false">IFERROR(VLOOKUP($F799,ItemList_Full,2,0),"")</f>
        <v/>
      </c>
      <c r="H799" s="12"/>
      <c r="I799" s="12" t="str">
        <f aca="false">IFERROR(VLOOKUP($F799,ItemList_Full,3,0),"")</f>
        <v/>
      </c>
      <c r="J799" s="12" t="str">
        <f aca="false">IFERROR(VLOOKUP($F799,ItemList_Full,4,0),"")</f>
        <v/>
      </c>
      <c r="K799" s="13"/>
      <c r="L799" s="12"/>
      <c r="M799" s="24"/>
      <c r="N799" s="12"/>
      <c r="O799" s="12"/>
      <c r="P799" s="13" t="str">
        <f aca="false">IF($E799="","",IF(OR($E799="Director Draw",$E799="Payroll/Employee Charge"),0,-$K799))</f>
        <v/>
      </c>
      <c r="Q799" s="12" t="n">
        <f aca="false">IF($E799="Inventory Purchase",$H799,0)</f>
        <v>0</v>
      </c>
    </row>
    <row r="800" customFormat="false" ht="15" hidden="false" customHeight="true" outlineLevel="0" collapsed="false">
      <c r="A800" s="19"/>
      <c r="B800" s="12" t="str">
        <f aca="false">IF($A800="","",ROW()-4)</f>
        <v/>
      </c>
      <c r="C800" s="12"/>
      <c r="D800" s="12"/>
      <c r="E800" s="24"/>
      <c r="F800" s="12"/>
      <c r="G800" s="12" t="str">
        <f aca="false">IFERROR(VLOOKUP($F800,ItemList_Full,2,0),"")</f>
        <v/>
      </c>
      <c r="H800" s="12"/>
      <c r="I800" s="12" t="str">
        <f aca="false">IFERROR(VLOOKUP($F800,ItemList_Full,3,0),"")</f>
        <v/>
      </c>
      <c r="J800" s="12" t="str">
        <f aca="false">IFERROR(VLOOKUP($F800,ItemList_Full,4,0),"")</f>
        <v/>
      </c>
      <c r="K800" s="13"/>
      <c r="L800" s="12"/>
      <c r="M800" s="24"/>
      <c r="N800" s="12"/>
      <c r="O800" s="12"/>
      <c r="P800" s="13" t="str">
        <f aca="false">IF($E800="","",IF(OR($E800="Director Draw",$E800="Payroll/Employee Charge"),0,-$K800))</f>
        <v/>
      </c>
      <c r="Q800" s="12" t="n">
        <f aca="false">IF($E800="Inventory Purchase",$H800,0)</f>
        <v>0</v>
      </c>
    </row>
    <row r="801" customFormat="false" ht="15" hidden="false" customHeight="true" outlineLevel="0" collapsed="false">
      <c r="A801" s="19"/>
      <c r="B801" s="12" t="str">
        <f aca="false">IF($A801="","",ROW()-4)</f>
        <v/>
      </c>
      <c r="C801" s="12"/>
      <c r="D801" s="12"/>
      <c r="E801" s="24"/>
      <c r="F801" s="12"/>
      <c r="G801" s="12" t="str">
        <f aca="false">IFERROR(VLOOKUP($F801,ItemList_Full,2,0),"")</f>
        <v/>
      </c>
      <c r="H801" s="12"/>
      <c r="I801" s="12" t="str">
        <f aca="false">IFERROR(VLOOKUP($F801,ItemList_Full,3,0),"")</f>
        <v/>
      </c>
      <c r="J801" s="12" t="str">
        <f aca="false">IFERROR(VLOOKUP($F801,ItemList_Full,4,0),"")</f>
        <v/>
      </c>
      <c r="K801" s="13"/>
      <c r="L801" s="12"/>
      <c r="M801" s="24"/>
      <c r="N801" s="12"/>
      <c r="O801" s="12"/>
      <c r="P801" s="13" t="str">
        <f aca="false">IF($E801="","",IF(OR($E801="Director Draw",$E801="Payroll/Employee Charge"),0,-$K801))</f>
        <v/>
      </c>
      <c r="Q801" s="12" t="n">
        <f aca="false">IF($E801="Inventory Purchase",$H801,0)</f>
        <v>0</v>
      </c>
    </row>
    <row r="802" customFormat="false" ht="15" hidden="false" customHeight="true" outlineLevel="0" collapsed="false">
      <c r="A802" s="19"/>
      <c r="B802" s="12" t="str">
        <f aca="false">IF($A802="","",ROW()-4)</f>
        <v/>
      </c>
      <c r="C802" s="12"/>
      <c r="D802" s="12"/>
      <c r="E802" s="24"/>
      <c r="F802" s="12"/>
      <c r="G802" s="12" t="str">
        <f aca="false">IFERROR(VLOOKUP($F802,ItemList_Full,2,0),"")</f>
        <v/>
      </c>
      <c r="H802" s="12"/>
      <c r="I802" s="12" t="str">
        <f aca="false">IFERROR(VLOOKUP($F802,ItemList_Full,3,0),"")</f>
        <v/>
      </c>
      <c r="J802" s="12" t="str">
        <f aca="false">IFERROR(VLOOKUP($F802,ItemList_Full,4,0),"")</f>
        <v/>
      </c>
      <c r="K802" s="13"/>
      <c r="L802" s="12"/>
      <c r="M802" s="24"/>
      <c r="N802" s="12"/>
      <c r="O802" s="12"/>
      <c r="P802" s="13" t="str">
        <f aca="false">IF($E802="","",IF(OR($E802="Director Draw",$E802="Payroll/Employee Charge"),0,-$K802))</f>
        <v/>
      </c>
      <c r="Q802" s="12" t="n">
        <f aca="false">IF($E802="Inventory Purchase",$H802,0)</f>
        <v>0</v>
      </c>
    </row>
    <row r="803" customFormat="false" ht="15" hidden="false" customHeight="true" outlineLevel="0" collapsed="false">
      <c r="A803" s="19"/>
      <c r="B803" s="12" t="str">
        <f aca="false">IF($A803="","",ROW()-4)</f>
        <v/>
      </c>
      <c r="C803" s="12"/>
      <c r="D803" s="12"/>
      <c r="E803" s="24"/>
      <c r="F803" s="12"/>
      <c r="G803" s="12" t="str">
        <f aca="false">IFERROR(VLOOKUP($F803,ItemList_Full,2,0),"")</f>
        <v/>
      </c>
      <c r="H803" s="12"/>
      <c r="I803" s="12" t="str">
        <f aca="false">IFERROR(VLOOKUP($F803,ItemList_Full,3,0),"")</f>
        <v/>
      </c>
      <c r="J803" s="12" t="str">
        <f aca="false">IFERROR(VLOOKUP($F803,ItemList_Full,4,0),"")</f>
        <v/>
      </c>
      <c r="K803" s="13"/>
      <c r="L803" s="12"/>
      <c r="M803" s="24"/>
      <c r="N803" s="12"/>
      <c r="O803" s="12"/>
      <c r="P803" s="13" t="str">
        <f aca="false">IF($E803="","",IF(OR($E803="Director Draw",$E803="Payroll/Employee Charge"),0,-$K803))</f>
        <v/>
      </c>
      <c r="Q803" s="12" t="n">
        <f aca="false">IF($E803="Inventory Purchase",$H803,0)</f>
        <v>0</v>
      </c>
    </row>
    <row r="804" customFormat="false" ht="15" hidden="false" customHeight="true" outlineLevel="0" collapsed="false">
      <c r="A804" s="19"/>
      <c r="B804" s="12" t="str">
        <f aca="false">IF($A804="","",ROW()-4)</f>
        <v/>
      </c>
      <c r="C804" s="12"/>
      <c r="D804" s="12"/>
      <c r="E804" s="24"/>
      <c r="F804" s="12"/>
      <c r="G804" s="12" t="str">
        <f aca="false">IFERROR(VLOOKUP($F804,ItemList_Full,2,0),"")</f>
        <v/>
      </c>
      <c r="H804" s="12"/>
      <c r="I804" s="12" t="str">
        <f aca="false">IFERROR(VLOOKUP($F804,ItemList_Full,3,0),"")</f>
        <v/>
      </c>
      <c r="J804" s="12" t="str">
        <f aca="false">IFERROR(VLOOKUP($F804,ItemList_Full,4,0),"")</f>
        <v/>
      </c>
      <c r="K804" s="13"/>
      <c r="L804" s="12"/>
      <c r="M804" s="24"/>
      <c r="N804" s="12"/>
      <c r="O804" s="12"/>
      <c r="P804" s="13" t="str">
        <f aca="false">IF($E804="","",IF(OR($E804="Director Draw",$E804="Payroll/Employee Charge"),0,-$K804))</f>
        <v/>
      </c>
      <c r="Q804" s="12" t="n">
        <f aca="false">IF($E804="Inventory Purchase",$H804,0)</f>
        <v>0</v>
      </c>
    </row>
    <row r="805" customFormat="false" ht="15" hidden="false" customHeight="true" outlineLevel="0" collapsed="false">
      <c r="A805" s="19"/>
      <c r="B805" s="12" t="str">
        <f aca="false">IF($A805="","",ROW()-4)</f>
        <v/>
      </c>
      <c r="C805" s="12"/>
      <c r="D805" s="12"/>
      <c r="E805" s="24"/>
      <c r="F805" s="12"/>
      <c r="G805" s="12" t="str">
        <f aca="false">IFERROR(VLOOKUP($F805,ItemList_Full,2,0),"")</f>
        <v/>
      </c>
      <c r="H805" s="12"/>
      <c r="I805" s="12" t="str">
        <f aca="false">IFERROR(VLOOKUP($F805,ItemList_Full,3,0),"")</f>
        <v/>
      </c>
      <c r="J805" s="12" t="str">
        <f aca="false">IFERROR(VLOOKUP($F805,ItemList_Full,4,0),"")</f>
        <v/>
      </c>
      <c r="K805" s="13"/>
      <c r="L805" s="12"/>
      <c r="M805" s="24"/>
      <c r="N805" s="12"/>
      <c r="O805" s="12"/>
      <c r="P805" s="13" t="str">
        <f aca="false">IF($E805="","",IF(OR($E805="Director Draw",$E805="Payroll/Employee Charge"),0,-$K805))</f>
        <v/>
      </c>
      <c r="Q805" s="12" t="n">
        <f aca="false">IF($E805="Inventory Purchase",$H805,0)</f>
        <v>0</v>
      </c>
    </row>
    <row r="806" customFormat="false" ht="15" hidden="false" customHeight="true" outlineLevel="0" collapsed="false">
      <c r="A806" s="19"/>
      <c r="B806" s="12" t="str">
        <f aca="false">IF($A806="","",ROW()-4)</f>
        <v/>
      </c>
      <c r="C806" s="12"/>
      <c r="D806" s="12"/>
      <c r="E806" s="24"/>
      <c r="F806" s="12"/>
      <c r="G806" s="12" t="str">
        <f aca="false">IFERROR(VLOOKUP($F806,ItemList_Full,2,0),"")</f>
        <v/>
      </c>
      <c r="H806" s="12"/>
      <c r="I806" s="12" t="str">
        <f aca="false">IFERROR(VLOOKUP($F806,ItemList_Full,3,0),"")</f>
        <v/>
      </c>
      <c r="J806" s="12" t="str">
        <f aca="false">IFERROR(VLOOKUP($F806,ItemList_Full,4,0),"")</f>
        <v/>
      </c>
      <c r="K806" s="13"/>
      <c r="L806" s="12"/>
      <c r="M806" s="24"/>
      <c r="N806" s="12"/>
      <c r="O806" s="12"/>
      <c r="P806" s="13" t="str">
        <f aca="false">IF($E806="","",IF(OR($E806="Director Draw",$E806="Payroll/Employee Charge"),0,-$K806))</f>
        <v/>
      </c>
      <c r="Q806" s="12" t="n">
        <f aca="false">IF($E806="Inventory Purchase",$H806,0)</f>
        <v>0</v>
      </c>
    </row>
    <row r="807" customFormat="false" ht="15" hidden="false" customHeight="true" outlineLevel="0" collapsed="false">
      <c r="A807" s="19"/>
      <c r="B807" s="12" t="str">
        <f aca="false">IF($A807="","",ROW()-4)</f>
        <v/>
      </c>
      <c r="C807" s="12"/>
      <c r="D807" s="12"/>
      <c r="E807" s="24"/>
      <c r="F807" s="12"/>
      <c r="G807" s="12" t="str">
        <f aca="false">IFERROR(VLOOKUP($F807,ItemList_Full,2,0),"")</f>
        <v/>
      </c>
      <c r="H807" s="12"/>
      <c r="I807" s="12" t="str">
        <f aca="false">IFERROR(VLOOKUP($F807,ItemList_Full,3,0),"")</f>
        <v/>
      </c>
      <c r="J807" s="12" t="str">
        <f aca="false">IFERROR(VLOOKUP($F807,ItemList_Full,4,0),"")</f>
        <v/>
      </c>
      <c r="K807" s="13"/>
      <c r="L807" s="12"/>
      <c r="M807" s="24"/>
      <c r="N807" s="12"/>
      <c r="O807" s="12"/>
      <c r="P807" s="13" t="str">
        <f aca="false">IF($E807="","",IF(OR($E807="Director Draw",$E807="Payroll/Employee Charge"),0,-$K807))</f>
        <v/>
      </c>
      <c r="Q807" s="12" t="n">
        <f aca="false">IF($E807="Inventory Purchase",$H807,0)</f>
        <v>0</v>
      </c>
    </row>
    <row r="808" customFormat="false" ht="15" hidden="false" customHeight="true" outlineLevel="0" collapsed="false">
      <c r="A808" s="19"/>
      <c r="B808" s="12" t="str">
        <f aca="false">IF($A808="","",ROW()-4)</f>
        <v/>
      </c>
      <c r="C808" s="12"/>
      <c r="D808" s="12"/>
      <c r="E808" s="24"/>
      <c r="F808" s="12"/>
      <c r="G808" s="12" t="str">
        <f aca="false">IFERROR(VLOOKUP($F808,ItemList_Full,2,0),"")</f>
        <v/>
      </c>
      <c r="H808" s="12"/>
      <c r="I808" s="12" t="str">
        <f aca="false">IFERROR(VLOOKUP($F808,ItemList_Full,3,0),"")</f>
        <v/>
      </c>
      <c r="J808" s="12" t="str">
        <f aca="false">IFERROR(VLOOKUP($F808,ItemList_Full,4,0),"")</f>
        <v/>
      </c>
      <c r="K808" s="13"/>
      <c r="L808" s="12"/>
      <c r="M808" s="24"/>
      <c r="N808" s="12"/>
      <c r="O808" s="12"/>
      <c r="P808" s="13" t="str">
        <f aca="false">IF($E808="","",IF(OR($E808="Director Draw",$E808="Payroll/Employee Charge"),0,-$K808))</f>
        <v/>
      </c>
      <c r="Q808" s="12" t="n">
        <f aca="false">IF($E808="Inventory Purchase",$H808,0)</f>
        <v>0</v>
      </c>
    </row>
    <row r="809" customFormat="false" ht="15" hidden="false" customHeight="true" outlineLevel="0" collapsed="false">
      <c r="A809" s="19"/>
      <c r="B809" s="12" t="str">
        <f aca="false">IF($A809="","",ROW()-4)</f>
        <v/>
      </c>
      <c r="C809" s="12"/>
      <c r="D809" s="12"/>
      <c r="E809" s="24"/>
      <c r="F809" s="12"/>
      <c r="G809" s="12" t="str">
        <f aca="false">IFERROR(VLOOKUP($F809,ItemList_Full,2,0),"")</f>
        <v/>
      </c>
      <c r="H809" s="12"/>
      <c r="I809" s="12" t="str">
        <f aca="false">IFERROR(VLOOKUP($F809,ItemList_Full,3,0),"")</f>
        <v/>
      </c>
      <c r="J809" s="12" t="str">
        <f aca="false">IFERROR(VLOOKUP($F809,ItemList_Full,4,0),"")</f>
        <v/>
      </c>
      <c r="K809" s="13"/>
      <c r="L809" s="12"/>
      <c r="M809" s="24"/>
      <c r="N809" s="12"/>
      <c r="O809" s="12"/>
      <c r="P809" s="13" t="str">
        <f aca="false">IF($E809="","",IF(OR($E809="Director Draw",$E809="Payroll/Employee Charge"),0,-$K809))</f>
        <v/>
      </c>
      <c r="Q809" s="12" t="n">
        <f aca="false">IF($E809="Inventory Purchase",$H809,0)</f>
        <v>0</v>
      </c>
    </row>
    <row r="810" customFormat="false" ht="15" hidden="false" customHeight="true" outlineLevel="0" collapsed="false">
      <c r="A810" s="19"/>
      <c r="B810" s="12" t="str">
        <f aca="false">IF($A810="","",ROW()-4)</f>
        <v/>
      </c>
      <c r="C810" s="12"/>
      <c r="D810" s="12"/>
      <c r="E810" s="24"/>
      <c r="F810" s="12"/>
      <c r="G810" s="12" t="str">
        <f aca="false">IFERROR(VLOOKUP($F810,ItemList_Full,2,0),"")</f>
        <v/>
      </c>
      <c r="H810" s="12"/>
      <c r="I810" s="12" t="str">
        <f aca="false">IFERROR(VLOOKUP($F810,ItemList_Full,3,0),"")</f>
        <v/>
      </c>
      <c r="J810" s="12" t="str">
        <f aca="false">IFERROR(VLOOKUP($F810,ItemList_Full,4,0),"")</f>
        <v/>
      </c>
      <c r="K810" s="13"/>
      <c r="L810" s="12"/>
      <c r="M810" s="24"/>
      <c r="N810" s="12"/>
      <c r="O810" s="12"/>
      <c r="P810" s="13" t="str">
        <f aca="false">IF($E810="","",IF(OR($E810="Director Draw",$E810="Payroll/Employee Charge"),0,-$K810))</f>
        <v/>
      </c>
      <c r="Q810" s="12" t="n">
        <f aca="false">IF($E810="Inventory Purchase",$H810,0)</f>
        <v>0</v>
      </c>
    </row>
    <row r="811" customFormat="false" ht="15" hidden="false" customHeight="true" outlineLevel="0" collapsed="false">
      <c r="A811" s="19"/>
      <c r="B811" s="12" t="str">
        <f aca="false">IF($A811="","",ROW()-4)</f>
        <v/>
      </c>
      <c r="C811" s="12"/>
      <c r="D811" s="12"/>
      <c r="E811" s="24"/>
      <c r="F811" s="12"/>
      <c r="G811" s="12" t="str">
        <f aca="false">IFERROR(VLOOKUP($F811,ItemList_Full,2,0),"")</f>
        <v/>
      </c>
      <c r="H811" s="12"/>
      <c r="I811" s="12" t="str">
        <f aca="false">IFERROR(VLOOKUP($F811,ItemList_Full,3,0),"")</f>
        <v/>
      </c>
      <c r="J811" s="12" t="str">
        <f aca="false">IFERROR(VLOOKUP($F811,ItemList_Full,4,0),"")</f>
        <v/>
      </c>
      <c r="K811" s="13"/>
      <c r="L811" s="12"/>
      <c r="M811" s="24"/>
      <c r="N811" s="12"/>
      <c r="O811" s="12"/>
      <c r="P811" s="13" t="str">
        <f aca="false">IF($E811="","",IF(OR($E811="Director Draw",$E811="Payroll/Employee Charge"),0,-$K811))</f>
        <v/>
      </c>
      <c r="Q811" s="12" t="n">
        <f aca="false">IF($E811="Inventory Purchase",$H811,0)</f>
        <v>0</v>
      </c>
    </row>
    <row r="812" customFormat="false" ht="15" hidden="false" customHeight="true" outlineLevel="0" collapsed="false">
      <c r="A812" s="19"/>
      <c r="B812" s="12" t="str">
        <f aca="false">IF($A812="","",ROW()-4)</f>
        <v/>
      </c>
      <c r="C812" s="12"/>
      <c r="D812" s="12"/>
      <c r="E812" s="24"/>
      <c r="F812" s="12"/>
      <c r="G812" s="12" t="str">
        <f aca="false">IFERROR(VLOOKUP($F812,ItemList_Full,2,0),"")</f>
        <v/>
      </c>
      <c r="H812" s="12"/>
      <c r="I812" s="12" t="str">
        <f aca="false">IFERROR(VLOOKUP($F812,ItemList_Full,3,0),"")</f>
        <v/>
      </c>
      <c r="J812" s="12" t="str">
        <f aca="false">IFERROR(VLOOKUP($F812,ItemList_Full,4,0),"")</f>
        <v/>
      </c>
      <c r="K812" s="13"/>
      <c r="L812" s="12"/>
      <c r="M812" s="24"/>
      <c r="N812" s="12"/>
      <c r="O812" s="12"/>
      <c r="P812" s="13" t="str">
        <f aca="false">IF($E812="","",IF(OR($E812="Director Draw",$E812="Payroll/Employee Charge"),0,-$K812))</f>
        <v/>
      </c>
      <c r="Q812" s="12" t="n">
        <f aca="false">IF($E812="Inventory Purchase",$H812,0)</f>
        <v>0</v>
      </c>
    </row>
    <row r="813" customFormat="false" ht="15" hidden="false" customHeight="true" outlineLevel="0" collapsed="false">
      <c r="A813" s="19"/>
      <c r="B813" s="12" t="str">
        <f aca="false">IF($A813="","",ROW()-4)</f>
        <v/>
      </c>
      <c r="C813" s="12"/>
      <c r="D813" s="12"/>
      <c r="E813" s="24"/>
      <c r="F813" s="12"/>
      <c r="G813" s="12" t="str">
        <f aca="false">IFERROR(VLOOKUP($F813,ItemList_Full,2,0),"")</f>
        <v/>
      </c>
      <c r="H813" s="12"/>
      <c r="I813" s="12" t="str">
        <f aca="false">IFERROR(VLOOKUP($F813,ItemList_Full,3,0),"")</f>
        <v/>
      </c>
      <c r="J813" s="12" t="str">
        <f aca="false">IFERROR(VLOOKUP($F813,ItemList_Full,4,0),"")</f>
        <v/>
      </c>
      <c r="K813" s="13"/>
      <c r="L813" s="12"/>
      <c r="M813" s="24"/>
      <c r="N813" s="12"/>
      <c r="O813" s="12"/>
      <c r="P813" s="13" t="str">
        <f aca="false">IF($E813="","",IF(OR($E813="Director Draw",$E813="Payroll/Employee Charge"),0,-$K813))</f>
        <v/>
      </c>
      <c r="Q813" s="12" t="n">
        <f aca="false">IF($E813="Inventory Purchase",$H813,0)</f>
        <v>0</v>
      </c>
    </row>
    <row r="814" customFormat="false" ht="15" hidden="false" customHeight="true" outlineLevel="0" collapsed="false">
      <c r="A814" s="19"/>
      <c r="B814" s="12" t="str">
        <f aca="false">IF($A814="","",ROW()-4)</f>
        <v/>
      </c>
      <c r="C814" s="12"/>
      <c r="D814" s="12"/>
      <c r="E814" s="24"/>
      <c r="F814" s="12"/>
      <c r="G814" s="12" t="str">
        <f aca="false">IFERROR(VLOOKUP($F814,ItemList_Full,2,0),"")</f>
        <v/>
      </c>
      <c r="H814" s="12"/>
      <c r="I814" s="12" t="str">
        <f aca="false">IFERROR(VLOOKUP($F814,ItemList_Full,3,0),"")</f>
        <v/>
      </c>
      <c r="J814" s="12" t="str">
        <f aca="false">IFERROR(VLOOKUP($F814,ItemList_Full,4,0),"")</f>
        <v/>
      </c>
      <c r="K814" s="13"/>
      <c r="L814" s="12"/>
      <c r="M814" s="24"/>
      <c r="N814" s="12"/>
      <c r="O814" s="12"/>
      <c r="P814" s="13" t="str">
        <f aca="false">IF($E814="","",IF(OR($E814="Director Draw",$E814="Payroll/Employee Charge"),0,-$K814))</f>
        <v/>
      </c>
      <c r="Q814" s="12" t="n">
        <f aca="false">IF($E814="Inventory Purchase",$H814,0)</f>
        <v>0</v>
      </c>
    </row>
    <row r="815" customFormat="false" ht="15" hidden="false" customHeight="true" outlineLevel="0" collapsed="false">
      <c r="A815" s="19"/>
      <c r="B815" s="12" t="str">
        <f aca="false">IF($A815="","",ROW()-4)</f>
        <v/>
      </c>
      <c r="C815" s="12"/>
      <c r="D815" s="12"/>
      <c r="E815" s="24"/>
      <c r="F815" s="12"/>
      <c r="G815" s="12" t="str">
        <f aca="false">IFERROR(VLOOKUP($F815,ItemList_Full,2,0),"")</f>
        <v/>
      </c>
      <c r="H815" s="12"/>
      <c r="I815" s="12" t="str">
        <f aca="false">IFERROR(VLOOKUP($F815,ItemList_Full,3,0),"")</f>
        <v/>
      </c>
      <c r="J815" s="12" t="str">
        <f aca="false">IFERROR(VLOOKUP($F815,ItemList_Full,4,0),"")</f>
        <v/>
      </c>
      <c r="K815" s="13"/>
      <c r="L815" s="12"/>
      <c r="M815" s="24"/>
      <c r="N815" s="12"/>
      <c r="O815" s="12"/>
      <c r="P815" s="13" t="str">
        <f aca="false">IF($E815="","",IF(OR($E815="Director Draw",$E815="Payroll/Employee Charge"),0,-$K815))</f>
        <v/>
      </c>
      <c r="Q815" s="12" t="n">
        <f aca="false">IF($E815="Inventory Purchase",$H815,0)</f>
        <v>0</v>
      </c>
    </row>
    <row r="816" customFormat="false" ht="15" hidden="false" customHeight="true" outlineLevel="0" collapsed="false">
      <c r="A816" s="19"/>
      <c r="B816" s="12" t="str">
        <f aca="false">IF($A816="","",ROW()-4)</f>
        <v/>
      </c>
      <c r="C816" s="12"/>
      <c r="D816" s="12"/>
      <c r="E816" s="24"/>
      <c r="F816" s="12"/>
      <c r="G816" s="12" t="str">
        <f aca="false">IFERROR(VLOOKUP($F816,ItemList_Full,2,0),"")</f>
        <v/>
      </c>
      <c r="H816" s="12"/>
      <c r="I816" s="12" t="str">
        <f aca="false">IFERROR(VLOOKUP($F816,ItemList_Full,3,0),"")</f>
        <v/>
      </c>
      <c r="J816" s="12" t="str">
        <f aca="false">IFERROR(VLOOKUP($F816,ItemList_Full,4,0),"")</f>
        <v/>
      </c>
      <c r="K816" s="13"/>
      <c r="L816" s="12"/>
      <c r="M816" s="24"/>
      <c r="N816" s="12"/>
      <c r="O816" s="12"/>
      <c r="P816" s="13" t="str">
        <f aca="false">IF($E816="","",IF(OR($E816="Director Draw",$E816="Payroll/Employee Charge"),0,-$K816))</f>
        <v/>
      </c>
      <c r="Q816" s="12" t="n">
        <f aca="false">IF($E816="Inventory Purchase",$H816,0)</f>
        <v>0</v>
      </c>
    </row>
    <row r="817" customFormat="false" ht="15" hidden="false" customHeight="true" outlineLevel="0" collapsed="false">
      <c r="A817" s="19"/>
      <c r="B817" s="12" t="str">
        <f aca="false">IF($A817="","",ROW()-4)</f>
        <v/>
      </c>
      <c r="C817" s="12"/>
      <c r="D817" s="12"/>
      <c r="E817" s="24"/>
      <c r="F817" s="12"/>
      <c r="G817" s="12" t="str">
        <f aca="false">IFERROR(VLOOKUP($F817,ItemList_Full,2,0),"")</f>
        <v/>
      </c>
      <c r="H817" s="12"/>
      <c r="I817" s="12" t="str">
        <f aca="false">IFERROR(VLOOKUP($F817,ItemList_Full,3,0),"")</f>
        <v/>
      </c>
      <c r="J817" s="12" t="str">
        <f aca="false">IFERROR(VLOOKUP($F817,ItemList_Full,4,0),"")</f>
        <v/>
      </c>
      <c r="K817" s="13"/>
      <c r="L817" s="12"/>
      <c r="M817" s="24"/>
      <c r="N817" s="12"/>
      <c r="O817" s="12"/>
      <c r="P817" s="13" t="str">
        <f aca="false">IF($E817="","",IF(OR($E817="Director Draw",$E817="Payroll/Employee Charge"),0,-$K817))</f>
        <v/>
      </c>
      <c r="Q817" s="12" t="n">
        <f aca="false">IF($E817="Inventory Purchase",$H817,0)</f>
        <v>0</v>
      </c>
    </row>
    <row r="818" customFormat="false" ht="15" hidden="false" customHeight="true" outlineLevel="0" collapsed="false">
      <c r="A818" s="19"/>
      <c r="B818" s="12" t="str">
        <f aca="false">IF($A818="","",ROW()-4)</f>
        <v/>
      </c>
      <c r="C818" s="12"/>
      <c r="D818" s="12"/>
      <c r="E818" s="24"/>
      <c r="F818" s="12"/>
      <c r="G818" s="12" t="str">
        <f aca="false">IFERROR(VLOOKUP($F818,ItemList_Full,2,0),"")</f>
        <v/>
      </c>
      <c r="H818" s="12"/>
      <c r="I818" s="12" t="str">
        <f aca="false">IFERROR(VLOOKUP($F818,ItemList_Full,3,0),"")</f>
        <v/>
      </c>
      <c r="J818" s="12" t="str">
        <f aca="false">IFERROR(VLOOKUP($F818,ItemList_Full,4,0),"")</f>
        <v/>
      </c>
      <c r="K818" s="13"/>
      <c r="L818" s="12"/>
      <c r="M818" s="24"/>
      <c r="N818" s="12"/>
      <c r="O818" s="12"/>
      <c r="P818" s="13" t="str">
        <f aca="false">IF($E818="","",IF(OR($E818="Director Draw",$E818="Payroll/Employee Charge"),0,-$K818))</f>
        <v/>
      </c>
      <c r="Q818" s="12" t="n">
        <f aca="false">IF($E818="Inventory Purchase",$H818,0)</f>
        <v>0</v>
      </c>
    </row>
    <row r="819" customFormat="false" ht="15" hidden="false" customHeight="true" outlineLevel="0" collapsed="false">
      <c r="A819" s="19"/>
      <c r="B819" s="12" t="str">
        <f aca="false">IF($A819="","",ROW()-4)</f>
        <v/>
      </c>
      <c r="C819" s="12"/>
      <c r="D819" s="12"/>
      <c r="E819" s="24"/>
      <c r="F819" s="12"/>
      <c r="G819" s="12" t="str">
        <f aca="false">IFERROR(VLOOKUP($F819,ItemList_Full,2,0),"")</f>
        <v/>
      </c>
      <c r="H819" s="12"/>
      <c r="I819" s="12" t="str">
        <f aca="false">IFERROR(VLOOKUP($F819,ItemList_Full,3,0),"")</f>
        <v/>
      </c>
      <c r="J819" s="12" t="str">
        <f aca="false">IFERROR(VLOOKUP($F819,ItemList_Full,4,0),"")</f>
        <v/>
      </c>
      <c r="K819" s="13"/>
      <c r="L819" s="12"/>
      <c r="M819" s="24"/>
      <c r="N819" s="12"/>
      <c r="O819" s="12"/>
      <c r="P819" s="13" t="str">
        <f aca="false">IF($E819="","",IF(OR($E819="Director Draw",$E819="Payroll/Employee Charge"),0,-$K819))</f>
        <v/>
      </c>
      <c r="Q819" s="12" t="n">
        <f aca="false">IF($E819="Inventory Purchase",$H819,0)</f>
        <v>0</v>
      </c>
    </row>
    <row r="820" customFormat="false" ht="15" hidden="false" customHeight="true" outlineLevel="0" collapsed="false">
      <c r="A820" s="19"/>
      <c r="B820" s="12" t="str">
        <f aca="false">IF($A820="","",ROW()-4)</f>
        <v/>
      </c>
      <c r="C820" s="12"/>
      <c r="D820" s="12"/>
      <c r="E820" s="24"/>
      <c r="F820" s="12"/>
      <c r="G820" s="12" t="str">
        <f aca="false">IFERROR(VLOOKUP($F820,ItemList_Full,2,0),"")</f>
        <v/>
      </c>
      <c r="H820" s="12"/>
      <c r="I820" s="12" t="str">
        <f aca="false">IFERROR(VLOOKUP($F820,ItemList_Full,3,0),"")</f>
        <v/>
      </c>
      <c r="J820" s="12" t="str">
        <f aca="false">IFERROR(VLOOKUP($F820,ItemList_Full,4,0),"")</f>
        <v/>
      </c>
      <c r="K820" s="13"/>
      <c r="L820" s="12"/>
      <c r="M820" s="24"/>
      <c r="N820" s="12"/>
      <c r="O820" s="12"/>
      <c r="P820" s="13" t="str">
        <f aca="false">IF($E820="","",IF(OR($E820="Director Draw",$E820="Payroll/Employee Charge"),0,-$K820))</f>
        <v/>
      </c>
      <c r="Q820" s="12" t="n">
        <f aca="false">IF($E820="Inventory Purchase",$H820,0)</f>
        <v>0</v>
      </c>
    </row>
    <row r="821" customFormat="false" ht="15" hidden="false" customHeight="true" outlineLevel="0" collapsed="false">
      <c r="A821" s="19"/>
      <c r="B821" s="12" t="str">
        <f aca="false">IF($A821="","",ROW()-4)</f>
        <v/>
      </c>
      <c r="C821" s="12"/>
      <c r="D821" s="12"/>
      <c r="E821" s="24"/>
      <c r="F821" s="12"/>
      <c r="G821" s="12" t="str">
        <f aca="false">IFERROR(VLOOKUP($F821,ItemList_Full,2,0),"")</f>
        <v/>
      </c>
      <c r="H821" s="12"/>
      <c r="I821" s="12" t="str">
        <f aca="false">IFERROR(VLOOKUP($F821,ItemList_Full,3,0),"")</f>
        <v/>
      </c>
      <c r="J821" s="12" t="str">
        <f aca="false">IFERROR(VLOOKUP($F821,ItemList_Full,4,0),"")</f>
        <v/>
      </c>
      <c r="K821" s="13"/>
      <c r="L821" s="12"/>
      <c r="M821" s="24"/>
      <c r="N821" s="12"/>
      <c r="O821" s="12"/>
      <c r="P821" s="13" t="str">
        <f aca="false">IF($E821="","",IF(OR($E821="Director Draw",$E821="Payroll/Employee Charge"),0,-$K821))</f>
        <v/>
      </c>
      <c r="Q821" s="12" t="n">
        <f aca="false">IF($E821="Inventory Purchase",$H821,0)</f>
        <v>0</v>
      </c>
    </row>
    <row r="822" customFormat="false" ht="15" hidden="false" customHeight="true" outlineLevel="0" collapsed="false">
      <c r="A822" s="19"/>
      <c r="B822" s="12" t="str">
        <f aca="false">IF($A822="","",ROW()-4)</f>
        <v/>
      </c>
      <c r="C822" s="12"/>
      <c r="D822" s="12"/>
      <c r="E822" s="24"/>
      <c r="F822" s="12"/>
      <c r="G822" s="12" t="str">
        <f aca="false">IFERROR(VLOOKUP($F822,ItemList_Full,2,0),"")</f>
        <v/>
      </c>
      <c r="H822" s="12"/>
      <c r="I822" s="12" t="str">
        <f aca="false">IFERROR(VLOOKUP($F822,ItemList_Full,3,0),"")</f>
        <v/>
      </c>
      <c r="J822" s="12" t="str">
        <f aca="false">IFERROR(VLOOKUP($F822,ItemList_Full,4,0),"")</f>
        <v/>
      </c>
      <c r="K822" s="13"/>
      <c r="L822" s="12"/>
      <c r="M822" s="24"/>
      <c r="N822" s="12"/>
      <c r="O822" s="12"/>
      <c r="P822" s="13" t="str">
        <f aca="false">IF($E822="","",IF(OR($E822="Director Draw",$E822="Payroll/Employee Charge"),0,-$K822))</f>
        <v/>
      </c>
      <c r="Q822" s="12" t="n">
        <f aca="false">IF($E822="Inventory Purchase",$H822,0)</f>
        <v>0</v>
      </c>
    </row>
    <row r="823" customFormat="false" ht="15" hidden="false" customHeight="true" outlineLevel="0" collapsed="false">
      <c r="A823" s="19"/>
      <c r="B823" s="12" t="str">
        <f aca="false">IF($A823="","",ROW()-4)</f>
        <v/>
      </c>
      <c r="C823" s="12"/>
      <c r="D823" s="12"/>
      <c r="E823" s="24"/>
      <c r="F823" s="12"/>
      <c r="G823" s="12" t="str">
        <f aca="false">IFERROR(VLOOKUP($F823,ItemList_Full,2,0),"")</f>
        <v/>
      </c>
      <c r="H823" s="12"/>
      <c r="I823" s="12" t="str">
        <f aca="false">IFERROR(VLOOKUP($F823,ItemList_Full,3,0),"")</f>
        <v/>
      </c>
      <c r="J823" s="12" t="str">
        <f aca="false">IFERROR(VLOOKUP($F823,ItemList_Full,4,0),"")</f>
        <v/>
      </c>
      <c r="K823" s="13"/>
      <c r="L823" s="12"/>
      <c r="M823" s="24"/>
      <c r="N823" s="12"/>
      <c r="O823" s="12"/>
      <c r="P823" s="13" t="str">
        <f aca="false">IF($E823="","",IF(OR($E823="Director Draw",$E823="Payroll/Employee Charge"),0,-$K823))</f>
        <v/>
      </c>
      <c r="Q823" s="12" t="n">
        <f aca="false">IF($E823="Inventory Purchase",$H823,0)</f>
        <v>0</v>
      </c>
    </row>
    <row r="824" customFormat="false" ht="15" hidden="false" customHeight="true" outlineLevel="0" collapsed="false">
      <c r="A824" s="19"/>
      <c r="B824" s="12" t="str">
        <f aca="false">IF($A824="","",ROW()-4)</f>
        <v/>
      </c>
      <c r="C824" s="12"/>
      <c r="D824" s="12"/>
      <c r="E824" s="24"/>
      <c r="F824" s="12"/>
      <c r="G824" s="12" t="str">
        <f aca="false">IFERROR(VLOOKUP($F824,ItemList_Full,2,0),"")</f>
        <v/>
      </c>
      <c r="H824" s="12"/>
      <c r="I824" s="12" t="str">
        <f aca="false">IFERROR(VLOOKUP($F824,ItemList_Full,3,0),"")</f>
        <v/>
      </c>
      <c r="J824" s="12" t="str">
        <f aca="false">IFERROR(VLOOKUP($F824,ItemList_Full,4,0),"")</f>
        <v/>
      </c>
      <c r="K824" s="13"/>
      <c r="L824" s="12"/>
      <c r="M824" s="24"/>
      <c r="N824" s="12"/>
      <c r="O824" s="12"/>
      <c r="P824" s="13" t="str">
        <f aca="false">IF($E824="","",IF(OR($E824="Director Draw",$E824="Payroll/Employee Charge"),0,-$K824))</f>
        <v/>
      </c>
      <c r="Q824" s="12" t="n">
        <f aca="false">IF($E824="Inventory Purchase",$H824,0)</f>
        <v>0</v>
      </c>
    </row>
    <row r="825" customFormat="false" ht="15" hidden="false" customHeight="true" outlineLevel="0" collapsed="false">
      <c r="A825" s="19"/>
      <c r="B825" s="12" t="str">
        <f aca="false">IF($A825="","",ROW()-4)</f>
        <v/>
      </c>
      <c r="C825" s="12"/>
      <c r="D825" s="12"/>
      <c r="E825" s="24"/>
      <c r="F825" s="12"/>
      <c r="G825" s="12" t="str">
        <f aca="false">IFERROR(VLOOKUP($F825,ItemList_Full,2,0),"")</f>
        <v/>
      </c>
      <c r="H825" s="12"/>
      <c r="I825" s="12" t="str">
        <f aca="false">IFERROR(VLOOKUP($F825,ItemList_Full,3,0),"")</f>
        <v/>
      </c>
      <c r="J825" s="12" t="str">
        <f aca="false">IFERROR(VLOOKUP($F825,ItemList_Full,4,0),"")</f>
        <v/>
      </c>
      <c r="K825" s="13"/>
      <c r="L825" s="12"/>
      <c r="M825" s="24"/>
      <c r="N825" s="12"/>
      <c r="O825" s="12"/>
      <c r="P825" s="13" t="str">
        <f aca="false">IF($E825="","",IF(OR($E825="Director Draw",$E825="Payroll/Employee Charge"),0,-$K825))</f>
        <v/>
      </c>
      <c r="Q825" s="12" t="n">
        <f aca="false">IF($E825="Inventory Purchase",$H825,0)</f>
        <v>0</v>
      </c>
    </row>
    <row r="826" customFormat="false" ht="15" hidden="false" customHeight="true" outlineLevel="0" collapsed="false">
      <c r="A826" s="19"/>
      <c r="B826" s="12" t="str">
        <f aca="false">IF($A826="","",ROW()-4)</f>
        <v/>
      </c>
      <c r="C826" s="12"/>
      <c r="D826" s="12"/>
      <c r="E826" s="24"/>
      <c r="F826" s="12"/>
      <c r="G826" s="12" t="str">
        <f aca="false">IFERROR(VLOOKUP($F826,ItemList_Full,2,0),"")</f>
        <v/>
      </c>
      <c r="H826" s="12"/>
      <c r="I826" s="12" t="str">
        <f aca="false">IFERROR(VLOOKUP($F826,ItemList_Full,3,0),"")</f>
        <v/>
      </c>
      <c r="J826" s="12" t="str">
        <f aca="false">IFERROR(VLOOKUP($F826,ItemList_Full,4,0),"")</f>
        <v/>
      </c>
      <c r="K826" s="13"/>
      <c r="L826" s="12"/>
      <c r="M826" s="24"/>
      <c r="N826" s="12"/>
      <c r="O826" s="12"/>
      <c r="P826" s="13" t="str">
        <f aca="false">IF($E826="","",IF(OR($E826="Director Draw",$E826="Payroll/Employee Charge"),0,-$K826))</f>
        <v/>
      </c>
      <c r="Q826" s="12" t="n">
        <f aca="false">IF($E826="Inventory Purchase",$H826,0)</f>
        <v>0</v>
      </c>
    </row>
    <row r="827" customFormat="false" ht="15" hidden="false" customHeight="true" outlineLevel="0" collapsed="false">
      <c r="A827" s="19"/>
      <c r="B827" s="12" t="str">
        <f aca="false">IF($A827="","",ROW()-4)</f>
        <v/>
      </c>
      <c r="C827" s="12"/>
      <c r="D827" s="12"/>
      <c r="E827" s="24"/>
      <c r="F827" s="12"/>
      <c r="G827" s="12" t="str">
        <f aca="false">IFERROR(VLOOKUP($F827,ItemList_Full,2,0),"")</f>
        <v/>
      </c>
      <c r="H827" s="12"/>
      <c r="I827" s="12" t="str">
        <f aca="false">IFERROR(VLOOKUP($F827,ItemList_Full,3,0),"")</f>
        <v/>
      </c>
      <c r="J827" s="12" t="str">
        <f aca="false">IFERROR(VLOOKUP($F827,ItemList_Full,4,0),"")</f>
        <v/>
      </c>
      <c r="K827" s="13"/>
      <c r="L827" s="12"/>
      <c r="M827" s="24"/>
      <c r="N827" s="12"/>
      <c r="O827" s="12"/>
      <c r="P827" s="13" t="str">
        <f aca="false">IF($E827="","",IF(OR($E827="Director Draw",$E827="Payroll/Employee Charge"),0,-$K827))</f>
        <v/>
      </c>
      <c r="Q827" s="12" t="n">
        <f aca="false">IF($E827="Inventory Purchase",$H827,0)</f>
        <v>0</v>
      </c>
    </row>
    <row r="828" customFormat="false" ht="15" hidden="false" customHeight="true" outlineLevel="0" collapsed="false">
      <c r="A828" s="19"/>
      <c r="B828" s="12" t="str">
        <f aca="false">IF($A828="","",ROW()-4)</f>
        <v/>
      </c>
      <c r="C828" s="12"/>
      <c r="D828" s="12"/>
      <c r="E828" s="24"/>
      <c r="F828" s="12"/>
      <c r="G828" s="12" t="str">
        <f aca="false">IFERROR(VLOOKUP($F828,ItemList_Full,2,0),"")</f>
        <v/>
      </c>
      <c r="H828" s="12"/>
      <c r="I828" s="12" t="str">
        <f aca="false">IFERROR(VLOOKUP($F828,ItemList_Full,3,0),"")</f>
        <v/>
      </c>
      <c r="J828" s="12" t="str">
        <f aca="false">IFERROR(VLOOKUP($F828,ItemList_Full,4,0),"")</f>
        <v/>
      </c>
      <c r="K828" s="13"/>
      <c r="L828" s="12"/>
      <c r="M828" s="24"/>
      <c r="N828" s="12"/>
      <c r="O828" s="12"/>
      <c r="P828" s="13" t="str">
        <f aca="false">IF($E828="","",IF(OR($E828="Director Draw",$E828="Payroll/Employee Charge"),0,-$K828))</f>
        <v/>
      </c>
      <c r="Q828" s="12" t="n">
        <f aca="false">IF($E828="Inventory Purchase",$H828,0)</f>
        <v>0</v>
      </c>
    </row>
    <row r="829" customFormat="false" ht="15" hidden="false" customHeight="true" outlineLevel="0" collapsed="false">
      <c r="A829" s="19"/>
      <c r="B829" s="12" t="str">
        <f aca="false">IF($A829="","",ROW()-4)</f>
        <v/>
      </c>
      <c r="C829" s="12"/>
      <c r="D829" s="12"/>
      <c r="E829" s="24"/>
      <c r="F829" s="12"/>
      <c r="G829" s="12" t="str">
        <f aca="false">IFERROR(VLOOKUP($F829,ItemList_Full,2,0),"")</f>
        <v/>
      </c>
      <c r="H829" s="12"/>
      <c r="I829" s="12" t="str">
        <f aca="false">IFERROR(VLOOKUP($F829,ItemList_Full,3,0),"")</f>
        <v/>
      </c>
      <c r="J829" s="12" t="str">
        <f aca="false">IFERROR(VLOOKUP($F829,ItemList_Full,4,0),"")</f>
        <v/>
      </c>
      <c r="K829" s="13"/>
      <c r="L829" s="12"/>
      <c r="M829" s="24"/>
      <c r="N829" s="12"/>
      <c r="O829" s="12"/>
      <c r="P829" s="13" t="str">
        <f aca="false">IF($E829="","",IF(OR($E829="Director Draw",$E829="Payroll/Employee Charge"),0,-$K829))</f>
        <v/>
      </c>
      <c r="Q829" s="12" t="n">
        <f aca="false">IF($E829="Inventory Purchase",$H829,0)</f>
        <v>0</v>
      </c>
    </row>
    <row r="830" customFormat="false" ht="15" hidden="false" customHeight="true" outlineLevel="0" collapsed="false">
      <c r="A830" s="19"/>
      <c r="B830" s="12" t="str">
        <f aca="false">IF($A830="","",ROW()-4)</f>
        <v/>
      </c>
      <c r="C830" s="12"/>
      <c r="D830" s="12"/>
      <c r="E830" s="24"/>
      <c r="F830" s="12"/>
      <c r="G830" s="12" t="str">
        <f aca="false">IFERROR(VLOOKUP($F830,ItemList_Full,2,0),"")</f>
        <v/>
      </c>
      <c r="H830" s="12"/>
      <c r="I830" s="12" t="str">
        <f aca="false">IFERROR(VLOOKUP($F830,ItemList_Full,3,0),"")</f>
        <v/>
      </c>
      <c r="J830" s="12" t="str">
        <f aca="false">IFERROR(VLOOKUP($F830,ItemList_Full,4,0),"")</f>
        <v/>
      </c>
      <c r="K830" s="13"/>
      <c r="L830" s="12"/>
      <c r="M830" s="24"/>
      <c r="N830" s="12"/>
      <c r="O830" s="12"/>
      <c r="P830" s="13" t="str">
        <f aca="false">IF($E830="","",IF(OR($E830="Director Draw",$E830="Payroll/Employee Charge"),0,-$K830))</f>
        <v/>
      </c>
      <c r="Q830" s="12" t="n">
        <f aca="false">IF($E830="Inventory Purchase",$H830,0)</f>
        <v>0</v>
      </c>
    </row>
    <row r="831" customFormat="false" ht="15" hidden="false" customHeight="true" outlineLevel="0" collapsed="false">
      <c r="A831" s="19"/>
      <c r="B831" s="12" t="str">
        <f aca="false">IF($A831="","",ROW()-4)</f>
        <v/>
      </c>
      <c r="C831" s="12"/>
      <c r="D831" s="12"/>
      <c r="E831" s="24"/>
      <c r="F831" s="12"/>
      <c r="G831" s="12" t="str">
        <f aca="false">IFERROR(VLOOKUP($F831,ItemList_Full,2,0),"")</f>
        <v/>
      </c>
      <c r="H831" s="12"/>
      <c r="I831" s="12" t="str">
        <f aca="false">IFERROR(VLOOKUP($F831,ItemList_Full,3,0),"")</f>
        <v/>
      </c>
      <c r="J831" s="12" t="str">
        <f aca="false">IFERROR(VLOOKUP($F831,ItemList_Full,4,0),"")</f>
        <v/>
      </c>
      <c r="K831" s="13"/>
      <c r="L831" s="12"/>
      <c r="M831" s="24"/>
      <c r="N831" s="12"/>
      <c r="O831" s="12"/>
      <c r="P831" s="13" t="str">
        <f aca="false">IF($E831="","",IF(OR($E831="Director Draw",$E831="Payroll/Employee Charge"),0,-$K831))</f>
        <v/>
      </c>
      <c r="Q831" s="12" t="n">
        <f aca="false">IF($E831="Inventory Purchase",$H831,0)</f>
        <v>0</v>
      </c>
    </row>
    <row r="832" customFormat="false" ht="15" hidden="false" customHeight="true" outlineLevel="0" collapsed="false">
      <c r="A832" s="19"/>
      <c r="B832" s="12" t="str">
        <f aca="false">IF($A832="","",ROW()-4)</f>
        <v/>
      </c>
      <c r="C832" s="12"/>
      <c r="D832" s="12"/>
      <c r="E832" s="24"/>
      <c r="F832" s="12"/>
      <c r="G832" s="12" t="str">
        <f aca="false">IFERROR(VLOOKUP($F832,ItemList_Full,2,0),"")</f>
        <v/>
      </c>
      <c r="H832" s="12"/>
      <c r="I832" s="12" t="str">
        <f aca="false">IFERROR(VLOOKUP($F832,ItemList_Full,3,0),"")</f>
        <v/>
      </c>
      <c r="J832" s="12" t="str">
        <f aca="false">IFERROR(VLOOKUP($F832,ItemList_Full,4,0),"")</f>
        <v/>
      </c>
      <c r="K832" s="13"/>
      <c r="L832" s="12"/>
      <c r="M832" s="24"/>
      <c r="N832" s="12"/>
      <c r="O832" s="12"/>
      <c r="P832" s="13" t="str">
        <f aca="false">IF($E832="","",IF(OR($E832="Director Draw",$E832="Payroll/Employee Charge"),0,-$K832))</f>
        <v/>
      </c>
      <c r="Q832" s="12" t="n">
        <f aca="false">IF($E832="Inventory Purchase",$H832,0)</f>
        <v>0</v>
      </c>
    </row>
    <row r="833" customFormat="false" ht="15" hidden="false" customHeight="true" outlineLevel="0" collapsed="false">
      <c r="A833" s="19"/>
      <c r="B833" s="12" t="str">
        <f aca="false">IF($A833="","",ROW()-4)</f>
        <v/>
      </c>
      <c r="C833" s="12"/>
      <c r="D833" s="12"/>
      <c r="E833" s="24"/>
      <c r="F833" s="12"/>
      <c r="G833" s="12" t="str">
        <f aca="false">IFERROR(VLOOKUP($F833,ItemList_Full,2,0),"")</f>
        <v/>
      </c>
      <c r="H833" s="12"/>
      <c r="I833" s="12" t="str">
        <f aca="false">IFERROR(VLOOKUP($F833,ItemList_Full,3,0),"")</f>
        <v/>
      </c>
      <c r="J833" s="12" t="str">
        <f aca="false">IFERROR(VLOOKUP($F833,ItemList_Full,4,0),"")</f>
        <v/>
      </c>
      <c r="K833" s="13"/>
      <c r="L833" s="12"/>
      <c r="M833" s="24"/>
      <c r="N833" s="12"/>
      <c r="O833" s="12"/>
      <c r="P833" s="13" t="str">
        <f aca="false">IF($E833="","",IF(OR($E833="Director Draw",$E833="Payroll/Employee Charge"),0,-$K833))</f>
        <v/>
      </c>
      <c r="Q833" s="12" t="n">
        <f aca="false">IF($E833="Inventory Purchase",$H833,0)</f>
        <v>0</v>
      </c>
    </row>
    <row r="834" customFormat="false" ht="15" hidden="false" customHeight="true" outlineLevel="0" collapsed="false">
      <c r="A834" s="19"/>
      <c r="B834" s="12" t="str">
        <f aca="false">IF($A834="","",ROW()-4)</f>
        <v/>
      </c>
      <c r="C834" s="12"/>
      <c r="D834" s="12"/>
      <c r="E834" s="24"/>
      <c r="F834" s="12"/>
      <c r="G834" s="12" t="str">
        <f aca="false">IFERROR(VLOOKUP($F834,ItemList_Full,2,0),"")</f>
        <v/>
      </c>
      <c r="H834" s="12"/>
      <c r="I834" s="12" t="str">
        <f aca="false">IFERROR(VLOOKUP($F834,ItemList_Full,3,0),"")</f>
        <v/>
      </c>
      <c r="J834" s="12" t="str">
        <f aca="false">IFERROR(VLOOKUP($F834,ItemList_Full,4,0),"")</f>
        <v/>
      </c>
      <c r="K834" s="13"/>
      <c r="L834" s="12"/>
      <c r="M834" s="24"/>
      <c r="N834" s="12"/>
      <c r="O834" s="12"/>
      <c r="P834" s="13" t="str">
        <f aca="false">IF($E834="","",IF(OR($E834="Director Draw",$E834="Payroll/Employee Charge"),0,-$K834))</f>
        <v/>
      </c>
      <c r="Q834" s="12" t="n">
        <f aca="false">IF($E834="Inventory Purchase",$H834,0)</f>
        <v>0</v>
      </c>
    </row>
    <row r="835" customFormat="false" ht="15" hidden="false" customHeight="true" outlineLevel="0" collapsed="false">
      <c r="A835" s="19"/>
      <c r="B835" s="12" t="str">
        <f aca="false">IF($A835="","",ROW()-4)</f>
        <v/>
      </c>
      <c r="C835" s="12"/>
      <c r="D835" s="12"/>
      <c r="E835" s="24"/>
      <c r="F835" s="12"/>
      <c r="G835" s="12" t="str">
        <f aca="false">IFERROR(VLOOKUP($F835,ItemList_Full,2,0),"")</f>
        <v/>
      </c>
      <c r="H835" s="12"/>
      <c r="I835" s="12" t="str">
        <f aca="false">IFERROR(VLOOKUP($F835,ItemList_Full,3,0),"")</f>
        <v/>
      </c>
      <c r="J835" s="12" t="str">
        <f aca="false">IFERROR(VLOOKUP($F835,ItemList_Full,4,0),"")</f>
        <v/>
      </c>
      <c r="K835" s="13"/>
      <c r="L835" s="12"/>
      <c r="M835" s="24"/>
      <c r="N835" s="12"/>
      <c r="O835" s="12"/>
      <c r="P835" s="13" t="str">
        <f aca="false">IF($E835="","",IF(OR($E835="Director Draw",$E835="Payroll/Employee Charge"),0,-$K835))</f>
        <v/>
      </c>
      <c r="Q835" s="12" t="n">
        <f aca="false">IF($E835="Inventory Purchase",$H835,0)</f>
        <v>0</v>
      </c>
    </row>
    <row r="836" customFormat="false" ht="15" hidden="false" customHeight="true" outlineLevel="0" collapsed="false">
      <c r="A836" s="19"/>
      <c r="B836" s="12" t="str">
        <f aca="false">IF($A836="","",ROW()-4)</f>
        <v/>
      </c>
      <c r="C836" s="12"/>
      <c r="D836" s="12"/>
      <c r="E836" s="24"/>
      <c r="F836" s="12"/>
      <c r="G836" s="12" t="str">
        <f aca="false">IFERROR(VLOOKUP($F836,ItemList_Full,2,0),"")</f>
        <v/>
      </c>
      <c r="H836" s="12"/>
      <c r="I836" s="12" t="str">
        <f aca="false">IFERROR(VLOOKUP($F836,ItemList_Full,3,0),"")</f>
        <v/>
      </c>
      <c r="J836" s="12" t="str">
        <f aca="false">IFERROR(VLOOKUP($F836,ItemList_Full,4,0),"")</f>
        <v/>
      </c>
      <c r="K836" s="13"/>
      <c r="L836" s="12"/>
      <c r="M836" s="24"/>
      <c r="N836" s="12"/>
      <c r="O836" s="12"/>
      <c r="P836" s="13" t="str">
        <f aca="false">IF($E836="","",IF(OR($E836="Director Draw",$E836="Payroll/Employee Charge"),0,-$K836))</f>
        <v/>
      </c>
      <c r="Q836" s="12" t="n">
        <f aca="false">IF($E836="Inventory Purchase",$H836,0)</f>
        <v>0</v>
      </c>
    </row>
    <row r="837" customFormat="false" ht="15" hidden="false" customHeight="true" outlineLevel="0" collapsed="false">
      <c r="A837" s="19"/>
      <c r="B837" s="12" t="str">
        <f aca="false">IF($A837="","",ROW()-4)</f>
        <v/>
      </c>
      <c r="C837" s="12"/>
      <c r="D837" s="12"/>
      <c r="E837" s="24"/>
      <c r="F837" s="12"/>
      <c r="G837" s="12" t="str">
        <f aca="false">IFERROR(VLOOKUP($F837,ItemList_Full,2,0),"")</f>
        <v/>
      </c>
      <c r="H837" s="12"/>
      <c r="I837" s="12" t="str">
        <f aca="false">IFERROR(VLOOKUP($F837,ItemList_Full,3,0),"")</f>
        <v/>
      </c>
      <c r="J837" s="12" t="str">
        <f aca="false">IFERROR(VLOOKUP($F837,ItemList_Full,4,0),"")</f>
        <v/>
      </c>
      <c r="K837" s="13"/>
      <c r="L837" s="12"/>
      <c r="M837" s="24"/>
      <c r="N837" s="12"/>
      <c r="O837" s="12"/>
      <c r="P837" s="13" t="str">
        <f aca="false">IF($E837="","",IF(OR($E837="Director Draw",$E837="Payroll/Employee Charge"),0,-$K837))</f>
        <v/>
      </c>
      <c r="Q837" s="12" t="n">
        <f aca="false">IF($E837="Inventory Purchase",$H837,0)</f>
        <v>0</v>
      </c>
    </row>
    <row r="838" customFormat="false" ht="15" hidden="false" customHeight="true" outlineLevel="0" collapsed="false">
      <c r="A838" s="19"/>
      <c r="B838" s="12" t="str">
        <f aca="false">IF($A838="","",ROW()-4)</f>
        <v/>
      </c>
      <c r="C838" s="12"/>
      <c r="D838" s="12"/>
      <c r="E838" s="24"/>
      <c r="F838" s="12"/>
      <c r="G838" s="12" t="str">
        <f aca="false">IFERROR(VLOOKUP($F838,ItemList_Full,2,0),"")</f>
        <v/>
      </c>
      <c r="H838" s="12"/>
      <c r="I838" s="12" t="str">
        <f aca="false">IFERROR(VLOOKUP($F838,ItemList_Full,3,0),"")</f>
        <v/>
      </c>
      <c r="J838" s="12" t="str">
        <f aca="false">IFERROR(VLOOKUP($F838,ItemList_Full,4,0),"")</f>
        <v/>
      </c>
      <c r="K838" s="13"/>
      <c r="L838" s="12"/>
      <c r="M838" s="24"/>
      <c r="N838" s="12"/>
      <c r="O838" s="12"/>
      <c r="P838" s="13" t="str">
        <f aca="false">IF($E838="","",IF(OR($E838="Director Draw",$E838="Payroll/Employee Charge"),0,-$K838))</f>
        <v/>
      </c>
      <c r="Q838" s="12" t="n">
        <f aca="false">IF($E838="Inventory Purchase",$H838,0)</f>
        <v>0</v>
      </c>
    </row>
    <row r="839" customFormat="false" ht="15" hidden="false" customHeight="true" outlineLevel="0" collapsed="false">
      <c r="A839" s="19"/>
      <c r="B839" s="12" t="str">
        <f aca="false">IF($A839="","",ROW()-4)</f>
        <v/>
      </c>
      <c r="C839" s="12"/>
      <c r="D839" s="12"/>
      <c r="E839" s="24"/>
      <c r="F839" s="12"/>
      <c r="G839" s="12" t="str">
        <f aca="false">IFERROR(VLOOKUP($F839,ItemList_Full,2,0),"")</f>
        <v/>
      </c>
      <c r="H839" s="12"/>
      <c r="I839" s="12" t="str">
        <f aca="false">IFERROR(VLOOKUP($F839,ItemList_Full,3,0),"")</f>
        <v/>
      </c>
      <c r="J839" s="12" t="str">
        <f aca="false">IFERROR(VLOOKUP($F839,ItemList_Full,4,0),"")</f>
        <v/>
      </c>
      <c r="K839" s="13"/>
      <c r="L839" s="12"/>
      <c r="M839" s="24"/>
      <c r="N839" s="12"/>
      <c r="O839" s="12"/>
      <c r="P839" s="13" t="str">
        <f aca="false">IF($E839="","",IF(OR($E839="Director Draw",$E839="Payroll/Employee Charge"),0,-$K839))</f>
        <v/>
      </c>
      <c r="Q839" s="12" t="n">
        <f aca="false">IF($E839="Inventory Purchase",$H839,0)</f>
        <v>0</v>
      </c>
    </row>
    <row r="840" customFormat="false" ht="15" hidden="false" customHeight="true" outlineLevel="0" collapsed="false">
      <c r="A840" s="19"/>
      <c r="B840" s="12" t="str">
        <f aca="false">IF($A840="","",ROW()-4)</f>
        <v/>
      </c>
      <c r="C840" s="12"/>
      <c r="D840" s="12"/>
      <c r="E840" s="24"/>
      <c r="F840" s="12"/>
      <c r="G840" s="12" t="str">
        <f aca="false">IFERROR(VLOOKUP($F840,ItemList_Full,2,0),"")</f>
        <v/>
      </c>
      <c r="H840" s="12"/>
      <c r="I840" s="12" t="str">
        <f aca="false">IFERROR(VLOOKUP($F840,ItemList_Full,3,0),"")</f>
        <v/>
      </c>
      <c r="J840" s="12" t="str">
        <f aca="false">IFERROR(VLOOKUP($F840,ItemList_Full,4,0),"")</f>
        <v/>
      </c>
      <c r="K840" s="13"/>
      <c r="L840" s="12"/>
      <c r="M840" s="24"/>
      <c r="N840" s="12"/>
      <c r="O840" s="12"/>
      <c r="P840" s="13" t="str">
        <f aca="false">IF($E840="","",IF(OR($E840="Director Draw",$E840="Payroll/Employee Charge"),0,-$K840))</f>
        <v/>
      </c>
      <c r="Q840" s="12" t="n">
        <f aca="false">IF($E840="Inventory Purchase",$H840,0)</f>
        <v>0</v>
      </c>
    </row>
    <row r="841" customFormat="false" ht="15" hidden="false" customHeight="true" outlineLevel="0" collapsed="false">
      <c r="A841" s="19"/>
      <c r="B841" s="12" t="str">
        <f aca="false">IF($A841="","",ROW()-4)</f>
        <v/>
      </c>
      <c r="C841" s="12"/>
      <c r="D841" s="12"/>
      <c r="E841" s="24"/>
      <c r="F841" s="12"/>
      <c r="G841" s="12" t="str">
        <f aca="false">IFERROR(VLOOKUP($F841,ItemList_Full,2,0),"")</f>
        <v/>
      </c>
      <c r="H841" s="12"/>
      <c r="I841" s="12" t="str">
        <f aca="false">IFERROR(VLOOKUP($F841,ItemList_Full,3,0),"")</f>
        <v/>
      </c>
      <c r="J841" s="12" t="str">
        <f aca="false">IFERROR(VLOOKUP($F841,ItemList_Full,4,0),"")</f>
        <v/>
      </c>
      <c r="K841" s="13"/>
      <c r="L841" s="12"/>
      <c r="M841" s="24"/>
      <c r="N841" s="12"/>
      <c r="O841" s="12"/>
      <c r="P841" s="13" t="str">
        <f aca="false">IF($E841="","",IF(OR($E841="Director Draw",$E841="Payroll/Employee Charge"),0,-$K841))</f>
        <v/>
      </c>
      <c r="Q841" s="12" t="n">
        <f aca="false">IF($E841="Inventory Purchase",$H841,0)</f>
        <v>0</v>
      </c>
    </row>
    <row r="842" customFormat="false" ht="15" hidden="false" customHeight="true" outlineLevel="0" collapsed="false">
      <c r="A842" s="19"/>
      <c r="B842" s="12" t="str">
        <f aca="false">IF($A842="","",ROW()-4)</f>
        <v/>
      </c>
      <c r="C842" s="12"/>
      <c r="D842" s="12"/>
      <c r="E842" s="24"/>
      <c r="F842" s="12"/>
      <c r="G842" s="12" t="str">
        <f aca="false">IFERROR(VLOOKUP($F842,ItemList_Full,2,0),"")</f>
        <v/>
      </c>
      <c r="H842" s="12"/>
      <c r="I842" s="12" t="str">
        <f aca="false">IFERROR(VLOOKUP($F842,ItemList_Full,3,0),"")</f>
        <v/>
      </c>
      <c r="J842" s="12" t="str">
        <f aca="false">IFERROR(VLOOKUP($F842,ItemList_Full,4,0),"")</f>
        <v/>
      </c>
      <c r="K842" s="13"/>
      <c r="L842" s="12"/>
      <c r="M842" s="24"/>
      <c r="N842" s="12"/>
      <c r="O842" s="12"/>
      <c r="P842" s="13" t="str">
        <f aca="false">IF($E842="","",IF(OR($E842="Director Draw",$E842="Payroll/Employee Charge"),0,-$K842))</f>
        <v/>
      </c>
      <c r="Q842" s="12" t="n">
        <f aca="false">IF($E842="Inventory Purchase",$H842,0)</f>
        <v>0</v>
      </c>
    </row>
    <row r="843" customFormat="false" ht="15" hidden="false" customHeight="true" outlineLevel="0" collapsed="false">
      <c r="A843" s="19"/>
      <c r="B843" s="12" t="str">
        <f aca="false">IF($A843="","",ROW()-4)</f>
        <v/>
      </c>
      <c r="C843" s="12"/>
      <c r="D843" s="12"/>
      <c r="E843" s="24"/>
      <c r="F843" s="12"/>
      <c r="G843" s="12" t="str">
        <f aca="false">IFERROR(VLOOKUP($F843,ItemList_Full,2,0),"")</f>
        <v/>
      </c>
      <c r="H843" s="12"/>
      <c r="I843" s="12" t="str">
        <f aca="false">IFERROR(VLOOKUP($F843,ItemList_Full,3,0),"")</f>
        <v/>
      </c>
      <c r="J843" s="12" t="str">
        <f aca="false">IFERROR(VLOOKUP($F843,ItemList_Full,4,0),"")</f>
        <v/>
      </c>
      <c r="K843" s="13"/>
      <c r="L843" s="12"/>
      <c r="M843" s="24"/>
      <c r="N843" s="12"/>
      <c r="O843" s="12"/>
      <c r="P843" s="13" t="str">
        <f aca="false">IF($E843="","",IF(OR($E843="Director Draw",$E843="Payroll/Employee Charge"),0,-$K843))</f>
        <v/>
      </c>
      <c r="Q843" s="12" t="n">
        <f aca="false">IF($E843="Inventory Purchase",$H843,0)</f>
        <v>0</v>
      </c>
    </row>
    <row r="844" customFormat="false" ht="15" hidden="false" customHeight="true" outlineLevel="0" collapsed="false">
      <c r="A844" s="19"/>
      <c r="B844" s="12" t="str">
        <f aca="false">IF($A844="","",ROW()-4)</f>
        <v/>
      </c>
      <c r="C844" s="12"/>
      <c r="D844" s="12"/>
      <c r="E844" s="24"/>
      <c r="F844" s="12"/>
      <c r="G844" s="12" t="str">
        <f aca="false">IFERROR(VLOOKUP($F844,ItemList_Full,2,0),"")</f>
        <v/>
      </c>
      <c r="H844" s="12"/>
      <c r="I844" s="12" t="str">
        <f aca="false">IFERROR(VLOOKUP($F844,ItemList_Full,3,0),"")</f>
        <v/>
      </c>
      <c r="J844" s="12" t="str">
        <f aca="false">IFERROR(VLOOKUP($F844,ItemList_Full,4,0),"")</f>
        <v/>
      </c>
      <c r="K844" s="13"/>
      <c r="L844" s="12"/>
      <c r="M844" s="24"/>
      <c r="N844" s="12"/>
      <c r="O844" s="12"/>
      <c r="P844" s="13" t="str">
        <f aca="false">IF($E844="","",IF(OR($E844="Director Draw",$E844="Payroll/Employee Charge"),0,-$K844))</f>
        <v/>
      </c>
      <c r="Q844" s="12" t="n">
        <f aca="false">IF($E844="Inventory Purchase",$H844,0)</f>
        <v>0</v>
      </c>
    </row>
    <row r="845" customFormat="false" ht="15" hidden="false" customHeight="true" outlineLevel="0" collapsed="false">
      <c r="A845" s="19"/>
      <c r="B845" s="12" t="str">
        <f aca="false">IF($A845="","",ROW()-4)</f>
        <v/>
      </c>
      <c r="C845" s="12"/>
      <c r="D845" s="12"/>
      <c r="E845" s="24"/>
      <c r="F845" s="12"/>
      <c r="G845" s="12" t="str">
        <f aca="false">IFERROR(VLOOKUP($F845,ItemList_Full,2,0),"")</f>
        <v/>
      </c>
      <c r="H845" s="12"/>
      <c r="I845" s="12" t="str">
        <f aca="false">IFERROR(VLOOKUP($F845,ItemList_Full,3,0),"")</f>
        <v/>
      </c>
      <c r="J845" s="12" t="str">
        <f aca="false">IFERROR(VLOOKUP($F845,ItemList_Full,4,0),"")</f>
        <v/>
      </c>
      <c r="K845" s="13"/>
      <c r="L845" s="12"/>
      <c r="M845" s="24"/>
      <c r="N845" s="12"/>
      <c r="O845" s="12"/>
      <c r="P845" s="13" t="str">
        <f aca="false">IF($E845="","",IF(OR($E845="Director Draw",$E845="Payroll/Employee Charge"),0,-$K845))</f>
        <v/>
      </c>
      <c r="Q845" s="12" t="n">
        <f aca="false">IF($E845="Inventory Purchase",$H845,0)</f>
        <v>0</v>
      </c>
    </row>
    <row r="846" customFormat="false" ht="15" hidden="false" customHeight="true" outlineLevel="0" collapsed="false">
      <c r="A846" s="19"/>
      <c r="B846" s="12" t="str">
        <f aca="false">IF($A846="","",ROW()-4)</f>
        <v/>
      </c>
      <c r="C846" s="12"/>
      <c r="D846" s="12"/>
      <c r="E846" s="24"/>
      <c r="F846" s="12"/>
      <c r="G846" s="12" t="str">
        <f aca="false">IFERROR(VLOOKUP($F846,ItemList_Full,2,0),"")</f>
        <v/>
      </c>
      <c r="H846" s="12"/>
      <c r="I846" s="12" t="str">
        <f aca="false">IFERROR(VLOOKUP($F846,ItemList_Full,3,0),"")</f>
        <v/>
      </c>
      <c r="J846" s="12" t="str">
        <f aca="false">IFERROR(VLOOKUP($F846,ItemList_Full,4,0),"")</f>
        <v/>
      </c>
      <c r="K846" s="13"/>
      <c r="L846" s="12"/>
      <c r="M846" s="24"/>
      <c r="N846" s="12"/>
      <c r="O846" s="12"/>
      <c r="P846" s="13" t="str">
        <f aca="false">IF($E846="","",IF(OR($E846="Director Draw",$E846="Payroll/Employee Charge"),0,-$K846))</f>
        <v/>
      </c>
      <c r="Q846" s="12" t="n">
        <f aca="false">IF($E846="Inventory Purchase",$H846,0)</f>
        <v>0</v>
      </c>
    </row>
    <row r="847" customFormat="false" ht="15" hidden="false" customHeight="true" outlineLevel="0" collapsed="false">
      <c r="A847" s="19"/>
      <c r="B847" s="12" t="str">
        <f aca="false">IF($A847="","",ROW()-4)</f>
        <v/>
      </c>
      <c r="C847" s="12"/>
      <c r="D847" s="12"/>
      <c r="E847" s="24"/>
      <c r="F847" s="12"/>
      <c r="G847" s="12" t="str">
        <f aca="false">IFERROR(VLOOKUP($F847,ItemList_Full,2,0),"")</f>
        <v/>
      </c>
      <c r="H847" s="12"/>
      <c r="I847" s="12" t="str">
        <f aca="false">IFERROR(VLOOKUP($F847,ItemList_Full,3,0),"")</f>
        <v/>
      </c>
      <c r="J847" s="12" t="str">
        <f aca="false">IFERROR(VLOOKUP($F847,ItemList_Full,4,0),"")</f>
        <v/>
      </c>
      <c r="K847" s="13"/>
      <c r="L847" s="12"/>
      <c r="M847" s="24"/>
      <c r="N847" s="12"/>
      <c r="O847" s="12"/>
      <c r="P847" s="13" t="str">
        <f aca="false">IF($E847="","",IF(OR($E847="Director Draw",$E847="Payroll/Employee Charge"),0,-$K847))</f>
        <v/>
      </c>
      <c r="Q847" s="12" t="n">
        <f aca="false">IF($E847="Inventory Purchase",$H847,0)</f>
        <v>0</v>
      </c>
    </row>
    <row r="848" customFormat="false" ht="15" hidden="false" customHeight="true" outlineLevel="0" collapsed="false">
      <c r="A848" s="19"/>
      <c r="B848" s="12" t="str">
        <f aca="false">IF($A848="","",ROW()-4)</f>
        <v/>
      </c>
      <c r="C848" s="12"/>
      <c r="D848" s="12"/>
      <c r="E848" s="24"/>
      <c r="F848" s="12"/>
      <c r="G848" s="12" t="str">
        <f aca="false">IFERROR(VLOOKUP($F848,ItemList_Full,2,0),"")</f>
        <v/>
      </c>
      <c r="H848" s="12"/>
      <c r="I848" s="12" t="str">
        <f aca="false">IFERROR(VLOOKUP($F848,ItemList_Full,3,0),"")</f>
        <v/>
      </c>
      <c r="J848" s="12" t="str">
        <f aca="false">IFERROR(VLOOKUP($F848,ItemList_Full,4,0),"")</f>
        <v/>
      </c>
      <c r="K848" s="13"/>
      <c r="L848" s="12"/>
      <c r="M848" s="24"/>
      <c r="N848" s="12"/>
      <c r="O848" s="12"/>
      <c r="P848" s="13" t="str">
        <f aca="false">IF($E848="","",IF(OR($E848="Director Draw",$E848="Payroll/Employee Charge"),0,-$K848))</f>
        <v/>
      </c>
      <c r="Q848" s="12" t="n">
        <f aca="false">IF($E848="Inventory Purchase",$H848,0)</f>
        <v>0</v>
      </c>
    </row>
    <row r="849" customFormat="false" ht="15" hidden="false" customHeight="true" outlineLevel="0" collapsed="false">
      <c r="A849" s="19"/>
      <c r="B849" s="12" t="str">
        <f aca="false">IF($A849="","",ROW()-4)</f>
        <v/>
      </c>
      <c r="C849" s="12"/>
      <c r="D849" s="12"/>
      <c r="E849" s="24"/>
      <c r="F849" s="12"/>
      <c r="G849" s="12" t="str">
        <f aca="false">IFERROR(VLOOKUP($F849,ItemList_Full,2,0),"")</f>
        <v/>
      </c>
      <c r="H849" s="12"/>
      <c r="I849" s="12" t="str">
        <f aca="false">IFERROR(VLOOKUP($F849,ItemList_Full,3,0),"")</f>
        <v/>
      </c>
      <c r="J849" s="12" t="str">
        <f aca="false">IFERROR(VLOOKUP($F849,ItemList_Full,4,0),"")</f>
        <v/>
      </c>
      <c r="K849" s="13"/>
      <c r="L849" s="12"/>
      <c r="M849" s="24"/>
      <c r="N849" s="12"/>
      <c r="O849" s="12"/>
      <c r="P849" s="13" t="str">
        <f aca="false">IF($E849="","",IF(OR($E849="Director Draw",$E849="Payroll/Employee Charge"),0,-$K849))</f>
        <v/>
      </c>
      <c r="Q849" s="12" t="n">
        <f aca="false">IF($E849="Inventory Purchase",$H849,0)</f>
        <v>0</v>
      </c>
    </row>
    <row r="850" customFormat="false" ht="15" hidden="false" customHeight="true" outlineLevel="0" collapsed="false">
      <c r="A850" s="19"/>
      <c r="B850" s="12" t="str">
        <f aca="false">IF($A850="","",ROW()-4)</f>
        <v/>
      </c>
      <c r="C850" s="12"/>
      <c r="D850" s="12"/>
      <c r="E850" s="24"/>
      <c r="F850" s="12"/>
      <c r="G850" s="12" t="str">
        <f aca="false">IFERROR(VLOOKUP($F850,ItemList_Full,2,0),"")</f>
        <v/>
      </c>
      <c r="H850" s="12"/>
      <c r="I850" s="12" t="str">
        <f aca="false">IFERROR(VLOOKUP($F850,ItemList_Full,3,0),"")</f>
        <v/>
      </c>
      <c r="J850" s="12" t="str">
        <f aca="false">IFERROR(VLOOKUP($F850,ItemList_Full,4,0),"")</f>
        <v/>
      </c>
      <c r="K850" s="13"/>
      <c r="L850" s="12"/>
      <c r="M850" s="24"/>
      <c r="N850" s="12"/>
      <c r="O850" s="12"/>
      <c r="P850" s="13" t="str">
        <f aca="false">IF($E850="","",IF(OR($E850="Director Draw",$E850="Payroll/Employee Charge"),0,-$K850))</f>
        <v/>
      </c>
      <c r="Q850" s="12" t="n">
        <f aca="false">IF($E850="Inventory Purchase",$H850,0)</f>
        <v>0</v>
      </c>
    </row>
    <row r="851" customFormat="false" ht="15" hidden="false" customHeight="true" outlineLevel="0" collapsed="false">
      <c r="A851" s="19"/>
      <c r="B851" s="12" t="str">
        <f aca="false">IF($A851="","",ROW()-4)</f>
        <v/>
      </c>
      <c r="C851" s="12"/>
      <c r="D851" s="12"/>
      <c r="E851" s="24"/>
      <c r="F851" s="12"/>
      <c r="G851" s="12" t="str">
        <f aca="false">IFERROR(VLOOKUP($F851,ItemList_Full,2,0),"")</f>
        <v/>
      </c>
      <c r="H851" s="12"/>
      <c r="I851" s="12" t="str">
        <f aca="false">IFERROR(VLOOKUP($F851,ItemList_Full,3,0),"")</f>
        <v/>
      </c>
      <c r="J851" s="12" t="str">
        <f aca="false">IFERROR(VLOOKUP($F851,ItemList_Full,4,0),"")</f>
        <v/>
      </c>
      <c r="K851" s="13"/>
      <c r="L851" s="12"/>
      <c r="M851" s="24"/>
      <c r="N851" s="12"/>
      <c r="O851" s="12"/>
      <c r="P851" s="13" t="str">
        <f aca="false">IF($E851="","",IF(OR($E851="Director Draw",$E851="Payroll/Employee Charge"),0,-$K851))</f>
        <v/>
      </c>
      <c r="Q851" s="12" t="n">
        <f aca="false">IF($E851="Inventory Purchase",$H851,0)</f>
        <v>0</v>
      </c>
    </row>
    <row r="852" customFormat="false" ht="15" hidden="false" customHeight="true" outlineLevel="0" collapsed="false">
      <c r="A852" s="19"/>
      <c r="B852" s="12" t="str">
        <f aca="false">IF($A852="","",ROW()-4)</f>
        <v/>
      </c>
      <c r="C852" s="12"/>
      <c r="D852" s="12"/>
      <c r="E852" s="24"/>
      <c r="F852" s="12"/>
      <c r="G852" s="12" t="str">
        <f aca="false">IFERROR(VLOOKUP($F852,ItemList_Full,2,0),"")</f>
        <v/>
      </c>
      <c r="H852" s="12"/>
      <c r="I852" s="12" t="str">
        <f aca="false">IFERROR(VLOOKUP($F852,ItemList_Full,3,0),"")</f>
        <v/>
      </c>
      <c r="J852" s="12" t="str">
        <f aca="false">IFERROR(VLOOKUP($F852,ItemList_Full,4,0),"")</f>
        <v/>
      </c>
      <c r="K852" s="13"/>
      <c r="L852" s="12"/>
      <c r="M852" s="24"/>
      <c r="N852" s="12"/>
      <c r="O852" s="12"/>
      <c r="P852" s="13" t="str">
        <f aca="false">IF($E852="","",IF(OR($E852="Director Draw",$E852="Payroll/Employee Charge"),0,-$K852))</f>
        <v/>
      </c>
      <c r="Q852" s="12" t="n">
        <f aca="false">IF($E852="Inventory Purchase",$H852,0)</f>
        <v>0</v>
      </c>
    </row>
    <row r="853" customFormat="false" ht="15" hidden="false" customHeight="true" outlineLevel="0" collapsed="false">
      <c r="A853" s="19"/>
      <c r="B853" s="12" t="str">
        <f aca="false">IF($A853="","",ROW()-4)</f>
        <v/>
      </c>
      <c r="C853" s="12"/>
      <c r="D853" s="12"/>
      <c r="E853" s="24"/>
      <c r="F853" s="12"/>
      <c r="G853" s="12" t="str">
        <f aca="false">IFERROR(VLOOKUP($F853,ItemList_Full,2,0),"")</f>
        <v/>
      </c>
      <c r="H853" s="12"/>
      <c r="I853" s="12" t="str">
        <f aca="false">IFERROR(VLOOKUP($F853,ItemList_Full,3,0),"")</f>
        <v/>
      </c>
      <c r="J853" s="12" t="str">
        <f aca="false">IFERROR(VLOOKUP($F853,ItemList_Full,4,0),"")</f>
        <v/>
      </c>
      <c r="K853" s="13"/>
      <c r="L853" s="12"/>
      <c r="M853" s="24"/>
      <c r="N853" s="12"/>
      <c r="O853" s="12"/>
      <c r="P853" s="13" t="str">
        <f aca="false">IF($E853="","",IF(OR($E853="Director Draw",$E853="Payroll/Employee Charge"),0,-$K853))</f>
        <v/>
      </c>
      <c r="Q853" s="12" t="n">
        <f aca="false">IF($E853="Inventory Purchase",$H853,0)</f>
        <v>0</v>
      </c>
    </row>
    <row r="854" customFormat="false" ht="15" hidden="false" customHeight="true" outlineLevel="0" collapsed="false">
      <c r="A854" s="19"/>
      <c r="B854" s="12" t="str">
        <f aca="false">IF($A854="","",ROW()-4)</f>
        <v/>
      </c>
      <c r="C854" s="12"/>
      <c r="D854" s="12"/>
      <c r="E854" s="24"/>
      <c r="F854" s="12"/>
      <c r="G854" s="12" t="str">
        <f aca="false">IFERROR(VLOOKUP($F854,ItemList_Full,2,0),"")</f>
        <v/>
      </c>
      <c r="H854" s="12"/>
      <c r="I854" s="12" t="str">
        <f aca="false">IFERROR(VLOOKUP($F854,ItemList_Full,3,0),"")</f>
        <v/>
      </c>
      <c r="J854" s="12" t="str">
        <f aca="false">IFERROR(VLOOKUP($F854,ItemList_Full,4,0),"")</f>
        <v/>
      </c>
      <c r="K854" s="13"/>
      <c r="L854" s="12"/>
      <c r="M854" s="24"/>
      <c r="N854" s="12"/>
      <c r="O854" s="12"/>
      <c r="P854" s="13" t="str">
        <f aca="false">IF($E854="","",IF(OR($E854="Director Draw",$E854="Payroll/Employee Charge"),0,-$K854))</f>
        <v/>
      </c>
      <c r="Q854" s="12" t="n">
        <f aca="false">IF($E854="Inventory Purchase",$H854,0)</f>
        <v>0</v>
      </c>
    </row>
    <row r="855" customFormat="false" ht="15" hidden="false" customHeight="true" outlineLevel="0" collapsed="false">
      <c r="A855" s="19"/>
      <c r="B855" s="12" t="str">
        <f aca="false">IF($A855="","",ROW()-4)</f>
        <v/>
      </c>
      <c r="C855" s="12"/>
      <c r="D855" s="12"/>
      <c r="E855" s="24"/>
      <c r="F855" s="12"/>
      <c r="G855" s="12" t="str">
        <f aca="false">IFERROR(VLOOKUP($F855,ItemList_Full,2,0),"")</f>
        <v/>
      </c>
      <c r="H855" s="12"/>
      <c r="I855" s="12" t="str">
        <f aca="false">IFERROR(VLOOKUP($F855,ItemList_Full,3,0),"")</f>
        <v/>
      </c>
      <c r="J855" s="12" t="str">
        <f aca="false">IFERROR(VLOOKUP($F855,ItemList_Full,4,0),"")</f>
        <v/>
      </c>
      <c r="K855" s="13"/>
      <c r="L855" s="12"/>
      <c r="M855" s="24"/>
      <c r="N855" s="12"/>
      <c r="O855" s="12"/>
      <c r="P855" s="13" t="str">
        <f aca="false">IF($E855="","",IF(OR($E855="Director Draw",$E855="Payroll/Employee Charge"),0,-$K855))</f>
        <v/>
      </c>
      <c r="Q855" s="12" t="n">
        <f aca="false">IF($E855="Inventory Purchase",$H855,0)</f>
        <v>0</v>
      </c>
    </row>
    <row r="856" customFormat="false" ht="15" hidden="false" customHeight="true" outlineLevel="0" collapsed="false">
      <c r="A856" s="19"/>
      <c r="B856" s="12" t="str">
        <f aca="false">IF($A856="","",ROW()-4)</f>
        <v/>
      </c>
      <c r="C856" s="12"/>
      <c r="D856" s="12"/>
      <c r="E856" s="24"/>
      <c r="F856" s="12"/>
      <c r="G856" s="12" t="str">
        <f aca="false">IFERROR(VLOOKUP($F856,ItemList_Full,2,0),"")</f>
        <v/>
      </c>
      <c r="H856" s="12"/>
      <c r="I856" s="12" t="str">
        <f aca="false">IFERROR(VLOOKUP($F856,ItemList_Full,3,0),"")</f>
        <v/>
      </c>
      <c r="J856" s="12" t="str">
        <f aca="false">IFERROR(VLOOKUP($F856,ItemList_Full,4,0),"")</f>
        <v/>
      </c>
      <c r="K856" s="13"/>
      <c r="L856" s="12"/>
      <c r="M856" s="24"/>
      <c r="N856" s="12"/>
      <c r="O856" s="12"/>
      <c r="P856" s="13" t="str">
        <f aca="false">IF($E856="","",IF(OR($E856="Director Draw",$E856="Payroll/Employee Charge"),0,-$K856))</f>
        <v/>
      </c>
      <c r="Q856" s="12" t="n">
        <f aca="false">IF($E856="Inventory Purchase",$H856,0)</f>
        <v>0</v>
      </c>
    </row>
    <row r="857" customFormat="false" ht="15" hidden="false" customHeight="true" outlineLevel="0" collapsed="false">
      <c r="A857" s="19"/>
      <c r="B857" s="12" t="str">
        <f aca="false">IF($A857="","",ROW()-4)</f>
        <v/>
      </c>
      <c r="C857" s="12"/>
      <c r="D857" s="12"/>
      <c r="E857" s="24"/>
      <c r="F857" s="12"/>
      <c r="G857" s="12" t="str">
        <f aca="false">IFERROR(VLOOKUP($F857,ItemList_Full,2,0),"")</f>
        <v/>
      </c>
      <c r="H857" s="12"/>
      <c r="I857" s="12" t="str">
        <f aca="false">IFERROR(VLOOKUP($F857,ItemList_Full,3,0),"")</f>
        <v/>
      </c>
      <c r="J857" s="12" t="str">
        <f aca="false">IFERROR(VLOOKUP($F857,ItemList_Full,4,0),"")</f>
        <v/>
      </c>
      <c r="K857" s="13"/>
      <c r="L857" s="12"/>
      <c r="M857" s="24"/>
      <c r="N857" s="12"/>
      <c r="O857" s="12"/>
      <c r="P857" s="13" t="str">
        <f aca="false">IF($E857="","",IF(OR($E857="Director Draw",$E857="Payroll/Employee Charge"),0,-$K857))</f>
        <v/>
      </c>
      <c r="Q857" s="12" t="n">
        <f aca="false">IF($E857="Inventory Purchase",$H857,0)</f>
        <v>0</v>
      </c>
    </row>
    <row r="858" customFormat="false" ht="15" hidden="false" customHeight="true" outlineLevel="0" collapsed="false">
      <c r="A858" s="19"/>
      <c r="B858" s="12" t="str">
        <f aca="false">IF($A858="","",ROW()-4)</f>
        <v/>
      </c>
      <c r="C858" s="12"/>
      <c r="D858" s="12"/>
      <c r="E858" s="24"/>
      <c r="F858" s="12"/>
      <c r="G858" s="12" t="str">
        <f aca="false">IFERROR(VLOOKUP($F858,ItemList_Full,2,0),"")</f>
        <v/>
      </c>
      <c r="H858" s="12"/>
      <c r="I858" s="12" t="str">
        <f aca="false">IFERROR(VLOOKUP($F858,ItemList_Full,3,0),"")</f>
        <v/>
      </c>
      <c r="J858" s="12" t="str">
        <f aca="false">IFERROR(VLOOKUP($F858,ItemList_Full,4,0),"")</f>
        <v/>
      </c>
      <c r="K858" s="13"/>
      <c r="L858" s="12"/>
      <c r="M858" s="24"/>
      <c r="N858" s="12"/>
      <c r="O858" s="12"/>
      <c r="P858" s="13" t="str">
        <f aca="false">IF($E858="","",IF(OR($E858="Director Draw",$E858="Payroll/Employee Charge"),0,-$K858))</f>
        <v/>
      </c>
      <c r="Q858" s="12" t="n">
        <f aca="false">IF($E858="Inventory Purchase",$H858,0)</f>
        <v>0</v>
      </c>
    </row>
    <row r="859" customFormat="false" ht="15" hidden="false" customHeight="true" outlineLevel="0" collapsed="false">
      <c r="A859" s="19"/>
      <c r="B859" s="12" t="str">
        <f aca="false">IF($A859="","",ROW()-4)</f>
        <v/>
      </c>
      <c r="C859" s="12"/>
      <c r="D859" s="12"/>
      <c r="E859" s="24"/>
      <c r="F859" s="12"/>
      <c r="G859" s="12" t="str">
        <f aca="false">IFERROR(VLOOKUP($F859,ItemList_Full,2,0),"")</f>
        <v/>
      </c>
      <c r="H859" s="12"/>
      <c r="I859" s="12" t="str">
        <f aca="false">IFERROR(VLOOKUP($F859,ItemList_Full,3,0),"")</f>
        <v/>
      </c>
      <c r="J859" s="12" t="str">
        <f aca="false">IFERROR(VLOOKUP($F859,ItemList_Full,4,0),"")</f>
        <v/>
      </c>
      <c r="K859" s="13"/>
      <c r="L859" s="12"/>
      <c r="M859" s="24"/>
      <c r="N859" s="12"/>
      <c r="O859" s="12"/>
      <c r="P859" s="13" t="str">
        <f aca="false">IF($E859="","",IF(OR($E859="Director Draw",$E859="Payroll/Employee Charge"),0,-$K859))</f>
        <v/>
      </c>
      <c r="Q859" s="12" t="n">
        <f aca="false">IF($E859="Inventory Purchase",$H859,0)</f>
        <v>0</v>
      </c>
    </row>
    <row r="860" customFormat="false" ht="15" hidden="false" customHeight="true" outlineLevel="0" collapsed="false">
      <c r="A860" s="19"/>
      <c r="B860" s="12" t="str">
        <f aca="false">IF($A860="","",ROW()-4)</f>
        <v/>
      </c>
      <c r="C860" s="12"/>
      <c r="D860" s="12"/>
      <c r="E860" s="24"/>
      <c r="F860" s="12"/>
      <c r="G860" s="12" t="str">
        <f aca="false">IFERROR(VLOOKUP($F860,ItemList_Full,2,0),"")</f>
        <v/>
      </c>
      <c r="H860" s="12"/>
      <c r="I860" s="12" t="str">
        <f aca="false">IFERROR(VLOOKUP($F860,ItemList_Full,3,0),"")</f>
        <v/>
      </c>
      <c r="J860" s="12" t="str">
        <f aca="false">IFERROR(VLOOKUP($F860,ItemList_Full,4,0),"")</f>
        <v/>
      </c>
      <c r="K860" s="13"/>
      <c r="L860" s="12"/>
      <c r="M860" s="24"/>
      <c r="N860" s="12"/>
      <c r="O860" s="12"/>
      <c r="P860" s="13" t="str">
        <f aca="false">IF($E860="","",IF(OR($E860="Director Draw",$E860="Payroll/Employee Charge"),0,-$K860))</f>
        <v/>
      </c>
      <c r="Q860" s="12" t="n">
        <f aca="false">IF($E860="Inventory Purchase",$H860,0)</f>
        <v>0</v>
      </c>
    </row>
    <row r="861" customFormat="false" ht="15" hidden="false" customHeight="true" outlineLevel="0" collapsed="false">
      <c r="A861" s="19"/>
      <c r="B861" s="12" t="str">
        <f aca="false">IF($A861="","",ROW()-4)</f>
        <v/>
      </c>
      <c r="C861" s="12"/>
      <c r="D861" s="12"/>
      <c r="E861" s="24"/>
      <c r="F861" s="12"/>
      <c r="G861" s="12" t="str">
        <f aca="false">IFERROR(VLOOKUP($F861,ItemList_Full,2,0),"")</f>
        <v/>
      </c>
      <c r="H861" s="12"/>
      <c r="I861" s="12" t="str">
        <f aca="false">IFERROR(VLOOKUP($F861,ItemList_Full,3,0),"")</f>
        <v/>
      </c>
      <c r="J861" s="12" t="str">
        <f aca="false">IFERROR(VLOOKUP($F861,ItemList_Full,4,0),"")</f>
        <v/>
      </c>
      <c r="K861" s="13"/>
      <c r="L861" s="12"/>
      <c r="M861" s="24"/>
      <c r="N861" s="12"/>
      <c r="O861" s="12"/>
      <c r="P861" s="13" t="str">
        <f aca="false">IF($E861="","",IF(OR($E861="Director Draw",$E861="Payroll/Employee Charge"),0,-$K861))</f>
        <v/>
      </c>
      <c r="Q861" s="12" t="n">
        <f aca="false">IF($E861="Inventory Purchase",$H861,0)</f>
        <v>0</v>
      </c>
    </row>
    <row r="862" customFormat="false" ht="15" hidden="false" customHeight="true" outlineLevel="0" collapsed="false">
      <c r="A862" s="19"/>
      <c r="B862" s="12" t="str">
        <f aca="false">IF($A862="","",ROW()-4)</f>
        <v/>
      </c>
      <c r="C862" s="12"/>
      <c r="D862" s="12"/>
      <c r="E862" s="24"/>
      <c r="F862" s="12"/>
      <c r="G862" s="12" t="str">
        <f aca="false">IFERROR(VLOOKUP($F862,ItemList_Full,2,0),"")</f>
        <v/>
      </c>
      <c r="H862" s="12"/>
      <c r="I862" s="12" t="str">
        <f aca="false">IFERROR(VLOOKUP($F862,ItemList_Full,3,0),"")</f>
        <v/>
      </c>
      <c r="J862" s="12" t="str">
        <f aca="false">IFERROR(VLOOKUP($F862,ItemList_Full,4,0),"")</f>
        <v/>
      </c>
      <c r="K862" s="13"/>
      <c r="L862" s="12"/>
      <c r="M862" s="24"/>
      <c r="N862" s="12"/>
      <c r="O862" s="12"/>
      <c r="P862" s="13" t="str">
        <f aca="false">IF($E862="","",IF(OR($E862="Director Draw",$E862="Payroll/Employee Charge"),0,-$K862))</f>
        <v/>
      </c>
      <c r="Q862" s="12" t="n">
        <f aca="false">IF($E862="Inventory Purchase",$H862,0)</f>
        <v>0</v>
      </c>
    </row>
    <row r="863" customFormat="false" ht="15" hidden="false" customHeight="true" outlineLevel="0" collapsed="false">
      <c r="A863" s="19"/>
      <c r="B863" s="12" t="str">
        <f aca="false">IF($A863="","",ROW()-4)</f>
        <v/>
      </c>
      <c r="C863" s="12"/>
      <c r="D863" s="12"/>
      <c r="E863" s="24"/>
      <c r="F863" s="12"/>
      <c r="G863" s="12" t="str">
        <f aca="false">IFERROR(VLOOKUP($F863,ItemList_Full,2,0),"")</f>
        <v/>
      </c>
      <c r="H863" s="12"/>
      <c r="I863" s="12" t="str">
        <f aca="false">IFERROR(VLOOKUP($F863,ItemList_Full,3,0),"")</f>
        <v/>
      </c>
      <c r="J863" s="12" t="str">
        <f aca="false">IFERROR(VLOOKUP($F863,ItemList_Full,4,0),"")</f>
        <v/>
      </c>
      <c r="K863" s="13"/>
      <c r="L863" s="12"/>
      <c r="M863" s="24"/>
      <c r="N863" s="12"/>
      <c r="O863" s="12"/>
      <c r="P863" s="13" t="str">
        <f aca="false">IF($E863="","",IF(OR($E863="Director Draw",$E863="Payroll/Employee Charge"),0,-$K863))</f>
        <v/>
      </c>
      <c r="Q863" s="12" t="n">
        <f aca="false">IF($E863="Inventory Purchase",$H863,0)</f>
        <v>0</v>
      </c>
    </row>
    <row r="864" customFormat="false" ht="15" hidden="false" customHeight="true" outlineLevel="0" collapsed="false">
      <c r="A864" s="19"/>
      <c r="B864" s="12" t="str">
        <f aca="false">IF($A864="","",ROW()-4)</f>
        <v/>
      </c>
      <c r="C864" s="12"/>
      <c r="D864" s="12"/>
      <c r="E864" s="24"/>
      <c r="F864" s="12"/>
      <c r="G864" s="12" t="str">
        <f aca="false">IFERROR(VLOOKUP($F864,ItemList_Full,2,0),"")</f>
        <v/>
      </c>
      <c r="H864" s="12"/>
      <c r="I864" s="12" t="str">
        <f aca="false">IFERROR(VLOOKUP($F864,ItemList_Full,3,0),"")</f>
        <v/>
      </c>
      <c r="J864" s="12" t="str">
        <f aca="false">IFERROR(VLOOKUP($F864,ItemList_Full,4,0),"")</f>
        <v/>
      </c>
      <c r="K864" s="13"/>
      <c r="L864" s="12"/>
      <c r="M864" s="24"/>
      <c r="N864" s="12"/>
      <c r="O864" s="12"/>
      <c r="P864" s="13" t="str">
        <f aca="false">IF($E864="","",IF(OR($E864="Director Draw",$E864="Payroll/Employee Charge"),0,-$K864))</f>
        <v/>
      </c>
      <c r="Q864" s="12" t="n">
        <f aca="false">IF($E864="Inventory Purchase",$H864,0)</f>
        <v>0</v>
      </c>
    </row>
    <row r="865" customFormat="false" ht="15" hidden="false" customHeight="true" outlineLevel="0" collapsed="false">
      <c r="A865" s="19"/>
      <c r="B865" s="12" t="str">
        <f aca="false">IF($A865="","",ROW()-4)</f>
        <v/>
      </c>
      <c r="C865" s="12"/>
      <c r="D865" s="12"/>
      <c r="E865" s="24"/>
      <c r="F865" s="12"/>
      <c r="G865" s="12" t="str">
        <f aca="false">IFERROR(VLOOKUP($F865,ItemList_Full,2,0),"")</f>
        <v/>
      </c>
      <c r="H865" s="12"/>
      <c r="I865" s="12" t="str">
        <f aca="false">IFERROR(VLOOKUP($F865,ItemList_Full,3,0),"")</f>
        <v/>
      </c>
      <c r="J865" s="12" t="str">
        <f aca="false">IFERROR(VLOOKUP($F865,ItemList_Full,4,0),"")</f>
        <v/>
      </c>
      <c r="K865" s="13"/>
      <c r="L865" s="12"/>
      <c r="M865" s="24"/>
      <c r="N865" s="12"/>
      <c r="O865" s="12"/>
      <c r="P865" s="13" t="str">
        <f aca="false">IF($E865="","",IF(OR($E865="Director Draw",$E865="Payroll/Employee Charge"),0,-$K865))</f>
        <v/>
      </c>
      <c r="Q865" s="12" t="n">
        <f aca="false">IF($E865="Inventory Purchase",$H865,0)</f>
        <v>0</v>
      </c>
    </row>
    <row r="866" customFormat="false" ht="15" hidden="false" customHeight="true" outlineLevel="0" collapsed="false">
      <c r="A866" s="19"/>
      <c r="B866" s="12" t="str">
        <f aca="false">IF($A866="","",ROW()-4)</f>
        <v/>
      </c>
      <c r="C866" s="12"/>
      <c r="D866" s="12"/>
      <c r="E866" s="24"/>
      <c r="F866" s="12"/>
      <c r="G866" s="12" t="str">
        <f aca="false">IFERROR(VLOOKUP($F866,ItemList_Full,2,0),"")</f>
        <v/>
      </c>
      <c r="H866" s="12"/>
      <c r="I866" s="12" t="str">
        <f aca="false">IFERROR(VLOOKUP($F866,ItemList_Full,3,0),"")</f>
        <v/>
      </c>
      <c r="J866" s="12" t="str">
        <f aca="false">IFERROR(VLOOKUP($F866,ItemList_Full,4,0),"")</f>
        <v/>
      </c>
      <c r="K866" s="13"/>
      <c r="L866" s="12"/>
      <c r="M866" s="24"/>
      <c r="N866" s="12"/>
      <c r="O866" s="12"/>
      <c r="P866" s="13" t="str">
        <f aca="false">IF($E866="","",IF(OR($E866="Director Draw",$E866="Payroll/Employee Charge"),0,-$K866))</f>
        <v/>
      </c>
      <c r="Q866" s="12" t="n">
        <f aca="false">IF($E866="Inventory Purchase",$H866,0)</f>
        <v>0</v>
      </c>
    </row>
    <row r="867" customFormat="false" ht="15" hidden="false" customHeight="true" outlineLevel="0" collapsed="false">
      <c r="A867" s="19"/>
      <c r="B867" s="12" t="str">
        <f aca="false">IF($A867="","",ROW()-4)</f>
        <v/>
      </c>
      <c r="C867" s="12"/>
      <c r="D867" s="12"/>
      <c r="E867" s="24"/>
      <c r="F867" s="12"/>
      <c r="G867" s="12" t="str">
        <f aca="false">IFERROR(VLOOKUP($F867,ItemList_Full,2,0),"")</f>
        <v/>
      </c>
      <c r="H867" s="12"/>
      <c r="I867" s="12" t="str">
        <f aca="false">IFERROR(VLOOKUP($F867,ItemList_Full,3,0),"")</f>
        <v/>
      </c>
      <c r="J867" s="12" t="str">
        <f aca="false">IFERROR(VLOOKUP($F867,ItemList_Full,4,0),"")</f>
        <v/>
      </c>
      <c r="K867" s="13"/>
      <c r="L867" s="12"/>
      <c r="M867" s="24"/>
      <c r="N867" s="12"/>
      <c r="O867" s="12"/>
      <c r="P867" s="13" t="str">
        <f aca="false">IF($E867="","",IF(OR($E867="Director Draw",$E867="Payroll/Employee Charge"),0,-$K867))</f>
        <v/>
      </c>
      <c r="Q867" s="12" t="n">
        <f aca="false">IF($E867="Inventory Purchase",$H867,0)</f>
        <v>0</v>
      </c>
    </row>
    <row r="868" customFormat="false" ht="15" hidden="false" customHeight="true" outlineLevel="0" collapsed="false">
      <c r="A868" s="19"/>
      <c r="B868" s="12" t="str">
        <f aca="false">IF($A868="","",ROW()-4)</f>
        <v/>
      </c>
      <c r="C868" s="12"/>
      <c r="D868" s="12"/>
      <c r="E868" s="24"/>
      <c r="F868" s="12"/>
      <c r="G868" s="12" t="str">
        <f aca="false">IFERROR(VLOOKUP($F868,ItemList_Full,2,0),"")</f>
        <v/>
      </c>
      <c r="H868" s="12"/>
      <c r="I868" s="12" t="str">
        <f aca="false">IFERROR(VLOOKUP($F868,ItemList_Full,3,0),"")</f>
        <v/>
      </c>
      <c r="J868" s="12" t="str">
        <f aca="false">IFERROR(VLOOKUP($F868,ItemList_Full,4,0),"")</f>
        <v/>
      </c>
      <c r="K868" s="13"/>
      <c r="L868" s="12"/>
      <c r="M868" s="24"/>
      <c r="N868" s="12"/>
      <c r="O868" s="12"/>
      <c r="P868" s="13" t="str">
        <f aca="false">IF($E868="","",IF(OR($E868="Director Draw",$E868="Payroll/Employee Charge"),0,-$K868))</f>
        <v/>
      </c>
      <c r="Q868" s="12" t="n">
        <f aca="false">IF($E868="Inventory Purchase",$H868,0)</f>
        <v>0</v>
      </c>
    </row>
    <row r="869" customFormat="false" ht="15" hidden="false" customHeight="true" outlineLevel="0" collapsed="false">
      <c r="A869" s="19"/>
      <c r="B869" s="12" t="str">
        <f aca="false">IF($A869="","",ROW()-4)</f>
        <v/>
      </c>
      <c r="C869" s="12"/>
      <c r="D869" s="12"/>
      <c r="E869" s="24"/>
      <c r="F869" s="12"/>
      <c r="G869" s="12" t="str">
        <f aca="false">IFERROR(VLOOKUP($F869,ItemList_Full,2,0),"")</f>
        <v/>
      </c>
      <c r="H869" s="12"/>
      <c r="I869" s="12" t="str">
        <f aca="false">IFERROR(VLOOKUP($F869,ItemList_Full,3,0),"")</f>
        <v/>
      </c>
      <c r="J869" s="12" t="str">
        <f aca="false">IFERROR(VLOOKUP($F869,ItemList_Full,4,0),"")</f>
        <v/>
      </c>
      <c r="K869" s="13"/>
      <c r="L869" s="12"/>
      <c r="M869" s="24"/>
      <c r="N869" s="12"/>
      <c r="O869" s="12"/>
      <c r="P869" s="13" t="str">
        <f aca="false">IF($E869="","",IF(OR($E869="Director Draw",$E869="Payroll/Employee Charge"),0,-$K869))</f>
        <v/>
      </c>
      <c r="Q869" s="12" t="n">
        <f aca="false">IF($E869="Inventory Purchase",$H869,0)</f>
        <v>0</v>
      </c>
    </row>
    <row r="870" customFormat="false" ht="15" hidden="false" customHeight="true" outlineLevel="0" collapsed="false">
      <c r="A870" s="19"/>
      <c r="B870" s="12" t="str">
        <f aca="false">IF($A870="","",ROW()-4)</f>
        <v/>
      </c>
      <c r="C870" s="12"/>
      <c r="D870" s="12"/>
      <c r="E870" s="24"/>
      <c r="F870" s="12"/>
      <c r="G870" s="12" t="str">
        <f aca="false">IFERROR(VLOOKUP($F870,ItemList_Full,2,0),"")</f>
        <v/>
      </c>
      <c r="H870" s="12"/>
      <c r="I870" s="12" t="str">
        <f aca="false">IFERROR(VLOOKUP($F870,ItemList_Full,3,0),"")</f>
        <v/>
      </c>
      <c r="J870" s="12" t="str">
        <f aca="false">IFERROR(VLOOKUP($F870,ItemList_Full,4,0),"")</f>
        <v/>
      </c>
      <c r="K870" s="13"/>
      <c r="L870" s="12"/>
      <c r="M870" s="24"/>
      <c r="N870" s="12"/>
      <c r="O870" s="12"/>
      <c r="P870" s="13" t="str">
        <f aca="false">IF($E870="","",IF(OR($E870="Director Draw",$E870="Payroll/Employee Charge"),0,-$K870))</f>
        <v/>
      </c>
      <c r="Q870" s="12" t="n">
        <f aca="false">IF($E870="Inventory Purchase",$H870,0)</f>
        <v>0</v>
      </c>
    </row>
    <row r="871" customFormat="false" ht="15" hidden="false" customHeight="true" outlineLevel="0" collapsed="false">
      <c r="A871" s="19"/>
      <c r="B871" s="12" t="str">
        <f aca="false">IF($A871="","",ROW()-4)</f>
        <v/>
      </c>
      <c r="C871" s="12"/>
      <c r="D871" s="12"/>
      <c r="E871" s="24"/>
      <c r="F871" s="12"/>
      <c r="G871" s="12" t="str">
        <f aca="false">IFERROR(VLOOKUP($F871,ItemList_Full,2,0),"")</f>
        <v/>
      </c>
      <c r="H871" s="12"/>
      <c r="I871" s="12" t="str">
        <f aca="false">IFERROR(VLOOKUP($F871,ItemList_Full,3,0),"")</f>
        <v/>
      </c>
      <c r="J871" s="12" t="str">
        <f aca="false">IFERROR(VLOOKUP($F871,ItemList_Full,4,0),"")</f>
        <v/>
      </c>
      <c r="K871" s="13"/>
      <c r="L871" s="12"/>
      <c r="M871" s="24"/>
      <c r="N871" s="12"/>
      <c r="O871" s="12"/>
      <c r="P871" s="13" t="str">
        <f aca="false">IF($E871="","",IF(OR($E871="Director Draw",$E871="Payroll/Employee Charge"),0,-$K871))</f>
        <v/>
      </c>
      <c r="Q871" s="12" t="n">
        <f aca="false">IF($E871="Inventory Purchase",$H871,0)</f>
        <v>0</v>
      </c>
    </row>
    <row r="872" customFormat="false" ht="15" hidden="false" customHeight="true" outlineLevel="0" collapsed="false">
      <c r="A872" s="19"/>
      <c r="B872" s="12" t="str">
        <f aca="false">IF($A872="","",ROW()-4)</f>
        <v/>
      </c>
      <c r="C872" s="12"/>
      <c r="D872" s="12"/>
      <c r="E872" s="24"/>
      <c r="F872" s="12"/>
      <c r="G872" s="12" t="str">
        <f aca="false">IFERROR(VLOOKUP($F872,ItemList_Full,2,0),"")</f>
        <v/>
      </c>
      <c r="H872" s="12"/>
      <c r="I872" s="12" t="str">
        <f aca="false">IFERROR(VLOOKUP($F872,ItemList_Full,3,0),"")</f>
        <v/>
      </c>
      <c r="J872" s="12" t="str">
        <f aca="false">IFERROR(VLOOKUP($F872,ItemList_Full,4,0),"")</f>
        <v/>
      </c>
      <c r="K872" s="13"/>
      <c r="L872" s="12"/>
      <c r="M872" s="24"/>
      <c r="N872" s="12"/>
      <c r="O872" s="12"/>
      <c r="P872" s="13" t="str">
        <f aca="false">IF($E872="","",IF(OR($E872="Director Draw",$E872="Payroll/Employee Charge"),0,-$K872))</f>
        <v/>
      </c>
      <c r="Q872" s="12" t="n">
        <f aca="false">IF($E872="Inventory Purchase",$H872,0)</f>
        <v>0</v>
      </c>
    </row>
    <row r="873" customFormat="false" ht="15" hidden="false" customHeight="true" outlineLevel="0" collapsed="false">
      <c r="A873" s="19"/>
      <c r="B873" s="12" t="str">
        <f aca="false">IF($A873="","",ROW()-4)</f>
        <v/>
      </c>
      <c r="C873" s="12"/>
      <c r="D873" s="12"/>
      <c r="E873" s="24"/>
      <c r="F873" s="12"/>
      <c r="G873" s="12" t="str">
        <f aca="false">IFERROR(VLOOKUP($F873,ItemList_Full,2,0),"")</f>
        <v/>
      </c>
      <c r="H873" s="12"/>
      <c r="I873" s="12" t="str">
        <f aca="false">IFERROR(VLOOKUP($F873,ItemList_Full,3,0),"")</f>
        <v/>
      </c>
      <c r="J873" s="12" t="str">
        <f aca="false">IFERROR(VLOOKUP($F873,ItemList_Full,4,0),"")</f>
        <v/>
      </c>
      <c r="K873" s="13"/>
      <c r="L873" s="12"/>
      <c r="M873" s="24"/>
      <c r="N873" s="12"/>
      <c r="O873" s="12"/>
      <c r="P873" s="13" t="str">
        <f aca="false">IF($E873="","",IF(OR($E873="Director Draw",$E873="Payroll/Employee Charge"),0,-$K873))</f>
        <v/>
      </c>
      <c r="Q873" s="12" t="n">
        <f aca="false">IF($E873="Inventory Purchase",$H873,0)</f>
        <v>0</v>
      </c>
    </row>
    <row r="874" customFormat="false" ht="15" hidden="false" customHeight="true" outlineLevel="0" collapsed="false">
      <c r="A874" s="19"/>
      <c r="B874" s="12" t="str">
        <f aca="false">IF($A874="","",ROW()-4)</f>
        <v/>
      </c>
      <c r="C874" s="12"/>
      <c r="D874" s="12"/>
      <c r="E874" s="24"/>
      <c r="F874" s="12"/>
      <c r="G874" s="12" t="str">
        <f aca="false">IFERROR(VLOOKUP($F874,ItemList_Full,2,0),"")</f>
        <v/>
      </c>
      <c r="H874" s="12"/>
      <c r="I874" s="12" t="str">
        <f aca="false">IFERROR(VLOOKUP($F874,ItemList_Full,3,0),"")</f>
        <v/>
      </c>
      <c r="J874" s="12" t="str">
        <f aca="false">IFERROR(VLOOKUP($F874,ItemList_Full,4,0),"")</f>
        <v/>
      </c>
      <c r="K874" s="13"/>
      <c r="L874" s="12"/>
      <c r="M874" s="24"/>
      <c r="N874" s="12"/>
      <c r="O874" s="12"/>
      <c r="P874" s="13" t="str">
        <f aca="false">IF($E874="","",IF(OR($E874="Director Draw",$E874="Payroll/Employee Charge"),0,-$K874))</f>
        <v/>
      </c>
      <c r="Q874" s="12" t="n">
        <f aca="false">IF($E874="Inventory Purchase",$H874,0)</f>
        <v>0</v>
      </c>
    </row>
    <row r="875" customFormat="false" ht="15" hidden="false" customHeight="true" outlineLevel="0" collapsed="false">
      <c r="A875" s="19"/>
      <c r="B875" s="12" t="str">
        <f aca="false">IF($A875="","",ROW()-4)</f>
        <v/>
      </c>
      <c r="C875" s="12"/>
      <c r="D875" s="12"/>
      <c r="E875" s="24"/>
      <c r="F875" s="12"/>
      <c r="G875" s="12" t="str">
        <f aca="false">IFERROR(VLOOKUP($F875,ItemList_Full,2,0),"")</f>
        <v/>
      </c>
      <c r="H875" s="12"/>
      <c r="I875" s="12" t="str">
        <f aca="false">IFERROR(VLOOKUP($F875,ItemList_Full,3,0),"")</f>
        <v/>
      </c>
      <c r="J875" s="12" t="str">
        <f aca="false">IFERROR(VLOOKUP($F875,ItemList_Full,4,0),"")</f>
        <v/>
      </c>
      <c r="K875" s="13"/>
      <c r="L875" s="12"/>
      <c r="M875" s="24"/>
      <c r="N875" s="12"/>
      <c r="O875" s="12"/>
      <c r="P875" s="13" t="str">
        <f aca="false">IF($E875="","",IF(OR($E875="Director Draw",$E875="Payroll/Employee Charge"),0,-$K875))</f>
        <v/>
      </c>
      <c r="Q875" s="12" t="n">
        <f aca="false">IF($E875="Inventory Purchase",$H875,0)</f>
        <v>0</v>
      </c>
    </row>
    <row r="876" customFormat="false" ht="15" hidden="false" customHeight="true" outlineLevel="0" collapsed="false">
      <c r="A876" s="19"/>
      <c r="B876" s="12" t="str">
        <f aca="false">IF($A876="","",ROW()-4)</f>
        <v/>
      </c>
      <c r="C876" s="12"/>
      <c r="D876" s="12"/>
      <c r="E876" s="24"/>
      <c r="F876" s="12"/>
      <c r="G876" s="12" t="str">
        <f aca="false">IFERROR(VLOOKUP($F876,ItemList_Full,2,0),"")</f>
        <v/>
      </c>
      <c r="H876" s="12"/>
      <c r="I876" s="12" t="str">
        <f aca="false">IFERROR(VLOOKUP($F876,ItemList_Full,3,0),"")</f>
        <v/>
      </c>
      <c r="J876" s="12" t="str">
        <f aca="false">IFERROR(VLOOKUP($F876,ItemList_Full,4,0),"")</f>
        <v/>
      </c>
      <c r="K876" s="13"/>
      <c r="L876" s="12"/>
      <c r="M876" s="24"/>
      <c r="N876" s="12"/>
      <c r="O876" s="12"/>
      <c r="P876" s="13" t="str">
        <f aca="false">IF($E876="","",IF(OR($E876="Director Draw",$E876="Payroll/Employee Charge"),0,-$K876))</f>
        <v/>
      </c>
      <c r="Q876" s="12" t="n">
        <f aca="false">IF($E876="Inventory Purchase",$H876,0)</f>
        <v>0</v>
      </c>
    </row>
    <row r="877" customFormat="false" ht="15" hidden="false" customHeight="true" outlineLevel="0" collapsed="false">
      <c r="A877" s="19"/>
      <c r="B877" s="12" t="str">
        <f aca="false">IF($A877="","",ROW()-4)</f>
        <v/>
      </c>
      <c r="C877" s="12"/>
      <c r="D877" s="12"/>
      <c r="E877" s="24"/>
      <c r="F877" s="12"/>
      <c r="G877" s="12" t="str">
        <f aca="false">IFERROR(VLOOKUP($F877,ItemList_Full,2,0),"")</f>
        <v/>
      </c>
      <c r="H877" s="12"/>
      <c r="I877" s="12" t="str">
        <f aca="false">IFERROR(VLOOKUP($F877,ItemList_Full,3,0),"")</f>
        <v/>
      </c>
      <c r="J877" s="12" t="str">
        <f aca="false">IFERROR(VLOOKUP($F877,ItemList_Full,4,0),"")</f>
        <v/>
      </c>
      <c r="K877" s="13"/>
      <c r="L877" s="12"/>
      <c r="M877" s="24"/>
      <c r="N877" s="12"/>
      <c r="O877" s="12"/>
      <c r="P877" s="13" t="str">
        <f aca="false">IF($E877="","",IF(OR($E877="Director Draw",$E877="Payroll/Employee Charge"),0,-$K877))</f>
        <v/>
      </c>
      <c r="Q877" s="12" t="n">
        <f aca="false">IF($E877="Inventory Purchase",$H877,0)</f>
        <v>0</v>
      </c>
    </row>
    <row r="878" customFormat="false" ht="15" hidden="false" customHeight="true" outlineLevel="0" collapsed="false">
      <c r="A878" s="19"/>
      <c r="B878" s="12" t="str">
        <f aca="false">IF($A878="","",ROW()-4)</f>
        <v/>
      </c>
      <c r="C878" s="12"/>
      <c r="D878" s="12"/>
      <c r="E878" s="24"/>
      <c r="F878" s="12"/>
      <c r="G878" s="12" t="str">
        <f aca="false">IFERROR(VLOOKUP($F878,ItemList_Full,2,0),"")</f>
        <v/>
      </c>
      <c r="H878" s="12"/>
      <c r="I878" s="12" t="str">
        <f aca="false">IFERROR(VLOOKUP($F878,ItemList_Full,3,0),"")</f>
        <v/>
      </c>
      <c r="J878" s="12" t="str">
        <f aca="false">IFERROR(VLOOKUP($F878,ItemList_Full,4,0),"")</f>
        <v/>
      </c>
      <c r="K878" s="13"/>
      <c r="L878" s="12"/>
      <c r="M878" s="24"/>
      <c r="N878" s="12"/>
      <c r="O878" s="12"/>
      <c r="P878" s="13" t="str">
        <f aca="false">IF($E878="","",IF(OR($E878="Director Draw",$E878="Payroll/Employee Charge"),0,-$K878))</f>
        <v/>
      </c>
      <c r="Q878" s="12" t="n">
        <f aca="false">IF($E878="Inventory Purchase",$H878,0)</f>
        <v>0</v>
      </c>
    </row>
    <row r="879" customFormat="false" ht="15" hidden="false" customHeight="true" outlineLevel="0" collapsed="false">
      <c r="A879" s="19"/>
      <c r="B879" s="12" t="str">
        <f aca="false">IF($A879="","",ROW()-4)</f>
        <v/>
      </c>
      <c r="C879" s="12"/>
      <c r="D879" s="12"/>
      <c r="E879" s="24"/>
      <c r="F879" s="12"/>
      <c r="G879" s="12" t="str">
        <f aca="false">IFERROR(VLOOKUP($F879,ItemList_Full,2,0),"")</f>
        <v/>
      </c>
      <c r="H879" s="12"/>
      <c r="I879" s="12" t="str">
        <f aca="false">IFERROR(VLOOKUP($F879,ItemList_Full,3,0),"")</f>
        <v/>
      </c>
      <c r="J879" s="12" t="str">
        <f aca="false">IFERROR(VLOOKUP($F879,ItemList_Full,4,0),"")</f>
        <v/>
      </c>
      <c r="K879" s="13"/>
      <c r="L879" s="12"/>
      <c r="M879" s="24"/>
      <c r="N879" s="12"/>
      <c r="O879" s="12"/>
      <c r="P879" s="13" t="str">
        <f aca="false">IF($E879="","",IF(OR($E879="Director Draw",$E879="Payroll/Employee Charge"),0,-$K879))</f>
        <v/>
      </c>
      <c r="Q879" s="12" t="n">
        <f aca="false">IF($E879="Inventory Purchase",$H879,0)</f>
        <v>0</v>
      </c>
    </row>
    <row r="880" customFormat="false" ht="15" hidden="false" customHeight="true" outlineLevel="0" collapsed="false">
      <c r="A880" s="19"/>
      <c r="B880" s="12" t="str">
        <f aca="false">IF($A880="","",ROW()-4)</f>
        <v/>
      </c>
      <c r="C880" s="12"/>
      <c r="D880" s="12"/>
      <c r="E880" s="24"/>
      <c r="F880" s="12"/>
      <c r="G880" s="12" t="str">
        <f aca="false">IFERROR(VLOOKUP($F880,ItemList_Full,2,0),"")</f>
        <v/>
      </c>
      <c r="H880" s="12"/>
      <c r="I880" s="12" t="str">
        <f aca="false">IFERROR(VLOOKUP($F880,ItemList_Full,3,0),"")</f>
        <v/>
      </c>
      <c r="J880" s="12" t="str">
        <f aca="false">IFERROR(VLOOKUP($F880,ItemList_Full,4,0),"")</f>
        <v/>
      </c>
      <c r="K880" s="13"/>
      <c r="L880" s="12"/>
      <c r="M880" s="24"/>
      <c r="N880" s="12"/>
      <c r="O880" s="12"/>
      <c r="P880" s="13" t="str">
        <f aca="false">IF($E880="","",IF(OR($E880="Director Draw",$E880="Payroll/Employee Charge"),0,-$K880))</f>
        <v/>
      </c>
      <c r="Q880" s="12" t="n">
        <f aca="false">IF($E880="Inventory Purchase",$H880,0)</f>
        <v>0</v>
      </c>
    </row>
    <row r="881" customFormat="false" ht="15" hidden="false" customHeight="true" outlineLevel="0" collapsed="false">
      <c r="A881" s="19"/>
      <c r="B881" s="12" t="str">
        <f aca="false">IF($A881="","",ROW()-4)</f>
        <v/>
      </c>
      <c r="C881" s="12"/>
      <c r="D881" s="12"/>
      <c r="E881" s="24"/>
      <c r="F881" s="12"/>
      <c r="G881" s="12" t="str">
        <f aca="false">IFERROR(VLOOKUP($F881,ItemList_Full,2,0),"")</f>
        <v/>
      </c>
      <c r="H881" s="12"/>
      <c r="I881" s="12" t="str">
        <f aca="false">IFERROR(VLOOKUP($F881,ItemList_Full,3,0),"")</f>
        <v/>
      </c>
      <c r="J881" s="12" t="str">
        <f aca="false">IFERROR(VLOOKUP($F881,ItemList_Full,4,0),"")</f>
        <v/>
      </c>
      <c r="K881" s="13"/>
      <c r="L881" s="12"/>
      <c r="M881" s="24"/>
      <c r="N881" s="12"/>
      <c r="O881" s="12"/>
      <c r="P881" s="13" t="str">
        <f aca="false">IF($E881="","",IF(OR($E881="Director Draw",$E881="Payroll/Employee Charge"),0,-$K881))</f>
        <v/>
      </c>
      <c r="Q881" s="12" t="n">
        <f aca="false">IF($E881="Inventory Purchase",$H881,0)</f>
        <v>0</v>
      </c>
    </row>
    <row r="882" customFormat="false" ht="15" hidden="false" customHeight="true" outlineLevel="0" collapsed="false">
      <c r="A882" s="19"/>
      <c r="B882" s="12" t="str">
        <f aca="false">IF($A882="","",ROW()-4)</f>
        <v/>
      </c>
      <c r="C882" s="12"/>
      <c r="D882" s="12"/>
      <c r="E882" s="24"/>
      <c r="F882" s="12"/>
      <c r="G882" s="12" t="str">
        <f aca="false">IFERROR(VLOOKUP($F882,ItemList_Full,2,0),"")</f>
        <v/>
      </c>
      <c r="H882" s="12"/>
      <c r="I882" s="12" t="str">
        <f aca="false">IFERROR(VLOOKUP($F882,ItemList_Full,3,0),"")</f>
        <v/>
      </c>
      <c r="J882" s="12" t="str">
        <f aca="false">IFERROR(VLOOKUP($F882,ItemList_Full,4,0),"")</f>
        <v/>
      </c>
      <c r="K882" s="13"/>
      <c r="L882" s="12"/>
      <c r="M882" s="24"/>
      <c r="N882" s="12"/>
      <c r="O882" s="12"/>
      <c r="P882" s="13" t="str">
        <f aca="false">IF($E882="","",IF(OR($E882="Director Draw",$E882="Payroll/Employee Charge"),0,-$K882))</f>
        <v/>
      </c>
      <c r="Q882" s="12" t="n">
        <f aca="false">IF($E882="Inventory Purchase",$H882,0)</f>
        <v>0</v>
      </c>
    </row>
    <row r="883" customFormat="false" ht="15" hidden="false" customHeight="true" outlineLevel="0" collapsed="false">
      <c r="A883" s="19"/>
      <c r="B883" s="12" t="str">
        <f aca="false">IF($A883="","",ROW()-4)</f>
        <v/>
      </c>
      <c r="C883" s="12"/>
      <c r="D883" s="12"/>
      <c r="E883" s="24"/>
      <c r="F883" s="12"/>
      <c r="G883" s="12" t="str">
        <f aca="false">IFERROR(VLOOKUP($F883,ItemList_Full,2,0),"")</f>
        <v/>
      </c>
      <c r="H883" s="12"/>
      <c r="I883" s="12" t="str">
        <f aca="false">IFERROR(VLOOKUP($F883,ItemList_Full,3,0),"")</f>
        <v/>
      </c>
      <c r="J883" s="12" t="str">
        <f aca="false">IFERROR(VLOOKUP($F883,ItemList_Full,4,0),"")</f>
        <v/>
      </c>
      <c r="K883" s="13"/>
      <c r="L883" s="12"/>
      <c r="M883" s="24"/>
      <c r="N883" s="12"/>
      <c r="O883" s="12"/>
      <c r="P883" s="13" t="str">
        <f aca="false">IF($E883="","",IF(OR($E883="Director Draw",$E883="Payroll/Employee Charge"),0,-$K883))</f>
        <v/>
      </c>
      <c r="Q883" s="12" t="n">
        <f aca="false">IF($E883="Inventory Purchase",$H883,0)</f>
        <v>0</v>
      </c>
    </row>
    <row r="884" customFormat="false" ht="15" hidden="false" customHeight="true" outlineLevel="0" collapsed="false">
      <c r="A884" s="19"/>
      <c r="B884" s="12" t="str">
        <f aca="false">IF($A884="","",ROW()-4)</f>
        <v/>
      </c>
      <c r="C884" s="12"/>
      <c r="D884" s="12"/>
      <c r="E884" s="24"/>
      <c r="F884" s="12"/>
      <c r="G884" s="12" t="str">
        <f aca="false">IFERROR(VLOOKUP($F884,ItemList_Full,2,0),"")</f>
        <v/>
      </c>
      <c r="H884" s="12"/>
      <c r="I884" s="12" t="str">
        <f aca="false">IFERROR(VLOOKUP($F884,ItemList_Full,3,0),"")</f>
        <v/>
      </c>
      <c r="J884" s="12" t="str">
        <f aca="false">IFERROR(VLOOKUP($F884,ItemList_Full,4,0),"")</f>
        <v/>
      </c>
      <c r="K884" s="13"/>
      <c r="L884" s="12"/>
      <c r="M884" s="24"/>
      <c r="N884" s="12"/>
      <c r="O884" s="12"/>
      <c r="P884" s="13" t="str">
        <f aca="false">IF($E884="","",IF(OR($E884="Director Draw",$E884="Payroll/Employee Charge"),0,-$K884))</f>
        <v/>
      </c>
      <c r="Q884" s="12" t="n">
        <f aca="false">IF($E884="Inventory Purchase",$H884,0)</f>
        <v>0</v>
      </c>
    </row>
    <row r="885" customFormat="false" ht="15" hidden="false" customHeight="true" outlineLevel="0" collapsed="false">
      <c r="A885" s="19"/>
      <c r="B885" s="12" t="str">
        <f aca="false">IF($A885="","",ROW()-4)</f>
        <v/>
      </c>
      <c r="C885" s="12"/>
      <c r="D885" s="12"/>
      <c r="E885" s="24"/>
      <c r="F885" s="12"/>
      <c r="G885" s="12" t="str">
        <f aca="false">IFERROR(VLOOKUP($F885,ItemList_Full,2,0),"")</f>
        <v/>
      </c>
      <c r="H885" s="12"/>
      <c r="I885" s="12" t="str">
        <f aca="false">IFERROR(VLOOKUP($F885,ItemList_Full,3,0),"")</f>
        <v/>
      </c>
      <c r="J885" s="12" t="str">
        <f aca="false">IFERROR(VLOOKUP($F885,ItemList_Full,4,0),"")</f>
        <v/>
      </c>
      <c r="K885" s="13"/>
      <c r="L885" s="12"/>
      <c r="M885" s="24"/>
      <c r="N885" s="12"/>
      <c r="O885" s="12"/>
      <c r="P885" s="13" t="str">
        <f aca="false">IF($E885="","",IF(OR($E885="Director Draw",$E885="Payroll/Employee Charge"),0,-$K885))</f>
        <v/>
      </c>
      <c r="Q885" s="12" t="n">
        <f aca="false">IF($E885="Inventory Purchase",$H885,0)</f>
        <v>0</v>
      </c>
    </row>
    <row r="886" customFormat="false" ht="15" hidden="false" customHeight="true" outlineLevel="0" collapsed="false">
      <c r="A886" s="19"/>
      <c r="B886" s="12" t="str">
        <f aca="false">IF($A886="","",ROW()-4)</f>
        <v/>
      </c>
      <c r="C886" s="12"/>
      <c r="D886" s="12"/>
      <c r="E886" s="24"/>
      <c r="F886" s="12"/>
      <c r="G886" s="12" t="str">
        <f aca="false">IFERROR(VLOOKUP($F886,ItemList_Full,2,0),"")</f>
        <v/>
      </c>
      <c r="H886" s="12"/>
      <c r="I886" s="12" t="str">
        <f aca="false">IFERROR(VLOOKUP($F886,ItemList_Full,3,0),"")</f>
        <v/>
      </c>
      <c r="J886" s="12" t="str">
        <f aca="false">IFERROR(VLOOKUP($F886,ItemList_Full,4,0),"")</f>
        <v/>
      </c>
      <c r="K886" s="13"/>
      <c r="L886" s="12"/>
      <c r="M886" s="24"/>
      <c r="N886" s="12"/>
      <c r="O886" s="12"/>
      <c r="P886" s="13" t="str">
        <f aca="false">IF($E886="","",IF(OR($E886="Director Draw",$E886="Payroll/Employee Charge"),0,-$K886))</f>
        <v/>
      </c>
      <c r="Q886" s="12" t="n">
        <f aca="false">IF($E886="Inventory Purchase",$H886,0)</f>
        <v>0</v>
      </c>
    </row>
    <row r="887" customFormat="false" ht="15" hidden="false" customHeight="true" outlineLevel="0" collapsed="false">
      <c r="A887" s="19"/>
      <c r="B887" s="12" t="str">
        <f aca="false">IF($A887="","",ROW()-4)</f>
        <v/>
      </c>
      <c r="C887" s="12"/>
      <c r="D887" s="12"/>
      <c r="E887" s="24"/>
      <c r="F887" s="12"/>
      <c r="G887" s="12" t="str">
        <f aca="false">IFERROR(VLOOKUP($F887,ItemList_Full,2,0),"")</f>
        <v/>
      </c>
      <c r="H887" s="12"/>
      <c r="I887" s="12" t="str">
        <f aca="false">IFERROR(VLOOKUP($F887,ItemList_Full,3,0),"")</f>
        <v/>
      </c>
      <c r="J887" s="12" t="str">
        <f aca="false">IFERROR(VLOOKUP($F887,ItemList_Full,4,0),"")</f>
        <v/>
      </c>
      <c r="K887" s="13"/>
      <c r="L887" s="12"/>
      <c r="M887" s="24"/>
      <c r="N887" s="12"/>
      <c r="O887" s="12"/>
      <c r="P887" s="13" t="str">
        <f aca="false">IF($E887="","",IF(OR($E887="Director Draw",$E887="Payroll/Employee Charge"),0,-$K887))</f>
        <v/>
      </c>
      <c r="Q887" s="12" t="n">
        <f aca="false">IF($E887="Inventory Purchase",$H887,0)</f>
        <v>0</v>
      </c>
    </row>
    <row r="888" customFormat="false" ht="15" hidden="false" customHeight="true" outlineLevel="0" collapsed="false">
      <c r="A888" s="19"/>
      <c r="B888" s="12" t="str">
        <f aca="false">IF($A888="","",ROW()-4)</f>
        <v/>
      </c>
      <c r="C888" s="12"/>
      <c r="D888" s="12"/>
      <c r="E888" s="24"/>
      <c r="F888" s="12"/>
      <c r="G888" s="12" t="str">
        <f aca="false">IFERROR(VLOOKUP($F888,ItemList_Full,2,0),"")</f>
        <v/>
      </c>
      <c r="H888" s="12"/>
      <c r="I888" s="12" t="str">
        <f aca="false">IFERROR(VLOOKUP($F888,ItemList_Full,3,0),"")</f>
        <v/>
      </c>
      <c r="J888" s="12" t="str">
        <f aca="false">IFERROR(VLOOKUP($F888,ItemList_Full,4,0),"")</f>
        <v/>
      </c>
      <c r="K888" s="13"/>
      <c r="L888" s="12"/>
      <c r="M888" s="24"/>
      <c r="N888" s="12"/>
      <c r="O888" s="12"/>
      <c r="P888" s="13" t="str">
        <f aca="false">IF($E888="","",IF(OR($E888="Director Draw",$E888="Payroll/Employee Charge"),0,-$K888))</f>
        <v/>
      </c>
      <c r="Q888" s="12" t="n">
        <f aca="false">IF($E888="Inventory Purchase",$H888,0)</f>
        <v>0</v>
      </c>
    </row>
    <row r="889" customFormat="false" ht="15" hidden="false" customHeight="true" outlineLevel="0" collapsed="false">
      <c r="A889" s="19"/>
      <c r="B889" s="12" t="str">
        <f aca="false">IF($A889="","",ROW()-4)</f>
        <v/>
      </c>
      <c r="C889" s="12"/>
      <c r="D889" s="12"/>
      <c r="E889" s="24"/>
      <c r="F889" s="12"/>
      <c r="G889" s="12" t="str">
        <f aca="false">IFERROR(VLOOKUP($F889,ItemList_Full,2,0),"")</f>
        <v/>
      </c>
      <c r="H889" s="12"/>
      <c r="I889" s="12" t="str">
        <f aca="false">IFERROR(VLOOKUP($F889,ItemList_Full,3,0),"")</f>
        <v/>
      </c>
      <c r="J889" s="12" t="str">
        <f aca="false">IFERROR(VLOOKUP($F889,ItemList_Full,4,0),"")</f>
        <v/>
      </c>
      <c r="K889" s="13"/>
      <c r="L889" s="12"/>
      <c r="M889" s="24"/>
      <c r="N889" s="12"/>
      <c r="O889" s="12"/>
      <c r="P889" s="13" t="str">
        <f aca="false">IF($E889="","",IF(OR($E889="Director Draw",$E889="Payroll/Employee Charge"),0,-$K889))</f>
        <v/>
      </c>
      <c r="Q889" s="12" t="n">
        <f aca="false">IF($E889="Inventory Purchase",$H889,0)</f>
        <v>0</v>
      </c>
    </row>
    <row r="890" customFormat="false" ht="15" hidden="false" customHeight="true" outlineLevel="0" collapsed="false">
      <c r="A890" s="19"/>
      <c r="B890" s="12" t="str">
        <f aca="false">IF($A890="","",ROW()-4)</f>
        <v/>
      </c>
      <c r="C890" s="12"/>
      <c r="D890" s="12"/>
      <c r="E890" s="24"/>
      <c r="F890" s="12"/>
      <c r="G890" s="12" t="str">
        <f aca="false">IFERROR(VLOOKUP($F890,ItemList_Full,2,0),"")</f>
        <v/>
      </c>
      <c r="H890" s="12"/>
      <c r="I890" s="12" t="str">
        <f aca="false">IFERROR(VLOOKUP($F890,ItemList_Full,3,0),"")</f>
        <v/>
      </c>
      <c r="J890" s="12" t="str">
        <f aca="false">IFERROR(VLOOKUP($F890,ItemList_Full,4,0),"")</f>
        <v/>
      </c>
      <c r="K890" s="13"/>
      <c r="L890" s="12"/>
      <c r="M890" s="24"/>
      <c r="N890" s="12"/>
      <c r="O890" s="12"/>
      <c r="P890" s="13" t="str">
        <f aca="false">IF($E890="","",IF(OR($E890="Director Draw",$E890="Payroll/Employee Charge"),0,-$K890))</f>
        <v/>
      </c>
      <c r="Q890" s="12" t="n">
        <f aca="false">IF($E890="Inventory Purchase",$H890,0)</f>
        <v>0</v>
      </c>
    </row>
    <row r="891" customFormat="false" ht="15" hidden="false" customHeight="true" outlineLevel="0" collapsed="false">
      <c r="A891" s="19"/>
      <c r="B891" s="12" t="str">
        <f aca="false">IF($A891="","",ROW()-4)</f>
        <v/>
      </c>
      <c r="C891" s="12"/>
      <c r="D891" s="12"/>
      <c r="E891" s="24"/>
      <c r="F891" s="12"/>
      <c r="G891" s="12" t="str">
        <f aca="false">IFERROR(VLOOKUP($F891,ItemList_Full,2,0),"")</f>
        <v/>
      </c>
      <c r="H891" s="12"/>
      <c r="I891" s="12" t="str">
        <f aca="false">IFERROR(VLOOKUP($F891,ItemList_Full,3,0),"")</f>
        <v/>
      </c>
      <c r="J891" s="12" t="str">
        <f aca="false">IFERROR(VLOOKUP($F891,ItemList_Full,4,0),"")</f>
        <v/>
      </c>
      <c r="K891" s="13"/>
      <c r="L891" s="12"/>
      <c r="M891" s="24"/>
      <c r="N891" s="12"/>
      <c r="O891" s="12"/>
      <c r="P891" s="13" t="str">
        <f aca="false">IF($E891="","",IF(OR($E891="Director Draw",$E891="Payroll/Employee Charge"),0,-$K891))</f>
        <v/>
      </c>
      <c r="Q891" s="12" t="n">
        <f aca="false">IF($E891="Inventory Purchase",$H891,0)</f>
        <v>0</v>
      </c>
    </row>
    <row r="892" customFormat="false" ht="15" hidden="false" customHeight="true" outlineLevel="0" collapsed="false">
      <c r="A892" s="19"/>
      <c r="B892" s="12" t="str">
        <f aca="false">IF($A892="","",ROW()-4)</f>
        <v/>
      </c>
      <c r="C892" s="12"/>
      <c r="D892" s="12"/>
      <c r="E892" s="24"/>
      <c r="F892" s="12"/>
      <c r="G892" s="12" t="str">
        <f aca="false">IFERROR(VLOOKUP($F892,ItemList_Full,2,0),"")</f>
        <v/>
      </c>
      <c r="H892" s="12"/>
      <c r="I892" s="12" t="str">
        <f aca="false">IFERROR(VLOOKUP($F892,ItemList_Full,3,0),"")</f>
        <v/>
      </c>
      <c r="J892" s="12" t="str">
        <f aca="false">IFERROR(VLOOKUP($F892,ItemList_Full,4,0),"")</f>
        <v/>
      </c>
      <c r="K892" s="13"/>
      <c r="L892" s="12"/>
      <c r="M892" s="24"/>
      <c r="N892" s="12"/>
      <c r="O892" s="12"/>
      <c r="P892" s="13" t="str">
        <f aca="false">IF($E892="","",IF(OR($E892="Director Draw",$E892="Payroll/Employee Charge"),0,-$K892))</f>
        <v/>
      </c>
      <c r="Q892" s="12" t="n">
        <f aca="false">IF($E892="Inventory Purchase",$H892,0)</f>
        <v>0</v>
      </c>
    </row>
    <row r="893" customFormat="false" ht="15" hidden="false" customHeight="true" outlineLevel="0" collapsed="false">
      <c r="A893" s="19"/>
      <c r="B893" s="12" t="str">
        <f aca="false">IF($A893="","",ROW()-4)</f>
        <v/>
      </c>
      <c r="C893" s="12"/>
      <c r="D893" s="12"/>
      <c r="E893" s="24"/>
      <c r="F893" s="12"/>
      <c r="G893" s="12" t="str">
        <f aca="false">IFERROR(VLOOKUP($F893,ItemList_Full,2,0),"")</f>
        <v/>
      </c>
      <c r="H893" s="12"/>
      <c r="I893" s="12" t="str">
        <f aca="false">IFERROR(VLOOKUP($F893,ItemList_Full,3,0),"")</f>
        <v/>
      </c>
      <c r="J893" s="12" t="str">
        <f aca="false">IFERROR(VLOOKUP($F893,ItemList_Full,4,0),"")</f>
        <v/>
      </c>
      <c r="K893" s="13"/>
      <c r="L893" s="12"/>
      <c r="M893" s="24"/>
      <c r="N893" s="12"/>
      <c r="O893" s="12"/>
      <c r="P893" s="13" t="str">
        <f aca="false">IF($E893="","",IF(OR($E893="Director Draw",$E893="Payroll/Employee Charge"),0,-$K893))</f>
        <v/>
      </c>
      <c r="Q893" s="12" t="n">
        <f aca="false">IF($E893="Inventory Purchase",$H893,0)</f>
        <v>0</v>
      </c>
    </row>
    <row r="894" customFormat="false" ht="15" hidden="false" customHeight="true" outlineLevel="0" collapsed="false">
      <c r="A894" s="19"/>
      <c r="B894" s="12" t="str">
        <f aca="false">IF($A894="","",ROW()-4)</f>
        <v/>
      </c>
      <c r="C894" s="12"/>
      <c r="D894" s="12"/>
      <c r="E894" s="24"/>
      <c r="F894" s="12"/>
      <c r="G894" s="12" t="str">
        <f aca="false">IFERROR(VLOOKUP($F894,ItemList_Full,2,0),"")</f>
        <v/>
      </c>
      <c r="H894" s="12"/>
      <c r="I894" s="12" t="str">
        <f aca="false">IFERROR(VLOOKUP($F894,ItemList_Full,3,0),"")</f>
        <v/>
      </c>
      <c r="J894" s="12" t="str">
        <f aca="false">IFERROR(VLOOKUP($F894,ItemList_Full,4,0),"")</f>
        <v/>
      </c>
      <c r="K894" s="13"/>
      <c r="L894" s="12"/>
      <c r="M894" s="24"/>
      <c r="N894" s="12"/>
      <c r="O894" s="12"/>
      <c r="P894" s="13" t="str">
        <f aca="false">IF($E894="","",IF(OR($E894="Director Draw",$E894="Payroll/Employee Charge"),0,-$K894))</f>
        <v/>
      </c>
      <c r="Q894" s="12" t="n">
        <f aca="false">IF($E894="Inventory Purchase",$H894,0)</f>
        <v>0</v>
      </c>
    </row>
    <row r="895" customFormat="false" ht="15" hidden="false" customHeight="true" outlineLevel="0" collapsed="false">
      <c r="A895" s="19"/>
      <c r="B895" s="12" t="str">
        <f aca="false">IF($A895="","",ROW()-4)</f>
        <v/>
      </c>
      <c r="C895" s="12"/>
      <c r="D895" s="12"/>
      <c r="E895" s="24"/>
      <c r="F895" s="12"/>
      <c r="G895" s="12" t="str">
        <f aca="false">IFERROR(VLOOKUP($F895,ItemList_Full,2,0),"")</f>
        <v/>
      </c>
      <c r="H895" s="12"/>
      <c r="I895" s="12" t="str">
        <f aca="false">IFERROR(VLOOKUP($F895,ItemList_Full,3,0),"")</f>
        <v/>
      </c>
      <c r="J895" s="12" t="str">
        <f aca="false">IFERROR(VLOOKUP($F895,ItemList_Full,4,0),"")</f>
        <v/>
      </c>
      <c r="K895" s="13"/>
      <c r="L895" s="12"/>
      <c r="M895" s="24"/>
      <c r="N895" s="12"/>
      <c r="O895" s="12"/>
      <c r="P895" s="13" t="str">
        <f aca="false">IF($E895="","",IF(OR($E895="Director Draw",$E895="Payroll/Employee Charge"),0,-$K895))</f>
        <v/>
      </c>
      <c r="Q895" s="12" t="n">
        <f aca="false">IF($E895="Inventory Purchase",$H895,0)</f>
        <v>0</v>
      </c>
    </row>
    <row r="896" customFormat="false" ht="15" hidden="false" customHeight="true" outlineLevel="0" collapsed="false">
      <c r="A896" s="19"/>
      <c r="B896" s="12" t="str">
        <f aca="false">IF($A896="","",ROW()-4)</f>
        <v/>
      </c>
      <c r="C896" s="12"/>
      <c r="D896" s="12"/>
      <c r="E896" s="24"/>
      <c r="F896" s="12"/>
      <c r="G896" s="12" t="str">
        <f aca="false">IFERROR(VLOOKUP($F896,ItemList_Full,2,0),"")</f>
        <v/>
      </c>
      <c r="H896" s="12"/>
      <c r="I896" s="12" t="str">
        <f aca="false">IFERROR(VLOOKUP($F896,ItemList_Full,3,0),"")</f>
        <v/>
      </c>
      <c r="J896" s="12" t="str">
        <f aca="false">IFERROR(VLOOKUP($F896,ItemList_Full,4,0),"")</f>
        <v/>
      </c>
      <c r="K896" s="13"/>
      <c r="L896" s="12"/>
      <c r="M896" s="24"/>
      <c r="N896" s="12"/>
      <c r="O896" s="12"/>
      <c r="P896" s="13" t="str">
        <f aca="false">IF($E896="","",IF(OR($E896="Director Draw",$E896="Payroll/Employee Charge"),0,-$K896))</f>
        <v/>
      </c>
      <c r="Q896" s="12" t="n">
        <f aca="false">IF($E896="Inventory Purchase",$H896,0)</f>
        <v>0</v>
      </c>
    </row>
    <row r="897" customFormat="false" ht="15" hidden="false" customHeight="true" outlineLevel="0" collapsed="false">
      <c r="A897" s="19"/>
      <c r="B897" s="12" t="str">
        <f aca="false">IF($A897="","",ROW()-4)</f>
        <v/>
      </c>
      <c r="C897" s="12"/>
      <c r="D897" s="12"/>
      <c r="E897" s="24"/>
      <c r="F897" s="12"/>
      <c r="G897" s="12" t="str">
        <f aca="false">IFERROR(VLOOKUP($F897,ItemList_Full,2,0),"")</f>
        <v/>
      </c>
      <c r="H897" s="12"/>
      <c r="I897" s="12" t="str">
        <f aca="false">IFERROR(VLOOKUP($F897,ItemList_Full,3,0),"")</f>
        <v/>
      </c>
      <c r="J897" s="12" t="str">
        <f aca="false">IFERROR(VLOOKUP($F897,ItemList_Full,4,0),"")</f>
        <v/>
      </c>
      <c r="K897" s="13"/>
      <c r="L897" s="12"/>
      <c r="M897" s="24"/>
      <c r="N897" s="12"/>
      <c r="O897" s="12"/>
      <c r="P897" s="13" t="str">
        <f aca="false">IF($E897="","",IF(OR($E897="Director Draw",$E897="Payroll/Employee Charge"),0,-$K897))</f>
        <v/>
      </c>
      <c r="Q897" s="12" t="n">
        <f aca="false">IF($E897="Inventory Purchase",$H897,0)</f>
        <v>0</v>
      </c>
    </row>
    <row r="898" customFormat="false" ht="15" hidden="false" customHeight="true" outlineLevel="0" collapsed="false">
      <c r="A898" s="19"/>
      <c r="B898" s="12" t="str">
        <f aca="false">IF($A898="","",ROW()-4)</f>
        <v/>
      </c>
      <c r="C898" s="12"/>
      <c r="D898" s="12"/>
      <c r="E898" s="24"/>
      <c r="F898" s="12"/>
      <c r="G898" s="12" t="str">
        <f aca="false">IFERROR(VLOOKUP($F898,ItemList_Full,2,0),"")</f>
        <v/>
      </c>
      <c r="H898" s="12"/>
      <c r="I898" s="12" t="str">
        <f aca="false">IFERROR(VLOOKUP($F898,ItemList_Full,3,0),"")</f>
        <v/>
      </c>
      <c r="J898" s="12" t="str">
        <f aca="false">IFERROR(VLOOKUP($F898,ItemList_Full,4,0),"")</f>
        <v/>
      </c>
      <c r="K898" s="13"/>
      <c r="L898" s="12"/>
      <c r="M898" s="24"/>
      <c r="N898" s="12"/>
      <c r="O898" s="12"/>
      <c r="P898" s="13" t="str">
        <f aca="false">IF($E898="","",IF(OR($E898="Director Draw",$E898="Payroll/Employee Charge"),0,-$K898))</f>
        <v/>
      </c>
      <c r="Q898" s="12" t="n">
        <f aca="false">IF($E898="Inventory Purchase",$H898,0)</f>
        <v>0</v>
      </c>
    </row>
    <row r="899" customFormat="false" ht="15" hidden="false" customHeight="true" outlineLevel="0" collapsed="false">
      <c r="A899" s="19"/>
      <c r="B899" s="12" t="str">
        <f aca="false">IF($A899="","",ROW()-4)</f>
        <v/>
      </c>
      <c r="C899" s="12"/>
      <c r="D899" s="12"/>
      <c r="E899" s="24"/>
      <c r="F899" s="12"/>
      <c r="G899" s="12" t="str">
        <f aca="false">IFERROR(VLOOKUP($F899,ItemList_Full,2,0),"")</f>
        <v/>
      </c>
      <c r="H899" s="12"/>
      <c r="I899" s="12" t="str">
        <f aca="false">IFERROR(VLOOKUP($F899,ItemList_Full,3,0),"")</f>
        <v/>
      </c>
      <c r="J899" s="12" t="str">
        <f aca="false">IFERROR(VLOOKUP($F899,ItemList_Full,4,0),"")</f>
        <v/>
      </c>
      <c r="K899" s="13"/>
      <c r="L899" s="12"/>
      <c r="M899" s="24"/>
      <c r="N899" s="12"/>
      <c r="O899" s="12"/>
      <c r="P899" s="13" t="str">
        <f aca="false">IF($E899="","",IF(OR($E899="Director Draw",$E899="Payroll/Employee Charge"),0,-$K899))</f>
        <v/>
      </c>
      <c r="Q899" s="12" t="n">
        <f aca="false">IF($E899="Inventory Purchase",$H899,0)</f>
        <v>0</v>
      </c>
    </row>
    <row r="900" customFormat="false" ht="15" hidden="false" customHeight="true" outlineLevel="0" collapsed="false">
      <c r="A900" s="19"/>
      <c r="B900" s="12" t="str">
        <f aca="false">IF($A900="","",ROW()-4)</f>
        <v/>
      </c>
      <c r="C900" s="12"/>
      <c r="D900" s="12"/>
      <c r="E900" s="24"/>
      <c r="F900" s="12"/>
      <c r="G900" s="12" t="str">
        <f aca="false">IFERROR(VLOOKUP($F900,ItemList_Full,2,0),"")</f>
        <v/>
      </c>
      <c r="H900" s="12"/>
      <c r="I900" s="12" t="str">
        <f aca="false">IFERROR(VLOOKUP($F900,ItemList_Full,3,0),"")</f>
        <v/>
      </c>
      <c r="J900" s="12" t="str">
        <f aca="false">IFERROR(VLOOKUP($F900,ItemList_Full,4,0),"")</f>
        <v/>
      </c>
      <c r="K900" s="13"/>
      <c r="L900" s="12"/>
      <c r="M900" s="24"/>
      <c r="N900" s="12"/>
      <c r="O900" s="12"/>
      <c r="P900" s="13" t="str">
        <f aca="false">IF($E900="","",IF(OR($E900="Director Draw",$E900="Payroll/Employee Charge"),0,-$K900))</f>
        <v/>
      </c>
      <c r="Q900" s="12" t="n">
        <f aca="false">IF($E900="Inventory Purchase",$H900,0)</f>
        <v>0</v>
      </c>
    </row>
    <row r="901" customFormat="false" ht="15" hidden="false" customHeight="true" outlineLevel="0" collapsed="false">
      <c r="A901" s="19"/>
      <c r="B901" s="12" t="str">
        <f aca="false">IF($A901="","",ROW()-4)</f>
        <v/>
      </c>
      <c r="C901" s="12"/>
      <c r="D901" s="12"/>
      <c r="E901" s="24"/>
      <c r="F901" s="12"/>
      <c r="G901" s="12" t="str">
        <f aca="false">IFERROR(VLOOKUP($F901,ItemList_Full,2,0),"")</f>
        <v/>
      </c>
      <c r="H901" s="12"/>
      <c r="I901" s="12" t="str">
        <f aca="false">IFERROR(VLOOKUP($F901,ItemList_Full,3,0),"")</f>
        <v/>
      </c>
      <c r="J901" s="12" t="str">
        <f aca="false">IFERROR(VLOOKUP($F901,ItemList_Full,4,0),"")</f>
        <v/>
      </c>
      <c r="K901" s="13"/>
      <c r="L901" s="12"/>
      <c r="M901" s="24"/>
      <c r="N901" s="12"/>
      <c r="O901" s="12"/>
      <c r="P901" s="13" t="str">
        <f aca="false">IF($E901="","",IF(OR($E901="Director Draw",$E901="Payroll/Employee Charge"),0,-$K901))</f>
        <v/>
      </c>
      <c r="Q901" s="12" t="n">
        <f aca="false">IF($E901="Inventory Purchase",$H901,0)</f>
        <v>0</v>
      </c>
    </row>
    <row r="902" customFormat="false" ht="15" hidden="false" customHeight="true" outlineLevel="0" collapsed="false">
      <c r="A902" s="19"/>
      <c r="B902" s="12" t="str">
        <f aca="false">IF($A902="","",ROW()-4)</f>
        <v/>
      </c>
      <c r="C902" s="12"/>
      <c r="D902" s="12"/>
      <c r="E902" s="24"/>
      <c r="F902" s="12"/>
      <c r="G902" s="12" t="str">
        <f aca="false">IFERROR(VLOOKUP($F902,ItemList_Full,2,0),"")</f>
        <v/>
      </c>
      <c r="H902" s="12"/>
      <c r="I902" s="12" t="str">
        <f aca="false">IFERROR(VLOOKUP($F902,ItemList_Full,3,0),"")</f>
        <v/>
      </c>
      <c r="J902" s="12" t="str">
        <f aca="false">IFERROR(VLOOKUP($F902,ItemList_Full,4,0),"")</f>
        <v/>
      </c>
      <c r="K902" s="13"/>
      <c r="L902" s="12"/>
      <c r="M902" s="24"/>
      <c r="N902" s="12"/>
      <c r="O902" s="12"/>
      <c r="P902" s="13" t="str">
        <f aca="false">IF($E902="","",IF(OR($E902="Director Draw",$E902="Payroll/Employee Charge"),0,-$K902))</f>
        <v/>
      </c>
      <c r="Q902" s="12" t="n">
        <f aca="false">IF($E902="Inventory Purchase",$H902,0)</f>
        <v>0</v>
      </c>
    </row>
    <row r="903" customFormat="false" ht="15" hidden="false" customHeight="true" outlineLevel="0" collapsed="false">
      <c r="A903" s="19"/>
      <c r="B903" s="12" t="str">
        <f aca="false">IF($A903="","",ROW()-4)</f>
        <v/>
      </c>
      <c r="C903" s="12"/>
      <c r="D903" s="12"/>
      <c r="E903" s="24"/>
      <c r="F903" s="12"/>
      <c r="G903" s="12" t="str">
        <f aca="false">IFERROR(VLOOKUP($F903,ItemList_Full,2,0),"")</f>
        <v/>
      </c>
      <c r="H903" s="12"/>
      <c r="I903" s="12" t="str">
        <f aca="false">IFERROR(VLOOKUP($F903,ItemList_Full,3,0),"")</f>
        <v/>
      </c>
      <c r="J903" s="12" t="str">
        <f aca="false">IFERROR(VLOOKUP($F903,ItemList_Full,4,0),"")</f>
        <v/>
      </c>
      <c r="K903" s="13"/>
      <c r="L903" s="12"/>
      <c r="M903" s="24"/>
      <c r="N903" s="12"/>
      <c r="O903" s="12"/>
      <c r="P903" s="13" t="str">
        <f aca="false">IF($E903="","",IF(OR($E903="Director Draw",$E903="Payroll/Employee Charge"),0,-$K903))</f>
        <v/>
      </c>
      <c r="Q903" s="12" t="n">
        <f aca="false">IF($E903="Inventory Purchase",$H903,0)</f>
        <v>0</v>
      </c>
    </row>
    <row r="904" customFormat="false" ht="15" hidden="false" customHeight="true" outlineLevel="0" collapsed="false">
      <c r="A904" s="19"/>
      <c r="B904" s="12" t="str">
        <f aca="false">IF($A904="","",ROW()-4)</f>
        <v/>
      </c>
      <c r="C904" s="12"/>
      <c r="D904" s="12"/>
      <c r="E904" s="24"/>
      <c r="F904" s="12"/>
      <c r="G904" s="12" t="str">
        <f aca="false">IFERROR(VLOOKUP($F904,ItemList_Full,2,0),"")</f>
        <v/>
      </c>
      <c r="H904" s="12"/>
      <c r="I904" s="12" t="str">
        <f aca="false">IFERROR(VLOOKUP($F904,ItemList_Full,3,0),"")</f>
        <v/>
      </c>
      <c r="J904" s="12" t="str">
        <f aca="false">IFERROR(VLOOKUP($F904,ItemList_Full,4,0),"")</f>
        <v/>
      </c>
      <c r="K904" s="13"/>
      <c r="L904" s="12"/>
      <c r="M904" s="24"/>
      <c r="N904" s="12"/>
      <c r="O904" s="12"/>
      <c r="P904" s="13" t="str">
        <f aca="false">IF($E904="","",IF(OR($E904="Director Draw",$E904="Payroll/Employee Charge"),0,-$K904))</f>
        <v/>
      </c>
      <c r="Q904" s="12" t="n">
        <f aca="false">IF($E904="Inventory Purchase",$H904,0)</f>
        <v>0</v>
      </c>
    </row>
    <row r="905" customFormat="false" ht="15" hidden="false" customHeight="true" outlineLevel="0" collapsed="false">
      <c r="A905" s="19"/>
      <c r="B905" s="12" t="str">
        <f aca="false">IF($A905="","",ROW()-4)</f>
        <v/>
      </c>
      <c r="C905" s="12"/>
      <c r="D905" s="12"/>
      <c r="E905" s="24"/>
      <c r="F905" s="12"/>
      <c r="G905" s="12" t="str">
        <f aca="false">IFERROR(VLOOKUP($F905,ItemList_Full,2,0),"")</f>
        <v/>
      </c>
      <c r="H905" s="12"/>
      <c r="I905" s="12" t="str">
        <f aca="false">IFERROR(VLOOKUP($F905,ItemList_Full,3,0),"")</f>
        <v/>
      </c>
      <c r="J905" s="12" t="str">
        <f aca="false">IFERROR(VLOOKUP($F905,ItemList_Full,4,0),"")</f>
        <v/>
      </c>
      <c r="K905" s="13"/>
      <c r="L905" s="12"/>
      <c r="M905" s="24"/>
      <c r="N905" s="12"/>
      <c r="O905" s="12"/>
      <c r="P905" s="13" t="str">
        <f aca="false">IF($E905="","",IF(OR($E905="Director Draw",$E905="Payroll/Employee Charge"),0,-$K905))</f>
        <v/>
      </c>
      <c r="Q905" s="12" t="n">
        <f aca="false">IF($E905="Inventory Purchase",$H905,0)</f>
        <v>0</v>
      </c>
    </row>
    <row r="906" customFormat="false" ht="15" hidden="false" customHeight="true" outlineLevel="0" collapsed="false">
      <c r="A906" s="19"/>
      <c r="B906" s="12" t="str">
        <f aca="false">IF($A906="","",ROW()-4)</f>
        <v/>
      </c>
      <c r="C906" s="12"/>
      <c r="D906" s="12"/>
      <c r="E906" s="24"/>
      <c r="F906" s="12"/>
      <c r="G906" s="12" t="str">
        <f aca="false">IFERROR(VLOOKUP($F906,ItemList_Full,2,0),"")</f>
        <v/>
      </c>
      <c r="H906" s="12"/>
      <c r="I906" s="12" t="str">
        <f aca="false">IFERROR(VLOOKUP($F906,ItemList_Full,3,0),"")</f>
        <v/>
      </c>
      <c r="J906" s="12" t="str">
        <f aca="false">IFERROR(VLOOKUP($F906,ItemList_Full,4,0),"")</f>
        <v/>
      </c>
      <c r="K906" s="13"/>
      <c r="L906" s="12"/>
      <c r="M906" s="24"/>
      <c r="N906" s="12"/>
      <c r="O906" s="12"/>
      <c r="P906" s="13" t="str">
        <f aca="false">IF($E906="","",IF(OR($E906="Director Draw",$E906="Payroll/Employee Charge"),0,-$K906))</f>
        <v/>
      </c>
      <c r="Q906" s="12" t="n">
        <f aca="false">IF($E906="Inventory Purchase",$H906,0)</f>
        <v>0</v>
      </c>
    </row>
    <row r="907" customFormat="false" ht="15" hidden="false" customHeight="true" outlineLevel="0" collapsed="false">
      <c r="A907" s="19"/>
      <c r="B907" s="12" t="str">
        <f aca="false">IF($A907="","",ROW()-4)</f>
        <v/>
      </c>
      <c r="C907" s="12"/>
      <c r="D907" s="12"/>
      <c r="E907" s="24"/>
      <c r="F907" s="12"/>
      <c r="G907" s="12" t="str">
        <f aca="false">IFERROR(VLOOKUP($F907,ItemList_Full,2,0),"")</f>
        <v/>
      </c>
      <c r="H907" s="12"/>
      <c r="I907" s="12" t="str">
        <f aca="false">IFERROR(VLOOKUP($F907,ItemList_Full,3,0),"")</f>
        <v/>
      </c>
      <c r="J907" s="12" t="str">
        <f aca="false">IFERROR(VLOOKUP($F907,ItemList_Full,4,0),"")</f>
        <v/>
      </c>
      <c r="K907" s="13"/>
      <c r="L907" s="12"/>
      <c r="M907" s="24"/>
      <c r="N907" s="12"/>
      <c r="O907" s="12"/>
      <c r="P907" s="13" t="str">
        <f aca="false">IF($E907="","",IF(OR($E907="Director Draw",$E907="Payroll/Employee Charge"),0,-$K907))</f>
        <v/>
      </c>
      <c r="Q907" s="12" t="n">
        <f aca="false">IF($E907="Inventory Purchase",$H907,0)</f>
        <v>0</v>
      </c>
    </row>
    <row r="908" customFormat="false" ht="15" hidden="false" customHeight="true" outlineLevel="0" collapsed="false">
      <c r="A908" s="19"/>
      <c r="B908" s="12" t="str">
        <f aca="false">IF($A908="","",ROW()-4)</f>
        <v/>
      </c>
      <c r="C908" s="12"/>
      <c r="D908" s="12"/>
      <c r="E908" s="24"/>
      <c r="F908" s="12"/>
      <c r="G908" s="12" t="str">
        <f aca="false">IFERROR(VLOOKUP($F908,ItemList_Full,2,0),"")</f>
        <v/>
      </c>
      <c r="H908" s="12"/>
      <c r="I908" s="12" t="str">
        <f aca="false">IFERROR(VLOOKUP($F908,ItemList_Full,3,0),"")</f>
        <v/>
      </c>
      <c r="J908" s="12" t="str">
        <f aca="false">IFERROR(VLOOKUP($F908,ItemList_Full,4,0),"")</f>
        <v/>
      </c>
      <c r="K908" s="13"/>
      <c r="L908" s="12"/>
      <c r="M908" s="24"/>
      <c r="N908" s="12"/>
      <c r="O908" s="12"/>
      <c r="P908" s="13" t="str">
        <f aca="false">IF($E908="","",IF(OR($E908="Director Draw",$E908="Payroll/Employee Charge"),0,-$K908))</f>
        <v/>
      </c>
      <c r="Q908" s="12" t="n">
        <f aca="false">IF($E908="Inventory Purchase",$H908,0)</f>
        <v>0</v>
      </c>
    </row>
    <row r="909" customFormat="false" ht="15" hidden="false" customHeight="true" outlineLevel="0" collapsed="false">
      <c r="A909" s="19"/>
      <c r="B909" s="12" t="str">
        <f aca="false">IF($A909="","",ROW()-4)</f>
        <v/>
      </c>
      <c r="C909" s="12"/>
      <c r="D909" s="12"/>
      <c r="E909" s="24"/>
      <c r="F909" s="12"/>
      <c r="G909" s="12" t="str">
        <f aca="false">IFERROR(VLOOKUP($F909,ItemList_Full,2,0),"")</f>
        <v/>
      </c>
      <c r="H909" s="12"/>
      <c r="I909" s="12" t="str">
        <f aca="false">IFERROR(VLOOKUP($F909,ItemList_Full,3,0),"")</f>
        <v/>
      </c>
      <c r="J909" s="12" t="str">
        <f aca="false">IFERROR(VLOOKUP($F909,ItemList_Full,4,0),"")</f>
        <v/>
      </c>
      <c r="K909" s="13"/>
      <c r="L909" s="12"/>
      <c r="M909" s="24"/>
      <c r="N909" s="12"/>
      <c r="O909" s="12"/>
      <c r="P909" s="13" t="str">
        <f aca="false">IF($E909="","",IF(OR($E909="Director Draw",$E909="Payroll/Employee Charge"),0,-$K909))</f>
        <v/>
      </c>
      <c r="Q909" s="12" t="n">
        <f aca="false">IF($E909="Inventory Purchase",$H909,0)</f>
        <v>0</v>
      </c>
    </row>
    <row r="910" customFormat="false" ht="15" hidden="false" customHeight="true" outlineLevel="0" collapsed="false">
      <c r="A910" s="19"/>
      <c r="B910" s="12" t="str">
        <f aca="false">IF($A910="","",ROW()-4)</f>
        <v/>
      </c>
      <c r="C910" s="12"/>
      <c r="D910" s="12"/>
      <c r="E910" s="24"/>
      <c r="F910" s="12"/>
      <c r="G910" s="12" t="str">
        <f aca="false">IFERROR(VLOOKUP($F910,ItemList_Full,2,0),"")</f>
        <v/>
      </c>
      <c r="H910" s="12"/>
      <c r="I910" s="12" t="str">
        <f aca="false">IFERROR(VLOOKUP($F910,ItemList_Full,3,0),"")</f>
        <v/>
      </c>
      <c r="J910" s="12" t="str">
        <f aca="false">IFERROR(VLOOKUP($F910,ItemList_Full,4,0),"")</f>
        <v/>
      </c>
      <c r="K910" s="13"/>
      <c r="L910" s="12"/>
      <c r="M910" s="24"/>
      <c r="N910" s="12"/>
      <c r="O910" s="12"/>
      <c r="P910" s="13" t="str">
        <f aca="false">IF($E910="","",IF(OR($E910="Director Draw",$E910="Payroll/Employee Charge"),0,-$K910))</f>
        <v/>
      </c>
      <c r="Q910" s="12" t="n">
        <f aca="false">IF($E910="Inventory Purchase",$H910,0)</f>
        <v>0</v>
      </c>
    </row>
    <row r="911" customFormat="false" ht="15" hidden="false" customHeight="true" outlineLevel="0" collapsed="false">
      <c r="A911" s="19"/>
      <c r="B911" s="12" t="str">
        <f aca="false">IF($A911="","",ROW()-4)</f>
        <v/>
      </c>
      <c r="C911" s="12"/>
      <c r="D911" s="12"/>
      <c r="E911" s="24"/>
      <c r="F911" s="12"/>
      <c r="G911" s="12" t="str">
        <f aca="false">IFERROR(VLOOKUP($F911,ItemList_Full,2,0),"")</f>
        <v/>
      </c>
      <c r="H911" s="12"/>
      <c r="I911" s="12" t="str">
        <f aca="false">IFERROR(VLOOKUP($F911,ItemList_Full,3,0),"")</f>
        <v/>
      </c>
      <c r="J911" s="12" t="str">
        <f aca="false">IFERROR(VLOOKUP($F911,ItemList_Full,4,0),"")</f>
        <v/>
      </c>
      <c r="K911" s="13"/>
      <c r="L911" s="12"/>
      <c r="M911" s="24"/>
      <c r="N911" s="12"/>
      <c r="O911" s="12"/>
      <c r="P911" s="13" t="str">
        <f aca="false">IF($E911="","",IF(OR($E911="Director Draw",$E911="Payroll/Employee Charge"),0,-$K911))</f>
        <v/>
      </c>
      <c r="Q911" s="12" t="n">
        <f aca="false">IF($E911="Inventory Purchase",$H911,0)</f>
        <v>0</v>
      </c>
    </row>
    <row r="912" customFormat="false" ht="15" hidden="false" customHeight="true" outlineLevel="0" collapsed="false">
      <c r="A912" s="19"/>
      <c r="B912" s="12" t="str">
        <f aca="false">IF($A912="","",ROW()-4)</f>
        <v/>
      </c>
      <c r="C912" s="12"/>
      <c r="D912" s="12"/>
      <c r="E912" s="24"/>
      <c r="F912" s="12"/>
      <c r="G912" s="12" t="str">
        <f aca="false">IFERROR(VLOOKUP($F912,ItemList_Full,2,0),"")</f>
        <v/>
      </c>
      <c r="H912" s="12"/>
      <c r="I912" s="12" t="str">
        <f aca="false">IFERROR(VLOOKUP($F912,ItemList_Full,3,0),"")</f>
        <v/>
      </c>
      <c r="J912" s="12" t="str">
        <f aca="false">IFERROR(VLOOKUP($F912,ItemList_Full,4,0),"")</f>
        <v/>
      </c>
      <c r="K912" s="13"/>
      <c r="L912" s="12"/>
      <c r="M912" s="24"/>
      <c r="N912" s="12"/>
      <c r="O912" s="12"/>
      <c r="P912" s="13" t="str">
        <f aca="false">IF($E912="","",IF(OR($E912="Director Draw",$E912="Payroll/Employee Charge"),0,-$K912))</f>
        <v/>
      </c>
      <c r="Q912" s="12" t="n">
        <f aca="false">IF($E912="Inventory Purchase",$H912,0)</f>
        <v>0</v>
      </c>
    </row>
    <row r="913" customFormat="false" ht="15" hidden="false" customHeight="true" outlineLevel="0" collapsed="false">
      <c r="A913" s="19"/>
      <c r="B913" s="12" t="str">
        <f aca="false">IF($A913="","",ROW()-4)</f>
        <v/>
      </c>
      <c r="C913" s="12"/>
      <c r="D913" s="12"/>
      <c r="E913" s="24"/>
      <c r="F913" s="12"/>
      <c r="G913" s="12" t="str">
        <f aca="false">IFERROR(VLOOKUP($F913,ItemList_Full,2,0),"")</f>
        <v/>
      </c>
      <c r="H913" s="12"/>
      <c r="I913" s="12" t="str">
        <f aca="false">IFERROR(VLOOKUP($F913,ItemList_Full,3,0),"")</f>
        <v/>
      </c>
      <c r="J913" s="12" t="str">
        <f aca="false">IFERROR(VLOOKUP($F913,ItemList_Full,4,0),"")</f>
        <v/>
      </c>
      <c r="K913" s="13"/>
      <c r="L913" s="12"/>
      <c r="M913" s="24"/>
      <c r="N913" s="12"/>
      <c r="O913" s="12"/>
      <c r="P913" s="13" t="str">
        <f aca="false">IF($E913="","",IF(OR($E913="Director Draw",$E913="Payroll/Employee Charge"),0,-$K913))</f>
        <v/>
      </c>
      <c r="Q913" s="12" t="n">
        <f aca="false">IF($E913="Inventory Purchase",$H913,0)</f>
        <v>0</v>
      </c>
    </row>
    <row r="914" customFormat="false" ht="15" hidden="false" customHeight="true" outlineLevel="0" collapsed="false">
      <c r="A914" s="19"/>
      <c r="B914" s="12" t="str">
        <f aca="false">IF($A914="","",ROW()-4)</f>
        <v/>
      </c>
      <c r="C914" s="12"/>
      <c r="D914" s="12"/>
      <c r="E914" s="24"/>
      <c r="F914" s="12"/>
      <c r="G914" s="12" t="str">
        <f aca="false">IFERROR(VLOOKUP($F914,ItemList_Full,2,0),"")</f>
        <v/>
      </c>
      <c r="H914" s="12"/>
      <c r="I914" s="12" t="str">
        <f aca="false">IFERROR(VLOOKUP($F914,ItemList_Full,3,0),"")</f>
        <v/>
      </c>
      <c r="J914" s="12" t="str">
        <f aca="false">IFERROR(VLOOKUP($F914,ItemList_Full,4,0),"")</f>
        <v/>
      </c>
      <c r="K914" s="13"/>
      <c r="L914" s="12"/>
      <c r="M914" s="24"/>
      <c r="N914" s="12"/>
      <c r="O914" s="12"/>
      <c r="P914" s="13" t="str">
        <f aca="false">IF($E914="","",IF(OR($E914="Director Draw",$E914="Payroll/Employee Charge"),0,-$K914))</f>
        <v/>
      </c>
      <c r="Q914" s="12" t="n">
        <f aca="false">IF($E914="Inventory Purchase",$H914,0)</f>
        <v>0</v>
      </c>
    </row>
    <row r="915" customFormat="false" ht="15" hidden="false" customHeight="true" outlineLevel="0" collapsed="false">
      <c r="A915" s="19"/>
      <c r="B915" s="12" t="str">
        <f aca="false">IF($A915="","",ROW()-4)</f>
        <v/>
      </c>
      <c r="C915" s="12"/>
      <c r="D915" s="12"/>
      <c r="E915" s="24"/>
      <c r="F915" s="12"/>
      <c r="G915" s="12" t="str">
        <f aca="false">IFERROR(VLOOKUP($F915,ItemList_Full,2,0),"")</f>
        <v/>
      </c>
      <c r="H915" s="12"/>
      <c r="I915" s="12" t="str">
        <f aca="false">IFERROR(VLOOKUP($F915,ItemList_Full,3,0),"")</f>
        <v/>
      </c>
      <c r="J915" s="12" t="str">
        <f aca="false">IFERROR(VLOOKUP($F915,ItemList_Full,4,0),"")</f>
        <v/>
      </c>
      <c r="K915" s="13"/>
      <c r="L915" s="12"/>
      <c r="M915" s="24"/>
      <c r="N915" s="12"/>
      <c r="O915" s="12"/>
      <c r="P915" s="13" t="str">
        <f aca="false">IF($E915="","",IF(OR($E915="Director Draw",$E915="Payroll/Employee Charge"),0,-$K915))</f>
        <v/>
      </c>
      <c r="Q915" s="12" t="n">
        <f aca="false">IF($E915="Inventory Purchase",$H915,0)</f>
        <v>0</v>
      </c>
    </row>
    <row r="916" customFormat="false" ht="15" hidden="false" customHeight="true" outlineLevel="0" collapsed="false">
      <c r="A916" s="19"/>
      <c r="B916" s="12" t="str">
        <f aca="false">IF($A916="","",ROW()-4)</f>
        <v/>
      </c>
      <c r="C916" s="12"/>
      <c r="D916" s="12"/>
      <c r="E916" s="24"/>
      <c r="F916" s="12"/>
      <c r="G916" s="12" t="str">
        <f aca="false">IFERROR(VLOOKUP($F916,ItemList_Full,2,0),"")</f>
        <v/>
      </c>
      <c r="H916" s="12"/>
      <c r="I916" s="12" t="str">
        <f aca="false">IFERROR(VLOOKUP($F916,ItemList_Full,3,0),"")</f>
        <v/>
      </c>
      <c r="J916" s="12" t="str">
        <f aca="false">IFERROR(VLOOKUP($F916,ItemList_Full,4,0),"")</f>
        <v/>
      </c>
      <c r="K916" s="13"/>
      <c r="L916" s="12"/>
      <c r="M916" s="24"/>
      <c r="N916" s="12"/>
      <c r="O916" s="12"/>
      <c r="P916" s="13" t="str">
        <f aca="false">IF($E916="","",IF(OR($E916="Director Draw",$E916="Payroll/Employee Charge"),0,-$K916))</f>
        <v/>
      </c>
      <c r="Q916" s="12" t="n">
        <f aca="false">IF($E916="Inventory Purchase",$H916,0)</f>
        <v>0</v>
      </c>
    </row>
    <row r="917" customFormat="false" ht="15" hidden="false" customHeight="true" outlineLevel="0" collapsed="false">
      <c r="A917" s="19"/>
      <c r="B917" s="12" t="str">
        <f aca="false">IF($A917="","",ROW()-4)</f>
        <v/>
      </c>
      <c r="C917" s="12"/>
      <c r="D917" s="12"/>
      <c r="E917" s="24"/>
      <c r="F917" s="12"/>
      <c r="G917" s="12" t="str">
        <f aca="false">IFERROR(VLOOKUP($F917,ItemList_Full,2,0),"")</f>
        <v/>
      </c>
      <c r="H917" s="12"/>
      <c r="I917" s="12" t="str">
        <f aca="false">IFERROR(VLOOKUP($F917,ItemList_Full,3,0),"")</f>
        <v/>
      </c>
      <c r="J917" s="12" t="str">
        <f aca="false">IFERROR(VLOOKUP($F917,ItemList_Full,4,0),"")</f>
        <v/>
      </c>
      <c r="K917" s="13"/>
      <c r="L917" s="12"/>
      <c r="M917" s="24"/>
      <c r="N917" s="12"/>
      <c r="O917" s="12"/>
      <c r="P917" s="13" t="str">
        <f aca="false">IF($E917="","",IF(OR($E917="Director Draw",$E917="Payroll/Employee Charge"),0,-$K917))</f>
        <v/>
      </c>
      <c r="Q917" s="12" t="n">
        <f aca="false">IF($E917="Inventory Purchase",$H917,0)</f>
        <v>0</v>
      </c>
    </row>
    <row r="918" customFormat="false" ht="15" hidden="false" customHeight="true" outlineLevel="0" collapsed="false">
      <c r="A918" s="19"/>
      <c r="B918" s="12" t="str">
        <f aca="false">IF($A918="","",ROW()-4)</f>
        <v/>
      </c>
      <c r="C918" s="12"/>
      <c r="D918" s="12"/>
      <c r="E918" s="24"/>
      <c r="F918" s="12"/>
      <c r="G918" s="12" t="str">
        <f aca="false">IFERROR(VLOOKUP($F918,ItemList_Full,2,0),"")</f>
        <v/>
      </c>
      <c r="H918" s="12"/>
      <c r="I918" s="12" t="str">
        <f aca="false">IFERROR(VLOOKUP($F918,ItemList_Full,3,0),"")</f>
        <v/>
      </c>
      <c r="J918" s="12" t="str">
        <f aca="false">IFERROR(VLOOKUP($F918,ItemList_Full,4,0),"")</f>
        <v/>
      </c>
      <c r="K918" s="13"/>
      <c r="L918" s="12"/>
      <c r="M918" s="24"/>
      <c r="N918" s="12"/>
      <c r="O918" s="12"/>
      <c r="P918" s="13" t="str">
        <f aca="false">IF($E918="","",IF(OR($E918="Director Draw",$E918="Payroll/Employee Charge"),0,-$K918))</f>
        <v/>
      </c>
      <c r="Q918" s="12" t="n">
        <f aca="false">IF($E918="Inventory Purchase",$H918,0)</f>
        <v>0</v>
      </c>
    </row>
    <row r="919" customFormat="false" ht="15" hidden="false" customHeight="true" outlineLevel="0" collapsed="false">
      <c r="A919" s="19"/>
      <c r="B919" s="12" t="str">
        <f aca="false">IF($A919="","",ROW()-4)</f>
        <v/>
      </c>
      <c r="C919" s="12"/>
      <c r="D919" s="12"/>
      <c r="E919" s="24"/>
      <c r="F919" s="12"/>
      <c r="G919" s="12" t="str">
        <f aca="false">IFERROR(VLOOKUP($F919,ItemList_Full,2,0),"")</f>
        <v/>
      </c>
      <c r="H919" s="12"/>
      <c r="I919" s="12" t="str">
        <f aca="false">IFERROR(VLOOKUP($F919,ItemList_Full,3,0),"")</f>
        <v/>
      </c>
      <c r="J919" s="12" t="str">
        <f aca="false">IFERROR(VLOOKUP($F919,ItemList_Full,4,0),"")</f>
        <v/>
      </c>
      <c r="K919" s="13"/>
      <c r="L919" s="12"/>
      <c r="M919" s="24"/>
      <c r="N919" s="12"/>
      <c r="O919" s="12"/>
      <c r="P919" s="13" t="str">
        <f aca="false">IF($E919="","",IF(OR($E919="Director Draw",$E919="Payroll/Employee Charge"),0,-$K919))</f>
        <v/>
      </c>
      <c r="Q919" s="12" t="n">
        <f aca="false">IF($E919="Inventory Purchase",$H919,0)</f>
        <v>0</v>
      </c>
    </row>
    <row r="920" customFormat="false" ht="15" hidden="false" customHeight="true" outlineLevel="0" collapsed="false">
      <c r="A920" s="19"/>
      <c r="B920" s="12" t="str">
        <f aca="false">IF($A920="","",ROW()-4)</f>
        <v/>
      </c>
      <c r="C920" s="12"/>
      <c r="D920" s="12"/>
      <c r="E920" s="24"/>
      <c r="F920" s="12"/>
      <c r="G920" s="12" t="str">
        <f aca="false">IFERROR(VLOOKUP($F920,ItemList_Full,2,0),"")</f>
        <v/>
      </c>
      <c r="H920" s="12"/>
      <c r="I920" s="12" t="str">
        <f aca="false">IFERROR(VLOOKUP($F920,ItemList_Full,3,0),"")</f>
        <v/>
      </c>
      <c r="J920" s="12" t="str">
        <f aca="false">IFERROR(VLOOKUP($F920,ItemList_Full,4,0),"")</f>
        <v/>
      </c>
      <c r="K920" s="13"/>
      <c r="L920" s="12"/>
      <c r="M920" s="24"/>
      <c r="N920" s="12"/>
      <c r="O920" s="12"/>
      <c r="P920" s="13" t="str">
        <f aca="false">IF($E920="","",IF(OR($E920="Director Draw",$E920="Payroll/Employee Charge"),0,-$K920))</f>
        <v/>
      </c>
      <c r="Q920" s="12" t="n">
        <f aca="false">IF($E920="Inventory Purchase",$H920,0)</f>
        <v>0</v>
      </c>
    </row>
    <row r="921" customFormat="false" ht="15" hidden="false" customHeight="true" outlineLevel="0" collapsed="false">
      <c r="A921" s="19"/>
      <c r="B921" s="12" t="str">
        <f aca="false">IF($A921="","",ROW()-4)</f>
        <v/>
      </c>
      <c r="C921" s="12"/>
      <c r="D921" s="12"/>
      <c r="E921" s="24"/>
      <c r="F921" s="12"/>
      <c r="G921" s="12" t="str">
        <f aca="false">IFERROR(VLOOKUP($F921,ItemList_Full,2,0),"")</f>
        <v/>
      </c>
      <c r="H921" s="12"/>
      <c r="I921" s="12" t="str">
        <f aca="false">IFERROR(VLOOKUP($F921,ItemList_Full,3,0),"")</f>
        <v/>
      </c>
      <c r="J921" s="12" t="str">
        <f aca="false">IFERROR(VLOOKUP($F921,ItemList_Full,4,0),"")</f>
        <v/>
      </c>
      <c r="K921" s="13"/>
      <c r="L921" s="12"/>
      <c r="M921" s="24"/>
      <c r="N921" s="12"/>
      <c r="O921" s="12"/>
      <c r="P921" s="13" t="str">
        <f aca="false">IF($E921="","",IF(OR($E921="Director Draw",$E921="Payroll/Employee Charge"),0,-$K921))</f>
        <v/>
      </c>
      <c r="Q921" s="12" t="n">
        <f aca="false">IF($E921="Inventory Purchase",$H921,0)</f>
        <v>0</v>
      </c>
    </row>
    <row r="922" customFormat="false" ht="15" hidden="false" customHeight="true" outlineLevel="0" collapsed="false">
      <c r="A922" s="19"/>
      <c r="B922" s="12" t="str">
        <f aca="false">IF($A922="","",ROW()-4)</f>
        <v/>
      </c>
      <c r="C922" s="12"/>
      <c r="D922" s="12"/>
      <c r="E922" s="24"/>
      <c r="F922" s="12"/>
      <c r="G922" s="12" t="str">
        <f aca="false">IFERROR(VLOOKUP($F922,ItemList_Full,2,0),"")</f>
        <v/>
      </c>
      <c r="H922" s="12"/>
      <c r="I922" s="12" t="str">
        <f aca="false">IFERROR(VLOOKUP($F922,ItemList_Full,3,0),"")</f>
        <v/>
      </c>
      <c r="J922" s="12" t="str">
        <f aca="false">IFERROR(VLOOKUP($F922,ItemList_Full,4,0),"")</f>
        <v/>
      </c>
      <c r="K922" s="13"/>
      <c r="L922" s="12"/>
      <c r="M922" s="24"/>
      <c r="N922" s="12"/>
      <c r="O922" s="12"/>
      <c r="P922" s="13" t="str">
        <f aca="false">IF($E922="","",IF(OR($E922="Director Draw",$E922="Payroll/Employee Charge"),0,-$K922))</f>
        <v/>
      </c>
      <c r="Q922" s="12" t="n">
        <f aca="false">IF($E922="Inventory Purchase",$H922,0)</f>
        <v>0</v>
      </c>
    </row>
    <row r="923" customFormat="false" ht="15" hidden="false" customHeight="true" outlineLevel="0" collapsed="false">
      <c r="A923" s="19"/>
      <c r="B923" s="12" t="str">
        <f aca="false">IF($A923="","",ROW()-4)</f>
        <v/>
      </c>
      <c r="C923" s="12"/>
      <c r="D923" s="12"/>
      <c r="E923" s="24"/>
      <c r="F923" s="12"/>
      <c r="G923" s="12" t="str">
        <f aca="false">IFERROR(VLOOKUP($F923,ItemList_Full,2,0),"")</f>
        <v/>
      </c>
      <c r="H923" s="12"/>
      <c r="I923" s="12" t="str">
        <f aca="false">IFERROR(VLOOKUP($F923,ItemList_Full,3,0),"")</f>
        <v/>
      </c>
      <c r="J923" s="12" t="str">
        <f aca="false">IFERROR(VLOOKUP($F923,ItemList_Full,4,0),"")</f>
        <v/>
      </c>
      <c r="K923" s="13"/>
      <c r="L923" s="12"/>
      <c r="M923" s="24"/>
      <c r="N923" s="12"/>
      <c r="O923" s="12"/>
      <c r="P923" s="13" t="str">
        <f aca="false">IF($E923="","",IF(OR($E923="Director Draw",$E923="Payroll/Employee Charge"),0,-$K923))</f>
        <v/>
      </c>
      <c r="Q923" s="12" t="n">
        <f aca="false">IF($E923="Inventory Purchase",$H923,0)</f>
        <v>0</v>
      </c>
    </row>
    <row r="924" customFormat="false" ht="15" hidden="false" customHeight="true" outlineLevel="0" collapsed="false">
      <c r="A924" s="19"/>
      <c r="B924" s="12" t="str">
        <f aca="false">IF($A924="","",ROW()-4)</f>
        <v/>
      </c>
      <c r="C924" s="12"/>
      <c r="D924" s="12"/>
      <c r="E924" s="24"/>
      <c r="F924" s="12"/>
      <c r="G924" s="12" t="str">
        <f aca="false">IFERROR(VLOOKUP($F924,ItemList_Full,2,0),"")</f>
        <v/>
      </c>
      <c r="H924" s="12"/>
      <c r="I924" s="12" t="str">
        <f aca="false">IFERROR(VLOOKUP($F924,ItemList_Full,3,0),"")</f>
        <v/>
      </c>
      <c r="J924" s="12" t="str">
        <f aca="false">IFERROR(VLOOKUP($F924,ItemList_Full,4,0),"")</f>
        <v/>
      </c>
      <c r="K924" s="13"/>
      <c r="L924" s="12"/>
      <c r="M924" s="24"/>
      <c r="N924" s="12"/>
      <c r="O924" s="12"/>
      <c r="P924" s="13" t="str">
        <f aca="false">IF($E924="","",IF(OR($E924="Director Draw",$E924="Payroll/Employee Charge"),0,-$K924))</f>
        <v/>
      </c>
      <c r="Q924" s="12" t="n">
        <f aca="false">IF($E924="Inventory Purchase",$H924,0)</f>
        <v>0</v>
      </c>
    </row>
    <row r="925" customFormat="false" ht="15" hidden="false" customHeight="true" outlineLevel="0" collapsed="false">
      <c r="A925" s="19"/>
      <c r="B925" s="12" t="str">
        <f aca="false">IF($A925="","",ROW()-4)</f>
        <v/>
      </c>
      <c r="C925" s="12"/>
      <c r="D925" s="12"/>
      <c r="E925" s="24"/>
      <c r="F925" s="12"/>
      <c r="G925" s="12" t="str">
        <f aca="false">IFERROR(VLOOKUP($F925,ItemList_Full,2,0),"")</f>
        <v/>
      </c>
      <c r="H925" s="12"/>
      <c r="I925" s="12" t="str">
        <f aca="false">IFERROR(VLOOKUP($F925,ItemList_Full,3,0),"")</f>
        <v/>
      </c>
      <c r="J925" s="12" t="str">
        <f aca="false">IFERROR(VLOOKUP($F925,ItemList_Full,4,0),"")</f>
        <v/>
      </c>
      <c r="K925" s="13"/>
      <c r="L925" s="12"/>
      <c r="M925" s="24"/>
      <c r="N925" s="12"/>
      <c r="O925" s="12"/>
      <c r="P925" s="13" t="str">
        <f aca="false">IF($E925="","",IF(OR($E925="Director Draw",$E925="Payroll/Employee Charge"),0,-$K925))</f>
        <v/>
      </c>
      <c r="Q925" s="12" t="n">
        <f aca="false">IF($E925="Inventory Purchase",$H925,0)</f>
        <v>0</v>
      </c>
    </row>
    <row r="926" customFormat="false" ht="15" hidden="false" customHeight="true" outlineLevel="0" collapsed="false">
      <c r="A926" s="19"/>
      <c r="B926" s="12" t="str">
        <f aca="false">IF($A926="","",ROW()-4)</f>
        <v/>
      </c>
      <c r="C926" s="12"/>
      <c r="D926" s="12"/>
      <c r="E926" s="24"/>
      <c r="F926" s="12"/>
      <c r="G926" s="12" t="str">
        <f aca="false">IFERROR(VLOOKUP($F926,ItemList_Full,2,0),"")</f>
        <v/>
      </c>
      <c r="H926" s="12"/>
      <c r="I926" s="12" t="str">
        <f aca="false">IFERROR(VLOOKUP($F926,ItemList_Full,3,0),"")</f>
        <v/>
      </c>
      <c r="J926" s="12" t="str">
        <f aca="false">IFERROR(VLOOKUP($F926,ItemList_Full,4,0),"")</f>
        <v/>
      </c>
      <c r="K926" s="13"/>
      <c r="L926" s="12"/>
      <c r="M926" s="24"/>
      <c r="N926" s="12"/>
      <c r="O926" s="12"/>
      <c r="P926" s="13" t="str">
        <f aca="false">IF($E926="","",IF(OR($E926="Director Draw",$E926="Payroll/Employee Charge"),0,-$K926))</f>
        <v/>
      </c>
      <c r="Q926" s="12" t="n">
        <f aca="false">IF($E926="Inventory Purchase",$H926,0)</f>
        <v>0</v>
      </c>
    </row>
    <row r="927" customFormat="false" ht="15" hidden="false" customHeight="true" outlineLevel="0" collapsed="false">
      <c r="A927" s="19"/>
      <c r="B927" s="12" t="str">
        <f aca="false">IF($A927="","",ROW()-4)</f>
        <v/>
      </c>
      <c r="C927" s="12"/>
      <c r="D927" s="12"/>
      <c r="E927" s="24"/>
      <c r="F927" s="12"/>
      <c r="G927" s="12" t="str">
        <f aca="false">IFERROR(VLOOKUP($F927,ItemList_Full,2,0),"")</f>
        <v/>
      </c>
      <c r="H927" s="12"/>
      <c r="I927" s="12" t="str">
        <f aca="false">IFERROR(VLOOKUP($F927,ItemList_Full,3,0),"")</f>
        <v/>
      </c>
      <c r="J927" s="12" t="str">
        <f aca="false">IFERROR(VLOOKUP($F927,ItemList_Full,4,0),"")</f>
        <v/>
      </c>
      <c r="K927" s="13"/>
      <c r="L927" s="12"/>
      <c r="M927" s="24"/>
      <c r="N927" s="12"/>
      <c r="O927" s="12"/>
      <c r="P927" s="13" t="str">
        <f aca="false">IF($E927="","",IF(OR($E927="Director Draw",$E927="Payroll/Employee Charge"),0,-$K927))</f>
        <v/>
      </c>
      <c r="Q927" s="12" t="n">
        <f aca="false">IF($E927="Inventory Purchase",$H927,0)</f>
        <v>0</v>
      </c>
    </row>
    <row r="928" customFormat="false" ht="15" hidden="false" customHeight="true" outlineLevel="0" collapsed="false">
      <c r="A928" s="19"/>
      <c r="B928" s="12" t="str">
        <f aca="false">IF($A928="","",ROW()-4)</f>
        <v/>
      </c>
      <c r="C928" s="12"/>
      <c r="D928" s="12"/>
      <c r="E928" s="24"/>
      <c r="F928" s="12"/>
      <c r="G928" s="12" t="str">
        <f aca="false">IFERROR(VLOOKUP($F928,ItemList_Full,2,0),"")</f>
        <v/>
      </c>
      <c r="H928" s="12"/>
      <c r="I928" s="12" t="str">
        <f aca="false">IFERROR(VLOOKUP($F928,ItemList_Full,3,0),"")</f>
        <v/>
      </c>
      <c r="J928" s="12" t="str">
        <f aca="false">IFERROR(VLOOKUP($F928,ItemList_Full,4,0),"")</f>
        <v/>
      </c>
      <c r="K928" s="13"/>
      <c r="L928" s="12"/>
      <c r="M928" s="24"/>
      <c r="N928" s="12"/>
      <c r="O928" s="12"/>
      <c r="P928" s="13" t="str">
        <f aca="false">IF($E928="","",IF(OR($E928="Director Draw",$E928="Payroll/Employee Charge"),0,-$K928))</f>
        <v/>
      </c>
      <c r="Q928" s="12" t="n">
        <f aca="false">IF($E928="Inventory Purchase",$H928,0)</f>
        <v>0</v>
      </c>
    </row>
    <row r="929" customFormat="false" ht="15" hidden="false" customHeight="true" outlineLevel="0" collapsed="false">
      <c r="A929" s="19"/>
      <c r="B929" s="12" t="str">
        <f aca="false">IF($A929="","",ROW()-4)</f>
        <v/>
      </c>
      <c r="C929" s="12"/>
      <c r="D929" s="12"/>
      <c r="E929" s="24"/>
      <c r="F929" s="12"/>
      <c r="G929" s="12" t="str">
        <f aca="false">IFERROR(VLOOKUP($F929,ItemList_Full,2,0),"")</f>
        <v/>
      </c>
      <c r="H929" s="12"/>
      <c r="I929" s="12" t="str">
        <f aca="false">IFERROR(VLOOKUP($F929,ItemList_Full,3,0),"")</f>
        <v/>
      </c>
      <c r="J929" s="12" t="str">
        <f aca="false">IFERROR(VLOOKUP($F929,ItemList_Full,4,0),"")</f>
        <v/>
      </c>
      <c r="K929" s="13"/>
      <c r="L929" s="12"/>
      <c r="M929" s="24"/>
      <c r="N929" s="12"/>
      <c r="O929" s="12"/>
      <c r="P929" s="13" t="str">
        <f aca="false">IF($E929="","",IF(OR($E929="Director Draw",$E929="Payroll/Employee Charge"),0,-$K929))</f>
        <v/>
      </c>
      <c r="Q929" s="12" t="n">
        <f aca="false">IF($E929="Inventory Purchase",$H929,0)</f>
        <v>0</v>
      </c>
    </row>
    <row r="930" customFormat="false" ht="15" hidden="false" customHeight="true" outlineLevel="0" collapsed="false">
      <c r="A930" s="19"/>
      <c r="B930" s="12" t="str">
        <f aca="false">IF($A930="","",ROW()-4)</f>
        <v/>
      </c>
      <c r="C930" s="12"/>
      <c r="D930" s="12"/>
      <c r="E930" s="24"/>
      <c r="F930" s="12"/>
      <c r="G930" s="12" t="str">
        <f aca="false">IFERROR(VLOOKUP($F930,ItemList_Full,2,0),"")</f>
        <v/>
      </c>
      <c r="H930" s="12"/>
      <c r="I930" s="12" t="str">
        <f aca="false">IFERROR(VLOOKUP($F930,ItemList_Full,3,0),"")</f>
        <v/>
      </c>
      <c r="J930" s="12" t="str">
        <f aca="false">IFERROR(VLOOKUP($F930,ItemList_Full,4,0),"")</f>
        <v/>
      </c>
      <c r="K930" s="13"/>
      <c r="L930" s="12"/>
      <c r="M930" s="24"/>
      <c r="N930" s="12"/>
      <c r="O930" s="12"/>
      <c r="P930" s="13" t="str">
        <f aca="false">IF($E930="","",IF(OR($E930="Director Draw",$E930="Payroll/Employee Charge"),0,-$K930))</f>
        <v/>
      </c>
      <c r="Q930" s="12" t="n">
        <f aca="false">IF($E930="Inventory Purchase",$H930,0)</f>
        <v>0</v>
      </c>
    </row>
    <row r="931" customFormat="false" ht="15" hidden="false" customHeight="true" outlineLevel="0" collapsed="false">
      <c r="A931" s="19"/>
      <c r="B931" s="12" t="str">
        <f aca="false">IF($A931="","",ROW()-4)</f>
        <v/>
      </c>
      <c r="C931" s="12"/>
      <c r="D931" s="12"/>
      <c r="E931" s="24"/>
      <c r="F931" s="12"/>
      <c r="G931" s="12" t="str">
        <f aca="false">IFERROR(VLOOKUP($F931,ItemList_Full,2,0),"")</f>
        <v/>
      </c>
      <c r="H931" s="12"/>
      <c r="I931" s="12" t="str">
        <f aca="false">IFERROR(VLOOKUP($F931,ItemList_Full,3,0),"")</f>
        <v/>
      </c>
      <c r="J931" s="12" t="str">
        <f aca="false">IFERROR(VLOOKUP($F931,ItemList_Full,4,0),"")</f>
        <v/>
      </c>
      <c r="K931" s="13"/>
      <c r="L931" s="12"/>
      <c r="M931" s="24"/>
      <c r="N931" s="12"/>
      <c r="O931" s="12"/>
      <c r="P931" s="13" t="str">
        <f aca="false">IF($E931="","",IF(OR($E931="Director Draw",$E931="Payroll/Employee Charge"),0,-$K931))</f>
        <v/>
      </c>
      <c r="Q931" s="12" t="n">
        <f aca="false">IF($E931="Inventory Purchase",$H931,0)</f>
        <v>0</v>
      </c>
    </row>
    <row r="932" customFormat="false" ht="15" hidden="false" customHeight="true" outlineLevel="0" collapsed="false">
      <c r="A932" s="19"/>
      <c r="B932" s="12" t="str">
        <f aca="false">IF($A932="","",ROW()-4)</f>
        <v/>
      </c>
      <c r="C932" s="12"/>
      <c r="D932" s="12"/>
      <c r="E932" s="24"/>
      <c r="F932" s="12"/>
      <c r="G932" s="12" t="str">
        <f aca="false">IFERROR(VLOOKUP($F932,ItemList_Full,2,0),"")</f>
        <v/>
      </c>
      <c r="H932" s="12"/>
      <c r="I932" s="12" t="str">
        <f aca="false">IFERROR(VLOOKUP($F932,ItemList_Full,3,0),"")</f>
        <v/>
      </c>
      <c r="J932" s="12" t="str">
        <f aca="false">IFERROR(VLOOKUP($F932,ItemList_Full,4,0),"")</f>
        <v/>
      </c>
      <c r="K932" s="13"/>
      <c r="L932" s="12"/>
      <c r="M932" s="24"/>
      <c r="N932" s="12"/>
      <c r="O932" s="12"/>
      <c r="P932" s="13" t="str">
        <f aca="false">IF($E932="","",IF(OR($E932="Director Draw",$E932="Payroll/Employee Charge"),0,-$K932))</f>
        <v/>
      </c>
      <c r="Q932" s="12" t="n">
        <f aca="false">IF($E932="Inventory Purchase",$H932,0)</f>
        <v>0</v>
      </c>
    </row>
    <row r="933" customFormat="false" ht="15" hidden="false" customHeight="true" outlineLevel="0" collapsed="false">
      <c r="A933" s="19"/>
      <c r="B933" s="12" t="str">
        <f aca="false">IF($A933="","",ROW()-4)</f>
        <v/>
      </c>
      <c r="C933" s="12"/>
      <c r="D933" s="12"/>
      <c r="E933" s="24"/>
      <c r="F933" s="12"/>
      <c r="G933" s="12" t="str">
        <f aca="false">IFERROR(VLOOKUP($F933,ItemList_Full,2,0),"")</f>
        <v/>
      </c>
      <c r="H933" s="12"/>
      <c r="I933" s="12" t="str">
        <f aca="false">IFERROR(VLOOKUP($F933,ItemList_Full,3,0),"")</f>
        <v/>
      </c>
      <c r="J933" s="12" t="str">
        <f aca="false">IFERROR(VLOOKUP($F933,ItemList_Full,4,0),"")</f>
        <v/>
      </c>
      <c r="K933" s="13"/>
      <c r="L933" s="12"/>
      <c r="M933" s="24"/>
      <c r="N933" s="12"/>
      <c r="O933" s="12"/>
      <c r="P933" s="13" t="str">
        <f aca="false">IF($E933="","",IF(OR($E933="Director Draw",$E933="Payroll/Employee Charge"),0,-$K933))</f>
        <v/>
      </c>
      <c r="Q933" s="12" t="n">
        <f aca="false">IF($E933="Inventory Purchase",$H933,0)</f>
        <v>0</v>
      </c>
    </row>
    <row r="934" customFormat="false" ht="15" hidden="false" customHeight="true" outlineLevel="0" collapsed="false">
      <c r="A934" s="19"/>
      <c r="B934" s="12" t="str">
        <f aca="false">IF($A934="","",ROW()-4)</f>
        <v/>
      </c>
      <c r="C934" s="12"/>
      <c r="D934" s="12"/>
      <c r="E934" s="24"/>
      <c r="F934" s="12"/>
      <c r="G934" s="12" t="str">
        <f aca="false">IFERROR(VLOOKUP($F934,ItemList_Full,2,0),"")</f>
        <v/>
      </c>
      <c r="H934" s="12"/>
      <c r="I934" s="12" t="str">
        <f aca="false">IFERROR(VLOOKUP($F934,ItemList_Full,3,0),"")</f>
        <v/>
      </c>
      <c r="J934" s="12" t="str">
        <f aca="false">IFERROR(VLOOKUP($F934,ItemList_Full,4,0),"")</f>
        <v/>
      </c>
      <c r="K934" s="13"/>
      <c r="L934" s="12"/>
      <c r="M934" s="24"/>
      <c r="N934" s="12"/>
      <c r="O934" s="12"/>
      <c r="P934" s="13" t="str">
        <f aca="false">IF($E934="","",IF(OR($E934="Director Draw",$E934="Payroll/Employee Charge"),0,-$K934))</f>
        <v/>
      </c>
      <c r="Q934" s="12" t="n">
        <f aca="false">IF($E934="Inventory Purchase",$H934,0)</f>
        <v>0</v>
      </c>
    </row>
    <row r="935" customFormat="false" ht="15" hidden="false" customHeight="true" outlineLevel="0" collapsed="false">
      <c r="A935" s="19"/>
      <c r="B935" s="12" t="str">
        <f aca="false">IF($A935="","",ROW()-4)</f>
        <v/>
      </c>
      <c r="C935" s="12"/>
      <c r="D935" s="12"/>
      <c r="E935" s="24"/>
      <c r="F935" s="12"/>
      <c r="G935" s="12" t="str">
        <f aca="false">IFERROR(VLOOKUP($F935,ItemList_Full,2,0),"")</f>
        <v/>
      </c>
      <c r="H935" s="12"/>
      <c r="I935" s="12" t="str">
        <f aca="false">IFERROR(VLOOKUP($F935,ItemList_Full,3,0),"")</f>
        <v/>
      </c>
      <c r="J935" s="12" t="str">
        <f aca="false">IFERROR(VLOOKUP($F935,ItemList_Full,4,0),"")</f>
        <v/>
      </c>
      <c r="K935" s="13"/>
      <c r="L935" s="12"/>
      <c r="M935" s="24"/>
      <c r="N935" s="12"/>
      <c r="O935" s="12"/>
      <c r="P935" s="13" t="str">
        <f aca="false">IF($E935="","",IF(OR($E935="Director Draw",$E935="Payroll/Employee Charge"),0,-$K935))</f>
        <v/>
      </c>
      <c r="Q935" s="12" t="n">
        <f aca="false">IF($E935="Inventory Purchase",$H935,0)</f>
        <v>0</v>
      </c>
    </row>
    <row r="936" customFormat="false" ht="15" hidden="false" customHeight="true" outlineLevel="0" collapsed="false">
      <c r="A936" s="19"/>
      <c r="B936" s="12" t="str">
        <f aca="false">IF($A936="","",ROW()-4)</f>
        <v/>
      </c>
      <c r="C936" s="12"/>
      <c r="D936" s="12"/>
      <c r="E936" s="24"/>
      <c r="F936" s="12"/>
      <c r="G936" s="12" t="str">
        <f aca="false">IFERROR(VLOOKUP($F936,ItemList_Full,2,0),"")</f>
        <v/>
      </c>
      <c r="H936" s="12"/>
      <c r="I936" s="12" t="str">
        <f aca="false">IFERROR(VLOOKUP($F936,ItemList_Full,3,0),"")</f>
        <v/>
      </c>
      <c r="J936" s="12" t="str">
        <f aca="false">IFERROR(VLOOKUP($F936,ItemList_Full,4,0),"")</f>
        <v/>
      </c>
      <c r="K936" s="13"/>
      <c r="L936" s="12"/>
      <c r="M936" s="24"/>
      <c r="N936" s="12"/>
      <c r="O936" s="12"/>
      <c r="P936" s="13" t="str">
        <f aca="false">IF($E936="","",IF(OR($E936="Director Draw",$E936="Payroll/Employee Charge"),0,-$K936))</f>
        <v/>
      </c>
      <c r="Q936" s="12" t="n">
        <f aca="false">IF($E936="Inventory Purchase",$H936,0)</f>
        <v>0</v>
      </c>
    </row>
    <row r="937" customFormat="false" ht="15" hidden="false" customHeight="true" outlineLevel="0" collapsed="false">
      <c r="A937" s="19"/>
      <c r="B937" s="12" t="str">
        <f aca="false">IF($A937="","",ROW()-4)</f>
        <v/>
      </c>
      <c r="C937" s="12"/>
      <c r="D937" s="12"/>
      <c r="E937" s="24"/>
      <c r="F937" s="12"/>
      <c r="G937" s="12" t="str">
        <f aca="false">IFERROR(VLOOKUP($F937,ItemList_Full,2,0),"")</f>
        <v/>
      </c>
      <c r="H937" s="12"/>
      <c r="I937" s="12" t="str">
        <f aca="false">IFERROR(VLOOKUP($F937,ItemList_Full,3,0),"")</f>
        <v/>
      </c>
      <c r="J937" s="12" t="str">
        <f aca="false">IFERROR(VLOOKUP($F937,ItemList_Full,4,0),"")</f>
        <v/>
      </c>
      <c r="K937" s="13"/>
      <c r="L937" s="12"/>
      <c r="M937" s="24"/>
      <c r="N937" s="12"/>
      <c r="O937" s="12"/>
      <c r="P937" s="13" t="str">
        <f aca="false">IF($E937="","",IF(OR($E937="Director Draw",$E937="Payroll/Employee Charge"),0,-$K937))</f>
        <v/>
      </c>
      <c r="Q937" s="12" t="n">
        <f aca="false">IF($E937="Inventory Purchase",$H937,0)</f>
        <v>0</v>
      </c>
    </row>
    <row r="938" customFormat="false" ht="15" hidden="false" customHeight="true" outlineLevel="0" collapsed="false">
      <c r="A938" s="19"/>
      <c r="B938" s="12" t="str">
        <f aca="false">IF($A938="","",ROW()-4)</f>
        <v/>
      </c>
      <c r="C938" s="12"/>
      <c r="D938" s="12"/>
      <c r="E938" s="24"/>
      <c r="F938" s="12"/>
      <c r="G938" s="12" t="str">
        <f aca="false">IFERROR(VLOOKUP($F938,ItemList_Full,2,0),"")</f>
        <v/>
      </c>
      <c r="H938" s="12"/>
      <c r="I938" s="12" t="str">
        <f aca="false">IFERROR(VLOOKUP($F938,ItemList_Full,3,0),"")</f>
        <v/>
      </c>
      <c r="J938" s="12" t="str">
        <f aca="false">IFERROR(VLOOKUP($F938,ItemList_Full,4,0),"")</f>
        <v/>
      </c>
      <c r="K938" s="13"/>
      <c r="L938" s="12"/>
      <c r="M938" s="24"/>
      <c r="N938" s="12"/>
      <c r="O938" s="12"/>
      <c r="P938" s="13" t="str">
        <f aca="false">IF($E938="","",IF(OR($E938="Director Draw",$E938="Payroll/Employee Charge"),0,-$K938))</f>
        <v/>
      </c>
      <c r="Q938" s="12" t="n">
        <f aca="false">IF($E938="Inventory Purchase",$H938,0)</f>
        <v>0</v>
      </c>
    </row>
    <row r="939" customFormat="false" ht="15" hidden="false" customHeight="true" outlineLevel="0" collapsed="false">
      <c r="A939" s="19"/>
      <c r="B939" s="12" t="str">
        <f aca="false">IF($A939="","",ROW()-4)</f>
        <v/>
      </c>
      <c r="C939" s="12"/>
      <c r="D939" s="12"/>
      <c r="E939" s="24"/>
      <c r="F939" s="12"/>
      <c r="G939" s="12" t="str">
        <f aca="false">IFERROR(VLOOKUP($F939,ItemList_Full,2,0),"")</f>
        <v/>
      </c>
      <c r="H939" s="12"/>
      <c r="I939" s="12" t="str">
        <f aca="false">IFERROR(VLOOKUP($F939,ItemList_Full,3,0),"")</f>
        <v/>
      </c>
      <c r="J939" s="12" t="str">
        <f aca="false">IFERROR(VLOOKUP($F939,ItemList_Full,4,0),"")</f>
        <v/>
      </c>
      <c r="K939" s="13"/>
      <c r="L939" s="12"/>
      <c r="M939" s="24"/>
      <c r="N939" s="12"/>
      <c r="O939" s="12"/>
      <c r="P939" s="13" t="str">
        <f aca="false">IF($E939="","",IF(OR($E939="Director Draw",$E939="Payroll/Employee Charge"),0,-$K939))</f>
        <v/>
      </c>
      <c r="Q939" s="12" t="n">
        <f aca="false">IF($E939="Inventory Purchase",$H939,0)</f>
        <v>0</v>
      </c>
    </row>
    <row r="940" customFormat="false" ht="15" hidden="false" customHeight="true" outlineLevel="0" collapsed="false">
      <c r="A940" s="19"/>
      <c r="B940" s="12" t="str">
        <f aca="false">IF($A940="","",ROW()-4)</f>
        <v/>
      </c>
      <c r="C940" s="12"/>
      <c r="D940" s="12"/>
      <c r="E940" s="24"/>
      <c r="F940" s="12"/>
      <c r="G940" s="12" t="str">
        <f aca="false">IFERROR(VLOOKUP($F940,ItemList_Full,2,0),"")</f>
        <v/>
      </c>
      <c r="H940" s="12"/>
      <c r="I940" s="12" t="str">
        <f aca="false">IFERROR(VLOOKUP($F940,ItemList_Full,3,0),"")</f>
        <v/>
      </c>
      <c r="J940" s="12" t="str">
        <f aca="false">IFERROR(VLOOKUP($F940,ItemList_Full,4,0),"")</f>
        <v/>
      </c>
      <c r="K940" s="13"/>
      <c r="L940" s="12"/>
      <c r="M940" s="24"/>
      <c r="N940" s="12"/>
      <c r="O940" s="12"/>
      <c r="P940" s="13" t="str">
        <f aca="false">IF($E940="","",IF(OR($E940="Director Draw",$E940="Payroll/Employee Charge"),0,-$K940))</f>
        <v/>
      </c>
      <c r="Q940" s="12" t="n">
        <f aca="false">IF($E940="Inventory Purchase",$H940,0)</f>
        <v>0</v>
      </c>
    </row>
    <row r="941" customFormat="false" ht="15" hidden="false" customHeight="true" outlineLevel="0" collapsed="false">
      <c r="A941" s="19"/>
      <c r="B941" s="12" t="str">
        <f aca="false">IF($A941="","",ROW()-4)</f>
        <v/>
      </c>
      <c r="C941" s="12"/>
      <c r="D941" s="12"/>
      <c r="E941" s="24"/>
      <c r="F941" s="12"/>
      <c r="G941" s="12" t="str">
        <f aca="false">IFERROR(VLOOKUP($F941,ItemList_Full,2,0),"")</f>
        <v/>
      </c>
      <c r="H941" s="12"/>
      <c r="I941" s="12" t="str">
        <f aca="false">IFERROR(VLOOKUP($F941,ItemList_Full,3,0),"")</f>
        <v/>
      </c>
      <c r="J941" s="12" t="str">
        <f aca="false">IFERROR(VLOOKUP($F941,ItemList_Full,4,0),"")</f>
        <v/>
      </c>
      <c r="K941" s="13"/>
      <c r="L941" s="12"/>
      <c r="M941" s="24"/>
      <c r="N941" s="12"/>
      <c r="O941" s="12"/>
      <c r="P941" s="13" t="str">
        <f aca="false">IF($E941="","",IF(OR($E941="Director Draw",$E941="Payroll/Employee Charge"),0,-$K941))</f>
        <v/>
      </c>
      <c r="Q941" s="12" t="n">
        <f aca="false">IF($E941="Inventory Purchase",$H941,0)</f>
        <v>0</v>
      </c>
    </row>
    <row r="942" customFormat="false" ht="15" hidden="false" customHeight="true" outlineLevel="0" collapsed="false">
      <c r="A942" s="19"/>
      <c r="B942" s="12" t="str">
        <f aca="false">IF($A942="","",ROW()-4)</f>
        <v/>
      </c>
      <c r="C942" s="12"/>
      <c r="D942" s="12"/>
      <c r="E942" s="24"/>
      <c r="F942" s="12"/>
      <c r="G942" s="12" t="str">
        <f aca="false">IFERROR(VLOOKUP($F942,ItemList_Full,2,0),"")</f>
        <v/>
      </c>
      <c r="H942" s="12"/>
      <c r="I942" s="12" t="str">
        <f aca="false">IFERROR(VLOOKUP($F942,ItemList_Full,3,0),"")</f>
        <v/>
      </c>
      <c r="J942" s="12" t="str">
        <f aca="false">IFERROR(VLOOKUP($F942,ItemList_Full,4,0),"")</f>
        <v/>
      </c>
      <c r="K942" s="13"/>
      <c r="L942" s="12"/>
      <c r="M942" s="24"/>
      <c r="N942" s="12"/>
      <c r="O942" s="12"/>
      <c r="P942" s="13" t="str">
        <f aca="false">IF($E942="","",IF(OR($E942="Director Draw",$E942="Payroll/Employee Charge"),0,-$K942))</f>
        <v/>
      </c>
      <c r="Q942" s="12" t="n">
        <f aca="false">IF($E942="Inventory Purchase",$H942,0)</f>
        <v>0</v>
      </c>
    </row>
    <row r="943" customFormat="false" ht="15" hidden="false" customHeight="true" outlineLevel="0" collapsed="false">
      <c r="A943" s="19"/>
      <c r="B943" s="12" t="str">
        <f aca="false">IF($A943="","",ROW()-4)</f>
        <v/>
      </c>
      <c r="C943" s="12"/>
      <c r="D943" s="12"/>
      <c r="E943" s="24"/>
      <c r="F943" s="12"/>
      <c r="G943" s="12" t="str">
        <f aca="false">IFERROR(VLOOKUP($F943,ItemList_Full,2,0),"")</f>
        <v/>
      </c>
      <c r="H943" s="12"/>
      <c r="I943" s="12" t="str">
        <f aca="false">IFERROR(VLOOKUP($F943,ItemList_Full,3,0),"")</f>
        <v/>
      </c>
      <c r="J943" s="12" t="str">
        <f aca="false">IFERROR(VLOOKUP($F943,ItemList_Full,4,0),"")</f>
        <v/>
      </c>
      <c r="K943" s="13"/>
      <c r="L943" s="12"/>
      <c r="M943" s="24"/>
      <c r="N943" s="12"/>
      <c r="O943" s="12"/>
      <c r="P943" s="13" t="str">
        <f aca="false">IF($E943="","",IF(OR($E943="Director Draw",$E943="Payroll/Employee Charge"),0,-$K943))</f>
        <v/>
      </c>
      <c r="Q943" s="12" t="n">
        <f aca="false">IF($E943="Inventory Purchase",$H943,0)</f>
        <v>0</v>
      </c>
    </row>
    <row r="944" customFormat="false" ht="15" hidden="false" customHeight="true" outlineLevel="0" collapsed="false">
      <c r="A944" s="19"/>
      <c r="B944" s="12" t="str">
        <f aca="false">IF($A944="","",ROW()-4)</f>
        <v/>
      </c>
      <c r="C944" s="12"/>
      <c r="D944" s="12"/>
      <c r="E944" s="24"/>
      <c r="F944" s="12"/>
      <c r="G944" s="12" t="str">
        <f aca="false">IFERROR(VLOOKUP($F944,ItemList_Full,2,0),"")</f>
        <v/>
      </c>
      <c r="H944" s="12"/>
      <c r="I944" s="12" t="str">
        <f aca="false">IFERROR(VLOOKUP($F944,ItemList_Full,3,0),"")</f>
        <v/>
      </c>
      <c r="J944" s="12" t="str">
        <f aca="false">IFERROR(VLOOKUP($F944,ItemList_Full,4,0),"")</f>
        <v/>
      </c>
      <c r="K944" s="13"/>
      <c r="L944" s="12"/>
      <c r="M944" s="24"/>
      <c r="N944" s="12"/>
      <c r="O944" s="12"/>
      <c r="P944" s="13" t="str">
        <f aca="false">IF($E944="","",IF(OR($E944="Director Draw",$E944="Payroll/Employee Charge"),0,-$K944))</f>
        <v/>
      </c>
      <c r="Q944" s="12" t="n">
        <f aca="false">IF($E944="Inventory Purchase",$H944,0)</f>
        <v>0</v>
      </c>
    </row>
    <row r="945" customFormat="false" ht="15" hidden="false" customHeight="true" outlineLevel="0" collapsed="false">
      <c r="A945" s="19"/>
      <c r="B945" s="12" t="str">
        <f aca="false">IF($A945="","",ROW()-4)</f>
        <v/>
      </c>
      <c r="C945" s="12"/>
      <c r="D945" s="12"/>
      <c r="E945" s="24"/>
      <c r="F945" s="12"/>
      <c r="G945" s="12" t="str">
        <f aca="false">IFERROR(VLOOKUP($F945,ItemList_Full,2,0),"")</f>
        <v/>
      </c>
      <c r="H945" s="12"/>
      <c r="I945" s="12" t="str">
        <f aca="false">IFERROR(VLOOKUP($F945,ItemList_Full,3,0),"")</f>
        <v/>
      </c>
      <c r="J945" s="12" t="str">
        <f aca="false">IFERROR(VLOOKUP($F945,ItemList_Full,4,0),"")</f>
        <v/>
      </c>
      <c r="K945" s="13"/>
      <c r="L945" s="12"/>
      <c r="M945" s="24"/>
      <c r="N945" s="12"/>
      <c r="O945" s="12"/>
      <c r="P945" s="13" t="str">
        <f aca="false">IF($E945="","",IF(OR($E945="Director Draw",$E945="Payroll/Employee Charge"),0,-$K945))</f>
        <v/>
      </c>
      <c r="Q945" s="12" t="n">
        <f aca="false">IF($E945="Inventory Purchase",$H945,0)</f>
        <v>0</v>
      </c>
    </row>
    <row r="946" customFormat="false" ht="15" hidden="false" customHeight="true" outlineLevel="0" collapsed="false">
      <c r="A946" s="19"/>
      <c r="B946" s="12" t="str">
        <f aca="false">IF($A946="","",ROW()-4)</f>
        <v/>
      </c>
      <c r="C946" s="12"/>
      <c r="D946" s="12"/>
      <c r="E946" s="24"/>
      <c r="F946" s="12"/>
      <c r="G946" s="12" t="str">
        <f aca="false">IFERROR(VLOOKUP($F946,ItemList_Full,2,0),"")</f>
        <v/>
      </c>
      <c r="H946" s="12"/>
      <c r="I946" s="12" t="str">
        <f aca="false">IFERROR(VLOOKUP($F946,ItemList_Full,3,0),"")</f>
        <v/>
      </c>
      <c r="J946" s="12" t="str">
        <f aca="false">IFERROR(VLOOKUP($F946,ItemList_Full,4,0),"")</f>
        <v/>
      </c>
      <c r="K946" s="13"/>
      <c r="L946" s="12"/>
      <c r="M946" s="24"/>
      <c r="N946" s="12"/>
      <c r="O946" s="12"/>
      <c r="P946" s="13" t="str">
        <f aca="false">IF($E946="","",IF(OR($E946="Director Draw",$E946="Payroll/Employee Charge"),0,-$K946))</f>
        <v/>
      </c>
      <c r="Q946" s="12" t="n">
        <f aca="false">IF($E946="Inventory Purchase",$H946,0)</f>
        <v>0</v>
      </c>
    </row>
    <row r="947" customFormat="false" ht="15" hidden="false" customHeight="true" outlineLevel="0" collapsed="false">
      <c r="A947" s="19"/>
      <c r="B947" s="12" t="str">
        <f aca="false">IF($A947="","",ROW()-4)</f>
        <v/>
      </c>
      <c r="C947" s="12"/>
      <c r="D947" s="12"/>
      <c r="E947" s="24"/>
      <c r="F947" s="12"/>
      <c r="G947" s="12" t="str">
        <f aca="false">IFERROR(VLOOKUP($F947,ItemList_Full,2,0),"")</f>
        <v/>
      </c>
      <c r="H947" s="12"/>
      <c r="I947" s="12" t="str">
        <f aca="false">IFERROR(VLOOKUP($F947,ItemList_Full,3,0),"")</f>
        <v/>
      </c>
      <c r="J947" s="12" t="str">
        <f aca="false">IFERROR(VLOOKUP($F947,ItemList_Full,4,0),"")</f>
        <v/>
      </c>
      <c r="K947" s="13"/>
      <c r="L947" s="12"/>
      <c r="M947" s="24"/>
      <c r="N947" s="12"/>
      <c r="O947" s="12"/>
      <c r="P947" s="13" t="str">
        <f aca="false">IF($E947="","",IF(OR($E947="Director Draw",$E947="Payroll/Employee Charge"),0,-$K947))</f>
        <v/>
      </c>
      <c r="Q947" s="12" t="n">
        <f aca="false">IF($E947="Inventory Purchase",$H947,0)</f>
        <v>0</v>
      </c>
    </row>
    <row r="948" customFormat="false" ht="15" hidden="false" customHeight="true" outlineLevel="0" collapsed="false">
      <c r="A948" s="19"/>
      <c r="B948" s="12" t="str">
        <f aca="false">IF($A948="","",ROW()-4)</f>
        <v/>
      </c>
      <c r="C948" s="12"/>
      <c r="D948" s="12"/>
      <c r="E948" s="24"/>
      <c r="F948" s="12"/>
      <c r="G948" s="12" t="str">
        <f aca="false">IFERROR(VLOOKUP($F948,ItemList_Full,2,0),"")</f>
        <v/>
      </c>
      <c r="H948" s="12"/>
      <c r="I948" s="12" t="str">
        <f aca="false">IFERROR(VLOOKUP($F948,ItemList_Full,3,0),"")</f>
        <v/>
      </c>
      <c r="J948" s="12" t="str">
        <f aca="false">IFERROR(VLOOKUP($F948,ItemList_Full,4,0),"")</f>
        <v/>
      </c>
      <c r="K948" s="13"/>
      <c r="L948" s="12"/>
      <c r="M948" s="24"/>
      <c r="N948" s="12"/>
      <c r="O948" s="12"/>
      <c r="P948" s="13" t="str">
        <f aca="false">IF($E948="","",IF(OR($E948="Director Draw",$E948="Payroll/Employee Charge"),0,-$K948))</f>
        <v/>
      </c>
      <c r="Q948" s="12" t="n">
        <f aca="false">IF($E948="Inventory Purchase",$H948,0)</f>
        <v>0</v>
      </c>
    </row>
    <row r="949" customFormat="false" ht="15" hidden="false" customHeight="true" outlineLevel="0" collapsed="false">
      <c r="A949" s="19"/>
      <c r="B949" s="12" t="str">
        <f aca="false">IF($A949="","",ROW()-4)</f>
        <v/>
      </c>
      <c r="C949" s="12"/>
      <c r="D949" s="12"/>
      <c r="E949" s="24"/>
      <c r="F949" s="12"/>
      <c r="G949" s="12" t="str">
        <f aca="false">IFERROR(VLOOKUP($F949,ItemList_Full,2,0),"")</f>
        <v/>
      </c>
      <c r="H949" s="12"/>
      <c r="I949" s="12" t="str">
        <f aca="false">IFERROR(VLOOKUP($F949,ItemList_Full,3,0),"")</f>
        <v/>
      </c>
      <c r="J949" s="12" t="str">
        <f aca="false">IFERROR(VLOOKUP($F949,ItemList_Full,4,0),"")</f>
        <v/>
      </c>
      <c r="K949" s="13"/>
      <c r="L949" s="12"/>
      <c r="M949" s="24"/>
      <c r="N949" s="12"/>
      <c r="O949" s="12"/>
      <c r="P949" s="13" t="str">
        <f aca="false">IF($E949="","",IF(OR($E949="Director Draw",$E949="Payroll/Employee Charge"),0,-$K949))</f>
        <v/>
      </c>
      <c r="Q949" s="12" t="n">
        <f aca="false">IF($E949="Inventory Purchase",$H949,0)</f>
        <v>0</v>
      </c>
    </row>
    <row r="950" customFormat="false" ht="15" hidden="false" customHeight="true" outlineLevel="0" collapsed="false">
      <c r="A950" s="19"/>
      <c r="B950" s="12" t="str">
        <f aca="false">IF($A950="","",ROW()-4)</f>
        <v/>
      </c>
      <c r="C950" s="12"/>
      <c r="D950" s="12"/>
      <c r="E950" s="24"/>
      <c r="F950" s="12"/>
      <c r="G950" s="12" t="str">
        <f aca="false">IFERROR(VLOOKUP($F950,ItemList_Full,2,0),"")</f>
        <v/>
      </c>
      <c r="H950" s="12"/>
      <c r="I950" s="12" t="str">
        <f aca="false">IFERROR(VLOOKUP($F950,ItemList_Full,3,0),"")</f>
        <v/>
      </c>
      <c r="J950" s="12" t="str">
        <f aca="false">IFERROR(VLOOKUP($F950,ItemList_Full,4,0),"")</f>
        <v/>
      </c>
      <c r="K950" s="13"/>
      <c r="L950" s="12"/>
      <c r="M950" s="24"/>
      <c r="N950" s="12"/>
      <c r="O950" s="12"/>
      <c r="P950" s="13" t="str">
        <f aca="false">IF($E950="","",IF(OR($E950="Director Draw",$E950="Payroll/Employee Charge"),0,-$K950))</f>
        <v/>
      </c>
      <c r="Q950" s="12" t="n">
        <f aca="false">IF($E950="Inventory Purchase",$H950,0)</f>
        <v>0</v>
      </c>
    </row>
    <row r="951" customFormat="false" ht="15" hidden="false" customHeight="true" outlineLevel="0" collapsed="false">
      <c r="A951" s="19"/>
      <c r="B951" s="12" t="str">
        <f aca="false">IF($A951="","",ROW()-4)</f>
        <v/>
      </c>
      <c r="C951" s="12"/>
      <c r="D951" s="12"/>
      <c r="E951" s="24"/>
      <c r="F951" s="12"/>
      <c r="G951" s="12" t="str">
        <f aca="false">IFERROR(VLOOKUP($F951,ItemList_Full,2,0),"")</f>
        <v/>
      </c>
      <c r="H951" s="12"/>
      <c r="I951" s="12" t="str">
        <f aca="false">IFERROR(VLOOKUP($F951,ItemList_Full,3,0),"")</f>
        <v/>
      </c>
      <c r="J951" s="12" t="str">
        <f aca="false">IFERROR(VLOOKUP($F951,ItemList_Full,4,0),"")</f>
        <v/>
      </c>
      <c r="K951" s="13"/>
      <c r="L951" s="12"/>
      <c r="M951" s="24"/>
      <c r="N951" s="12"/>
      <c r="O951" s="12"/>
      <c r="P951" s="13" t="str">
        <f aca="false">IF($E951="","",IF(OR($E951="Director Draw",$E951="Payroll/Employee Charge"),0,-$K951))</f>
        <v/>
      </c>
      <c r="Q951" s="12" t="n">
        <f aca="false">IF($E951="Inventory Purchase",$H951,0)</f>
        <v>0</v>
      </c>
    </row>
    <row r="952" customFormat="false" ht="15" hidden="false" customHeight="true" outlineLevel="0" collapsed="false">
      <c r="A952" s="19"/>
      <c r="B952" s="12" t="str">
        <f aca="false">IF($A952="","",ROW()-4)</f>
        <v/>
      </c>
      <c r="C952" s="12"/>
      <c r="D952" s="12"/>
      <c r="E952" s="24"/>
      <c r="F952" s="12"/>
      <c r="G952" s="12" t="str">
        <f aca="false">IFERROR(VLOOKUP($F952,ItemList_Full,2,0),"")</f>
        <v/>
      </c>
      <c r="H952" s="12"/>
      <c r="I952" s="12" t="str">
        <f aca="false">IFERROR(VLOOKUP($F952,ItemList_Full,3,0),"")</f>
        <v/>
      </c>
      <c r="J952" s="12" t="str">
        <f aca="false">IFERROR(VLOOKUP($F952,ItemList_Full,4,0),"")</f>
        <v/>
      </c>
      <c r="K952" s="13"/>
      <c r="L952" s="12"/>
      <c r="M952" s="24"/>
      <c r="N952" s="12"/>
      <c r="O952" s="12"/>
      <c r="P952" s="13" t="str">
        <f aca="false">IF($E952="","",IF(OR($E952="Director Draw",$E952="Payroll/Employee Charge"),0,-$K952))</f>
        <v/>
      </c>
      <c r="Q952" s="12" t="n">
        <f aca="false">IF($E952="Inventory Purchase",$H952,0)</f>
        <v>0</v>
      </c>
    </row>
    <row r="953" customFormat="false" ht="15" hidden="false" customHeight="true" outlineLevel="0" collapsed="false">
      <c r="A953" s="19"/>
      <c r="B953" s="12" t="str">
        <f aca="false">IF($A953="","",ROW()-4)</f>
        <v/>
      </c>
      <c r="C953" s="12"/>
      <c r="D953" s="12"/>
      <c r="E953" s="24"/>
      <c r="F953" s="12"/>
      <c r="G953" s="12" t="str">
        <f aca="false">IFERROR(VLOOKUP($F953,ItemList_Full,2,0),"")</f>
        <v/>
      </c>
      <c r="H953" s="12"/>
      <c r="I953" s="12" t="str">
        <f aca="false">IFERROR(VLOOKUP($F953,ItemList_Full,3,0),"")</f>
        <v/>
      </c>
      <c r="J953" s="12" t="str">
        <f aca="false">IFERROR(VLOOKUP($F953,ItemList_Full,4,0),"")</f>
        <v/>
      </c>
      <c r="K953" s="13"/>
      <c r="L953" s="12"/>
      <c r="M953" s="24"/>
      <c r="N953" s="12"/>
      <c r="O953" s="12"/>
      <c r="P953" s="13" t="str">
        <f aca="false">IF($E953="","",IF(OR($E953="Director Draw",$E953="Payroll/Employee Charge"),0,-$K953))</f>
        <v/>
      </c>
      <c r="Q953" s="12" t="n">
        <f aca="false">IF($E953="Inventory Purchase",$H953,0)</f>
        <v>0</v>
      </c>
    </row>
    <row r="954" customFormat="false" ht="15" hidden="false" customHeight="true" outlineLevel="0" collapsed="false">
      <c r="A954" s="19"/>
      <c r="B954" s="12" t="str">
        <f aca="false">IF($A954="","",ROW()-4)</f>
        <v/>
      </c>
      <c r="C954" s="12"/>
      <c r="D954" s="12"/>
      <c r="E954" s="24"/>
      <c r="F954" s="12"/>
      <c r="G954" s="12" t="str">
        <f aca="false">IFERROR(VLOOKUP($F954,ItemList_Full,2,0),"")</f>
        <v/>
      </c>
      <c r="H954" s="12"/>
      <c r="I954" s="12" t="str">
        <f aca="false">IFERROR(VLOOKUP($F954,ItemList_Full,3,0),"")</f>
        <v/>
      </c>
      <c r="J954" s="12" t="str">
        <f aca="false">IFERROR(VLOOKUP($F954,ItemList_Full,4,0),"")</f>
        <v/>
      </c>
      <c r="K954" s="13"/>
      <c r="L954" s="12"/>
      <c r="M954" s="24"/>
      <c r="N954" s="12"/>
      <c r="O954" s="12"/>
      <c r="P954" s="13" t="str">
        <f aca="false">IF($E954="","",IF(OR($E954="Director Draw",$E954="Payroll/Employee Charge"),0,-$K954))</f>
        <v/>
      </c>
      <c r="Q954" s="12" t="n">
        <f aca="false">IF($E954="Inventory Purchase",$H954,0)</f>
        <v>0</v>
      </c>
    </row>
  </sheetData>
  <mergeCells count="2">
    <mergeCell ref="A1:Q1"/>
    <mergeCell ref="A2:Q2"/>
  </mergeCells>
  <dataValidations count="3">
    <dataValidation allowBlank="true" errorStyle="stop" operator="between" showDropDown="false" showErrorMessage="false" showInputMessage="false" sqref="E5:E954" type="list">
      <formula1>CatList</formula1>
      <formula2>0</formula2>
    </dataValidation>
    <dataValidation allowBlank="true" errorStyle="stop" operator="between" showDropDown="false" showErrorMessage="false" showInputMessage="false" sqref="F5:F954" type="list">
      <formula1>ItemCodeList</formula1>
      <formula2>0</formula2>
    </dataValidation>
    <dataValidation allowBlank="true" errorStyle="stop" operator="between" showDropDown="false" showErrorMessage="false" showInputMessage="false" sqref="M5:M954" type="list">
      <formula1>ChargedToList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M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20"/>
    <col collapsed="false" customWidth="true" hidden="false" outlineLevel="0" max="4" min="4" style="1" width="11"/>
    <col collapsed="false" customWidth="true" hidden="false" outlineLevel="0" max="5" min="5" style="1" width="24"/>
    <col collapsed="false" customWidth="true" hidden="false" outlineLevel="0" max="7" min="6" style="1" width="8"/>
    <col collapsed="false" customWidth="true" hidden="false" outlineLevel="0" max="8" min="8" style="1" width="10"/>
    <col collapsed="false" customWidth="true" hidden="false" outlineLevel="0" max="9" min="9" style="1" width="13"/>
    <col collapsed="false" customWidth="true" hidden="false" outlineLevel="0" max="11" min="10" style="1" width="14"/>
    <col collapsed="false" customWidth="true" hidden="false" outlineLevel="0" max="12" min="12" style="1" width="11"/>
    <col collapsed="false" customWidth="true" hidden="false" outlineLevel="0" max="13" min="13" style="1" width="14"/>
  </cols>
  <sheetData>
    <row r="1" customFormat="false" ht="21.75" hidden="false" customHeight="true" outlineLevel="0" collapsed="false">
      <c r="A1" s="4" t="s">
        <v>1637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customFormat="false" ht="15" hidden="false" customHeight="true" outlineLevel="0" collapsed="false">
      <c r="A2" s="5" t="s">
        <v>1638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customFormat="false" ht="27.75" hidden="false" customHeight="true" outlineLevel="0" collapsed="false">
      <c r="A4" s="18" t="s">
        <v>1639</v>
      </c>
      <c r="B4" s="18" t="s">
        <v>1640</v>
      </c>
      <c r="C4" s="18" t="s">
        <v>1641</v>
      </c>
      <c r="D4" s="18" t="s">
        <v>213</v>
      </c>
      <c r="E4" s="18" t="s">
        <v>214</v>
      </c>
      <c r="F4" s="18" t="s">
        <v>215</v>
      </c>
      <c r="G4" s="18" t="s">
        <v>216</v>
      </c>
      <c r="H4" s="18" t="s">
        <v>217</v>
      </c>
      <c r="I4" s="18" t="s">
        <v>218</v>
      </c>
      <c r="J4" s="18" t="s">
        <v>1642</v>
      </c>
      <c r="K4" s="18" t="s">
        <v>1643</v>
      </c>
      <c r="L4" s="18" t="s">
        <v>203</v>
      </c>
      <c r="M4" s="18" t="s">
        <v>1644</v>
      </c>
    </row>
    <row r="5" customFormat="false" ht="15" hidden="false" customHeight="true" outlineLevel="0" collapsed="false">
      <c r="A5" s="12" t="str">
        <f aca="false">IF($C5="","","PO-"&amp;TEXT(ROW()-4,"000"))</f>
        <v/>
      </c>
      <c r="B5" s="19"/>
      <c r="C5" s="12"/>
      <c r="D5" s="12"/>
      <c r="E5" s="12" t="str">
        <f aca="false">IFERROR(VLOOKUP($D5,ItemList_Full,2,0),"")</f>
        <v/>
      </c>
      <c r="F5" s="12"/>
      <c r="G5" s="12" t="str">
        <f aca="false">IFERROR(VLOOKUP($D5,ItemList_Full,3,0),"")</f>
        <v/>
      </c>
      <c r="H5" s="12" t="str">
        <f aca="false">IFERROR(VLOOKUP($D5,ItemList_Full,4,0),"")</f>
        <v/>
      </c>
      <c r="I5" s="13" t="str">
        <f aca="false">IF(OR($F5="",$H5=""),"",$F5*$H5)</f>
        <v/>
      </c>
      <c r="J5" s="12"/>
      <c r="K5" s="12"/>
      <c r="L5" s="12"/>
      <c r="M5" s="19"/>
    </row>
    <row r="6" customFormat="false" ht="15" hidden="false" customHeight="true" outlineLevel="0" collapsed="false">
      <c r="A6" s="12" t="str">
        <f aca="false">IF($C6="","","PO-"&amp;TEXT(ROW()-4,"000"))</f>
        <v/>
      </c>
      <c r="B6" s="19"/>
      <c r="C6" s="12"/>
      <c r="D6" s="12"/>
      <c r="E6" s="12" t="str">
        <f aca="false">IFERROR(VLOOKUP($D6,ItemList_Full,2,0),"")</f>
        <v/>
      </c>
      <c r="F6" s="12"/>
      <c r="G6" s="12" t="str">
        <f aca="false">IFERROR(VLOOKUP($D6,ItemList_Full,3,0),"")</f>
        <v/>
      </c>
      <c r="H6" s="12" t="str">
        <f aca="false">IFERROR(VLOOKUP($D6,ItemList_Full,4,0),"")</f>
        <v/>
      </c>
      <c r="I6" s="13" t="str">
        <f aca="false">IF(OR($F6="",$H6=""),"",$F6*$H6)</f>
        <v/>
      </c>
      <c r="J6" s="12"/>
      <c r="K6" s="12"/>
      <c r="L6" s="12"/>
      <c r="M6" s="19"/>
    </row>
    <row r="7" customFormat="false" ht="15" hidden="false" customHeight="true" outlineLevel="0" collapsed="false">
      <c r="A7" s="12" t="str">
        <f aca="false">IF($C7="","","PO-"&amp;TEXT(ROW()-4,"000"))</f>
        <v/>
      </c>
      <c r="B7" s="19"/>
      <c r="C7" s="12"/>
      <c r="D7" s="12"/>
      <c r="E7" s="12" t="str">
        <f aca="false">IFERROR(VLOOKUP($D7,ItemList_Full,2,0),"")</f>
        <v/>
      </c>
      <c r="F7" s="12"/>
      <c r="G7" s="12" t="str">
        <f aca="false">IFERROR(VLOOKUP($D7,ItemList_Full,3,0),"")</f>
        <v/>
      </c>
      <c r="H7" s="12" t="str">
        <f aca="false">IFERROR(VLOOKUP($D7,ItemList_Full,4,0),"")</f>
        <v/>
      </c>
      <c r="I7" s="13" t="str">
        <f aca="false">IF(OR($F7="",$H7=""),"",$F7*$H7)</f>
        <v/>
      </c>
      <c r="J7" s="12"/>
      <c r="K7" s="12"/>
      <c r="L7" s="12"/>
      <c r="M7" s="19"/>
    </row>
    <row r="8" customFormat="false" ht="15" hidden="false" customHeight="true" outlineLevel="0" collapsed="false">
      <c r="A8" s="12" t="str">
        <f aca="false">IF($C8="","","PO-"&amp;TEXT(ROW()-4,"000"))</f>
        <v/>
      </c>
      <c r="B8" s="19"/>
      <c r="C8" s="12"/>
      <c r="D8" s="12"/>
      <c r="E8" s="12" t="str">
        <f aca="false">IFERROR(VLOOKUP($D8,ItemList_Full,2,0),"")</f>
        <v/>
      </c>
      <c r="F8" s="12"/>
      <c r="G8" s="12" t="str">
        <f aca="false">IFERROR(VLOOKUP($D8,ItemList_Full,3,0),"")</f>
        <v/>
      </c>
      <c r="H8" s="12" t="str">
        <f aca="false">IFERROR(VLOOKUP($D8,ItemList_Full,4,0),"")</f>
        <v/>
      </c>
      <c r="I8" s="13" t="str">
        <f aca="false">IF(OR($F8="",$H8=""),"",$F8*$H8)</f>
        <v/>
      </c>
      <c r="J8" s="12"/>
      <c r="K8" s="12"/>
      <c r="L8" s="12"/>
      <c r="M8" s="19"/>
    </row>
    <row r="9" customFormat="false" ht="15" hidden="false" customHeight="true" outlineLevel="0" collapsed="false">
      <c r="A9" s="12" t="str">
        <f aca="false">IF($C9="","","PO-"&amp;TEXT(ROW()-4,"000"))</f>
        <v/>
      </c>
      <c r="B9" s="19"/>
      <c r="C9" s="12"/>
      <c r="D9" s="12"/>
      <c r="E9" s="12" t="str">
        <f aca="false">IFERROR(VLOOKUP($D9,ItemList_Full,2,0),"")</f>
        <v/>
      </c>
      <c r="F9" s="12"/>
      <c r="G9" s="12" t="str">
        <f aca="false">IFERROR(VLOOKUP($D9,ItemList_Full,3,0),"")</f>
        <v/>
      </c>
      <c r="H9" s="12" t="str">
        <f aca="false">IFERROR(VLOOKUP($D9,ItemList_Full,4,0),"")</f>
        <v/>
      </c>
      <c r="I9" s="13" t="str">
        <f aca="false">IF(OR($F9="",$H9=""),"",$F9*$H9)</f>
        <v/>
      </c>
      <c r="J9" s="12"/>
      <c r="K9" s="12"/>
      <c r="L9" s="12"/>
      <c r="M9" s="19"/>
    </row>
    <row r="10" customFormat="false" ht="15" hidden="false" customHeight="true" outlineLevel="0" collapsed="false">
      <c r="A10" s="12" t="str">
        <f aca="false">IF($C10="","","PO-"&amp;TEXT(ROW()-4,"000"))</f>
        <v/>
      </c>
      <c r="B10" s="19"/>
      <c r="C10" s="12"/>
      <c r="D10" s="12"/>
      <c r="E10" s="12" t="str">
        <f aca="false">IFERROR(VLOOKUP($D10,ItemList_Full,2,0),"")</f>
        <v/>
      </c>
      <c r="F10" s="12"/>
      <c r="G10" s="12" t="str">
        <f aca="false">IFERROR(VLOOKUP($D10,ItemList_Full,3,0),"")</f>
        <v/>
      </c>
      <c r="H10" s="12" t="str">
        <f aca="false">IFERROR(VLOOKUP($D10,ItemList_Full,4,0),"")</f>
        <v/>
      </c>
      <c r="I10" s="13" t="str">
        <f aca="false">IF(OR($F10="",$H10=""),"",$F10*$H10)</f>
        <v/>
      </c>
      <c r="J10" s="12"/>
      <c r="K10" s="12"/>
      <c r="L10" s="12"/>
      <c r="M10" s="19"/>
    </row>
    <row r="11" customFormat="false" ht="15" hidden="false" customHeight="true" outlineLevel="0" collapsed="false">
      <c r="A11" s="12" t="str">
        <f aca="false">IF($C11="","","PO-"&amp;TEXT(ROW()-4,"000"))</f>
        <v/>
      </c>
      <c r="B11" s="19"/>
      <c r="C11" s="12"/>
      <c r="D11" s="12"/>
      <c r="E11" s="12" t="str">
        <f aca="false">IFERROR(VLOOKUP($D11,ItemList_Full,2,0),"")</f>
        <v/>
      </c>
      <c r="F11" s="12"/>
      <c r="G11" s="12" t="str">
        <f aca="false">IFERROR(VLOOKUP($D11,ItemList_Full,3,0),"")</f>
        <v/>
      </c>
      <c r="H11" s="12" t="str">
        <f aca="false">IFERROR(VLOOKUP($D11,ItemList_Full,4,0),"")</f>
        <v/>
      </c>
      <c r="I11" s="13" t="str">
        <f aca="false">IF(OR($F11="",$H11=""),"",$F11*$H11)</f>
        <v/>
      </c>
      <c r="J11" s="12"/>
      <c r="K11" s="12"/>
      <c r="L11" s="12"/>
      <c r="M11" s="19"/>
    </row>
    <row r="12" customFormat="false" ht="15" hidden="false" customHeight="true" outlineLevel="0" collapsed="false">
      <c r="A12" s="12" t="str">
        <f aca="false">IF($C12="","","PO-"&amp;TEXT(ROW()-4,"000"))</f>
        <v/>
      </c>
      <c r="B12" s="19"/>
      <c r="C12" s="12"/>
      <c r="D12" s="12"/>
      <c r="E12" s="12" t="str">
        <f aca="false">IFERROR(VLOOKUP($D12,ItemList_Full,2,0),"")</f>
        <v/>
      </c>
      <c r="F12" s="12"/>
      <c r="G12" s="12" t="str">
        <f aca="false">IFERROR(VLOOKUP($D12,ItemList_Full,3,0),"")</f>
        <v/>
      </c>
      <c r="H12" s="12" t="str">
        <f aca="false">IFERROR(VLOOKUP($D12,ItemList_Full,4,0),"")</f>
        <v/>
      </c>
      <c r="I12" s="13" t="str">
        <f aca="false">IF(OR($F12="",$H12=""),"",$F12*$H12)</f>
        <v/>
      </c>
      <c r="J12" s="12"/>
      <c r="K12" s="12"/>
      <c r="L12" s="12"/>
      <c r="M12" s="19"/>
    </row>
    <row r="13" customFormat="false" ht="15" hidden="false" customHeight="true" outlineLevel="0" collapsed="false">
      <c r="A13" s="12" t="str">
        <f aca="false">IF($C13="","","PO-"&amp;TEXT(ROW()-4,"000"))</f>
        <v/>
      </c>
      <c r="B13" s="19"/>
      <c r="C13" s="12"/>
      <c r="D13" s="12"/>
      <c r="E13" s="12" t="str">
        <f aca="false">IFERROR(VLOOKUP($D13,ItemList_Full,2,0),"")</f>
        <v/>
      </c>
      <c r="F13" s="12"/>
      <c r="G13" s="12" t="str">
        <f aca="false">IFERROR(VLOOKUP($D13,ItemList_Full,3,0),"")</f>
        <v/>
      </c>
      <c r="H13" s="12" t="str">
        <f aca="false">IFERROR(VLOOKUP($D13,ItemList_Full,4,0),"")</f>
        <v/>
      </c>
      <c r="I13" s="13" t="str">
        <f aca="false">IF(OR($F13="",$H13=""),"",$F13*$H13)</f>
        <v/>
      </c>
      <c r="J13" s="12"/>
      <c r="K13" s="12"/>
      <c r="L13" s="12"/>
      <c r="M13" s="19"/>
    </row>
    <row r="14" customFormat="false" ht="15" hidden="false" customHeight="true" outlineLevel="0" collapsed="false">
      <c r="A14" s="12" t="str">
        <f aca="false">IF($C14="","","PO-"&amp;TEXT(ROW()-4,"000"))</f>
        <v/>
      </c>
      <c r="B14" s="19"/>
      <c r="C14" s="12"/>
      <c r="D14" s="12"/>
      <c r="E14" s="12" t="str">
        <f aca="false">IFERROR(VLOOKUP($D14,ItemList_Full,2,0),"")</f>
        <v/>
      </c>
      <c r="F14" s="12"/>
      <c r="G14" s="12" t="str">
        <f aca="false">IFERROR(VLOOKUP($D14,ItemList_Full,3,0),"")</f>
        <v/>
      </c>
      <c r="H14" s="12" t="str">
        <f aca="false">IFERROR(VLOOKUP($D14,ItemList_Full,4,0),"")</f>
        <v/>
      </c>
      <c r="I14" s="13" t="str">
        <f aca="false">IF(OR($F14="",$H14=""),"",$F14*$H14)</f>
        <v/>
      </c>
      <c r="J14" s="12"/>
      <c r="K14" s="12"/>
      <c r="L14" s="12"/>
      <c r="M14" s="19"/>
    </row>
    <row r="15" customFormat="false" ht="15" hidden="false" customHeight="true" outlineLevel="0" collapsed="false">
      <c r="A15" s="12" t="str">
        <f aca="false">IF($C15="","","PO-"&amp;TEXT(ROW()-4,"000"))</f>
        <v/>
      </c>
      <c r="B15" s="19"/>
      <c r="C15" s="12"/>
      <c r="D15" s="12"/>
      <c r="E15" s="12" t="str">
        <f aca="false">IFERROR(VLOOKUP($D15,ItemList_Full,2,0),"")</f>
        <v/>
      </c>
      <c r="F15" s="12"/>
      <c r="G15" s="12" t="str">
        <f aca="false">IFERROR(VLOOKUP($D15,ItemList_Full,3,0),"")</f>
        <v/>
      </c>
      <c r="H15" s="12" t="str">
        <f aca="false">IFERROR(VLOOKUP($D15,ItemList_Full,4,0),"")</f>
        <v/>
      </c>
      <c r="I15" s="13" t="str">
        <f aca="false">IF(OR($F15="",$H15=""),"",$F15*$H15)</f>
        <v/>
      </c>
      <c r="J15" s="12"/>
      <c r="K15" s="12"/>
      <c r="L15" s="12"/>
      <c r="M15" s="19"/>
    </row>
    <row r="16" customFormat="false" ht="15" hidden="false" customHeight="true" outlineLevel="0" collapsed="false">
      <c r="A16" s="12" t="str">
        <f aca="false">IF($C16="","","PO-"&amp;TEXT(ROW()-4,"000"))</f>
        <v/>
      </c>
      <c r="B16" s="19"/>
      <c r="C16" s="12"/>
      <c r="D16" s="12"/>
      <c r="E16" s="12" t="str">
        <f aca="false">IFERROR(VLOOKUP($D16,ItemList_Full,2,0),"")</f>
        <v/>
      </c>
      <c r="F16" s="12"/>
      <c r="G16" s="12" t="str">
        <f aca="false">IFERROR(VLOOKUP($D16,ItemList_Full,3,0),"")</f>
        <v/>
      </c>
      <c r="H16" s="12" t="str">
        <f aca="false">IFERROR(VLOOKUP($D16,ItemList_Full,4,0),"")</f>
        <v/>
      </c>
      <c r="I16" s="13" t="str">
        <f aca="false">IF(OR($F16="",$H16=""),"",$F16*$H16)</f>
        <v/>
      </c>
      <c r="J16" s="12"/>
      <c r="K16" s="12"/>
      <c r="L16" s="12"/>
      <c r="M16" s="19"/>
    </row>
    <row r="17" customFormat="false" ht="15" hidden="false" customHeight="true" outlineLevel="0" collapsed="false">
      <c r="A17" s="12" t="str">
        <f aca="false">IF($C17="","","PO-"&amp;TEXT(ROW()-4,"000"))</f>
        <v/>
      </c>
      <c r="B17" s="19"/>
      <c r="C17" s="12"/>
      <c r="D17" s="12"/>
      <c r="E17" s="12" t="str">
        <f aca="false">IFERROR(VLOOKUP($D17,ItemList_Full,2,0),"")</f>
        <v/>
      </c>
      <c r="F17" s="12"/>
      <c r="G17" s="12" t="str">
        <f aca="false">IFERROR(VLOOKUP($D17,ItemList_Full,3,0),"")</f>
        <v/>
      </c>
      <c r="H17" s="12" t="str">
        <f aca="false">IFERROR(VLOOKUP($D17,ItemList_Full,4,0),"")</f>
        <v/>
      </c>
      <c r="I17" s="13" t="str">
        <f aca="false">IF(OR($F17="",$H17=""),"",$F17*$H17)</f>
        <v/>
      </c>
      <c r="J17" s="12"/>
      <c r="K17" s="12"/>
      <c r="L17" s="12"/>
      <c r="M17" s="19"/>
    </row>
    <row r="18" customFormat="false" ht="15" hidden="false" customHeight="true" outlineLevel="0" collapsed="false">
      <c r="A18" s="12" t="str">
        <f aca="false">IF($C18="","","PO-"&amp;TEXT(ROW()-4,"000"))</f>
        <v/>
      </c>
      <c r="B18" s="19"/>
      <c r="C18" s="12"/>
      <c r="D18" s="12"/>
      <c r="E18" s="12" t="str">
        <f aca="false">IFERROR(VLOOKUP($D18,ItemList_Full,2,0),"")</f>
        <v/>
      </c>
      <c r="F18" s="12"/>
      <c r="G18" s="12" t="str">
        <f aca="false">IFERROR(VLOOKUP($D18,ItemList_Full,3,0),"")</f>
        <v/>
      </c>
      <c r="H18" s="12" t="str">
        <f aca="false">IFERROR(VLOOKUP($D18,ItemList_Full,4,0),"")</f>
        <v/>
      </c>
      <c r="I18" s="13" t="str">
        <f aca="false">IF(OR($F18="",$H18=""),"",$F18*$H18)</f>
        <v/>
      </c>
      <c r="J18" s="12"/>
      <c r="K18" s="12"/>
      <c r="L18" s="12"/>
      <c r="M18" s="19"/>
    </row>
    <row r="19" customFormat="false" ht="15" hidden="false" customHeight="true" outlineLevel="0" collapsed="false">
      <c r="A19" s="12" t="str">
        <f aca="false">IF($C19="","","PO-"&amp;TEXT(ROW()-4,"000"))</f>
        <v/>
      </c>
      <c r="B19" s="19"/>
      <c r="C19" s="12"/>
      <c r="D19" s="12"/>
      <c r="E19" s="12" t="str">
        <f aca="false">IFERROR(VLOOKUP($D19,ItemList_Full,2,0),"")</f>
        <v/>
      </c>
      <c r="F19" s="12"/>
      <c r="G19" s="12" t="str">
        <f aca="false">IFERROR(VLOOKUP($D19,ItemList_Full,3,0),"")</f>
        <v/>
      </c>
      <c r="H19" s="12" t="str">
        <f aca="false">IFERROR(VLOOKUP($D19,ItemList_Full,4,0),"")</f>
        <v/>
      </c>
      <c r="I19" s="13" t="str">
        <f aca="false">IF(OR($F19="",$H19=""),"",$F19*$H19)</f>
        <v/>
      </c>
      <c r="J19" s="12"/>
      <c r="K19" s="12"/>
      <c r="L19" s="12"/>
      <c r="M19" s="19"/>
    </row>
    <row r="20" customFormat="false" ht="15" hidden="false" customHeight="true" outlineLevel="0" collapsed="false">
      <c r="A20" s="12" t="str">
        <f aca="false">IF($C20="","","PO-"&amp;TEXT(ROW()-4,"000"))</f>
        <v/>
      </c>
      <c r="B20" s="19"/>
      <c r="C20" s="12"/>
      <c r="D20" s="12"/>
      <c r="E20" s="12" t="str">
        <f aca="false">IFERROR(VLOOKUP($D20,ItemList_Full,2,0),"")</f>
        <v/>
      </c>
      <c r="F20" s="12"/>
      <c r="G20" s="12" t="str">
        <f aca="false">IFERROR(VLOOKUP($D20,ItemList_Full,3,0),"")</f>
        <v/>
      </c>
      <c r="H20" s="12" t="str">
        <f aca="false">IFERROR(VLOOKUP($D20,ItemList_Full,4,0),"")</f>
        <v/>
      </c>
      <c r="I20" s="13" t="str">
        <f aca="false">IF(OR($F20="",$H20=""),"",$F20*$H20)</f>
        <v/>
      </c>
      <c r="J20" s="12"/>
      <c r="K20" s="12"/>
      <c r="L20" s="12"/>
      <c r="M20" s="19"/>
    </row>
    <row r="21" customFormat="false" ht="15" hidden="false" customHeight="true" outlineLevel="0" collapsed="false">
      <c r="A21" s="12" t="str">
        <f aca="false">IF($C21="","","PO-"&amp;TEXT(ROW()-4,"000"))</f>
        <v/>
      </c>
      <c r="B21" s="19"/>
      <c r="C21" s="12"/>
      <c r="D21" s="12"/>
      <c r="E21" s="12" t="str">
        <f aca="false">IFERROR(VLOOKUP($D21,ItemList_Full,2,0),"")</f>
        <v/>
      </c>
      <c r="F21" s="12"/>
      <c r="G21" s="12" t="str">
        <f aca="false">IFERROR(VLOOKUP($D21,ItemList_Full,3,0),"")</f>
        <v/>
      </c>
      <c r="H21" s="12" t="str">
        <f aca="false">IFERROR(VLOOKUP($D21,ItemList_Full,4,0),"")</f>
        <v/>
      </c>
      <c r="I21" s="13" t="str">
        <f aca="false">IF(OR($F21="",$H21=""),"",$F21*$H21)</f>
        <v/>
      </c>
      <c r="J21" s="12"/>
      <c r="K21" s="12"/>
      <c r="L21" s="12"/>
      <c r="M21" s="19"/>
    </row>
    <row r="22" customFormat="false" ht="15" hidden="false" customHeight="true" outlineLevel="0" collapsed="false">
      <c r="A22" s="12" t="str">
        <f aca="false">IF($C22="","","PO-"&amp;TEXT(ROW()-4,"000"))</f>
        <v/>
      </c>
      <c r="B22" s="19"/>
      <c r="C22" s="12"/>
      <c r="D22" s="12"/>
      <c r="E22" s="12" t="str">
        <f aca="false">IFERROR(VLOOKUP($D22,ItemList_Full,2,0),"")</f>
        <v/>
      </c>
      <c r="F22" s="12"/>
      <c r="G22" s="12" t="str">
        <f aca="false">IFERROR(VLOOKUP($D22,ItemList_Full,3,0),"")</f>
        <v/>
      </c>
      <c r="H22" s="12" t="str">
        <f aca="false">IFERROR(VLOOKUP($D22,ItemList_Full,4,0),"")</f>
        <v/>
      </c>
      <c r="I22" s="13" t="str">
        <f aca="false">IF(OR($F22="",$H22=""),"",$F22*$H22)</f>
        <v/>
      </c>
      <c r="J22" s="12"/>
      <c r="K22" s="12"/>
      <c r="L22" s="12"/>
      <c r="M22" s="19"/>
    </row>
    <row r="23" customFormat="false" ht="15" hidden="false" customHeight="true" outlineLevel="0" collapsed="false">
      <c r="A23" s="12" t="str">
        <f aca="false">IF($C23="","","PO-"&amp;TEXT(ROW()-4,"000"))</f>
        <v/>
      </c>
      <c r="B23" s="19"/>
      <c r="C23" s="12"/>
      <c r="D23" s="12"/>
      <c r="E23" s="12" t="str">
        <f aca="false">IFERROR(VLOOKUP($D23,ItemList_Full,2,0),"")</f>
        <v/>
      </c>
      <c r="F23" s="12"/>
      <c r="G23" s="12" t="str">
        <f aca="false">IFERROR(VLOOKUP($D23,ItemList_Full,3,0),"")</f>
        <v/>
      </c>
      <c r="H23" s="12" t="str">
        <f aca="false">IFERROR(VLOOKUP($D23,ItemList_Full,4,0),"")</f>
        <v/>
      </c>
      <c r="I23" s="13" t="str">
        <f aca="false">IF(OR($F23="",$H23=""),"",$F23*$H23)</f>
        <v/>
      </c>
      <c r="J23" s="12"/>
      <c r="K23" s="12"/>
      <c r="L23" s="12"/>
      <c r="M23" s="19"/>
    </row>
    <row r="24" customFormat="false" ht="15" hidden="false" customHeight="true" outlineLevel="0" collapsed="false">
      <c r="A24" s="12" t="str">
        <f aca="false">IF($C24="","","PO-"&amp;TEXT(ROW()-4,"000"))</f>
        <v/>
      </c>
      <c r="B24" s="19"/>
      <c r="C24" s="12"/>
      <c r="D24" s="12"/>
      <c r="E24" s="12" t="str">
        <f aca="false">IFERROR(VLOOKUP($D24,ItemList_Full,2,0),"")</f>
        <v/>
      </c>
      <c r="F24" s="12"/>
      <c r="G24" s="12" t="str">
        <f aca="false">IFERROR(VLOOKUP($D24,ItemList_Full,3,0),"")</f>
        <v/>
      </c>
      <c r="H24" s="12" t="str">
        <f aca="false">IFERROR(VLOOKUP($D24,ItemList_Full,4,0),"")</f>
        <v/>
      </c>
      <c r="I24" s="13" t="str">
        <f aca="false">IF(OR($F24="",$H24=""),"",$F24*$H24)</f>
        <v/>
      </c>
      <c r="J24" s="12"/>
      <c r="K24" s="12"/>
      <c r="L24" s="12"/>
      <c r="M24" s="19"/>
    </row>
    <row r="25" customFormat="false" ht="15" hidden="false" customHeight="true" outlineLevel="0" collapsed="false">
      <c r="A25" s="12" t="str">
        <f aca="false">IF($C25="","","PO-"&amp;TEXT(ROW()-4,"000"))</f>
        <v/>
      </c>
      <c r="B25" s="19"/>
      <c r="C25" s="12"/>
      <c r="D25" s="12"/>
      <c r="E25" s="12" t="str">
        <f aca="false">IFERROR(VLOOKUP($D25,ItemList_Full,2,0),"")</f>
        <v/>
      </c>
      <c r="F25" s="12"/>
      <c r="G25" s="12" t="str">
        <f aca="false">IFERROR(VLOOKUP($D25,ItemList_Full,3,0),"")</f>
        <v/>
      </c>
      <c r="H25" s="12" t="str">
        <f aca="false">IFERROR(VLOOKUP($D25,ItemList_Full,4,0),"")</f>
        <v/>
      </c>
      <c r="I25" s="13" t="str">
        <f aca="false">IF(OR($F25="",$H25=""),"",$F25*$H25)</f>
        <v/>
      </c>
      <c r="J25" s="12"/>
      <c r="K25" s="12"/>
      <c r="L25" s="12"/>
      <c r="M25" s="19"/>
    </row>
    <row r="26" customFormat="false" ht="15" hidden="false" customHeight="true" outlineLevel="0" collapsed="false">
      <c r="A26" s="12" t="str">
        <f aca="false">IF($C26="","","PO-"&amp;TEXT(ROW()-4,"000"))</f>
        <v/>
      </c>
      <c r="B26" s="19"/>
      <c r="C26" s="12"/>
      <c r="D26" s="12"/>
      <c r="E26" s="12" t="str">
        <f aca="false">IFERROR(VLOOKUP($D26,ItemList_Full,2,0),"")</f>
        <v/>
      </c>
      <c r="F26" s="12"/>
      <c r="G26" s="12" t="str">
        <f aca="false">IFERROR(VLOOKUP($D26,ItemList_Full,3,0),"")</f>
        <v/>
      </c>
      <c r="H26" s="12" t="str">
        <f aca="false">IFERROR(VLOOKUP($D26,ItemList_Full,4,0),"")</f>
        <v/>
      </c>
      <c r="I26" s="13" t="str">
        <f aca="false">IF(OR($F26="",$H26=""),"",$F26*$H26)</f>
        <v/>
      </c>
      <c r="J26" s="12"/>
      <c r="K26" s="12"/>
      <c r="L26" s="12"/>
      <c r="M26" s="19"/>
    </row>
    <row r="27" customFormat="false" ht="15" hidden="false" customHeight="true" outlineLevel="0" collapsed="false">
      <c r="A27" s="12" t="str">
        <f aca="false">IF($C27="","","PO-"&amp;TEXT(ROW()-4,"000"))</f>
        <v/>
      </c>
      <c r="B27" s="19"/>
      <c r="C27" s="12"/>
      <c r="D27" s="12"/>
      <c r="E27" s="12" t="str">
        <f aca="false">IFERROR(VLOOKUP($D27,ItemList_Full,2,0),"")</f>
        <v/>
      </c>
      <c r="F27" s="12"/>
      <c r="G27" s="12" t="str">
        <f aca="false">IFERROR(VLOOKUP($D27,ItemList_Full,3,0),"")</f>
        <v/>
      </c>
      <c r="H27" s="12" t="str">
        <f aca="false">IFERROR(VLOOKUP($D27,ItemList_Full,4,0),"")</f>
        <v/>
      </c>
      <c r="I27" s="13" t="str">
        <f aca="false">IF(OR($F27="",$H27=""),"",$F27*$H27)</f>
        <v/>
      </c>
      <c r="J27" s="12"/>
      <c r="K27" s="12"/>
      <c r="L27" s="12"/>
      <c r="M27" s="19"/>
    </row>
    <row r="28" customFormat="false" ht="15" hidden="false" customHeight="true" outlineLevel="0" collapsed="false">
      <c r="A28" s="12" t="str">
        <f aca="false">IF($C28="","","PO-"&amp;TEXT(ROW()-4,"000"))</f>
        <v/>
      </c>
      <c r="B28" s="19"/>
      <c r="C28" s="12"/>
      <c r="D28" s="12"/>
      <c r="E28" s="12" t="str">
        <f aca="false">IFERROR(VLOOKUP($D28,ItemList_Full,2,0),"")</f>
        <v/>
      </c>
      <c r="F28" s="12"/>
      <c r="G28" s="12" t="str">
        <f aca="false">IFERROR(VLOOKUP($D28,ItemList_Full,3,0),"")</f>
        <v/>
      </c>
      <c r="H28" s="12" t="str">
        <f aca="false">IFERROR(VLOOKUP($D28,ItemList_Full,4,0),"")</f>
        <v/>
      </c>
      <c r="I28" s="13" t="str">
        <f aca="false">IF(OR($F28="",$H28=""),"",$F28*$H28)</f>
        <v/>
      </c>
      <c r="J28" s="12"/>
      <c r="K28" s="12"/>
      <c r="L28" s="12"/>
      <c r="M28" s="19"/>
    </row>
    <row r="29" customFormat="false" ht="15" hidden="false" customHeight="true" outlineLevel="0" collapsed="false">
      <c r="A29" s="12" t="str">
        <f aca="false">IF($C29="","","PO-"&amp;TEXT(ROW()-4,"000"))</f>
        <v/>
      </c>
      <c r="B29" s="19"/>
      <c r="C29" s="12"/>
      <c r="D29" s="12"/>
      <c r="E29" s="12" t="str">
        <f aca="false">IFERROR(VLOOKUP($D29,ItemList_Full,2,0),"")</f>
        <v/>
      </c>
      <c r="F29" s="12"/>
      <c r="G29" s="12" t="str">
        <f aca="false">IFERROR(VLOOKUP($D29,ItemList_Full,3,0),"")</f>
        <v/>
      </c>
      <c r="H29" s="12" t="str">
        <f aca="false">IFERROR(VLOOKUP($D29,ItemList_Full,4,0),"")</f>
        <v/>
      </c>
      <c r="I29" s="13" t="str">
        <f aca="false">IF(OR($F29="",$H29=""),"",$F29*$H29)</f>
        <v/>
      </c>
      <c r="J29" s="12"/>
      <c r="K29" s="12"/>
      <c r="L29" s="12"/>
      <c r="M29" s="19"/>
    </row>
    <row r="30" customFormat="false" ht="15" hidden="false" customHeight="true" outlineLevel="0" collapsed="false">
      <c r="A30" s="12" t="str">
        <f aca="false">IF($C30="","","PO-"&amp;TEXT(ROW()-4,"000"))</f>
        <v/>
      </c>
      <c r="B30" s="19"/>
      <c r="C30" s="12"/>
      <c r="D30" s="12"/>
      <c r="E30" s="12" t="str">
        <f aca="false">IFERROR(VLOOKUP($D30,ItemList_Full,2,0),"")</f>
        <v/>
      </c>
      <c r="F30" s="12"/>
      <c r="G30" s="12" t="str">
        <f aca="false">IFERROR(VLOOKUP($D30,ItemList_Full,3,0),"")</f>
        <v/>
      </c>
      <c r="H30" s="12" t="str">
        <f aca="false">IFERROR(VLOOKUP($D30,ItemList_Full,4,0),"")</f>
        <v/>
      </c>
      <c r="I30" s="13" t="str">
        <f aca="false">IF(OR($F30="",$H30=""),"",$F30*$H30)</f>
        <v/>
      </c>
      <c r="J30" s="12"/>
      <c r="K30" s="12"/>
      <c r="L30" s="12"/>
      <c r="M30" s="19"/>
    </row>
    <row r="31" customFormat="false" ht="15" hidden="false" customHeight="true" outlineLevel="0" collapsed="false">
      <c r="A31" s="12" t="str">
        <f aca="false">IF($C31="","","PO-"&amp;TEXT(ROW()-4,"000"))</f>
        <v/>
      </c>
      <c r="B31" s="19"/>
      <c r="C31" s="12"/>
      <c r="D31" s="12"/>
      <c r="E31" s="12" t="str">
        <f aca="false">IFERROR(VLOOKUP($D31,ItemList_Full,2,0),"")</f>
        <v/>
      </c>
      <c r="F31" s="12"/>
      <c r="G31" s="12" t="str">
        <f aca="false">IFERROR(VLOOKUP($D31,ItemList_Full,3,0),"")</f>
        <v/>
      </c>
      <c r="H31" s="12" t="str">
        <f aca="false">IFERROR(VLOOKUP($D31,ItemList_Full,4,0),"")</f>
        <v/>
      </c>
      <c r="I31" s="13" t="str">
        <f aca="false">IF(OR($F31="",$H31=""),"",$F31*$H31)</f>
        <v/>
      </c>
      <c r="J31" s="12"/>
      <c r="K31" s="12"/>
      <c r="L31" s="12"/>
      <c r="M31" s="19"/>
    </row>
    <row r="32" customFormat="false" ht="15" hidden="false" customHeight="true" outlineLevel="0" collapsed="false">
      <c r="A32" s="12" t="str">
        <f aca="false">IF($C32="","","PO-"&amp;TEXT(ROW()-4,"000"))</f>
        <v/>
      </c>
      <c r="B32" s="19"/>
      <c r="C32" s="12"/>
      <c r="D32" s="12"/>
      <c r="E32" s="12" t="str">
        <f aca="false">IFERROR(VLOOKUP($D32,ItemList_Full,2,0),"")</f>
        <v/>
      </c>
      <c r="F32" s="12"/>
      <c r="G32" s="12" t="str">
        <f aca="false">IFERROR(VLOOKUP($D32,ItemList_Full,3,0),"")</f>
        <v/>
      </c>
      <c r="H32" s="12" t="str">
        <f aca="false">IFERROR(VLOOKUP($D32,ItemList_Full,4,0),"")</f>
        <v/>
      </c>
      <c r="I32" s="13" t="str">
        <f aca="false">IF(OR($F32="",$H32=""),"",$F32*$H32)</f>
        <v/>
      </c>
      <c r="J32" s="12"/>
      <c r="K32" s="12"/>
      <c r="L32" s="12"/>
      <c r="M32" s="19"/>
    </row>
    <row r="33" customFormat="false" ht="15" hidden="false" customHeight="true" outlineLevel="0" collapsed="false">
      <c r="A33" s="12" t="str">
        <f aca="false">IF($C33="","","PO-"&amp;TEXT(ROW()-4,"000"))</f>
        <v/>
      </c>
      <c r="B33" s="19"/>
      <c r="C33" s="12"/>
      <c r="D33" s="12"/>
      <c r="E33" s="12" t="str">
        <f aca="false">IFERROR(VLOOKUP($D33,ItemList_Full,2,0),"")</f>
        <v/>
      </c>
      <c r="F33" s="12"/>
      <c r="G33" s="12" t="str">
        <f aca="false">IFERROR(VLOOKUP($D33,ItemList_Full,3,0),"")</f>
        <v/>
      </c>
      <c r="H33" s="12" t="str">
        <f aca="false">IFERROR(VLOOKUP($D33,ItemList_Full,4,0),"")</f>
        <v/>
      </c>
      <c r="I33" s="13" t="str">
        <f aca="false">IF(OR($F33="",$H33=""),"",$F33*$H33)</f>
        <v/>
      </c>
      <c r="J33" s="12"/>
      <c r="K33" s="12"/>
      <c r="L33" s="12"/>
      <c r="M33" s="19"/>
    </row>
    <row r="34" customFormat="false" ht="15" hidden="false" customHeight="true" outlineLevel="0" collapsed="false">
      <c r="A34" s="12" t="str">
        <f aca="false">IF($C34="","","PO-"&amp;TEXT(ROW()-4,"000"))</f>
        <v/>
      </c>
      <c r="B34" s="19"/>
      <c r="C34" s="12"/>
      <c r="D34" s="12"/>
      <c r="E34" s="12" t="str">
        <f aca="false">IFERROR(VLOOKUP($D34,ItemList_Full,2,0),"")</f>
        <v/>
      </c>
      <c r="F34" s="12"/>
      <c r="G34" s="12" t="str">
        <f aca="false">IFERROR(VLOOKUP($D34,ItemList_Full,3,0),"")</f>
        <v/>
      </c>
      <c r="H34" s="12" t="str">
        <f aca="false">IFERROR(VLOOKUP($D34,ItemList_Full,4,0),"")</f>
        <v/>
      </c>
      <c r="I34" s="13" t="str">
        <f aca="false">IF(OR($F34="",$H34=""),"",$F34*$H34)</f>
        <v/>
      </c>
      <c r="J34" s="12"/>
      <c r="K34" s="12"/>
      <c r="L34" s="12"/>
      <c r="M34" s="19"/>
    </row>
    <row r="35" customFormat="false" ht="15" hidden="false" customHeight="true" outlineLevel="0" collapsed="false">
      <c r="A35" s="12" t="str">
        <f aca="false">IF($C35="","","PO-"&amp;TEXT(ROW()-4,"000"))</f>
        <v/>
      </c>
      <c r="B35" s="19"/>
      <c r="C35" s="12"/>
      <c r="D35" s="12"/>
      <c r="E35" s="12" t="str">
        <f aca="false">IFERROR(VLOOKUP($D35,ItemList_Full,2,0),"")</f>
        <v/>
      </c>
      <c r="F35" s="12"/>
      <c r="G35" s="12" t="str">
        <f aca="false">IFERROR(VLOOKUP($D35,ItemList_Full,3,0),"")</f>
        <v/>
      </c>
      <c r="H35" s="12" t="str">
        <f aca="false">IFERROR(VLOOKUP($D35,ItemList_Full,4,0),"")</f>
        <v/>
      </c>
      <c r="I35" s="13" t="str">
        <f aca="false">IF(OR($F35="",$H35=""),"",$F35*$H35)</f>
        <v/>
      </c>
      <c r="J35" s="12"/>
      <c r="K35" s="12"/>
      <c r="L35" s="12"/>
      <c r="M35" s="19"/>
    </row>
    <row r="36" customFormat="false" ht="15" hidden="false" customHeight="true" outlineLevel="0" collapsed="false">
      <c r="A36" s="12" t="str">
        <f aca="false">IF($C36="","","PO-"&amp;TEXT(ROW()-4,"000"))</f>
        <v/>
      </c>
      <c r="B36" s="19"/>
      <c r="C36" s="12"/>
      <c r="D36" s="12"/>
      <c r="E36" s="12" t="str">
        <f aca="false">IFERROR(VLOOKUP($D36,ItemList_Full,2,0),"")</f>
        <v/>
      </c>
      <c r="F36" s="12"/>
      <c r="G36" s="12" t="str">
        <f aca="false">IFERROR(VLOOKUP($D36,ItemList_Full,3,0),"")</f>
        <v/>
      </c>
      <c r="H36" s="12" t="str">
        <f aca="false">IFERROR(VLOOKUP($D36,ItemList_Full,4,0),"")</f>
        <v/>
      </c>
      <c r="I36" s="13" t="str">
        <f aca="false">IF(OR($F36="",$H36=""),"",$F36*$H36)</f>
        <v/>
      </c>
      <c r="J36" s="12"/>
      <c r="K36" s="12"/>
      <c r="L36" s="12"/>
      <c r="M36" s="19"/>
    </row>
    <row r="37" customFormat="false" ht="15" hidden="false" customHeight="true" outlineLevel="0" collapsed="false">
      <c r="A37" s="12" t="str">
        <f aca="false">IF($C37="","","PO-"&amp;TEXT(ROW()-4,"000"))</f>
        <v/>
      </c>
      <c r="B37" s="19"/>
      <c r="C37" s="12"/>
      <c r="D37" s="12"/>
      <c r="E37" s="12" t="str">
        <f aca="false">IFERROR(VLOOKUP($D37,ItemList_Full,2,0),"")</f>
        <v/>
      </c>
      <c r="F37" s="12"/>
      <c r="G37" s="12" t="str">
        <f aca="false">IFERROR(VLOOKUP($D37,ItemList_Full,3,0),"")</f>
        <v/>
      </c>
      <c r="H37" s="12" t="str">
        <f aca="false">IFERROR(VLOOKUP($D37,ItemList_Full,4,0),"")</f>
        <v/>
      </c>
      <c r="I37" s="13" t="str">
        <f aca="false">IF(OR($F37="",$H37=""),"",$F37*$H37)</f>
        <v/>
      </c>
      <c r="J37" s="12"/>
      <c r="K37" s="12"/>
      <c r="L37" s="12"/>
      <c r="M37" s="19"/>
    </row>
    <row r="38" customFormat="false" ht="15" hidden="false" customHeight="true" outlineLevel="0" collapsed="false">
      <c r="A38" s="12" t="str">
        <f aca="false">IF($C38="","","PO-"&amp;TEXT(ROW()-4,"000"))</f>
        <v/>
      </c>
      <c r="B38" s="19"/>
      <c r="C38" s="12"/>
      <c r="D38" s="12"/>
      <c r="E38" s="12" t="str">
        <f aca="false">IFERROR(VLOOKUP($D38,ItemList_Full,2,0),"")</f>
        <v/>
      </c>
      <c r="F38" s="12"/>
      <c r="G38" s="12" t="str">
        <f aca="false">IFERROR(VLOOKUP($D38,ItemList_Full,3,0),"")</f>
        <v/>
      </c>
      <c r="H38" s="12" t="str">
        <f aca="false">IFERROR(VLOOKUP($D38,ItemList_Full,4,0),"")</f>
        <v/>
      </c>
      <c r="I38" s="13" t="str">
        <f aca="false">IF(OR($F38="",$H38=""),"",$F38*$H38)</f>
        <v/>
      </c>
      <c r="J38" s="12"/>
      <c r="K38" s="12"/>
      <c r="L38" s="12"/>
      <c r="M38" s="19"/>
    </row>
    <row r="39" customFormat="false" ht="15" hidden="false" customHeight="true" outlineLevel="0" collapsed="false">
      <c r="A39" s="12" t="str">
        <f aca="false">IF($C39="","","PO-"&amp;TEXT(ROW()-4,"000"))</f>
        <v/>
      </c>
      <c r="B39" s="19"/>
      <c r="C39" s="12"/>
      <c r="D39" s="12"/>
      <c r="E39" s="12" t="str">
        <f aca="false">IFERROR(VLOOKUP($D39,ItemList_Full,2,0),"")</f>
        <v/>
      </c>
      <c r="F39" s="12"/>
      <c r="G39" s="12" t="str">
        <f aca="false">IFERROR(VLOOKUP($D39,ItemList_Full,3,0),"")</f>
        <v/>
      </c>
      <c r="H39" s="12" t="str">
        <f aca="false">IFERROR(VLOOKUP($D39,ItemList_Full,4,0),"")</f>
        <v/>
      </c>
      <c r="I39" s="13" t="str">
        <f aca="false">IF(OR($F39="",$H39=""),"",$F39*$H39)</f>
        <v/>
      </c>
      <c r="J39" s="12"/>
      <c r="K39" s="12"/>
      <c r="L39" s="12"/>
      <c r="M39" s="19"/>
    </row>
    <row r="40" customFormat="false" ht="15" hidden="false" customHeight="true" outlineLevel="0" collapsed="false">
      <c r="A40" s="12" t="str">
        <f aca="false">IF($C40="","","PO-"&amp;TEXT(ROW()-4,"000"))</f>
        <v/>
      </c>
      <c r="B40" s="19"/>
      <c r="C40" s="12"/>
      <c r="D40" s="12"/>
      <c r="E40" s="12" t="str">
        <f aca="false">IFERROR(VLOOKUP($D40,ItemList_Full,2,0),"")</f>
        <v/>
      </c>
      <c r="F40" s="12"/>
      <c r="G40" s="12" t="str">
        <f aca="false">IFERROR(VLOOKUP($D40,ItemList_Full,3,0),"")</f>
        <v/>
      </c>
      <c r="H40" s="12" t="str">
        <f aca="false">IFERROR(VLOOKUP($D40,ItemList_Full,4,0),"")</f>
        <v/>
      </c>
      <c r="I40" s="13" t="str">
        <f aca="false">IF(OR($F40="",$H40=""),"",$F40*$H40)</f>
        <v/>
      </c>
      <c r="J40" s="12"/>
      <c r="K40" s="12"/>
      <c r="L40" s="12"/>
      <c r="M40" s="19"/>
    </row>
    <row r="41" customFormat="false" ht="15" hidden="false" customHeight="true" outlineLevel="0" collapsed="false">
      <c r="A41" s="12" t="str">
        <f aca="false">IF($C41="","","PO-"&amp;TEXT(ROW()-4,"000"))</f>
        <v/>
      </c>
      <c r="B41" s="19"/>
      <c r="C41" s="12"/>
      <c r="D41" s="12"/>
      <c r="E41" s="12" t="str">
        <f aca="false">IFERROR(VLOOKUP($D41,ItemList_Full,2,0),"")</f>
        <v/>
      </c>
      <c r="F41" s="12"/>
      <c r="G41" s="12" t="str">
        <f aca="false">IFERROR(VLOOKUP($D41,ItemList_Full,3,0),"")</f>
        <v/>
      </c>
      <c r="H41" s="12" t="str">
        <f aca="false">IFERROR(VLOOKUP($D41,ItemList_Full,4,0),"")</f>
        <v/>
      </c>
      <c r="I41" s="13" t="str">
        <f aca="false">IF(OR($F41="",$H41=""),"",$F41*$H41)</f>
        <v/>
      </c>
      <c r="J41" s="12"/>
      <c r="K41" s="12"/>
      <c r="L41" s="12"/>
      <c r="M41" s="19"/>
    </row>
    <row r="42" customFormat="false" ht="15" hidden="false" customHeight="true" outlineLevel="0" collapsed="false">
      <c r="A42" s="12" t="str">
        <f aca="false">IF($C42="","","PO-"&amp;TEXT(ROW()-4,"000"))</f>
        <v/>
      </c>
      <c r="B42" s="19"/>
      <c r="C42" s="12"/>
      <c r="D42" s="12"/>
      <c r="E42" s="12" t="str">
        <f aca="false">IFERROR(VLOOKUP($D42,ItemList_Full,2,0),"")</f>
        <v/>
      </c>
      <c r="F42" s="12"/>
      <c r="G42" s="12" t="str">
        <f aca="false">IFERROR(VLOOKUP($D42,ItemList_Full,3,0),"")</f>
        <v/>
      </c>
      <c r="H42" s="12" t="str">
        <f aca="false">IFERROR(VLOOKUP($D42,ItemList_Full,4,0),"")</f>
        <v/>
      </c>
      <c r="I42" s="13" t="str">
        <f aca="false">IF(OR($F42="",$H42=""),"",$F42*$H42)</f>
        <v/>
      </c>
      <c r="J42" s="12"/>
      <c r="K42" s="12"/>
      <c r="L42" s="12"/>
      <c r="M42" s="19"/>
    </row>
    <row r="43" customFormat="false" ht="15" hidden="false" customHeight="true" outlineLevel="0" collapsed="false">
      <c r="A43" s="12" t="str">
        <f aca="false">IF($C43="","","PO-"&amp;TEXT(ROW()-4,"000"))</f>
        <v/>
      </c>
      <c r="B43" s="19"/>
      <c r="C43" s="12"/>
      <c r="D43" s="12"/>
      <c r="E43" s="12" t="str">
        <f aca="false">IFERROR(VLOOKUP($D43,ItemList_Full,2,0),"")</f>
        <v/>
      </c>
      <c r="F43" s="12"/>
      <c r="G43" s="12" t="str">
        <f aca="false">IFERROR(VLOOKUP($D43,ItemList_Full,3,0),"")</f>
        <v/>
      </c>
      <c r="H43" s="12" t="str">
        <f aca="false">IFERROR(VLOOKUP($D43,ItemList_Full,4,0),"")</f>
        <v/>
      </c>
      <c r="I43" s="13" t="str">
        <f aca="false">IF(OR($F43="",$H43=""),"",$F43*$H43)</f>
        <v/>
      </c>
      <c r="J43" s="12"/>
      <c r="K43" s="12"/>
      <c r="L43" s="12"/>
      <c r="M43" s="19"/>
    </row>
    <row r="44" customFormat="false" ht="15" hidden="false" customHeight="true" outlineLevel="0" collapsed="false">
      <c r="A44" s="12" t="str">
        <f aca="false">IF($C44="","","PO-"&amp;TEXT(ROW()-4,"000"))</f>
        <v/>
      </c>
      <c r="B44" s="19"/>
      <c r="C44" s="12"/>
      <c r="D44" s="12"/>
      <c r="E44" s="12" t="str">
        <f aca="false">IFERROR(VLOOKUP($D44,ItemList_Full,2,0),"")</f>
        <v/>
      </c>
      <c r="F44" s="12"/>
      <c r="G44" s="12" t="str">
        <f aca="false">IFERROR(VLOOKUP($D44,ItemList_Full,3,0),"")</f>
        <v/>
      </c>
      <c r="H44" s="12" t="str">
        <f aca="false">IFERROR(VLOOKUP($D44,ItemList_Full,4,0),"")</f>
        <v/>
      </c>
      <c r="I44" s="13" t="str">
        <f aca="false">IF(OR($F44="",$H44=""),"",$F44*$H44)</f>
        <v/>
      </c>
      <c r="J44" s="12"/>
      <c r="K44" s="12"/>
      <c r="L44" s="12"/>
      <c r="M44" s="19"/>
    </row>
    <row r="45" customFormat="false" ht="15" hidden="false" customHeight="true" outlineLevel="0" collapsed="false">
      <c r="A45" s="12" t="str">
        <f aca="false">IF($C45="","","PO-"&amp;TEXT(ROW()-4,"000"))</f>
        <v/>
      </c>
      <c r="B45" s="19"/>
      <c r="C45" s="12"/>
      <c r="D45" s="12"/>
      <c r="E45" s="12" t="str">
        <f aca="false">IFERROR(VLOOKUP($D45,ItemList_Full,2,0),"")</f>
        <v/>
      </c>
      <c r="F45" s="12"/>
      <c r="G45" s="12" t="str">
        <f aca="false">IFERROR(VLOOKUP($D45,ItemList_Full,3,0),"")</f>
        <v/>
      </c>
      <c r="H45" s="12" t="str">
        <f aca="false">IFERROR(VLOOKUP($D45,ItemList_Full,4,0),"")</f>
        <v/>
      </c>
      <c r="I45" s="13" t="str">
        <f aca="false">IF(OR($F45="",$H45=""),"",$F45*$H45)</f>
        <v/>
      </c>
      <c r="J45" s="12"/>
      <c r="K45" s="12"/>
      <c r="L45" s="12"/>
      <c r="M45" s="19"/>
    </row>
    <row r="46" customFormat="false" ht="15" hidden="false" customHeight="true" outlineLevel="0" collapsed="false">
      <c r="A46" s="12" t="str">
        <f aca="false">IF($C46="","","PO-"&amp;TEXT(ROW()-4,"000"))</f>
        <v/>
      </c>
      <c r="B46" s="19"/>
      <c r="C46" s="12"/>
      <c r="D46" s="12"/>
      <c r="E46" s="12" t="str">
        <f aca="false">IFERROR(VLOOKUP($D46,ItemList_Full,2,0),"")</f>
        <v/>
      </c>
      <c r="F46" s="12"/>
      <c r="G46" s="12" t="str">
        <f aca="false">IFERROR(VLOOKUP($D46,ItemList_Full,3,0),"")</f>
        <v/>
      </c>
      <c r="H46" s="12" t="str">
        <f aca="false">IFERROR(VLOOKUP($D46,ItemList_Full,4,0),"")</f>
        <v/>
      </c>
      <c r="I46" s="13" t="str">
        <f aca="false">IF(OR($F46="",$H46=""),"",$F46*$H46)</f>
        <v/>
      </c>
      <c r="J46" s="12"/>
      <c r="K46" s="12"/>
      <c r="L46" s="12"/>
      <c r="M46" s="19"/>
    </row>
    <row r="47" customFormat="false" ht="15" hidden="false" customHeight="true" outlineLevel="0" collapsed="false">
      <c r="A47" s="12" t="str">
        <f aca="false">IF($C47="","","PO-"&amp;TEXT(ROW()-4,"000"))</f>
        <v/>
      </c>
      <c r="B47" s="19"/>
      <c r="C47" s="12"/>
      <c r="D47" s="12"/>
      <c r="E47" s="12" t="str">
        <f aca="false">IFERROR(VLOOKUP($D47,ItemList_Full,2,0),"")</f>
        <v/>
      </c>
      <c r="F47" s="12"/>
      <c r="G47" s="12" t="str">
        <f aca="false">IFERROR(VLOOKUP($D47,ItemList_Full,3,0),"")</f>
        <v/>
      </c>
      <c r="H47" s="12" t="str">
        <f aca="false">IFERROR(VLOOKUP($D47,ItemList_Full,4,0),"")</f>
        <v/>
      </c>
      <c r="I47" s="13" t="str">
        <f aca="false">IF(OR($F47="",$H47=""),"",$F47*$H47)</f>
        <v/>
      </c>
      <c r="J47" s="12"/>
      <c r="K47" s="12"/>
      <c r="L47" s="12"/>
      <c r="M47" s="19"/>
    </row>
    <row r="48" customFormat="false" ht="15" hidden="false" customHeight="true" outlineLevel="0" collapsed="false">
      <c r="A48" s="12" t="str">
        <f aca="false">IF($C48="","","PO-"&amp;TEXT(ROW()-4,"000"))</f>
        <v/>
      </c>
      <c r="B48" s="19"/>
      <c r="C48" s="12"/>
      <c r="D48" s="12"/>
      <c r="E48" s="12" t="str">
        <f aca="false">IFERROR(VLOOKUP($D48,ItemList_Full,2,0),"")</f>
        <v/>
      </c>
      <c r="F48" s="12"/>
      <c r="G48" s="12" t="str">
        <f aca="false">IFERROR(VLOOKUP($D48,ItemList_Full,3,0),"")</f>
        <v/>
      </c>
      <c r="H48" s="12" t="str">
        <f aca="false">IFERROR(VLOOKUP($D48,ItemList_Full,4,0),"")</f>
        <v/>
      </c>
      <c r="I48" s="13" t="str">
        <f aca="false">IF(OR($F48="",$H48=""),"",$F48*$H48)</f>
        <v/>
      </c>
      <c r="J48" s="12"/>
      <c r="K48" s="12"/>
      <c r="L48" s="12"/>
      <c r="M48" s="19"/>
    </row>
    <row r="49" customFormat="false" ht="15" hidden="false" customHeight="true" outlineLevel="0" collapsed="false">
      <c r="A49" s="12" t="str">
        <f aca="false">IF($C49="","","PO-"&amp;TEXT(ROW()-4,"000"))</f>
        <v/>
      </c>
      <c r="B49" s="19"/>
      <c r="C49" s="12"/>
      <c r="D49" s="12"/>
      <c r="E49" s="12" t="str">
        <f aca="false">IFERROR(VLOOKUP($D49,ItemList_Full,2,0),"")</f>
        <v/>
      </c>
      <c r="F49" s="12"/>
      <c r="G49" s="12" t="str">
        <f aca="false">IFERROR(VLOOKUP($D49,ItemList_Full,3,0),"")</f>
        <v/>
      </c>
      <c r="H49" s="12" t="str">
        <f aca="false">IFERROR(VLOOKUP($D49,ItemList_Full,4,0),"")</f>
        <v/>
      </c>
      <c r="I49" s="13" t="str">
        <f aca="false">IF(OR($F49="",$H49=""),"",$F49*$H49)</f>
        <v/>
      </c>
      <c r="J49" s="12"/>
      <c r="K49" s="12"/>
      <c r="L49" s="12"/>
      <c r="M49" s="19"/>
    </row>
    <row r="50" customFormat="false" ht="15" hidden="false" customHeight="true" outlineLevel="0" collapsed="false">
      <c r="A50" s="12" t="str">
        <f aca="false">IF($C50="","","PO-"&amp;TEXT(ROW()-4,"000"))</f>
        <v/>
      </c>
      <c r="B50" s="19"/>
      <c r="C50" s="12"/>
      <c r="D50" s="12"/>
      <c r="E50" s="12" t="str">
        <f aca="false">IFERROR(VLOOKUP($D50,ItemList_Full,2,0),"")</f>
        <v/>
      </c>
      <c r="F50" s="12"/>
      <c r="G50" s="12" t="str">
        <f aca="false">IFERROR(VLOOKUP($D50,ItemList_Full,3,0),"")</f>
        <v/>
      </c>
      <c r="H50" s="12" t="str">
        <f aca="false">IFERROR(VLOOKUP($D50,ItemList_Full,4,0),"")</f>
        <v/>
      </c>
      <c r="I50" s="13" t="str">
        <f aca="false">IF(OR($F50="",$H50=""),"",$F50*$H50)</f>
        <v/>
      </c>
      <c r="J50" s="12"/>
      <c r="K50" s="12"/>
      <c r="L50" s="12"/>
      <c r="M50" s="19"/>
    </row>
    <row r="51" customFormat="false" ht="15" hidden="false" customHeight="true" outlineLevel="0" collapsed="false">
      <c r="A51" s="12" t="str">
        <f aca="false">IF($C51="","","PO-"&amp;TEXT(ROW()-4,"000"))</f>
        <v/>
      </c>
      <c r="B51" s="19"/>
      <c r="C51" s="12"/>
      <c r="D51" s="12"/>
      <c r="E51" s="12" t="str">
        <f aca="false">IFERROR(VLOOKUP($D51,ItemList_Full,2,0),"")</f>
        <v/>
      </c>
      <c r="F51" s="12"/>
      <c r="G51" s="12" t="str">
        <f aca="false">IFERROR(VLOOKUP($D51,ItemList_Full,3,0),"")</f>
        <v/>
      </c>
      <c r="H51" s="12" t="str">
        <f aca="false">IFERROR(VLOOKUP($D51,ItemList_Full,4,0),"")</f>
        <v/>
      </c>
      <c r="I51" s="13" t="str">
        <f aca="false">IF(OR($F51="",$H51=""),"",$F51*$H51)</f>
        <v/>
      </c>
      <c r="J51" s="12"/>
      <c r="K51" s="12"/>
      <c r="L51" s="12"/>
      <c r="M51" s="19"/>
    </row>
    <row r="52" customFormat="false" ht="15" hidden="false" customHeight="true" outlineLevel="0" collapsed="false">
      <c r="A52" s="12" t="str">
        <f aca="false">IF($C52="","","PO-"&amp;TEXT(ROW()-4,"000"))</f>
        <v/>
      </c>
      <c r="B52" s="19"/>
      <c r="C52" s="12"/>
      <c r="D52" s="12"/>
      <c r="E52" s="12" t="str">
        <f aca="false">IFERROR(VLOOKUP($D52,ItemList_Full,2,0),"")</f>
        <v/>
      </c>
      <c r="F52" s="12"/>
      <c r="G52" s="12" t="str">
        <f aca="false">IFERROR(VLOOKUP($D52,ItemList_Full,3,0),"")</f>
        <v/>
      </c>
      <c r="H52" s="12" t="str">
        <f aca="false">IFERROR(VLOOKUP($D52,ItemList_Full,4,0),"")</f>
        <v/>
      </c>
      <c r="I52" s="13" t="str">
        <f aca="false">IF(OR($F52="",$H52=""),"",$F52*$H52)</f>
        <v/>
      </c>
      <c r="J52" s="12"/>
      <c r="K52" s="12"/>
      <c r="L52" s="12"/>
      <c r="M52" s="19"/>
    </row>
    <row r="53" customFormat="false" ht="15" hidden="false" customHeight="true" outlineLevel="0" collapsed="false">
      <c r="A53" s="12" t="str">
        <f aca="false">IF($C53="","","PO-"&amp;TEXT(ROW()-4,"000"))</f>
        <v/>
      </c>
      <c r="B53" s="19"/>
      <c r="C53" s="12"/>
      <c r="D53" s="12"/>
      <c r="E53" s="12" t="str">
        <f aca="false">IFERROR(VLOOKUP($D53,ItemList_Full,2,0),"")</f>
        <v/>
      </c>
      <c r="F53" s="12"/>
      <c r="G53" s="12" t="str">
        <f aca="false">IFERROR(VLOOKUP($D53,ItemList_Full,3,0),"")</f>
        <v/>
      </c>
      <c r="H53" s="12" t="str">
        <f aca="false">IFERROR(VLOOKUP($D53,ItemList_Full,4,0),"")</f>
        <v/>
      </c>
      <c r="I53" s="13" t="str">
        <f aca="false">IF(OR($F53="",$H53=""),"",$F53*$H53)</f>
        <v/>
      </c>
      <c r="J53" s="12"/>
      <c r="K53" s="12"/>
      <c r="L53" s="12"/>
      <c r="M53" s="19"/>
    </row>
    <row r="54" customFormat="false" ht="15" hidden="false" customHeight="true" outlineLevel="0" collapsed="false">
      <c r="A54" s="12" t="str">
        <f aca="false">IF($C54="","","PO-"&amp;TEXT(ROW()-4,"000"))</f>
        <v/>
      </c>
      <c r="B54" s="19"/>
      <c r="C54" s="12"/>
      <c r="D54" s="12"/>
      <c r="E54" s="12" t="str">
        <f aca="false">IFERROR(VLOOKUP($D54,ItemList_Full,2,0),"")</f>
        <v/>
      </c>
      <c r="F54" s="12"/>
      <c r="G54" s="12" t="str">
        <f aca="false">IFERROR(VLOOKUP($D54,ItemList_Full,3,0),"")</f>
        <v/>
      </c>
      <c r="H54" s="12" t="str">
        <f aca="false">IFERROR(VLOOKUP($D54,ItemList_Full,4,0),"")</f>
        <v/>
      </c>
      <c r="I54" s="13" t="str">
        <f aca="false">IF(OR($F54="",$H54=""),"",$F54*$H54)</f>
        <v/>
      </c>
      <c r="J54" s="12"/>
      <c r="K54" s="12"/>
      <c r="L54" s="12"/>
      <c r="M54" s="19"/>
    </row>
    <row r="55" customFormat="false" ht="15" hidden="false" customHeight="true" outlineLevel="0" collapsed="false">
      <c r="A55" s="12" t="str">
        <f aca="false">IF($C55="","","PO-"&amp;TEXT(ROW()-4,"000"))</f>
        <v/>
      </c>
      <c r="B55" s="19"/>
      <c r="C55" s="12"/>
      <c r="D55" s="12"/>
      <c r="E55" s="12" t="str">
        <f aca="false">IFERROR(VLOOKUP($D55,ItemList_Full,2,0),"")</f>
        <v/>
      </c>
      <c r="F55" s="12"/>
      <c r="G55" s="12" t="str">
        <f aca="false">IFERROR(VLOOKUP($D55,ItemList_Full,3,0),"")</f>
        <v/>
      </c>
      <c r="H55" s="12" t="str">
        <f aca="false">IFERROR(VLOOKUP($D55,ItemList_Full,4,0),"")</f>
        <v/>
      </c>
      <c r="I55" s="13" t="str">
        <f aca="false">IF(OR($F55="",$H55=""),"",$F55*$H55)</f>
        <v/>
      </c>
      <c r="J55" s="12"/>
      <c r="K55" s="12"/>
      <c r="L55" s="12"/>
      <c r="M55" s="19"/>
    </row>
    <row r="56" customFormat="false" ht="15" hidden="false" customHeight="true" outlineLevel="0" collapsed="false">
      <c r="A56" s="12" t="str">
        <f aca="false">IF($C56="","","PO-"&amp;TEXT(ROW()-4,"000"))</f>
        <v/>
      </c>
      <c r="B56" s="19"/>
      <c r="C56" s="12"/>
      <c r="D56" s="12"/>
      <c r="E56" s="12" t="str">
        <f aca="false">IFERROR(VLOOKUP($D56,ItemList_Full,2,0),"")</f>
        <v/>
      </c>
      <c r="F56" s="12"/>
      <c r="G56" s="12" t="str">
        <f aca="false">IFERROR(VLOOKUP($D56,ItemList_Full,3,0),"")</f>
        <v/>
      </c>
      <c r="H56" s="12" t="str">
        <f aca="false">IFERROR(VLOOKUP($D56,ItemList_Full,4,0),"")</f>
        <v/>
      </c>
      <c r="I56" s="13" t="str">
        <f aca="false">IF(OR($F56="",$H56=""),"",$F56*$H56)</f>
        <v/>
      </c>
      <c r="J56" s="12"/>
      <c r="K56" s="12"/>
      <c r="L56" s="12"/>
      <c r="M56" s="19"/>
    </row>
    <row r="57" customFormat="false" ht="15" hidden="false" customHeight="true" outlineLevel="0" collapsed="false">
      <c r="A57" s="12" t="str">
        <f aca="false">IF($C57="","","PO-"&amp;TEXT(ROW()-4,"000"))</f>
        <v/>
      </c>
      <c r="B57" s="19"/>
      <c r="C57" s="12"/>
      <c r="D57" s="12"/>
      <c r="E57" s="12" t="str">
        <f aca="false">IFERROR(VLOOKUP($D57,ItemList_Full,2,0),"")</f>
        <v/>
      </c>
      <c r="F57" s="12"/>
      <c r="G57" s="12" t="str">
        <f aca="false">IFERROR(VLOOKUP($D57,ItemList_Full,3,0),"")</f>
        <v/>
      </c>
      <c r="H57" s="12" t="str">
        <f aca="false">IFERROR(VLOOKUP($D57,ItemList_Full,4,0),"")</f>
        <v/>
      </c>
      <c r="I57" s="13" t="str">
        <f aca="false">IF(OR($F57="",$H57=""),"",$F57*$H57)</f>
        <v/>
      </c>
      <c r="J57" s="12"/>
      <c r="K57" s="12"/>
      <c r="L57" s="12"/>
      <c r="M57" s="19"/>
    </row>
    <row r="58" customFormat="false" ht="15" hidden="false" customHeight="true" outlineLevel="0" collapsed="false">
      <c r="A58" s="12" t="str">
        <f aca="false">IF($C58="","","PO-"&amp;TEXT(ROW()-4,"000"))</f>
        <v/>
      </c>
      <c r="B58" s="19"/>
      <c r="C58" s="12"/>
      <c r="D58" s="12"/>
      <c r="E58" s="12" t="str">
        <f aca="false">IFERROR(VLOOKUP($D58,ItemList_Full,2,0),"")</f>
        <v/>
      </c>
      <c r="F58" s="12"/>
      <c r="G58" s="12" t="str">
        <f aca="false">IFERROR(VLOOKUP($D58,ItemList_Full,3,0),"")</f>
        <v/>
      </c>
      <c r="H58" s="12" t="str">
        <f aca="false">IFERROR(VLOOKUP($D58,ItemList_Full,4,0),"")</f>
        <v/>
      </c>
      <c r="I58" s="13" t="str">
        <f aca="false">IF(OR($F58="",$H58=""),"",$F58*$H58)</f>
        <v/>
      </c>
      <c r="J58" s="12"/>
      <c r="K58" s="12"/>
      <c r="L58" s="12"/>
      <c r="M58" s="19"/>
    </row>
    <row r="59" customFormat="false" ht="15" hidden="false" customHeight="true" outlineLevel="0" collapsed="false">
      <c r="A59" s="12" t="str">
        <f aca="false">IF($C59="","","PO-"&amp;TEXT(ROW()-4,"000"))</f>
        <v/>
      </c>
      <c r="B59" s="19"/>
      <c r="C59" s="12"/>
      <c r="D59" s="12"/>
      <c r="E59" s="12" t="str">
        <f aca="false">IFERROR(VLOOKUP($D59,ItemList_Full,2,0),"")</f>
        <v/>
      </c>
      <c r="F59" s="12"/>
      <c r="G59" s="12" t="str">
        <f aca="false">IFERROR(VLOOKUP($D59,ItemList_Full,3,0),"")</f>
        <v/>
      </c>
      <c r="H59" s="12" t="str">
        <f aca="false">IFERROR(VLOOKUP($D59,ItemList_Full,4,0),"")</f>
        <v/>
      </c>
      <c r="I59" s="13" t="str">
        <f aca="false">IF(OR($F59="",$H59=""),"",$F59*$H59)</f>
        <v/>
      </c>
      <c r="J59" s="12"/>
      <c r="K59" s="12"/>
      <c r="L59" s="12"/>
      <c r="M59" s="19"/>
    </row>
    <row r="60" customFormat="false" ht="15" hidden="false" customHeight="true" outlineLevel="0" collapsed="false">
      <c r="A60" s="12" t="str">
        <f aca="false">IF($C60="","","PO-"&amp;TEXT(ROW()-4,"000"))</f>
        <v/>
      </c>
      <c r="B60" s="19"/>
      <c r="C60" s="12"/>
      <c r="D60" s="12"/>
      <c r="E60" s="12" t="str">
        <f aca="false">IFERROR(VLOOKUP($D60,ItemList_Full,2,0),"")</f>
        <v/>
      </c>
      <c r="F60" s="12"/>
      <c r="G60" s="12" t="str">
        <f aca="false">IFERROR(VLOOKUP($D60,ItemList_Full,3,0),"")</f>
        <v/>
      </c>
      <c r="H60" s="12" t="str">
        <f aca="false">IFERROR(VLOOKUP($D60,ItemList_Full,4,0),"")</f>
        <v/>
      </c>
      <c r="I60" s="13" t="str">
        <f aca="false">IF(OR($F60="",$H60=""),"",$F60*$H60)</f>
        <v/>
      </c>
      <c r="J60" s="12"/>
      <c r="K60" s="12"/>
      <c r="L60" s="12"/>
      <c r="M60" s="19"/>
    </row>
    <row r="61" customFormat="false" ht="15" hidden="false" customHeight="true" outlineLevel="0" collapsed="false">
      <c r="A61" s="12" t="str">
        <f aca="false">IF($C61="","","PO-"&amp;TEXT(ROW()-4,"000"))</f>
        <v/>
      </c>
      <c r="B61" s="19"/>
      <c r="C61" s="12"/>
      <c r="D61" s="12"/>
      <c r="E61" s="12" t="str">
        <f aca="false">IFERROR(VLOOKUP($D61,ItemList_Full,2,0),"")</f>
        <v/>
      </c>
      <c r="F61" s="12"/>
      <c r="G61" s="12" t="str">
        <f aca="false">IFERROR(VLOOKUP($D61,ItemList_Full,3,0),"")</f>
        <v/>
      </c>
      <c r="H61" s="12" t="str">
        <f aca="false">IFERROR(VLOOKUP($D61,ItemList_Full,4,0),"")</f>
        <v/>
      </c>
      <c r="I61" s="13" t="str">
        <f aca="false">IF(OR($F61="",$H61=""),"",$F61*$H61)</f>
        <v/>
      </c>
      <c r="J61" s="12"/>
      <c r="K61" s="12"/>
      <c r="L61" s="12"/>
      <c r="M61" s="19"/>
    </row>
    <row r="62" customFormat="false" ht="15" hidden="false" customHeight="true" outlineLevel="0" collapsed="false">
      <c r="A62" s="12" t="str">
        <f aca="false">IF($C62="","","PO-"&amp;TEXT(ROW()-4,"000"))</f>
        <v/>
      </c>
      <c r="B62" s="19"/>
      <c r="C62" s="12"/>
      <c r="D62" s="12"/>
      <c r="E62" s="12" t="str">
        <f aca="false">IFERROR(VLOOKUP($D62,ItemList_Full,2,0),"")</f>
        <v/>
      </c>
      <c r="F62" s="12"/>
      <c r="G62" s="12" t="str">
        <f aca="false">IFERROR(VLOOKUP($D62,ItemList_Full,3,0),"")</f>
        <v/>
      </c>
      <c r="H62" s="12" t="str">
        <f aca="false">IFERROR(VLOOKUP($D62,ItemList_Full,4,0),"")</f>
        <v/>
      </c>
      <c r="I62" s="13" t="str">
        <f aca="false">IF(OR($F62="",$H62=""),"",$F62*$H62)</f>
        <v/>
      </c>
      <c r="J62" s="12"/>
      <c r="K62" s="12"/>
      <c r="L62" s="12"/>
      <c r="M62" s="19"/>
    </row>
    <row r="63" customFormat="false" ht="15" hidden="false" customHeight="true" outlineLevel="0" collapsed="false">
      <c r="A63" s="12" t="str">
        <f aca="false">IF($C63="","","PO-"&amp;TEXT(ROW()-4,"000"))</f>
        <v/>
      </c>
      <c r="B63" s="19"/>
      <c r="C63" s="12"/>
      <c r="D63" s="12"/>
      <c r="E63" s="12" t="str">
        <f aca="false">IFERROR(VLOOKUP($D63,ItemList_Full,2,0),"")</f>
        <v/>
      </c>
      <c r="F63" s="12"/>
      <c r="G63" s="12" t="str">
        <f aca="false">IFERROR(VLOOKUP($D63,ItemList_Full,3,0),"")</f>
        <v/>
      </c>
      <c r="H63" s="12" t="str">
        <f aca="false">IFERROR(VLOOKUP($D63,ItemList_Full,4,0),"")</f>
        <v/>
      </c>
      <c r="I63" s="13" t="str">
        <f aca="false">IF(OR($F63="",$H63=""),"",$F63*$H63)</f>
        <v/>
      </c>
      <c r="J63" s="12"/>
      <c r="K63" s="12"/>
      <c r="L63" s="12"/>
      <c r="M63" s="19"/>
    </row>
    <row r="64" customFormat="false" ht="15" hidden="false" customHeight="true" outlineLevel="0" collapsed="false">
      <c r="A64" s="12" t="str">
        <f aca="false">IF($C64="","","PO-"&amp;TEXT(ROW()-4,"000"))</f>
        <v/>
      </c>
      <c r="B64" s="19"/>
      <c r="C64" s="12"/>
      <c r="D64" s="12"/>
      <c r="E64" s="12" t="str">
        <f aca="false">IFERROR(VLOOKUP($D64,ItemList_Full,2,0),"")</f>
        <v/>
      </c>
      <c r="F64" s="12"/>
      <c r="G64" s="12" t="str">
        <f aca="false">IFERROR(VLOOKUP($D64,ItemList_Full,3,0),"")</f>
        <v/>
      </c>
      <c r="H64" s="12" t="str">
        <f aca="false">IFERROR(VLOOKUP($D64,ItemList_Full,4,0),"")</f>
        <v/>
      </c>
      <c r="I64" s="13" t="str">
        <f aca="false">IF(OR($F64="",$H64=""),"",$F64*$H64)</f>
        <v/>
      </c>
      <c r="J64" s="12"/>
      <c r="K64" s="12"/>
      <c r="L64" s="12"/>
      <c r="M64" s="19"/>
    </row>
    <row r="65" customFormat="false" ht="15" hidden="false" customHeight="true" outlineLevel="0" collapsed="false">
      <c r="A65" s="12" t="str">
        <f aca="false">IF($C65="","","PO-"&amp;TEXT(ROW()-4,"000"))</f>
        <v/>
      </c>
      <c r="B65" s="19"/>
      <c r="C65" s="12"/>
      <c r="D65" s="12"/>
      <c r="E65" s="12" t="str">
        <f aca="false">IFERROR(VLOOKUP($D65,ItemList_Full,2,0),"")</f>
        <v/>
      </c>
      <c r="F65" s="12"/>
      <c r="G65" s="12" t="str">
        <f aca="false">IFERROR(VLOOKUP($D65,ItemList_Full,3,0),"")</f>
        <v/>
      </c>
      <c r="H65" s="12" t="str">
        <f aca="false">IFERROR(VLOOKUP($D65,ItemList_Full,4,0),"")</f>
        <v/>
      </c>
      <c r="I65" s="13" t="str">
        <f aca="false">IF(OR($F65="",$H65=""),"",$F65*$H65)</f>
        <v/>
      </c>
      <c r="J65" s="12"/>
      <c r="K65" s="12"/>
      <c r="L65" s="12"/>
      <c r="M65" s="19"/>
    </row>
    <row r="66" customFormat="false" ht="15" hidden="false" customHeight="true" outlineLevel="0" collapsed="false">
      <c r="A66" s="12" t="str">
        <f aca="false">IF($C66="","","PO-"&amp;TEXT(ROW()-4,"000"))</f>
        <v/>
      </c>
      <c r="B66" s="19"/>
      <c r="C66" s="12"/>
      <c r="D66" s="12"/>
      <c r="E66" s="12" t="str">
        <f aca="false">IFERROR(VLOOKUP($D66,ItemList_Full,2,0),"")</f>
        <v/>
      </c>
      <c r="F66" s="12"/>
      <c r="G66" s="12" t="str">
        <f aca="false">IFERROR(VLOOKUP($D66,ItemList_Full,3,0),"")</f>
        <v/>
      </c>
      <c r="H66" s="12" t="str">
        <f aca="false">IFERROR(VLOOKUP($D66,ItemList_Full,4,0),"")</f>
        <v/>
      </c>
      <c r="I66" s="13" t="str">
        <f aca="false">IF(OR($F66="",$H66=""),"",$F66*$H66)</f>
        <v/>
      </c>
      <c r="J66" s="12"/>
      <c r="K66" s="12"/>
      <c r="L66" s="12"/>
      <c r="M66" s="19"/>
    </row>
    <row r="67" customFormat="false" ht="15" hidden="false" customHeight="true" outlineLevel="0" collapsed="false">
      <c r="A67" s="12" t="str">
        <f aca="false">IF($C67="","","PO-"&amp;TEXT(ROW()-4,"000"))</f>
        <v/>
      </c>
      <c r="B67" s="19"/>
      <c r="C67" s="12"/>
      <c r="D67" s="12"/>
      <c r="E67" s="12" t="str">
        <f aca="false">IFERROR(VLOOKUP($D67,ItemList_Full,2,0),"")</f>
        <v/>
      </c>
      <c r="F67" s="12"/>
      <c r="G67" s="12" t="str">
        <f aca="false">IFERROR(VLOOKUP($D67,ItemList_Full,3,0),"")</f>
        <v/>
      </c>
      <c r="H67" s="12" t="str">
        <f aca="false">IFERROR(VLOOKUP($D67,ItemList_Full,4,0),"")</f>
        <v/>
      </c>
      <c r="I67" s="13" t="str">
        <f aca="false">IF(OR($F67="",$H67=""),"",$F67*$H67)</f>
        <v/>
      </c>
      <c r="J67" s="12"/>
      <c r="K67" s="12"/>
      <c r="L67" s="12"/>
      <c r="M67" s="19"/>
    </row>
    <row r="68" customFormat="false" ht="15" hidden="false" customHeight="true" outlineLevel="0" collapsed="false">
      <c r="A68" s="12" t="str">
        <f aca="false">IF($C68="","","PO-"&amp;TEXT(ROW()-4,"000"))</f>
        <v/>
      </c>
      <c r="B68" s="19"/>
      <c r="C68" s="12"/>
      <c r="D68" s="12"/>
      <c r="E68" s="12" t="str">
        <f aca="false">IFERROR(VLOOKUP($D68,ItemList_Full,2,0),"")</f>
        <v/>
      </c>
      <c r="F68" s="12"/>
      <c r="G68" s="12" t="str">
        <f aca="false">IFERROR(VLOOKUP($D68,ItemList_Full,3,0),"")</f>
        <v/>
      </c>
      <c r="H68" s="12" t="str">
        <f aca="false">IFERROR(VLOOKUP($D68,ItemList_Full,4,0),"")</f>
        <v/>
      </c>
      <c r="I68" s="13" t="str">
        <f aca="false">IF(OR($F68="",$H68=""),"",$F68*$H68)</f>
        <v/>
      </c>
      <c r="J68" s="12"/>
      <c r="K68" s="12"/>
      <c r="L68" s="12"/>
      <c r="M68" s="19"/>
    </row>
    <row r="69" customFormat="false" ht="15" hidden="false" customHeight="true" outlineLevel="0" collapsed="false">
      <c r="A69" s="12" t="str">
        <f aca="false">IF($C69="","","PO-"&amp;TEXT(ROW()-4,"000"))</f>
        <v/>
      </c>
      <c r="B69" s="19"/>
      <c r="C69" s="12"/>
      <c r="D69" s="12"/>
      <c r="E69" s="12" t="str">
        <f aca="false">IFERROR(VLOOKUP($D69,ItemList_Full,2,0),"")</f>
        <v/>
      </c>
      <c r="F69" s="12"/>
      <c r="G69" s="12" t="str">
        <f aca="false">IFERROR(VLOOKUP($D69,ItemList_Full,3,0),"")</f>
        <v/>
      </c>
      <c r="H69" s="12" t="str">
        <f aca="false">IFERROR(VLOOKUP($D69,ItemList_Full,4,0),"")</f>
        <v/>
      </c>
      <c r="I69" s="13" t="str">
        <f aca="false">IF(OR($F69="",$H69=""),"",$F69*$H69)</f>
        <v/>
      </c>
      <c r="J69" s="12"/>
      <c r="K69" s="12"/>
      <c r="L69" s="12"/>
      <c r="M69" s="19"/>
    </row>
    <row r="70" customFormat="false" ht="15" hidden="false" customHeight="true" outlineLevel="0" collapsed="false">
      <c r="A70" s="12" t="str">
        <f aca="false">IF($C70="","","PO-"&amp;TEXT(ROW()-4,"000"))</f>
        <v/>
      </c>
      <c r="B70" s="19"/>
      <c r="C70" s="12"/>
      <c r="D70" s="12"/>
      <c r="E70" s="12" t="str">
        <f aca="false">IFERROR(VLOOKUP($D70,ItemList_Full,2,0),"")</f>
        <v/>
      </c>
      <c r="F70" s="12"/>
      <c r="G70" s="12" t="str">
        <f aca="false">IFERROR(VLOOKUP($D70,ItemList_Full,3,0),"")</f>
        <v/>
      </c>
      <c r="H70" s="12" t="str">
        <f aca="false">IFERROR(VLOOKUP($D70,ItemList_Full,4,0),"")</f>
        <v/>
      </c>
      <c r="I70" s="13" t="str">
        <f aca="false">IF(OR($F70="",$H70=""),"",$F70*$H70)</f>
        <v/>
      </c>
      <c r="J70" s="12"/>
      <c r="K70" s="12"/>
      <c r="L70" s="12"/>
      <c r="M70" s="19"/>
    </row>
    <row r="71" customFormat="false" ht="15" hidden="false" customHeight="true" outlineLevel="0" collapsed="false">
      <c r="A71" s="12" t="str">
        <f aca="false">IF($C71="","","PO-"&amp;TEXT(ROW()-4,"000"))</f>
        <v/>
      </c>
      <c r="B71" s="19"/>
      <c r="C71" s="12"/>
      <c r="D71" s="12"/>
      <c r="E71" s="12" t="str">
        <f aca="false">IFERROR(VLOOKUP($D71,ItemList_Full,2,0),"")</f>
        <v/>
      </c>
      <c r="F71" s="12"/>
      <c r="G71" s="12" t="str">
        <f aca="false">IFERROR(VLOOKUP($D71,ItemList_Full,3,0),"")</f>
        <v/>
      </c>
      <c r="H71" s="12" t="str">
        <f aca="false">IFERROR(VLOOKUP($D71,ItemList_Full,4,0),"")</f>
        <v/>
      </c>
      <c r="I71" s="13" t="str">
        <f aca="false">IF(OR($F71="",$H71=""),"",$F71*$H71)</f>
        <v/>
      </c>
      <c r="J71" s="12"/>
      <c r="K71" s="12"/>
      <c r="L71" s="12"/>
      <c r="M71" s="19"/>
    </row>
    <row r="72" customFormat="false" ht="15" hidden="false" customHeight="true" outlineLevel="0" collapsed="false">
      <c r="A72" s="12" t="str">
        <f aca="false">IF($C72="","","PO-"&amp;TEXT(ROW()-4,"000"))</f>
        <v/>
      </c>
      <c r="B72" s="19"/>
      <c r="C72" s="12"/>
      <c r="D72" s="12"/>
      <c r="E72" s="12" t="str">
        <f aca="false">IFERROR(VLOOKUP($D72,ItemList_Full,2,0),"")</f>
        <v/>
      </c>
      <c r="F72" s="12"/>
      <c r="G72" s="12" t="str">
        <f aca="false">IFERROR(VLOOKUP($D72,ItemList_Full,3,0),"")</f>
        <v/>
      </c>
      <c r="H72" s="12" t="str">
        <f aca="false">IFERROR(VLOOKUP($D72,ItemList_Full,4,0),"")</f>
        <v/>
      </c>
      <c r="I72" s="13" t="str">
        <f aca="false">IF(OR($F72="",$H72=""),"",$F72*$H72)</f>
        <v/>
      </c>
      <c r="J72" s="12"/>
      <c r="K72" s="12"/>
      <c r="L72" s="12"/>
      <c r="M72" s="19"/>
    </row>
    <row r="73" customFormat="false" ht="15" hidden="false" customHeight="true" outlineLevel="0" collapsed="false">
      <c r="A73" s="12" t="str">
        <f aca="false">IF($C73="","","PO-"&amp;TEXT(ROW()-4,"000"))</f>
        <v/>
      </c>
      <c r="B73" s="19"/>
      <c r="C73" s="12"/>
      <c r="D73" s="12"/>
      <c r="E73" s="12" t="str">
        <f aca="false">IFERROR(VLOOKUP($D73,ItemList_Full,2,0),"")</f>
        <v/>
      </c>
      <c r="F73" s="12"/>
      <c r="G73" s="12" t="str">
        <f aca="false">IFERROR(VLOOKUP($D73,ItemList_Full,3,0),"")</f>
        <v/>
      </c>
      <c r="H73" s="12" t="str">
        <f aca="false">IFERROR(VLOOKUP($D73,ItemList_Full,4,0),"")</f>
        <v/>
      </c>
      <c r="I73" s="13" t="str">
        <f aca="false">IF(OR($F73="",$H73=""),"",$F73*$H73)</f>
        <v/>
      </c>
      <c r="J73" s="12"/>
      <c r="K73" s="12"/>
      <c r="L73" s="12"/>
      <c r="M73" s="19"/>
    </row>
    <row r="74" customFormat="false" ht="15" hidden="false" customHeight="true" outlineLevel="0" collapsed="false">
      <c r="A74" s="12" t="str">
        <f aca="false">IF($C74="","","PO-"&amp;TEXT(ROW()-4,"000"))</f>
        <v/>
      </c>
      <c r="B74" s="19"/>
      <c r="C74" s="12"/>
      <c r="D74" s="12"/>
      <c r="E74" s="12" t="str">
        <f aca="false">IFERROR(VLOOKUP($D74,ItemList_Full,2,0),"")</f>
        <v/>
      </c>
      <c r="F74" s="12"/>
      <c r="G74" s="12" t="str">
        <f aca="false">IFERROR(VLOOKUP($D74,ItemList_Full,3,0),"")</f>
        <v/>
      </c>
      <c r="H74" s="12" t="str">
        <f aca="false">IFERROR(VLOOKUP($D74,ItemList_Full,4,0),"")</f>
        <v/>
      </c>
      <c r="I74" s="13" t="str">
        <f aca="false">IF(OR($F74="",$H74=""),"",$F74*$H74)</f>
        <v/>
      </c>
      <c r="J74" s="12"/>
      <c r="K74" s="12"/>
      <c r="L74" s="12"/>
      <c r="M74" s="19"/>
    </row>
    <row r="75" customFormat="false" ht="15" hidden="false" customHeight="true" outlineLevel="0" collapsed="false">
      <c r="A75" s="12" t="str">
        <f aca="false">IF($C75="","","PO-"&amp;TEXT(ROW()-4,"000"))</f>
        <v/>
      </c>
      <c r="B75" s="19"/>
      <c r="C75" s="12"/>
      <c r="D75" s="12"/>
      <c r="E75" s="12" t="str">
        <f aca="false">IFERROR(VLOOKUP($D75,ItemList_Full,2,0),"")</f>
        <v/>
      </c>
      <c r="F75" s="12"/>
      <c r="G75" s="12" t="str">
        <f aca="false">IFERROR(VLOOKUP($D75,ItemList_Full,3,0),"")</f>
        <v/>
      </c>
      <c r="H75" s="12" t="str">
        <f aca="false">IFERROR(VLOOKUP($D75,ItemList_Full,4,0),"")</f>
        <v/>
      </c>
      <c r="I75" s="13" t="str">
        <f aca="false">IF(OR($F75="",$H75=""),"",$F75*$H75)</f>
        <v/>
      </c>
      <c r="J75" s="12"/>
      <c r="K75" s="12"/>
      <c r="L75" s="12"/>
      <c r="M75" s="19"/>
    </row>
    <row r="76" customFormat="false" ht="15" hidden="false" customHeight="true" outlineLevel="0" collapsed="false">
      <c r="A76" s="12" t="str">
        <f aca="false">IF($C76="","","PO-"&amp;TEXT(ROW()-4,"000"))</f>
        <v/>
      </c>
      <c r="B76" s="19"/>
      <c r="C76" s="12"/>
      <c r="D76" s="12"/>
      <c r="E76" s="12" t="str">
        <f aca="false">IFERROR(VLOOKUP($D76,ItemList_Full,2,0),"")</f>
        <v/>
      </c>
      <c r="F76" s="12"/>
      <c r="G76" s="12" t="str">
        <f aca="false">IFERROR(VLOOKUP($D76,ItemList_Full,3,0),"")</f>
        <v/>
      </c>
      <c r="H76" s="12" t="str">
        <f aca="false">IFERROR(VLOOKUP($D76,ItemList_Full,4,0),"")</f>
        <v/>
      </c>
      <c r="I76" s="13" t="str">
        <f aca="false">IF(OR($F76="",$H76=""),"",$F76*$H76)</f>
        <v/>
      </c>
      <c r="J76" s="12"/>
      <c r="K76" s="12"/>
      <c r="L76" s="12"/>
      <c r="M76" s="19"/>
    </row>
    <row r="77" customFormat="false" ht="15" hidden="false" customHeight="true" outlineLevel="0" collapsed="false">
      <c r="A77" s="12" t="str">
        <f aca="false">IF($C77="","","PO-"&amp;TEXT(ROW()-4,"000"))</f>
        <v/>
      </c>
      <c r="B77" s="19"/>
      <c r="C77" s="12"/>
      <c r="D77" s="12"/>
      <c r="E77" s="12" t="str">
        <f aca="false">IFERROR(VLOOKUP($D77,ItemList_Full,2,0),"")</f>
        <v/>
      </c>
      <c r="F77" s="12"/>
      <c r="G77" s="12" t="str">
        <f aca="false">IFERROR(VLOOKUP($D77,ItemList_Full,3,0),"")</f>
        <v/>
      </c>
      <c r="H77" s="12" t="str">
        <f aca="false">IFERROR(VLOOKUP($D77,ItemList_Full,4,0),"")</f>
        <v/>
      </c>
      <c r="I77" s="13" t="str">
        <f aca="false">IF(OR($F77="",$H77=""),"",$F77*$H77)</f>
        <v/>
      </c>
      <c r="J77" s="12"/>
      <c r="K77" s="12"/>
      <c r="L77" s="12"/>
      <c r="M77" s="19"/>
    </row>
    <row r="78" customFormat="false" ht="15" hidden="false" customHeight="true" outlineLevel="0" collapsed="false">
      <c r="A78" s="12" t="str">
        <f aca="false">IF($C78="","","PO-"&amp;TEXT(ROW()-4,"000"))</f>
        <v/>
      </c>
      <c r="B78" s="19"/>
      <c r="C78" s="12"/>
      <c r="D78" s="12"/>
      <c r="E78" s="12" t="str">
        <f aca="false">IFERROR(VLOOKUP($D78,ItemList_Full,2,0),"")</f>
        <v/>
      </c>
      <c r="F78" s="12"/>
      <c r="G78" s="12" t="str">
        <f aca="false">IFERROR(VLOOKUP($D78,ItemList_Full,3,0),"")</f>
        <v/>
      </c>
      <c r="H78" s="12" t="str">
        <f aca="false">IFERROR(VLOOKUP($D78,ItemList_Full,4,0),"")</f>
        <v/>
      </c>
      <c r="I78" s="13" t="str">
        <f aca="false">IF(OR($F78="",$H78=""),"",$F78*$H78)</f>
        <v/>
      </c>
      <c r="J78" s="12"/>
      <c r="K78" s="12"/>
      <c r="L78" s="12"/>
      <c r="M78" s="19"/>
    </row>
    <row r="79" customFormat="false" ht="15" hidden="false" customHeight="true" outlineLevel="0" collapsed="false">
      <c r="A79" s="12" t="str">
        <f aca="false">IF($C79="","","PO-"&amp;TEXT(ROW()-4,"000"))</f>
        <v/>
      </c>
      <c r="B79" s="19"/>
      <c r="C79" s="12"/>
      <c r="D79" s="12"/>
      <c r="E79" s="12" t="str">
        <f aca="false">IFERROR(VLOOKUP($D79,ItemList_Full,2,0),"")</f>
        <v/>
      </c>
      <c r="F79" s="12"/>
      <c r="G79" s="12" t="str">
        <f aca="false">IFERROR(VLOOKUP($D79,ItemList_Full,3,0),"")</f>
        <v/>
      </c>
      <c r="H79" s="12" t="str">
        <f aca="false">IFERROR(VLOOKUP($D79,ItemList_Full,4,0),"")</f>
        <v/>
      </c>
      <c r="I79" s="13" t="str">
        <f aca="false">IF(OR($F79="",$H79=""),"",$F79*$H79)</f>
        <v/>
      </c>
      <c r="J79" s="12"/>
      <c r="K79" s="12"/>
      <c r="L79" s="12"/>
      <c r="M79" s="19"/>
    </row>
    <row r="80" customFormat="false" ht="15" hidden="false" customHeight="true" outlineLevel="0" collapsed="false">
      <c r="A80" s="12" t="str">
        <f aca="false">IF($C80="","","PO-"&amp;TEXT(ROW()-4,"000"))</f>
        <v/>
      </c>
      <c r="B80" s="19"/>
      <c r="C80" s="12"/>
      <c r="D80" s="12"/>
      <c r="E80" s="12" t="str">
        <f aca="false">IFERROR(VLOOKUP($D80,ItemList_Full,2,0),"")</f>
        <v/>
      </c>
      <c r="F80" s="12"/>
      <c r="G80" s="12" t="str">
        <f aca="false">IFERROR(VLOOKUP($D80,ItemList_Full,3,0),"")</f>
        <v/>
      </c>
      <c r="H80" s="12" t="str">
        <f aca="false">IFERROR(VLOOKUP($D80,ItemList_Full,4,0),"")</f>
        <v/>
      </c>
      <c r="I80" s="13" t="str">
        <f aca="false">IF(OR($F80="",$H80=""),"",$F80*$H80)</f>
        <v/>
      </c>
      <c r="J80" s="12"/>
      <c r="K80" s="12"/>
      <c r="L80" s="12"/>
      <c r="M80" s="19"/>
    </row>
    <row r="81" customFormat="false" ht="15" hidden="false" customHeight="true" outlineLevel="0" collapsed="false">
      <c r="A81" s="12" t="str">
        <f aca="false">IF($C81="","","PO-"&amp;TEXT(ROW()-4,"000"))</f>
        <v/>
      </c>
      <c r="B81" s="19"/>
      <c r="C81" s="12"/>
      <c r="D81" s="12"/>
      <c r="E81" s="12" t="str">
        <f aca="false">IFERROR(VLOOKUP($D81,ItemList_Full,2,0),"")</f>
        <v/>
      </c>
      <c r="F81" s="12"/>
      <c r="G81" s="12" t="str">
        <f aca="false">IFERROR(VLOOKUP($D81,ItemList_Full,3,0),"")</f>
        <v/>
      </c>
      <c r="H81" s="12" t="str">
        <f aca="false">IFERROR(VLOOKUP($D81,ItemList_Full,4,0),"")</f>
        <v/>
      </c>
      <c r="I81" s="13" t="str">
        <f aca="false">IF(OR($F81="",$H81=""),"",$F81*$H81)</f>
        <v/>
      </c>
      <c r="J81" s="12"/>
      <c r="K81" s="12"/>
      <c r="L81" s="12"/>
      <c r="M81" s="19"/>
    </row>
    <row r="82" customFormat="false" ht="15" hidden="false" customHeight="true" outlineLevel="0" collapsed="false">
      <c r="A82" s="12" t="str">
        <f aca="false">IF($C82="","","PO-"&amp;TEXT(ROW()-4,"000"))</f>
        <v/>
      </c>
      <c r="B82" s="19"/>
      <c r="C82" s="12"/>
      <c r="D82" s="12"/>
      <c r="E82" s="12" t="str">
        <f aca="false">IFERROR(VLOOKUP($D82,ItemList_Full,2,0),"")</f>
        <v/>
      </c>
      <c r="F82" s="12"/>
      <c r="G82" s="12" t="str">
        <f aca="false">IFERROR(VLOOKUP($D82,ItemList_Full,3,0),"")</f>
        <v/>
      </c>
      <c r="H82" s="12" t="str">
        <f aca="false">IFERROR(VLOOKUP($D82,ItemList_Full,4,0),"")</f>
        <v/>
      </c>
      <c r="I82" s="13" t="str">
        <f aca="false">IF(OR($F82="",$H82=""),"",$F82*$H82)</f>
        <v/>
      </c>
      <c r="J82" s="12"/>
      <c r="K82" s="12"/>
      <c r="L82" s="12"/>
      <c r="M82" s="19"/>
    </row>
    <row r="83" customFormat="false" ht="15" hidden="false" customHeight="true" outlineLevel="0" collapsed="false">
      <c r="A83" s="12" t="str">
        <f aca="false">IF($C83="","","PO-"&amp;TEXT(ROW()-4,"000"))</f>
        <v/>
      </c>
      <c r="B83" s="19"/>
      <c r="C83" s="12"/>
      <c r="D83" s="12"/>
      <c r="E83" s="12" t="str">
        <f aca="false">IFERROR(VLOOKUP($D83,ItemList_Full,2,0),"")</f>
        <v/>
      </c>
      <c r="F83" s="12"/>
      <c r="G83" s="12" t="str">
        <f aca="false">IFERROR(VLOOKUP($D83,ItemList_Full,3,0),"")</f>
        <v/>
      </c>
      <c r="H83" s="12" t="str">
        <f aca="false">IFERROR(VLOOKUP($D83,ItemList_Full,4,0),"")</f>
        <v/>
      </c>
      <c r="I83" s="13" t="str">
        <f aca="false">IF(OR($F83="",$H83=""),"",$F83*$H83)</f>
        <v/>
      </c>
      <c r="J83" s="12"/>
      <c r="K83" s="12"/>
      <c r="L83" s="12"/>
      <c r="M83" s="19"/>
    </row>
    <row r="84" customFormat="false" ht="15" hidden="false" customHeight="true" outlineLevel="0" collapsed="false">
      <c r="A84" s="12" t="str">
        <f aca="false">IF($C84="","","PO-"&amp;TEXT(ROW()-4,"000"))</f>
        <v/>
      </c>
      <c r="B84" s="19"/>
      <c r="C84" s="12"/>
      <c r="D84" s="12"/>
      <c r="E84" s="12" t="str">
        <f aca="false">IFERROR(VLOOKUP($D84,ItemList_Full,2,0),"")</f>
        <v/>
      </c>
      <c r="F84" s="12"/>
      <c r="G84" s="12" t="str">
        <f aca="false">IFERROR(VLOOKUP($D84,ItemList_Full,3,0),"")</f>
        <v/>
      </c>
      <c r="H84" s="12" t="str">
        <f aca="false">IFERROR(VLOOKUP($D84,ItemList_Full,4,0),"")</f>
        <v/>
      </c>
      <c r="I84" s="13" t="str">
        <f aca="false">IF(OR($F84="",$H84=""),"",$F84*$H84)</f>
        <v/>
      </c>
      <c r="J84" s="12"/>
      <c r="K84" s="12"/>
      <c r="L84" s="12"/>
      <c r="M84" s="19"/>
    </row>
    <row r="85" customFormat="false" ht="15" hidden="false" customHeight="true" outlineLevel="0" collapsed="false">
      <c r="A85" s="12" t="str">
        <f aca="false">IF($C85="","","PO-"&amp;TEXT(ROW()-4,"000"))</f>
        <v/>
      </c>
      <c r="B85" s="19"/>
      <c r="C85" s="12"/>
      <c r="D85" s="12"/>
      <c r="E85" s="12" t="str">
        <f aca="false">IFERROR(VLOOKUP($D85,ItemList_Full,2,0),"")</f>
        <v/>
      </c>
      <c r="F85" s="12"/>
      <c r="G85" s="12" t="str">
        <f aca="false">IFERROR(VLOOKUP($D85,ItemList_Full,3,0),"")</f>
        <v/>
      </c>
      <c r="H85" s="12" t="str">
        <f aca="false">IFERROR(VLOOKUP($D85,ItemList_Full,4,0),"")</f>
        <v/>
      </c>
      <c r="I85" s="13" t="str">
        <f aca="false">IF(OR($F85="",$H85=""),"",$F85*$H85)</f>
        <v/>
      </c>
      <c r="J85" s="12"/>
      <c r="K85" s="12"/>
      <c r="L85" s="12"/>
      <c r="M85" s="19"/>
    </row>
    <row r="86" customFormat="false" ht="15" hidden="false" customHeight="true" outlineLevel="0" collapsed="false">
      <c r="A86" s="12" t="str">
        <f aca="false">IF($C86="","","PO-"&amp;TEXT(ROW()-4,"000"))</f>
        <v/>
      </c>
      <c r="B86" s="19"/>
      <c r="C86" s="12"/>
      <c r="D86" s="12"/>
      <c r="E86" s="12" t="str">
        <f aca="false">IFERROR(VLOOKUP($D86,ItemList_Full,2,0),"")</f>
        <v/>
      </c>
      <c r="F86" s="12"/>
      <c r="G86" s="12" t="str">
        <f aca="false">IFERROR(VLOOKUP($D86,ItemList_Full,3,0),"")</f>
        <v/>
      </c>
      <c r="H86" s="12" t="str">
        <f aca="false">IFERROR(VLOOKUP($D86,ItemList_Full,4,0),"")</f>
        <v/>
      </c>
      <c r="I86" s="13" t="str">
        <f aca="false">IF(OR($F86="",$H86=""),"",$F86*$H86)</f>
        <v/>
      </c>
      <c r="J86" s="12"/>
      <c r="K86" s="12"/>
      <c r="L86" s="12"/>
      <c r="M86" s="19"/>
    </row>
    <row r="87" customFormat="false" ht="15" hidden="false" customHeight="true" outlineLevel="0" collapsed="false">
      <c r="A87" s="12" t="str">
        <f aca="false">IF($C87="","","PO-"&amp;TEXT(ROW()-4,"000"))</f>
        <v/>
      </c>
      <c r="B87" s="19"/>
      <c r="C87" s="12"/>
      <c r="D87" s="12"/>
      <c r="E87" s="12" t="str">
        <f aca="false">IFERROR(VLOOKUP($D87,ItemList_Full,2,0),"")</f>
        <v/>
      </c>
      <c r="F87" s="12"/>
      <c r="G87" s="12" t="str">
        <f aca="false">IFERROR(VLOOKUP($D87,ItemList_Full,3,0),"")</f>
        <v/>
      </c>
      <c r="H87" s="12" t="str">
        <f aca="false">IFERROR(VLOOKUP($D87,ItemList_Full,4,0),"")</f>
        <v/>
      </c>
      <c r="I87" s="13" t="str">
        <f aca="false">IF(OR($F87="",$H87=""),"",$F87*$H87)</f>
        <v/>
      </c>
      <c r="J87" s="12"/>
      <c r="K87" s="12"/>
      <c r="L87" s="12"/>
      <c r="M87" s="19"/>
    </row>
    <row r="88" customFormat="false" ht="15" hidden="false" customHeight="true" outlineLevel="0" collapsed="false">
      <c r="A88" s="12" t="str">
        <f aca="false">IF($C88="","","PO-"&amp;TEXT(ROW()-4,"000"))</f>
        <v/>
      </c>
      <c r="B88" s="19"/>
      <c r="C88" s="12"/>
      <c r="D88" s="12"/>
      <c r="E88" s="12" t="str">
        <f aca="false">IFERROR(VLOOKUP($D88,ItemList_Full,2,0),"")</f>
        <v/>
      </c>
      <c r="F88" s="12"/>
      <c r="G88" s="12" t="str">
        <f aca="false">IFERROR(VLOOKUP($D88,ItemList_Full,3,0),"")</f>
        <v/>
      </c>
      <c r="H88" s="12" t="str">
        <f aca="false">IFERROR(VLOOKUP($D88,ItemList_Full,4,0),"")</f>
        <v/>
      </c>
      <c r="I88" s="13" t="str">
        <f aca="false">IF(OR($F88="",$H88=""),"",$F88*$H88)</f>
        <v/>
      </c>
      <c r="J88" s="12"/>
      <c r="K88" s="12"/>
      <c r="L88" s="12"/>
      <c r="M88" s="19"/>
    </row>
    <row r="89" customFormat="false" ht="15" hidden="false" customHeight="true" outlineLevel="0" collapsed="false">
      <c r="A89" s="12" t="str">
        <f aca="false">IF($C89="","","PO-"&amp;TEXT(ROW()-4,"000"))</f>
        <v/>
      </c>
      <c r="B89" s="19"/>
      <c r="C89" s="12"/>
      <c r="D89" s="12"/>
      <c r="E89" s="12" t="str">
        <f aca="false">IFERROR(VLOOKUP($D89,ItemList_Full,2,0),"")</f>
        <v/>
      </c>
      <c r="F89" s="12"/>
      <c r="G89" s="12" t="str">
        <f aca="false">IFERROR(VLOOKUP($D89,ItemList_Full,3,0),"")</f>
        <v/>
      </c>
      <c r="H89" s="12" t="str">
        <f aca="false">IFERROR(VLOOKUP($D89,ItemList_Full,4,0),"")</f>
        <v/>
      </c>
      <c r="I89" s="13" t="str">
        <f aca="false">IF(OR($F89="",$H89=""),"",$F89*$H89)</f>
        <v/>
      </c>
      <c r="J89" s="12"/>
      <c r="K89" s="12"/>
      <c r="L89" s="12"/>
      <c r="M89" s="19"/>
    </row>
    <row r="90" customFormat="false" ht="15" hidden="false" customHeight="true" outlineLevel="0" collapsed="false">
      <c r="A90" s="12" t="str">
        <f aca="false">IF($C90="","","PO-"&amp;TEXT(ROW()-4,"000"))</f>
        <v/>
      </c>
      <c r="B90" s="19"/>
      <c r="C90" s="12"/>
      <c r="D90" s="12"/>
      <c r="E90" s="12" t="str">
        <f aca="false">IFERROR(VLOOKUP($D90,ItemList_Full,2,0),"")</f>
        <v/>
      </c>
      <c r="F90" s="12"/>
      <c r="G90" s="12" t="str">
        <f aca="false">IFERROR(VLOOKUP($D90,ItemList_Full,3,0),"")</f>
        <v/>
      </c>
      <c r="H90" s="12" t="str">
        <f aca="false">IFERROR(VLOOKUP($D90,ItemList_Full,4,0),"")</f>
        <v/>
      </c>
      <c r="I90" s="13" t="str">
        <f aca="false">IF(OR($F90="",$H90=""),"",$F90*$H90)</f>
        <v/>
      </c>
      <c r="J90" s="12"/>
      <c r="K90" s="12"/>
      <c r="L90" s="12"/>
      <c r="M90" s="19"/>
    </row>
    <row r="91" customFormat="false" ht="15" hidden="false" customHeight="true" outlineLevel="0" collapsed="false">
      <c r="A91" s="12" t="str">
        <f aca="false">IF($C91="","","PO-"&amp;TEXT(ROW()-4,"000"))</f>
        <v/>
      </c>
      <c r="B91" s="19"/>
      <c r="C91" s="12"/>
      <c r="D91" s="12"/>
      <c r="E91" s="12" t="str">
        <f aca="false">IFERROR(VLOOKUP($D91,ItemList_Full,2,0),"")</f>
        <v/>
      </c>
      <c r="F91" s="12"/>
      <c r="G91" s="12" t="str">
        <f aca="false">IFERROR(VLOOKUP($D91,ItemList_Full,3,0),"")</f>
        <v/>
      </c>
      <c r="H91" s="12" t="str">
        <f aca="false">IFERROR(VLOOKUP($D91,ItemList_Full,4,0),"")</f>
        <v/>
      </c>
      <c r="I91" s="13" t="str">
        <f aca="false">IF(OR($F91="",$H91=""),"",$F91*$H91)</f>
        <v/>
      </c>
      <c r="J91" s="12"/>
      <c r="K91" s="12"/>
      <c r="L91" s="12"/>
      <c r="M91" s="19"/>
    </row>
    <row r="92" customFormat="false" ht="15" hidden="false" customHeight="true" outlineLevel="0" collapsed="false">
      <c r="A92" s="12" t="str">
        <f aca="false">IF($C92="","","PO-"&amp;TEXT(ROW()-4,"000"))</f>
        <v/>
      </c>
      <c r="B92" s="19"/>
      <c r="C92" s="12"/>
      <c r="D92" s="12"/>
      <c r="E92" s="12" t="str">
        <f aca="false">IFERROR(VLOOKUP($D92,ItemList_Full,2,0),"")</f>
        <v/>
      </c>
      <c r="F92" s="12"/>
      <c r="G92" s="12" t="str">
        <f aca="false">IFERROR(VLOOKUP($D92,ItemList_Full,3,0),"")</f>
        <v/>
      </c>
      <c r="H92" s="12" t="str">
        <f aca="false">IFERROR(VLOOKUP($D92,ItemList_Full,4,0),"")</f>
        <v/>
      </c>
      <c r="I92" s="13" t="str">
        <f aca="false">IF(OR($F92="",$H92=""),"",$F92*$H92)</f>
        <v/>
      </c>
      <c r="J92" s="12"/>
      <c r="K92" s="12"/>
      <c r="L92" s="12"/>
      <c r="M92" s="19"/>
    </row>
    <row r="93" customFormat="false" ht="15" hidden="false" customHeight="true" outlineLevel="0" collapsed="false">
      <c r="A93" s="12" t="str">
        <f aca="false">IF($C93="","","PO-"&amp;TEXT(ROW()-4,"000"))</f>
        <v/>
      </c>
      <c r="B93" s="19"/>
      <c r="C93" s="12"/>
      <c r="D93" s="12"/>
      <c r="E93" s="12" t="str">
        <f aca="false">IFERROR(VLOOKUP($D93,ItemList_Full,2,0),"")</f>
        <v/>
      </c>
      <c r="F93" s="12"/>
      <c r="G93" s="12" t="str">
        <f aca="false">IFERROR(VLOOKUP($D93,ItemList_Full,3,0),"")</f>
        <v/>
      </c>
      <c r="H93" s="12" t="str">
        <f aca="false">IFERROR(VLOOKUP($D93,ItemList_Full,4,0),"")</f>
        <v/>
      </c>
      <c r="I93" s="13" t="str">
        <f aca="false">IF(OR($F93="",$H93=""),"",$F93*$H93)</f>
        <v/>
      </c>
      <c r="J93" s="12"/>
      <c r="K93" s="12"/>
      <c r="L93" s="12"/>
      <c r="M93" s="19"/>
    </row>
    <row r="94" customFormat="false" ht="15" hidden="false" customHeight="true" outlineLevel="0" collapsed="false">
      <c r="A94" s="12" t="str">
        <f aca="false">IF($C94="","","PO-"&amp;TEXT(ROW()-4,"000"))</f>
        <v/>
      </c>
      <c r="B94" s="19"/>
      <c r="C94" s="12"/>
      <c r="D94" s="12"/>
      <c r="E94" s="12" t="str">
        <f aca="false">IFERROR(VLOOKUP($D94,ItemList_Full,2,0),"")</f>
        <v/>
      </c>
      <c r="F94" s="12"/>
      <c r="G94" s="12" t="str">
        <f aca="false">IFERROR(VLOOKUP($D94,ItemList_Full,3,0),"")</f>
        <v/>
      </c>
      <c r="H94" s="12" t="str">
        <f aca="false">IFERROR(VLOOKUP($D94,ItemList_Full,4,0),"")</f>
        <v/>
      </c>
      <c r="I94" s="13" t="str">
        <f aca="false">IF(OR($F94="",$H94=""),"",$F94*$H94)</f>
        <v/>
      </c>
      <c r="J94" s="12"/>
      <c r="K94" s="12"/>
      <c r="L94" s="12"/>
      <c r="M94" s="19"/>
    </row>
    <row r="95" customFormat="false" ht="15" hidden="false" customHeight="true" outlineLevel="0" collapsed="false">
      <c r="A95" s="12" t="str">
        <f aca="false">IF($C95="","","PO-"&amp;TEXT(ROW()-4,"000"))</f>
        <v/>
      </c>
      <c r="B95" s="19"/>
      <c r="C95" s="12"/>
      <c r="D95" s="12"/>
      <c r="E95" s="12" t="str">
        <f aca="false">IFERROR(VLOOKUP($D95,ItemList_Full,2,0),"")</f>
        <v/>
      </c>
      <c r="F95" s="12"/>
      <c r="G95" s="12" t="str">
        <f aca="false">IFERROR(VLOOKUP($D95,ItemList_Full,3,0),"")</f>
        <v/>
      </c>
      <c r="H95" s="12" t="str">
        <f aca="false">IFERROR(VLOOKUP($D95,ItemList_Full,4,0),"")</f>
        <v/>
      </c>
      <c r="I95" s="13" t="str">
        <f aca="false">IF(OR($F95="",$H95=""),"",$F95*$H95)</f>
        <v/>
      </c>
      <c r="J95" s="12"/>
      <c r="K95" s="12"/>
      <c r="L95" s="12"/>
      <c r="M95" s="19"/>
    </row>
    <row r="96" customFormat="false" ht="15" hidden="false" customHeight="true" outlineLevel="0" collapsed="false">
      <c r="A96" s="12" t="str">
        <f aca="false">IF($C96="","","PO-"&amp;TEXT(ROW()-4,"000"))</f>
        <v/>
      </c>
      <c r="B96" s="19"/>
      <c r="C96" s="12"/>
      <c r="D96" s="12"/>
      <c r="E96" s="12" t="str">
        <f aca="false">IFERROR(VLOOKUP($D96,ItemList_Full,2,0),"")</f>
        <v/>
      </c>
      <c r="F96" s="12"/>
      <c r="G96" s="12" t="str">
        <f aca="false">IFERROR(VLOOKUP($D96,ItemList_Full,3,0),"")</f>
        <v/>
      </c>
      <c r="H96" s="12" t="str">
        <f aca="false">IFERROR(VLOOKUP($D96,ItemList_Full,4,0),"")</f>
        <v/>
      </c>
      <c r="I96" s="13" t="str">
        <f aca="false">IF(OR($F96="",$H96=""),"",$F96*$H96)</f>
        <v/>
      </c>
      <c r="J96" s="12"/>
      <c r="K96" s="12"/>
      <c r="L96" s="12"/>
      <c r="M96" s="19"/>
    </row>
    <row r="97" customFormat="false" ht="15" hidden="false" customHeight="true" outlineLevel="0" collapsed="false">
      <c r="A97" s="12" t="str">
        <f aca="false">IF($C97="","","PO-"&amp;TEXT(ROW()-4,"000"))</f>
        <v/>
      </c>
      <c r="B97" s="19"/>
      <c r="C97" s="12"/>
      <c r="D97" s="12"/>
      <c r="E97" s="12" t="str">
        <f aca="false">IFERROR(VLOOKUP($D97,ItemList_Full,2,0),"")</f>
        <v/>
      </c>
      <c r="F97" s="12"/>
      <c r="G97" s="12" t="str">
        <f aca="false">IFERROR(VLOOKUP($D97,ItemList_Full,3,0),"")</f>
        <v/>
      </c>
      <c r="H97" s="12" t="str">
        <f aca="false">IFERROR(VLOOKUP($D97,ItemList_Full,4,0),"")</f>
        <v/>
      </c>
      <c r="I97" s="13" t="str">
        <f aca="false">IF(OR($F97="",$H97=""),"",$F97*$H97)</f>
        <v/>
      </c>
      <c r="J97" s="12"/>
      <c r="K97" s="12"/>
      <c r="L97" s="12"/>
      <c r="M97" s="19"/>
    </row>
    <row r="98" customFormat="false" ht="15" hidden="false" customHeight="true" outlineLevel="0" collapsed="false">
      <c r="A98" s="12" t="str">
        <f aca="false">IF($C98="","","PO-"&amp;TEXT(ROW()-4,"000"))</f>
        <v/>
      </c>
      <c r="B98" s="19"/>
      <c r="C98" s="12"/>
      <c r="D98" s="12"/>
      <c r="E98" s="12" t="str">
        <f aca="false">IFERROR(VLOOKUP($D98,ItemList_Full,2,0),"")</f>
        <v/>
      </c>
      <c r="F98" s="12"/>
      <c r="G98" s="12" t="str">
        <f aca="false">IFERROR(VLOOKUP($D98,ItemList_Full,3,0),"")</f>
        <v/>
      </c>
      <c r="H98" s="12" t="str">
        <f aca="false">IFERROR(VLOOKUP($D98,ItemList_Full,4,0),"")</f>
        <v/>
      </c>
      <c r="I98" s="13" t="str">
        <f aca="false">IF(OR($F98="",$H98=""),"",$F98*$H98)</f>
        <v/>
      </c>
      <c r="J98" s="12"/>
      <c r="K98" s="12"/>
      <c r="L98" s="12"/>
      <c r="M98" s="19"/>
    </row>
    <row r="99" customFormat="false" ht="15" hidden="false" customHeight="true" outlineLevel="0" collapsed="false">
      <c r="A99" s="12" t="str">
        <f aca="false">IF($C99="","","PO-"&amp;TEXT(ROW()-4,"000"))</f>
        <v/>
      </c>
      <c r="B99" s="19"/>
      <c r="C99" s="12"/>
      <c r="D99" s="12"/>
      <c r="E99" s="12" t="str">
        <f aca="false">IFERROR(VLOOKUP($D99,ItemList_Full,2,0),"")</f>
        <v/>
      </c>
      <c r="F99" s="12"/>
      <c r="G99" s="12" t="str">
        <f aca="false">IFERROR(VLOOKUP($D99,ItemList_Full,3,0),"")</f>
        <v/>
      </c>
      <c r="H99" s="12" t="str">
        <f aca="false">IFERROR(VLOOKUP($D99,ItemList_Full,4,0),"")</f>
        <v/>
      </c>
      <c r="I99" s="13" t="str">
        <f aca="false">IF(OR($F99="",$H99=""),"",$F99*$H99)</f>
        <v/>
      </c>
      <c r="J99" s="12"/>
      <c r="K99" s="12"/>
      <c r="L99" s="12"/>
      <c r="M99" s="19"/>
    </row>
    <row r="100" customFormat="false" ht="15" hidden="false" customHeight="true" outlineLevel="0" collapsed="false">
      <c r="A100" s="12" t="str">
        <f aca="false">IF($C100="","","PO-"&amp;TEXT(ROW()-4,"000"))</f>
        <v/>
      </c>
      <c r="B100" s="19"/>
      <c r="C100" s="12"/>
      <c r="D100" s="12"/>
      <c r="E100" s="12" t="str">
        <f aca="false">IFERROR(VLOOKUP($D100,ItemList_Full,2,0),"")</f>
        <v/>
      </c>
      <c r="F100" s="12"/>
      <c r="G100" s="12" t="str">
        <f aca="false">IFERROR(VLOOKUP($D100,ItemList_Full,3,0),"")</f>
        <v/>
      </c>
      <c r="H100" s="12" t="str">
        <f aca="false">IFERROR(VLOOKUP($D100,ItemList_Full,4,0),"")</f>
        <v/>
      </c>
      <c r="I100" s="13" t="str">
        <f aca="false">IF(OR($F100="",$H100=""),"",$F100*$H100)</f>
        <v/>
      </c>
      <c r="J100" s="12"/>
      <c r="K100" s="12"/>
      <c r="L100" s="12"/>
      <c r="M100" s="19"/>
    </row>
    <row r="101" customFormat="false" ht="15" hidden="false" customHeight="true" outlineLevel="0" collapsed="false">
      <c r="A101" s="12" t="str">
        <f aca="false">IF($C101="","","PO-"&amp;TEXT(ROW()-4,"000"))</f>
        <v/>
      </c>
      <c r="B101" s="19"/>
      <c r="C101" s="12"/>
      <c r="D101" s="12"/>
      <c r="E101" s="12" t="str">
        <f aca="false">IFERROR(VLOOKUP($D101,ItemList_Full,2,0),"")</f>
        <v/>
      </c>
      <c r="F101" s="12"/>
      <c r="G101" s="12" t="str">
        <f aca="false">IFERROR(VLOOKUP($D101,ItemList_Full,3,0),"")</f>
        <v/>
      </c>
      <c r="H101" s="12" t="str">
        <f aca="false">IFERROR(VLOOKUP($D101,ItemList_Full,4,0),"")</f>
        <v/>
      </c>
      <c r="I101" s="13" t="str">
        <f aca="false">IF(OR($F101="",$H101=""),"",$F101*$H101)</f>
        <v/>
      </c>
      <c r="J101" s="12"/>
      <c r="K101" s="12"/>
      <c r="L101" s="12"/>
      <c r="M101" s="19"/>
    </row>
    <row r="102" customFormat="false" ht="15" hidden="false" customHeight="true" outlineLevel="0" collapsed="false">
      <c r="A102" s="12" t="str">
        <f aca="false">IF($C102="","","PO-"&amp;TEXT(ROW()-4,"000"))</f>
        <v/>
      </c>
      <c r="B102" s="19"/>
      <c r="C102" s="12"/>
      <c r="D102" s="12"/>
      <c r="E102" s="12" t="str">
        <f aca="false">IFERROR(VLOOKUP($D102,ItemList_Full,2,0),"")</f>
        <v/>
      </c>
      <c r="F102" s="12"/>
      <c r="G102" s="12" t="str">
        <f aca="false">IFERROR(VLOOKUP($D102,ItemList_Full,3,0),"")</f>
        <v/>
      </c>
      <c r="H102" s="12" t="str">
        <f aca="false">IFERROR(VLOOKUP($D102,ItemList_Full,4,0),"")</f>
        <v/>
      </c>
      <c r="I102" s="13" t="str">
        <f aca="false">IF(OR($F102="",$H102=""),"",$F102*$H102)</f>
        <v/>
      </c>
      <c r="J102" s="12"/>
      <c r="K102" s="12"/>
      <c r="L102" s="12"/>
      <c r="M102" s="19"/>
    </row>
    <row r="103" customFormat="false" ht="15" hidden="false" customHeight="true" outlineLevel="0" collapsed="false">
      <c r="A103" s="12" t="str">
        <f aca="false">IF($C103="","","PO-"&amp;TEXT(ROW()-4,"000"))</f>
        <v/>
      </c>
      <c r="B103" s="19"/>
      <c r="C103" s="12"/>
      <c r="D103" s="12"/>
      <c r="E103" s="12" t="str">
        <f aca="false">IFERROR(VLOOKUP($D103,ItemList_Full,2,0),"")</f>
        <v/>
      </c>
      <c r="F103" s="12"/>
      <c r="G103" s="12" t="str">
        <f aca="false">IFERROR(VLOOKUP($D103,ItemList_Full,3,0),"")</f>
        <v/>
      </c>
      <c r="H103" s="12" t="str">
        <f aca="false">IFERROR(VLOOKUP($D103,ItemList_Full,4,0),"")</f>
        <v/>
      </c>
      <c r="I103" s="13" t="str">
        <f aca="false">IF(OR($F103="",$H103=""),"",$F103*$H103)</f>
        <v/>
      </c>
      <c r="J103" s="12"/>
      <c r="K103" s="12"/>
      <c r="L103" s="12"/>
      <c r="M103" s="19"/>
    </row>
    <row r="104" customFormat="false" ht="15" hidden="false" customHeight="true" outlineLevel="0" collapsed="false">
      <c r="A104" s="12" t="str">
        <f aca="false">IF($C104="","","PO-"&amp;TEXT(ROW()-4,"000"))</f>
        <v/>
      </c>
      <c r="B104" s="19"/>
      <c r="C104" s="12"/>
      <c r="D104" s="12"/>
      <c r="E104" s="12" t="str">
        <f aca="false">IFERROR(VLOOKUP($D104,ItemList_Full,2,0),"")</f>
        <v/>
      </c>
      <c r="F104" s="12"/>
      <c r="G104" s="12" t="str">
        <f aca="false">IFERROR(VLOOKUP($D104,ItemList_Full,3,0),"")</f>
        <v/>
      </c>
      <c r="H104" s="12" t="str">
        <f aca="false">IFERROR(VLOOKUP($D104,ItemList_Full,4,0),"")</f>
        <v/>
      </c>
      <c r="I104" s="13" t="str">
        <f aca="false">IF(OR($F104="",$H104=""),"",$F104*$H104)</f>
        <v/>
      </c>
      <c r="J104" s="12"/>
      <c r="K104" s="12"/>
      <c r="L104" s="12"/>
      <c r="M104" s="19"/>
    </row>
    <row r="105" customFormat="false" ht="15" hidden="false" customHeight="true" outlineLevel="0" collapsed="false">
      <c r="A105" s="12" t="str">
        <f aca="false">IF($C105="","","PO-"&amp;TEXT(ROW()-4,"000"))</f>
        <v/>
      </c>
      <c r="B105" s="19"/>
      <c r="C105" s="12"/>
      <c r="D105" s="12"/>
      <c r="E105" s="12" t="str">
        <f aca="false">IFERROR(VLOOKUP($D105,ItemList_Full,2,0),"")</f>
        <v/>
      </c>
      <c r="F105" s="12"/>
      <c r="G105" s="12" t="str">
        <f aca="false">IFERROR(VLOOKUP($D105,ItemList_Full,3,0),"")</f>
        <v/>
      </c>
      <c r="H105" s="12" t="str">
        <f aca="false">IFERROR(VLOOKUP($D105,ItemList_Full,4,0),"")</f>
        <v/>
      </c>
      <c r="I105" s="13" t="str">
        <f aca="false">IF(OR($F105="",$H105=""),"",$F105*$H105)</f>
        <v/>
      </c>
      <c r="J105" s="12"/>
      <c r="K105" s="12"/>
      <c r="L105" s="12"/>
      <c r="M105" s="19"/>
    </row>
    <row r="106" customFormat="false" ht="15" hidden="false" customHeight="true" outlineLevel="0" collapsed="false">
      <c r="A106" s="12" t="str">
        <f aca="false">IF($C106="","","PO-"&amp;TEXT(ROW()-4,"000"))</f>
        <v/>
      </c>
      <c r="B106" s="19"/>
      <c r="C106" s="12"/>
      <c r="D106" s="12"/>
      <c r="E106" s="12" t="str">
        <f aca="false">IFERROR(VLOOKUP($D106,ItemList_Full,2,0),"")</f>
        <v/>
      </c>
      <c r="F106" s="12"/>
      <c r="G106" s="12" t="str">
        <f aca="false">IFERROR(VLOOKUP($D106,ItemList_Full,3,0),"")</f>
        <v/>
      </c>
      <c r="H106" s="12" t="str">
        <f aca="false">IFERROR(VLOOKUP($D106,ItemList_Full,4,0),"")</f>
        <v/>
      </c>
      <c r="I106" s="13" t="str">
        <f aca="false">IF(OR($F106="",$H106=""),"",$F106*$H106)</f>
        <v/>
      </c>
      <c r="J106" s="12"/>
      <c r="K106" s="12"/>
      <c r="L106" s="12"/>
      <c r="M106" s="19"/>
    </row>
    <row r="107" customFormat="false" ht="15" hidden="false" customHeight="true" outlineLevel="0" collapsed="false">
      <c r="A107" s="12" t="str">
        <f aca="false">IF($C107="","","PO-"&amp;TEXT(ROW()-4,"000"))</f>
        <v/>
      </c>
      <c r="B107" s="19"/>
      <c r="C107" s="12"/>
      <c r="D107" s="12"/>
      <c r="E107" s="12" t="str">
        <f aca="false">IFERROR(VLOOKUP($D107,ItemList_Full,2,0),"")</f>
        <v/>
      </c>
      <c r="F107" s="12"/>
      <c r="G107" s="12" t="str">
        <f aca="false">IFERROR(VLOOKUP($D107,ItemList_Full,3,0),"")</f>
        <v/>
      </c>
      <c r="H107" s="12" t="str">
        <f aca="false">IFERROR(VLOOKUP($D107,ItemList_Full,4,0),"")</f>
        <v/>
      </c>
      <c r="I107" s="13" t="str">
        <f aca="false">IF(OR($F107="",$H107=""),"",$F107*$H107)</f>
        <v/>
      </c>
      <c r="J107" s="12"/>
      <c r="K107" s="12"/>
      <c r="L107" s="12"/>
      <c r="M107" s="19"/>
    </row>
    <row r="108" customFormat="false" ht="15" hidden="false" customHeight="true" outlineLevel="0" collapsed="false">
      <c r="A108" s="12" t="str">
        <f aca="false">IF($C108="","","PO-"&amp;TEXT(ROW()-4,"000"))</f>
        <v/>
      </c>
      <c r="B108" s="19"/>
      <c r="C108" s="12"/>
      <c r="D108" s="12"/>
      <c r="E108" s="12" t="str">
        <f aca="false">IFERROR(VLOOKUP($D108,ItemList_Full,2,0),"")</f>
        <v/>
      </c>
      <c r="F108" s="12"/>
      <c r="G108" s="12" t="str">
        <f aca="false">IFERROR(VLOOKUP($D108,ItemList_Full,3,0),"")</f>
        <v/>
      </c>
      <c r="H108" s="12" t="str">
        <f aca="false">IFERROR(VLOOKUP($D108,ItemList_Full,4,0),"")</f>
        <v/>
      </c>
      <c r="I108" s="13" t="str">
        <f aca="false">IF(OR($F108="",$H108=""),"",$F108*$H108)</f>
        <v/>
      </c>
      <c r="J108" s="12"/>
      <c r="K108" s="12"/>
      <c r="L108" s="12"/>
      <c r="M108" s="19"/>
    </row>
    <row r="109" customFormat="false" ht="15" hidden="false" customHeight="true" outlineLevel="0" collapsed="false">
      <c r="A109" s="12" t="str">
        <f aca="false">IF($C109="","","PO-"&amp;TEXT(ROW()-4,"000"))</f>
        <v/>
      </c>
      <c r="B109" s="19"/>
      <c r="C109" s="12"/>
      <c r="D109" s="12"/>
      <c r="E109" s="12" t="str">
        <f aca="false">IFERROR(VLOOKUP($D109,ItemList_Full,2,0),"")</f>
        <v/>
      </c>
      <c r="F109" s="12"/>
      <c r="G109" s="12" t="str">
        <f aca="false">IFERROR(VLOOKUP($D109,ItemList_Full,3,0),"")</f>
        <v/>
      </c>
      <c r="H109" s="12" t="str">
        <f aca="false">IFERROR(VLOOKUP($D109,ItemList_Full,4,0),"")</f>
        <v/>
      </c>
      <c r="I109" s="13" t="str">
        <f aca="false">IF(OR($F109="",$H109=""),"",$F109*$H109)</f>
        <v/>
      </c>
      <c r="J109" s="12"/>
      <c r="K109" s="12"/>
      <c r="L109" s="12"/>
      <c r="M109" s="19"/>
    </row>
    <row r="110" customFormat="false" ht="15" hidden="false" customHeight="true" outlineLevel="0" collapsed="false">
      <c r="A110" s="12" t="str">
        <f aca="false">IF($C110="","","PO-"&amp;TEXT(ROW()-4,"000"))</f>
        <v/>
      </c>
      <c r="B110" s="19"/>
      <c r="C110" s="12"/>
      <c r="D110" s="12"/>
      <c r="E110" s="12" t="str">
        <f aca="false">IFERROR(VLOOKUP($D110,ItemList_Full,2,0),"")</f>
        <v/>
      </c>
      <c r="F110" s="12"/>
      <c r="G110" s="12" t="str">
        <f aca="false">IFERROR(VLOOKUP($D110,ItemList_Full,3,0),"")</f>
        <v/>
      </c>
      <c r="H110" s="12" t="str">
        <f aca="false">IFERROR(VLOOKUP($D110,ItemList_Full,4,0),"")</f>
        <v/>
      </c>
      <c r="I110" s="13" t="str">
        <f aca="false">IF(OR($F110="",$H110=""),"",$F110*$H110)</f>
        <v/>
      </c>
      <c r="J110" s="12"/>
      <c r="K110" s="12"/>
      <c r="L110" s="12"/>
      <c r="M110" s="19"/>
    </row>
    <row r="111" customFormat="false" ht="15" hidden="false" customHeight="true" outlineLevel="0" collapsed="false">
      <c r="A111" s="12" t="str">
        <f aca="false">IF($C111="","","PO-"&amp;TEXT(ROW()-4,"000"))</f>
        <v/>
      </c>
      <c r="B111" s="19"/>
      <c r="C111" s="12"/>
      <c r="D111" s="12"/>
      <c r="E111" s="12" t="str">
        <f aca="false">IFERROR(VLOOKUP($D111,ItemList_Full,2,0),"")</f>
        <v/>
      </c>
      <c r="F111" s="12"/>
      <c r="G111" s="12" t="str">
        <f aca="false">IFERROR(VLOOKUP($D111,ItemList_Full,3,0),"")</f>
        <v/>
      </c>
      <c r="H111" s="12" t="str">
        <f aca="false">IFERROR(VLOOKUP($D111,ItemList_Full,4,0),"")</f>
        <v/>
      </c>
      <c r="I111" s="13" t="str">
        <f aca="false">IF(OR($F111="",$H111=""),"",$F111*$H111)</f>
        <v/>
      </c>
      <c r="J111" s="12"/>
      <c r="K111" s="12"/>
      <c r="L111" s="12"/>
      <c r="M111" s="19"/>
    </row>
    <row r="112" customFormat="false" ht="15" hidden="false" customHeight="true" outlineLevel="0" collapsed="false">
      <c r="A112" s="12" t="str">
        <f aca="false">IF($C112="","","PO-"&amp;TEXT(ROW()-4,"000"))</f>
        <v/>
      </c>
      <c r="B112" s="19"/>
      <c r="C112" s="12"/>
      <c r="D112" s="12"/>
      <c r="E112" s="12" t="str">
        <f aca="false">IFERROR(VLOOKUP($D112,ItemList_Full,2,0),"")</f>
        <v/>
      </c>
      <c r="F112" s="12"/>
      <c r="G112" s="12" t="str">
        <f aca="false">IFERROR(VLOOKUP($D112,ItemList_Full,3,0),"")</f>
        <v/>
      </c>
      <c r="H112" s="12" t="str">
        <f aca="false">IFERROR(VLOOKUP($D112,ItemList_Full,4,0),"")</f>
        <v/>
      </c>
      <c r="I112" s="13" t="str">
        <f aca="false">IF(OR($F112="",$H112=""),"",$F112*$H112)</f>
        <v/>
      </c>
      <c r="J112" s="12"/>
      <c r="K112" s="12"/>
      <c r="L112" s="12"/>
      <c r="M112" s="19"/>
    </row>
    <row r="113" customFormat="false" ht="15" hidden="false" customHeight="true" outlineLevel="0" collapsed="false">
      <c r="A113" s="12" t="str">
        <f aca="false">IF($C113="","","PO-"&amp;TEXT(ROW()-4,"000"))</f>
        <v/>
      </c>
      <c r="B113" s="19"/>
      <c r="C113" s="12"/>
      <c r="D113" s="12"/>
      <c r="E113" s="12" t="str">
        <f aca="false">IFERROR(VLOOKUP($D113,ItemList_Full,2,0),"")</f>
        <v/>
      </c>
      <c r="F113" s="12"/>
      <c r="G113" s="12" t="str">
        <f aca="false">IFERROR(VLOOKUP($D113,ItemList_Full,3,0),"")</f>
        <v/>
      </c>
      <c r="H113" s="12" t="str">
        <f aca="false">IFERROR(VLOOKUP($D113,ItemList_Full,4,0),"")</f>
        <v/>
      </c>
      <c r="I113" s="13" t="str">
        <f aca="false">IF(OR($F113="",$H113=""),"",$F113*$H113)</f>
        <v/>
      </c>
      <c r="J113" s="12"/>
      <c r="K113" s="12"/>
      <c r="L113" s="12"/>
      <c r="M113" s="19"/>
    </row>
    <row r="114" customFormat="false" ht="15" hidden="false" customHeight="true" outlineLevel="0" collapsed="false">
      <c r="A114" s="12" t="str">
        <f aca="false">IF($C114="","","PO-"&amp;TEXT(ROW()-4,"000"))</f>
        <v/>
      </c>
      <c r="B114" s="19"/>
      <c r="C114" s="12"/>
      <c r="D114" s="12"/>
      <c r="E114" s="12" t="str">
        <f aca="false">IFERROR(VLOOKUP($D114,ItemList_Full,2,0),"")</f>
        <v/>
      </c>
      <c r="F114" s="12"/>
      <c r="G114" s="12" t="str">
        <f aca="false">IFERROR(VLOOKUP($D114,ItemList_Full,3,0),"")</f>
        <v/>
      </c>
      <c r="H114" s="12" t="str">
        <f aca="false">IFERROR(VLOOKUP($D114,ItemList_Full,4,0),"")</f>
        <v/>
      </c>
      <c r="I114" s="13" t="str">
        <f aca="false">IF(OR($F114="",$H114=""),"",$F114*$H114)</f>
        <v/>
      </c>
      <c r="J114" s="12"/>
      <c r="K114" s="12"/>
      <c r="L114" s="12"/>
      <c r="M114" s="19"/>
    </row>
    <row r="115" customFormat="false" ht="15" hidden="false" customHeight="true" outlineLevel="0" collapsed="false">
      <c r="A115" s="12" t="str">
        <f aca="false">IF($C115="","","PO-"&amp;TEXT(ROW()-4,"000"))</f>
        <v/>
      </c>
      <c r="B115" s="19"/>
      <c r="C115" s="12"/>
      <c r="D115" s="12"/>
      <c r="E115" s="12" t="str">
        <f aca="false">IFERROR(VLOOKUP($D115,ItemList_Full,2,0),"")</f>
        <v/>
      </c>
      <c r="F115" s="12"/>
      <c r="G115" s="12" t="str">
        <f aca="false">IFERROR(VLOOKUP($D115,ItemList_Full,3,0),"")</f>
        <v/>
      </c>
      <c r="H115" s="12" t="str">
        <f aca="false">IFERROR(VLOOKUP($D115,ItemList_Full,4,0),"")</f>
        <v/>
      </c>
      <c r="I115" s="13" t="str">
        <f aca="false">IF(OR($F115="",$H115=""),"",$F115*$H115)</f>
        <v/>
      </c>
      <c r="J115" s="12"/>
      <c r="K115" s="12"/>
      <c r="L115" s="12"/>
      <c r="M115" s="19"/>
    </row>
    <row r="116" customFormat="false" ht="15" hidden="false" customHeight="true" outlineLevel="0" collapsed="false">
      <c r="A116" s="12" t="str">
        <f aca="false">IF($C116="","","PO-"&amp;TEXT(ROW()-4,"000"))</f>
        <v/>
      </c>
      <c r="B116" s="19"/>
      <c r="C116" s="12"/>
      <c r="D116" s="12"/>
      <c r="E116" s="12" t="str">
        <f aca="false">IFERROR(VLOOKUP($D116,ItemList_Full,2,0),"")</f>
        <v/>
      </c>
      <c r="F116" s="12"/>
      <c r="G116" s="12" t="str">
        <f aca="false">IFERROR(VLOOKUP($D116,ItemList_Full,3,0),"")</f>
        <v/>
      </c>
      <c r="H116" s="12" t="str">
        <f aca="false">IFERROR(VLOOKUP($D116,ItemList_Full,4,0),"")</f>
        <v/>
      </c>
      <c r="I116" s="13" t="str">
        <f aca="false">IF(OR($F116="",$H116=""),"",$F116*$H116)</f>
        <v/>
      </c>
      <c r="J116" s="12"/>
      <c r="K116" s="12"/>
      <c r="L116" s="12"/>
      <c r="M116" s="19"/>
    </row>
    <row r="117" customFormat="false" ht="15" hidden="false" customHeight="true" outlineLevel="0" collapsed="false">
      <c r="A117" s="12" t="str">
        <f aca="false">IF($C117="","","PO-"&amp;TEXT(ROW()-4,"000"))</f>
        <v/>
      </c>
      <c r="B117" s="19"/>
      <c r="C117" s="12"/>
      <c r="D117" s="12"/>
      <c r="E117" s="12" t="str">
        <f aca="false">IFERROR(VLOOKUP($D117,ItemList_Full,2,0),"")</f>
        <v/>
      </c>
      <c r="F117" s="12"/>
      <c r="G117" s="12" t="str">
        <f aca="false">IFERROR(VLOOKUP($D117,ItemList_Full,3,0),"")</f>
        <v/>
      </c>
      <c r="H117" s="12" t="str">
        <f aca="false">IFERROR(VLOOKUP($D117,ItemList_Full,4,0),"")</f>
        <v/>
      </c>
      <c r="I117" s="13" t="str">
        <f aca="false">IF(OR($F117="",$H117=""),"",$F117*$H117)</f>
        <v/>
      </c>
      <c r="J117" s="12"/>
      <c r="K117" s="12"/>
      <c r="L117" s="12"/>
      <c r="M117" s="19"/>
    </row>
    <row r="118" customFormat="false" ht="15" hidden="false" customHeight="true" outlineLevel="0" collapsed="false">
      <c r="A118" s="12" t="str">
        <f aca="false">IF($C118="","","PO-"&amp;TEXT(ROW()-4,"000"))</f>
        <v/>
      </c>
      <c r="B118" s="19"/>
      <c r="C118" s="12"/>
      <c r="D118" s="12"/>
      <c r="E118" s="12" t="str">
        <f aca="false">IFERROR(VLOOKUP($D118,ItemList_Full,2,0),"")</f>
        <v/>
      </c>
      <c r="F118" s="12"/>
      <c r="G118" s="12" t="str">
        <f aca="false">IFERROR(VLOOKUP($D118,ItemList_Full,3,0),"")</f>
        <v/>
      </c>
      <c r="H118" s="12" t="str">
        <f aca="false">IFERROR(VLOOKUP($D118,ItemList_Full,4,0),"")</f>
        <v/>
      </c>
      <c r="I118" s="13" t="str">
        <f aca="false">IF(OR($F118="",$H118=""),"",$F118*$H118)</f>
        <v/>
      </c>
      <c r="J118" s="12"/>
      <c r="K118" s="12"/>
      <c r="L118" s="12"/>
      <c r="M118" s="19"/>
    </row>
    <row r="119" customFormat="false" ht="15" hidden="false" customHeight="true" outlineLevel="0" collapsed="false">
      <c r="A119" s="12" t="str">
        <f aca="false">IF($C119="","","PO-"&amp;TEXT(ROW()-4,"000"))</f>
        <v/>
      </c>
      <c r="B119" s="19"/>
      <c r="C119" s="12"/>
      <c r="D119" s="12"/>
      <c r="E119" s="12" t="str">
        <f aca="false">IFERROR(VLOOKUP($D119,ItemList_Full,2,0),"")</f>
        <v/>
      </c>
      <c r="F119" s="12"/>
      <c r="G119" s="12" t="str">
        <f aca="false">IFERROR(VLOOKUP($D119,ItemList_Full,3,0),"")</f>
        <v/>
      </c>
      <c r="H119" s="12" t="str">
        <f aca="false">IFERROR(VLOOKUP($D119,ItemList_Full,4,0),"")</f>
        <v/>
      </c>
      <c r="I119" s="13" t="str">
        <f aca="false">IF(OR($F119="",$H119=""),"",$F119*$H119)</f>
        <v/>
      </c>
      <c r="J119" s="12"/>
      <c r="K119" s="12"/>
      <c r="L119" s="12"/>
      <c r="M119" s="19"/>
    </row>
    <row r="120" customFormat="false" ht="15" hidden="false" customHeight="true" outlineLevel="0" collapsed="false">
      <c r="A120" s="12" t="str">
        <f aca="false">IF($C120="","","PO-"&amp;TEXT(ROW()-4,"000"))</f>
        <v/>
      </c>
      <c r="B120" s="19"/>
      <c r="C120" s="12"/>
      <c r="D120" s="12"/>
      <c r="E120" s="12" t="str">
        <f aca="false">IFERROR(VLOOKUP($D120,ItemList_Full,2,0),"")</f>
        <v/>
      </c>
      <c r="F120" s="12"/>
      <c r="G120" s="12" t="str">
        <f aca="false">IFERROR(VLOOKUP($D120,ItemList_Full,3,0),"")</f>
        <v/>
      </c>
      <c r="H120" s="12" t="str">
        <f aca="false">IFERROR(VLOOKUP($D120,ItemList_Full,4,0),"")</f>
        <v/>
      </c>
      <c r="I120" s="13" t="str">
        <f aca="false">IF(OR($F120="",$H120=""),"",$F120*$H120)</f>
        <v/>
      </c>
      <c r="J120" s="12"/>
      <c r="K120" s="12"/>
      <c r="L120" s="12"/>
      <c r="M120" s="19"/>
    </row>
    <row r="121" customFormat="false" ht="15" hidden="false" customHeight="true" outlineLevel="0" collapsed="false">
      <c r="A121" s="12" t="str">
        <f aca="false">IF($C121="","","PO-"&amp;TEXT(ROW()-4,"000"))</f>
        <v/>
      </c>
      <c r="B121" s="19"/>
      <c r="C121" s="12"/>
      <c r="D121" s="12"/>
      <c r="E121" s="12" t="str">
        <f aca="false">IFERROR(VLOOKUP($D121,ItemList_Full,2,0),"")</f>
        <v/>
      </c>
      <c r="F121" s="12"/>
      <c r="G121" s="12" t="str">
        <f aca="false">IFERROR(VLOOKUP($D121,ItemList_Full,3,0),"")</f>
        <v/>
      </c>
      <c r="H121" s="12" t="str">
        <f aca="false">IFERROR(VLOOKUP($D121,ItemList_Full,4,0),"")</f>
        <v/>
      </c>
      <c r="I121" s="13" t="str">
        <f aca="false">IF(OR($F121="",$H121=""),"",$F121*$H121)</f>
        <v/>
      </c>
      <c r="J121" s="12"/>
      <c r="K121" s="12"/>
      <c r="L121" s="12"/>
      <c r="M121" s="19"/>
    </row>
    <row r="122" customFormat="false" ht="15" hidden="false" customHeight="true" outlineLevel="0" collapsed="false">
      <c r="A122" s="12" t="str">
        <f aca="false">IF($C122="","","PO-"&amp;TEXT(ROW()-4,"000"))</f>
        <v/>
      </c>
      <c r="B122" s="19"/>
      <c r="C122" s="12"/>
      <c r="D122" s="12"/>
      <c r="E122" s="12" t="str">
        <f aca="false">IFERROR(VLOOKUP($D122,ItemList_Full,2,0),"")</f>
        <v/>
      </c>
      <c r="F122" s="12"/>
      <c r="G122" s="12" t="str">
        <f aca="false">IFERROR(VLOOKUP($D122,ItemList_Full,3,0),"")</f>
        <v/>
      </c>
      <c r="H122" s="12" t="str">
        <f aca="false">IFERROR(VLOOKUP($D122,ItemList_Full,4,0),"")</f>
        <v/>
      </c>
      <c r="I122" s="13" t="str">
        <f aca="false">IF(OR($F122="",$H122=""),"",$F122*$H122)</f>
        <v/>
      </c>
      <c r="J122" s="12"/>
      <c r="K122" s="12"/>
      <c r="L122" s="12"/>
      <c r="M122" s="19"/>
    </row>
    <row r="123" customFormat="false" ht="15" hidden="false" customHeight="true" outlineLevel="0" collapsed="false">
      <c r="A123" s="12" t="str">
        <f aca="false">IF($C123="","","PO-"&amp;TEXT(ROW()-4,"000"))</f>
        <v/>
      </c>
      <c r="B123" s="19"/>
      <c r="C123" s="12"/>
      <c r="D123" s="12"/>
      <c r="E123" s="12" t="str">
        <f aca="false">IFERROR(VLOOKUP($D123,ItemList_Full,2,0),"")</f>
        <v/>
      </c>
      <c r="F123" s="12"/>
      <c r="G123" s="12" t="str">
        <f aca="false">IFERROR(VLOOKUP($D123,ItemList_Full,3,0),"")</f>
        <v/>
      </c>
      <c r="H123" s="12" t="str">
        <f aca="false">IFERROR(VLOOKUP($D123,ItemList_Full,4,0),"")</f>
        <v/>
      </c>
      <c r="I123" s="13" t="str">
        <f aca="false">IF(OR($F123="",$H123=""),"",$F123*$H123)</f>
        <v/>
      </c>
      <c r="J123" s="12"/>
      <c r="K123" s="12"/>
      <c r="L123" s="12"/>
      <c r="M123" s="19"/>
    </row>
    <row r="124" customFormat="false" ht="15" hidden="false" customHeight="true" outlineLevel="0" collapsed="false">
      <c r="A124" s="12" t="str">
        <f aca="false">IF($C124="","","PO-"&amp;TEXT(ROW()-4,"000"))</f>
        <v/>
      </c>
      <c r="B124" s="19"/>
      <c r="C124" s="12"/>
      <c r="D124" s="12"/>
      <c r="E124" s="12" t="str">
        <f aca="false">IFERROR(VLOOKUP($D124,ItemList_Full,2,0),"")</f>
        <v/>
      </c>
      <c r="F124" s="12"/>
      <c r="G124" s="12" t="str">
        <f aca="false">IFERROR(VLOOKUP($D124,ItemList_Full,3,0),"")</f>
        <v/>
      </c>
      <c r="H124" s="12" t="str">
        <f aca="false">IFERROR(VLOOKUP($D124,ItemList_Full,4,0),"")</f>
        <v/>
      </c>
      <c r="I124" s="13" t="str">
        <f aca="false">IF(OR($F124="",$H124=""),"",$F124*$H124)</f>
        <v/>
      </c>
      <c r="J124" s="12"/>
      <c r="K124" s="12"/>
      <c r="L124" s="12"/>
      <c r="M124" s="19"/>
    </row>
    <row r="125" customFormat="false" ht="15" hidden="false" customHeight="true" outlineLevel="0" collapsed="false">
      <c r="A125" s="12" t="str">
        <f aca="false">IF($C125="","","PO-"&amp;TEXT(ROW()-4,"000"))</f>
        <v/>
      </c>
      <c r="B125" s="19"/>
      <c r="C125" s="12"/>
      <c r="D125" s="12"/>
      <c r="E125" s="12" t="str">
        <f aca="false">IFERROR(VLOOKUP($D125,ItemList_Full,2,0),"")</f>
        <v/>
      </c>
      <c r="F125" s="12"/>
      <c r="G125" s="12" t="str">
        <f aca="false">IFERROR(VLOOKUP($D125,ItemList_Full,3,0),"")</f>
        <v/>
      </c>
      <c r="H125" s="12" t="str">
        <f aca="false">IFERROR(VLOOKUP($D125,ItemList_Full,4,0),"")</f>
        <v/>
      </c>
      <c r="I125" s="13" t="str">
        <f aca="false">IF(OR($F125="",$H125=""),"",$F125*$H125)</f>
        <v/>
      </c>
      <c r="J125" s="12"/>
      <c r="K125" s="12"/>
      <c r="L125" s="12"/>
      <c r="M125" s="19"/>
    </row>
    <row r="126" customFormat="false" ht="15" hidden="false" customHeight="true" outlineLevel="0" collapsed="false">
      <c r="A126" s="12" t="str">
        <f aca="false">IF($C126="","","PO-"&amp;TEXT(ROW()-4,"000"))</f>
        <v/>
      </c>
      <c r="B126" s="19"/>
      <c r="C126" s="12"/>
      <c r="D126" s="12"/>
      <c r="E126" s="12" t="str">
        <f aca="false">IFERROR(VLOOKUP($D126,ItemList_Full,2,0),"")</f>
        <v/>
      </c>
      <c r="F126" s="12"/>
      <c r="G126" s="12" t="str">
        <f aca="false">IFERROR(VLOOKUP($D126,ItemList_Full,3,0),"")</f>
        <v/>
      </c>
      <c r="H126" s="12" t="str">
        <f aca="false">IFERROR(VLOOKUP($D126,ItemList_Full,4,0),"")</f>
        <v/>
      </c>
      <c r="I126" s="13" t="str">
        <f aca="false">IF(OR($F126="",$H126=""),"",$F126*$H126)</f>
        <v/>
      </c>
      <c r="J126" s="12"/>
      <c r="K126" s="12"/>
      <c r="L126" s="12"/>
      <c r="M126" s="19"/>
    </row>
    <row r="127" customFormat="false" ht="15" hidden="false" customHeight="true" outlineLevel="0" collapsed="false">
      <c r="A127" s="12" t="str">
        <f aca="false">IF($C127="","","PO-"&amp;TEXT(ROW()-4,"000"))</f>
        <v/>
      </c>
      <c r="B127" s="19"/>
      <c r="C127" s="12"/>
      <c r="D127" s="12"/>
      <c r="E127" s="12" t="str">
        <f aca="false">IFERROR(VLOOKUP($D127,ItemList_Full,2,0),"")</f>
        <v/>
      </c>
      <c r="F127" s="12"/>
      <c r="G127" s="12" t="str">
        <f aca="false">IFERROR(VLOOKUP($D127,ItemList_Full,3,0),"")</f>
        <v/>
      </c>
      <c r="H127" s="12" t="str">
        <f aca="false">IFERROR(VLOOKUP($D127,ItemList_Full,4,0),"")</f>
        <v/>
      </c>
      <c r="I127" s="13" t="str">
        <f aca="false">IF(OR($F127="",$H127=""),"",$F127*$H127)</f>
        <v/>
      </c>
      <c r="J127" s="12"/>
      <c r="K127" s="12"/>
      <c r="L127" s="12"/>
      <c r="M127" s="19"/>
    </row>
    <row r="128" customFormat="false" ht="15" hidden="false" customHeight="true" outlineLevel="0" collapsed="false">
      <c r="A128" s="12" t="str">
        <f aca="false">IF($C128="","","PO-"&amp;TEXT(ROW()-4,"000"))</f>
        <v/>
      </c>
      <c r="B128" s="19"/>
      <c r="C128" s="12"/>
      <c r="D128" s="12"/>
      <c r="E128" s="12" t="str">
        <f aca="false">IFERROR(VLOOKUP($D128,ItemList_Full,2,0),"")</f>
        <v/>
      </c>
      <c r="F128" s="12"/>
      <c r="G128" s="12" t="str">
        <f aca="false">IFERROR(VLOOKUP($D128,ItemList_Full,3,0),"")</f>
        <v/>
      </c>
      <c r="H128" s="12" t="str">
        <f aca="false">IFERROR(VLOOKUP($D128,ItemList_Full,4,0),"")</f>
        <v/>
      </c>
      <c r="I128" s="13" t="str">
        <f aca="false">IF(OR($F128="",$H128=""),"",$F128*$H128)</f>
        <v/>
      </c>
      <c r="J128" s="12"/>
      <c r="K128" s="12"/>
      <c r="L128" s="12"/>
      <c r="M128" s="19"/>
    </row>
    <row r="129" customFormat="false" ht="15" hidden="false" customHeight="true" outlineLevel="0" collapsed="false">
      <c r="A129" s="12" t="str">
        <f aca="false">IF($C129="","","PO-"&amp;TEXT(ROW()-4,"000"))</f>
        <v/>
      </c>
      <c r="B129" s="19"/>
      <c r="C129" s="12"/>
      <c r="D129" s="12"/>
      <c r="E129" s="12" t="str">
        <f aca="false">IFERROR(VLOOKUP($D129,ItemList_Full,2,0),"")</f>
        <v/>
      </c>
      <c r="F129" s="12"/>
      <c r="G129" s="12" t="str">
        <f aca="false">IFERROR(VLOOKUP($D129,ItemList_Full,3,0),"")</f>
        <v/>
      </c>
      <c r="H129" s="12" t="str">
        <f aca="false">IFERROR(VLOOKUP($D129,ItemList_Full,4,0),"")</f>
        <v/>
      </c>
      <c r="I129" s="13" t="str">
        <f aca="false">IF(OR($F129="",$H129=""),"",$F129*$H129)</f>
        <v/>
      </c>
      <c r="J129" s="12"/>
      <c r="K129" s="12"/>
      <c r="L129" s="12"/>
      <c r="M129" s="19"/>
    </row>
    <row r="130" customFormat="false" ht="15" hidden="false" customHeight="true" outlineLevel="0" collapsed="false">
      <c r="A130" s="12" t="str">
        <f aca="false">IF($C130="","","PO-"&amp;TEXT(ROW()-4,"000"))</f>
        <v/>
      </c>
      <c r="B130" s="19"/>
      <c r="C130" s="12"/>
      <c r="D130" s="12"/>
      <c r="E130" s="12" t="str">
        <f aca="false">IFERROR(VLOOKUP($D130,ItemList_Full,2,0),"")</f>
        <v/>
      </c>
      <c r="F130" s="12"/>
      <c r="G130" s="12" t="str">
        <f aca="false">IFERROR(VLOOKUP($D130,ItemList_Full,3,0),"")</f>
        <v/>
      </c>
      <c r="H130" s="12" t="str">
        <f aca="false">IFERROR(VLOOKUP($D130,ItemList_Full,4,0),"")</f>
        <v/>
      </c>
      <c r="I130" s="13" t="str">
        <f aca="false">IF(OR($F130="",$H130=""),"",$F130*$H130)</f>
        <v/>
      </c>
      <c r="J130" s="12"/>
      <c r="K130" s="12"/>
      <c r="L130" s="12"/>
      <c r="M130" s="19"/>
    </row>
    <row r="131" customFormat="false" ht="15" hidden="false" customHeight="true" outlineLevel="0" collapsed="false">
      <c r="A131" s="12" t="str">
        <f aca="false">IF($C131="","","PO-"&amp;TEXT(ROW()-4,"000"))</f>
        <v/>
      </c>
      <c r="B131" s="19"/>
      <c r="C131" s="12"/>
      <c r="D131" s="12"/>
      <c r="E131" s="12" t="str">
        <f aca="false">IFERROR(VLOOKUP($D131,ItemList_Full,2,0),"")</f>
        <v/>
      </c>
      <c r="F131" s="12"/>
      <c r="G131" s="12" t="str">
        <f aca="false">IFERROR(VLOOKUP($D131,ItemList_Full,3,0),"")</f>
        <v/>
      </c>
      <c r="H131" s="12" t="str">
        <f aca="false">IFERROR(VLOOKUP($D131,ItemList_Full,4,0),"")</f>
        <v/>
      </c>
      <c r="I131" s="13" t="str">
        <f aca="false">IF(OR($F131="",$H131=""),"",$F131*$H131)</f>
        <v/>
      </c>
      <c r="J131" s="12"/>
      <c r="K131" s="12"/>
      <c r="L131" s="12"/>
      <c r="M131" s="19"/>
    </row>
    <row r="132" customFormat="false" ht="15" hidden="false" customHeight="true" outlineLevel="0" collapsed="false">
      <c r="A132" s="12" t="str">
        <f aca="false">IF($C132="","","PO-"&amp;TEXT(ROW()-4,"000"))</f>
        <v/>
      </c>
      <c r="B132" s="19"/>
      <c r="C132" s="12"/>
      <c r="D132" s="12"/>
      <c r="E132" s="12" t="str">
        <f aca="false">IFERROR(VLOOKUP($D132,ItemList_Full,2,0),"")</f>
        <v/>
      </c>
      <c r="F132" s="12"/>
      <c r="G132" s="12" t="str">
        <f aca="false">IFERROR(VLOOKUP($D132,ItemList_Full,3,0),"")</f>
        <v/>
      </c>
      <c r="H132" s="12" t="str">
        <f aca="false">IFERROR(VLOOKUP($D132,ItemList_Full,4,0),"")</f>
        <v/>
      </c>
      <c r="I132" s="13" t="str">
        <f aca="false">IF(OR($F132="",$H132=""),"",$F132*$H132)</f>
        <v/>
      </c>
      <c r="J132" s="12"/>
      <c r="K132" s="12"/>
      <c r="L132" s="12"/>
      <c r="M132" s="19"/>
    </row>
    <row r="133" customFormat="false" ht="15" hidden="false" customHeight="true" outlineLevel="0" collapsed="false">
      <c r="A133" s="12" t="str">
        <f aca="false">IF($C133="","","PO-"&amp;TEXT(ROW()-4,"000"))</f>
        <v/>
      </c>
      <c r="B133" s="19"/>
      <c r="C133" s="12"/>
      <c r="D133" s="12"/>
      <c r="E133" s="12" t="str">
        <f aca="false">IFERROR(VLOOKUP($D133,ItemList_Full,2,0),"")</f>
        <v/>
      </c>
      <c r="F133" s="12"/>
      <c r="G133" s="12" t="str">
        <f aca="false">IFERROR(VLOOKUP($D133,ItemList_Full,3,0),"")</f>
        <v/>
      </c>
      <c r="H133" s="12" t="str">
        <f aca="false">IFERROR(VLOOKUP($D133,ItemList_Full,4,0),"")</f>
        <v/>
      </c>
      <c r="I133" s="13" t="str">
        <f aca="false">IF(OR($F133="",$H133=""),"",$F133*$H133)</f>
        <v/>
      </c>
      <c r="J133" s="12"/>
      <c r="K133" s="12"/>
      <c r="L133" s="12"/>
      <c r="M133" s="19"/>
    </row>
    <row r="134" customFormat="false" ht="15" hidden="false" customHeight="true" outlineLevel="0" collapsed="false">
      <c r="A134" s="12" t="str">
        <f aca="false">IF($C134="","","PO-"&amp;TEXT(ROW()-4,"000"))</f>
        <v/>
      </c>
      <c r="B134" s="19"/>
      <c r="C134" s="12"/>
      <c r="D134" s="12"/>
      <c r="E134" s="12" t="str">
        <f aca="false">IFERROR(VLOOKUP($D134,ItemList_Full,2,0),"")</f>
        <v/>
      </c>
      <c r="F134" s="12"/>
      <c r="G134" s="12" t="str">
        <f aca="false">IFERROR(VLOOKUP($D134,ItemList_Full,3,0),"")</f>
        <v/>
      </c>
      <c r="H134" s="12" t="str">
        <f aca="false">IFERROR(VLOOKUP($D134,ItemList_Full,4,0),"")</f>
        <v/>
      </c>
      <c r="I134" s="13" t="str">
        <f aca="false">IF(OR($F134="",$H134=""),"",$F134*$H134)</f>
        <v/>
      </c>
      <c r="J134" s="12"/>
      <c r="K134" s="12"/>
      <c r="L134" s="12"/>
      <c r="M134" s="19"/>
    </row>
    <row r="135" customFormat="false" ht="15" hidden="false" customHeight="true" outlineLevel="0" collapsed="false">
      <c r="A135" s="12" t="str">
        <f aca="false">IF($C135="","","PO-"&amp;TEXT(ROW()-4,"000"))</f>
        <v/>
      </c>
      <c r="B135" s="19"/>
      <c r="C135" s="12"/>
      <c r="D135" s="12"/>
      <c r="E135" s="12" t="str">
        <f aca="false">IFERROR(VLOOKUP($D135,ItemList_Full,2,0),"")</f>
        <v/>
      </c>
      <c r="F135" s="12"/>
      <c r="G135" s="12" t="str">
        <f aca="false">IFERROR(VLOOKUP($D135,ItemList_Full,3,0),"")</f>
        <v/>
      </c>
      <c r="H135" s="12" t="str">
        <f aca="false">IFERROR(VLOOKUP($D135,ItemList_Full,4,0),"")</f>
        <v/>
      </c>
      <c r="I135" s="13" t="str">
        <f aca="false">IF(OR($F135="",$H135=""),"",$F135*$H135)</f>
        <v/>
      </c>
      <c r="J135" s="12"/>
      <c r="K135" s="12"/>
      <c r="L135" s="12"/>
      <c r="M135" s="19"/>
    </row>
    <row r="136" customFormat="false" ht="15" hidden="false" customHeight="true" outlineLevel="0" collapsed="false">
      <c r="A136" s="12" t="str">
        <f aca="false">IF($C136="","","PO-"&amp;TEXT(ROW()-4,"000"))</f>
        <v/>
      </c>
      <c r="B136" s="19"/>
      <c r="C136" s="12"/>
      <c r="D136" s="12"/>
      <c r="E136" s="12" t="str">
        <f aca="false">IFERROR(VLOOKUP($D136,ItemList_Full,2,0),"")</f>
        <v/>
      </c>
      <c r="F136" s="12"/>
      <c r="G136" s="12" t="str">
        <f aca="false">IFERROR(VLOOKUP($D136,ItemList_Full,3,0),"")</f>
        <v/>
      </c>
      <c r="H136" s="12" t="str">
        <f aca="false">IFERROR(VLOOKUP($D136,ItemList_Full,4,0),"")</f>
        <v/>
      </c>
      <c r="I136" s="13" t="str">
        <f aca="false">IF(OR($F136="",$H136=""),"",$F136*$H136)</f>
        <v/>
      </c>
      <c r="J136" s="12"/>
      <c r="K136" s="12"/>
      <c r="L136" s="12"/>
      <c r="M136" s="19"/>
    </row>
    <row r="137" customFormat="false" ht="15" hidden="false" customHeight="true" outlineLevel="0" collapsed="false">
      <c r="A137" s="12" t="str">
        <f aca="false">IF($C137="","","PO-"&amp;TEXT(ROW()-4,"000"))</f>
        <v/>
      </c>
      <c r="B137" s="19"/>
      <c r="C137" s="12"/>
      <c r="D137" s="12"/>
      <c r="E137" s="12" t="str">
        <f aca="false">IFERROR(VLOOKUP($D137,ItemList_Full,2,0),"")</f>
        <v/>
      </c>
      <c r="F137" s="12"/>
      <c r="G137" s="12" t="str">
        <f aca="false">IFERROR(VLOOKUP($D137,ItemList_Full,3,0),"")</f>
        <v/>
      </c>
      <c r="H137" s="12" t="str">
        <f aca="false">IFERROR(VLOOKUP($D137,ItemList_Full,4,0),"")</f>
        <v/>
      </c>
      <c r="I137" s="13" t="str">
        <f aca="false">IF(OR($F137="",$H137=""),"",$F137*$H137)</f>
        <v/>
      </c>
      <c r="J137" s="12"/>
      <c r="K137" s="12"/>
      <c r="L137" s="12"/>
      <c r="M137" s="19"/>
    </row>
    <row r="138" customFormat="false" ht="15" hidden="false" customHeight="true" outlineLevel="0" collapsed="false">
      <c r="A138" s="12" t="str">
        <f aca="false">IF($C138="","","PO-"&amp;TEXT(ROW()-4,"000"))</f>
        <v/>
      </c>
      <c r="B138" s="19"/>
      <c r="C138" s="12"/>
      <c r="D138" s="12"/>
      <c r="E138" s="12" t="str">
        <f aca="false">IFERROR(VLOOKUP($D138,ItemList_Full,2,0),"")</f>
        <v/>
      </c>
      <c r="F138" s="12"/>
      <c r="G138" s="12" t="str">
        <f aca="false">IFERROR(VLOOKUP($D138,ItemList_Full,3,0),"")</f>
        <v/>
      </c>
      <c r="H138" s="12" t="str">
        <f aca="false">IFERROR(VLOOKUP($D138,ItemList_Full,4,0),"")</f>
        <v/>
      </c>
      <c r="I138" s="13" t="str">
        <f aca="false">IF(OR($F138="",$H138=""),"",$F138*$H138)</f>
        <v/>
      </c>
      <c r="J138" s="12"/>
      <c r="K138" s="12"/>
      <c r="L138" s="12"/>
      <c r="M138" s="19"/>
    </row>
    <row r="139" customFormat="false" ht="15" hidden="false" customHeight="true" outlineLevel="0" collapsed="false">
      <c r="A139" s="12" t="str">
        <f aca="false">IF($C139="","","PO-"&amp;TEXT(ROW()-4,"000"))</f>
        <v/>
      </c>
      <c r="B139" s="19"/>
      <c r="C139" s="12"/>
      <c r="D139" s="12"/>
      <c r="E139" s="12" t="str">
        <f aca="false">IFERROR(VLOOKUP($D139,ItemList_Full,2,0),"")</f>
        <v/>
      </c>
      <c r="F139" s="12"/>
      <c r="G139" s="12" t="str">
        <f aca="false">IFERROR(VLOOKUP($D139,ItemList_Full,3,0),"")</f>
        <v/>
      </c>
      <c r="H139" s="12" t="str">
        <f aca="false">IFERROR(VLOOKUP($D139,ItemList_Full,4,0),"")</f>
        <v/>
      </c>
      <c r="I139" s="13" t="str">
        <f aca="false">IF(OR($F139="",$H139=""),"",$F139*$H139)</f>
        <v/>
      </c>
      <c r="J139" s="12"/>
      <c r="K139" s="12"/>
      <c r="L139" s="12"/>
      <c r="M139" s="19"/>
    </row>
    <row r="140" customFormat="false" ht="15" hidden="false" customHeight="true" outlineLevel="0" collapsed="false">
      <c r="A140" s="12" t="str">
        <f aca="false">IF($C140="","","PO-"&amp;TEXT(ROW()-4,"000"))</f>
        <v/>
      </c>
      <c r="B140" s="19"/>
      <c r="C140" s="12"/>
      <c r="D140" s="12"/>
      <c r="E140" s="12" t="str">
        <f aca="false">IFERROR(VLOOKUP($D140,ItemList_Full,2,0),"")</f>
        <v/>
      </c>
      <c r="F140" s="12"/>
      <c r="G140" s="12" t="str">
        <f aca="false">IFERROR(VLOOKUP($D140,ItemList_Full,3,0),"")</f>
        <v/>
      </c>
      <c r="H140" s="12" t="str">
        <f aca="false">IFERROR(VLOOKUP($D140,ItemList_Full,4,0),"")</f>
        <v/>
      </c>
      <c r="I140" s="13" t="str">
        <f aca="false">IF(OR($F140="",$H140=""),"",$F140*$H140)</f>
        <v/>
      </c>
      <c r="J140" s="12"/>
      <c r="K140" s="12"/>
      <c r="L140" s="12"/>
      <c r="M140" s="19"/>
    </row>
    <row r="141" customFormat="false" ht="15" hidden="false" customHeight="true" outlineLevel="0" collapsed="false">
      <c r="A141" s="12" t="str">
        <f aca="false">IF($C141="","","PO-"&amp;TEXT(ROW()-4,"000"))</f>
        <v/>
      </c>
      <c r="B141" s="19"/>
      <c r="C141" s="12"/>
      <c r="D141" s="12"/>
      <c r="E141" s="12" t="str">
        <f aca="false">IFERROR(VLOOKUP($D141,ItemList_Full,2,0),"")</f>
        <v/>
      </c>
      <c r="F141" s="12"/>
      <c r="G141" s="12" t="str">
        <f aca="false">IFERROR(VLOOKUP($D141,ItemList_Full,3,0),"")</f>
        <v/>
      </c>
      <c r="H141" s="12" t="str">
        <f aca="false">IFERROR(VLOOKUP($D141,ItemList_Full,4,0),"")</f>
        <v/>
      </c>
      <c r="I141" s="13" t="str">
        <f aca="false">IF(OR($F141="",$H141=""),"",$F141*$H141)</f>
        <v/>
      </c>
      <c r="J141" s="12"/>
      <c r="K141" s="12"/>
      <c r="L141" s="12"/>
      <c r="M141" s="19"/>
    </row>
    <row r="142" customFormat="false" ht="15" hidden="false" customHeight="true" outlineLevel="0" collapsed="false">
      <c r="A142" s="12" t="str">
        <f aca="false">IF($C142="","","PO-"&amp;TEXT(ROW()-4,"000"))</f>
        <v/>
      </c>
      <c r="B142" s="19"/>
      <c r="C142" s="12"/>
      <c r="D142" s="12"/>
      <c r="E142" s="12" t="str">
        <f aca="false">IFERROR(VLOOKUP($D142,ItemList_Full,2,0),"")</f>
        <v/>
      </c>
      <c r="F142" s="12"/>
      <c r="G142" s="12" t="str">
        <f aca="false">IFERROR(VLOOKUP($D142,ItemList_Full,3,0),"")</f>
        <v/>
      </c>
      <c r="H142" s="12" t="str">
        <f aca="false">IFERROR(VLOOKUP($D142,ItemList_Full,4,0),"")</f>
        <v/>
      </c>
      <c r="I142" s="13" t="str">
        <f aca="false">IF(OR($F142="",$H142=""),"",$F142*$H142)</f>
        <v/>
      </c>
      <c r="J142" s="12"/>
      <c r="K142" s="12"/>
      <c r="L142" s="12"/>
      <c r="M142" s="19"/>
    </row>
    <row r="143" customFormat="false" ht="15" hidden="false" customHeight="true" outlineLevel="0" collapsed="false">
      <c r="A143" s="12" t="str">
        <f aca="false">IF($C143="","","PO-"&amp;TEXT(ROW()-4,"000"))</f>
        <v/>
      </c>
      <c r="B143" s="19"/>
      <c r="C143" s="12"/>
      <c r="D143" s="12"/>
      <c r="E143" s="12" t="str">
        <f aca="false">IFERROR(VLOOKUP($D143,ItemList_Full,2,0),"")</f>
        <v/>
      </c>
      <c r="F143" s="12"/>
      <c r="G143" s="12" t="str">
        <f aca="false">IFERROR(VLOOKUP($D143,ItemList_Full,3,0),"")</f>
        <v/>
      </c>
      <c r="H143" s="12" t="str">
        <f aca="false">IFERROR(VLOOKUP($D143,ItemList_Full,4,0),"")</f>
        <v/>
      </c>
      <c r="I143" s="13" t="str">
        <f aca="false">IF(OR($F143="",$H143=""),"",$F143*$H143)</f>
        <v/>
      </c>
      <c r="J143" s="12"/>
      <c r="K143" s="12"/>
      <c r="L143" s="12"/>
      <c r="M143" s="19"/>
    </row>
    <row r="144" customFormat="false" ht="15" hidden="false" customHeight="true" outlineLevel="0" collapsed="false">
      <c r="A144" s="12" t="str">
        <f aca="false">IF($C144="","","PO-"&amp;TEXT(ROW()-4,"000"))</f>
        <v/>
      </c>
      <c r="B144" s="19"/>
      <c r="C144" s="12"/>
      <c r="D144" s="12"/>
      <c r="E144" s="12" t="str">
        <f aca="false">IFERROR(VLOOKUP($D144,ItemList_Full,2,0),"")</f>
        <v/>
      </c>
      <c r="F144" s="12"/>
      <c r="G144" s="12" t="str">
        <f aca="false">IFERROR(VLOOKUP($D144,ItemList_Full,3,0),"")</f>
        <v/>
      </c>
      <c r="H144" s="12" t="str">
        <f aca="false">IFERROR(VLOOKUP($D144,ItemList_Full,4,0),"")</f>
        <v/>
      </c>
      <c r="I144" s="13" t="str">
        <f aca="false">IF(OR($F144="",$H144=""),"",$F144*$H144)</f>
        <v/>
      </c>
      <c r="J144" s="12"/>
      <c r="K144" s="12"/>
      <c r="L144" s="12"/>
      <c r="M144" s="19"/>
    </row>
    <row r="145" customFormat="false" ht="15" hidden="false" customHeight="true" outlineLevel="0" collapsed="false">
      <c r="A145" s="12" t="str">
        <f aca="false">IF($C145="","","PO-"&amp;TEXT(ROW()-4,"000"))</f>
        <v/>
      </c>
      <c r="B145" s="19"/>
      <c r="C145" s="12"/>
      <c r="D145" s="12"/>
      <c r="E145" s="12" t="str">
        <f aca="false">IFERROR(VLOOKUP($D145,ItemList_Full,2,0),"")</f>
        <v/>
      </c>
      <c r="F145" s="12"/>
      <c r="G145" s="12" t="str">
        <f aca="false">IFERROR(VLOOKUP($D145,ItemList_Full,3,0),"")</f>
        <v/>
      </c>
      <c r="H145" s="12" t="str">
        <f aca="false">IFERROR(VLOOKUP($D145,ItemList_Full,4,0),"")</f>
        <v/>
      </c>
      <c r="I145" s="13" t="str">
        <f aca="false">IF(OR($F145="",$H145=""),"",$F145*$H145)</f>
        <v/>
      </c>
      <c r="J145" s="12"/>
      <c r="K145" s="12"/>
      <c r="L145" s="12"/>
      <c r="M145" s="19"/>
    </row>
    <row r="146" customFormat="false" ht="15" hidden="false" customHeight="true" outlineLevel="0" collapsed="false">
      <c r="A146" s="12" t="str">
        <f aca="false">IF($C146="","","PO-"&amp;TEXT(ROW()-4,"000"))</f>
        <v/>
      </c>
      <c r="B146" s="19"/>
      <c r="C146" s="12"/>
      <c r="D146" s="12"/>
      <c r="E146" s="12" t="str">
        <f aca="false">IFERROR(VLOOKUP($D146,ItemList_Full,2,0),"")</f>
        <v/>
      </c>
      <c r="F146" s="12"/>
      <c r="G146" s="12" t="str">
        <f aca="false">IFERROR(VLOOKUP($D146,ItemList_Full,3,0),"")</f>
        <v/>
      </c>
      <c r="H146" s="12" t="str">
        <f aca="false">IFERROR(VLOOKUP($D146,ItemList_Full,4,0),"")</f>
        <v/>
      </c>
      <c r="I146" s="13" t="str">
        <f aca="false">IF(OR($F146="",$H146=""),"",$F146*$H146)</f>
        <v/>
      </c>
      <c r="J146" s="12"/>
      <c r="K146" s="12"/>
      <c r="L146" s="12"/>
      <c r="M146" s="19"/>
    </row>
    <row r="147" customFormat="false" ht="15" hidden="false" customHeight="true" outlineLevel="0" collapsed="false">
      <c r="A147" s="12" t="str">
        <f aca="false">IF($C147="","","PO-"&amp;TEXT(ROW()-4,"000"))</f>
        <v/>
      </c>
      <c r="B147" s="19"/>
      <c r="C147" s="12"/>
      <c r="D147" s="12"/>
      <c r="E147" s="12" t="str">
        <f aca="false">IFERROR(VLOOKUP($D147,ItemList_Full,2,0),"")</f>
        <v/>
      </c>
      <c r="F147" s="12"/>
      <c r="G147" s="12" t="str">
        <f aca="false">IFERROR(VLOOKUP($D147,ItemList_Full,3,0),"")</f>
        <v/>
      </c>
      <c r="H147" s="12" t="str">
        <f aca="false">IFERROR(VLOOKUP($D147,ItemList_Full,4,0),"")</f>
        <v/>
      </c>
      <c r="I147" s="13" t="str">
        <f aca="false">IF(OR($F147="",$H147=""),"",$F147*$H147)</f>
        <v/>
      </c>
      <c r="J147" s="12"/>
      <c r="K147" s="12"/>
      <c r="L147" s="12"/>
      <c r="M147" s="19"/>
    </row>
    <row r="148" customFormat="false" ht="15" hidden="false" customHeight="true" outlineLevel="0" collapsed="false">
      <c r="A148" s="12" t="str">
        <f aca="false">IF($C148="","","PO-"&amp;TEXT(ROW()-4,"000"))</f>
        <v/>
      </c>
      <c r="B148" s="19"/>
      <c r="C148" s="12"/>
      <c r="D148" s="12"/>
      <c r="E148" s="12" t="str">
        <f aca="false">IFERROR(VLOOKUP($D148,ItemList_Full,2,0),"")</f>
        <v/>
      </c>
      <c r="F148" s="12"/>
      <c r="G148" s="12" t="str">
        <f aca="false">IFERROR(VLOOKUP($D148,ItemList_Full,3,0),"")</f>
        <v/>
      </c>
      <c r="H148" s="12" t="str">
        <f aca="false">IFERROR(VLOOKUP($D148,ItemList_Full,4,0),"")</f>
        <v/>
      </c>
      <c r="I148" s="13" t="str">
        <f aca="false">IF(OR($F148="",$H148=""),"",$F148*$H148)</f>
        <v/>
      </c>
      <c r="J148" s="12"/>
      <c r="K148" s="12"/>
      <c r="L148" s="12"/>
      <c r="M148" s="19"/>
    </row>
    <row r="149" customFormat="false" ht="15" hidden="false" customHeight="true" outlineLevel="0" collapsed="false">
      <c r="A149" s="12" t="str">
        <f aca="false">IF($C149="","","PO-"&amp;TEXT(ROW()-4,"000"))</f>
        <v/>
      </c>
      <c r="B149" s="19"/>
      <c r="C149" s="12"/>
      <c r="D149" s="12"/>
      <c r="E149" s="12" t="str">
        <f aca="false">IFERROR(VLOOKUP($D149,ItemList_Full,2,0),"")</f>
        <v/>
      </c>
      <c r="F149" s="12"/>
      <c r="G149" s="12" t="str">
        <f aca="false">IFERROR(VLOOKUP($D149,ItemList_Full,3,0),"")</f>
        <v/>
      </c>
      <c r="H149" s="12" t="str">
        <f aca="false">IFERROR(VLOOKUP($D149,ItemList_Full,4,0),"")</f>
        <v/>
      </c>
      <c r="I149" s="13" t="str">
        <f aca="false">IF(OR($F149="",$H149=""),"",$F149*$H149)</f>
        <v/>
      </c>
      <c r="J149" s="12"/>
      <c r="K149" s="12"/>
      <c r="L149" s="12"/>
      <c r="M149" s="19"/>
    </row>
    <row r="150" customFormat="false" ht="15" hidden="false" customHeight="true" outlineLevel="0" collapsed="false">
      <c r="A150" s="12" t="str">
        <f aca="false">IF($C150="","","PO-"&amp;TEXT(ROW()-4,"000"))</f>
        <v/>
      </c>
      <c r="B150" s="19"/>
      <c r="C150" s="12"/>
      <c r="D150" s="12"/>
      <c r="E150" s="12" t="str">
        <f aca="false">IFERROR(VLOOKUP($D150,ItemList_Full,2,0),"")</f>
        <v/>
      </c>
      <c r="F150" s="12"/>
      <c r="G150" s="12" t="str">
        <f aca="false">IFERROR(VLOOKUP($D150,ItemList_Full,3,0),"")</f>
        <v/>
      </c>
      <c r="H150" s="12" t="str">
        <f aca="false">IFERROR(VLOOKUP($D150,ItemList_Full,4,0),"")</f>
        <v/>
      </c>
      <c r="I150" s="13" t="str">
        <f aca="false">IF(OR($F150="",$H150=""),"",$F150*$H150)</f>
        <v/>
      </c>
      <c r="J150" s="12"/>
      <c r="K150" s="12"/>
      <c r="L150" s="12"/>
      <c r="M150" s="19"/>
    </row>
    <row r="151" customFormat="false" ht="15" hidden="false" customHeight="true" outlineLevel="0" collapsed="false">
      <c r="A151" s="12" t="str">
        <f aca="false">IF($C151="","","PO-"&amp;TEXT(ROW()-4,"000"))</f>
        <v/>
      </c>
      <c r="B151" s="19"/>
      <c r="C151" s="12"/>
      <c r="D151" s="12"/>
      <c r="E151" s="12" t="str">
        <f aca="false">IFERROR(VLOOKUP($D151,ItemList_Full,2,0),"")</f>
        <v/>
      </c>
      <c r="F151" s="12"/>
      <c r="G151" s="12" t="str">
        <f aca="false">IFERROR(VLOOKUP($D151,ItemList_Full,3,0),"")</f>
        <v/>
      </c>
      <c r="H151" s="12" t="str">
        <f aca="false">IFERROR(VLOOKUP($D151,ItemList_Full,4,0),"")</f>
        <v/>
      </c>
      <c r="I151" s="13" t="str">
        <f aca="false">IF(OR($F151="",$H151=""),"",$F151*$H151)</f>
        <v/>
      </c>
      <c r="J151" s="12"/>
      <c r="K151" s="12"/>
      <c r="L151" s="12"/>
      <c r="M151" s="19"/>
    </row>
    <row r="152" customFormat="false" ht="15" hidden="false" customHeight="true" outlineLevel="0" collapsed="false">
      <c r="A152" s="12" t="str">
        <f aca="false">IF($C152="","","PO-"&amp;TEXT(ROW()-4,"000"))</f>
        <v/>
      </c>
      <c r="B152" s="19"/>
      <c r="C152" s="12"/>
      <c r="D152" s="12"/>
      <c r="E152" s="12" t="str">
        <f aca="false">IFERROR(VLOOKUP($D152,ItemList_Full,2,0),"")</f>
        <v/>
      </c>
      <c r="F152" s="12"/>
      <c r="G152" s="12" t="str">
        <f aca="false">IFERROR(VLOOKUP($D152,ItemList_Full,3,0),"")</f>
        <v/>
      </c>
      <c r="H152" s="12" t="str">
        <f aca="false">IFERROR(VLOOKUP($D152,ItemList_Full,4,0),"")</f>
        <v/>
      </c>
      <c r="I152" s="13" t="str">
        <f aca="false">IF(OR($F152="",$H152=""),"",$F152*$H152)</f>
        <v/>
      </c>
      <c r="J152" s="12"/>
      <c r="K152" s="12"/>
      <c r="L152" s="12"/>
      <c r="M152" s="19"/>
    </row>
    <row r="153" customFormat="false" ht="15" hidden="false" customHeight="true" outlineLevel="0" collapsed="false">
      <c r="A153" s="12" t="str">
        <f aca="false">IF($C153="","","PO-"&amp;TEXT(ROW()-4,"000"))</f>
        <v/>
      </c>
      <c r="B153" s="19"/>
      <c r="C153" s="12"/>
      <c r="D153" s="12"/>
      <c r="E153" s="12" t="str">
        <f aca="false">IFERROR(VLOOKUP($D153,ItemList_Full,2,0),"")</f>
        <v/>
      </c>
      <c r="F153" s="12"/>
      <c r="G153" s="12" t="str">
        <f aca="false">IFERROR(VLOOKUP($D153,ItemList_Full,3,0),"")</f>
        <v/>
      </c>
      <c r="H153" s="12" t="str">
        <f aca="false">IFERROR(VLOOKUP($D153,ItemList_Full,4,0),"")</f>
        <v/>
      </c>
      <c r="I153" s="13" t="str">
        <f aca="false">IF(OR($F153="",$H153=""),"",$F153*$H153)</f>
        <v/>
      </c>
      <c r="J153" s="12"/>
      <c r="K153" s="12"/>
      <c r="L153" s="12"/>
      <c r="M153" s="19"/>
    </row>
    <row r="154" customFormat="false" ht="15" hidden="false" customHeight="true" outlineLevel="0" collapsed="false">
      <c r="A154" s="12" t="str">
        <f aca="false">IF($C154="","","PO-"&amp;TEXT(ROW()-4,"000"))</f>
        <v/>
      </c>
      <c r="B154" s="19"/>
      <c r="C154" s="12"/>
      <c r="D154" s="12"/>
      <c r="E154" s="12" t="str">
        <f aca="false">IFERROR(VLOOKUP($D154,ItemList_Full,2,0),"")</f>
        <v/>
      </c>
      <c r="F154" s="12"/>
      <c r="G154" s="12" t="str">
        <f aca="false">IFERROR(VLOOKUP($D154,ItemList_Full,3,0),"")</f>
        <v/>
      </c>
      <c r="H154" s="12" t="str">
        <f aca="false">IFERROR(VLOOKUP($D154,ItemList_Full,4,0),"")</f>
        <v/>
      </c>
      <c r="I154" s="13" t="str">
        <f aca="false">IF(OR($F154="",$H154=""),"",$F154*$H154)</f>
        <v/>
      </c>
      <c r="J154" s="12"/>
      <c r="K154" s="12"/>
      <c r="L154" s="12"/>
      <c r="M154" s="19"/>
    </row>
    <row r="155" customFormat="false" ht="15" hidden="false" customHeight="true" outlineLevel="0" collapsed="false">
      <c r="A155" s="12" t="str">
        <f aca="false">IF($C155="","","PO-"&amp;TEXT(ROW()-4,"000"))</f>
        <v/>
      </c>
      <c r="B155" s="19"/>
      <c r="C155" s="12"/>
      <c r="D155" s="12"/>
      <c r="E155" s="12" t="str">
        <f aca="false">IFERROR(VLOOKUP($D155,ItemList_Full,2,0),"")</f>
        <v/>
      </c>
      <c r="F155" s="12"/>
      <c r="G155" s="12" t="str">
        <f aca="false">IFERROR(VLOOKUP($D155,ItemList_Full,3,0),"")</f>
        <v/>
      </c>
      <c r="H155" s="12" t="str">
        <f aca="false">IFERROR(VLOOKUP($D155,ItemList_Full,4,0),"")</f>
        <v/>
      </c>
      <c r="I155" s="13" t="str">
        <f aca="false">IF(OR($F155="",$H155=""),"",$F155*$H155)</f>
        <v/>
      </c>
      <c r="J155" s="12"/>
      <c r="K155" s="12"/>
      <c r="L155" s="12"/>
      <c r="M155" s="19"/>
    </row>
    <row r="156" customFormat="false" ht="15" hidden="false" customHeight="true" outlineLevel="0" collapsed="false">
      <c r="A156" s="12" t="str">
        <f aca="false">IF($C156="","","PO-"&amp;TEXT(ROW()-4,"000"))</f>
        <v/>
      </c>
      <c r="B156" s="19"/>
      <c r="C156" s="12"/>
      <c r="D156" s="12"/>
      <c r="E156" s="12" t="str">
        <f aca="false">IFERROR(VLOOKUP($D156,ItemList_Full,2,0),"")</f>
        <v/>
      </c>
      <c r="F156" s="12"/>
      <c r="G156" s="12" t="str">
        <f aca="false">IFERROR(VLOOKUP($D156,ItemList_Full,3,0),"")</f>
        <v/>
      </c>
      <c r="H156" s="12" t="str">
        <f aca="false">IFERROR(VLOOKUP($D156,ItemList_Full,4,0),"")</f>
        <v/>
      </c>
      <c r="I156" s="13" t="str">
        <f aca="false">IF(OR($F156="",$H156=""),"",$F156*$H156)</f>
        <v/>
      </c>
      <c r="J156" s="12"/>
      <c r="K156" s="12"/>
      <c r="L156" s="12"/>
      <c r="M156" s="19"/>
    </row>
    <row r="157" customFormat="false" ht="15" hidden="false" customHeight="true" outlineLevel="0" collapsed="false">
      <c r="A157" s="12" t="str">
        <f aca="false">IF($C157="","","PO-"&amp;TEXT(ROW()-4,"000"))</f>
        <v/>
      </c>
      <c r="B157" s="19"/>
      <c r="C157" s="12"/>
      <c r="D157" s="12"/>
      <c r="E157" s="12" t="str">
        <f aca="false">IFERROR(VLOOKUP($D157,ItemList_Full,2,0),"")</f>
        <v/>
      </c>
      <c r="F157" s="12"/>
      <c r="G157" s="12" t="str">
        <f aca="false">IFERROR(VLOOKUP($D157,ItemList_Full,3,0),"")</f>
        <v/>
      </c>
      <c r="H157" s="12" t="str">
        <f aca="false">IFERROR(VLOOKUP($D157,ItemList_Full,4,0),"")</f>
        <v/>
      </c>
      <c r="I157" s="13" t="str">
        <f aca="false">IF(OR($F157="",$H157=""),"",$F157*$H157)</f>
        <v/>
      </c>
      <c r="J157" s="12"/>
      <c r="K157" s="12"/>
      <c r="L157" s="12"/>
      <c r="M157" s="19"/>
    </row>
    <row r="158" customFormat="false" ht="15" hidden="false" customHeight="true" outlineLevel="0" collapsed="false">
      <c r="A158" s="12" t="str">
        <f aca="false">IF($C158="","","PO-"&amp;TEXT(ROW()-4,"000"))</f>
        <v/>
      </c>
      <c r="B158" s="19"/>
      <c r="C158" s="12"/>
      <c r="D158" s="12"/>
      <c r="E158" s="12" t="str">
        <f aca="false">IFERROR(VLOOKUP($D158,ItemList_Full,2,0),"")</f>
        <v/>
      </c>
      <c r="F158" s="12"/>
      <c r="G158" s="12" t="str">
        <f aca="false">IFERROR(VLOOKUP($D158,ItemList_Full,3,0),"")</f>
        <v/>
      </c>
      <c r="H158" s="12" t="str">
        <f aca="false">IFERROR(VLOOKUP($D158,ItemList_Full,4,0),"")</f>
        <v/>
      </c>
      <c r="I158" s="13" t="str">
        <f aca="false">IF(OR($F158="",$H158=""),"",$F158*$H158)</f>
        <v/>
      </c>
      <c r="J158" s="12"/>
      <c r="K158" s="12"/>
      <c r="L158" s="12"/>
      <c r="M158" s="19"/>
    </row>
    <row r="159" customFormat="false" ht="15" hidden="false" customHeight="true" outlineLevel="0" collapsed="false">
      <c r="A159" s="12" t="str">
        <f aca="false">IF($C159="","","PO-"&amp;TEXT(ROW()-4,"000"))</f>
        <v/>
      </c>
      <c r="B159" s="19"/>
      <c r="C159" s="12"/>
      <c r="D159" s="12"/>
      <c r="E159" s="12" t="str">
        <f aca="false">IFERROR(VLOOKUP($D159,ItemList_Full,2,0),"")</f>
        <v/>
      </c>
      <c r="F159" s="12"/>
      <c r="G159" s="12" t="str">
        <f aca="false">IFERROR(VLOOKUP($D159,ItemList_Full,3,0),"")</f>
        <v/>
      </c>
      <c r="H159" s="12" t="str">
        <f aca="false">IFERROR(VLOOKUP($D159,ItemList_Full,4,0),"")</f>
        <v/>
      </c>
      <c r="I159" s="13" t="str">
        <f aca="false">IF(OR($F159="",$H159=""),"",$F159*$H159)</f>
        <v/>
      </c>
      <c r="J159" s="12"/>
      <c r="K159" s="12"/>
      <c r="L159" s="12"/>
      <c r="M159" s="19"/>
    </row>
    <row r="160" customFormat="false" ht="15" hidden="false" customHeight="true" outlineLevel="0" collapsed="false">
      <c r="A160" s="12" t="str">
        <f aca="false">IF($C160="","","PO-"&amp;TEXT(ROW()-4,"000"))</f>
        <v/>
      </c>
      <c r="B160" s="19"/>
      <c r="C160" s="12"/>
      <c r="D160" s="12"/>
      <c r="E160" s="12" t="str">
        <f aca="false">IFERROR(VLOOKUP($D160,ItemList_Full,2,0),"")</f>
        <v/>
      </c>
      <c r="F160" s="12"/>
      <c r="G160" s="12" t="str">
        <f aca="false">IFERROR(VLOOKUP($D160,ItemList_Full,3,0),"")</f>
        <v/>
      </c>
      <c r="H160" s="12" t="str">
        <f aca="false">IFERROR(VLOOKUP($D160,ItemList_Full,4,0),"")</f>
        <v/>
      </c>
      <c r="I160" s="13" t="str">
        <f aca="false">IF(OR($F160="",$H160=""),"",$F160*$H160)</f>
        <v/>
      </c>
      <c r="J160" s="12"/>
      <c r="K160" s="12"/>
      <c r="L160" s="12"/>
      <c r="M160" s="19"/>
    </row>
    <row r="161" customFormat="false" ht="15" hidden="false" customHeight="true" outlineLevel="0" collapsed="false">
      <c r="A161" s="12" t="str">
        <f aca="false">IF($C161="","","PO-"&amp;TEXT(ROW()-4,"000"))</f>
        <v/>
      </c>
      <c r="B161" s="19"/>
      <c r="C161" s="12"/>
      <c r="D161" s="12"/>
      <c r="E161" s="12" t="str">
        <f aca="false">IFERROR(VLOOKUP($D161,ItemList_Full,2,0),"")</f>
        <v/>
      </c>
      <c r="F161" s="12"/>
      <c r="G161" s="12" t="str">
        <f aca="false">IFERROR(VLOOKUP($D161,ItemList_Full,3,0),"")</f>
        <v/>
      </c>
      <c r="H161" s="12" t="str">
        <f aca="false">IFERROR(VLOOKUP($D161,ItemList_Full,4,0),"")</f>
        <v/>
      </c>
      <c r="I161" s="13" t="str">
        <f aca="false">IF(OR($F161="",$H161=""),"",$F161*$H161)</f>
        <v/>
      </c>
      <c r="J161" s="12"/>
      <c r="K161" s="12"/>
      <c r="L161" s="12"/>
      <c r="M161" s="19"/>
    </row>
    <row r="162" customFormat="false" ht="15" hidden="false" customHeight="true" outlineLevel="0" collapsed="false">
      <c r="A162" s="12" t="str">
        <f aca="false">IF($C162="","","PO-"&amp;TEXT(ROW()-4,"000"))</f>
        <v/>
      </c>
      <c r="B162" s="19"/>
      <c r="C162" s="12"/>
      <c r="D162" s="12"/>
      <c r="E162" s="12" t="str">
        <f aca="false">IFERROR(VLOOKUP($D162,ItemList_Full,2,0),"")</f>
        <v/>
      </c>
      <c r="F162" s="12"/>
      <c r="G162" s="12" t="str">
        <f aca="false">IFERROR(VLOOKUP($D162,ItemList_Full,3,0),"")</f>
        <v/>
      </c>
      <c r="H162" s="12" t="str">
        <f aca="false">IFERROR(VLOOKUP($D162,ItemList_Full,4,0),"")</f>
        <v/>
      </c>
      <c r="I162" s="13" t="str">
        <f aca="false">IF(OR($F162="",$H162=""),"",$F162*$H162)</f>
        <v/>
      </c>
      <c r="J162" s="12"/>
      <c r="K162" s="12"/>
      <c r="L162" s="12"/>
      <c r="M162" s="19"/>
    </row>
    <row r="163" customFormat="false" ht="15" hidden="false" customHeight="true" outlineLevel="0" collapsed="false">
      <c r="A163" s="12" t="str">
        <f aca="false">IF($C163="","","PO-"&amp;TEXT(ROW()-4,"000"))</f>
        <v/>
      </c>
      <c r="B163" s="19"/>
      <c r="C163" s="12"/>
      <c r="D163" s="12"/>
      <c r="E163" s="12" t="str">
        <f aca="false">IFERROR(VLOOKUP($D163,ItemList_Full,2,0),"")</f>
        <v/>
      </c>
      <c r="F163" s="12"/>
      <c r="G163" s="12" t="str">
        <f aca="false">IFERROR(VLOOKUP($D163,ItemList_Full,3,0),"")</f>
        <v/>
      </c>
      <c r="H163" s="12" t="str">
        <f aca="false">IFERROR(VLOOKUP($D163,ItemList_Full,4,0),"")</f>
        <v/>
      </c>
      <c r="I163" s="13" t="str">
        <f aca="false">IF(OR($F163="",$H163=""),"",$F163*$H163)</f>
        <v/>
      </c>
      <c r="J163" s="12"/>
      <c r="K163" s="12"/>
      <c r="L163" s="12"/>
      <c r="M163" s="19"/>
    </row>
    <row r="164" customFormat="false" ht="15" hidden="false" customHeight="true" outlineLevel="0" collapsed="false">
      <c r="A164" s="12" t="str">
        <f aca="false">IF($C164="","","PO-"&amp;TEXT(ROW()-4,"000"))</f>
        <v/>
      </c>
      <c r="B164" s="19"/>
      <c r="C164" s="12"/>
      <c r="D164" s="12"/>
      <c r="E164" s="12" t="str">
        <f aca="false">IFERROR(VLOOKUP($D164,ItemList_Full,2,0),"")</f>
        <v/>
      </c>
      <c r="F164" s="12"/>
      <c r="G164" s="12" t="str">
        <f aca="false">IFERROR(VLOOKUP($D164,ItemList_Full,3,0),"")</f>
        <v/>
      </c>
      <c r="H164" s="12" t="str">
        <f aca="false">IFERROR(VLOOKUP($D164,ItemList_Full,4,0),"")</f>
        <v/>
      </c>
      <c r="I164" s="13" t="str">
        <f aca="false">IF(OR($F164="",$H164=""),"",$F164*$H164)</f>
        <v/>
      </c>
      <c r="J164" s="12"/>
      <c r="K164" s="12"/>
      <c r="L164" s="12"/>
      <c r="M164" s="19"/>
    </row>
    <row r="165" customFormat="false" ht="15" hidden="false" customHeight="true" outlineLevel="0" collapsed="false">
      <c r="A165" s="12" t="str">
        <f aca="false">IF($C165="","","PO-"&amp;TEXT(ROW()-4,"000"))</f>
        <v/>
      </c>
      <c r="B165" s="19"/>
      <c r="C165" s="12"/>
      <c r="D165" s="12"/>
      <c r="E165" s="12" t="str">
        <f aca="false">IFERROR(VLOOKUP($D165,ItemList_Full,2,0),"")</f>
        <v/>
      </c>
      <c r="F165" s="12"/>
      <c r="G165" s="12" t="str">
        <f aca="false">IFERROR(VLOOKUP($D165,ItemList_Full,3,0),"")</f>
        <v/>
      </c>
      <c r="H165" s="12" t="str">
        <f aca="false">IFERROR(VLOOKUP($D165,ItemList_Full,4,0),"")</f>
        <v/>
      </c>
      <c r="I165" s="13" t="str">
        <f aca="false">IF(OR($F165="",$H165=""),"",$F165*$H165)</f>
        <v/>
      </c>
      <c r="J165" s="12"/>
      <c r="K165" s="12"/>
      <c r="L165" s="12"/>
      <c r="M165" s="19"/>
    </row>
    <row r="166" customFormat="false" ht="15" hidden="false" customHeight="true" outlineLevel="0" collapsed="false">
      <c r="A166" s="12" t="str">
        <f aca="false">IF($C166="","","PO-"&amp;TEXT(ROW()-4,"000"))</f>
        <v/>
      </c>
      <c r="B166" s="19"/>
      <c r="C166" s="12"/>
      <c r="D166" s="12"/>
      <c r="E166" s="12" t="str">
        <f aca="false">IFERROR(VLOOKUP($D166,ItemList_Full,2,0),"")</f>
        <v/>
      </c>
      <c r="F166" s="12"/>
      <c r="G166" s="12" t="str">
        <f aca="false">IFERROR(VLOOKUP($D166,ItemList_Full,3,0),"")</f>
        <v/>
      </c>
      <c r="H166" s="12" t="str">
        <f aca="false">IFERROR(VLOOKUP($D166,ItemList_Full,4,0),"")</f>
        <v/>
      </c>
      <c r="I166" s="13" t="str">
        <f aca="false">IF(OR($F166="",$H166=""),"",$F166*$H166)</f>
        <v/>
      </c>
      <c r="J166" s="12"/>
      <c r="K166" s="12"/>
      <c r="L166" s="12"/>
      <c r="M166" s="19"/>
    </row>
    <row r="167" customFormat="false" ht="15" hidden="false" customHeight="true" outlineLevel="0" collapsed="false">
      <c r="A167" s="12" t="str">
        <f aca="false">IF($C167="","","PO-"&amp;TEXT(ROW()-4,"000"))</f>
        <v/>
      </c>
      <c r="B167" s="19"/>
      <c r="C167" s="12"/>
      <c r="D167" s="12"/>
      <c r="E167" s="12" t="str">
        <f aca="false">IFERROR(VLOOKUP($D167,ItemList_Full,2,0),"")</f>
        <v/>
      </c>
      <c r="F167" s="12"/>
      <c r="G167" s="12" t="str">
        <f aca="false">IFERROR(VLOOKUP($D167,ItemList_Full,3,0),"")</f>
        <v/>
      </c>
      <c r="H167" s="12" t="str">
        <f aca="false">IFERROR(VLOOKUP($D167,ItemList_Full,4,0),"")</f>
        <v/>
      </c>
      <c r="I167" s="13" t="str">
        <f aca="false">IF(OR($F167="",$H167=""),"",$F167*$H167)</f>
        <v/>
      </c>
      <c r="J167" s="12"/>
      <c r="K167" s="12"/>
      <c r="L167" s="12"/>
      <c r="M167" s="19"/>
    </row>
    <row r="168" customFormat="false" ht="15" hidden="false" customHeight="true" outlineLevel="0" collapsed="false">
      <c r="A168" s="12" t="str">
        <f aca="false">IF($C168="","","PO-"&amp;TEXT(ROW()-4,"000"))</f>
        <v/>
      </c>
      <c r="B168" s="19"/>
      <c r="C168" s="12"/>
      <c r="D168" s="12"/>
      <c r="E168" s="12" t="str">
        <f aca="false">IFERROR(VLOOKUP($D168,ItemList_Full,2,0),"")</f>
        <v/>
      </c>
      <c r="F168" s="12"/>
      <c r="G168" s="12" t="str">
        <f aca="false">IFERROR(VLOOKUP($D168,ItemList_Full,3,0),"")</f>
        <v/>
      </c>
      <c r="H168" s="12" t="str">
        <f aca="false">IFERROR(VLOOKUP($D168,ItemList_Full,4,0),"")</f>
        <v/>
      </c>
      <c r="I168" s="13" t="str">
        <f aca="false">IF(OR($F168="",$H168=""),"",$F168*$H168)</f>
        <v/>
      </c>
      <c r="J168" s="12"/>
      <c r="K168" s="12"/>
      <c r="L168" s="12"/>
      <c r="M168" s="19"/>
    </row>
    <row r="169" customFormat="false" ht="15" hidden="false" customHeight="true" outlineLevel="0" collapsed="false">
      <c r="A169" s="12" t="str">
        <f aca="false">IF($C169="","","PO-"&amp;TEXT(ROW()-4,"000"))</f>
        <v/>
      </c>
      <c r="B169" s="19"/>
      <c r="C169" s="12"/>
      <c r="D169" s="12"/>
      <c r="E169" s="12" t="str">
        <f aca="false">IFERROR(VLOOKUP($D169,ItemList_Full,2,0),"")</f>
        <v/>
      </c>
      <c r="F169" s="12"/>
      <c r="G169" s="12" t="str">
        <f aca="false">IFERROR(VLOOKUP($D169,ItemList_Full,3,0),"")</f>
        <v/>
      </c>
      <c r="H169" s="12" t="str">
        <f aca="false">IFERROR(VLOOKUP($D169,ItemList_Full,4,0),"")</f>
        <v/>
      </c>
      <c r="I169" s="13" t="str">
        <f aca="false">IF(OR($F169="",$H169=""),"",$F169*$H169)</f>
        <v/>
      </c>
      <c r="J169" s="12"/>
      <c r="K169" s="12"/>
      <c r="L169" s="12"/>
      <c r="M169" s="19"/>
    </row>
    <row r="170" customFormat="false" ht="15" hidden="false" customHeight="true" outlineLevel="0" collapsed="false">
      <c r="A170" s="12" t="str">
        <f aca="false">IF($C170="","","PO-"&amp;TEXT(ROW()-4,"000"))</f>
        <v/>
      </c>
      <c r="B170" s="19"/>
      <c r="C170" s="12"/>
      <c r="D170" s="12"/>
      <c r="E170" s="12" t="str">
        <f aca="false">IFERROR(VLOOKUP($D170,ItemList_Full,2,0),"")</f>
        <v/>
      </c>
      <c r="F170" s="12"/>
      <c r="G170" s="12" t="str">
        <f aca="false">IFERROR(VLOOKUP($D170,ItemList_Full,3,0),"")</f>
        <v/>
      </c>
      <c r="H170" s="12" t="str">
        <f aca="false">IFERROR(VLOOKUP($D170,ItemList_Full,4,0),"")</f>
        <v/>
      </c>
      <c r="I170" s="13" t="str">
        <f aca="false">IF(OR($F170="",$H170=""),"",$F170*$H170)</f>
        <v/>
      </c>
      <c r="J170" s="12"/>
      <c r="K170" s="12"/>
      <c r="L170" s="12"/>
      <c r="M170" s="19"/>
    </row>
    <row r="171" customFormat="false" ht="15" hidden="false" customHeight="true" outlineLevel="0" collapsed="false">
      <c r="A171" s="12" t="str">
        <f aca="false">IF($C171="","","PO-"&amp;TEXT(ROW()-4,"000"))</f>
        <v/>
      </c>
      <c r="B171" s="19"/>
      <c r="C171" s="12"/>
      <c r="D171" s="12"/>
      <c r="E171" s="12" t="str">
        <f aca="false">IFERROR(VLOOKUP($D171,ItemList_Full,2,0),"")</f>
        <v/>
      </c>
      <c r="F171" s="12"/>
      <c r="G171" s="12" t="str">
        <f aca="false">IFERROR(VLOOKUP($D171,ItemList_Full,3,0),"")</f>
        <v/>
      </c>
      <c r="H171" s="12" t="str">
        <f aca="false">IFERROR(VLOOKUP($D171,ItemList_Full,4,0),"")</f>
        <v/>
      </c>
      <c r="I171" s="13" t="str">
        <f aca="false">IF(OR($F171="",$H171=""),"",$F171*$H171)</f>
        <v/>
      </c>
      <c r="J171" s="12"/>
      <c r="K171" s="12"/>
      <c r="L171" s="12"/>
      <c r="M171" s="19"/>
    </row>
    <row r="172" customFormat="false" ht="15" hidden="false" customHeight="true" outlineLevel="0" collapsed="false">
      <c r="A172" s="12" t="str">
        <f aca="false">IF($C172="","","PO-"&amp;TEXT(ROW()-4,"000"))</f>
        <v/>
      </c>
      <c r="B172" s="19"/>
      <c r="C172" s="12"/>
      <c r="D172" s="12"/>
      <c r="E172" s="12" t="str">
        <f aca="false">IFERROR(VLOOKUP($D172,ItemList_Full,2,0),"")</f>
        <v/>
      </c>
      <c r="F172" s="12"/>
      <c r="G172" s="12" t="str">
        <f aca="false">IFERROR(VLOOKUP($D172,ItemList_Full,3,0),"")</f>
        <v/>
      </c>
      <c r="H172" s="12" t="str">
        <f aca="false">IFERROR(VLOOKUP($D172,ItemList_Full,4,0),"")</f>
        <v/>
      </c>
      <c r="I172" s="13" t="str">
        <f aca="false">IF(OR($F172="",$H172=""),"",$F172*$H172)</f>
        <v/>
      </c>
      <c r="J172" s="12"/>
      <c r="K172" s="12"/>
      <c r="L172" s="12"/>
      <c r="M172" s="19"/>
    </row>
    <row r="173" customFormat="false" ht="15" hidden="false" customHeight="true" outlineLevel="0" collapsed="false">
      <c r="A173" s="12" t="str">
        <f aca="false">IF($C173="","","PO-"&amp;TEXT(ROW()-4,"000"))</f>
        <v/>
      </c>
      <c r="B173" s="19"/>
      <c r="C173" s="12"/>
      <c r="D173" s="12"/>
      <c r="E173" s="12" t="str">
        <f aca="false">IFERROR(VLOOKUP($D173,ItemList_Full,2,0),"")</f>
        <v/>
      </c>
      <c r="F173" s="12"/>
      <c r="G173" s="12" t="str">
        <f aca="false">IFERROR(VLOOKUP($D173,ItemList_Full,3,0),"")</f>
        <v/>
      </c>
      <c r="H173" s="12" t="str">
        <f aca="false">IFERROR(VLOOKUP($D173,ItemList_Full,4,0),"")</f>
        <v/>
      </c>
      <c r="I173" s="13" t="str">
        <f aca="false">IF(OR($F173="",$H173=""),"",$F173*$H173)</f>
        <v/>
      </c>
      <c r="J173" s="12"/>
      <c r="K173" s="12"/>
      <c r="L173" s="12"/>
      <c r="M173" s="19"/>
    </row>
    <row r="174" customFormat="false" ht="15" hidden="false" customHeight="true" outlineLevel="0" collapsed="false">
      <c r="A174" s="12" t="str">
        <f aca="false">IF($C174="","","PO-"&amp;TEXT(ROW()-4,"000"))</f>
        <v/>
      </c>
      <c r="B174" s="19"/>
      <c r="C174" s="12"/>
      <c r="D174" s="12"/>
      <c r="E174" s="12" t="str">
        <f aca="false">IFERROR(VLOOKUP($D174,ItemList_Full,2,0),"")</f>
        <v/>
      </c>
      <c r="F174" s="12"/>
      <c r="G174" s="12" t="str">
        <f aca="false">IFERROR(VLOOKUP($D174,ItemList_Full,3,0),"")</f>
        <v/>
      </c>
      <c r="H174" s="12" t="str">
        <f aca="false">IFERROR(VLOOKUP($D174,ItemList_Full,4,0),"")</f>
        <v/>
      </c>
      <c r="I174" s="13" t="str">
        <f aca="false">IF(OR($F174="",$H174=""),"",$F174*$H174)</f>
        <v/>
      </c>
      <c r="J174" s="12"/>
      <c r="K174" s="12"/>
      <c r="L174" s="12"/>
      <c r="M174" s="19"/>
    </row>
    <row r="175" customFormat="false" ht="15" hidden="false" customHeight="true" outlineLevel="0" collapsed="false">
      <c r="A175" s="12" t="str">
        <f aca="false">IF($C175="","","PO-"&amp;TEXT(ROW()-4,"000"))</f>
        <v/>
      </c>
      <c r="B175" s="19"/>
      <c r="C175" s="12"/>
      <c r="D175" s="12"/>
      <c r="E175" s="12" t="str">
        <f aca="false">IFERROR(VLOOKUP($D175,ItemList_Full,2,0),"")</f>
        <v/>
      </c>
      <c r="F175" s="12"/>
      <c r="G175" s="12" t="str">
        <f aca="false">IFERROR(VLOOKUP($D175,ItemList_Full,3,0),"")</f>
        <v/>
      </c>
      <c r="H175" s="12" t="str">
        <f aca="false">IFERROR(VLOOKUP($D175,ItemList_Full,4,0),"")</f>
        <v/>
      </c>
      <c r="I175" s="13" t="str">
        <f aca="false">IF(OR($F175="",$H175=""),"",$F175*$H175)</f>
        <v/>
      </c>
      <c r="J175" s="12"/>
      <c r="K175" s="12"/>
      <c r="L175" s="12"/>
      <c r="M175" s="19"/>
    </row>
    <row r="176" customFormat="false" ht="15" hidden="false" customHeight="true" outlineLevel="0" collapsed="false">
      <c r="A176" s="12" t="str">
        <f aca="false">IF($C176="","","PO-"&amp;TEXT(ROW()-4,"000"))</f>
        <v/>
      </c>
      <c r="B176" s="19"/>
      <c r="C176" s="12"/>
      <c r="D176" s="12"/>
      <c r="E176" s="12" t="str">
        <f aca="false">IFERROR(VLOOKUP($D176,ItemList_Full,2,0),"")</f>
        <v/>
      </c>
      <c r="F176" s="12"/>
      <c r="G176" s="12" t="str">
        <f aca="false">IFERROR(VLOOKUP($D176,ItemList_Full,3,0),"")</f>
        <v/>
      </c>
      <c r="H176" s="12" t="str">
        <f aca="false">IFERROR(VLOOKUP($D176,ItemList_Full,4,0),"")</f>
        <v/>
      </c>
      <c r="I176" s="13" t="str">
        <f aca="false">IF(OR($F176="",$H176=""),"",$F176*$H176)</f>
        <v/>
      </c>
      <c r="J176" s="12"/>
      <c r="K176" s="12"/>
      <c r="L176" s="12"/>
      <c r="M176" s="19"/>
    </row>
    <row r="177" customFormat="false" ht="15" hidden="false" customHeight="true" outlineLevel="0" collapsed="false">
      <c r="A177" s="12" t="str">
        <f aca="false">IF($C177="","","PO-"&amp;TEXT(ROW()-4,"000"))</f>
        <v/>
      </c>
      <c r="B177" s="19"/>
      <c r="C177" s="12"/>
      <c r="D177" s="12"/>
      <c r="E177" s="12" t="str">
        <f aca="false">IFERROR(VLOOKUP($D177,ItemList_Full,2,0),"")</f>
        <v/>
      </c>
      <c r="F177" s="12"/>
      <c r="G177" s="12" t="str">
        <f aca="false">IFERROR(VLOOKUP($D177,ItemList_Full,3,0),"")</f>
        <v/>
      </c>
      <c r="H177" s="12" t="str">
        <f aca="false">IFERROR(VLOOKUP($D177,ItemList_Full,4,0),"")</f>
        <v/>
      </c>
      <c r="I177" s="13" t="str">
        <f aca="false">IF(OR($F177="",$H177=""),"",$F177*$H177)</f>
        <v/>
      </c>
      <c r="J177" s="12"/>
      <c r="K177" s="12"/>
      <c r="L177" s="12"/>
      <c r="M177" s="19"/>
    </row>
    <row r="178" customFormat="false" ht="15" hidden="false" customHeight="true" outlineLevel="0" collapsed="false">
      <c r="A178" s="12" t="str">
        <f aca="false">IF($C178="","","PO-"&amp;TEXT(ROW()-4,"000"))</f>
        <v/>
      </c>
      <c r="B178" s="19"/>
      <c r="C178" s="12"/>
      <c r="D178" s="12"/>
      <c r="E178" s="12" t="str">
        <f aca="false">IFERROR(VLOOKUP($D178,ItemList_Full,2,0),"")</f>
        <v/>
      </c>
      <c r="F178" s="12"/>
      <c r="G178" s="12" t="str">
        <f aca="false">IFERROR(VLOOKUP($D178,ItemList_Full,3,0),"")</f>
        <v/>
      </c>
      <c r="H178" s="12" t="str">
        <f aca="false">IFERROR(VLOOKUP($D178,ItemList_Full,4,0),"")</f>
        <v/>
      </c>
      <c r="I178" s="13" t="str">
        <f aca="false">IF(OR($F178="",$H178=""),"",$F178*$H178)</f>
        <v/>
      </c>
      <c r="J178" s="12"/>
      <c r="K178" s="12"/>
      <c r="L178" s="12"/>
      <c r="M178" s="19"/>
    </row>
    <row r="179" customFormat="false" ht="15" hidden="false" customHeight="true" outlineLevel="0" collapsed="false">
      <c r="A179" s="12" t="str">
        <f aca="false">IF($C179="","","PO-"&amp;TEXT(ROW()-4,"000"))</f>
        <v/>
      </c>
      <c r="B179" s="19"/>
      <c r="C179" s="12"/>
      <c r="D179" s="12"/>
      <c r="E179" s="12" t="str">
        <f aca="false">IFERROR(VLOOKUP($D179,ItemList_Full,2,0),"")</f>
        <v/>
      </c>
      <c r="F179" s="12"/>
      <c r="G179" s="12" t="str">
        <f aca="false">IFERROR(VLOOKUP($D179,ItemList_Full,3,0),"")</f>
        <v/>
      </c>
      <c r="H179" s="12" t="str">
        <f aca="false">IFERROR(VLOOKUP($D179,ItemList_Full,4,0),"")</f>
        <v/>
      </c>
      <c r="I179" s="13" t="str">
        <f aca="false">IF(OR($F179="",$H179=""),"",$F179*$H179)</f>
        <v/>
      </c>
      <c r="J179" s="12"/>
      <c r="K179" s="12"/>
      <c r="L179" s="12"/>
      <c r="M179" s="19"/>
    </row>
    <row r="180" customFormat="false" ht="15" hidden="false" customHeight="true" outlineLevel="0" collapsed="false">
      <c r="A180" s="12" t="str">
        <f aca="false">IF($C180="","","PO-"&amp;TEXT(ROW()-4,"000"))</f>
        <v/>
      </c>
      <c r="B180" s="19"/>
      <c r="C180" s="12"/>
      <c r="D180" s="12"/>
      <c r="E180" s="12" t="str">
        <f aca="false">IFERROR(VLOOKUP($D180,ItemList_Full,2,0),"")</f>
        <v/>
      </c>
      <c r="F180" s="12"/>
      <c r="G180" s="12" t="str">
        <f aca="false">IFERROR(VLOOKUP($D180,ItemList_Full,3,0),"")</f>
        <v/>
      </c>
      <c r="H180" s="12" t="str">
        <f aca="false">IFERROR(VLOOKUP($D180,ItemList_Full,4,0),"")</f>
        <v/>
      </c>
      <c r="I180" s="13" t="str">
        <f aca="false">IF(OR($F180="",$H180=""),"",$F180*$H180)</f>
        <v/>
      </c>
      <c r="J180" s="12"/>
      <c r="K180" s="12"/>
      <c r="L180" s="12"/>
      <c r="M180" s="19"/>
    </row>
    <row r="181" customFormat="false" ht="15" hidden="false" customHeight="true" outlineLevel="0" collapsed="false">
      <c r="A181" s="12" t="str">
        <f aca="false">IF($C181="","","PO-"&amp;TEXT(ROW()-4,"000"))</f>
        <v/>
      </c>
      <c r="B181" s="19"/>
      <c r="C181" s="12"/>
      <c r="D181" s="12"/>
      <c r="E181" s="12" t="str">
        <f aca="false">IFERROR(VLOOKUP($D181,ItemList_Full,2,0),"")</f>
        <v/>
      </c>
      <c r="F181" s="12"/>
      <c r="G181" s="12" t="str">
        <f aca="false">IFERROR(VLOOKUP($D181,ItemList_Full,3,0),"")</f>
        <v/>
      </c>
      <c r="H181" s="12" t="str">
        <f aca="false">IFERROR(VLOOKUP($D181,ItemList_Full,4,0),"")</f>
        <v/>
      </c>
      <c r="I181" s="13" t="str">
        <f aca="false">IF(OR($F181="",$H181=""),"",$F181*$H181)</f>
        <v/>
      </c>
      <c r="J181" s="12"/>
      <c r="K181" s="12"/>
      <c r="L181" s="12"/>
      <c r="M181" s="19"/>
    </row>
    <row r="182" customFormat="false" ht="15" hidden="false" customHeight="true" outlineLevel="0" collapsed="false">
      <c r="A182" s="12" t="str">
        <f aca="false">IF($C182="","","PO-"&amp;TEXT(ROW()-4,"000"))</f>
        <v/>
      </c>
      <c r="B182" s="19"/>
      <c r="C182" s="12"/>
      <c r="D182" s="12"/>
      <c r="E182" s="12" t="str">
        <f aca="false">IFERROR(VLOOKUP($D182,ItemList_Full,2,0),"")</f>
        <v/>
      </c>
      <c r="F182" s="12"/>
      <c r="G182" s="12" t="str">
        <f aca="false">IFERROR(VLOOKUP($D182,ItemList_Full,3,0),"")</f>
        <v/>
      </c>
      <c r="H182" s="12" t="str">
        <f aca="false">IFERROR(VLOOKUP($D182,ItemList_Full,4,0),"")</f>
        <v/>
      </c>
      <c r="I182" s="13" t="str">
        <f aca="false">IF(OR($F182="",$H182=""),"",$F182*$H182)</f>
        <v/>
      </c>
      <c r="J182" s="12"/>
      <c r="K182" s="12"/>
      <c r="L182" s="12"/>
      <c r="M182" s="19"/>
    </row>
    <row r="183" customFormat="false" ht="15" hidden="false" customHeight="true" outlineLevel="0" collapsed="false">
      <c r="A183" s="12" t="str">
        <f aca="false">IF($C183="","","PO-"&amp;TEXT(ROW()-4,"000"))</f>
        <v/>
      </c>
      <c r="B183" s="19"/>
      <c r="C183" s="12"/>
      <c r="D183" s="12"/>
      <c r="E183" s="12" t="str">
        <f aca="false">IFERROR(VLOOKUP($D183,ItemList_Full,2,0),"")</f>
        <v/>
      </c>
      <c r="F183" s="12"/>
      <c r="G183" s="12" t="str">
        <f aca="false">IFERROR(VLOOKUP($D183,ItemList_Full,3,0),"")</f>
        <v/>
      </c>
      <c r="H183" s="12" t="str">
        <f aca="false">IFERROR(VLOOKUP($D183,ItemList_Full,4,0),"")</f>
        <v/>
      </c>
      <c r="I183" s="13" t="str">
        <f aca="false">IF(OR($F183="",$H183=""),"",$F183*$H183)</f>
        <v/>
      </c>
      <c r="J183" s="12"/>
      <c r="K183" s="12"/>
      <c r="L183" s="12"/>
      <c r="M183" s="19"/>
    </row>
    <row r="184" customFormat="false" ht="15" hidden="false" customHeight="true" outlineLevel="0" collapsed="false">
      <c r="A184" s="12" t="str">
        <f aca="false">IF($C184="","","PO-"&amp;TEXT(ROW()-4,"000"))</f>
        <v/>
      </c>
      <c r="B184" s="19"/>
      <c r="C184" s="12"/>
      <c r="D184" s="12"/>
      <c r="E184" s="12" t="str">
        <f aca="false">IFERROR(VLOOKUP($D184,ItemList_Full,2,0),"")</f>
        <v/>
      </c>
      <c r="F184" s="12"/>
      <c r="G184" s="12" t="str">
        <f aca="false">IFERROR(VLOOKUP($D184,ItemList_Full,3,0),"")</f>
        <v/>
      </c>
      <c r="H184" s="12" t="str">
        <f aca="false">IFERROR(VLOOKUP($D184,ItemList_Full,4,0),"")</f>
        <v/>
      </c>
      <c r="I184" s="13" t="str">
        <f aca="false">IF(OR($F184="",$H184=""),"",$F184*$H184)</f>
        <v/>
      </c>
      <c r="J184" s="12"/>
      <c r="K184" s="12"/>
      <c r="L184" s="12"/>
      <c r="M184" s="19"/>
    </row>
    <row r="185" customFormat="false" ht="15" hidden="false" customHeight="true" outlineLevel="0" collapsed="false">
      <c r="A185" s="12" t="str">
        <f aca="false">IF($C185="","","PO-"&amp;TEXT(ROW()-4,"000"))</f>
        <v/>
      </c>
      <c r="B185" s="19"/>
      <c r="C185" s="12"/>
      <c r="D185" s="12"/>
      <c r="E185" s="12" t="str">
        <f aca="false">IFERROR(VLOOKUP($D185,ItemList_Full,2,0),"")</f>
        <v/>
      </c>
      <c r="F185" s="12"/>
      <c r="G185" s="12" t="str">
        <f aca="false">IFERROR(VLOOKUP($D185,ItemList_Full,3,0),"")</f>
        <v/>
      </c>
      <c r="H185" s="12" t="str">
        <f aca="false">IFERROR(VLOOKUP($D185,ItemList_Full,4,0),"")</f>
        <v/>
      </c>
      <c r="I185" s="13" t="str">
        <f aca="false">IF(OR($F185="",$H185=""),"",$F185*$H185)</f>
        <v/>
      </c>
      <c r="J185" s="12"/>
      <c r="K185" s="12"/>
      <c r="L185" s="12"/>
      <c r="M185" s="19"/>
    </row>
    <row r="186" customFormat="false" ht="15" hidden="false" customHeight="true" outlineLevel="0" collapsed="false">
      <c r="A186" s="12" t="str">
        <f aca="false">IF($C186="","","PO-"&amp;TEXT(ROW()-4,"000"))</f>
        <v/>
      </c>
      <c r="B186" s="19"/>
      <c r="C186" s="12"/>
      <c r="D186" s="12"/>
      <c r="E186" s="12" t="str">
        <f aca="false">IFERROR(VLOOKUP($D186,ItemList_Full,2,0),"")</f>
        <v/>
      </c>
      <c r="F186" s="12"/>
      <c r="G186" s="12" t="str">
        <f aca="false">IFERROR(VLOOKUP($D186,ItemList_Full,3,0),"")</f>
        <v/>
      </c>
      <c r="H186" s="12" t="str">
        <f aca="false">IFERROR(VLOOKUP($D186,ItemList_Full,4,0),"")</f>
        <v/>
      </c>
      <c r="I186" s="13" t="str">
        <f aca="false">IF(OR($F186="",$H186=""),"",$F186*$H186)</f>
        <v/>
      </c>
      <c r="J186" s="12"/>
      <c r="K186" s="12"/>
      <c r="L186" s="12"/>
      <c r="M186" s="19"/>
    </row>
    <row r="187" customFormat="false" ht="15" hidden="false" customHeight="true" outlineLevel="0" collapsed="false">
      <c r="A187" s="12" t="str">
        <f aca="false">IF($C187="","","PO-"&amp;TEXT(ROW()-4,"000"))</f>
        <v/>
      </c>
      <c r="B187" s="19"/>
      <c r="C187" s="12"/>
      <c r="D187" s="12"/>
      <c r="E187" s="12" t="str">
        <f aca="false">IFERROR(VLOOKUP($D187,ItemList_Full,2,0),"")</f>
        <v/>
      </c>
      <c r="F187" s="12"/>
      <c r="G187" s="12" t="str">
        <f aca="false">IFERROR(VLOOKUP($D187,ItemList_Full,3,0),"")</f>
        <v/>
      </c>
      <c r="H187" s="12" t="str">
        <f aca="false">IFERROR(VLOOKUP($D187,ItemList_Full,4,0),"")</f>
        <v/>
      </c>
      <c r="I187" s="13" t="str">
        <f aca="false">IF(OR($F187="",$H187=""),"",$F187*$H187)</f>
        <v/>
      </c>
      <c r="J187" s="12"/>
      <c r="K187" s="12"/>
      <c r="L187" s="12"/>
      <c r="M187" s="19"/>
    </row>
    <row r="188" customFormat="false" ht="15" hidden="false" customHeight="true" outlineLevel="0" collapsed="false">
      <c r="A188" s="12" t="str">
        <f aca="false">IF($C188="","","PO-"&amp;TEXT(ROW()-4,"000"))</f>
        <v/>
      </c>
      <c r="B188" s="19"/>
      <c r="C188" s="12"/>
      <c r="D188" s="12"/>
      <c r="E188" s="12" t="str">
        <f aca="false">IFERROR(VLOOKUP($D188,ItemList_Full,2,0),"")</f>
        <v/>
      </c>
      <c r="F188" s="12"/>
      <c r="G188" s="12" t="str">
        <f aca="false">IFERROR(VLOOKUP($D188,ItemList_Full,3,0),"")</f>
        <v/>
      </c>
      <c r="H188" s="12" t="str">
        <f aca="false">IFERROR(VLOOKUP($D188,ItemList_Full,4,0),"")</f>
        <v/>
      </c>
      <c r="I188" s="13" t="str">
        <f aca="false">IF(OR($F188="",$H188=""),"",$F188*$H188)</f>
        <v/>
      </c>
      <c r="J188" s="12"/>
      <c r="K188" s="12"/>
      <c r="L188" s="12"/>
      <c r="M188" s="19"/>
    </row>
    <row r="189" customFormat="false" ht="15" hidden="false" customHeight="true" outlineLevel="0" collapsed="false">
      <c r="A189" s="12" t="str">
        <f aca="false">IF($C189="","","PO-"&amp;TEXT(ROW()-4,"000"))</f>
        <v/>
      </c>
      <c r="B189" s="19"/>
      <c r="C189" s="12"/>
      <c r="D189" s="12"/>
      <c r="E189" s="12" t="str">
        <f aca="false">IFERROR(VLOOKUP($D189,ItemList_Full,2,0),"")</f>
        <v/>
      </c>
      <c r="F189" s="12"/>
      <c r="G189" s="12" t="str">
        <f aca="false">IFERROR(VLOOKUP($D189,ItemList_Full,3,0),"")</f>
        <v/>
      </c>
      <c r="H189" s="12" t="str">
        <f aca="false">IFERROR(VLOOKUP($D189,ItemList_Full,4,0),"")</f>
        <v/>
      </c>
      <c r="I189" s="13" t="str">
        <f aca="false">IF(OR($F189="",$H189=""),"",$F189*$H189)</f>
        <v/>
      </c>
      <c r="J189" s="12"/>
      <c r="K189" s="12"/>
      <c r="L189" s="12"/>
      <c r="M189" s="19"/>
    </row>
    <row r="190" customFormat="false" ht="15" hidden="false" customHeight="true" outlineLevel="0" collapsed="false">
      <c r="A190" s="12" t="str">
        <f aca="false">IF($C190="","","PO-"&amp;TEXT(ROW()-4,"000"))</f>
        <v/>
      </c>
      <c r="B190" s="19"/>
      <c r="C190" s="12"/>
      <c r="D190" s="12"/>
      <c r="E190" s="12" t="str">
        <f aca="false">IFERROR(VLOOKUP($D190,ItemList_Full,2,0),"")</f>
        <v/>
      </c>
      <c r="F190" s="12"/>
      <c r="G190" s="12" t="str">
        <f aca="false">IFERROR(VLOOKUP($D190,ItemList_Full,3,0),"")</f>
        <v/>
      </c>
      <c r="H190" s="12" t="str">
        <f aca="false">IFERROR(VLOOKUP($D190,ItemList_Full,4,0),"")</f>
        <v/>
      </c>
      <c r="I190" s="13" t="str">
        <f aca="false">IF(OR($F190="",$H190=""),"",$F190*$H190)</f>
        <v/>
      </c>
      <c r="J190" s="12"/>
      <c r="K190" s="12"/>
      <c r="L190" s="12"/>
      <c r="M190" s="19"/>
    </row>
    <row r="191" customFormat="false" ht="15" hidden="false" customHeight="true" outlineLevel="0" collapsed="false">
      <c r="A191" s="12" t="str">
        <f aca="false">IF($C191="","","PO-"&amp;TEXT(ROW()-4,"000"))</f>
        <v/>
      </c>
      <c r="B191" s="19"/>
      <c r="C191" s="12"/>
      <c r="D191" s="12"/>
      <c r="E191" s="12" t="str">
        <f aca="false">IFERROR(VLOOKUP($D191,ItemList_Full,2,0),"")</f>
        <v/>
      </c>
      <c r="F191" s="12"/>
      <c r="G191" s="12" t="str">
        <f aca="false">IFERROR(VLOOKUP($D191,ItemList_Full,3,0),"")</f>
        <v/>
      </c>
      <c r="H191" s="12" t="str">
        <f aca="false">IFERROR(VLOOKUP($D191,ItemList_Full,4,0),"")</f>
        <v/>
      </c>
      <c r="I191" s="13" t="str">
        <f aca="false">IF(OR($F191="",$H191=""),"",$F191*$H191)</f>
        <v/>
      </c>
      <c r="J191" s="12"/>
      <c r="K191" s="12"/>
      <c r="L191" s="12"/>
      <c r="M191" s="19"/>
    </row>
    <row r="192" customFormat="false" ht="15" hidden="false" customHeight="true" outlineLevel="0" collapsed="false">
      <c r="A192" s="12" t="str">
        <f aca="false">IF($C192="","","PO-"&amp;TEXT(ROW()-4,"000"))</f>
        <v/>
      </c>
      <c r="B192" s="19"/>
      <c r="C192" s="12"/>
      <c r="D192" s="12"/>
      <c r="E192" s="12" t="str">
        <f aca="false">IFERROR(VLOOKUP($D192,ItemList_Full,2,0),"")</f>
        <v/>
      </c>
      <c r="F192" s="12"/>
      <c r="G192" s="12" t="str">
        <f aca="false">IFERROR(VLOOKUP($D192,ItemList_Full,3,0),"")</f>
        <v/>
      </c>
      <c r="H192" s="12" t="str">
        <f aca="false">IFERROR(VLOOKUP($D192,ItemList_Full,4,0),"")</f>
        <v/>
      </c>
      <c r="I192" s="13" t="str">
        <f aca="false">IF(OR($F192="",$H192=""),"",$F192*$H192)</f>
        <v/>
      </c>
      <c r="J192" s="12"/>
      <c r="K192" s="12"/>
      <c r="L192" s="12"/>
      <c r="M192" s="19"/>
    </row>
    <row r="193" customFormat="false" ht="15" hidden="false" customHeight="true" outlineLevel="0" collapsed="false">
      <c r="A193" s="12" t="str">
        <f aca="false">IF($C193="","","PO-"&amp;TEXT(ROW()-4,"000"))</f>
        <v/>
      </c>
      <c r="B193" s="19"/>
      <c r="C193" s="12"/>
      <c r="D193" s="12"/>
      <c r="E193" s="12" t="str">
        <f aca="false">IFERROR(VLOOKUP($D193,ItemList_Full,2,0),"")</f>
        <v/>
      </c>
      <c r="F193" s="12"/>
      <c r="G193" s="12" t="str">
        <f aca="false">IFERROR(VLOOKUP($D193,ItemList_Full,3,0),"")</f>
        <v/>
      </c>
      <c r="H193" s="12" t="str">
        <f aca="false">IFERROR(VLOOKUP($D193,ItemList_Full,4,0),"")</f>
        <v/>
      </c>
      <c r="I193" s="13" t="str">
        <f aca="false">IF(OR($F193="",$H193=""),"",$F193*$H193)</f>
        <v/>
      </c>
      <c r="J193" s="12"/>
      <c r="K193" s="12"/>
      <c r="L193" s="12"/>
      <c r="M193" s="19"/>
    </row>
    <row r="194" customFormat="false" ht="15" hidden="false" customHeight="true" outlineLevel="0" collapsed="false">
      <c r="A194" s="12" t="str">
        <f aca="false">IF($C194="","","PO-"&amp;TEXT(ROW()-4,"000"))</f>
        <v/>
      </c>
      <c r="B194" s="19"/>
      <c r="C194" s="12"/>
      <c r="D194" s="12"/>
      <c r="E194" s="12" t="str">
        <f aca="false">IFERROR(VLOOKUP($D194,ItemList_Full,2,0),"")</f>
        <v/>
      </c>
      <c r="F194" s="12"/>
      <c r="G194" s="12" t="str">
        <f aca="false">IFERROR(VLOOKUP($D194,ItemList_Full,3,0),"")</f>
        <v/>
      </c>
      <c r="H194" s="12" t="str">
        <f aca="false">IFERROR(VLOOKUP($D194,ItemList_Full,4,0),"")</f>
        <v/>
      </c>
      <c r="I194" s="13" t="str">
        <f aca="false">IF(OR($F194="",$H194=""),"",$F194*$H194)</f>
        <v/>
      </c>
      <c r="J194" s="12"/>
      <c r="K194" s="12"/>
      <c r="L194" s="12"/>
      <c r="M194" s="19"/>
    </row>
    <row r="195" customFormat="false" ht="15" hidden="false" customHeight="true" outlineLevel="0" collapsed="false">
      <c r="A195" s="12" t="str">
        <f aca="false">IF($C195="","","PO-"&amp;TEXT(ROW()-4,"000"))</f>
        <v/>
      </c>
      <c r="B195" s="19"/>
      <c r="C195" s="12"/>
      <c r="D195" s="12"/>
      <c r="E195" s="12" t="str">
        <f aca="false">IFERROR(VLOOKUP($D195,ItemList_Full,2,0),"")</f>
        <v/>
      </c>
      <c r="F195" s="12"/>
      <c r="G195" s="12" t="str">
        <f aca="false">IFERROR(VLOOKUP($D195,ItemList_Full,3,0),"")</f>
        <v/>
      </c>
      <c r="H195" s="12" t="str">
        <f aca="false">IFERROR(VLOOKUP($D195,ItemList_Full,4,0),"")</f>
        <v/>
      </c>
      <c r="I195" s="13" t="str">
        <f aca="false">IF(OR($F195="",$H195=""),"",$F195*$H195)</f>
        <v/>
      </c>
      <c r="J195" s="12"/>
      <c r="K195" s="12"/>
      <c r="L195" s="12"/>
      <c r="M195" s="19"/>
    </row>
    <row r="196" customFormat="false" ht="15" hidden="false" customHeight="true" outlineLevel="0" collapsed="false">
      <c r="A196" s="12" t="str">
        <f aca="false">IF($C196="","","PO-"&amp;TEXT(ROW()-4,"000"))</f>
        <v/>
      </c>
      <c r="B196" s="19"/>
      <c r="C196" s="12"/>
      <c r="D196" s="12"/>
      <c r="E196" s="12" t="str">
        <f aca="false">IFERROR(VLOOKUP($D196,ItemList_Full,2,0),"")</f>
        <v/>
      </c>
      <c r="F196" s="12"/>
      <c r="G196" s="12" t="str">
        <f aca="false">IFERROR(VLOOKUP($D196,ItemList_Full,3,0),"")</f>
        <v/>
      </c>
      <c r="H196" s="12" t="str">
        <f aca="false">IFERROR(VLOOKUP($D196,ItemList_Full,4,0),"")</f>
        <v/>
      </c>
      <c r="I196" s="13" t="str">
        <f aca="false">IF(OR($F196="",$H196=""),"",$F196*$H196)</f>
        <v/>
      </c>
      <c r="J196" s="12"/>
      <c r="K196" s="12"/>
      <c r="L196" s="12"/>
      <c r="M196" s="19"/>
    </row>
    <row r="197" customFormat="false" ht="15" hidden="false" customHeight="true" outlineLevel="0" collapsed="false">
      <c r="A197" s="12" t="str">
        <f aca="false">IF($C197="","","PO-"&amp;TEXT(ROW()-4,"000"))</f>
        <v/>
      </c>
      <c r="B197" s="19"/>
      <c r="C197" s="12"/>
      <c r="D197" s="12"/>
      <c r="E197" s="12" t="str">
        <f aca="false">IFERROR(VLOOKUP($D197,ItemList_Full,2,0),"")</f>
        <v/>
      </c>
      <c r="F197" s="12"/>
      <c r="G197" s="12" t="str">
        <f aca="false">IFERROR(VLOOKUP($D197,ItemList_Full,3,0),"")</f>
        <v/>
      </c>
      <c r="H197" s="12" t="str">
        <f aca="false">IFERROR(VLOOKUP($D197,ItemList_Full,4,0),"")</f>
        <v/>
      </c>
      <c r="I197" s="13" t="str">
        <f aca="false">IF(OR($F197="",$H197=""),"",$F197*$H197)</f>
        <v/>
      </c>
      <c r="J197" s="12"/>
      <c r="K197" s="12"/>
      <c r="L197" s="12"/>
      <c r="M197" s="19"/>
    </row>
    <row r="198" customFormat="false" ht="15" hidden="false" customHeight="true" outlineLevel="0" collapsed="false">
      <c r="A198" s="12" t="str">
        <f aca="false">IF($C198="","","PO-"&amp;TEXT(ROW()-4,"000"))</f>
        <v/>
      </c>
      <c r="B198" s="19"/>
      <c r="C198" s="12"/>
      <c r="D198" s="12"/>
      <c r="E198" s="12" t="str">
        <f aca="false">IFERROR(VLOOKUP($D198,ItemList_Full,2,0),"")</f>
        <v/>
      </c>
      <c r="F198" s="12"/>
      <c r="G198" s="12" t="str">
        <f aca="false">IFERROR(VLOOKUP($D198,ItemList_Full,3,0),"")</f>
        <v/>
      </c>
      <c r="H198" s="12" t="str">
        <f aca="false">IFERROR(VLOOKUP($D198,ItemList_Full,4,0),"")</f>
        <v/>
      </c>
      <c r="I198" s="13" t="str">
        <f aca="false">IF(OR($F198="",$H198=""),"",$F198*$H198)</f>
        <v/>
      </c>
      <c r="J198" s="12"/>
      <c r="K198" s="12"/>
      <c r="L198" s="12"/>
      <c r="M198" s="19"/>
    </row>
    <row r="199" customFormat="false" ht="15" hidden="false" customHeight="true" outlineLevel="0" collapsed="false">
      <c r="A199" s="12" t="str">
        <f aca="false">IF($C199="","","PO-"&amp;TEXT(ROW()-4,"000"))</f>
        <v/>
      </c>
      <c r="B199" s="19"/>
      <c r="C199" s="12"/>
      <c r="D199" s="12"/>
      <c r="E199" s="12" t="str">
        <f aca="false">IFERROR(VLOOKUP($D199,ItemList_Full,2,0),"")</f>
        <v/>
      </c>
      <c r="F199" s="12"/>
      <c r="G199" s="12" t="str">
        <f aca="false">IFERROR(VLOOKUP($D199,ItemList_Full,3,0),"")</f>
        <v/>
      </c>
      <c r="H199" s="12" t="str">
        <f aca="false">IFERROR(VLOOKUP($D199,ItemList_Full,4,0),"")</f>
        <v/>
      </c>
      <c r="I199" s="13" t="str">
        <f aca="false">IF(OR($F199="",$H199=""),"",$F199*$H199)</f>
        <v/>
      </c>
      <c r="J199" s="12"/>
      <c r="K199" s="12"/>
      <c r="L199" s="12"/>
      <c r="M199" s="19"/>
    </row>
    <row r="200" customFormat="false" ht="15" hidden="false" customHeight="true" outlineLevel="0" collapsed="false">
      <c r="A200" s="12" t="str">
        <f aca="false">IF($C200="","","PO-"&amp;TEXT(ROW()-4,"000"))</f>
        <v/>
      </c>
      <c r="B200" s="19"/>
      <c r="C200" s="12"/>
      <c r="D200" s="12"/>
      <c r="E200" s="12" t="str">
        <f aca="false">IFERROR(VLOOKUP($D200,ItemList_Full,2,0),"")</f>
        <v/>
      </c>
      <c r="F200" s="12"/>
      <c r="G200" s="12" t="str">
        <f aca="false">IFERROR(VLOOKUP($D200,ItemList_Full,3,0),"")</f>
        <v/>
      </c>
      <c r="H200" s="12" t="str">
        <f aca="false">IFERROR(VLOOKUP($D200,ItemList_Full,4,0),"")</f>
        <v/>
      </c>
      <c r="I200" s="13" t="str">
        <f aca="false">IF(OR($F200="",$H200=""),"",$F200*$H200)</f>
        <v/>
      </c>
      <c r="J200" s="12"/>
      <c r="K200" s="12"/>
      <c r="L200" s="12"/>
      <c r="M200" s="19"/>
    </row>
    <row r="201" customFormat="false" ht="15" hidden="false" customHeight="true" outlineLevel="0" collapsed="false">
      <c r="A201" s="12" t="str">
        <f aca="false">IF($C201="","","PO-"&amp;TEXT(ROW()-4,"000"))</f>
        <v/>
      </c>
      <c r="B201" s="19"/>
      <c r="C201" s="12"/>
      <c r="D201" s="12"/>
      <c r="E201" s="12" t="str">
        <f aca="false">IFERROR(VLOOKUP($D201,ItemList_Full,2,0),"")</f>
        <v/>
      </c>
      <c r="F201" s="12"/>
      <c r="G201" s="12" t="str">
        <f aca="false">IFERROR(VLOOKUP($D201,ItemList_Full,3,0),"")</f>
        <v/>
      </c>
      <c r="H201" s="12" t="str">
        <f aca="false">IFERROR(VLOOKUP($D201,ItemList_Full,4,0),"")</f>
        <v/>
      </c>
      <c r="I201" s="13" t="str">
        <f aca="false">IF(OR($F201="",$H201=""),"",$F201*$H201)</f>
        <v/>
      </c>
      <c r="J201" s="12"/>
      <c r="K201" s="12"/>
      <c r="L201" s="12"/>
      <c r="M201" s="19"/>
    </row>
    <row r="202" customFormat="false" ht="15" hidden="false" customHeight="true" outlineLevel="0" collapsed="false">
      <c r="A202" s="12" t="str">
        <f aca="false">IF($C202="","","PO-"&amp;TEXT(ROW()-4,"000"))</f>
        <v/>
      </c>
      <c r="B202" s="19"/>
      <c r="C202" s="12"/>
      <c r="D202" s="12"/>
      <c r="E202" s="12" t="str">
        <f aca="false">IFERROR(VLOOKUP($D202,ItemList_Full,2,0),"")</f>
        <v/>
      </c>
      <c r="F202" s="12"/>
      <c r="G202" s="12" t="str">
        <f aca="false">IFERROR(VLOOKUP($D202,ItemList_Full,3,0),"")</f>
        <v/>
      </c>
      <c r="H202" s="12" t="str">
        <f aca="false">IFERROR(VLOOKUP($D202,ItemList_Full,4,0),"")</f>
        <v/>
      </c>
      <c r="I202" s="13" t="str">
        <f aca="false">IF(OR($F202="",$H202=""),"",$F202*$H202)</f>
        <v/>
      </c>
      <c r="J202" s="12"/>
      <c r="K202" s="12"/>
      <c r="L202" s="12"/>
      <c r="M202" s="19"/>
    </row>
    <row r="203" customFormat="false" ht="15" hidden="false" customHeight="true" outlineLevel="0" collapsed="false">
      <c r="A203" s="12" t="str">
        <f aca="false">IF($C203="","","PO-"&amp;TEXT(ROW()-4,"000"))</f>
        <v/>
      </c>
      <c r="B203" s="19"/>
      <c r="C203" s="12"/>
      <c r="D203" s="12"/>
      <c r="E203" s="12" t="str">
        <f aca="false">IFERROR(VLOOKUP($D203,ItemList_Full,2,0),"")</f>
        <v/>
      </c>
      <c r="F203" s="12"/>
      <c r="G203" s="12" t="str">
        <f aca="false">IFERROR(VLOOKUP($D203,ItemList_Full,3,0),"")</f>
        <v/>
      </c>
      <c r="H203" s="12" t="str">
        <f aca="false">IFERROR(VLOOKUP($D203,ItemList_Full,4,0),"")</f>
        <v/>
      </c>
      <c r="I203" s="13" t="str">
        <f aca="false">IF(OR($F203="",$H203=""),"",$F203*$H203)</f>
        <v/>
      </c>
      <c r="J203" s="12"/>
      <c r="K203" s="12"/>
      <c r="L203" s="12"/>
      <c r="M203" s="19"/>
    </row>
    <row r="204" customFormat="false" ht="15" hidden="false" customHeight="true" outlineLevel="0" collapsed="false">
      <c r="A204" s="12" t="str">
        <f aca="false">IF($C204="","","PO-"&amp;TEXT(ROW()-4,"000"))</f>
        <v/>
      </c>
      <c r="B204" s="19"/>
      <c r="C204" s="12"/>
      <c r="D204" s="12"/>
      <c r="E204" s="12" t="str">
        <f aca="false">IFERROR(VLOOKUP($D204,ItemList_Full,2,0),"")</f>
        <v/>
      </c>
      <c r="F204" s="12"/>
      <c r="G204" s="12" t="str">
        <f aca="false">IFERROR(VLOOKUP($D204,ItemList_Full,3,0),"")</f>
        <v/>
      </c>
      <c r="H204" s="12" t="str">
        <f aca="false">IFERROR(VLOOKUP($D204,ItemList_Full,4,0),"")</f>
        <v/>
      </c>
      <c r="I204" s="13" t="str">
        <f aca="false">IF(OR($F204="",$H204=""),"",$F204*$H204)</f>
        <v/>
      </c>
      <c r="J204" s="12"/>
      <c r="K204" s="12"/>
      <c r="L204" s="12"/>
      <c r="M204" s="19"/>
    </row>
    <row r="205" customFormat="false" ht="15" hidden="false" customHeight="true" outlineLevel="0" collapsed="false">
      <c r="A205" s="12" t="str">
        <f aca="false">IF($C205="","","PO-"&amp;TEXT(ROW()-4,"000"))</f>
        <v/>
      </c>
      <c r="B205" s="19"/>
      <c r="C205" s="12"/>
      <c r="D205" s="12"/>
      <c r="E205" s="12" t="str">
        <f aca="false">IFERROR(VLOOKUP($D205,ItemList_Full,2,0),"")</f>
        <v/>
      </c>
      <c r="F205" s="12"/>
      <c r="G205" s="12" t="str">
        <f aca="false">IFERROR(VLOOKUP($D205,ItemList_Full,3,0),"")</f>
        <v/>
      </c>
      <c r="H205" s="12" t="str">
        <f aca="false">IFERROR(VLOOKUP($D205,ItemList_Full,4,0),"")</f>
        <v/>
      </c>
      <c r="I205" s="13" t="str">
        <f aca="false">IF(OR($F205="",$H205=""),"",$F205*$H205)</f>
        <v/>
      </c>
      <c r="J205" s="12"/>
      <c r="K205" s="12"/>
      <c r="L205" s="12"/>
      <c r="M205" s="19"/>
    </row>
    <row r="206" customFormat="false" ht="15" hidden="false" customHeight="true" outlineLevel="0" collapsed="false">
      <c r="A206" s="12" t="str">
        <f aca="false">IF($C206="","","PO-"&amp;TEXT(ROW()-4,"000"))</f>
        <v/>
      </c>
      <c r="B206" s="19"/>
      <c r="C206" s="12"/>
      <c r="D206" s="12"/>
      <c r="E206" s="12" t="str">
        <f aca="false">IFERROR(VLOOKUP($D206,ItemList_Full,2,0),"")</f>
        <v/>
      </c>
      <c r="F206" s="12"/>
      <c r="G206" s="12" t="str">
        <f aca="false">IFERROR(VLOOKUP($D206,ItemList_Full,3,0),"")</f>
        <v/>
      </c>
      <c r="H206" s="12" t="str">
        <f aca="false">IFERROR(VLOOKUP($D206,ItemList_Full,4,0),"")</f>
        <v/>
      </c>
      <c r="I206" s="13" t="str">
        <f aca="false">IF(OR($F206="",$H206=""),"",$F206*$H206)</f>
        <v/>
      </c>
      <c r="J206" s="12"/>
      <c r="K206" s="12"/>
      <c r="L206" s="12"/>
      <c r="M206" s="19"/>
    </row>
    <row r="207" customFormat="false" ht="15" hidden="false" customHeight="true" outlineLevel="0" collapsed="false">
      <c r="A207" s="12" t="str">
        <f aca="false">IF($C207="","","PO-"&amp;TEXT(ROW()-4,"000"))</f>
        <v/>
      </c>
      <c r="B207" s="19"/>
      <c r="C207" s="12"/>
      <c r="D207" s="12"/>
      <c r="E207" s="12" t="str">
        <f aca="false">IFERROR(VLOOKUP($D207,ItemList_Full,2,0),"")</f>
        <v/>
      </c>
      <c r="F207" s="12"/>
      <c r="G207" s="12" t="str">
        <f aca="false">IFERROR(VLOOKUP($D207,ItemList_Full,3,0),"")</f>
        <v/>
      </c>
      <c r="H207" s="12" t="str">
        <f aca="false">IFERROR(VLOOKUP($D207,ItemList_Full,4,0),"")</f>
        <v/>
      </c>
      <c r="I207" s="13" t="str">
        <f aca="false">IF(OR($F207="",$H207=""),"",$F207*$H207)</f>
        <v/>
      </c>
      <c r="J207" s="12"/>
      <c r="K207" s="12"/>
      <c r="L207" s="12"/>
      <c r="M207" s="19"/>
    </row>
    <row r="208" customFormat="false" ht="15" hidden="false" customHeight="true" outlineLevel="0" collapsed="false">
      <c r="A208" s="12" t="str">
        <f aca="false">IF($C208="","","PO-"&amp;TEXT(ROW()-4,"000"))</f>
        <v/>
      </c>
      <c r="B208" s="19"/>
      <c r="C208" s="12"/>
      <c r="D208" s="12"/>
      <c r="E208" s="12" t="str">
        <f aca="false">IFERROR(VLOOKUP($D208,ItemList_Full,2,0),"")</f>
        <v/>
      </c>
      <c r="F208" s="12"/>
      <c r="G208" s="12" t="str">
        <f aca="false">IFERROR(VLOOKUP($D208,ItemList_Full,3,0),"")</f>
        <v/>
      </c>
      <c r="H208" s="12" t="str">
        <f aca="false">IFERROR(VLOOKUP($D208,ItemList_Full,4,0),"")</f>
        <v/>
      </c>
      <c r="I208" s="13" t="str">
        <f aca="false">IF(OR($F208="",$H208=""),"",$F208*$H208)</f>
        <v/>
      </c>
      <c r="J208" s="12"/>
      <c r="K208" s="12"/>
      <c r="L208" s="12"/>
      <c r="M208" s="19"/>
    </row>
    <row r="209" customFormat="false" ht="15" hidden="false" customHeight="true" outlineLevel="0" collapsed="false">
      <c r="A209" s="12" t="str">
        <f aca="false">IF($C209="","","PO-"&amp;TEXT(ROW()-4,"000"))</f>
        <v/>
      </c>
      <c r="B209" s="19"/>
      <c r="C209" s="12"/>
      <c r="D209" s="12"/>
      <c r="E209" s="12" t="str">
        <f aca="false">IFERROR(VLOOKUP($D209,ItemList_Full,2,0),"")</f>
        <v/>
      </c>
      <c r="F209" s="12"/>
      <c r="G209" s="12" t="str">
        <f aca="false">IFERROR(VLOOKUP($D209,ItemList_Full,3,0),"")</f>
        <v/>
      </c>
      <c r="H209" s="12" t="str">
        <f aca="false">IFERROR(VLOOKUP($D209,ItemList_Full,4,0),"")</f>
        <v/>
      </c>
      <c r="I209" s="13" t="str">
        <f aca="false">IF(OR($F209="",$H209=""),"",$F209*$H209)</f>
        <v/>
      </c>
      <c r="J209" s="12"/>
      <c r="K209" s="12"/>
      <c r="L209" s="12"/>
      <c r="M209" s="19"/>
    </row>
    <row r="210" customFormat="false" ht="15" hidden="false" customHeight="true" outlineLevel="0" collapsed="false">
      <c r="A210" s="12" t="str">
        <f aca="false">IF($C210="","","PO-"&amp;TEXT(ROW()-4,"000"))</f>
        <v/>
      </c>
      <c r="B210" s="19"/>
      <c r="C210" s="12"/>
      <c r="D210" s="12"/>
      <c r="E210" s="12" t="str">
        <f aca="false">IFERROR(VLOOKUP($D210,ItemList_Full,2,0),"")</f>
        <v/>
      </c>
      <c r="F210" s="12"/>
      <c r="G210" s="12" t="str">
        <f aca="false">IFERROR(VLOOKUP($D210,ItemList_Full,3,0),"")</f>
        <v/>
      </c>
      <c r="H210" s="12" t="str">
        <f aca="false">IFERROR(VLOOKUP($D210,ItemList_Full,4,0),"")</f>
        <v/>
      </c>
      <c r="I210" s="13" t="str">
        <f aca="false">IF(OR($F210="",$H210=""),"",$F210*$H210)</f>
        <v/>
      </c>
      <c r="J210" s="12"/>
      <c r="K210" s="12"/>
      <c r="L210" s="12"/>
      <c r="M210" s="19"/>
    </row>
    <row r="211" customFormat="false" ht="15" hidden="false" customHeight="true" outlineLevel="0" collapsed="false">
      <c r="A211" s="12" t="str">
        <f aca="false">IF($C211="","","PO-"&amp;TEXT(ROW()-4,"000"))</f>
        <v/>
      </c>
      <c r="B211" s="19"/>
      <c r="C211" s="12"/>
      <c r="D211" s="12"/>
      <c r="E211" s="12" t="str">
        <f aca="false">IFERROR(VLOOKUP($D211,ItemList_Full,2,0),"")</f>
        <v/>
      </c>
      <c r="F211" s="12"/>
      <c r="G211" s="12" t="str">
        <f aca="false">IFERROR(VLOOKUP($D211,ItemList_Full,3,0),"")</f>
        <v/>
      </c>
      <c r="H211" s="12" t="str">
        <f aca="false">IFERROR(VLOOKUP($D211,ItemList_Full,4,0),"")</f>
        <v/>
      </c>
      <c r="I211" s="13" t="str">
        <f aca="false">IF(OR($F211="",$H211=""),"",$F211*$H211)</f>
        <v/>
      </c>
      <c r="J211" s="12"/>
      <c r="K211" s="12"/>
      <c r="L211" s="12"/>
      <c r="M211" s="19"/>
    </row>
    <row r="212" customFormat="false" ht="15" hidden="false" customHeight="true" outlineLevel="0" collapsed="false">
      <c r="A212" s="12" t="str">
        <f aca="false">IF($C212="","","PO-"&amp;TEXT(ROW()-4,"000"))</f>
        <v/>
      </c>
      <c r="B212" s="19"/>
      <c r="C212" s="12"/>
      <c r="D212" s="12"/>
      <c r="E212" s="12" t="str">
        <f aca="false">IFERROR(VLOOKUP($D212,ItemList_Full,2,0),"")</f>
        <v/>
      </c>
      <c r="F212" s="12"/>
      <c r="G212" s="12" t="str">
        <f aca="false">IFERROR(VLOOKUP($D212,ItemList_Full,3,0),"")</f>
        <v/>
      </c>
      <c r="H212" s="12" t="str">
        <f aca="false">IFERROR(VLOOKUP($D212,ItemList_Full,4,0),"")</f>
        <v/>
      </c>
      <c r="I212" s="13" t="str">
        <f aca="false">IF(OR($F212="",$H212=""),"",$F212*$H212)</f>
        <v/>
      </c>
      <c r="J212" s="12"/>
      <c r="K212" s="12"/>
      <c r="L212" s="12"/>
      <c r="M212" s="19"/>
    </row>
    <row r="213" customFormat="false" ht="15" hidden="false" customHeight="true" outlineLevel="0" collapsed="false">
      <c r="A213" s="12" t="str">
        <f aca="false">IF($C213="","","PO-"&amp;TEXT(ROW()-4,"000"))</f>
        <v/>
      </c>
      <c r="B213" s="19"/>
      <c r="C213" s="12"/>
      <c r="D213" s="12"/>
      <c r="E213" s="12" t="str">
        <f aca="false">IFERROR(VLOOKUP($D213,ItemList_Full,2,0),"")</f>
        <v/>
      </c>
      <c r="F213" s="12"/>
      <c r="G213" s="12" t="str">
        <f aca="false">IFERROR(VLOOKUP($D213,ItemList_Full,3,0),"")</f>
        <v/>
      </c>
      <c r="H213" s="12" t="str">
        <f aca="false">IFERROR(VLOOKUP($D213,ItemList_Full,4,0),"")</f>
        <v/>
      </c>
      <c r="I213" s="13" t="str">
        <f aca="false">IF(OR($F213="",$H213=""),"",$F213*$H213)</f>
        <v/>
      </c>
      <c r="J213" s="12"/>
      <c r="K213" s="12"/>
      <c r="L213" s="12"/>
      <c r="M213" s="19"/>
    </row>
    <row r="214" customFormat="false" ht="15" hidden="false" customHeight="true" outlineLevel="0" collapsed="false">
      <c r="A214" s="12" t="str">
        <f aca="false">IF($C214="","","PO-"&amp;TEXT(ROW()-4,"000"))</f>
        <v/>
      </c>
      <c r="B214" s="19"/>
      <c r="C214" s="12"/>
      <c r="D214" s="12"/>
      <c r="E214" s="12" t="str">
        <f aca="false">IFERROR(VLOOKUP($D214,ItemList_Full,2,0),"")</f>
        <v/>
      </c>
      <c r="F214" s="12"/>
      <c r="G214" s="12" t="str">
        <f aca="false">IFERROR(VLOOKUP($D214,ItemList_Full,3,0),"")</f>
        <v/>
      </c>
      <c r="H214" s="12" t="str">
        <f aca="false">IFERROR(VLOOKUP($D214,ItemList_Full,4,0),"")</f>
        <v/>
      </c>
      <c r="I214" s="13" t="str">
        <f aca="false">IF(OR($F214="",$H214=""),"",$F214*$H214)</f>
        <v/>
      </c>
      <c r="J214" s="12"/>
      <c r="K214" s="12"/>
      <c r="L214" s="12"/>
      <c r="M214" s="19"/>
    </row>
    <row r="215" customFormat="false" ht="15" hidden="false" customHeight="true" outlineLevel="0" collapsed="false">
      <c r="A215" s="12" t="str">
        <f aca="false">IF($C215="","","PO-"&amp;TEXT(ROW()-4,"000"))</f>
        <v/>
      </c>
      <c r="B215" s="19"/>
      <c r="C215" s="12"/>
      <c r="D215" s="12"/>
      <c r="E215" s="12" t="str">
        <f aca="false">IFERROR(VLOOKUP($D215,ItemList_Full,2,0),"")</f>
        <v/>
      </c>
      <c r="F215" s="12"/>
      <c r="G215" s="12" t="str">
        <f aca="false">IFERROR(VLOOKUP($D215,ItemList_Full,3,0),"")</f>
        <v/>
      </c>
      <c r="H215" s="12" t="str">
        <f aca="false">IFERROR(VLOOKUP($D215,ItemList_Full,4,0),"")</f>
        <v/>
      </c>
      <c r="I215" s="13" t="str">
        <f aca="false">IF(OR($F215="",$H215=""),"",$F215*$H215)</f>
        <v/>
      </c>
      <c r="J215" s="12"/>
      <c r="K215" s="12"/>
      <c r="L215" s="12"/>
      <c r="M215" s="19"/>
    </row>
    <row r="216" customFormat="false" ht="15" hidden="false" customHeight="true" outlineLevel="0" collapsed="false">
      <c r="A216" s="12" t="str">
        <f aca="false">IF($C216="","","PO-"&amp;TEXT(ROW()-4,"000"))</f>
        <v/>
      </c>
      <c r="B216" s="19"/>
      <c r="C216" s="12"/>
      <c r="D216" s="12"/>
      <c r="E216" s="12" t="str">
        <f aca="false">IFERROR(VLOOKUP($D216,ItemList_Full,2,0),"")</f>
        <v/>
      </c>
      <c r="F216" s="12"/>
      <c r="G216" s="12" t="str">
        <f aca="false">IFERROR(VLOOKUP($D216,ItemList_Full,3,0),"")</f>
        <v/>
      </c>
      <c r="H216" s="12" t="str">
        <f aca="false">IFERROR(VLOOKUP($D216,ItemList_Full,4,0),"")</f>
        <v/>
      </c>
      <c r="I216" s="13" t="str">
        <f aca="false">IF(OR($F216="",$H216=""),"",$F216*$H216)</f>
        <v/>
      </c>
      <c r="J216" s="12"/>
      <c r="K216" s="12"/>
      <c r="L216" s="12"/>
      <c r="M216" s="19"/>
    </row>
    <row r="217" customFormat="false" ht="15" hidden="false" customHeight="true" outlineLevel="0" collapsed="false">
      <c r="A217" s="12" t="str">
        <f aca="false">IF($C217="","","PO-"&amp;TEXT(ROW()-4,"000"))</f>
        <v/>
      </c>
      <c r="B217" s="19"/>
      <c r="C217" s="12"/>
      <c r="D217" s="12"/>
      <c r="E217" s="12" t="str">
        <f aca="false">IFERROR(VLOOKUP($D217,ItemList_Full,2,0),"")</f>
        <v/>
      </c>
      <c r="F217" s="12"/>
      <c r="G217" s="12" t="str">
        <f aca="false">IFERROR(VLOOKUP($D217,ItemList_Full,3,0),"")</f>
        <v/>
      </c>
      <c r="H217" s="12" t="str">
        <f aca="false">IFERROR(VLOOKUP($D217,ItemList_Full,4,0),"")</f>
        <v/>
      </c>
      <c r="I217" s="13" t="str">
        <f aca="false">IF(OR($F217="",$H217=""),"",$F217*$H217)</f>
        <v/>
      </c>
      <c r="J217" s="12"/>
      <c r="K217" s="12"/>
      <c r="L217" s="12"/>
      <c r="M217" s="19"/>
    </row>
    <row r="218" customFormat="false" ht="15" hidden="false" customHeight="true" outlineLevel="0" collapsed="false">
      <c r="A218" s="12" t="str">
        <f aca="false">IF($C218="","","PO-"&amp;TEXT(ROW()-4,"000"))</f>
        <v/>
      </c>
      <c r="B218" s="19"/>
      <c r="C218" s="12"/>
      <c r="D218" s="12"/>
      <c r="E218" s="12" t="str">
        <f aca="false">IFERROR(VLOOKUP($D218,ItemList_Full,2,0),"")</f>
        <v/>
      </c>
      <c r="F218" s="12"/>
      <c r="G218" s="12" t="str">
        <f aca="false">IFERROR(VLOOKUP($D218,ItemList_Full,3,0),"")</f>
        <v/>
      </c>
      <c r="H218" s="12" t="str">
        <f aca="false">IFERROR(VLOOKUP($D218,ItemList_Full,4,0),"")</f>
        <v/>
      </c>
      <c r="I218" s="13" t="str">
        <f aca="false">IF(OR($F218="",$H218=""),"",$F218*$H218)</f>
        <v/>
      </c>
      <c r="J218" s="12"/>
      <c r="K218" s="12"/>
      <c r="L218" s="12"/>
      <c r="M218" s="19"/>
    </row>
    <row r="219" customFormat="false" ht="15" hidden="false" customHeight="true" outlineLevel="0" collapsed="false">
      <c r="A219" s="12" t="str">
        <f aca="false">IF($C219="","","PO-"&amp;TEXT(ROW()-4,"000"))</f>
        <v/>
      </c>
      <c r="B219" s="19"/>
      <c r="C219" s="12"/>
      <c r="D219" s="12"/>
      <c r="E219" s="12" t="str">
        <f aca="false">IFERROR(VLOOKUP($D219,ItemList_Full,2,0),"")</f>
        <v/>
      </c>
      <c r="F219" s="12"/>
      <c r="G219" s="12" t="str">
        <f aca="false">IFERROR(VLOOKUP($D219,ItemList_Full,3,0),"")</f>
        <v/>
      </c>
      <c r="H219" s="12" t="str">
        <f aca="false">IFERROR(VLOOKUP($D219,ItemList_Full,4,0),"")</f>
        <v/>
      </c>
      <c r="I219" s="13" t="str">
        <f aca="false">IF(OR($F219="",$H219=""),"",$F219*$H219)</f>
        <v/>
      </c>
      <c r="J219" s="12"/>
      <c r="K219" s="12"/>
      <c r="L219" s="12"/>
      <c r="M219" s="19"/>
    </row>
    <row r="220" customFormat="false" ht="15" hidden="false" customHeight="true" outlineLevel="0" collapsed="false">
      <c r="A220" s="12" t="str">
        <f aca="false">IF($C220="","","PO-"&amp;TEXT(ROW()-4,"000"))</f>
        <v/>
      </c>
      <c r="B220" s="19"/>
      <c r="C220" s="12"/>
      <c r="D220" s="12"/>
      <c r="E220" s="12" t="str">
        <f aca="false">IFERROR(VLOOKUP($D220,ItemList_Full,2,0),"")</f>
        <v/>
      </c>
      <c r="F220" s="12"/>
      <c r="G220" s="12" t="str">
        <f aca="false">IFERROR(VLOOKUP($D220,ItemList_Full,3,0),"")</f>
        <v/>
      </c>
      <c r="H220" s="12" t="str">
        <f aca="false">IFERROR(VLOOKUP($D220,ItemList_Full,4,0),"")</f>
        <v/>
      </c>
      <c r="I220" s="13" t="str">
        <f aca="false">IF(OR($F220="",$H220=""),"",$F220*$H220)</f>
        <v/>
      </c>
      <c r="J220" s="12"/>
      <c r="K220" s="12"/>
      <c r="L220" s="12"/>
      <c r="M220" s="19"/>
    </row>
    <row r="221" customFormat="false" ht="15" hidden="false" customHeight="true" outlineLevel="0" collapsed="false">
      <c r="A221" s="12" t="str">
        <f aca="false">IF($C221="","","PO-"&amp;TEXT(ROW()-4,"000"))</f>
        <v/>
      </c>
      <c r="B221" s="19"/>
      <c r="C221" s="12"/>
      <c r="D221" s="12"/>
      <c r="E221" s="12" t="str">
        <f aca="false">IFERROR(VLOOKUP($D221,ItemList_Full,2,0),"")</f>
        <v/>
      </c>
      <c r="F221" s="12"/>
      <c r="G221" s="12" t="str">
        <f aca="false">IFERROR(VLOOKUP($D221,ItemList_Full,3,0),"")</f>
        <v/>
      </c>
      <c r="H221" s="12" t="str">
        <f aca="false">IFERROR(VLOOKUP($D221,ItemList_Full,4,0),"")</f>
        <v/>
      </c>
      <c r="I221" s="13" t="str">
        <f aca="false">IF(OR($F221="",$H221=""),"",$F221*$H221)</f>
        <v/>
      </c>
      <c r="J221" s="12"/>
      <c r="K221" s="12"/>
      <c r="L221" s="12"/>
      <c r="M221" s="19"/>
    </row>
    <row r="222" customFormat="false" ht="15" hidden="false" customHeight="true" outlineLevel="0" collapsed="false">
      <c r="A222" s="12" t="str">
        <f aca="false">IF($C222="","","PO-"&amp;TEXT(ROW()-4,"000"))</f>
        <v/>
      </c>
      <c r="B222" s="19"/>
      <c r="C222" s="12"/>
      <c r="D222" s="12"/>
      <c r="E222" s="12" t="str">
        <f aca="false">IFERROR(VLOOKUP($D222,ItemList_Full,2,0),"")</f>
        <v/>
      </c>
      <c r="F222" s="12"/>
      <c r="G222" s="12" t="str">
        <f aca="false">IFERROR(VLOOKUP($D222,ItemList_Full,3,0),"")</f>
        <v/>
      </c>
      <c r="H222" s="12" t="str">
        <f aca="false">IFERROR(VLOOKUP($D222,ItemList_Full,4,0),"")</f>
        <v/>
      </c>
      <c r="I222" s="13" t="str">
        <f aca="false">IF(OR($F222="",$H222=""),"",$F222*$H222)</f>
        <v/>
      </c>
      <c r="J222" s="12"/>
      <c r="K222" s="12"/>
      <c r="L222" s="12"/>
      <c r="M222" s="19"/>
    </row>
    <row r="223" customFormat="false" ht="15" hidden="false" customHeight="true" outlineLevel="0" collapsed="false">
      <c r="A223" s="12" t="str">
        <f aca="false">IF($C223="","","PO-"&amp;TEXT(ROW()-4,"000"))</f>
        <v/>
      </c>
      <c r="B223" s="19"/>
      <c r="C223" s="12"/>
      <c r="D223" s="12"/>
      <c r="E223" s="12" t="str">
        <f aca="false">IFERROR(VLOOKUP($D223,ItemList_Full,2,0),"")</f>
        <v/>
      </c>
      <c r="F223" s="12"/>
      <c r="G223" s="12" t="str">
        <f aca="false">IFERROR(VLOOKUP($D223,ItemList_Full,3,0),"")</f>
        <v/>
      </c>
      <c r="H223" s="12" t="str">
        <f aca="false">IFERROR(VLOOKUP($D223,ItemList_Full,4,0),"")</f>
        <v/>
      </c>
      <c r="I223" s="13" t="str">
        <f aca="false">IF(OR($F223="",$H223=""),"",$F223*$H223)</f>
        <v/>
      </c>
      <c r="J223" s="12"/>
      <c r="K223" s="12"/>
      <c r="L223" s="12"/>
      <c r="M223" s="19"/>
    </row>
    <row r="224" customFormat="false" ht="15" hidden="false" customHeight="true" outlineLevel="0" collapsed="false">
      <c r="A224" s="12" t="str">
        <f aca="false">IF($C224="","","PO-"&amp;TEXT(ROW()-4,"000"))</f>
        <v/>
      </c>
      <c r="B224" s="19"/>
      <c r="C224" s="12"/>
      <c r="D224" s="12"/>
      <c r="E224" s="12" t="str">
        <f aca="false">IFERROR(VLOOKUP($D224,ItemList_Full,2,0),"")</f>
        <v/>
      </c>
      <c r="F224" s="12"/>
      <c r="G224" s="12" t="str">
        <f aca="false">IFERROR(VLOOKUP($D224,ItemList_Full,3,0),"")</f>
        <v/>
      </c>
      <c r="H224" s="12" t="str">
        <f aca="false">IFERROR(VLOOKUP($D224,ItemList_Full,4,0),"")</f>
        <v/>
      </c>
      <c r="I224" s="13" t="str">
        <f aca="false">IF(OR($F224="",$H224=""),"",$F224*$H224)</f>
        <v/>
      </c>
      <c r="J224" s="12"/>
      <c r="K224" s="12"/>
      <c r="L224" s="12"/>
      <c r="M224" s="19"/>
    </row>
    <row r="225" customFormat="false" ht="15" hidden="false" customHeight="true" outlineLevel="0" collapsed="false">
      <c r="A225" s="12" t="str">
        <f aca="false">IF($C225="","","PO-"&amp;TEXT(ROW()-4,"000"))</f>
        <v/>
      </c>
      <c r="B225" s="19"/>
      <c r="C225" s="12"/>
      <c r="D225" s="12"/>
      <c r="E225" s="12" t="str">
        <f aca="false">IFERROR(VLOOKUP($D225,ItemList_Full,2,0),"")</f>
        <v/>
      </c>
      <c r="F225" s="12"/>
      <c r="G225" s="12" t="str">
        <f aca="false">IFERROR(VLOOKUP($D225,ItemList_Full,3,0),"")</f>
        <v/>
      </c>
      <c r="H225" s="12" t="str">
        <f aca="false">IFERROR(VLOOKUP($D225,ItemList_Full,4,0),"")</f>
        <v/>
      </c>
      <c r="I225" s="13" t="str">
        <f aca="false">IF(OR($F225="",$H225=""),"",$F225*$H225)</f>
        <v/>
      </c>
      <c r="J225" s="12"/>
      <c r="K225" s="12"/>
      <c r="L225" s="12"/>
      <c r="M225" s="19"/>
    </row>
    <row r="226" customFormat="false" ht="15" hidden="false" customHeight="true" outlineLevel="0" collapsed="false">
      <c r="A226" s="12" t="str">
        <f aca="false">IF($C226="","","PO-"&amp;TEXT(ROW()-4,"000"))</f>
        <v/>
      </c>
      <c r="B226" s="19"/>
      <c r="C226" s="12"/>
      <c r="D226" s="12"/>
      <c r="E226" s="12" t="str">
        <f aca="false">IFERROR(VLOOKUP($D226,ItemList_Full,2,0),"")</f>
        <v/>
      </c>
      <c r="F226" s="12"/>
      <c r="G226" s="12" t="str">
        <f aca="false">IFERROR(VLOOKUP($D226,ItemList_Full,3,0),"")</f>
        <v/>
      </c>
      <c r="H226" s="12" t="str">
        <f aca="false">IFERROR(VLOOKUP($D226,ItemList_Full,4,0),"")</f>
        <v/>
      </c>
      <c r="I226" s="13" t="str">
        <f aca="false">IF(OR($F226="",$H226=""),"",$F226*$H226)</f>
        <v/>
      </c>
      <c r="J226" s="12"/>
      <c r="K226" s="12"/>
      <c r="L226" s="12"/>
      <c r="M226" s="19"/>
    </row>
    <row r="227" customFormat="false" ht="15" hidden="false" customHeight="true" outlineLevel="0" collapsed="false">
      <c r="A227" s="12" t="str">
        <f aca="false">IF($C227="","","PO-"&amp;TEXT(ROW()-4,"000"))</f>
        <v/>
      </c>
      <c r="B227" s="19"/>
      <c r="C227" s="12"/>
      <c r="D227" s="12"/>
      <c r="E227" s="12" t="str">
        <f aca="false">IFERROR(VLOOKUP($D227,ItemList_Full,2,0),"")</f>
        <v/>
      </c>
      <c r="F227" s="12"/>
      <c r="G227" s="12" t="str">
        <f aca="false">IFERROR(VLOOKUP($D227,ItemList_Full,3,0),"")</f>
        <v/>
      </c>
      <c r="H227" s="12" t="str">
        <f aca="false">IFERROR(VLOOKUP($D227,ItemList_Full,4,0),"")</f>
        <v/>
      </c>
      <c r="I227" s="13" t="str">
        <f aca="false">IF(OR($F227="",$H227=""),"",$F227*$H227)</f>
        <v/>
      </c>
      <c r="J227" s="12"/>
      <c r="K227" s="12"/>
      <c r="L227" s="12"/>
      <c r="M227" s="19"/>
    </row>
    <row r="228" customFormat="false" ht="15" hidden="false" customHeight="true" outlineLevel="0" collapsed="false">
      <c r="A228" s="12" t="str">
        <f aca="false">IF($C228="","","PO-"&amp;TEXT(ROW()-4,"000"))</f>
        <v/>
      </c>
      <c r="B228" s="19"/>
      <c r="C228" s="12"/>
      <c r="D228" s="12"/>
      <c r="E228" s="12" t="str">
        <f aca="false">IFERROR(VLOOKUP($D228,ItemList_Full,2,0),"")</f>
        <v/>
      </c>
      <c r="F228" s="12"/>
      <c r="G228" s="12" t="str">
        <f aca="false">IFERROR(VLOOKUP($D228,ItemList_Full,3,0),"")</f>
        <v/>
      </c>
      <c r="H228" s="12" t="str">
        <f aca="false">IFERROR(VLOOKUP($D228,ItemList_Full,4,0),"")</f>
        <v/>
      </c>
      <c r="I228" s="13" t="str">
        <f aca="false">IF(OR($F228="",$H228=""),"",$F228*$H228)</f>
        <v/>
      </c>
      <c r="J228" s="12"/>
      <c r="K228" s="12"/>
      <c r="L228" s="12"/>
      <c r="M228" s="19"/>
    </row>
    <row r="229" customFormat="false" ht="15" hidden="false" customHeight="true" outlineLevel="0" collapsed="false">
      <c r="A229" s="12" t="str">
        <f aca="false">IF($C229="","","PO-"&amp;TEXT(ROW()-4,"000"))</f>
        <v/>
      </c>
      <c r="B229" s="19"/>
      <c r="C229" s="12"/>
      <c r="D229" s="12"/>
      <c r="E229" s="12" t="str">
        <f aca="false">IFERROR(VLOOKUP($D229,ItemList_Full,2,0),"")</f>
        <v/>
      </c>
      <c r="F229" s="12"/>
      <c r="G229" s="12" t="str">
        <f aca="false">IFERROR(VLOOKUP($D229,ItemList_Full,3,0),"")</f>
        <v/>
      </c>
      <c r="H229" s="12" t="str">
        <f aca="false">IFERROR(VLOOKUP($D229,ItemList_Full,4,0),"")</f>
        <v/>
      </c>
      <c r="I229" s="13" t="str">
        <f aca="false">IF(OR($F229="",$H229=""),"",$F229*$H229)</f>
        <v/>
      </c>
      <c r="J229" s="12"/>
      <c r="K229" s="12"/>
      <c r="L229" s="12"/>
      <c r="M229" s="19"/>
    </row>
    <row r="230" customFormat="false" ht="15" hidden="false" customHeight="true" outlineLevel="0" collapsed="false">
      <c r="A230" s="12" t="str">
        <f aca="false">IF($C230="","","PO-"&amp;TEXT(ROW()-4,"000"))</f>
        <v/>
      </c>
      <c r="B230" s="19"/>
      <c r="C230" s="12"/>
      <c r="D230" s="12"/>
      <c r="E230" s="12" t="str">
        <f aca="false">IFERROR(VLOOKUP($D230,ItemList_Full,2,0),"")</f>
        <v/>
      </c>
      <c r="F230" s="12"/>
      <c r="G230" s="12" t="str">
        <f aca="false">IFERROR(VLOOKUP($D230,ItemList_Full,3,0),"")</f>
        <v/>
      </c>
      <c r="H230" s="12" t="str">
        <f aca="false">IFERROR(VLOOKUP($D230,ItemList_Full,4,0),"")</f>
        <v/>
      </c>
      <c r="I230" s="13" t="str">
        <f aca="false">IF(OR($F230="",$H230=""),"",$F230*$H230)</f>
        <v/>
      </c>
      <c r="J230" s="12"/>
      <c r="K230" s="12"/>
      <c r="L230" s="12"/>
      <c r="M230" s="19"/>
    </row>
    <row r="231" customFormat="false" ht="15" hidden="false" customHeight="true" outlineLevel="0" collapsed="false">
      <c r="A231" s="12" t="str">
        <f aca="false">IF($C231="","","PO-"&amp;TEXT(ROW()-4,"000"))</f>
        <v/>
      </c>
      <c r="B231" s="19"/>
      <c r="C231" s="12"/>
      <c r="D231" s="12"/>
      <c r="E231" s="12" t="str">
        <f aca="false">IFERROR(VLOOKUP($D231,ItemList_Full,2,0),"")</f>
        <v/>
      </c>
      <c r="F231" s="12"/>
      <c r="G231" s="12" t="str">
        <f aca="false">IFERROR(VLOOKUP($D231,ItemList_Full,3,0),"")</f>
        <v/>
      </c>
      <c r="H231" s="12" t="str">
        <f aca="false">IFERROR(VLOOKUP($D231,ItemList_Full,4,0),"")</f>
        <v/>
      </c>
      <c r="I231" s="13" t="str">
        <f aca="false">IF(OR($F231="",$H231=""),"",$F231*$H231)</f>
        <v/>
      </c>
      <c r="J231" s="12"/>
      <c r="K231" s="12"/>
      <c r="L231" s="12"/>
      <c r="M231" s="19"/>
    </row>
    <row r="232" customFormat="false" ht="15" hidden="false" customHeight="true" outlineLevel="0" collapsed="false">
      <c r="A232" s="12" t="str">
        <f aca="false">IF($C232="","","PO-"&amp;TEXT(ROW()-4,"000"))</f>
        <v/>
      </c>
      <c r="B232" s="19"/>
      <c r="C232" s="12"/>
      <c r="D232" s="12"/>
      <c r="E232" s="12" t="str">
        <f aca="false">IFERROR(VLOOKUP($D232,ItemList_Full,2,0),"")</f>
        <v/>
      </c>
      <c r="F232" s="12"/>
      <c r="G232" s="12" t="str">
        <f aca="false">IFERROR(VLOOKUP($D232,ItemList_Full,3,0),"")</f>
        <v/>
      </c>
      <c r="H232" s="12" t="str">
        <f aca="false">IFERROR(VLOOKUP($D232,ItemList_Full,4,0),"")</f>
        <v/>
      </c>
      <c r="I232" s="13" t="str">
        <f aca="false">IF(OR($F232="",$H232=""),"",$F232*$H232)</f>
        <v/>
      </c>
      <c r="J232" s="12"/>
      <c r="K232" s="12"/>
      <c r="L232" s="12"/>
      <c r="M232" s="19"/>
    </row>
    <row r="233" customFormat="false" ht="15" hidden="false" customHeight="true" outlineLevel="0" collapsed="false">
      <c r="A233" s="12" t="str">
        <f aca="false">IF($C233="","","PO-"&amp;TEXT(ROW()-4,"000"))</f>
        <v/>
      </c>
      <c r="B233" s="19"/>
      <c r="C233" s="12"/>
      <c r="D233" s="12"/>
      <c r="E233" s="12" t="str">
        <f aca="false">IFERROR(VLOOKUP($D233,ItemList_Full,2,0),"")</f>
        <v/>
      </c>
      <c r="F233" s="12"/>
      <c r="G233" s="12" t="str">
        <f aca="false">IFERROR(VLOOKUP($D233,ItemList_Full,3,0),"")</f>
        <v/>
      </c>
      <c r="H233" s="12" t="str">
        <f aca="false">IFERROR(VLOOKUP($D233,ItemList_Full,4,0),"")</f>
        <v/>
      </c>
      <c r="I233" s="13" t="str">
        <f aca="false">IF(OR($F233="",$H233=""),"",$F233*$H233)</f>
        <v/>
      </c>
      <c r="J233" s="12"/>
      <c r="K233" s="12"/>
      <c r="L233" s="12"/>
      <c r="M233" s="19"/>
    </row>
    <row r="234" customFormat="false" ht="15" hidden="false" customHeight="true" outlineLevel="0" collapsed="false">
      <c r="A234" s="12" t="str">
        <f aca="false">IF($C234="","","PO-"&amp;TEXT(ROW()-4,"000"))</f>
        <v/>
      </c>
      <c r="B234" s="19"/>
      <c r="C234" s="12"/>
      <c r="D234" s="12"/>
      <c r="E234" s="12" t="str">
        <f aca="false">IFERROR(VLOOKUP($D234,ItemList_Full,2,0),"")</f>
        <v/>
      </c>
      <c r="F234" s="12"/>
      <c r="G234" s="12" t="str">
        <f aca="false">IFERROR(VLOOKUP($D234,ItemList_Full,3,0),"")</f>
        <v/>
      </c>
      <c r="H234" s="12" t="str">
        <f aca="false">IFERROR(VLOOKUP($D234,ItemList_Full,4,0),"")</f>
        <v/>
      </c>
      <c r="I234" s="13" t="str">
        <f aca="false">IF(OR($F234="",$H234=""),"",$F234*$H234)</f>
        <v/>
      </c>
      <c r="J234" s="12"/>
      <c r="K234" s="12"/>
      <c r="L234" s="12"/>
      <c r="M234" s="19"/>
    </row>
    <row r="235" customFormat="false" ht="15" hidden="false" customHeight="true" outlineLevel="0" collapsed="false">
      <c r="A235" s="12" t="str">
        <f aca="false">IF($C235="","","PO-"&amp;TEXT(ROW()-4,"000"))</f>
        <v/>
      </c>
      <c r="B235" s="19"/>
      <c r="C235" s="12"/>
      <c r="D235" s="12"/>
      <c r="E235" s="12" t="str">
        <f aca="false">IFERROR(VLOOKUP($D235,ItemList_Full,2,0),"")</f>
        <v/>
      </c>
      <c r="F235" s="12"/>
      <c r="G235" s="12" t="str">
        <f aca="false">IFERROR(VLOOKUP($D235,ItemList_Full,3,0),"")</f>
        <v/>
      </c>
      <c r="H235" s="12" t="str">
        <f aca="false">IFERROR(VLOOKUP($D235,ItemList_Full,4,0),"")</f>
        <v/>
      </c>
      <c r="I235" s="13" t="str">
        <f aca="false">IF(OR($F235="",$H235=""),"",$F235*$H235)</f>
        <v/>
      </c>
      <c r="J235" s="12"/>
      <c r="K235" s="12"/>
      <c r="L235" s="12"/>
      <c r="M235" s="19"/>
    </row>
    <row r="236" customFormat="false" ht="15" hidden="false" customHeight="true" outlineLevel="0" collapsed="false">
      <c r="A236" s="12" t="str">
        <f aca="false">IF($C236="","","PO-"&amp;TEXT(ROW()-4,"000"))</f>
        <v/>
      </c>
      <c r="B236" s="19"/>
      <c r="C236" s="12"/>
      <c r="D236" s="12"/>
      <c r="E236" s="12" t="str">
        <f aca="false">IFERROR(VLOOKUP($D236,ItemList_Full,2,0),"")</f>
        <v/>
      </c>
      <c r="F236" s="12"/>
      <c r="G236" s="12" t="str">
        <f aca="false">IFERROR(VLOOKUP($D236,ItemList_Full,3,0),"")</f>
        <v/>
      </c>
      <c r="H236" s="12" t="str">
        <f aca="false">IFERROR(VLOOKUP($D236,ItemList_Full,4,0),"")</f>
        <v/>
      </c>
      <c r="I236" s="13" t="str">
        <f aca="false">IF(OR($F236="",$H236=""),"",$F236*$H236)</f>
        <v/>
      </c>
      <c r="J236" s="12"/>
      <c r="K236" s="12"/>
      <c r="L236" s="12"/>
      <c r="M236" s="19"/>
    </row>
    <row r="237" customFormat="false" ht="15" hidden="false" customHeight="true" outlineLevel="0" collapsed="false">
      <c r="A237" s="12" t="str">
        <f aca="false">IF($C237="","","PO-"&amp;TEXT(ROW()-4,"000"))</f>
        <v/>
      </c>
      <c r="B237" s="19"/>
      <c r="C237" s="12"/>
      <c r="D237" s="12"/>
      <c r="E237" s="12" t="str">
        <f aca="false">IFERROR(VLOOKUP($D237,ItemList_Full,2,0),"")</f>
        <v/>
      </c>
      <c r="F237" s="12"/>
      <c r="G237" s="12" t="str">
        <f aca="false">IFERROR(VLOOKUP($D237,ItemList_Full,3,0),"")</f>
        <v/>
      </c>
      <c r="H237" s="12" t="str">
        <f aca="false">IFERROR(VLOOKUP($D237,ItemList_Full,4,0),"")</f>
        <v/>
      </c>
      <c r="I237" s="13" t="str">
        <f aca="false">IF(OR($F237="",$H237=""),"",$F237*$H237)</f>
        <v/>
      </c>
      <c r="J237" s="12"/>
      <c r="K237" s="12"/>
      <c r="L237" s="12"/>
      <c r="M237" s="19"/>
    </row>
    <row r="238" customFormat="false" ht="15" hidden="false" customHeight="true" outlineLevel="0" collapsed="false">
      <c r="A238" s="12" t="str">
        <f aca="false">IF($C238="","","PO-"&amp;TEXT(ROW()-4,"000"))</f>
        <v/>
      </c>
      <c r="B238" s="19"/>
      <c r="C238" s="12"/>
      <c r="D238" s="12"/>
      <c r="E238" s="12" t="str">
        <f aca="false">IFERROR(VLOOKUP($D238,ItemList_Full,2,0),"")</f>
        <v/>
      </c>
      <c r="F238" s="12"/>
      <c r="G238" s="12" t="str">
        <f aca="false">IFERROR(VLOOKUP($D238,ItemList_Full,3,0),"")</f>
        <v/>
      </c>
      <c r="H238" s="12" t="str">
        <f aca="false">IFERROR(VLOOKUP($D238,ItemList_Full,4,0),"")</f>
        <v/>
      </c>
      <c r="I238" s="13" t="str">
        <f aca="false">IF(OR($F238="",$H238=""),"",$F238*$H238)</f>
        <v/>
      </c>
      <c r="J238" s="12"/>
      <c r="K238" s="12"/>
      <c r="L238" s="12"/>
      <c r="M238" s="19"/>
    </row>
    <row r="239" customFormat="false" ht="15" hidden="false" customHeight="true" outlineLevel="0" collapsed="false">
      <c r="A239" s="12" t="str">
        <f aca="false">IF($C239="","","PO-"&amp;TEXT(ROW()-4,"000"))</f>
        <v/>
      </c>
      <c r="B239" s="19"/>
      <c r="C239" s="12"/>
      <c r="D239" s="12"/>
      <c r="E239" s="12" t="str">
        <f aca="false">IFERROR(VLOOKUP($D239,ItemList_Full,2,0),"")</f>
        <v/>
      </c>
      <c r="F239" s="12"/>
      <c r="G239" s="12" t="str">
        <f aca="false">IFERROR(VLOOKUP($D239,ItemList_Full,3,0),"")</f>
        <v/>
      </c>
      <c r="H239" s="12" t="str">
        <f aca="false">IFERROR(VLOOKUP($D239,ItemList_Full,4,0),"")</f>
        <v/>
      </c>
      <c r="I239" s="13" t="str">
        <f aca="false">IF(OR($F239="",$H239=""),"",$F239*$H239)</f>
        <v/>
      </c>
      <c r="J239" s="12"/>
      <c r="K239" s="12"/>
      <c r="L239" s="12"/>
      <c r="M239" s="19"/>
    </row>
    <row r="240" customFormat="false" ht="15" hidden="false" customHeight="true" outlineLevel="0" collapsed="false">
      <c r="A240" s="12" t="str">
        <f aca="false">IF($C240="","","PO-"&amp;TEXT(ROW()-4,"000"))</f>
        <v/>
      </c>
      <c r="B240" s="19"/>
      <c r="C240" s="12"/>
      <c r="D240" s="12"/>
      <c r="E240" s="12" t="str">
        <f aca="false">IFERROR(VLOOKUP($D240,ItemList_Full,2,0),"")</f>
        <v/>
      </c>
      <c r="F240" s="12"/>
      <c r="G240" s="12" t="str">
        <f aca="false">IFERROR(VLOOKUP($D240,ItemList_Full,3,0),"")</f>
        <v/>
      </c>
      <c r="H240" s="12" t="str">
        <f aca="false">IFERROR(VLOOKUP($D240,ItemList_Full,4,0),"")</f>
        <v/>
      </c>
      <c r="I240" s="13" t="str">
        <f aca="false">IF(OR($F240="",$H240=""),"",$F240*$H240)</f>
        <v/>
      </c>
      <c r="J240" s="12"/>
      <c r="K240" s="12"/>
      <c r="L240" s="12"/>
      <c r="M240" s="19"/>
    </row>
    <row r="241" customFormat="false" ht="15" hidden="false" customHeight="true" outlineLevel="0" collapsed="false">
      <c r="A241" s="12" t="str">
        <f aca="false">IF($C241="","","PO-"&amp;TEXT(ROW()-4,"000"))</f>
        <v/>
      </c>
      <c r="B241" s="19"/>
      <c r="C241" s="12"/>
      <c r="D241" s="12"/>
      <c r="E241" s="12" t="str">
        <f aca="false">IFERROR(VLOOKUP($D241,ItemList_Full,2,0),"")</f>
        <v/>
      </c>
      <c r="F241" s="12"/>
      <c r="G241" s="12" t="str">
        <f aca="false">IFERROR(VLOOKUP($D241,ItemList_Full,3,0),"")</f>
        <v/>
      </c>
      <c r="H241" s="12" t="str">
        <f aca="false">IFERROR(VLOOKUP($D241,ItemList_Full,4,0),"")</f>
        <v/>
      </c>
      <c r="I241" s="13" t="str">
        <f aca="false">IF(OR($F241="",$H241=""),"",$F241*$H241)</f>
        <v/>
      </c>
      <c r="J241" s="12"/>
      <c r="K241" s="12"/>
      <c r="L241" s="12"/>
      <c r="M241" s="19"/>
    </row>
    <row r="242" customFormat="false" ht="15" hidden="false" customHeight="true" outlineLevel="0" collapsed="false">
      <c r="A242" s="12" t="str">
        <f aca="false">IF($C242="","","PO-"&amp;TEXT(ROW()-4,"000"))</f>
        <v/>
      </c>
      <c r="B242" s="19"/>
      <c r="C242" s="12"/>
      <c r="D242" s="12"/>
      <c r="E242" s="12" t="str">
        <f aca="false">IFERROR(VLOOKUP($D242,ItemList_Full,2,0),"")</f>
        <v/>
      </c>
      <c r="F242" s="12"/>
      <c r="G242" s="12" t="str">
        <f aca="false">IFERROR(VLOOKUP($D242,ItemList_Full,3,0),"")</f>
        <v/>
      </c>
      <c r="H242" s="12" t="str">
        <f aca="false">IFERROR(VLOOKUP($D242,ItemList_Full,4,0),"")</f>
        <v/>
      </c>
      <c r="I242" s="13" t="str">
        <f aca="false">IF(OR($F242="",$H242=""),"",$F242*$H242)</f>
        <v/>
      </c>
      <c r="J242" s="12"/>
      <c r="K242" s="12"/>
      <c r="L242" s="12"/>
      <c r="M242" s="19"/>
    </row>
    <row r="243" customFormat="false" ht="15" hidden="false" customHeight="true" outlineLevel="0" collapsed="false">
      <c r="A243" s="12" t="str">
        <f aca="false">IF($C243="","","PO-"&amp;TEXT(ROW()-4,"000"))</f>
        <v/>
      </c>
      <c r="B243" s="19"/>
      <c r="C243" s="12"/>
      <c r="D243" s="12"/>
      <c r="E243" s="12" t="str">
        <f aca="false">IFERROR(VLOOKUP($D243,ItemList_Full,2,0),"")</f>
        <v/>
      </c>
      <c r="F243" s="12"/>
      <c r="G243" s="12" t="str">
        <f aca="false">IFERROR(VLOOKUP($D243,ItemList_Full,3,0),"")</f>
        <v/>
      </c>
      <c r="H243" s="12" t="str">
        <f aca="false">IFERROR(VLOOKUP($D243,ItemList_Full,4,0),"")</f>
        <v/>
      </c>
      <c r="I243" s="13" t="str">
        <f aca="false">IF(OR($F243="",$H243=""),"",$F243*$H243)</f>
        <v/>
      </c>
      <c r="J243" s="12"/>
      <c r="K243" s="12"/>
      <c r="L243" s="12"/>
      <c r="M243" s="19"/>
    </row>
    <row r="244" customFormat="false" ht="15" hidden="false" customHeight="true" outlineLevel="0" collapsed="false">
      <c r="A244" s="12" t="str">
        <f aca="false">IF($C244="","","PO-"&amp;TEXT(ROW()-4,"000"))</f>
        <v/>
      </c>
      <c r="B244" s="19"/>
      <c r="C244" s="12"/>
      <c r="D244" s="12"/>
      <c r="E244" s="12" t="str">
        <f aca="false">IFERROR(VLOOKUP($D244,ItemList_Full,2,0),"")</f>
        <v/>
      </c>
      <c r="F244" s="12"/>
      <c r="G244" s="12" t="str">
        <f aca="false">IFERROR(VLOOKUP($D244,ItemList_Full,3,0),"")</f>
        <v/>
      </c>
      <c r="H244" s="12" t="str">
        <f aca="false">IFERROR(VLOOKUP($D244,ItemList_Full,4,0),"")</f>
        <v/>
      </c>
      <c r="I244" s="13" t="str">
        <f aca="false">IF(OR($F244="",$H244=""),"",$F244*$H244)</f>
        <v/>
      </c>
      <c r="J244" s="12"/>
      <c r="K244" s="12"/>
      <c r="L244" s="12"/>
      <c r="M244" s="19"/>
    </row>
    <row r="245" customFormat="false" ht="15" hidden="false" customHeight="true" outlineLevel="0" collapsed="false">
      <c r="A245" s="12" t="str">
        <f aca="false">IF($C245="","","PO-"&amp;TEXT(ROW()-4,"000"))</f>
        <v/>
      </c>
      <c r="B245" s="19"/>
      <c r="C245" s="12"/>
      <c r="D245" s="12"/>
      <c r="E245" s="12" t="str">
        <f aca="false">IFERROR(VLOOKUP($D245,ItemList_Full,2,0),"")</f>
        <v/>
      </c>
      <c r="F245" s="12"/>
      <c r="G245" s="12" t="str">
        <f aca="false">IFERROR(VLOOKUP($D245,ItemList_Full,3,0),"")</f>
        <v/>
      </c>
      <c r="H245" s="12" t="str">
        <f aca="false">IFERROR(VLOOKUP($D245,ItemList_Full,4,0),"")</f>
        <v/>
      </c>
      <c r="I245" s="13" t="str">
        <f aca="false">IF(OR($F245="",$H245=""),"",$F245*$H245)</f>
        <v/>
      </c>
      <c r="J245" s="12"/>
      <c r="K245" s="12"/>
      <c r="L245" s="12"/>
      <c r="M245" s="19"/>
    </row>
    <row r="246" customFormat="false" ht="15" hidden="false" customHeight="true" outlineLevel="0" collapsed="false">
      <c r="A246" s="12" t="str">
        <f aca="false">IF($C246="","","PO-"&amp;TEXT(ROW()-4,"000"))</f>
        <v/>
      </c>
      <c r="B246" s="19"/>
      <c r="C246" s="12"/>
      <c r="D246" s="12"/>
      <c r="E246" s="12" t="str">
        <f aca="false">IFERROR(VLOOKUP($D246,ItemList_Full,2,0),"")</f>
        <v/>
      </c>
      <c r="F246" s="12"/>
      <c r="G246" s="12" t="str">
        <f aca="false">IFERROR(VLOOKUP($D246,ItemList_Full,3,0),"")</f>
        <v/>
      </c>
      <c r="H246" s="12" t="str">
        <f aca="false">IFERROR(VLOOKUP($D246,ItemList_Full,4,0),"")</f>
        <v/>
      </c>
      <c r="I246" s="13" t="str">
        <f aca="false">IF(OR($F246="",$H246=""),"",$F246*$H246)</f>
        <v/>
      </c>
      <c r="J246" s="12"/>
      <c r="K246" s="12"/>
      <c r="L246" s="12"/>
      <c r="M246" s="19"/>
    </row>
    <row r="247" customFormat="false" ht="15" hidden="false" customHeight="true" outlineLevel="0" collapsed="false">
      <c r="A247" s="12" t="str">
        <f aca="false">IF($C247="","","PO-"&amp;TEXT(ROW()-4,"000"))</f>
        <v/>
      </c>
      <c r="B247" s="19"/>
      <c r="C247" s="12"/>
      <c r="D247" s="12"/>
      <c r="E247" s="12" t="str">
        <f aca="false">IFERROR(VLOOKUP($D247,ItemList_Full,2,0),"")</f>
        <v/>
      </c>
      <c r="F247" s="12"/>
      <c r="G247" s="12" t="str">
        <f aca="false">IFERROR(VLOOKUP($D247,ItemList_Full,3,0),"")</f>
        <v/>
      </c>
      <c r="H247" s="12" t="str">
        <f aca="false">IFERROR(VLOOKUP($D247,ItemList_Full,4,0),"")</f>
        <v/>
      </c>
      <c r="I247" s="13" t="str">
        <f aca="false">IF(OR($F247="",$H247=""),"",$F247*$H247)</f>
        <v/>
      </c>
      <c r="J247" s="12"/>
      <c r="K247" s="12"/>
      <c r="L247" s="12"/>
      <c r="M247" s="19"/>
    </row>
    <row r="248" customFormat="false" ht="15" hidden="false" customHeight="true" outlineLevel="0" collapsed="false">
      <c r="A248" s="12" t="str">
        <f aca="false">IF($C248="","","PO-"&amp;TEXT(ROW()-4,"000"))</f>
        <v/>
      </c>
      <c r="B248" s="19"/>
      <c r="C248" s="12"/>
      <c r="D248" s="12"/>
      <c r="E248" s="12" t="str">
        <f aca="false">IFERROR(VLOOKUP($D248,ItemList_Full,2,0),"")</f>
        <v/>
      </c>
      <c r="F248" s="12"/>
      <c r="G248" s="12" t="str">
        <f aca="false">IFERROR(VLOOKUP($D248,ItemList_Full,3,0),"")</f>
        <v/>
      </c>
      <c r="H248" s="12" t="str">
        <f aca="false">IFERROR(VLOOKUP($D248,ItemList_Full,4,0),"")</f>
        <v/>
      </c>
      <c r="I248" s="13" t="str">
        <f aca="false">IF(OR($F248="",$H248=""),"",$F248*$H248)</f>
        <v/>
      </c>
      <c r="J248" s="12"/>
      <c r="K248" s="12"/>
      <c r="L248" s="12"/>
      <c r="M248" s="19"/>
    </row>
    <row r="249" customFormat="false" ht="15" hidden="false" customHeight="true" outlineLevel="0" collapsed="false">
      <c r="A249" s="12" t="str">
        <f aca="false">IF($C249="","","PO-"&amp;TEXT(ROW()-4,"000"))</f>
        <v/>
      </c>
      <c r="B249" s="19"/>
      <c r="C249" s="12"/>
      <c r="D249" s="12"/>
      <c r="E249" s="12" t="str">
        <f aca="false">IFERROR(VLOOKUP($D249,ItemList_Full,2,0),"")</f>
        <v/>
      </c>
      <c r="F249" s="12"/>
      <c r="G249" s="12" t="str">
        <f aca="false">IFERROR(VLOOKUP($D249,ItemList_Full,3,0),"")</f>
        <v/>
      </c>
      <c r="H249" s="12" t="str">
        <f aca="false">IFERROR(VLOOKUP($D249,ItemList_Full,4,0),"")</f>
        <v/>
      </c>
      <c r="I249" s="13" t="str">
        <f aca="false">IF(OR($F249="",$H249=""),"",$F249*$H249)</f>
        <v/>
      </c>
      <c r="J249" s="12"/>
      <c r="K249" s="12"/>
      <c r="L249" s="12"/>
      <c r="M249" s="19"/>
    </row>
    <row r="250" customFormat="false" ht="15" hidden="false" customHeight="true" outlineLevel="0" collapsed="false">
      <c r="A250" s="12" t="str">
        <f aca="false">IF($C250="","","PO-"&amp;TEXT(ROW()-4,"000"))</f>
        <v/>
      </c>
      <c r="B250" s="19"/>
      <c r="C250" s="12"/>
      <c r="D250" s="12"/>
      <c r="E250" s="12" t="str">
        <f aca="false">IFERROR(VLOOKUP($D250,ItemList_Full,2,0),"")</f>
        <v/>
      </c>
      <c r="F250" s="12"/>
      <c r="G250" s="12" t="str">
        <f aca="false">IFERROR(VLOOKUP($D250,ItemList_Full,3,0),"")</f>
        <v/>
      </c>
      <c r="H250" s="12" t="str">
        <f aca="false">IFERROR(VLOOKUP($D250,ItemList_Full,4,0),"")</f>
        <v/>
      </c>
      <c r="I250" s="13" t="str">
        <f aca="false">IF(OR($F250="",$H250=""),"",$F250*$H250)</f>
        <v/>
      </c>
      <c r="J250" s="12"/>
      <c r="K250" s="12"/>
      <c r="L250" s="12"/>
      <c r="M250" s="19"/>
    </row>
    <row r="251" customFormat="false" ht="15" hidden="false" customHeight="true" outlineLevel="0" collapsed="false">
      <c r="A251" s="12" t="str">
        <f aca="false">IF($C251="","","PO-"&amp;TEXT(ROW()-4,"000"))</f>
        <v/>
      </c>
      <c r="B251" s="19"/>
      <c r="C251" s="12"/>
      <c r="D251" s="12"/>
      <c r="E251" s="12" t="str">
        <f aca="false">IFERROR(VLOOKUP($D251,ItemList_Full,2,0),"")</f>
        <v/>
      </c>
      <c r="F251" s="12"/>
      <c r="G251" s="12" t="str">
        <f aca="false">IFERROR(VLOOKUP($D251,ItemList_Full,3,0),"")</f>
        <v/>
      </c>
      <c r="H251" s="12" t="str">
        <f aca="false">IFERROR(VLOOKUP($D251,ItemList_Full,4,0),"")</f>
        <v/>
      </c>
      <c r="I251" s="13" t="str">
        <f aca="false">IF(OR($F251="",$H251=""),"",$F251*$H251)</f>
        <v/>
      </c>
      <c r="J251" s="12"/>
      <c r="K251" s="12"/>
      <c r="L251" s="12"/>
      <c r="M251" s="19"/>
    </row>
    <row r="252" customFormat="false" ht="15" hidden="false" customHeight="true" outlineLevel="0" collapsed="false">
      <c r="A252" s="12" t="str">
        <f aca="false">IF($C252="","","PO-"&amp;TEXT(ROW()-4,"000"))</f>
        <v/>
      </c>
      <c r="B252" s="19"/>
      <c r="C252" s="12"/>
      <c r="D252" s="12"/>
      <c r="E252" s="12" t="str">
        <f aca="false">IFERROR(VLOOKUP($D252,ItemList_Full,2,0),"")</f>
        <v/>
      </c>
      <c r="F252" s="12"/>
      <c r="G252" s="12" t="str">
        <f aca="false">IFERROR(VLOOKUP($D252,ItemList_Full,3,0),"")</f>
        <v/>
      </c>
      <c r="H252" s="12" t="str">
        <f aca="false">IFERROR(VLOOKUP($D252,ItemList_Full,4,0),"")</f>
        <v/>
      </c>
      <c r="I252" s="13" t="str">
        <f aca="false">IF(OR($F252="",$H252=""),"",$F252*$H252)</f>
        <v/>
      </c>
      <c r="J252" s="12"/>
      <c r="K252" s="12"/>
      <c r="L252" s="12"/>
      <c r="M252" s="19"/>
    </row>
    <row r="253" customFormat="false" ht="15" hidden="false" customHeight="true" outlineLevel="0" collapsed="false">
      <c r="A253" s="12" t="str">
        <f aca="false">IF($C253="","","PO-"&amp;TEXT(ROW()-4,"000"))</f>
        <v/>
      </c>
      <c r="B253" s="19"/>
      <c r="C253" s="12"/>
      <c r="D253" s="12"/>
      <c r="E253" s="12" t="str">
        <f aca="false">IFERROR(VLOOKUP($D253,ItemList_Full,2,0),"")</f>
        <v/>
      </c>
      <c r="F253" s="12"/>
      <c r="G253" s="12" t="str">
        <f aca="false">IFERROR(VLOOKUP($D253,ItemList_Full,3,0),"")</f>
        <v/>
      </c>
      <c r="H253" s="12" t="str">
        <f aca="false">IFERROR(VLOOKUP($D253,ItemList_Full,4,0),"")</f>
        <v/>
      </c>
      <c r="I253" s="13" t="str">
        <f aca="false">IF(OR($F253="",$H253=""),"",$F253*$H253)</f>
        <v/>
      </c>
      <c r="J253" s="12"/>
      <c r="K253" s="12"/>
      <c r="L253" s="12"/>
      <c r="M253" s="19"/>
    </row>
    <row r="254" customFormat="false" ht="15" hidden="false" customHeight="true" outlineLevel="0" collapsed="false">
      <c r="A254" s="12" t="str">
        <f aca="false">IF($C254="","","PO-"&amp;TEXT(ROW()-4,"000"))</f>
        <v/>
      </c>
      <c r="B254" s="19"/>
      <c r="C254" s="12"/>
      <c r="D254" s="12"/>
      <c r="E254" s="12" t="str">
        <f aca="false">IFERROR(VLOOKUP($D254,ItemList_Full,2,0),"")</f>
        <v/>
      </c>
      <c r="F254" s="12"/>
      <c r="G254" s="12" t="str">
        <f aca="false">IFERROR(VLOOKUP($D254,ItemList_Full,3,0),"")</f>
        <v/>
      </c>
      <c r="H254" s="12" t="str">
        <f aca="false">IFERROR(VLOOKUP($D254,ItemList_Full,4,0),"")</f>
        <v/>
      </c>
      <c r="I254" s="13" t="str">
        <f aca="false">IF(OR($F254="",$H254=""),"",$F254*$H254)</f>
        <v/>
      </c>
      <c r="J254" s="12"/>
      <c r="K254" s="12"/>
      <c r="L254" s="12"/>
      <c r="M254" s="19"/>
    </row>
    <row r="255" customFormat="false" ht="15" hidden="false" customHeight="true" outlineLevel="0" collapsed="false">
      <c r="A255" s="12" t="str">
        <f aca="false">IF($C255="","","PO-"&amp;TEXT(ROW()-4,"000"))</f>
        <v/>
      </c>
      <c r="B255" s="19"/>
      <c r="C255" s="12"/>
      <c r="D255" s="12"/>
      <c r="E255" s="12" t="str">
        <f aca="false">IFERROR(VLOOKUP($D255,ItemList_Full,2,0),"")</f>
        <v/>
      </c>
      <c r="F255" s="12"/>
      <c r="G255" s="12" t="str">
        <f aca="false">IFERROR(VLOOKUP($D255,ItemList_Full,3,0),"")</f>
        <v/>
      </c>
      <c r="H255" s="12" t="str">
        <f aca="false">IFERROR(VLOOKUP($D255,ItemList_Full,4,0),"")</f>
        <v/>
      </c>
      <c r="I255" s="13" t="str">
        <f aca="false">IF(OR($F255="",$H255=""),"",$F255*$H255)</f>
        <v/>
      </c>
      <c r="J255" s="12"/>
      <c r="K255" s="12"/>
      <c r="L255" s="12"/>
      <c r="M255" s="19"/>
    </row>
    <row r="256" customFormat="false" ht="15" hidden="false" customHeight="true" outlineLevel="0" collapsed="false">
      <c r="A256" s="12" t="str">
        <f aca="false">IF($C256="","","PO-"&amp;TEXT(ROW()-4,"000"))</f>
        <v/>
      </c>
      <c r="B256" s="19"/>
      <c r="C256" s="12"/>
      <c r="D256" s="12"/>
      <c r="E256" s="12" t="str">
        <f aca="false">IFERROR(VLOOKUP($D256,ItemList_Full,2,0),"")</f>
        <v/>
      </c>
      <c r="F256" s="12"/>
      <c r="G256" s="12" t="str">
        <f aca="false">IFERROR(VLOOKUP($D256,ItemList_Full,3,0),"")</f>
        <v/>
      </c>
      <c r="H256" s="12" t="str">
        <f aca="false">IFERROR(VLOOKUP($D256,ItemList_Full,4,0),"")</f>
        <v/>
      </c>
      <c r="I256" s="13" t="str">
        <f aca="false">IF(OR($F256="",$H256=""),"",$F256*$H256)</f>
        <v/>
      </c>
      <c r="J256" s="12"/>
      <c r="K256" s="12"/>
      <c r="L256" s="12"/>
      <c r="M256" s="19"/>
    </row>
    <row r="257" customFormat="false" ht="15" hidden="false" customHeight="true" outlineLevel="0" collapsed="false">
      <c r="A257" s="12" t="str">
        <f aca="false">IF($C257="","","PO-"&amp;TEXT(ROW()-4,"000"))</f>
        <v/>
      </c>
      <c r="B257" s="19"/>
      <c r="C257" s="12"/>
      <c r="D257" s="12"/>
      <c r="E257" s="12" t="str">
        <f aca="false">IFERROR(VLOOKUP($D257,ItemList_Full,2,0),"")</f>
        <v/>
      </c>
      <c r="F257" s="12"/>
      <c r="G257" s="12" t="str">
        <f aca="false">IFERROR(VLOOKUP($D257,ItemList_Full,3,0),"")</f>
        <v/>
      </c>
      <c r="H257" s="12" t="str">
        <f aca="false">IFERROR(VLOOKUP($D257,ItemList_Full,4,0),"")</f>
        <v/>
      </c>
      <c r="I257" s="13" t="str">
        <f aca="false">IF(OR($F257="",$H257=""),"",$F257*$H257)</f>
        <v/>
      </c>
      <c r="J257" s="12"/>
      <c r="K257" s="12"/>
      <c r="L257" s="12"/>
      <c r="M257" s="19"/>
    </row>
    <row r="258" customFormat="false" ht="15" hidden="false" customHeight="true" outlineLevel="0" collapsed="false">
      <c r="A258" s="12" t="str">
        <f aca="false">IF($C258="","","PO-"&amp;TEXT(ROW()-4,"000"))</f>
        <v/>
      </c>
      <c r="B258" s="19"/>
      <c r="C258" s="12"/>
      <c r="D258" s="12"/>
      <c r="E258" s="12" t="str">
        <f aca="false">IFERROR(VLOOKUP($D258,ItemList_Full,2,0),"")</f>
        <v/>
      </c>
      <c r="F258" s="12"/>
      <c r="G258" s="12" t="str">
        <f aca="false">IFERROR(VLOOKUP($D258,ItemList_Full,3,0),"")</f>
        <v/>
      </c>
      <c r="H258" s="12" t="str">
        <f aca="false">IFERROR(VLOOKUP($D258,ItemList_Full,4,0),"")</f>
        <v/>
      </c>
      <c r="I258" s="13" t="str">
        <f aca="false">IF(OR($F258="",$H258=""),"",$F258*$H258)</f>
        <v/>
      </c>
      <c r="J258" s="12"/>
      <c r="K258" s="12"/>
      <c r="L258" s="12"/>
      <c r="M258" s="19"/>
    </row>
    <row r="259" customFormat="false" ht="15" hidden="false" customHeight="true" outlineLevel="0" collapsed="false">
      <c r="A259" s="12" t="str">
        <f aca="false">IF($C259="","","PO-"&amp;TEXT(ROW()-4,"000"))</f>
        <v/>
      </c>
      <c r="B259" s="19"/>
      <c r="C259" s="12"/>
      <c r="D259" s="12"/>
      <c r="E259" s="12" t="str">
        <f aca="false">IFERROR(VLOOKUP($D259,ItemList_Full,2,0),"")</f>
        <v/>
      </c>
      <c r="F259" s="12"/>
      <c r="G259" s="12" t="str">
        <f aca="false">IFERROR(VLOOKUP($D259,ItemList_Full,3,0),"")</f>
        <v/>
      </c>
      <c r="H259" s="12" t="str">
        <f aca="false">IFERROR(VLOOKUP($D259,ItemList_Full,4,0),"")</f>
        <v/>
      </c>
      <c r="I259" s="13" t="str">
        <f aca="false">IF(OR($F259="",$H259=""),"",$F259*$H259)</f>
        <v/>
      </c>
      <c r="J259" s="12"/>
      <c r="K259" s="12"/>
      <c r="L259" s="12"/>
      <c r="M259" s="19"/>
    </row>
    <row r="260" customFormat="false" ht="15" hidden="false" customHeight="true" outlineLevel="0" collapsed="false">
      <c r="A260" s="12" t="str">
        <f aca="false">IF($C260="","","PO-"&amp;TEXT(ROW()-4,"000"))</f>
        <v/>
      </c>
      <c r="B260" s="19"/>
      <c r="C260" s="12"/>
      <c r="D260" s="12"/>
      <c r="E260" s="12" t="str">
        <f aca="false">IFERROR(VLOOKUP($D260,ItemList_Full,2,0),"")</f>
        <v/>
      </c>
      <c r="F260" s="12"/>
      <c r="G260" s="12" t="str">
        <f aca="false">IFERROR(VLOOKUP($D260,ItemList_Full,3,0),"")</f>
        <v/>
      </c>
      <c r="H260" s="12" t="str">
        <f aca="false">IFERROR(VLOOKUP($D260,ItemList_Full,4,0),"")</f>
        <v/>
      </c>
      <c r="I260" s="13" t="str">
        <f aca="false">IF(OR($F260="",$H260=""),"",$F260*$H260)</f>
        <v/>
      </c>
      <c r="J260" s="12"/>
      <c r="K260" s="12"/>
      <c r="L260" s="12"/>
      <c r="M260" s="19"/>
    </row>
    <row r="261" customFormat="false" ht="15" hidden="false" customHeight="true" outlineLevel="0" collapsed="false">
      <c r="A261" s="12" t="str">
        <f aca="false">IF($C261="","","PO-"&amp;TEXT(ROW()-4,"000"))</f>
        <v/>
      </c>
      <c r="B261" s="19"/>
      <c r="C261" s="12"/>
      <c r="D261" s="12"/>
      <c r="E261" s="12" t="str">
        <f aca="false">IFERROR(VLOOKUP($D261,ItemList_Full,2,0),"")</f>
        <v/>
      </c>
      <c r="F261" s="12"/>
      <c r="G261" s="12" t="str">
        <f aca="false">IFERROR(VLOOKUP($D261,ItemList_Full,3,0),"")</f>
        <v/>
      </c>
      <c r="H261" s="12" t="str">
        <f aca="false">IFERROR(VLOOKUP($D261,ItemList_Full,4,0),"")</f>
        <v/>
      </c>
      <c r="I261" s="13" t="str">
        <f aca="false">IF(OR($F261="",$H261=""),"",$F261*$H261)</f>
        <v/>
      </c>
      <c r="J261" s="12"/>
      <c r="K261" s="12"/>
      <c r="L261" s="12"/>
      <c r="M261" s="19"/>
    </row>
    <row r="262" customFormat="false" ht="15" hidden="false" customHeight="true" outlineLevel="0" collapsed="false">
      <c r="A262" s="12" t="str">
        <f aca="false">IF($C262="","","PO-"&amp;TEXT(ROW()-4,"000"))</f>
        <v/>
      </c>
      <c r="B262" s="19"/>
      <c r="C262" s="12"/>
      <c r="D262" s="12"/>
      <c r="E262" s="12" t="str">
        <f aca="false">IFERROR(VLOOKUP($D262,ItemList_Full,2,0),"")</f>
        <v/>
      </c>
      <c r="F262" s="12"/>
      <c r="G262" s="12" t="str">
        <f aca="false">IFERROR(VLOOKUP($D262,ItemList_Full,3,0),"")</f>
        <v/>
      </c>
      <c r="H262" s="12" t="str">
        <f aca="false">IFERROR(VLOOKUP($D262,ItemList_Full,4,0),"")</f>
        <v/>
      </c>
      <c r="I262" s="13" t="str">
        <f aca="false">IF(OR($F262="",$H262=""),"",$F262*$H262)</f>
        <v/>
      </c>
      <c r="J262" s="12"/>
      <c r="K262" s="12"/>
      <c r="L262" s="12"/>
      <c r="M262" s="19"/>
    </row>
    <row r="263" customFormat="false" ht="15" hidden="false" customHeight="true" outlineLevel="0" collapsed="false">
      <c r="A263" s="12" t="str">
        <f aca="false">IF($C263="","","PO-"&amp;TEXT(ROW()-4,"000"))</f>
        <v/>
      </c>
      <c r="B263" s="19"/>
      <c r="C263" s="12"/>
      <c r="D263" s="12"/>
      <c r="E263" s="12" t="str">
        <f aca="false">IFERROR(VLOOKUP($D263,ItemList_Full,2,0),"")</f>
        <v/>
      </c>
      <c r="F263" s="12"/>
      <c r="G263" s="12" t="str">
        <f aca="false">IFERROR(VLOOKUP($D263,ItemList_Full,3,0),"")</f>
        <v/>
      </c>
      <c r="H263" s="12" t="str">
        <f aca="false">IFERROR(VLOOKUP($D263,ItemList_Full,4,0),"")</f>
        <v/>
      </c>
      <c r="I263" s="13" t="str">
        <f aca="false">IF(OR($F263="",$H263=""),"",$F263*$H263)</f>
        <v/>
      </c>
      <c r="J263" s="12"/>
      <c r="K263" s="12"/>
      <c r="L263" s="12"/>
      <c r="M263" s="19"/>
    </row>
    <row r="264" customFormat="false" ht="15" hidden="false" customHeight="true" outlineLevel="0" collapsed="false">
      <c r="A264" s="12" t="str">
        <f aca="false">IF($C264="","","PO-"&amp;TEXT(ROW()-4,"000"))</f>
        <v/>
      </c>
      <c r="B264" s="19"/>
      <c r="C264" s="12"/>
      <c r="D264" s="12"/>
      <c r="E264" s="12" t="str">
        <f aca="false">IFERROR(VLOOKUP($D264,ItemList_Full,2,0),"")</f>
        <v/>
      </c>
      <c r="F264" s="12"/>
      <c r="G264" s="12" t="str">
        <f aca="false">IFERROR(VLOOKUP($D264,ItemList_Full,3,0),"")</f>
        <v/>
      </c>
      <c r="H264" s="12" t="str">
        <f aca="false">IFERROR(VLOOKUP($D264,ItemList_Full,4,0),"")</f>
        <v/>
      </c>
      <c r="I264" s="13" t="str">
        <f aca="false">IF(OR($F264="",$H264=""),"",$F264*$H264)</f>
        <v/>
      </c>
      <c r="J264" s="12"/>
      <c r="K264" s="12"/>
      <c r="L264" s="12"/>
      <c r="M264" s="19"/>
    </row>
    <row r="265" customFormat="false" ht="15" hidden="false" customHeight="true" outlineLevel="0" collapsed="false">
      <c r="A265" s="12" t="str">
        <f aca="false">IF($C265="","","PO-"&amp;TEXT(ROW()-4,"000"))</f>
        <v/>
      </c>
      <c r="B265" s="19"/>
      <c r="C265" s="12"/>
      <c r="D265" s="12"/>
      <c r="E265" s="12" t="str">
        <f aca="false">IFERROR(VLOOKUP($D265,ItemList_Full,2,0),"")</f>
        <v/>
      </c>
      <c r="F265" s="12"/>
      <c r="G265" s="12" t="str">
        <f aca="false">IFERROR(VLOOKUP($D265,ItemList_Full,3,0),"")</f>
        <v/>
      </c>
      <c r="H265" s="12" t="str">
        <f aca="false">IFERROR(VLOOKUP($D265,ItemList_Full,4,0),"")</f>
        <v/>
      </c>
      <c r="I265" s="13" t="str">
        <f aca="false">IF(OR($F265="",$H265=""),"",$F265*$H265)</f>
        <v/>
      </c>
      <c r="J265" s="12"/>
      <c r="K265" s="12"/>
      <c r="L265" s="12"/>
      <c r="M265" s="19"/>
    </row>
    <row r="266" customFormat="false" ht="15" hidden="false" customHeight="true" outlineLevel="0" collapsed="false">
      <c r="A266" s="12" t="str">
        <f aca="false">IF($C266="","","PO-"&amp;TEXT(ROW()-4,"000"))</f>
        <v/>
      </c>
      <c r="B266" s="19"/>
      <c r="C266" s="12"/>
      <c r="D266" s="12"/>
      <c r="E266" s="12" t="str">
        <f aca="false">IFERROR(VLOOKUP($D266,ItemList_Full,2,0),"")</f>
        <v/>
      </c>
      <c r="F266" s="12"/>
      <c r="G266" s="12" t="str">
        <f aca="false">IFERROR(VLOOKUP($D266,ItemList_Full,3,0),"")</f>
        <v/>
      </c>
      <c r="H266" s="12" t="str">
        <f aca="false">IFERROR(VLOOKUP($D266,ItemList_Full,4,0),"")</f>
        <v/>
      </c>
      <c r="I266" s="13" t="str">
        <f aca="false">IF(OR($F266="",$H266=""),"",$F266*$H266)</f>
        <v/>
      </c>
      <c r="J266" s="12"/>
      <c r="K266" s="12"/>
      <c r="L266" s="12"/>
      <c r="M266" s="19"/>
    </row>
    <row r="267" customFormat="false" ht="15" hidden="false" customHeight="true" outlineLevel="0" collapsed="false">
      <c r="A267" s="12" t="str">
        <f aca="false">IF($C267="","","PO-"&amp;TEXT(ROW()-4,"000"))</f>
        <v/>
      </c>
      <c r="B267" s="19"/>
      <c r="C267" s="12"/>
      <c r="D267" s="12"/>
      <c r="E267" s="12" t="str">
        <f aca="false">IFERROR(VLOOKUP($D267,ItemList_Full,2,0),"")</f>
        <v/>
      </c>
      <c r="F267" s="12"/>
      <c r="G267" s="12" t="str">
        <f aca="false">IFERROR(VLOOKUP($D267,ItemList_Full,3,0),"")</f>
        <v/>
      </c>
      <c r="H267" s="12" t="str">
        <f aca="false">IFERROR(VLOOKUP($D267,ItemList_Full,4,0),"")</f>
        <v/>
      </c>
      <c r="I267" s="13" t="str">
        <f aca="false">IF(OR($F267="",$H267=""),"",$F267*$H267)</f>
        <v/>
      </c>
      <c r="J267" s="12"/>
      <c r="K267" s="12"/>
      <c r="L267" s="12"/>
      <c r="M267" s="19"/>
    </row>
    <row r="268" customFormat="false" ht="15" hidden="false" customHeight="true" outlineLevel="0" collapsed="false">
      <c r="A268" s="12" t="str">
        <f aca="false">IF($C268="","","PO-"&amp;TEXT(ROW()-4,"000"))</f>
        <v/>
      </c>
      <c r="B268" s="19"/>
      <c r="C268" s="12"/>
      <c r="D268" s="12"/>
      <c r="E268" s="12" t="str">
        <f aca="false">IFERROR(VLOOKUP($D268,ItemList_Full,2,0),"")</f>
        <v/>
      </c>
      <c r="F268" s="12"/>
      <c r="G268" s="12" t="str">
        <f aca="false">IFERROR(VLOOKUP($D268,ItemList_Full,3,0),"")</f>
        <v/>
      </c>
      <c r="H268" s="12" t="str">
        <f aca="false">IFERROR(VLOOKUP($D268,ItemList_Full,4,0),"")</f>
        <v/>
      </c>
      <c r="I268" s="13" t="str">
        <f aca="false">IF(OR($F268="",$H268=""),"",$F268*$H268)</f>
        <v/>
      </c>
      <c r="J268" s="12"/>
      <c r="K268" s="12"/>
      <c r="L268" s="12"/>
      <c r="M268" s="19"/>
    </row>
    <row r="269" customFormat="false" ht="15" hidden="false" customHeight="true" outlineLevel="0" collapsed="false">
      <c r="A269" s="12" t="str">
        <f aca="false">IF($C269="","","PO-"&amp;TEXT(ROW()-4,"000"))</f>
        <v/>
      </c>
      <c r="B269" s="19"/>
      <c r="C269" s="12"/>
      <c r="D269" s="12"/>
      <c r="E269" s="12" t="str">
        <f aca="false">IFERROR(VLOOKUP($D269,ItemList_Full,2,0),"")</f>
        <v/>
      </c>
      <c r="F269" s="12"/>
      <c r="G269" s="12" t="str">
        <f aca="false">IFERROR(VLOOKUP($D269,ItemList_Full,3,0),"")</f>
        <v/>
      </c>
      <c r="H269" s="12" t="str">
        <f aca="false">IFERROR(VLOOKUP($D269,ItemList_Full,4,0),"")</f>
        <v/>
      </c>
      <c r="I269" s="13" t="str">
        <f aca="false">IF(OR($F269="",$H269=""),"",$F269*$H269)</f>
        <v/>
      </c>
      <c r="J269" s="12"/>
      <c r="K269" s="12"/>
      <c r="L269" s="12"/>
      <c r="M269" s="19"/>
    </row>
    <row r="270" customFormat="false" ht="15" hidden="false" customHeight="true" outlineLevel="0" collapsed="false">
      <c r="A270" s="12" t="str">
        <f aca="false">IF($C270="","","PO-"&amp;TEXT(ROW()-4,"000"))</f>
        <v/>
      </c>
      <c r="B270" s="19"/>
      <c r="C270" s="12"/>
      <c r="D270" s="12"/>
      <c r="E270" s="12" t="str">
        <f aca="false">IFERROR(VLOOKUP($D270,ItemList_Full,2,0),"")</f>
        <v/>
      </c>
      <c r="F270" s="12"/>
      <c r="G270" s="12" t="str">
        <f aca="false">IFERROR(VLOOKUP($D270,ItemList_Full,3,0),"")</f>
        <v/>
      </c>
      <c r="H270" s="12" t="str">
        <f aca="false">IFERROR(VLOOKUP($D270,ItemList_Full,4,0),"")</f>
        <v/>
      </c>
      <c r="I270" s="13" t="str">
        <f aca="false">IF(OR($F270="",$H270=""),"",$F270*$H270)</f>
        <v/>
      </c>
      <c r="J270" s="12"/>
      <c r="K270" s="12"/>
      <c r="L270" s="12"/>
      <c r="M270" s="19"/>
    </row>
    <row r="271" customFormat="false" ht="15" hidden="false" customHeight="true" outlineLevel="0" collapsed="false">
      <c r="A271" s="12" t="str">
        <f aca="false">IF($C271="","","PO-"&amp;TEXT(ROW()-4,"000"))</f>
        <v/>
      </c>
      <c r="B271" s="19"/>
      <c r="C271" s="12"/>
      <c r="D271" s="12"/>
      <c r="E271" s="12" t="str">
        <f aca="false">IFERROR(VLOOKUP($D271,ItemList_Full,2,0),"")</f>
        <v/>
      </c>
      <c r="F271" s="12"/>
      <c r="G271" s="12" t="str">
        <f aca="false">IFERROR(VLOOKUP($D271,ItemList_Full,3,0),"")</f>
        <v/>
      </c>
      <c r="H271" s="12" t="str">
        <f aca="false">IFERROR(VLOOKUP($D271,ItemList_Full,4,0),"")</f>
        <v/>
      </c>
      <c r="I271" s="13" t="str">
        <f aca="false">IF(OR($F271="",$H271=""),"",$F271*$H271)</f>
        <v/>
      </c>
      <c r="J271" s="12"/>
      <c r="K271" s="12"/>
      <c r="L271" s="12"/>
      <c r="M271" s="19"/>
    </row>
    <row r="272" customFormat="false" ht="15" hidden="false" customHeight="true" outlineLevel="0" collapsed="false">
      <c r="A272" s="12" t="str">
        <f aca="false">IF($C272="","","PO-"&amp;TEXT(ROW()-4,"000"))</f>
        <v/>
      </c>
      <c r="B272" s="19"/>
      <c r="C272" s="12"/>
      <c r="D272" s="12"/>
      <c r="E272" s="12" t="str">
        <f aca="false">IFERROR(VLOOKUP($D272,ItemList_Full,2,0),"")</f>
        <v/>
      </c>
      <c r="F272" s="12"/>
      <c r="G272" s="12" t="str">
        <f aca="false">IFERROR(VLOOKUP($D272,ItemList_Full,3,0),"")</f>
        <v/>
      </c>
      <c r="H272" s="12" t="str">
        <f aca="false">IFERROR(VLOOKUP($D272,ItemList_Full,4,0),"")</f>
        <v/>
      </c>
      <c r="I272" s="13" t="str">
        <f aca="false">IF(OR($F272="",$H272=""),"",$F272*$H272)</f>
        <v/>
      </c>
      <c r="J272" s="12"/>
      <c r="K272" s="12"/>
      <c r="L272" s="12"/>
      <c r="M272" s="19"/>
    </row>
    <row r="273" customFormat="false" ht="15" hidden="false" customHeight="true" outlineLevel="0" collapsed="false">
      <c r="A273" s="12" t="str">
        <f aca="false">IF($C273="","","PO-"&amp;TEXT(ROW()-4,"000"))</f>
        <v/>
      </c>
      <c r="B273" s="19"/>
      <c r="C273" s="12"/>
      <c r="D273" s="12"/>
      <c r="E273" s="12" t="str">
        <f aca="false">IFERROR(VLOOKUP($D273,ItemList_Full,2,0),"")</f>
        <v/>
      </c>
      <c r="F273" s="12"/>
      <c r="G273" s="12" t="str">
        <f aca="false">IFERROR(VLOOKUP($D273,ItemList_Full,3,0),"")</f>
        <v/>
      </c>
      <c r="H273" s="12" t="str">
        <f aca="false">IFERROR(VLOOKUP($D273,ItemList_Full,4,0),"")</f>
        <v/>
      </c>
      <c r="I273" s="13" t="str">
        <f aca="false">IF(OR($F273="",$H273=""),"",$F273*$H273)</f>
        <v/>
      </c>
      <c r="J273" s="12"/>
      <c r="K273" s="12"/>
      <c r="L273" s="12"/>
      <c r="M273" s="19"/>
    </row>
    <row r="274" customFormat="false" ht="15" hidden="false" customHeight="true" outlineLevel="0" collapsed="false">
      <c r="A274" s="12" t="str">
        <f aca="false">IF($C274="","","PO-"&amp;TEXT(ROW()-4,"000"))</f>
        <v/>
      </c>
      <c r="B274" s="19"/>
      <c r="C274" s="12"/>
      <c r="D274" s="12"/>
      <c r="E274" s="12" t="str">
        <f aca="false">IFERROR(VLOOKUP($D274,ItemList_Full,2,0),"")</f>
        <v/>
      </c>
      <c r="F274" s="12"/>
      <c r="G274" s="12" t="str">
        <f aca="false">IFERROR(VLOOKUP($D274,ItemList_Full,3,0),"")</f>
        <v/>
      </c>
      <c r="H274" s="12" t="str">
        <f aca="false">IFERROR(VLOOKUP($D274,ItemList_Full,4,0),"")</f>
        <v/>
      </c>
      <c r="I274" s="13" t="str">
        <f aca="false">IF(OR($F274="",$H274=""),"",$F274*$H274)</f>
        <v/>
      </c>
      <c r="J274" s="12"/>
      <c r="K274" s="12"/>
      <c r="L274" s="12"/>
      <c r="M274" s="19"/>
    </row>
    <row r="275" customFormat="false" ht="15" hidden="false" customHeight="true" outlineLevel="0" collapsed="false">
      <c r="A275" s="12" t="str">
        <f aca="false">IF($C275="","","PO-"&amp;TEXT(ROW()-4,"000"))</f>
        <v/>
      </c>
      <c r="B275" s="19"/>
      <c r="C275" s="12"/>
      <c r="D275" s="12"/>
      <c r="E275" s="12" t="str">
        <f aca="false">IFERROR(VLOOKUP($D275,ItemList_Full,2,0),"")</f>
        <v/>
      </c>
      <c r="F275" s="12"/>
      <c r="G275" s="12" t="str">
        <f aca="false">IFERROR(VLOOKUP($D275,ItemList_Full,3,0),"")</f>
        <v/>
      </c>
      <c r="H275" s="12" t="str">
        <f aca="false">IFERROR(VLOOKUP($D275,ItemList_Full,4,0),"")</f>
        <v/>
      </c>
      <c r="I275" s="13" t="str">
        <f aca="false">IF(OR($F275="",$H275=""),"",$F275*$H275)</f>
        <v/>
      </c>
      <c r="J275" s="12"/>
      <c r="K275" s="12"/>
      <c r="L275" s="12"/>
      <c r="M275" s="19"/>
    </row>
    <row r="276" customFormat="false" ht="15" hidden="false" customHeight="true" outlineLevel="0" collapsed="false">
      <c r="A276" s="12" t="str">
        <f aca="false">IF($C276="","","PO-"&amp;TEXT(ROW()-4,"000"))</f>
        <v/>
      </c>
      <c r="B276" s="19"/>
      <c r="C276" s="12"/>
      <c r="D276" s="12"/>
      <c r="E276" s="12" t="str">
        <f aca="false">IFERROR(VLOOKUP($D276,ItemList_Full,2,0),"")</f>
        <v/>
      </c>
      <c r="F276" s="12"/>
      <c r="G276" s="12" t="str">
        <f aca="false">IFERROR(VLOOKUP($D276,ItemList_Full,3,0),"")</f>
        <v/>
      </c>
      <c r="H276" s="12" t="str">
        <f aca="false">IFERROR(VLOOKUP($D276,ItemList_Full,4,0),"")</f>
        <v/>
      </c>
      <c r="I276" s="13" t="str">
        <f aca="false">IF(OR($F276="",$H276=""),"",$F276*$H276)</f>
        <v/>
      </c>
      <c r="J276" s="12"/>
      <c r="K276" s="12"/>
      <c r="L276" s="12"/>
      <c r="M276" s="19"/>
    </row>
    <row r="277" customFormat="false" ht="15" hidden="false" customHeight="true" outlineLevel="0" collapsed="false">
      <c r="A277" s="12" t="str">
        <f aca="false">IF($C277="","","PO-"&amp;TEXT(ROW()-4,"000"))</f>
        <v/>
      </c>
      <c r="B277" s="19"/>
      <c r="C277" s="12"/>
      <c r="D277" s="12"/>
      <c r="E277" s="12" t="str">
        <f aca="false">IFERROR(VLOOKUP($D277,ItemList_Full,2,0),"")</f>
        <v/>
      </c>
      <c r="F277" s="12"/>
      <c r="G277" s="12" t="str">
        <f aca="false">IFERROR(VLOOKUP($D277,ItemList_Full,3,0),"")</f>
        <v/>
      </c>
      <c r="H277" s="12" t="str">
        <f aca="false">IFERROR(VLOOKUP($D277,ItemList_Full,4,0),"")</f>
        <v/>
      </c>
      <c r="I277" s="13" t="str">
        <f aca="false">IF(OR($F277="",$H277=""),"",$F277*$H277)</f>
        <v/>
      </c>
      <c r="J277" s="12"/>
      <c r="K277" s="12"/>
      <c r="L277" s="12"/>
      <c r="M277" s="19"/>
    </row>
    <row r="278" customFormat="false" ht="15" hidden="false" customHeight="true" outlineLevel="0" collapsed="false">
      <c r="A278" s="12" t="str">
        <f aca="false">IF($C278="","","PO-"&amp;TEXT(ROW()-4,"000"))</f>
        <v/>
      </c>
      <c r="B278" s="19"/>
      <c r="C278" s="12"/>
      <c r="D278" s="12"/>
      <c r="E278" s="12" t="str">
        <f aca="false">IFERROR(VLOOKUP($D278,ItemList_Full,2,0),"")</f>
        <v/>
      </c>
      <c r="F278" s="12"/>
      <c r="G278" s="12" t="str">
        <f aca="false">IFERROR(VLOOKUP($D278,ItemList_Full,3,0),"")</f>
        <v/>
      </c>
      <c r="H278" s="12" t="str">
        <f aca="false">IFERROR(VLOOKUP($D278,ItemList_Full,4,0),"")</f>
        <v/>
      </c>
      <c r="I278" s="13" t="str">
        <f aca="false">IF(OR($F278="",$H278=""),"",$F278*$H278)</f>
        <v/>
      </c>
      <c r="J278" s="12"/>
      <c r="K278" s="12"/>
      <c r="L278" s="12"/>
      <c r="M278" s="19"/>
    </row>
    <row r="279" customFormat="false" ht="15" hidden="false" customHeight="true" outlineLevel="0" collapsed="false">
      <c r="A279" s="12" t="str">
        <f aca="false">IF($C279="","","PO-"&amp;TEXT(ROW()-4,"000"))</f>
        <v/>
      </c>
      <c r="B279" s="19"/>
      <c r="C279" s="12"/>
      <c r="D279" s="12"/>
      <c r="E279" s="12" t="str">
        <f aca="false">IFERROR(VLOOKUP($D279,ItemList_Full,2,0),"")</f>
        <v/>
      </c>
      <c r="F279" s="12"/>
      <c r="G279" s="12" t="str">
        <f aca="false">IFERROR(VLOOKUP($D279,ItemList_Full,3,0),"")</f>
        <v/>
      </c>
      <c r="H279" s="12" t="str">
        <f aca="false">IFERROR(VLOOKUP($D279,ItemList_Full,4,0),"")</f>
        <v/>
      </c>
      <c r="I279" s="13" t="str">
        <f aca="false">IF(OR($F279="",$H279=""),"",$F279*$H279)</f>
        <v/>
      </c>
      <c r="J279" s="12"/>
      <c r="K279" s="12"/>
      <c r="L279" s="12"/>
      <c r="M279" s="19"/>
    </row>
    <row r="280" customFormat="false" ht="15" hidden="false" customHeight="true" outlineLevel="0" collapsed="false">
      <c r="A280" s="12" t="str">
        <f aca="false">IF($C280="","","PO-"&amp;TEXT(ROW()-4,"000"))</f>
        <v/>
      </c>
      <c r="B280" s="19"/>
      <c r="C280" s="12"/>
      <c r="D280" s="12"/>
      <c r="E280" s="12" t="str">
        <f aca="false">IFERROR(VLOOKUP($D280,ItemList_Full,2,0),"")</f>
        <v/>
      </c>
      <c r="F280" s="12"/>
      <c r="G280" s="12" t="str">
        <f aca="false">IFERROR(VLOOKUP($D280,ItemList_Full,3,0),"")</f>
        <v/>
      </c>
      <c r="H280" s="12" t="str">
        <f aca="false">IFERROR(VLOOKUP($D280,ItemList_Full,4,0),"")</f>
        <v/>
      </c>
      <c r="I280" s="13" t="str">
        <f aca="false">IF(OR($F280="",$H280=""),"",$F280*$H280)</f>
        <v/>
      </c>
      <c r="J280" s="12"/>
      <c r="K280" s="12"/>
      <c r="L280" s="12"/>
      <c r="M280" s="19"/>
    </row>
    <row r="281" customFormat="false" ht="15" hidden="false" customHeight="true" outlineLevel="0" collapsed="false">
      <c r="A281" s="12" t="str">
        <f aca="false">IF($C281="","","PO-"&amp;TEXT(ROW()-4,"000"))</f>
        <v/>
      </c>
      <c r="B281" s="19"/>
      <c r="C281" s="12"/>
      <c r="D281" s="12"/>
      <c r="E281" s="12" t="str">
        <f aca="false">IFERROR(VLOOKUP($D281,ItemList_Full,2,0),"")</f>
        <v/>
      </c>
      <c r="F281" s="12"/>
      <c r="G281" s="12" t="str">
        <f aca="false">IFERROR(VLOOKUP($D281,ItemList_Full,3,0),"")</f>
        <v/>
      </c>
      <c r="H281" s="12" t="str">
        <f aca="false">IFERROR(VLOOKUP($D281,ItemList_Full,4,0),"")</f>
        <v/>
      </c>
      <c r="I281" s="13" t="str">
        <f aca="false">IF(OR($F281="",$H281=""),"",$F281*$H281)</f>
        <v/>
      </c>
      <c r="J281" s="12"/>
      <c r="K281" s="12"/>
      <c r="L281" s="12"/>
      <c r="M281" s="19"/>
    </row>
    <row r="282" customFormat="false" ht="15" hidden="false" customHeight="true" outlineLevel="0" collapsed="false">
      <c r="A282" s="12" t="str">
        <f aca="false">IF($C282="","","PO-"&amp;TEXT(ROW()-4,"000"))</f>
        <v/>
      </c>
      <c r="B282" s="19"/>
      <c r="C282" s="12"/>
      <c r="D282" s="12"/>
      <c r="E282" s="12" t="str">
        <f aca="false">IFERROR(VLOOKUP($D282,ItemList_Full,2,0),"")</f>
        <v/>
      </c>
      <c r="F282" s="12"/>
      <c r="G282" s="12" t="str">
        <f aca="false">IFERROR(VLOOKUP($D282,ItemList_Full,3,0),"")</f>
        <v/>
      </c>
      <c r="H282" s="12" t="str">
        <f aca="false">IFERROR(VLOOKUP($D282,ItemList_Full,4,0),"")</f>
        <v/>
      </c>
      <c r="I282" s="13" t="str">
        <f aca="false">IF(OR($F282="",$H282=""),"",$F282*$H282)</f>
        <v/>
      </c>
      <c r="J282" s="12"/>
      <c r="K282" s="12"/>
      <c r="L282" s="12"/>
      <c r="M282" s="19"/>
    </row>
    <row r="283" customFormat="false" ht="15" hidden="false" customHeight="true" outlineLevel="0" collapsed="false">
      <c r="A283" s="12" t="str">
        <f aca="false">IF($C283="","","PO-"&amp;TEXT(ROW()-4,"000"))</f>
        <v/>
      </c>
      <c r="B283" s="19"/>
      <c r="C283" s="12"/>
      <c r="D283" s="12"/>
      <c r="E283" s="12" t="str">
        <f aca="false">IFERROR(VLOOKUP($D283,ItemList_Full,2,0),"")</f>
        <v/>
      </c>
      <c r="F283" s="12"/>
      <c r="G283" s="12" t="str">
        <f aca="false">IFERROR(VLOOKUP($D283,ItemList_Full,3,0),"")</f>
        <v/>
      </c>
      <c r="H283" s="12" t="str">
        <f aca="false">IFERROR(VLOOKUP($D283,ItemList_Full,4,0),"")</f>
        <v/>
      </c>
      <c r="I283" s="13" t="str">
        <f aca="false">IF(OR($F283="",$H283=""),"",$F283*$H283)</f>
        <v/>
      </c>
      <c r="J283" s="12"/>
      <c r="K283" s="12"/>
      <c r="L283" s="12"/>
      <c r="M283" s="19"/>
    </row>
    <row r="284" customFormat="false" ht="15" hidden="false" customHeight="true" outlineLevel="0" collapsed="false">
      <c r="A284" s="12" t="str">
        <f aca="false">IF($C284="","","PO-"&amp;TEXT(ROW()-4,"000"))</f>
        <v/>
      </c>
      <c r="B284" s="19"/>
      <c r="C284" s="12"/>
      <c r="D284" s="12"/>
      <c r="E284" s="12" t="str">
        <f aca="false">IFERROR(VLOOKUP($D284,ItemList_Full,2,0),"")</f>
        <v/>
      </c>
      <c r="F284" s="12"/>
      <c r="G284" s="12" t="str">
        <f aca="false">IFERROR(VLOOKUP($D284,ItemList_Full,3,0),"")</f>
        <v/>
      </c>
      <c r="H284" s="12" t="str">
        <f aca="false">IFERROR(VLOOKUP($D284,ItemList_Full,4,0),"")</f>
        <v/>
      </c>
      <c r="I284" s="13" t="str">
        <f aca="false">IF(OR($F284="",$H284=""),"",$F284*$H284)</f>
        <v/>
      </c>
      <c r="J284" s="12"/>
      <c r="K284" s="12"/>
      <c r="L284" s="12"/>
      <c r="M284" s="19"/>
    </row>
    <row r="285" customFormat="false" ht="15" hidden="false" customHeight="true" outlineLevel="0" collapsed="false">
      <c r="A285" s="12" t="str">
        <f aca="false">IF($C285="","","PO-"&amp;TEXT(ROW()-4,"000"))</f>
        <v/>
      </c>
      <c r="B285" s="19"/>
      <c r="C285" s="12"/>
      <c r="D285" s="12"/>
      <c r="E285" s="12" t="str">
        <f aca="false">IFERROR(VLOOKUP($D285,ItemList_Full,2,0),"")</f>
        <v/>
      </c>
      <c r="F285" s="12"/>
      <c r="G285" s="12" t="str">
        <f aca="false">IFERROR(VLOOKUP($D285,ItemList_Full,3,0),"")</f>
        <v/>
      </c>
      <c r="H285" s="12" t="str">
        <f aca="false">IFERROR(VLOOKUP($D285,ItemList_Full,4,0),"")</f>
        <v/>
      </c>
      <c r="I285" s="13" t="str">
        <f aca="false">IF(OR($F285="",$H285=""),"",$F285*$H285)</f>
        <v/>
      </c>
      <c r="J285" s="12"/>
      <c r="K285" s="12"/>
      <c r="L285" s="12"/>
      <c r="M285" s="19"/>
    </row>
    <row r="286" customFormat="false" ht="15" hidden="false" customHeight="true" outlineLevel="0" collapsed="false">
      <c r="A286" s="12" t="str">
        <f aca="false">IF($C286="","","PO-"&amp;TEXT(ROW()-4,"000"))</f>
        <v/>
      </c>
      <c r="B286" s="19"/>
      <c r="C286" s="12"/>
      <c r="D286" s="12"/>
      <c r="E286" s="12" t="str">
        <f aca="false">IFERROR(VLOOKUP($D286,ItemList_Full,2,0),"")</f>
        <v/>
      </c>
      <c r="F286" s="12"/>
      <c r="G286" s="12" t="str">
        <f aca="false">IFERROR(VLOOKUP($D286,ItemList_Full,3,0),"")</f>
        <v/>
      </c>
      <c r="H286" s="12" t="str">
        <f aca="false">IFERROR(VLOOKUP($D286,ItemList_Full,4,0),"")</f>
        <v/>
      </c>
      <c r="I286" s="13" t="str">
        <f aca="false">IF(OR($F286="",$H286=""),"",$F286*$H286)</f>
        <v/>
      </c>
      <c r="J286" s="12"/>
      <c r="K286" s="12"/>
      <c r="L286" s="12"/>
      <c r="M286" s="19"/>
    </row>
    <row r="287" customFormat="false" ht="15" hidden="false" customHeight="true" outlineLevel="0" collapsed="false">
      <c r="A287" s="12" t="str">
        <f aca="false">IF($C287="","","PO-"&amp;TEXT(ROW()-4,"000"))</f>
        <v/>
      </c>
      <c r="B287" s="19"/>
      <c r="C287" s="12"/>
      <c r="D287" s="12"/>
      <c r="E287" s="12" t="str">
        <f aca="false">IFERROR(VLOOKUP($D287,ItemList_Full,2,0),"")</f>
        <v/>
      </c>
      <c r="F287" s="12"/>
      <c r="G287" s="12" t="str">
        <f aca="false">IFERROR(VLOOKUP($D287,ItemList_Full,3,0),"")</f>
        <v/>
      </c>
      <c r="H287" s="12" t="str">
        <f aca="false">IFERROR(VLOOKUP($D287,ItemList_Full,4,0),"")</f>
        <v/>
      </c>
      <c r="I287" s="13" t="str">
        <f aca="false">IF(OR($F287="",$H287=""),"",$F287*$H287)</f>
        <v/>
      </c>
      <c r="J287" s="12"/>
      <c r="K287" s="12"/>
      <c r="L287" s="12"/>
      <c r="M287" s="19"/>
    </row>
    <row r="288" customFormat="false" ht="15" hidden="false" customHeight="true" outlineLevel="0" collapsed="false">
      <c r="A288" s="12" t="str">
        <f aca="false">IF($C288="","","PO-"&amp;TEXT(ROW()-4,"000"))</f>
        <v/>
      </c>
      <c r="B288" s="19"/>
      <c r="C288" s="12"/>
      <c r="D288" s="12"/>
      <c r="E288" s="12" t="str">
        <f aca="false">IFERROR(VLOOKUP($D288,ItemList_Full,2,0),"")</f>
        <v/>
      </c>
      <c r="F288" s="12"/>
      <c r="G288" s="12" t="str">
        <f aca="false">IFERROR(VLOOKUP($D288,ItemList_Full,3,0),"")</f>
        <v/>
      </c>
      <c r="H288" s="12" t="str">
        <f aca="false">IFERROR(VLOOKUP($D288,ItemList_Full,4,0),"")</f>
        <v/>
      </c>
      <c r="I288" s="13" t="str">
        <f aca="false">IF(OR($F288="",$H288=""),"",$F288*$H288)</f>
        <v/>
      </c>
      <c r="J288" s="12"/>
      <c r="K288" s="12"/>
      <c r="L288" s="12"/>
      <c r="M288" s="19"/>
    </row>
    <row r="289" customFormat="false" ht="15" hidden="false" customHeight="true" outlineLevel="0" collapsed="false">
      <c r="A289" s="12" t="str">
        <f aca="false">IF($C289="","","PO-"&amp;TEXT(ROW()-4,"000"))</f>
        <v/>
      </c>
      <c r="B289" s="19"/>
      <c r="C289" s="12"/>
      <c r="D289" s="12"/>
      <c r="E289" s="12" t="str">
        <f aca="false">IFERROR(VLOOKUP($D289,ItemList_Full,2,0),"")</f>
        <v/>
      </c>
      <c r="F289" s="12"/>
      <c r="G289" s="12" t="str">
        <f aca="false">IFERROR(VLOOKUP($D289,ItemList_Full,3,0),"")</f>
        <v/>
      </c>
      <c r="H289" s="12" t="str">
        <f aca="false">IFERROR(VLOOKUP($D289,ItemList_Full,4,0),"")</f>
        <v/>
      </c>
      <c r="I289" s="13" t="str">
        <f aca="false">IF(OR($F289="",$H289=""),"",$F289*$H289)</f>
        <v/>
      </c>
      <c r="J289" s="12"/>
      <c r="K289" s="12"/>
      <c r="L289" s="12"/>
      <c r="M289" s="19"/>
    </row>
    <row r="290" customFormat="false" ht="15" hidden="false" customHeight="true" outlineLevel="0" collapsed="false">
      <c r="A290" s="12" t="str">
        <f aca="false">IF($C290="","","PO-"&amp;TEXT(ROW()-4,"000"))</f>
        <v/>
      </c>
      <c r="B290" s="19"/>
      <c r="C290" s="12"/>
      <c r="D290" s="12"/>
      <c r="E290" s="12" t="str">
        <f aca="false">IFERROR(VLOOKUP($D290,ItemList_Full,2,0),"")</f>
        <v/>
      </c>
      <c r="F290" s="12"/>
      <c r="G290" s="12" t="str">
        <f aca="false">IFERROR(VLOOKUP($D290,ItemList_Full,3,0),"")</f>
        <v/>
      </c>
      <c r="H290" s="12" t="str">
        <f aca="false">IFERROR(VLOOKUP($D290,ItemList_Full,4,0),"")</f>
        <v/>
      </c>
      <c r="I290" s="13" t="str">
        <f aca="false">IF(OR($F290="",$H290=""),"",$F290*$H290)</f>
        <v/>
      </c>
      <c r="J290" s="12"/>
      <c r="K290" s="12"/>
      <c r="L290" s="12"/>
      <c r="M290" s="19"/>
    </row>
    <row r="291" customFormat="false" ht="15" hidden="false" customHeight="true" outlineLevel="0" collapsed="false">
      <c r="A291" s="12" t="str">
        <f aca="false">IF($C291="","","PO-"&amp;TEXT(ROW()-4,"000"))</f>
        <v/>
      </c>
      <c r="B291" s="19"/>
      <c r="C291" s="12"/>
      <c r="D291" s="12"/>
      <c r="E291" s="12" t="str">
        <f aca="false">IFERROR(VLOOKUP($D291,ItemList_Full,2,0),"")</f>
        <v/>
      </c>
      <c r="F291" s="12"/>
      <c r="G291" s="12" t="str">
        <f aca="false">IFERROR(VLOOKUP($D291,ItemList_Full,3,0),"")</f>
        <v/>
      </c>
      <c r="H291" s="12" t="str">
        <f aca="false">IFERROR(VLOOKUP($D291,ItemList_Full,4,0),"")</f>
        <v/>
      </c>
      <c r="I291" s="13" t="str">
        <f aca="false">IF(OR($F291="",$H291=""),"",$F291*$H291)</f>
        <v/>
      </c>
      <c r="J291" s="12"/>
      <c r="K291" s="12"/>
      <c r="L291" s="12"/>
      <c r="M291" s="19"/>
    </row>
    <row r="292" customFormat="false" ht="15" hidden="false" customHeight="true" outlineLevel="0" collapsed="false">
      <c r="A292" s="12" t="str">
        <f aca="false">IF($C292="","","PO-"&amp;TEXT(ROW()-4,"000"))</f>
        <v/>
      </c>
      <c r="B292" s="19"/>
      <c r="C292" s="12"/>
      <c r="D292" s="12"/>
      <c r="E292" s="12" t="str">
        <f aca="false">IFERROR(VLOOKUP($D292,ItemList_Full,2,0),"")</f>
        <v/>
      </c>
      <c r="F292" s="12"/>
      <c r="G292" s="12" t="str">
        <f aca="false">IFERROR(VLOOKUP($D292,ItemList_Full,3,0),"")</f>
        <v/>
      </c>
      <c r="H292" s="12" t="str">
        <f aca="false">IFERROR(VLOOKUP($D292,ItemList_Full,4,0),"")</f>
        <v/>
      </c>
      <c r="I292" s="13" t="str">
        <f aca="false">IF(OR($F292="",$H292=""),"",$F292*$H292)</f>
        <v/>
      </c>
      <c r="J292" s="12"/>
      <c r="K292" s="12"/>
      <c r="L292" s="12"/>
      <c r="M292" s="19"/>
    </row>
    <row r="293" customFormat="false" ht="15" hidden="false" customHeight="true" outlineLevel="0" collapsed="false">
      <c r="A293" s="12" t="str">
        <f aca="false">IF($C293="","","PO-"&amp;TEXT(ROW()-4,"000"))</f>
        <v/>
      </c>
      <c r="B293" s="19"/>
      <c r="C293" s="12"/>
      <c r="D293" s="12"/>
      <c r="E293" s="12" t="str">
        <f aca="false">IFERROR(VLOOKUP($D293,ItemList_Full,2,0),"")</f>
        <v/>
      </c>
      <c r="F293" s="12"/>
      <c r="G293" s="12" t="str">
        <f aca="false">IFERROR(VLOOKUP($D293,ItemList_Full,3,0),"")</f>
        <v/>
      </c>
      <c r="H293" s="12" t="str">
        <f aca="false">IFERROR(VLOOKUP($D293,ItemList_Full,4,0),"")</f>
        <v/>
      </c>
      <c r="I293" s="13" t="str">
        <f aca="false">IF(OR($F293="",$H293=""),"",$F293*$H293)</f>
        <v/>
      </c>
      <c r="J293" s="12"/>
      <c r="K293" s="12"/>
      <c r="L293" s="12"/>
      <c r="M293" s="19"/>
    </row>
    <row r="294" customFormat="false" ht="15" hidden="false" customHeight="true" outlineLevel="0" collapsed="false">
      <c r="A294" s="12" t="str">
        <f aca="false">IF($C294="","","PO-"&amp;TEXT(ROW()-4,"000"))</f>
        <v/>
      </c>
      <c r="B294" s="19"/>
      <c r="C294" s="12"/>
      <c r="D294" s="12"/>
      <c r="E294" s="12" t="str">
        <f aca="false">IFERROR(VLOOKUP($D294,ItemList_Full,2,0),"")</f>
        <v/>
      </c>
      <c r="F294" s="12"/>
      <c r="G294" s="12" t="str">
        <f aca="false">IFERROR(VLOOKUP($D294,ItemList_Full,3,0),"")</f>
        <v/>
      </c>
      <c r="H294" s="12" t="str">
        <f aca="false">IFERROR(VLOOKUP($D294,ItemList_Full,4,0),"")</f>
        <v/>
      </c>
      <c r="I294" s="13" t="str">
        <f aca="false">IF(OR($F294="",$H294=""),"",$F294*$H294)</f>
        <v/>
      </c>
      <c r="J294" s="12"/>
      <c r="K294" s="12"/>
      <c r="L294" s="12"/>
      <c r="M294" s="19"/>
    </row>
    <row r="295" customFormat="false" ht="15" hidden="false" customHeight="true" outlineLevel="0" collapsed="false">
      <c r="A295" s="12" t="str">
        <f aca="false">IF($C295="","","PO-"&amp;TEXT(ROW()-4,"000"))</f>
        <v/>
      </c>
      <c r="B295" s="19"/>
      <c r="C295" s="12"/>
      <c r="D295" s="12"/>
      <c r="E295" s="12" t="str">
        <f aca="false">IFERROR(VLOOKUP($D295,ItemList_Full,2,0),"")</f>
        <v/>
      </c>
      <c r="F295" s="12"/>
      <c r="G295" s="12" t="str">
        <f aca="false">IFERROR(VLOOKUP($D295,ItemList_Full,3,0),"")</f>
        <v/>
      </c>
      <c r="H295" s="12" t="str">
        <f aca="false">IFERROR(VLOOKUP($D295,ItemList_Full,4,0),"")</f>
        <v/>
      </c>
      <c r="I295" s="13" t="str">
        <f aca="false">IF(OR($F295="",$H295=""),"",$F295*$H295)</f>
        <v/>
      </c>
      <c r="J295" s="12"/>
      <c r="K295" s="12"/>
      <c r="L295" s="12"/>
      <c r="M295" s="19"/>
    </row>
    <row r="296" customFormat="false" ht="15" hidden="false" customHeight="true" outlineLevel="0" collapsed="false">
      <c r="A296" s="12" t="str">
        <f aca="false">IF($C296="","","PO-"&amp;TEXT(ROW()-4,"000"))</f>
        <v/>
      </c>
      <c r="B296" s="19"/>
      <c r="C296" s="12"/>
      <c r="D296" s="12"/>
      <c r="E296" s="12" t="str">
        <f aca="false">IFERROR(VLOOKUP($D296,ItemList_Full,2,0),"")</f>
        <v/>
      </c>
      <c r="F296" s="12"/>
      <c r="G296" s="12" t="str">
        <f aca="false">IFERROR(VLOOKUP($D296,ItemList_Full,3,0),"")</f>
        <v/>
      </c>
      <c r="H296" s="12" t="str">
        <f aca="false">IFERROR(VLOOKUP($D296,ItemList_Full,4,0),"")</f>
        <v/>
      </c>
      <c r="I296" s="13" t="str">
        <f aca="false">IF(OR($F296="",$H296=""),"",$F296*$H296)</f>
        <v/>
      </c>
      <c r="J296" s="12"/>
      <c r="K296" s="12"/>
      <c r="L296" s="12"/>
      <c r="M296" s="19"/>
    </row>
    <row r="297" customFormat="false" ht="15" hidden="false" customHeight="true" outlineLevel="0" collapsed="false">
      <c r="A297" s="12" t="str">
        <f aca="false">IF($C297="","","PO-"&amp;TEXT(ROW()-4,"000"))</f>
        <v/>
      </c>
      <c r="B297" s="19"/>
      <c r="C297" s="12"/>
      <c r="D297" s="12"/>
      <c r="E297" s="12" t="str">
        <f aca="false">IFERROR(VLOOKUP($D297,ItemList_Full,2,0),"")</f>
        <v/>
      </c>
      <c r="F297" s="12"/>
      <c r="G297" s="12" t="str">
        <f aca="false">IFERROR(VLOOKUP($D297,ItemList_Full,3,0),"")</f>
        <v/>
      </c>
      <c r="H297" s="12" t="str">
        <f aca="false">IFERROR(VLOOKUP($D297,ItemList_Full,4,0),"")</f>
        <v/>
      </c>
      <c r="I297" s="13" t="str">
        <f aca="false">IF(OR($F297="",$H297=""),"",$F297*$H297)</f>
        <v/>
      </c>
      <c r="J297" s="12"/>
      <c r="K297" s="12"/>
      <c r="L297" s="12"/>
      <c r="M297" s="19"/>
    </row>
    <row r="298" customFormat="false" ht="15" hidden="false" customHeight="true" outlineLevel="0" collapsed="false">
      <c r="A298" s="12" t="str">
        <f aca="false">IF($C298="","","PO-"&amp;TEXT(ROW()-4,"000"))</f>
        <v/>
      </c>
      <c r="B298" s="19"/>
      <c r="C298" s="12"/>
      <c r="D298" s="12"/>
      <c r="E298" s="12" t="str">
        <f aca="false">IFERROR(VLOOKUP($D298,ItemList_Full,2,0),"")</f>
        <v/>
      </c>
      <c r="F298" s="12"/>
      <c r="G298" s="12" t="str">
        <f aca="false">IFERROR(VLOOKUP($D298,ItemList_Full,3,0),"")</f>
        <v/>
      </c>
      <c r="H298" s="12" t="str">
        <f aca="false">IFERROR(VLOOKUP($D298,ItemList_Full,4,0),"")</f>
        <v/>
      </c>
      <c r="I298" s="13" t="str">
        <f aca="false">IF(OR($F298="",$H298=""),"",$F298*$H298)</f>
        <v/>
      </c>
      <c r="J298" s="12"/>
      <c r="K298" s="12"/>
      <c r="L298" s="12"/>
      <c r="M298" s="19"/>
    </row>
    <row r="299" customFormat="false" ht="15" hidden="false" customHeight="true" outlineLevel="0" collapsed="false">
      <c r="A299" s="12" t="str">
        <f aca="false">IF($C299="","","PO-"&amp;TEXT(ROW()-4,"000"))</f>
        <v/>
      </c>
      <c r="B299" s="19"/>
      <c r="C299" s="12"/>
      <c r="D299" s="12"/>
      <c r="E299" s="12" t="str">
        <f aca="false">IFERROR(VLOOKUP($D299,ItemList_Full,2,0),"")</f>
        <v/>
      </c>
      <c r="F299" s="12"/>
      <c r="G299" s="12" t="str">
        <f aca="false">IFERROR(VLOOKUP($D299,ItemList_Full,3,0),"")</f>
        <v/>
      </c>
      <c r="H299" s="12" t="str">
        <f aca="false">IFERROR(VLOOKUP($D299,ItemList_Full,4,0),"")</f>
        <v/>
      </c>
      <c r="I299" s="13" t="str">
        <f aca="false">IF(OR($F299="",$H299=""),"",$F299*$H299)</f>
        <v/>
      </c>
      <c r="J299" s="12"/>
      <c r="K299" s="12"/>
      <c r="L299" s="12"/>
      <c r="M299" s="19"/>
    </row>
    <row r="300" customFormat="false" ht="15" hidden="false" customHeight="true" outlineLevel="0" collapsed="false">
      <c r="A300" s="12" t="str">
        <f aca="false">IF($C300="","","PO-"&amp;TEXT(ROW()-4,"000"))</f>
        <v/>
      </c>
      <c r="B300" s="19"/>
      <c r="C300" s="12"/>
      <c r="D300" s="12"/>
      <c r="E300" s="12" t="str">
        <f aca="false">IFERROR(VLOOKUP($D300,ItemList_Full,2,0),"")</f>
        <v/>
      </c>
      <c r="F300" s="12"/>
      <c r="G300" s="12" t="str">
        <f aca="false">IFERROR(VLOOKUP($D300,ItemList_Full,3,0),"")</f>
        <v/>
      </c>
      <c r="H300" s="12" t="str">
        <f aca="false">IFERROR(VLOOKUP($D300,ItemList_Full,4,0),"")</f>
        <v/>
      </c>
      <c r="I300" s="13" t="str">
        <f aca="false">IF(OR($F300="",$H300=""),"",$F300*$H300)</f>
        <v/>
      </c>
      <c r="J300" s="12"/>
      <c r="K300" s="12"/>
      <c r="L300" s="12"/>
      <c r="M300" s="19"/>
    </row>
    <row r="301" customFormat="false" ht="15" hidden="false" customHeight="true" outlineLevel="0" collapsed="false">
      <c r="A301" s="12" t="str">
        <f aca="false">IF($C301="","","PO-"&amp;TEXT(ROW()-4,"000"))</f>
        <v/>
      </c>
      <c r="B301" s="19"/>
      <c r="C301" s="12"/>
      <c r="D301" s="12"/>
      <c r="E301" s="12" t="str">
        <f aca="false">IFERROR(VLOOKUP($D301,ItemList_Full,2,0),"")</f>
        <v/>
      </c>
      <c r="F301" s="12"/>
      <c r="G301" s="12" t="str">
        <f aca="false">IFERROR(VLOOKUP($D301,ItemList_Full,3,0),"")</f>
        <v/>
      </c>
      <c r="H301" s="12" t="str">
        <f aca="false">IFERROR(VLOOKUP($D301,ItemList_Full,4,0),"")</f>
        <v/>
      </c>
      <c r="I301" s="13" t="str">
        <f aca="false">IF(OR($F301="",$H301=""),"",$F301*$H301)</f>
        <v/>
      </c>
      <c r="J301" s="12"/>
      <c r="K301" s="12"/>
      <c r="L301" s="12"/>
      <c r="M301" s="19"/>
    </row>
    <row r="302" customFormat="false" ht="15" hidden="false" customHeight="true" outlineLevel="0" collapsed="false">
      <c r="A302" s="12" t="str">
        <f aca="false">IF($C302="","","PO-"&amp;TEXT(ROW()-4,"000"))</f>
        <v/>
      </c>
      <c r="B302" s="19"/>
      <c r="C302" s="12"/>
      <c r="D302" s="12"/>
      <c r="E302" s="12" t="str">
        <f aca="false">IFERROR(VLOOKUP($D302,ItemList_Full,2,0),"")</f>
        <v/>
      </c>
      <c r="F302" s="12"/>
      <c r="G302" s="12" t="str">
        <f aca="false">IFERROR(VLOOKUP($D302,ItemList_Full,3,0),"")</f>
        <v/>
      </c>
      <c r="H302" s="12" t="str">
        <f aca="false">IFERROR(VLOOKUP($D302,ItemList_Full,4,0),"")</f>
        <v/>
      </c>
      <c r="I302" s="13" t="str">
        <f aca="false">IF(OR($F302="",$H302=""),"",$F302*$H302)</f>
        <v/>
      </c>
      <c r="J302" s="12"/>
      <c r="K302" s="12"/>
      <c r="L302" s="12"/>
      <c r="M302" s="19"/>
    </row>
    <row r="303" customFormat="false" ht="15" hidden="false" customHeight="true" outlineLevel="0" collapsed="false">
      <c r="A303" s="12" t="str">
        <f aca="false">IF($C303="","","PO-"&amp;TEXT(ROW()-4,"000"))</f>
        <v/>
      </c>
      <c r="B303" s="19"/>
      <c r="C303" s="12"/>
      <c r="D303" s="12"/>
      <c r="E303" s="12" t="str">
        <f aca="false">IFERROR(VLOOKUP($D303,ItemList_Full,2,0),"")</f>
        <v/>
      </c>
      <c r="F303" s="12"/>
      <c r="G303" s="12" t="str">
        <f aca="false">IFERROR(VLOOKUP($D303,ItemList_Full,3,0),"")</f>
        <v/>
      </c>
      <c r="H303" s="12" t="str">
        <f aca="false">IFERROR(VLOOKUP($D303,ItemList_Full,4,0),"")</f>
        <v/>
      </c>
      <c r="I303" s="13" t="str">
        <f aca="false">IF(OR($F303="",$H303=""),"",$F303*$H303)</f>
        <v/>
      </c>
      <c r="J303" s="12"/>
      <c r="K303" s="12"/>
      <c r="L303" s="12"/>
      <c r="M303" s="19"/>
    </row>
    <row r="304" customFormat="false" ht="15" hidden="false" customHeight="true" outlineLevel="0" collapsed="false">
      <c r="A304" s="12" t="str">
        <f aca="false">IF($C304="","","PO-"&amp;TEXT(ROW()-4,"000"))</f>
        <v/>
      </c>
      <c r="B304" s="19"/>
      <c r="C304" s="12"/>
      <c r="D304" s="12"/>
      <c r="E304" s="12" t="str">
        <f aca="false">IFERROR(VLOOKUP($D304,ItemList_Full,2,0),"")</f>
        <v/>
      </c>
      <c r="F304" s="12"/>
      <c r="G304" s="12" t="str">
        <f aca="false">IFERROR(VLOOKUP($D304,ItemList_Full,3,0),"")</f>
        <v/>
      </c>
      <c r="H304" s="12" t="str">
        <f aca="false">IFERROR(VLOOKUP($D304,ItemList_Full,4,0),"")</f>
        <v/>
      </c>
      <c r="I304" s="13" t="str">
        <f aca="false">IF(OR($F304="",$H304=""),"",$F304*$H304)</f>
        <v/>
      </c>
      <c r="J304" s="12"/>
      <c r="K304" s="12"/>
      <c r="L304" s="12"/>
      <c r="M304" s="19"/>
    </row>
  </sheetData>
  <mergeCells count="2">
    <mergeCell ref="A1:M1"/>
    <mergeCell ref="A2:M2"/>
  </mergeCells>
  <dataValidations count="2">
    <dataValidation allowBlank="true" errorStyle="stop" operator="between" showDropDown="false" showErrorMessage="false" showInputMessage="false" sqref="D5:D304" type="list">
      <formula1>ItemCodeList</formula1>
      <formula2>0</formula2>
    </dataValidation>
    <dataValidation allowBlank="true" errorStyle="stop" operator="between" showDropDown="false" showErrorMessage="false" showInputMessage="false" sqref="L5:L304" type="list">
      <formula1>POStatusList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395"/>
    <pageSetUpPr fitToPage="false"/>
  </sheetPr>
  <dimension ref="A1:H3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1"/>
    <col collapsed="false" customWidth="true" hidden="false" outlineLevel="0" max="4" min="4" style="1" width="24"/>
    <col collapsed="false" customWidth="true" hidden="false" outlineLevel="0" max="7" min="5" style="1" width="13"/>
    <col collapsed="false" customWidth="true" hidden="false" outlineLevel="0" max="8" min="8" style="1" width="10"/>
  </cols>
  <sheetData>
    <row r="1" customFormat="false" ht="21.75" hidden="false" customHeight="true" outlineLevel="0" collapsed="false">
      <c r="A1" s="4" t="s">
        <v>1645</v>
      </c>
      <c r="B1" s="4"/>
      <c r="C1" s="4"/>
      <c r="D1" s="4"/>
      <c r="E1" s="4"/>
      <c r="F1" s="4"/>
      <c r="G1" s="4"/>
      <c r="H1" s="4"/>
    </row>
    <row r="2" customFormat="false" ht="15" hidden="false" customHeight="true" outlineLevel="0" collapsed="false">
      <c r="A2" s="5" t="s">
        <v>1646</v>
      </c>
      <c r="B2" s="5"/>
      <c r="C2" s="5"/>
      <c r="D2" s="5"/>
      <c r="E2" s="5"/>
      <c r="F2" s="5"/>
      <c r="G2" s="5"/>
      <c r="H2" s="5"/>
    </row>
    <row r="4" customFormat="false" ht="27.75" hidden="false" customHeight="true" outlineLevel="0" collapsed="false">
      <c r="A4" s="18" t="s">
        <v>1639</v>
      </c>
      <c r="B4" s="18" t="s">
        <v>1641</v>
      </c>
      <c r="C4" s="18" t="s">
        <v>213</v>
      </c>
      <c r="D4" s="18" t="s">
        <v>1647</v>
      </c>
      <c r="E4" s="18" t="s">
        <v>1648</v>
      </c>
      <c r="F4" s="18" t="s">
        <v>1649</v>
      </c>
      <c r="G4" s="18" t="s">
        <v>1650</v>
      </c>
      <c r="H4" s="18" t="s">
        <v>203</v>
      </c>
    </row>
    <row r="5" customFormat="false" ht="15" hidden="false" customHeight="true" outlineLevel="0" collapsed="false">
      <c r="A5" s="12" t="str">
        <f aca="false">IF('Purchase Orders'!$L5="Received",'Purchase Orders'!$A5,"")</f>
        <v/>
      </c>
      <c r="B5" s="12" t="str">
        <f aca="false">IF($A5="","",'Purchase Orders'!$C5)</f>
        <v/>
      </c>
      <c r="C5" s="12" t="str">
        <f aca="false">IF($A5="","",'Purchase Orders'!$D5)</f>
        <v/>
      </c>
      <c r="D5" s="12" t="str">
        <f aca="false">IF($A5="","",'Purchase Orders'!$E5)</f>
        <v/>
      </c>
      <c r="E5" s="13" t="str">
        <f aca="false">IF($A5="","",'Purchase Orders'!$I5)</f>
        <v/>
      </c>
      <c r="F5" s="13" t="str">
        <f aca="false">IF($A5="","",SUMIFS('Expense Entry'!$K$5:$K$6000,'Expense Entry'!$E$5:$E$6000,"Payable Payment",'Expense Entry'!$L$5:$L$6000,$A5))</f>
        <v/>
      </c>
      <c r="G5" s="13" t="str">
        <f aca="false">IF($A5="","",$E5-$F5)</f>
        <v/>
      </c>
      <c r="H5" s="12" t="str">
        <f aca="false">IF($A5="","",IF($G5&lt;=0,"Paid",IF($F5&gt;0,"Partial","Unpaid")))</f>
        <v/>
      </c>
    </row>
    <row r="6" customFormat="false" ht="15" hidden="false" customHeight="true" outlineLevel="0" collapsed="false">
      <c r="A6" s="12" t="str">
        <f aca="false">IF('Purchase Orders'!$L6="Received",'Purchase Orders'!$A6,"")</f>
        <v/>
      </c>
      <c r="B6" s="12" t="str">
        <f aca="false">IF($A6="","",'Purchase Orders'!$C6)</f>
        <v/>
      </c>
      <c r="C6" s="12" t="str">
        <f aca="false">IF($A6="","",'Purchase Orders'!$D6)</f>
        <v/>
      </c>
      <c r="D6" s="12" t="str">
        <f aca="false">IF($A6="","",'Purchase Orders'!$E6)</f>
        <v/>
      </c>
      <c r="E6" s="13" t="str">
        <f aca="false">IF($A6="","",'Purchase Orders'!$I6)</f>
        <v/>
      </c>
      <c r="F6" s="13" t="str">
        <f aca="false">IF($A6="","",SUMIFS('Expense Entry'!$K$5:$K$6000,'Expense Entry'!$E$5:$E$6000,"Payable Payment",'Expense Entry'!$L$5:$L$6000,$A6))</f>
        <v/>
      </c>
      <c r="G6" s="13" t="str">
        <f aca="false">IF($A6="","",$E6-$F6)</f>
        <v/>
      </c>
      <c r="H6" s="12" t="str">
        <f aca="false">IF($A6="","",IF($G6&lt;=0,"Paid",IF($F6&gt;0,"Partial","Unpaid")))</f>
        <v/>
      </c>
    </row>
    <row r="7" customFormat="false" ht="15" hidden="false" customHeight="true" outlineLevel="0" collapsed="false">
      <c r="A7" s="12" t="str">
        <f aca="false">IF('Purchase Orders'!$L7="Received",'Purchase Orders'!$A7,"")</f>
        <v/>
      </c>
      <c r="B7" s="12" t="str">
        <f aca="false">IF($A7="","",'Purchase Orders'!$C7)</f>
        <v/>
      </c>
      <c r="C7" s="12" t="str">
        <f aca="false">IF($A7="","",'Purchase Orders'!$D7)</f>
        <v/>
      </c>
      <c r="D7" s="12" t="str">
        <f aca="false">IF($A7="","",'Purchase Orders'!$E7)</f>
        <v/>
      </c>
      <c r="E7" s="13" t="str">
        <f aca="false">IF($A7="","",'Purchase Orders'!$I7)</f>
        <v/>
      </c>
      <c r="F7" s="13" t="str">
        <f aca="false">IF($A7="","",SUMIFS('Expense Entry'!$K$5:$K$6000,'Expense Entry'!$E$5:$E$6000,"Payable Payment",'Expense Entry'!$L$5:$L$6000,$A7))</f>
        <v/>
      </c>
      <c r="G7" s="13" t="str">
        <f aca="false">IF($A7="","",$E7-$F7)</f>
        <v/>
      </c>
      <c r="H7" s="12" t="str">
        <f aca="false">IF($A7="","",IF($G7&lt;=0,"Paid",IF($F7&gt;0,"Partial","Unpaid")))</f>
        <v/>
      </c>
    </row>
    <row r="8" customFormat="false" ht="15" hidden="false" customHeight="true" outlineLevel="0" collapsed="false">
      <c r="A8" s="12" t="str">
        <f aca="false">IF('Purchase Orders'!$L8="Received",'Purchase Orders'!$A8,"")</f>
        <v/>
      </c>
      <c r="B8" s="12" t="str">
        <f aca="false">IF($A8="","",'Purchase Orders'!$C8)</f>
        <v/>
      </c>
      <c r="C8" s="12" t="str">
        <f aca="false">IF($A8="","",'Purchase Orders'!$D8)</f>
        <v/>
      </c>
      <c r="D8" s="12" t="str">
        <f aca="false">IF($A8="","",'Purchase Orders'!$E8)</f>
        <v/>
      </c>
      <c r="E8" s="13" t="str">
        <f aca="false">IF($A8="","",'Purchase Orders'!$I8)</f>
        <v/>
      </c>
      <c r="F8" s="13" t="str">
        <f aca="false">IF($A8="","",SUMIFS('Expense Entry'!$K$5:$K$6000,'Expense Entry'!$E$5:$E$6000,"Payable Payment",'Expense Entry'!$L$5:$L$6000,$A8))</f>
        <v/>
      </c>
      <c r="G8" s="13" t="str">
        <f aca="false">IF($A8="","",$E8-$F8)</f>
        <v/>
      </c>
      <c r="H8" s="12" t="str">
        <f aca="false">IF($A8="","",IF($G8&lt;=0,"Paid",IF($F8&gt;0,"Partial","Unpaid")))</f>
        <v/>
      </c>
    </row>
    <row r="9" customFormat="false" ht="15" hidden="false" customHeight="true" outlineLevel="0" collapsed="false">
      <c r="A9" s="12" t="str">
        <f aca="false">IF('Purchase Orders'!$L9="Received",'Purchase Orders'!$A9,"")</f>
        <v/>
      </c>
      <c r="B9" s="12" t="str">
        <f aca="false">IF($A9="","",'Purchase Orders'!$C9)</f>
        <v/>
      </c>
      <c r="C9" s="12" t="str">
        <f aca="false">IF($A9="","",'Purchase Orders'!$D9)</f>
        <v/>
      </c>
      <c r="D9" s="12" t="str">
        <f aca="false">IF($A9="","",'Purchase Orders'!$E9)</f>
        <v/>
      </c>
      <c r="E9" s="13" t="str">
        <f aca="false">IF($A9="","",'Purchase Orders'!$I9)</f>
        <v/>
      </c>
      <c r="F9" s="13" t="str">
        <f aca="false">IF($A9="","",SUMIFS('Expense Entry'!$K$5:$K$6000,'Expense Entry'!$E$5:$E$6000,"Payable Payment",'Expense Entry'!$L$5:$L$6000,$A9))</f>
        <v/>
      </c>
      <c r="G9" s="13" t="str">
        <f aca="false">IF($A9="","",$E9-$F9)</f>
        <v/>
      </c>
      <c r="H9" s="12" t="str">
        <f aca="false">IF($A9="","",IF($G9&lt;=0,"Paid",IF($F9&gt;0,"Partial","Unpaid")))</f>
        <v/>
      </c>
    </row>
    <row r="10" customFormat="false" ht="15" hidden="false" customHeight="true" outlineLevel="0" collapsed="false">
      <c r="A10" s="12" t="str">
        <f aca="false">IF('Purchase Orders'!$L10="Received",'Purchase Orders'!$A10,"")</f>
        <v/>
      </c>
      <c r="B10" s="12" t="str">
        <f aca="false">IF($A10="","",'Purchase Orders'!$C10)</f>
        <v/>
      </c>
      <c r="C10" s="12" t="str">
        <f aca="false">IF($A10="","",'Purchase Orders'!$D10)</f>
        <v/>
      </c>
      <c r="D10" s="12" t="str">
        <f aca="false">IF($A10="","",'Purchase Orders'!$E10)</f>
        <v/>
      </c>
      <c r="E10" s="13" t="str">
        <f aca="false">IF($A10="","",'Purchase Orders'!$I10)</f>
        <v/>
      </c>
      <c r="F10" s="13" t="str">
        <f aca="false">IF($A10="","",SUMIFS('Expense Entry'!$K$5:$K$6000,'Expense Entry'!$E$5:$E$6000,"Payable Payment",'Expense Entry'!$L$5:$L$6000,$A10))</f>
        <v/>
      </c>
      <c r="G10" s="13" t="str">
        <f aca="false">IF($A10="","",$E10-$F10)</f>
        <v/>
      </c>
      <c r="H10" s="12" t="str">
        <f aca="false">IF($A10="","",IF($G10&lt;=0,"Paid",IF($F10&gt;0,"Partial","Unpaid")))</f>
        <v/>
      </c>
    </row>
    <row r="11" customFormat="false" ht="15" hidden="false" customHeight="true" outlineLevel="0" collapsed="false">
      <c r="A11" s="12" t="str">
        <f aca="false">IF('Purchase Orders'!$L11="Received",'Purchase Orders'!$A11,"")</f>
        <v/>
      </c>
      <c r="B11" s="12" t="str">
        <f aca="false">IF($A11="","",'Purchase Orders'!$C11)</f>
        <v/>
      </c>
      <c r="C11" s="12" t="str">
        <f aca="false">IF($A11="","",'Purchase Orders'!$D11)</f>
        <v/>
      </c>
      <c r="D11" s="12" t="str">
        <f aca="false">IF($A11="","",'Purchase Orders'!$E11)</f>
        <v/>
      </c>
      <c r="E11" s="13" t="str">
        <f aca="false">IF($A11="","",'Purchase Orders'!$I11)</f>
        <v/>
      </c>
      <c r="F11" s="13" t="str">
        <f aca="false">IF($A11="","",SUMIFS('Expense Entry'!$K$5:$K$6000,'Expense Entry'!$E$5:$E$6000,"Payable Payment",'Expense Entry'!$L$5:$L$6000,$A11))</f>
        <v/>
      </c>
      <c r="G11" s="13" t="str">
        <f aca="false">IF($A11="","",$E11-$F11)</f>
        <v/>
      </c>
      <c r="H11" s="12" t="str">
        <f aca="false">IF($A11="","",IF($G11&lt;=0,"Paid",IF($F11&gt;0,"Partial","Unpaid")))</f>
        <v/>
      </c>
    </row>
    <row r="12" customFormat="false" ht="15" hidden="false" customHeight="true" outlineLevel="0" collapsed="false">
      <c r="A12" s="12" t="str">
        <f aca="false">IF('Purchase Orders'!$L12="Received",'Purchase Orders'!$A12,"")</f>
        <v/>
      </c>
      <c r="B12" s="12" t="str">
        <f aca="false">IF($A12="","",'Purchase Orders'!$C12)</f>
        <v/>
      </c>
      <c r="C12" s="12" t="str">
        <f aca="false">IF($A12="","",'Purchase Orders'!$D12)</f>
        <v/>
      </c>
      <c r="D12" s="12" t="str">
        <f aca="false">IF($A12="","",'Purchase Orders'!$E12)</f>
        <v/>
      </c>
      <c r="E12" s="13" t="str">
        <f aca="false">IF($A12="","",'Purchase Orders'!$I12)</f>
        <v/>
      </c>
      <c r="F12" s="13" t="str">
        <f aca="false">IF($A12="","",SUMIFS('Expense Entry'!$K$5:$K$6000,'Expense Entry'!$E$5:$E$6000,"Payable Payment",'Expense Entry'!$L$5:$L$6000,$A12))</f>
        <v/>
      </c>
      <c r="G12" s="13" t="str">
        <f aca="false">IF($A12="","",$E12-$F12)</f>
        <v/>
      </c>
      <c r="H12" s="12" t="str">
        <f aca="false">IF($A12="","",IF($G12&lt;=0,"Paid",IF($F12&gt;0,"Partial","Unpaid")))</f>
        <v/>
      </c>
    </row>
    <row r="13" customFormat="false" ht="15" hidden="false" customHeight="true" outlineLevel="0" collapsed="false">
      <c r="A13" s="12" t="str">
        <f aca="false">IF('Purchase Orders'!$L13="Received",'Purchase Orders'!$A13,"")</f>
        <v/>
      </c>
      <c r="B13" s="12" t="str">
        <f aca="false">IF($A13="","",'Purchase Orders'!$C13)</f>
        <v/>
      </c>
      <c r="C13" s="12" t="str">
        <f aca="false">IF($A13="","",'Purchase Orders'!$D13)</f>
        <v/>
      </c>
      <c r="D13" s="12" t="str">
        <f aca="false">IF($A13="","",'Purchase Orders'!$E13)</f>
        <v/>
      </c>
      <c r="E13" s="13" t="str">
        <f aca="false">IF($A13="","",'Purchase Orders'!$I13)</f>
        <v/>
      </c>
      <c r="F13" s="13" t="str">
        <f aca="false">IF($A13="","",SUMIFS('Expense Entry'!$K$5:$K$6000,'Expense Entry'!$E$5:$E$6000,"Payable Payment",'Expense Entry'!$L$5:$L$6000,$A13))</f>
        <v/>
      </c>
      <c r="G13" s="13" t="str">
        <f aca="false">IF($A13="","",$E13-$F13)</f>
        <v/>
      </c>
      <c r="H13" s="12" t="str">
        <f aca="false">IF($A13="","",IF($G13&lt;=0,"Paid",IF($F13&gt;0,"Partial","Unpaid")))</f>
        <v/>
      </c>
    </row>
    <row r="14" customFormat="false" ht="15" hidden="false" customHeight="true" outlineLevel="0" collapsed="false">
      <c r="A14" s="12" t="str">
        <f aca="false">IF('Purchase Orders'!$L14="Received",'Purchase Orders'!$A14,"")</f>
        <v/>
      </c>
      <c r="B14" s="12" t="str">
        <f aca="false">IF($A14="","",'Purchase Orders'!$C14)</f>
        <v/>
      </c>
      <c r="C14" s="12" t="str">
        <f aca="false">IF($A14="","",'Purchase Orders'!$D14)</f>
        <v/>
      </c>
      <c r="D14" s="12" t="str">
        <f aca="false">IF($A14="","",'Purchase Orders'!$E14)</f>
        <v/>
      </c>
      <c r="E14" s="13" t="str">
        <f aca="false">IF($A14="","",'Purchase Orders'!$I14)</f>
        <v/>
      </c>
      <c r="F14" s="13" t="str">
        <f aca="false">IF($A14="","",SUMIFS('Expense Entry'!$K$5:$K$6000,'Expense Entry'!$E$5:$E$6000,"Payable Payment",'Expense Entry'!$L$5:$L$6000,$A14))</f>
        <v/>
      </c>
      <c r="G14" s="13" t="str">
        <f aca="false">IF($A14="","",$E14-$F14)</f>
        <v/>
      </c>
      <c r="H14" s="12" t="str">
        <f aca="false">IF($A14="","",IF($G14&lt;=0,"Paid",IF($F14&gt;0,"Partial","Unpaid")))</f>
        <v/>
      </c>
    </row>
    <row r="15" customFormat="false" ht="15" hidden="false" customHeight="true" outlineLevel="0" collapsed="false">
      <c r="A15" s="12" t="str">
        <f aca="false">IF('Purchase Orders'!$L15="Received",'Purchase Orders'!$A15,"")</f>
        <v/>
      </c>
      <c r="B15" s="12" t="str">
        <f aca="false">IF($A15="","",'Purchase Orders'!$C15)</f>
        <v/>
      </c>
      <c r="C15" s="12" t="str">
        <f aca="false">IF($A15="","",'Purchase Orders'!$D15)</f>
        <v/>
      </c>
      <c r="D15" s="12" t="str">
        <f aca="false">IF($A15="","",'Purchase Orders'!$E15)</f>
        <v/>
      </c>
      <c r="E15" s="13" t="str">
        <f aca="false">IF($A15="","",'Purchase Orders'!$I15)</f>
        <v/>
      </c>
      <c r="F15" s="13" t="str">
        <f aca="false">IF($A15="","",SUMIFS('Expense Entry'!$K$5:$K$6000,'Expense Entry'!$E$5:$E$6000,"Payable Payment",'Expense Entry'!$L$5:$L$6000,$A15))</f>
        <v/>
      </c>
      <c r="G15" s="13" t="str">
        <f aca="false">IF($A15="","",$E15-$F15)</f>
        <v/>
      </c>
      <c r="H15" s="12" t="str">
        <f aca="false">IF($A15="","",IF($G15&lt;=0,"Paid",IF($F15&gt;0,"Partial","Unpaid")))</f>
        <v/>
      </c>
    </row>
    <row r="16" customFormat="false" ht="15" hidden="false" customHeight="true" outlineLevel="0" collapsed="false">
      <c r="A16" s="12" t="str">
        <f aca="false">IF('Purchase Orders'!$L16="Received",'Purchase Orders'!$A16,"")</f>
        <v/>
      </c>
      <c r="B16" s="12" t="str">
        <f aca="false">IF($A16="","",'Purchase Orders'!$C16)</f>
        <v/>
      </c>
      <c r="C16" s="12" t="str">
        <f aca="false">IF($A16="","",'Purchase Orders'!$D16)</f>
        <v/>
      </c>
      <c r="D16" s="12" t="str">
        <f aca="false">IF($A16="","",'Purchase Orders'!$E16)</f>
        <v/>
      </c>
      <c r="E16" s="13" t="str">
        <f aca="false">IF($A16="","",'Purchase Orders'!$I16)</f>
        <v/>
      </c>
      <c r="F16" s="13" t="str">
        <f aca="false">IF($A16="","",SUMIFS('Expense Entry'!$K$5:$K$6000,'Expense Entry'!$E$5:$E$6000,"Payable Payment",'Expense Entry'!$L$5:$L$6000,$A16))</f>
        <v/>
      </c>
      <c r="G16" s="13" t="str">
        <f aca="false">IF($A16="","",$E16-$F16)</f>
        <v/>
      </c>
      <c r="H16" s="12" t="str">
        <f aca="false">IF($A16="","",IF($G16&lt;=0,"Paid",IF($F16&gt;0,"Partial","Unpaid")))</f>
        <v/>
      </c>
    </row>
    <row r="17" customFormat="false" ht="15" hidden="false" customHeight="true" outlineLevel="0" collapsed="false">
      <c r="A17" s="12" t="str">
        <f aca="false">IF('Purchase Orders'!$L17="Received",'Purchase Orders'!$A17,"")</f>
        <v/>
      </c>
      <c r="B17" s="12" t="str">
        <f aca="false">IF($A17="","",'Purchase Orders'!$C17)</f>
        <v/>
      </c>
      <c r="C17" s="12" t="str">
        <f aca="false">IF($A17="","",'Purchase Orders'!$D17)</f>
        <v/>
      </c>
      <c r="D17" s="12" t="str">
        <f aca="false">IF($A17="","",'Purchase Orders'!$E17)</f>
        <v/>
      </c>
      <c r="E17" s="13" t="str">
        <f aca="false">IF($A17="","",'Purchase Orders'!$I17)</f>
        <v/>
      </c>
      <c r="F17" s="13" t="str">
        <f aca="false">IF($A17="","",SUMIFS('Expense Entry'!$K$5:$K$6000,'Expense Entry'!$E$5:$E$6000,"Payable Payment",'Expense Entry'!$L$5:$L$6000,$A17))</f>
        <v/>
      </c>
      <c r="G17" s="13" t="str">
        <f aca="false">IF($A17="","",$E17-$F17)</f>
        <v/>
      </c>
      <c r="H17" s="12" t="str">
        <f aca="false">IF($A17="","",IF($G17&lt;=0,"Paid",IF($F17&gt;0,"Partial","Unpaid")))</f>
        <v/>
      </c>
    </row>
    <row r="18" customFormat="false" ht="15" hidden="false" customHeight="true" outlineLevel="0" collapsed="false">
      <c r="A18" s="12" t="str">
        <f aca="false">IF('Purchase Orders'!$L18="Received",'Purchase Orders'!$A18,"")</f>
        <v/>
      </c>
      <c r="B18" s="12" t="str">
        <f aca="false">IF($A18="","",'Purchase Orders'!$C18)</f>
        <v/>
      </c>
      <c r="C18" s="12" t="str">
        <f aca="false">IF($A18="","",'Purchase Orders'!$D18)</f>
        <v/>
      </c>
      <c r="D18" s="12" t="str">
        <f aca="false">IF($A18="","",'Purchase Orders'!$E18)</f>
        <v/>
      </c>
      <c r="E18" s="13" t="str">
        <f aca="false">IF($A18="","",'Purchase Orders'!$I18)</f>
        <v/>
      </c>
      <c r="F18" s="13" t="str">
        <f aca="false">IF($A18="","",SUMIFS('Expense Entry'!$K$5:$K$6000,'Expense Entry'!$E$5:$E$6000,"Payable Payment",'Expense Entry'!$L$5:$L$6000,$A18))</f>
        <v/>
      </c>
      <c r="G18" s="13" t="str">
        <f aca="false">IF($A18="","",$E18-$F18)</f>
        <v/>
      </c>
      <c r="H18" s="12" t="str">
        <f aca="false">IF($A18="","",IF($G18&lt;=0,"Paid",IF($F18&gt;0,"Partial","Unpaid")))</f>
        <v/>
      </c>
    </row>
    <row r="19" customFormat="false" ht="15" hidden="false" customHeight="true" outlineLevel="0" collapsed="false">
      <c r="A19" s="12" t="str">
        <f aca="false">IF('Purchase Orders'!$L19="Received",'Purchase Orders'!$A19,"")</f>
        <v/>
      </c>
      <c r="B19" s="12" t="str">
        <f aca="false">IF($A19="","",'Purchase Orders'!$C19)</f>
        <v/>
      </c>
      <c r="C19" s="12" t="str">
        <f aca="false">IF($A19="","",'Purchase Orders'!$D19)</f>
        <v/>
      </c>
      <c r="D19" s="12" t="str">
        <f aca="false">IF($A19="","",'Purchase Orders'!$E19)</f>
        <v/>
      </c>
      <c r="E19" s="13" t="str">
        <f aca="false">IF($A19="","",'Purchase Orders'!$I19)</f>
        <v/>
      </c>
      <c r="F19" s="13" t="str">
        <f aca="false">IF($A19="","",SUMIFS('Expense Entry'!$K$5:$K$6000,'Expense Entry'!$E$5:$E$6000,"Payable Payment",'Expense Entry'!$L$5:$L$6000,$A19))</f>
        <v/>
      </c>
      <c r="G19" s="13" t="str">
        <f aca="false">IF($A19="","",$E19-$F19)</f>
        <v/>
      </c>
      <c r="H19" s="12" t="str">
        <f aca="false">IF($A19="","",IF($G19&lt;=0,"Paid",IF($F19&gt;0,"Partial","Unpaid")))</f>
        <v/>
      </c>
    </row>
    <row r="20" customFormat="false" ht="15" hidden="false" customHeight="true" outlineLevel="0" collapsed="false">
      <c r="A20" s="12" t="str">
        <f aca="false">IF('Purchase Orders'!$L20="Received",'Purchase Orders'!$A20,"")</f>
        <v/>
      </c>
      <c r="B20" s="12" t="str">
        <f aca="false">IF($A20="","",'Purchase Orders'!$C20)</f>
        <v/>
      </c>
      <c r="C20" s="12" t="str">
        <f aca="false">IF($A20="","",'Purchase Orders'!$D20)</f>
        <v/>
      </c>
      <c r="D20" s="12" t="str">
        <f aca="false">IF($A20="","",'Purchase Orders'!$E20)</f>
        <v/>
      </c>
      <c r="E20" s="13" t="str">
        <f aca="false">IF($A20="","",'Purchase Orders'!$I20)</f>
        <v/>
      </c>
      <c r="F20" s="13" t="str">
        <f aca="false">IF($A20="","",SUMIFS('Expense Entry'!$K$5:$K$6000,'Expense Entry'!$E$5:$E$6000,"Payable Payment",'Expense Entry'!$L$5:$L$6000,$A20))</f>
        <v/>
      </c>
      <c r="G20" s="13" t="str">
        <f aca="false">IF($A20="","",$E20-$F20)</f>
        <v/>
      </c>
      <c r="H20" s="12" t="str">
        <f aca="false">IF($A20="","",IF($G20&lt;=0,"Paid",IF($F20&gt;0,"Partial","Unpaid")))</f>
        <v/>
      </c>
    </row>
    <row r="21" customFormat="false" ht="15" hidden="false" customHeight="true" outlineLevel="0" collapsed="false">
      <c r="A21" s="12" t="str">
        <f aca="false">IF('Purchase Orders'!$L21="Received",'Purchase Orders'!$A21,"")</f>
        <v/>
      </c>
      <c r="B21" s="12" t="str">
        <f aca="false">IF($A21="","",'Purchase Orders'!$C21)</f>
        <v/>
      </c>
      <c r="C21" s="12" t="str">
        <f aca="false">IF($A21="","",'Purchase Orders'!$D21)</f>
        <v/>
      </c>
      <c r="D21" s="12" t="str">
        <f aca="false">IF($A21="","",'Purchase Orders'!$E21)</f>
        <v/>
      </c>
      <c r="E21" s="13" t="str">
        <f aca="false">IF($A21="","",'Purchase Orders'!$I21)</f>
        <v/>
      </c>
      <c r="F21" s="13" t="str">
        <f aca="false">IF($A21="","",SUMIFS('Expense Entry'!$K$5:$K$6000,'Expense Entry'!$E$5:$E$6000,"Payable Payment",'Expense Entry'!$L$5:$L$6000,$A21))</f>
        <v/>
      </c>
      <c r="G21" s="13" t="str">
        <f aca="false">IF($A21="","",$E21-$F21)</f>
        <v/>
      </c>
      <c r="H21" s="12" t="str">
        <f aca="false">IF($A21="","",IF($G21&lt;=0,"Paid",IF($F21&gt;0,"Partial","Unpaid")))</f>
        <v/>
      </c>
    </row>
    <row r="22" customFormat="false" ht="15" hidden="false" customHeight="true" outlineLevel="0" collapsed="false">
      <c r="A22" s="12" t="str">
        <f aca="false">IF('Purchase Orders'!$L22="Received",'Purchase Orders'!$A22,"")</f>
        <v/>
      </c>
      <c r="B22" s="12" t="str">
        <f aca="false">IF($A22="","",'Purchase Orders'!$C22)</f>
        <v/>
      </c>
      <c r="C22" s="12" t="str">
        <f aca="false">IF($A22="","",'Purchase Orders'!$D22)</f>
        <v/>
      </c>
      <c r="D22" s="12" t="str">
        <f aca="false">IF($A22="","",'Purchase Orders'!$E22)</f>
        <v/>
      </c>
      <c r="E22" s="13" t="str">
        <f aca="false">IF($A22="","",'Purchase Orders'!$I22)</f>
        <v/>
      </c>
      <c r="F22" s="13" t="str">
        <f aca="false">IF($A22="","",SUMIFS('Expense Entry'!$K$5:$K$6000,'Expense Entry'!$E$5:$E$6000,"Payable Payment",'Expense Entry'!$L$5:$L$6000,$A22))</f>
        <v/>
      </c>
      <c r="G22" s="13" t="str">
        <f aca="false">IF($A22="","",$E22-$F22)</f>
        <v/>
      </c>
      <c r="H22" s="12" t="str">
        <f aca="false">IF($A22="","",IF($G22&lt;=0,"Paid",IF($F22&gt;0,"Partial","Unpaid")))</f>
        <v/>
      </c>
    </row>
    <row r="23" customFormat="false" ht="15" hidden="false" customHeight="true" outlineLevel="0" collapsed="false">
      <c r="A23" s="12" t="str">
        <f aca="false">IF('Purchase Orders'!$L23="Received",'Purchase Orders'!$A23,"")</f>
        <v/>
      </c>
      <c r="B23" s="12" t="str">
        <f aca="false">IF($A23="","",'Purchase Orders'!$C23)</f>
        <v/>
      </c>
      <c r="C23" s="12" t="str">
        <f aca="false">IF($A23="","",'Purchase Orders'!$D23)</f>
        <v/>
      </c>
      <c r="D23" s="12" t="str">
        <f aca="false">IF($A23="","",'Purchase Orders'!$E23)</f>
        <v/>
      </c>
      <c r="E23" s="13" t="str">
        <f aca="false">IF($A23="","",'Purchase Orders'!$I23)</f>
        <v/>
      </c>
      <c r="F23" s="13" t="str">
        <f aca="false">IF($A23="","",SUMIFS('Expense Entry'!$K$5:$K$6000,'Expense Entry'!$E$5:$E$6000,"Payable Payment",'Expense Entry'!$L$5:$L$6000,$A23))</f>
        <v/>
      </c>
      <c r="G23" s="13" t="str">
        <f aca="false">IF($A23="","",$E23-$F23)</f>
        <v/>
      </c>
      <c r="H23" s="12" t="str">
        <f aca="false">IF($A23="","",IF($G23&lt;=0,"Paid",IF($F23&gt;0,"Partial","Unpaid")))</f>
        <v/>
      </c>
    </row>
    <row r="24" customFormat="false" ht="15" hidden="false" customHeight="true" outlineLevel="0" collapsed="false">
      <c r="A24" s="12" t="str">
        <f aca="false">IF('Purchase Orders'!$L24="Received",'Purchase Orders'!$A24,"")</f>
        <v/>
      </c>
      <c r="B24" s="12" t="str">
        <f aca="false">IF($A24="","",'Purchase Orders'!$C24)</f>
        <v/>
      </c>
      <c r="C24" s="12" t="str">
        <f aca="false">IF($A24="","",'Purchase Orders'!$D24)</f>
        <v/>
      </c>
      <c r="D24" s="12" t="str">
        <f aca="false">IF($A24="","",'Purchase Orders'!$E24)</f>
        <v/>
      </c>
      <c r="E24" s="13" t="str">
        <f aca="false">IF($A24="","",'Purchase Orders'!$I24)</f>
        <v/>
      </c>
      <c r="F24" s="13" t="str">
        <f aca="false">IF($A24="","",SUMIFS('Expense Entry'!$K$5:$K$6000,'Expense Entry'!$E$5:$E$6000,"Payable Payment",'Expense Entry'!$L$5:$L$6000,$A24))</f>
        <v/>
      </c>
      <c r="G24" s="13" t="str">
        <f aca="false">IF($A24="","",$E24-$F24)</f>
        <v/>
      </c>
      <c r="H24" s="12" t="str">
        <f aca="false">IF($A24="","",IF($G24&lt;=0,"Paid",IF($F24&gt;0,"Partial","Unpaid")))</f>
        <v/>
      </c>
    </row>
    <row r="25" customFormat="false" ht="15" hidden="false" customHeight="true" outlineLevel="0" collapsed="false">
      <c r="A25" s="12" t="str">
        <f aca="false">IF('Purchase Orders'!$L25="Received",'Purchase Orders'!$A25,"")</f>
        <v/>
      </c>
      <c r="B25" s="12" t="str">
        <f aca="false">IF($A25="","",'Purchase Orders'!$C25)</f>
        <v/>
      </c>
      <c r="C25" s="12" t="str">
        <f aca="false">IF($A25="","",'Purchase Orders'!$D25)</f>
        <v/>
      </c>
      <c r="D25" s="12" t="str">
        <f aca="false">IF($A25="","",'Purchase Orders'!$E25)</f>
        <v/>
      </c>
      <c r="E25" s="13" t="str">
        <f aca="false">IF($A25="","",'Purchase Orders'!$I25)</f>
        <v/>
      </c>
      <c r="F25" s="13" t="str">
        <f aca="false">IF($A25="","",SUMIFS('Expense Entry'!$K$5:$K$6000,'Expense Entry'!$E$5:$E$6000,"Payable Payment",'Expense Entry'!$L$5:$L$6000,$A25))</f>
        <v/>
      </c>
      <c r="G25" s="13" t="str">
        <f aca="false">IF($A25="","",$E25-$F25)</f>
        <v/>
      </c>
      <c r="H25" s="12" t="str">
        <f aca="false">IF($A25="","",IF($G25&lt;=0,"Paid",IF($F25&gt;0,"Partial","Unpaid")))</f>
        <v/>
      </c>
    </row>
    <row r="26" customFormat="false" ht="15" hidden="false" customHeight="true" outlineLevel="0" collapsed="false">
      <c r="A26" s="12" t="str">
        <f aca="false">IF('Purchase Orders'!$L26="Received",'Purchase Orders'!$A26,"")</f>
        <v/>
      </c>
      <c r="B26" s="12" t="str">
        <f aca="false">IF($A26="","",'Purchase Orders'!$C26)</f>
        <v/>
      </c>
      <c r="C26" s="12" t="str">
        <f aca="false">IF($A26="","",'Purchase Orders'!$D26)</f>
        <v/>
      </c>
      <c r="D26" s="12" t="str">
        <f aca="false">IF($A26="","",'Purchase Orders'!$E26)</f>
        <v/>
      </c>
      <c r="E26" s="13" t="str">
        <f aca="false">IF($A26="","",'Purchase Orders'!$I26)</f>
        <v/>
      </c>
      <c r="F26" s="13" t="str">
        <f aca="false">IF($A26="","",SUMIFS('Expense Entry'!$K$5:$K$6000,'Expense Entry'!$E$5:$E$6000,"Payable Payment",'Expense Entry'!$L$5:$L$6000,$A26))</f>
        <v/>
      </c>
      <c r="G26" s="13" t="str">
        <f aca="false">IF($A26="","",$E26-$F26)</f>
        <v/>
      </c>
      <c r="H26" s="12" t="str">
        <f aca="false">IF($A26="","",IF($G26&lt;=0,"Paid",IF($F26&gt;0,"Partial","Unpaid")))</f>
        <v/>
      </c>
    </row>
    <row r="27" customFormat="false" ht="15" hidden="false" customHeight="true" outlineLevel="0" collapsed="false">
      <c r="A27" s="12" t="str">
        <f aca="false">IF('Purchase Orders'!$L27="Received",'Purchase Orders'!$A27,"")</f>
        <v/>
      </c>
      <c r="B27" s="12" t="str">
        <f aca="false">IF($A27="","",'Purchase Orders'!$C27)</f>
        <v/>
      </c>
      <c r="C27" s="12" t="str">
        <f aca="false">IF($A27="","",'Purchase Orders'!$D27)</f>
        <v/>
      </c>
      <c r="D27" s="12" t="str">
        <f aca="false">IF($A27="","",'Purchase Orders'!$E27)</f>
        <v/>
      </c>
      <c r="E27" s="13" t="str">
        <f aca="false">IF($A27="","",'Purchase Orders'!$I27)</f>
        <v/>
      </c>
      <c r="F27" s="13" t="str">
        <f aca="false">IF($A27="","",SUMIFS('Expense Entry'!$K$5:$K$6000,'Expense Entry'!$E$5:$E$6000,"Payable Payment",'Expense Entry'!$L$5:$L$6000,$A27))</f>
        <v/>
      </c>
      <c r="G27" s="13" t="str">
        <f aca="false">IF($A27="","",$E27-$F27)</f>
        <v/>
      </c>
      <c r="H27" s="12" t="str">
        <f aca="false">IF($A27="","",IF($G27&lt;=0,"Paid",IF($F27&gt;0,"Partial","Unpaid")))</f>
        <v/>
      </c>
    </row>
    <row r="28" customFormat="false" ht="15" hidden="false" customHeight="true" outlineLevel="0" collapsed="false">
      <c r="A28" s="12" t="str">
        <f aca="false">IF('Purchase Orders'!$L28="Received",'Purchase Orders'!$A28,"")</f>
        <v/>
      </c>
      <c r="B28" s="12" t="str">
        <f aca="false">IF($A28="","",'Purchase Orders'!$C28)</f>
        <v/>
      </c>
      <c r="C28" s="12" t="str">
        <f aca="false">IF($A28="","",'Purchase Orders'!$D28)</f>
        <v/>
      </c>
      <c r="D28" s="12" t="str">
        <f aca="false">IF($A28="","",'Purchase Orders'!$E28)</f>
        <v/>
      </c>
      <c r="E28" s="13" t="str">
        <f aca="false">IF($A28="","",'Purchase Orders'!$I28)</f>
        <v/>
      </c>
      <c r="F28" s="13" t="str">
        <f aca="false">IF($A28="","",SUMIFS('Expense Entry'!$K$5:$K$6000,'Expense Entry'!$E$5:$E$6000,"Payable Payment",'Expense Entry'!$L$5:$L$6000,$A28))</f>
        <v/>
      </c>
      <c r="G28" s="13" t="str">
        <f aca="false">IF($A28="","",$E28-$F28)</f>
        <v/>
      </c>
      <c r="H28" s="12" t="str">
        <f aca="false">IF($A28="","",IF($G28&lt;=0,"Paid",IF($F28&gt;0,"Partial","Unpaid")))</f>
        <v/>
      </c>
    </row>
    <row r="29" customFormat="false" ht="15" hidden="false" customHeight="true" outlineLevel="0" collapsed="false">
      <c r="A29" s="12" t="str">
        <f aca="false">IF('Purchase Orders'!$L29="Received",'Purchase Orders'!$A29,"")</f>
        <v/>
      </c>
      <c r="B29" s="12" t="str">
        <f aca="false">IF($A29="","",'Purchase Orders'!$C29)</f>
        <v/>
      </c>
      <c r="C29" s="12" t="str">
        <f aca="false">IF($A29="","",'Purchase Orders'!$D29)</f>
        <v/>
      </c>
      <c r="D29" s="12" t="str">
        <f aca="false">IF($A29="","",'Purchase Orders'!$E29)</f>
        <v/>
      </c>
      <c r="E29" s="13" t="str">
        <f aca="false">IF($A29="","",'Purchase Orders'!$I29)</f>
        <v/>
      </c>
      <c r="F29" s="13" t="str">
        <f aca="false">IF($A29="","",SUMIFS('Expense Entry'!$K$5:$K$6000,'Expense Entry'!$E$5:$E$6000,"Payable Payment",'Expense Entry'!$L$5:$L$6000,$A29))</f>
        <v/>
      </c>
      <c r="G29" s="13" t="str">
        <f aca="false">IF($A29="","",$E29-$F29)</f>
        <v/>
      </c>
      <c r="H29" s="12" t="str">
        <f aca="false">IF($A29="","",IF($G29&lt;=0,"Paid",IF($F29&gt;0,"Partial","Unpaid")))</f>
        <v/>
      </c>
    </row>
    <row r="30" customFormat="false" ht="15" hidden="false" customHeight="true" outlineLevel="0" collapsed="false">
      <c r="A30" s="12" t="str">
        <f aca="false">IF('Purchase Orders'!$L30="Received",'Purchase Orders'!$A30,"")</f>
        <v/>
      </c>
      <c r="B30" s="12" t="str">
        <f aca="false">IF($A30="","",'Purchase Orders'!$C30)</f>
        <v/>
      </c>
      <c r="C30" s="12" t="str">
        <f aca="false">IF($A30="","",'Purchase Orders'!$D30)</f>
        <v/>
      </c>
      <c r="D30" s="12" t="str">
        <f aca="false">IF($A30="","",'Purchase Orders'!$E30)</f>
        <v/>
      </c>
      <c r="E30" s="13" t="str">
        <f aca="false">IF($A30="","",'Purchase Orders'!$I30)</f>
        <v/>
      </c>
      <c r="F30" s="13" t="str">
        <f aca="false">IF($A30="","",SUMIFS('Expense Entry'!$K$5:$K$6000,'Expense Entry'!$E$5:$E$6000,"Payable Payment",'Expense Entry'!$L$5:$L$6000,$A30))</f>
        <v/>
      </c>
      <c r="G30" s="13" t="str">
        <f aca="false">IF($A30="","",$E30-$F30)</f>
        <v/>
      </c>
      <c r="H30" s="12" t="str">
        <f aca="false">IF($A30="","",IF($G30&lt;=0,"Paid",IF($F30&gt;0,"Partial","Unpaid")))</f>
        <v/>
      </c>
    </row>
    <row r="31" customFormat="false" ht="15" hidden="false" customHeight="true" outlineLevel="0" collapsed="false">
      <c r="A31" s="12" t="str">
        <f aca="false">IF('Purchase Orders'!$L31="Received",'Purchase Orders'!$A31,"")</f>
        <v/>
      </c>
      <c r="B31" s="12" t="str">
        <f aca="false">IF($A31="","",'Purchase Orders'!$C31)</f>
        <v/>
      </c>
      <c r="C31" s="12" t="str">
        <f aca="false">IF($A31="","",'Purchase Orders'!$D31)</f>
        <v/>
      </c>
      <c r="D31" s="12" t="str">
        <f aca="false">IF($A31="","",'Purchase Orders'!$E31)</f>
        <v/>
      </c>
      <c r="E31" s="13" t="str">
        <f aca="false">IF($A31="","",'Purchase Orders'!$I31)</f>
        <v/>
      </c>
      <c r="F31" s="13" t="str">
        <f aca="false">IF($A31="","",SUMIFS('Expense Entry'!$K$5:$K$6000,'Expense Entry'!$E$5:$E$6000,"Payable Payment",'Expense Entry'!$L$5:$L$6000,$A31))</f>
        <v/>
      </c>
      <c r="G31" s="13" t="str">
        <f aca="false">IF($A31="","",$E31-$F31)</f>
        <v/>
      </c>
      <c r="H31" s="12" t="str">
        <f aca="false">IF($A31="","",IF($G31&lt;=0,"Paid",IF($F31&gt;0,"Partial","Unpaid")))</f>
        <v/>
      </c>
    </row>
    <row r="32" customFormat="false" ht="15" hidden="false" customHeight="true" outlineLevel="0" collapsed="false">
      <c r="A32" s="12" t="str">
        <f aca="false">IF('Purchase Orders'!$L32="Received",'Purchase Orders'!$A32,"")</f>
        <v/>
      </c>
      <c r="B32" s="12" t="str">
        <f aca="false">IF($A32="","",'Purchase Orders'!$C32)</f>
        <v/>
      </c>
      <c r="C32" s="12" t="str">
        <f aca="false">IF($A32="","",'Purchase Orders'!$D32)</f>
        <v/>
      </c>
      <c r="D32" s="12" t="str">
        <f aca="false">IF($A32="","",'Purchase Orders'!$E32)</f>
        <v/>
      </c>
      <c r="E32" s="13" t="str">
        <f aca="false">IF($A32="","",'Purchase Orders'!$I32)</f>
        <v/>
      </c>
      <c r="F32" s="13" t="str">
        <f aca="false">IF($A32="","",SUMIFS('Expense Entry'!$K$5:$K$6000,'Expense Entry'!$E$5:$E$6000,"Payable Payment",'Expense Entry'!$L$5:$L$6000,$A32))</f>
        <v/>
      </c>
      <c r="G32" s="13" t="str">
        <f aca="false">IF($A32="","",$E32-$F32)</f>
        <v/>
      </c>
      <c r="H32" s="12" t="str">
        <f aca="false">IF($A32="","",IF($G32&lt;=0,"Paid",IF($F32&gt;0,"Partial","Unpaid")))</f>
        <v/>
      </c>
    </row>
    <row r="33" customFormat="false" ht="15" hidden="false" customHeight="true" outlineLevel="0" collapsed="false">
      <c r="A33" s="12" t="str">
        <f aca="false">IF('Purchase Orders'!$L33="Received",'Purchase Orders'!$A33,"")</f>
        <v/>
      </c>
      <c r="B33" s="12" t="str">
        <f aca="false">IF($A33="","",'Purchase Orders'!$C33)</f>
        <v/>
      </c>
      <c r="C33" s="12" t="str">
        <f aca="false">IF($A33="","",'Purchase Orders'!$D33)</f>
        <v/>
      </c>
      <c r="D33" s="12" t="str">
        <f aca="false">IF($A33="","",'Purchase Orders'!$E33)</f>
        <v/>
      </c>
      <c r="E33" s="13" t="str">
        <f aca="false">IF($A33="","",'Purchase Orders'!$I33)</f>
        <v/>
      </c>
      <c r="F33" s="13" t="str">
        <f aca="false">IF($A33="","",SUMIFS('Expense Entry'!$K$5:$K$6000,'Expense Entry'!$E$5:$E$6000,"Payable Payment",'Expense Entry'!$L$5:$L$6000,$A33))</f>
        <v/>
      </c>
      <c r="G33" s="13" t="str">
        <f aca="false">IF($A33="","",$E33-$F33)</f>
        <v/>
      </c>
      <c r="H33" s="12" t="str">
        <f aca="false">IF($A33="","",IF($G33&lt;=0,"Paid",IF($F33&gt;0,"Partial","Unpaid")))</f>
        <v/>
      </c>
    </row>
    <row r="34" customFormat="false" ht="15" hidden="false" customHeight="true" outlineLevel="0" collapsed="false">
      <c r="A34" s="12" t="str">
        <f aca="false">IF('Purchase Orders'!$L34="Received",'Purchase Orders'!$A34,"")</f>
        <v/>
      </c>
      <c r="B34" s="12" t="str">
        <f aca="false">IF($A34="","",'Purchase Orders'!$C34)</f>
        <v/>
      </c>
      <c r="C34" s="12" t="str">
        <f aca="false">IF($A34="","",'Purchase Orders'!$D34)</f>
        <v/>
      </c>
      <c r="D34" s="12" t="str">
        <f aca="false">IF($A34="","",'Purchase Orders'!$E34)</f>
        <v/>
      </c>
      <c r="E34" s="13" t="str">
        <f aca="false">IF($A34="","",'Purchase Orders'!$I34)</f>
        <v/>
      </c>
      <c r="F34" s="13" t="str">
        <f aca="false">IF($A34="","",SUMIFS('Expense Entry'!$K$5:$K$6000,'Expense Entry'!$E$5:$E$6000,"Payable Payment",'Expense Entry'!$L$5:$L$6000,$A34))</f>
        <v/>
      </c>
      <c r="G34" s="13" t="str">
        <f aca="false">IF($A34="","",$E34-$F34)</f>
        <v/>
      </c>
      <c r="H34" s="12" t="str">
        <f aca="false">IF($A34="","",IF($G34&lt;=0,"Paid",IF($F34&gt;0,"Partial","Unpaid")))</f>
        <v/>
      </c>
    </row>
    <row r="35" customFormat="false" ht="15" hidden="false" customHeight="true" outlineLevel="0" collapsed="false">
      <c r="A35" s="12" t="str">
        <f aca="false">IF('Purchase Orders'!$L35="Received",'Purchase Orders'!$A35,"")</f>
        <v/>
      </c>
      <c r="B35" s="12" t="str">
        <f aca="false">IF($A35="","",'Purchase Orders'!$C35)</f>
        <v/>
      </c>
      <c r="C35" s="12" t="str">
        <f aca="false">IF($A35="","",'Purchase Orders'!$D35)</f>
        <v/>
      </c>
      <c r="D35" s="12" t="str">
        <f aca="false">IF($A35="","",'Purchase Orders'!$E35)</f>
        <v/>
      </c>
      <c r="E35" s="13" t="str">
        <f aca="false">IF($A35="","",'Purchase Orders'!$I35)</f>
        <v/>
      </c>
      <c r="F35" s="13" t="str">
        <f aca="false">IF($A35="","",SUMIFS('Expense Entry'!$K$5:$K$6000,'Expense Entry'!$E$5:$E$6000,"Payable Payment",'Expense Entry'!$L$5:$L$6000,$A35))</f>
        <v/>
      </c>
      <c r="G35" s="13" t="str">
        <f aca="false">IF($A35="","",$E35-$F35)</f>
        <v/>
      </c>
      <c r="H35" s="12" t="str">
        <f aca="false">IF($A35="","",IF($G35&lt;=0,"Paid",IF($F35&gt;0,"Partial","Unpaid")))</f>
        <v/>
      </c>
    </row>
    <row r="36" customFormat="false" ht="15" hidden="false" customHeight="true" outlineLevel="0" collapsed="false">
      <c r="A36" s="12" t="str">
        <f aca="false">IF('Purchase Orders'!$L36="Received",'Purchase Orders'!$A36,"")</f>
        <v/>
      </c>
      <c r="B36" s="12" t="str">
        <f aca="false">IF($A36="","",'Purchase Orders'!$C36)</f>
        <v/>
      </c>
      <c r="C36" s="12" t="str">
        <f aca="false">IF($A36="","",'Purchase Orders'!$D36)</f>
        <v/>
      </c>
      <c r="D36" s="12" t="str">
        <f aca="false">IF($A36="","",'Purchase Orders'!$E36)</f>
        <v/>
      </c>
      <c r="E36" s="13" t="str">
        <f aca="false">IF($A36="","",'Purchase Orders'!$I36)</f>
        <v/>
      </c>
      <c r="F36" s="13" t="str">
        <f aca="false">IF($A36="","",SUMIFS('Expense Entry'!$K$5:$K$6000,'Expense Entry'!$E$5:$E$6000,"Payable Payment",'Expense Entry'!$L$5:$L$6000,$A36))</f>
        <v/>
      </c>
      <c r="G36" s="13" t="str">
        <f aca="false">IF($A36="","",$E36-$F36)</f>
        <v/>
      </c>
      <c r="H36" s="12" t="str">
        <f aca="false">IF($A36="","",IF($G36&lt;=0,"Paid",IF($F36&gt;0,"Partial","Unpaid")))</f>
        <v/>
      </c>
    </row>
    <row r="37" customFormat="false" ht="15" hidden="false" customHeight="true" outlineLevel="0" collapsed="false">
      <c r="A37" s="12" t="str">
        <f aca="false">IF('Purchase Orders'!$L37="Received",'Purchase Orders'!$A37,"")</f>
        <v/>
      </c>
      <c r="B37" s="12" t="str">
        <f aca="false">IF($A37="","",'Purchase Orders'!$C37)</f>
        <v/>
      </c>
      <c r="C37" s="12" t="str">
        <f aca="false">IF($A37="","",'Purchase Orders'!$D37)</f>
        <v/>
      </c>
      <c r="D37" s="12" t="str">
        <f aca="false">IF($A37="","",'Purchase Orders'!$E37)</f>
        <v/>
      </c>
      <c r="E37" s="13" t="str">
        <f aca="false">IF($A37="","",'Purchase Orders'!$I37)</f>
        <v/>
      </c>
      <c r="F37" s="13" t="str">
        <f aca="false">IF($A37="","",SUMIFS('Expense Entry'!$K$5:$K$6000,'Expense Entry'!$E$5:$E$6000,"Payable Payment",'Expense Entry'!$L$5:$L$6000,$A37))</f>
        <v/>
      </c>
      <c r="G37" s="13" t="str">
        <f aca="false">IF($A37="","",$E37-$F37)</f>
        <v/>
      </c>
      <c r="H37" s="12" t="str">
        <f aca="false">IF($A37="","",IF($G37&lt;=0,"Paid",IF($F37&gt;0,"Partial","Unpaid")))</f>
        <v/>
      </c>
    </row>
    <row r="38" customFormat="false" ht="15" hidden="false" customHeight="true" outlineLevel="0" collapsed="false">
      <c r="A38" s="12" t="str">
        <f aca="false">IF('Purchase Orders'!$L38="Received",'Purchase Orders'!$A38,"")</f>
        <v/>
      </c>
      <c r="B38" s="12" t="str">
        <f aca="false">IF($A38="","",'Purchase Orders'!$C38)</f>
        <v/>
      </c>
      <c r="C38" s="12" t="str">
        <f aca="false">IF($A38="","",'Purchase Orders'!$D38)</f>
        <v/>
      </c>
      <c r="D38" s="12" t="str">
        <f aca="false">IF($A38="","",'Purchase Orders'!$E38)</f>
        <v/>
      </c>
      <c r="E38" s="13" t="str">
        <f aca="false">IF($A38="","",'Purchase Orders'!$I38)</f>
        <v/>
      </c>
      <c r="F38" s="13" t="str">
        <f aca="false">IF($A38="","",SUMIFS('Expense Entry'!$K$5:$K$6000,'Expense Entry'!$E$5:$E$6000,"Payable Payment",'Expense Entry'!$L$5:$L$6000,$A38))</f>
        <v/>
      </c>
      <c r="G38" s="13" t="str">
        <f aca="false">IF($A38="","",$E38-$F38)</f>
        <v/>
      </c>
      <c r="H38" s="12" t="str">
        <f aca="false">IF($A38="","",IF($G38&lt;=0,"Paid",IF($F38&gt;0,"Partial","Unpaid")))</f>
        <v/>
      </c>
    </row>
    <row r="39" customFormat="false" ht="15" hidden="false" customHeight="true" outlineLevel="0" collapsed="false">
      <c r="A39" s="12" t="str">
        <f aca="false">IF('Purchase Orders'!$L39="Received",'Purchase Orders'!$A39,"")</f>
        <v/>
      </c>
      <c r="B39" s="12" t="str">
        <f aca="false">IF($A39="","",'Purchase Orders'!$C39)</f>
        <v/>
      </c>
      <c r="C39" s="12" t="str">
        <f aca="false">IF($A39="","",'Purchase Orders'!$D39)</f>
        <v/>
      </c>
      <c r="D39" s="12" t="str">
        <f aca="false">IF($A39="","",'Purchase Orders'!$E39)</f>
        <v/>
      </c>
      <c r="E39" s="13" t="str">
        <f aca="false">IF($A39="","",'Purchase Orders'!$I39)</f>
        <v/>
      </c>
      <c r="F39" s="13" t="str">
        <f aca="false">IF($A39="","",SUMIFS('Expense Entry'!$K$5:$K$6000,'Expense Entry'!$E$5:$E$6000,"Payable Payment",'Expense Entry'!$L$5:$L$6000,$A39))</f>
        <v/>
      </c>
      <c r="G39" s="13" t="str">
        <f aca="false">IF($A39="","",$E39-$F39)</f>
        <v/>
      </c>
      <c r="H39" s="12" t="str">
        <f aca="false">IF($A39="","",IF($G39&lt;=0,"Paid",IF($F39&gt;0,"Partial","Unpaid")))</f>
        <v/>
      </c>
    </row>
    <row r="40" customFormat="false" ht="15" hidden="false" customHeight="true" outlineLevel="0" collapsed="false">
      <c r="A40" s="12" t="str">
        <f aca="false">IF('Purchase Orders'!$L40="Received",'Purchase Orders'!$A40,"")</f>
        <v/>
      </c>
      <c r="B40" s="12" t="str">
        <f aca="false">IF($A40="","",'Purchase Orders'!$C40)</f>
        <v/>
      </c>
      <c r="C40" s="12" t="str">
        <f aca="false">IF($A40="","",'Purchase Orders'!$D40)</f>
        <v/>
      </c>
      <c r="D40" s="12" t="str">
        <f aca="false">IF($A40="","",'Purchase Orders'!$E40)</f>
        <v/>
      </c>
      <c r="E40" s="13" t="str">
        <f aca="false">IF($A40="","",'Purchase Orders'!$I40)</f>
        <v/>
      </c>
      <c r="F40" s="13" t="str">
        <f aca="false">IF($A40="","",SUMIFS('Expense Entry'!$K$5:$K$6000,'Expense Entry'!$E$5:$E$6000,"Payable Payment",'Expense Entry'!$L$5:$L$6000,$A40))</f>
        <v/>
      </c>
      <c r="G40" s="13" t="str">
        <f aca="false">IF($A40="","",$E40-$F40)</f>
        <v/>
      </c>
      <c r="H40" s="12" t="str">
        <f aca="false">IF($A40="","",IF($G40&lt;=0,"Paid",IF($F40&gt;0,"Partial","Unpaid")))</f>
        <v/>
      </c>
    </row>
    <row r="41" customFormat="false" ht="15" hidden="false" customHeight="true" outlineLevel="0" collapsed="false">
      <c r="A41" s="12" t="str">
        <f aca="false">IF('Purchase Orders'!$L41="Received",'Purchase Orders'!$A41,"")</f>
        <v/>
      </c>
      <c r="B41" s="12" t="str">
        <f aca="false">IF($A41="","",'Purchase Orders'!$C41)</f>
        <v/>
      </c>
      <c r="C41" s="12" t="str">
        <f aca="false">IF($A41="","",'Purchase Orders'!$D41)</f>
        <v/>
      </c>
      <c r="D41" s="12" t="str">
        <f aca="false">IF($A41="","",'Purchase Orders'!$E41)</f>
        <v/>
      </c>
      <c r="E41" s="13" t="str">
        <f aca="false">IF($A41="","",'Purchase Orders'!$I41)</f>
        <v/>
      </c>
      <c r="F41" s="13" t="str">
        <f aca="false">IF($A41="","",SUMIFS('Expense Entry'!$K$5:$K$6000,'Expense Entry'!$E$5:$E$6000,"Payable Payment",'Expense Entry'!$L$5:$L$6000,$A41))</f>
        <v/>
      </c>
      <c r="G41" s="13" t="str">
        <f aca="false">IF($A41="","",$E41-$F41)</f>
        <v/>
      </c>
      <c r="H41" s="12" t="str">
        <f aca="false">IF($A41="","",IF($G41&lt;=0,"Paid",IF($F41&gt;0,"Partial","Unpaid")))</f>
        <v/>
      </c>
    </row>
    <row r="42" customFormat="false" ht="15" hidden="false" customHeight="true" outlineLevel="0" collapsed="false">
      <c r="A42" s="12" t="str">
        <f aca="false">IF('Purchase Orders'!$L42="Received",'Purchase Orders'!$A42,"")</f>
        <v/>
      </c>
      <c r="B42" s="12" t="str">
        <f aca="false">IF($A42="","",'Purchase Orders'!$C42)</f>
        <v/>
      </c>
      <c r="C42" s="12" t="str">
        <f aca="false">IF($A42="","",'Purchase Orders'!$D42)</f>
        <v/>
      </c>
      <c r="D42" s="12" t="str">
        <f aca="false">IF($A42="","",'Purchase Orders'!$E42)</f>
        <v/>
      </c>
      <c r="E42" s="13" t="str">
        <f aca="false">IF($A42="","",'Purchase Orders'!$I42)</f>
        <v/>
      </c>
      <c r="F42" s="13" t="str">
        <f aca="false">IF($A42="","",SUMIFS('Expense Entry'!$K$5:$K$6000,'Expense Entry'!$E$5:$E$6000,"Payable Payment",'Expense Entry'!$L$5:$L$6000,$A42))</f>
        <v/>
      </c>
      <c r="G42" s="13" t="str">
        <f aca="false">IF($A42="","",$E42-$F42)</f>
        <v/>
      </c>
      <c r="H42" s="12" t="str">
        <f aca="false">IF($A42="","",IF($G42&lt;=0,"Paid",IF($F42&gt;0,"Partial","Unpaid")))</f>
        <v/>
      </c>
    </row>
    <row r="43" customFormat="false" ht="15" hidden="false" customHeight="true" outlineLevel="0" collapsed="false">
      <c r="A43" s="12" t="str">
        <f aca="false">IF('Purchase Orders'!$L43="Received",'Purchase Orders'!$A43,"")</f>
        <v/>
      </c>
      <c r="B43" s="12" t="str">
        <f aca="false">IF($A43="","",'Purchase Orders'!$C43)</f>
        <v/>
      </c>
      <c r="C43" s="12" t="str">
        <f aca="false">IF($A43="","",'Purchase Orders'!$D43)</f>
        <v/>
      </c>
      <c r="D43" s="12" t="str">
        <f aca="false">IF($A43="","",'Purchase Orders'!$E43)</f>
        <v/>
      </c>
      <c r="E43" s="13" t="str">
        <f aca="false">IF($A43="","",'Purchase Orders'!$I43)</f>
        <v/>
      </c>
      <c r="F43" s="13" t="str">
        <f aca="false">IF($A43="","",SUMIFS('Expense Entry'!$K$5:$K$6000,'Expense Entry'!$E$5:$E$6000,"Payable Payment",'Expense Entry'!$L$5:$L$6000,$A43))</f>
        <v/>
      </c>
      <c r="G43" s="13" t="str">
        <f aca="false">IF($A43="","",$E43-$F43)</f>
        <v/>
      </c>
      <c r="H43" s="12" t="str">
        <f aca="false">IF($A43="","",IF($G43&lt;=0,"Paid",IF($F43&gt;0,"Partial","Unpaid")))</f>
        <v/>
      </c>
    </row>
    <row r="44" customFormat="false" ht="15" hidden="false" customHeight="true" outlineLevel="0" collapsed="false">
      <c r="A44" s="12" t="str">
        <f aca="false">IF('Purchase Orders'!$L44="Received",'Purchase Orders'!$A44,"")</f>
        <v/>
      </c>
      <c r="B44" s="12" t="str">
        <f aca="false">IF($A44="","",'Purchase Orders'!$C44)</f>
        <v/>
      </c>
      <c r="C44" s="12" t="str">
        <f aca="false">IF($A44="","",'Purchase Orders'!$D44)</f>
        <v/>
      </c>
      <c r="D44" s="12" t="str">
        <f aca="false">IF($A44="","",'Purchase Orders'!$E44)</f>
        <v/>
      </c>
      <c r="E44" s="13" t="str">
        <f aca="false">IF($A44="","",'Purchase Orders'!$I44)</f>
        <v/>
      </c>
      <c r="F44" s="13" t="str">
        <f aca="false">IF($A44="","",SUMIFS('Expense Entry'!$K$5:$K$6000,'Expense Entry'!$E$5:$E$6000,"Payable Payment",'Expense Entry'!$L$5:$L$6000,$A44))</f>
        <v/>
      </c>
      <c r="G44" s="13" t="str">
        <f aca="false">IF($A44="","",$E44-$F44)</f>
        <v/>
      </c>
      <c r="H44" s="12" t="str">
        <f aca="false">IF($A44="","",IF($G44&lt;=0,"Paid",IF($F44&gt;0,"Partial","Unpaid")))</f>
        <v/>
      </c>
    </row>
    <row r="45" customFormat="false" ht="15" hidden="false" customHeight="true" outlineLevel="0" collapsed="false">
      <c r="A45" s="12" t="str">
        <f aca="false">IF('Purchase Orders'!$L45="Received",'Purchase Orders'!$A45,"")</f>
        <v/>
      </c>
      <c r="B45" s="12" t="str">
        <f aca="false">IF($A45="","",'Purchase Orders'!$C45)</f>
        <v/>
      </c>
      <c r="C45" s="12" t="str">
        <f aca="false">IF($A45="","",'Purchase Orders'!$D45)</f>
        <v/>
      </c>
      <c r="D45" s="12" t="str">
        <f aca="false">IF($A45="","",'Purchase Orders'!$E45)</f>
        <v/>
      </c>
      <c r="E45" s="13" t="str">
        <f aca="false">IF($A45="","",'Purchase Orders'!$I45)</f>
        <v/>
      </c>
      <c r="F45" s="13" t="str">
        <f aca="false">IF($A45="","",SUMIFS('Expense Entry'!$K$5:$K$6000,'Expense Entry'!$E$5:$E$6000,"Payable Payment",'Expense Entry'!$L$5:$L$6000,$A45))</f>
        <v/>
      </c>
      <c r="G45" s="13" t="str">
        <f aca="false">IF($A45="","",$E45-$F45)</f>
        <v/>
      </c>
      <c r="H45" s="12" t="str">
        <f aca="false">IF($A45="","",IF($G45&lt;=0,"Paid",IF($F45&gt;0,"Partial","Unpaid")))</f>
        <v/>
      </c>
    </row>
    <row r="46" customFormat="false" ht="15" hidden="false" customHeight="true" outlineLevel="0" collapsed="false">
      <c r="A46" s="12" t="str">
        <f aca="false">IF('Purchase Orders'!$L46="Received",'Purchase Orders'!$A46,"")</f>
        <v/>
      </c>
      <c r="B46" s="12" t="str">
        <f aca="false">IF($A46="","",'Purchase Orders'!$C46)</f>
        <v/>
      </c>
      <c r="C46" s="12" t="str">
        <f aca="false">IF($A46="","",'Purchase Orders'!$D46)</f>
        <v/>
      </c>
      <c r="D46" s="12" t="str">
        <f aca="false">IF($A46="","",'Purchase Orders'!$E46)</f>
        <v/>
      </c>
      <c r="E46" s="13" t="str">
        <f aca="false">IF($A46="","",'Purchase Orders'!$I46)</f>
        <v/>
      </c>
      <c r="F46" s="13" t="str">
        <f aca="false">IF($A46="","",SUMIFS('Expense Entry'!$K$5:$K$6000,'Expense Entry'!$E$5:$E$6000,"Payable Payment",'Expense Entry'!$L$5:$L$6000,$A46))</f>
        <v/>
      </c>
      <c r="G46" s="13" t="str">
        <f aca="false">IF($A46="","",$E46-$F46)</f>
        <v/>
      </c>
      <c r="H46" s="12" t="str">
        <f aca="false">IF($A46="","",IF($G46&lt;=0,"Paid",IF($F46&gt;0,"Partial","Unpaid")))</f>
        <v/>
      </c>
    </row>
    <row r="47" customFormat="false" ht="15" hidden="false" customHeight="true" outlineLevel="0" collapsed="false">
      <c r="A47" s="12" t="str">
        <f aca="false">IF('Purchase Orders'!$L47="Received",'Purchase Orders'!$A47,"")</f>
        <v/>
      </c>
      <c r="B47" s="12" t="str">
        <f aca="false">IF($A47="","",'Purchase Orders'!$C47)</f>
        <v/>
      </c>
      <c r="C47" s="12" t="str">
        <f aca="false">IF($A47="","",'Purchase Orders'!$D47)</f>
        <v/>
      </c>
      <c r="D47" s="12" t="str">
        <f aca="false">IF($A47="","",'Purchase Orders'!$E47)</f>
        <v/>
      </c>
      <c r="E47" s="13" t="str">
        <f aca="false">IF($A47="","",'Purchase Orders'!$I47)</f>
        <v/>
      </c>
      <c r="F47" s="13" t="str">
        <f aca="false">IF($A47="","",SUMIFS('Expense Entry'!$K$5:$K$6000,'Expense Entry'!$E$5:$E$6000,"Payable Payment",'Expense Entry'!$L$5:$L$6000,$A47))</f>
        <v/>
      </c>
      <c r="G47" s="13" t="str">
        <f aca="false">IF($A47="","",$E47-$F47)</f>
        <v/>
      </c>
      <c r="H47" s="12" t="str">
        <f aca="false">IF($A47="","",IF($G47&lt;=0,"Paid",IF($F47&gt;0,"Partial","Unpaid")))</f>
        <v/>
      </c>
    </row>
    <row r="48" customFormat="false" ht="15" hidden="false" customHeight="true" outlineLevel="0" collapsed="false">
      <c r="A48" s="12" t="str">
        <f aca="false">IF('Purchase Orders'!$L48="Received",'Purchase Orders'!$A48,"")</f>
        <v/>
      </c>
      <c r="B48" s="12" t="str">
        <f aca="false">IF($A48="","",'Purchase Orders'!$C48)</f>
        <v/>
      </c>
      <c r="C48" s="12" t="str">
        <f aca="false">IF($A48="","",'Purchase Orders'!$D48)</f>
        <v/>
      </c>
      <c r="D48" s="12" t="str">
        <f aca="false">IF($A48="","",'Purchase Orders'!$E48)</f>
        <v/>
      </c>
      <c r="E48" s="13" t="str">
        <f aca="false">IF($A48="","",'Purchase Orders'!$I48)</f>
        <v/>
      </c>
      <c r="F48" s="13" t="str">
        <f aca="false">IF($A48="","",SUMIFS('Expense Entry'!$K$5:$K$6000,'Expense Entry'!$E$5:$E$6000,"Payable Payment",'Expense Entry'!$L$5:$L$6000,$A48))</f>
        <v/>
      </c>
      <c r="G48" s="13" t="str">
        <f aca="false">IF($A48="","",$E48-$F48)</f>
        <v/>
      </c>
      <c r="H48" s="12" t="str">
        <f aca="false">IF($A48="","",IF($G48&lt;=0,"Paid",IF($F48&gt;0,"Partial","Unpaid")))</f>
        <v/>
      </c>
    </row>
    <row r="49" customFormat="false" ht="15" hidden="false" customHeight="true" outlineLevel="0" collapsed="false">
      <c r="A49" s="12" t="str">
        <f aca="false">IF('Purchase Orders'!$L49="Received",'Purchase Orders'!$A49,"")</f>
        <v/>
      </c>
      <c r="B49" s="12" t="str">
        <f aca="false">IF($A49="","",'Purchase Orders'!$C49)</f>
        <v/>
      </c>
      <c r="C49" s="12" t="str">
        <f aca="false">IF($A49="","",'Purchase Orders'!$D49)</f>
        <v/>
      </c>
      <c r="D49" s="12" t="str">
        <f aca="false">IF($A49="","",'Purchase Orders'!$E49)</f>
        <v/>
      </c>
      <c r="E49" s="13" t="str">
        <f aca="false">IF($A49="","",'Purchase Orders'!$I49)</f>
        <v/>
      </c>
      <c r="F49" s="13" t="str">
        <f aca="false">IF($A49="","",SUMIFS('Expense Entry'!$K$5:$K$6000,'Expense Entry'!$E$5:$E$6000,"Payable Payment",'Expense Entry'!$L$5:$L$6000,$A49))</f>
        <v/>
      </c>
      <c r="G49" s="13" t="str">
        <f aca="false">IF($A49="","",$E49-$F49)</f>
        <v/>
      </c>
      <c r="H49" s="12" t="str">
        <f aca="false">IF($A49="","",IF($G49&lt;=0,"Paid",IF($F49&gt;0,"Partial","Unpaid")))</f>
        <v/>
      </c>
    </row>
    <row r="50" customFormat="false" ht="15" hidden="false" customHeight="true" outlineLevel="0" collapsed="false">
      <c r="A50" s="12" t="str">
        <f aca="false">IF('Purchase Orders'!$L50="Received",'Purchase Orders'!$A50,"")</f>
        <v/>
      </c>
      <c r="B50" s="12" t="str">
        <f aca="false">IF($A50="","",'Purchase Orders'!$C50)</f>
        <v/>
      </c>
      <c r="C50" s="12" t="str">
        <f aca="false">IF($A50="","",'Purchase Orders'!$D50)</f>
        <v/>
      </c>
      <c r="D50" s="12" t="str">
        <f aca="false">IF($A50="","",'Purchase Orders'!$E50)</f>
        <v/>
      </c>
      <c r="E50" s="13" t="str">
        <f aca="false">IF($A50="","",'Purchase Orders'!$I50)</f>
        <v/>
      </c>
      <c r="F50" s="13" t="str">
        <f aca="false">IF($A50="","",SUMIFS('Expense Entry'!$K$5:$K$6000,'Expense Entry'!$E$5:$E$6000,"Payable Payment",'Expense Entry'!$L$5:$L$6000,$A50))</f>
        <v/>
      </c>
      <c r="G50" s="13" t="str">
        <f aca="false">IF($A50="","",$E50-$F50)</f>
        <v/>
      </c>
      <c r="H50" s="12" t="str">
        <f aca="false">IF($A50="","",IF($G50&lt;=0,"Paid",IF($F50&gt;0,"Partial","Unpaid")))</f>
        <v/>
      </c>
    </row>
    <row r="51" customFormat="false" ht="15" hidden="false" customHeight="true" outlineLevel="0" collapsed="false">
      <c r="A51" s="12" t="str">
        <f aca="false">IF('Purchase Orders'!$L51="Received",'Purchase Orders'!$A51,"")</f>
        <v/>
      </c>
      <c r="B51" s="12" t="str">
        <f aca="false">IF($A51="","",'Purchase Orders'!$C51)</f>
        <v/>
      </c>
      <c r="C51" s="12" t="str">
        <f aca="false">IF($A51="","",'Purchase Orders'!$D51)</f>
        <v/>
      </c>
      <c r="D51" s="12" t="str">
        <f aca="false">IF($A51="","",'Purchase Orders'!$E51)</f>
        <v/>
      </c>
      <c r="E51" s="13" t="str">
        <f aca="false">IF($A51="","",'Purchase Orders'!$I51)</f>
        <v/>
      </c>
      <c r="F51" s="13" t="str">
        <f aca="false">IF($A51="","",SUMIFS('Expense Entry'!$K$5:$K$6000,'Expense Entry'!$E$5:$E$6000,"Payable Payment",'Expense Entry'!$L$5:$L$6000,$A51))</f>
        <v/>
      </c>
      <c r="G51" s="13" t="str">
        <f aca="false">IF($A51="","",$E51-$F51)</f>
        <v/>
      </c>
      <c r="H51" s="12" t="str">
        <f aca="false">IF($A51="","",IF($G51&lt;=0,"Paid",IF($F51&gt;0,"Partial","Unpaid")))</f>
        <v/>
      </c>
    </row>
    <row r="52" customFormat="false" ht="15" hidden="false" customHeight="true" outlineLevel="0" collapsed="false">
      <c r="A52" s="12" t="str">
        <f aca="false">IF('Purchase Orders'!$L52="Received",'Purchase Orders'!$A52,"")</f>
        <v/>
      </c>
      <c r="B52" s="12" t="str">
        <f aca="false">IF($A52="","",'Purchase Orders'!$C52)</f>
        <v/>
      </c>
      <c r="C52" s="12" t="str">
        <f aca="false">IF($A52="","",'Purchase Orders'!$D52)</f>
        <v/>
      </c>
      <c r="D52" s="12" t="str">
        <f aca="false">IF($A52="","",'Purchase Orders'!$E52)</f>
        <v/>
      </c>
      <c r="E52" s="13" t="str">
        <f aca="false">IF($A52="","",'Purchase Orders'!$I52)</f>
        <v/>
      </c>
      <c r="F52" s="13" t="str">
        <f aca="false">IF($A52="","",SUMIFS('Expense Entry'!$K$5:$K$6000,'Expense Entry'!$E$5:$E$6000,"Payable Payment",'Expense Entry'!$L$5:$L$6000,$A52))</f>
        <v/>
      </c>
      <c r="G52" s="13" t="str">
        <f aca="false">IF($A52="","",$E52-$F52)</f>
        <v/>
      </c>
      <c r="H52" s="12" t="str">
        <f aca="false">IF($A52="","",IF($G52&lt;=0,"Paid",IF($F52&gt;0,"Partial","Unpaid")))</f>
        <v/>
      </c>
    </row>
    <row r="53" customFormat="false" ht="15" hidden="false" customHeight="true" outlineLevel="0" collapsed="false">
      <c r="A53" s="12" t="str">
        <f aca="false">IF('Purchase Orders'!$L53="Received",'Purchase Orders'!$A53,"")</f>
        <v/>
      </c>
      <c r="B53" s="12" t="str">
        <f aca="false">IF($A53="","",'Purchase Orders'!$C53)</f>
        <v/>
      </c>
      <c r="C53" s="12" t="str">
        <f aca="false">IF($A53="","",'Purchase Orders'!$D53)</f>
        <v/>
      </c>
      <c r="D53" s="12" t="str">
        <f aca="false">IF($A53="","",'Purchase Orders'!$E53)</f>
        <v/>
      </c>
      <c r="E53" s="13" t="str">
        <f aca="false">IF($A53="","",'Purchase Orders'!$I53)</f>
        <v/>
      </c>
      <c r="F53" s="13" t="str">
        <f aca="false">IF($A53="","",SUMIFS('Expense Entry'!$K$5:$K$6000,'Expense Entry'!$E$5:$E$6000,"Payable Payment",'Expense Entry'!$L$5:$L$6000,$A53))</f>
        <v/>
      </c>
      <c r="G53" s="13" t="str">
        <f aca="false">IF($A53="","",$E53-$F53)</f>
        <v/>
      </c>
      <c r="H53" s="12" t="str">
        <f aca="false">IF($A53="","",IF($G53&lt;=0,"Paid",IF($F53&gt;0,"Partial","Unpaid")))</f>
        <v/>
      </c>
    </row>
    <row r="54" customFormat="false" ht="15" hidden="false" customHeight="true" outlineLevel="0" collapsed="false">
      <c r="A54" s="12" t="str">
        <f aca="false">IF('Purchase Orders'!$L54="Received",'Purchase Orders'!$A54,"")</f>
        <v/>
      </c>
      <c r="B54" s="12" t="str">
        <f aca="false">IF($A54="","",'Purchase Orders'!$C54)</f>
        <v/>
      </c>
      <c r="C54" s="12" t="str">
        <f aca="false">IF($A54="","",'Purchase Orders'!$D54)</f>
        <v/>
      </c>
      <c r="D54" s="12" t="str">
        <f aca="false">IF($A54="","",'Purchase Orders'!$E54)</f>
        <v/>
      </c>
      <c r="E54" s="13" t="str">
        <f aca="false">IF($A54="","",'Purchase Orders'!$I54)</f>
        <v/>
      </c>
      <c r="F54" s="13" t="str">
        <f aca="false">IF($A54="","",SUMIFS('Expense Entry'!$K$5:$K$6000,'Expense Entry'!$E$5:$E$6000,"Payable Payment",'Expense Entry'!$L$5:$L$6000,$A54))</f>
        <v/>
      </c>
      <c r="G54" s="13" t="str">
        <f aca="false">IF($A54="","",$E54-$F54)</f>
        <v/>
      </c>
      <c r="H54" s="12" t="str">
        <f aca="false">IF($A54="","",IF($G54&lt;=0,"Paid",IF($F54&gt;0,"Partial","Unpaid")))</f>
        <v/>
      </c>
    </row>
    <row r="55" customFormat="false" ht="15" hidden="false" customHeight="true" outlineLevel="0" collapsed="false">
      <c r="A55" s="12" t="str">
        <f aca="false">IF('Purchase Orders'!$L55="Received",'Purchase Orders'!$A55,"")</f>
        <v/>
      </c>
      <c r="B55" s="12" t="str">
        <f aca="false">IF($A55="","",'Purchase Orders'!$C55)</f>
        <v/>
      </c>
      <c r="C55" s="12" t="str">
        <f aca="false">IF($A55="","",'Purchase Orders'!$D55)</f>
        <v/>
      </c>
      <c r="D55" s="12" t="str">
        <f aca="false">IF($A55="","",'Purchase Orders'!$E55)</f>
        <v/>
      </c>
      <c r="E55" s="13" t="str">
        <f aca="false">IF($A55="","",'Purchase Orders'!$I55)</f>
        <v/>
      </c>
      <c r="F55" s="13" t="str">
        <f aca="false">IF($A55="","",SUMIFS('Expense Entry'!$K$5:$K$6000,'Expense Entry'!$E$5:$E$6000,"Payable Payment",'Expense Entry'!$L$5:$L$6000,$A55))</f>
        <v/>
      </c>
      <c r="G55" s="13" t="str">
        <f aca="false">IF($A55="","",$E55-$F55)</f>
        <v/>
      </c>
      <c r="H55" s="12" t="str">
        <f aca="false">IF($A55="","",IF($G55&lt;=0,"Paid",IF($F55&gt;0,"Partial","Unpaid")))</f>
        <v/>
      </c>
    </row>
    <row r="56" customFormat="false" ht="15" hidden="false" customHeight="true" outlineLevel="0" collapsed="false">
      <c r="A56" s="12" t="str">
        <f aca="false">IF('Purchase Orders'!$L56="Received",'Purchase Orders'!$A56,"")</f>
        <v/>
      </c>
      <c r="B56" s="12" t="str">
        <f aca="false">IF($A56="","",'Purchase Orders'!$C56)</f>
        <v/>
      </c>
      <c r="C56" s="12" t="str">
        <f aca="false">IF($A56="","",'Purchase Orders'!$D56)</f>
        <v/>
      </c>
      <c r="D56" s="12" t="str">
        <f aca="false">IF($A56="","",'Purchase Orders'!$E56)</f>
        <v/>
      </c>
      <c r="E56" s="13" t="str">
        <f aca="false">IF($A56="","",'Purchase Orders'!$I56)</f>
        <v/>
      </c>
      <c r="F56" s="13" t="str">
        <f aca="false">IF($A56="","",SUMIFS('Expense Entry'!$K$5:$K$6000,'Expense Entry'!$E$5:$E$6000,"Payable Payment",'Expense Entry'!$L$5:$L$6000,$A56))</f>
        <v/>
      </c>
      <c r="G56" s="13" t="str">
        <f aca="false">IF($A56="","",$E56-$F56)</f>
        <v/>
      </c>
      <c r="H56" s="12" t="str">
        <f aca="false">IF($A56="","",IF($G56&lt;=0,"Paid",IF($F56&gt;0,"Partial","Unpaid")))</f>
        <v/>
      </c>
    </row>
    <row r="57" customFormat="false" ht="15" hidden="false" customHeight="true" outlineLevel="0" collapsed="false">
      <c r="A57" s="12" t="str">
        <f aca="false">IF('Purchase Orders'!$L57="Received",'Purchase Orders'!$A57,"")</f>
        <v/>
      </c>
      <c r="B57" s="12" t="str">
        <f aca="false">IF($A57="","",'Purchase Orders'!$C57)</f>
        <v/>
      </c>
      <c r="C57" s="12" t="str">
        <f aca="false">IF($A57="","",'Purchase Orders'!$D57)</f>
        <v/>
      </c>
      <c r="D57" s="12" t="str">
        <f aca="false">IF($A57="","",'Purchase Orders'!$E57)</f>
        <v/>
      </c>
      <c r="E57" s="13" t="str">
        <f aca="false">IF($A57="","",'Purchase Orders'!$I57)</f>
        <v/>
      </c>
      <c r="F57" s="13" t="str">
        <f aca="false">IF($A57="","",SUMIFS('Expense Entry'!$K$5:$K$6000,'Expense Entry'!$E$5:$E$6000,"Payable Payment",'Expense Entry'!$L$5:$L$6000,$A57))</f>
        <v/>
      </c>
      <c r="G57" s="13" t="str">
        <f aca="false">IF($A57="","",$E57-$F57)</f>
        <v/>
      </c>
      <c r="H57" s="12" t="str">
        <f aca="false">IF($A57="","",IF($G57&lt;=0,"Paid",IF($F57&gt;0,"Partial","Unpaid")))</f>
        <v/>
      </c>
    </row>
    <row r="58" customFormat="false" ht="15" hidden="false" customHeight="true" outlineLevel="0" collapsed="false">
      <c r="A58" s="12" t="str">
        <f aca="false">IF('Purchase Orders'!$L58="Received",'Purchase Orders'!$A58,"")</f>
        <v/>
      </c>
      <c r="B58" s="12" t="str">
        <f aca="false">IF($A58="","",'Purchase Orders'!$C58)</f>
        <v/>
      </c>
      <c r="C58" s="12" t="str">
        <f aca="false">IF($A58="","",'Purchase Orders'!$D58)</f>
        <v/>
      </c>
      <c r="D58" s="12" t="str">
        <f aca="false">IF($A58="","",'Purchase Orders'!$E58)</f>
        <v/>
      </c>
      <c r="E58" s="13" t="str">
        <f aca="false">IF($A58="","",'Purchase Orders'!$I58)</f>
        <v/>
      </c>
      <c r="F58" s="13" t="str">
        <f aca="false">IF($A58="","",SUMIFS('Expense Entry'!$K$5:$K$6000,'Expense Entry'!$E$5:$E$6000,"Payable Payment",'Expense Entry'!$L$5:$L$6000,$A58))</f>
        <v/>
      </c>
      <c r="G58" s="13" t="str">
        <f aca="false">IF($A58="","",$E58-$F58)</f>
        <v/>
      </c>
      <c r="H58" s="12" t="str">
        <f aca="false">IF($A58="","",IF($G58&lt;=0,"Paid",IF($F58&gt;0,"Partial","Unpaid")))</f>
        <v/>
      </c>
    </row>
    <row r="59" customFormat="false" ht="15" hidden="false" customHeight="true" outlineLevel="0" collapsed="false">
      <c r="A59" s="12" t="str">
        <f aca="false">IF('Purchase Orders'!$L59="Received",'Purchase Orders'!$A59,"")</f>
        <v/>
      </c>
      <c r="B59" s="12" t="str">
        <f aca="false">IF($A59="","",'Purchase Orders'!$C59)</f>
        <v/>
      </c>
      <c r="C59" s="12" t="str">
        <f aca="false">IF($A59="","",'Purchase Orders'!$D59)</f>
        <v/>
      </c>
      <c r="D59" s="12" t="str">
        <f aca="false">IF($A59="","",'Purchase Orders'!$E59)</f>
        <v/>
      </c>
      <c r="E59" s="13" t="str">
        <f aca="false">IF($A59="","",'Purchase Orders'!$I59)</f>
        <v/>
      </c>
      <c r="F59" s="13" t="str">
        <f aca="false">IF($A59="","",SUMIFS('Expense Entry'!$K$5:$K$6000,'Expense Entry'!$E$5:$E$6000,"Payable Payment",'Expense Entry'!$L$5:$L$6000,$A59))</f>
        <v/>
      </c>
      <c r="G59" s="13" t="str">
        <f aca="false">IF($A59="","",$E59-$F59)</f>
        <v/>
      </c>
      <c r="H59" s="12" t="str">
        <f aca="false">IF($A59="","",IF($G59&lt;=0,"Paid",IF($F59&gt;0,"Partial","Unpaid")))</f>
        <v/>
      </c>
    </row>
    <row r="60" customFormat="false" ht="15" hidden="false" customHeight="true" outlineLevel="0" collapsed="false">
      <c r="A60" s="12" t="str">
        <f aca="false">IF('Purchase Orders'!$L60="Received",'Purchase Orders'!$A60,"")</f>
        <v/>
      </c>
      <c r="B60" s="12" t="str">
        <f aca="false">IF($A60="","",'Purchase Orders'!$C60)</f>
        <v/>
      </c>
      <c r="C60" s="12" t="str">
        <f aca="false">IF($A60="","",'Purchase Orders'!$D60)</f>
        <v/>
      </c>
      <c r="D60" s="12" t="str">
        <f aca="false">IF($A60="","",'Purchase Orders'!$E60)</f>
        <v/>
      </c>
      <c r="E60" s="13" t="str">
        <f aca="false">IF($A60="","",'Purchase Orders'!$I60)</f>
        <v/>
      </c>
      <c r="F60" s="13" t="str">
        <f aca="false">IF($A60="","",SUMIFS('Expense Entry'!$K$5:$K$6000,'Expense Entry'!$E$5:$E$6000,"Payable Payment",'Expense Entry'!$L$5:$L$6000,$A60))</f>
        <v/>
      </c>
      <c r="G60" s="13" t="str">
        <f aca="false">IF($A60="","",$E60-$F60)</f>
        <v/>
      </c>
      <c r="H60" s="12" t="str">
        <f aca="false">IF($A60="","",IF($G60&lt;=0,"Paid",IF($F60&gt;0,"Partial","Unpaid")))</f>
        <v/>
      </c>
    </row>
    <row r="61" customFormat="false" ht="15" hidden="false" customHeight="true" outlineLevel="0" collapsed="false">
      <c r="A61" s="12" t="str">
        <f aca="false">IF('Purchase Orders'!$L61="Received",'Purchase Orders'!$A61,"")</f>
        <v/>
      </c>
      <c r="B61" s="12" t="str">
        <f aca="false">IF($A61="","",'Purchase Orders'!$C61)</f>
        <v/>
      </c>
      <c r="C61" s="12" t="str">
        <f aca="false">IF($A61="","",'Purchase Orders'!$D61)</f>
        <v/>
      </c>
      <c r="D61" s="12" t="str">
        <f aca="false">IF($A61="","",'Purchase Orders'!$E61)</f>
        <v/>
      </c>
      <c r="E61" s="13" t="str">
        <f aca="false">IF($A61="","",'Purchase Orders'!$I61)</f>
        <v/>
      </c>
      <c r="F61" s="13" t="str">
        <f aca="false">IF($A61="","",SUMIFS('Expense Entry'!$K$5:$K$6000,'Expense Entry'!$E$5:$E$6000,"Payable Payment",'Expense Entry'!$L$5:$L$6000,$A61))</f>
        <v/>
      </c>
      <c r="G61" s="13" t="str">
        <f aca="false">IF($A61="","",$E61-$F61)</f>
        <v/>
      </c>
      <c r="H61" s="12" t="str">
        <f aca="false">IF($A61="","",IF($G61&lt;=0,"Paid",IF($F61&gt;0,"Partial","Unpaid")))</f>
        <v/>
      </c>
    </row>
    <row r="62" customFormat="false" ht="15" hidden="false" customHeight="true" outlineLevel="0" collapsed="false">
      <c r="A62" s="12" t="str">
        <f aca="false">IF('Purchase Orders'!$L62="Received",'Purchase Orders'!$A62,"")</f>
        <v/>
      </c>
      <c r="B62" s="12" t="str">
        <f aca="false">IF($A62="","",'Purchase Orders'!$C62)</f>
        <v/>
      </c>
      <c r="C62" s="12" t="str">
        <f aca="false">IF($A62="","",'Purchase Orders'!$D62)</f>
        <v/>
      </c>
      <c r="D62" s="12" t="str">
        <f aca="false">IF($A62="","",'Purchase Orders'!$E62)</f>
        <v/>
      </c>
      <c r="E62" s="13" t="str">
        <f aca="false">IF($A62="","",'Purchase Orders'!$I62)</f>
        <v/>
      </c>
      <c r="F62" s="13" t="str">
        <f aca="false">IF($A62="","",SUMIFS('Expense Entry'!$K$5:$K$6000,'Expense Entry'!$E$5:$E$6000,"Payable Payment",'Expense Entry'!$L$5:$L$6000,$A62))</f>
        <v/>
      </c>
      <c r="G62" s="13" t="str">
        <f aca="false">IF($A62="","",$E62-$F62)</f>
        <v/>
      </c>
      <c r="H62" s="12" t="str">
        <f aca="false">IF($A62="","",IF($G62&lt;=0,"Paid",IF($F62&gt;0,"Partial","Unpaid")))</f>
        <v/>
      </c>
    </row>
    <row r="63" customFormat="false" ht="15" hidden="false" customHeight="true" outlineLevel="0" collapsed="false">
      <c r="A63" s="12" t="str">
        <f aca="false">IF('Purchase Orders'!$L63="Received",'Purchase Orders'!$A63,"")</f>
        <v/>
      </c>
      <c r="B63" s="12" t="str">
        <f aca="false">IF($A63="","",'Purchase Orders'!$C63)</f>
        <v/>
      </c>
      <c r="C63" s="12" t="str">
        <f aca="false">IF($A63="","",'Purchase Orders'!$D63)</f>
        <v/>
      </c>
      <c r="D63" s="12" t="str">
        <f aca="false">IF($A63="","",'Purchase Orders'!$E63)</f>
        <v/>
      </c>
      <c r="E63" s="13" t="str">
        <f aca="false">IF($A63="","",'Purchase Orders'!$I63)</f>
        <v/>
      </c>
      <c r="F63" s="13" t="str">
        <f aca="false">IF($A63="","",SUMIFS('Expense Entry'!$K$5:$K$6000,'Expense Entry'!$E$5:$E$6000,"Payable Payment",'Expense Entry'!$L$5:$L$6000,$A63))</f>
        <v/>
      </c>
      <c r="G63" s="13" t="str">
        <f aca="false">IF($A63="","",$E63-$F63)</f>
        <v/>
      </c>
      <c r="H63" s="12" t="str">
        <f aca="false">IF($A63="","",IF($G63&lt;=0,"Paid",IF($F63&gt;0,"Partial","Unpaid")))</f>
        <v/>
      </c>
    </row>
    <row r="64" customFormat="false" ht="15" hidden="false" customHeight="true" outlineLevel="0" collapsed="false">
      <c r="A64" s="12" t="str">
        <f aca="false">IF('Purchase Orders'!$L64="Received",'Purchase Orders'!$A64,"")</f>
        <v/>
      </c>
      <c r="B64" s="12" t="str">
        <f aca="false">IF($A64="","",'Purchase Orders'!$C64)</f>
        <v/>
      </c>
      <c r="C64" s="12" t="str">
        <f aca="false">IF($A64="","",'Purchase Orders'!$D64)</f>
        <v/>
      </c>
      <c r="D64" s="12" t="str">
        <f aca="false">IF($A64="","",'Purchase Orders'!$E64)</f>
        <v/>
      </c>
      <c r="E64" s="13" t="str">
        <f aca="false">IF($A64="","",'Purchase Orders'!$I64)</f>
        <v/>
      </c>
      <c r="F64" s="13" t="str">
        <f aca="false">IF($A64="","",SUMIFS('Expense Entry'!$K$5:$K$6000,'Expense Entry'!$E$5:$E$6000,"Payable Payment",'Expense Entry'!$L$5:$L$6000,$A64))</f>
        <v/>
      </c>
      <c r="G64" s="13" t="str">
        <f aca="false">IF($A64="","",$E64-$F64)</f>
        <v/>
      </c>
      <c r="H64" s="12" t="str">
        <f aca="false">IF($A64="","",IF($G64&lt;=0,"Paid",IF($F64&gt;0,"Partial","Unpaid")))</f>
        <v/>
      </c>
    </row>
    <row r="65" customFormat="false" ht="15" hidden="false" customHeight="true" outlineLevel="0" collapsed="false">
      <c r="A65" s="12" t="str">
        <f aca="false">IF('Purchase Orders'!$L65="Received",'Purchase Orders'!$A65,"")</f>
        <v/>
      </c>
      <c r="B65" s="12" t="str">
        <f aca="false">IF($A65="","",'Purchase Orders'!$C65)</f>
        <v/>
      </c>
      <c r="C65" s="12" t="str">
        <f aca="false">IF($A65="","",'Purchase Orders'!$D65)</f>
        <v/>
      </c>
      <c r="D65" s="12" t="str">
        <f aca="false">IF($A65="","",'Purchase Orders'!$E65)</f>
        <v/>
      </c>
      <c r="E65" s="13" t="str">
        <f aca="false">IF($A65="","",'Purchase Orders'!$I65)</f>
        <v/>
      </c>
      <c r="F65" s="13" t="str">
        <f aca="false">IF($A65="","",SUMIFS('Expense Entry'!$K$5:$K$6000,'Expense Entry'!$E$5:$E$6000,"Payable Payment",'Expense Entry'!$L$5:$L$6000,$A65))</f>
        <v/>
      </c>
      <c r="G65" s="13" t="str">
        <f aca="false">IF($A65="","",$E65-$F65)</f>
        <v/>
      </c>
      <c r="H65" s="12" t="str">
        <f aca="false">IF($A65="","",IF($G65&lt;=0,"Paid",IF($F65&gt;0,"Partial","Unpaid")))</f>
        <v/>
      </c>
    </row>
    <row r="66" customFormat="false" ht="15" hidden="false" customHeight="true" outlineLevel="0" collapsed="false">
      <c r="A66" s="12" t="str">
        <f aca="false">IF('Purchase Orders'!$L66="Received",'Purchase Orders'!$A66,"")</f>
        <v/>
      </c>
      <c r="B66" s="12" t="str">
        <f aca="false">IF($A66="","",'Purchase Orders'!$C66)</f>
        <v/>
      </c>
      <c r="C66" s="12" t="str">
        <f aca="false">IF($A66="","",'Purchase Orders'!$D66)</f>
        <v/>
      </c>
      <c r="D66" s="12" t="str">
        <f aca="false">IF($A66="","",'Purchase Orders'!$E66)</f>
        <v/>
      </c>
      <c r="E66" s="13" t="str">
        <f aca="false">IF($A66="","",'Purchase Orders'!$I66)</f>
        <v/>
      </c>
      <c r="F66" s="13" t="str">
        <f aca="false">IF($A66="","",SUMIFS('Expense Entry'!$K$5:$K$6000,'Expense Entry'!$E$5:$E$6000,"Payable Payment",'Expense Entry'!$L$5:$L$6000,$A66))</f>
        <v/>
      </c>
      <c r="G66" s="13" t="str">
        <f aca="false">IF($A66="","",$E66-$F66)</f>
        <v/>
      </c>
      <c r="H66" s="12" t="str">
        <f aca="false">IF($A66="","",IF($G66&lt;=0,"Paid",IF($F66&gt;0,"Partial","Unpaid")))</f>
        <v/>
      </c>
    </row>
    <row r="67" customFormat="false" ht="15" hidden="false" customHeight="true" outlineLevel="0" collapsed="false">
      <c r="A67" s="12" t="str">
        <f aca="false">IF('Purchase Orders'!$L67="Received",'Purchase Orders'!$A67,"")</f>
        <v/>
      </c>
      <c r="B67" s="12" t="str">
        <f aca="false">IF($A67="","",'Purchase Orders'!$C67)</f>
        <v/>
      </c>
      <c r="C67" s="12" t="str">
        <f aca="false">IF($A67="","",'Purchase Orders'!$D67)</f>
        <v/>
      </c>
      <c r="D67" s="12" t="str">
        <f aca="false">IF($A67="","",'Purchase Orders'!$E67)</f>
        <v/>
      </c>
      <c r="E67" s="13" t="str">
        <f aca="false">IF($A67="","",'Purchase Orders'!$I67)</f>
        <v/>
      </c>
      <c r="F67" s="13" t="str">
        <f aca="false">IF($A67="","",SUMIFS('Expense Entry'!$K$5:$K$6000,'Expense Entry'!$E$5:$E$6000,"Payable Payment",'Expense Entry'!$L$5:$L$6000,$A67))</f>
        <v/>
      </c>
      <c r="G67" s="13" t="str">
        <f aca="false">IF($A67="","",$E67-$F67)</f>
        <v/>
      </c>
      <c r="H67" s="12" t="str">
        <f aca="false">IF($A67="","",IF($G67&lt;=0,"Paid",IF($F67&gt;0,"Partial","Unpaid")))</f>
        <v/>
      </c>
    </row>
    <row r="68" customFormat="false" ht="15" hidden="false" customHeight="true" outlineLevel="0" collapsed="false">
      <c r="A68" s="12" t="str">
        <f aca="false">IF('Purchase Orders'!$L68="Received",'Purchase Orders'!$A68,"")</f>
        <v/>
      </c>
      <c r="B68" s="12" t="str">
        <f aca="false">IF($A68="","",'Purchase Orders'!$C68)</f>
        <v/>
      </c>
      <c r="C68" s="12" t="str">
        <f aca="false">IF($A68="","",'Purchase Orders'!$D68)</f>
        <v/>
      </c>
      <c r="D68" s="12" t="str">
        <f aca="false">IF($A68="","",'Purchase Orders'!$E68)</f>
        <v/>
      </c>
      <c r="E68" s="13" t="str">
        <f aca="false">IF($A68="","",'Purchase Orders'!$I68)</f>
        <v/>
      </c>
      <c r="F68" s="13" t="str">
        <f aca="false">IF($A68="","",SUMIFS('Expense Entry'!$K$5:$K$6000,'Expense Entry'!$E$5:$E$6000,"Payable Payment",'Expense Entry'!$L$5:$L$6000,$A68))</f>
        <v/>
      </c>
      <c r="G68" s="13" t="str">
        <f aca="false">IF($A68="","",$E68-$F68)</f>
        <v/>
      </c>
      <c r="H68" s="12" t="str">
        <f aca="false">IF($A68="","",IF($G68&lt;=0,"Paid",IF($F68&gt;0,"Partial","Unpaid")))</f>
        <v/>
      </c>
    </row>
    <row r="69" customFormat="false" ht="15" hidden="false" customHeight="true" outlineLevel="0" collapsed="false">
      <c r="A69" s="12" t="str">
        <f aca="false">IF('Purchase Orders'!$L69="Received",'Purchase Orders'!$A69,"")</f>
        <v/>
      </c>
      <c r="B69" s="12" t="str">
        <f aca="false">IF($A69="","",'Purchase Orders'!$C69)</f>
        <v/>
      </c>
      <c r="C69" s="12" t="str">
        <f aca="false">IF($A69="","",'Purchase Orders'!$D69)</f>
        <v/>
      </c>
      <c r="D69" s="12" t="str">
        <f aca="false">IF($A69="","",'Purchase Orders'!$E69)</f>
        <v/>
      </c>
      <c r="E69" s="13" t="str">
        <f aca="false">IF($A69="","",'Purchase Orders'!$I69)</f>
        <v/>
      </c>
      <c r="F69" s="13" t="str">
        <f aca="false">IF($A69="","",SUMIFS('Expense Entry'!$K$5:$K$6000,'Expense Entry'!$E$5:$E$6000,"Payable Payment",'Expense Entry'!$L$5:$L$6000,$A69))</f>
        <v/>
      </c>
      <c r="G69" s="13" t="str">
        <f aca="false">IF($A69="","",$E69-$F69)</f>
        <v/>
      </c>
      <c r="H69" s="12" t="str">
        <f aca="false">IF($A69="","",IF($G69&lt;=0,"Paid",IF($F69&gt;0,"Partial","Unpaid")))</f>
        <v/>
      </c>
    </row>
    <row r="70" customFormat="false" ht="15" hidden="false" customHeight="true" outlineLevel="0" collapsed="false">
      <c r="A70" s="12" t="str">
        <f aca="false">IF('Purchase Orders'!$L70="Received",'Purchase Orders'!$A70,"")</f>
        <v/>
      </c>
      <c r="B70" s="12" t="str">
        <f aca="false">IF($A70="","",'Purchase Orders'!$C70)</f>
        <v/>
      </c>
      <c r="C70" s="12" t="str">
        <f aca="false">IF($A70="","",'Purchase Orders'!$D70)</f>
        <v/>
      </c>
      <c r="D70" s="12" t="str">
        <f aca="false">IF($A70="","",'Purchase Orders'!$E70)</f>
        <v/>
      </c>
      <c r="E70" s="13" t="str">
        <f aca="false">IF($A70="","",'Purchase Orders'!$I70)</f>
        <v/>
      </c>
      <c r="F70" s="13" t="str">
        <f aca="false">IF($A70="","",SUMIFS('Expense Entry'!$K$5:$K$6000,'Expense Entry'!$E$5:$E$6000,"Payable Payment",'Expense Entry'!$L$5:$L$6000,$A70))</f>
        <v/>
      </c>
      <c r="G70" s="13" t="str">
        <f aca="false">IF($A70="","",$E70-$F70)</f>
        <v/>
      </c>
      <c r="H70" s="12" t="str">
        <f aca="false">IF($A70="","",IF($G70&lt;=0,"Paid",IF($F70&gt;0,"Partial","Unpaid")))</f>
        <v/>
      </c>
    </row>
    <row r="71" customFormat="false" ht="15" hidden="false" customHeight="true" outlineLevel="0" collapsed="false">
      <c r="A71" s="12" t="str">
        <f aca="false">IF('Purchase Orders'!$L71="Received",'Purchase Orders'!$A71,"")</f>
        <v/>
      </c>
      <c r="B71" s="12" t="str">
        <f aca="false">IF($A71="","",'Purchase Orders'!$C71)</f>
        <v/>
      </c>
      <c r="C71" s="12" t="str">
        <f aca="false">IF($A71="","",'Purchase Orders'!$D71)</f>
        <v/>
      </c>
      <c r="D71" s="12" t="str">
        <f aca="false">IF($A71="","",'Purchase Orders'!$E71)</f>
        <v/>
      </c>
      <c r="E71" s="13" t="str">
        <f aca="false">IF($A71="","",'Purchase Orders'!$I71)</f>
        <v/>
      </c>
      <c r="F71" s="13" t="str">
        <f aca="false">IF($A71="","",SUMIFS('Expense Entry'!$K$5:$K$6000,'Expense Entry'!$E$5:$E$6000,"Payable Payment",'Expense Entry'!$L$5:$L$6000,$A71))</f>
        <v/>
      </c>
      <c r="G71" s="13" t="str">
        <f aca="false">IF($A71="","",$E71-$F71)</f>
        <v/>
      </c>
      <c r="H71" s="12" t="str">
        <f aca="false">IF($A71="","",IF($G71&lt;=0,"Paid",IF($F71&gt;0,"Partial","Unpaid")))</f>
        <v/>
      </c>
    </row>
    <row r="72" customFormat="false" ht="15" hidden="false" customHeight="true" outlineLevel="0" collapsed="false">
      <c r="A72" s="12" t="str">
        <f aca="false">IF('Purchase Orders'!$L72="Received",'Purchase Orders'!$A72,"")</f>
        <v/>
      </c>
      <c r="B72" s="12" t="str">
        <f aca="false">IF($A72="","",'Purchase Orders'!$C72)</f>
        <v/>
      </c>
      <c r="C72" s="12" t="str">
        <f aca="false">IF($A72="","",'Purchase Orders'!$D72)</f>
        <v/>
      </c>
      <c r="D72" s="12" t="str">
        <f aca="false">IF($A72="","",'Purchase Orders'!$E72)</f>
        <v/>
      </c>
      <c r="E72" s="13" t="str">
        <f aca="false">IF($A72="","",'Purchase Orders'!$I72)</f>
        <v/>
      </c>
      <c r="F72" s="13" t="str">
        <f aca="false">IF($A72="","",SUMIFS('Expense Entry'!$K$5:$K$6000,'Expense Entry'!$E$5:$E$6000,"Payable Payment",'Expense Entry'!$L$5:$L$6000,$A72))</f>
        <v/>
      </c>
      <c r="G72" s="13" t="str">
        <f aca="false">IF($A72="","",$E72-$F72)</f>
        <v/>
      </c>
      <c r="H72" s="12" t="str">
        <f aca="false">IF($A72="","",IF($G72&lt;=0,"Paid",IF($F72&gt;0,"Partial","Unpaid")))</f>
        <v/>
      </c>
    </row>
    <row r="73" customFormat="false" ht="15" hidden="false" customHeight="true" outlineLevel="0" collapsed="false">
      <c r="A73" s="12" t="str">
        <f aca="false">IF('Purchase Orders'!$L73="Received",'Purchase Orders'!$A73,"")</f>
        <v/>
      </c>
      <c r="B73" s="12" t="str">
        <f aca="false">IF($A73="","",'Purchase Orders'!$C73)</f>
        <v/>
      </c>
      <c r="C73" s="12" t="str">
        <f aca="false">IF($A73="","",'Purchase Orders'!$D73)</f>
        <v/>
      </c>
      <c r="D73" s="12" t="str">
        <f aca="false">IF($A73="","",'Purchase Orders'!$E73)</f>
        <v/>
      </c>
      <c r="E73" s="13" t="str">
        <f aca="false">IF($A73="","",'Purchase Orders'!$I73)</f>
        <v/>
      </c>
      <c r="F73" s="13" t="str">
        <f aca="false">IF($A73="","",SUMIFS('Expense Entry'!$K$5:$K$6000,'Expense Entry'!$E$5:$E$6000,"Payable Payment",'Expense Entry'!$L$5:$L$6000,$A73))</f>
        <v/>
      </c>
      <c r="G73" s="13" t="str">
        <f aca="false">IF($A73="","",$E73-$F73)</f>
        <v/>
      </c>
      <c r="H73" s="12" t="str">
        <f aca="false">IF($A73="","",IF($G73&lt;=0,"Paid",IF($F73&gt;0,"Partial","Unpaid")))</f>
        <v/>
      </c>
    </row>
    <row r="74" customFormat="false" ht="15" hidden="false" customHeight="true" outlineLevel="0" collapsed="false">
      <c r="A74" s="12" t="str">
        <f aca="false">IF('Purchase Orders'!$L74="Received",'Purchase Orders'!$A74,"")</f>
        <v/>
      </c>
      <c r="B74" s="12" t="str">
        <f aca="false">IF($A74="","",'Purchase Orders'!$C74)</f>
        <v/>
      </c>
      <c r="C74" s="12" t="str">
        <f aca="false">IF($A74="","",'Purchase Orders'!$D74)</f>
        <v/>
      </c>
      <c r="D74" s="12" t="str">
        <f aca="false">IF($A74="","",'Purchase Orders'!$E74)</f>
        <v/>
      </c>
      <c r="E74" s="13" t="str">
        <f aca="false">IF($A74="","",'Purchase Orders'!$I74)</f>
        <v/>
      </c>
      <c r="F74" s="13" t="str">
        <f aca="false">IF($A74="","",SUMIFS('Expense Entry'!$K$5:$K$6000,'Expense Entry'!$E$5:$E$6000,"Payable Payment",'Expense Entry'!$L$5:$L$6000,$A74))</f>
        <v/>
      </c>
      <c r="G74" s="13" t="str">
        <f aca="false">IF($A74="","",$E74-$F74)</f>
        <v/>
      </c>
      <c r="H74" s="12" t="str">
        <f aca="false">IF($A74="","",IF($G74&lt;=0,"Paid",IF($F74&gt;0,"Partial","Unpaid")))</f>
        <v/>
      </c>
    </row>
    <row r="75" customFormat="false" ht="15" hidden="false" customHeight="true" outlineLevel="0" collapsed="false">
      <c r="A75" s="12" t="str">
        <f aca="false">IF('Purchase Orders'!$L75="Received",'Purchase Orders'!$A75,"")</f>
        <v/>
      </c>
      <c r="B75" s="12" t="str">
        <f aca="false">IF($A75="","",'Purchase Orders'!$C75)</f>
        <v/>
      </c>
      <c r="C75" s="12" t="str">
        <f aca="false">IF($A75="","",'Purchase Orders'!$D75)</f>
        <v/>
      </c>
      <c r="D75" s="12" t="str">
        <f aca="false">IF($A75="","",'Purchase Orders'!$E75)</f>
        <v/>
      </c>
      <c r="E75" s="13" t="str">
        <f aca="false">IF($A75="","",'Purchase Orders'!$I75)</f>
        <v/>
      </c>
      <c r="F75" s="13" t="str">
        <f aca="false">IF($A75="","",SUMIFS('Expense Entry'!$K$5:$K$6000,'Expense Entry'!$E$5:$E$6000,"Payable Payment",'Expense Entry'!$L$5:$L$6000,$A75))</f>
        <v/>
      </c>
      <c r="G75" s="13" t="str">
        <f aca="false">IF($A75="","",$E75-$F75)</f>
        <v/>
      </c>
      <c r="H75" s="12" t="str">
        <f aca="false">IF($A75="","",IF($G75&lt;=0,"Paid",IF($F75&gt;0,"Partial","Unpaid")))</f>
        <v/>
      </c>
    </row>
    <row r="76" customFormat="false" ht="15" hidden="false" customHeight="true" outlineLevel="0" collapsed="false">
      <c r="A76" s="12" t="str">
        <f aca="false">IF('Purchase Orders'!$L76="Received",'Purchase Orders'!$A76,"")</f>
        <v/>
      </c>
      <c r="B76" s="12" t="str">
        <f aca="false">IF($A76="","",'Purchase Orders'!$C76)</f>
        <v/>
      </c>
      <c r="C76" s="12" t="str">
        <f aca="false">IF($A76="","",'Purchase Orders'!$D76)</f>
        <v/>
      </c>
      <c r="D76" s="12" t="str">
        <f aca="false">IF($A76="","",'Purchase Orders'!$E76)</f>
        <v/>
      </c>
      <c r="E76" s="13" t="str">
        <f aca="false">IF($A76="","",'Purchase Orders'!$I76)</f>
        <v/>
      </c>
      <c r="F76" s="13" t="str">
        <f aca="false">IF($A76="","",SUMIFS('Expense Entry'!$K$5:$K$6000,'Expense Entry'!$E$5:$E$6000,"Payable Payment",'Expense Entry'!$L$5:$L$6000,$A76))</f>
        <v/>
      </c>
      <c r="G76" s="13" t="str">
        <f aca="false">IF($A76="","",$E76-$F76)</f>
        <v/>
      </c>
      <c r="H76" s="12" t="str">
        <f aca="false">IF($A76="","",IF($G76&lt;=0,"Paid",IF($F76&gt;0,"Partial","Unpaid")))</f>
        <v/>
      </c>
    </row>
    <row r="77" customFormat="false" ht="15" hidden="false" customHeight="true" outlineLevel="0" collapsed="false">
      <c r="A77" s="12" t="str">
        <f aca="false">IF('Purchase Orders'!$L77="Received",'Purchase Orders'!$A77,"")</f>
        <v/>
      </c>
      <c r="B77" s="12" t="str">
        <f aca="false">IF($A77="","",'Purchase Orders'!$C77)</f>
        <v/>
      </c>
      <c r="C77" s="12" t="str">
        <f aca="false">IF($A77="","",'Purchase Orders'!$D77)</f>
        <v/>
      </c>
      <c r="D77" s="12" t="str">
        <f aca="false">IF($A77="","",'Purchase Orders'!$E77)</f>
        <v/>
      </c>
      <c r="E77" s="13" t="str">
        <f aca="false">IF($A77="","",'Purchase Orders'!$I77)</f>
        <v/>
      </c>
      <c r="F77" s="13" t="str">
        <f aca="false">IF($A77="","",SUMIFS('Expense Entry'!$K$5:$K$6000,'Expense Entry'!$E$5:$E$6000,"Payable Payment",'Expense Entry'!$L$5:$L$6000,$A77))</f>
        <v/>
      </c>
      <c r="G77" s="13" t="str">
        <f aca="false">IF($A77="","",$E77-$F77)</f>
        <v/>
      </c>
      <c r="H77" s="12" t="str">
        <f aca="false">IF($A77="","",IF($G77&lt;=0,"Paid",IF($F77&gt;0,"Partial","Unpaid")))</f>
        <v/>
      </c>
    </row>
    <row r="78" customFormat="false" ht="15" hidden="false" customHeight="true" outlineLevel="0" collapsed="false">
      <c r="A78" s="12" t="str">
        <f aca="false">IF('Purchase Orders'!$L78="Received",'Purchase Orders'!$A78,"")</f>
        <v/>
      </c>
      <c r="B78" s="12" t="str">
        <f aca="false">IF($A78="","",'Purchase Orders'!$C78)</f>
        <v/>
      </c>
      <c r="C78" s="12" t="str">
        <f aca="false">IF($A78="","",'Purchase Orders'!$D78)</f>
        <v/>
      </c>
      <c r="D78" s="12" t="str">
        <f aca="false">IF($A78="","",'Purchase Orders'!$E78)</f>
        <v/>
      </c>
      <c r="E78" s="13" t="str">
        <f aca="false">IF($A78="","",'Purchase Orders'!$I78)</f>
        <v/>
      </c>
      <c r="F78" s="13" t="str">
        <f aca="false">IF($A78="","",SUMIFS('Expense Entry'!$K$5:$K$6000,'Expense Entry'!$E$5:$E$6000,"Payable Payment",'Expense Entry'!$L$5:$L$6000,$A78))</f>
        <v/>
      </c>
      <c r="G78" s="13" t="str">
        <f aca="false">IF($A78="","",$E78-$F78)</f>
        <v/>
      </c>
      <c r="H78" s="12" t="str">
        <f aca="false">IF($A78="","",IF($G78&lt;=0,"Paid",IF($F78&gt;0,"Partial","Unpaid")))</f>
        <v/>
      </c>
    </row>
    <row r="79" customFormat="false" ht="15" hidden="false" customHeight="true" outlineLevel="0" collapsed="false">
      <c r="A79" s="12" t="str">
        <f aca="false">IF('Purchase Orders'!$L79="Received",'Purchase Orders'!$A79,"")</f>
        <v/>
      </c>
      <c r="B79" s="12" t="str">
        <f aca="false">IF($A79="","",'Purchase Orders'!$C79)</f>
        <v/>
      </c>
      <c r="C79" s="12" t="str">
        <f aca="false">IF($A79="","",'Purchase Orders'!$D79)</f>
        <v/>
      </c>
      <c r="D79" s="12" t="str">
        <f aca="false">IF($A79="","",'Purchase Orders'!$E79)</f>
        <v/>
      </c>
      <c r="E79" s="13" t="str">
        <f aca="false">IF($A79="","",'Purchase Orders'!$I79)</f>
        <v/>
      </c>
      <c r="F79" s="13" t="str">
        <f aca="false">IF($A79="","",SUMIFS('Expense Entry'!$K$5:$K$6000,'Expense Entry'!$E$5:$E$6000,"Payable Payment",'Expense Entry'!$L$5:$L$6000,$A79))</f>
        <v/>
      </c>
      <c r="G79" s="13" t="str">
        <f aca="false">IF($A79="","",$E79-$F79)</f>
        <v/>
      </c>
      <c r="H79" s="12" t="str">
        <f aca="false">IF($A79="","",IF($G79&lt;=0,"Paid",IF($F79&gt;0,"Partial","Unpaid")))</f>
        <v/>
      </c>
    </row>
    <row r="80" customFormat="false" ht="15" hidden="false" customHeight="true" outlineLevel="0" collapsed="false">
      <c r="A80" s="12" t="str">
        <f aca="false">IF('Purchase Orders'!$L80="Received",'Purchase Orders'!$A80,"")</f>
        <v/>
      </c>
      <c r="B80" s="12" t="str">
        <f aca="false">IF($A80="","",'Purchase Orders'!$C80)</f>
        <v/>
      </c>
      <c r="C80" s="12" t="str">
        <f aca="false">IF($A80="","",'Purchase Orders'!$D80)</f>
        <v/>
      </c>
      <c r="D80" s="12" t="str">
        <f aca="false">IF($A80="","",'Purchase Orders'!$E80)</f>
        <v/>
      </c>
      <c r="E80" s="13" t="str">
        <f aca="false">IF($A80="","",'Purchase Orders'!$I80)</f>
        <v/>
      </c>
      <c r="F80" s="13" t="str">
        <f aca="false">IF($A80="","",SUMIFS('Expense Entry'!$K$5:$K$6000,'Expense Entry'!$E$5:$E$6000,"Payable Payment",'Expense Entry'!$L$5:$L$6000,$A80))</f>
        <v/>
      </c>
      <c r="G80" s="13" t="str">
        <f aca="false">IF($A80="","",$E80-$F80)</f>
        <v/>
      </c>
      <c r="H80" s="12" t="str">
        <f aca="false">IF($A80="","",IF($G80&lt;=0,"Paid",IF($F80&gt;0,"Partial","Unpaid")))</f>
        <v/>
      </c>
    </row>
    <row r="81" customFormat="false" ht="15" hidden="false" customHeight="true" outlineLevel="0" collapsed="false">
      <c r="A81" s="12" t="str">
        <f aca="false">IF('Purchase Orders'!$L81="Received",'Purchase Orders'!$A81,"")</f>
        <v/>
      </c>
      <c r="B81" s="12" t="str">
        <f aca="false">IF($A81="","",'Purchase Orders'!$C81)</f>
        <v/>
      </c>
      <c r="C81" s="12" t="str">
        <f aca="false">IF($A81="","",'Purchase Orders'!$D81)</f>
        <v/>
      </c>
      <c r="D81" s="12" t="str">
        <f aca="false">IF($A81="","",'Purchase Orders'!$E81)</f>
        <v/>
      </c>
      <c r="E81" s="13" t="str">
        <f aca="false">IF($A81="","",'Purchase Orders'!$I81)</f>
        <v/>
      </c>
      <c r="F81" s="13" t="str">
        <f aca="false">IF($A81="","",SUMIFS('Expense Entry'!$K$5:$K$6000,'Expense Entry'!$E$5:$E$6000,"Payable Payment",'Expense Entry'!$L$5:$L$6000,$A81))</f>
        <v/>
      </c>
      <c r="G81" s="13" t="str">
        <f aca="false">IF($A81="","",$E81-$F81)</f>
        <v/>
      </c>
      <c r="H81" s="12" t="str">
        <f aca="false">IF($A81="","",IF($G81&lt;=0,"Paid",IF($F81&gt;0,"Partial","Unpaid")))</f>
        <v/>
      </c>
    </row>
    <row r="82" customFormat="false" ht="15" hidden="false" customHeight="true" outlineLevel="0" collapsed="false">
      <c r="A82" s="12" t="str">
        <f aca="false">IF('Purchase Orders'!$L82="Received",'Purchase Orders'!$A82,"")</f>
        <v/>
      </c>
      <c r="B82" s="12" t="str">
        <f aca="false">IF($A82="","",'Purchase Orders'!$C82)</f>
        <v/>
      </c>
      <c r="C82" s="12" t="str">
        <f aca="false">IF($A82="","",'Purchase Orders'!$D82)</f>
        <v/>
      </c>
      <c r="D82" s="12" t="str">
        <f aca="false">IF($A82="","",'Purchase Orders'!$E82)</f>
        <v/>
      </c>
      <c r="E82" s="13" t="str">
        <f aca="false">IF($A82="","",'Purchase Orders'!$I82)</f>
        <v/>
      </c>
      <c r="F82" s="13" t="str">
        <f aca="false">IF($A82="","",SUMIFS('Expense Entry'!$K$5:$K$6000,'Expense Entry'!$E$5:$E$6000,"Payable Payment",'Expense Entry'!$L$5:$L$6000,$A82))</f>
        <v/>
      </c>
      <c r="G82" s="13" t="str">
        <f aca="false">IF($A82="","",$E82-$F82)</f>
        <v/>
      </c>
      <c r="H82" s="12" t="str">
        <f aca="false">IF($A82="","",IF($G82&lt;=0,"Paid",IF($F82&gt;0,"Partial","Unpaid")))</f>
        <v/>
      </c>
    </row>
    <row r="83" customFormat="false" ht="15" hidden="false" customHeight="true" outlineLevel="0" collapsed="false">
      <c r="A83" s="12" t="str">
        <f aca="false">IF('Purchase Orders'!$L83="Received",'Purchase Orders'!$A83,"")</f>
        <v/>
      </c>
      <c r="B83" s="12" t="str">
        <f aca="false">IF($A83="","",'Purchase Orders'!$C83)</f>
        <v/>
      </c>
      <c r="C83" s="12" t="str">
        <f aca="false">IF($A83="","",'Purchase Orders'!$D83)</f>
        <v/>
      </c>
      <c r="D83" s="12" t="str">
        <f aca="false">IF($A83="","",'Purchase Orders'!$E83)</f>
        <v/>
      </c>
      <c r="E83" s="13" t="str">
        <f aca="false">IF($A83="","",'Purchase Orders'!$I83)</f>
        <v/>
      </c>
      <c r="F83" s="13" t="str">
        <f aca="false">IF($A83="","",SUMIFS('Expense Entry'!$K$5:$K$6000,'Expense Entry'!$E$5:$E$6000,"Payable Payment",'Expense Entry'!$L$5:$L$6000,$A83))</f>
        <v/>
      </c>
      <c r="G83" s="13" t="str">
        <f aca="false">IF($A83="","",$E83-$F83)</f>
        <v/>
      </c>
      <c r="H83" s="12" t="str">
        <f aca="false">IF($A83="","",IF($G83&lt;=0,"Paid",IF($F83&gt;0,"Partial","Unpaid")))</f>
        <v/>
      </c>
    </row>
    <row r="84" customFormat="false" ht="15" hidden="false" customHeight="true" outlineLevel="0" collapsed="false">
      <c r="A84" s="12" t="str">
        <f aca="false">IF('Purchase Orders'!$L84="Received",'Purchase Orders'!$A84,"")</f>
        <v/>
      </c>
      <c r="B84" s="12" t="str">
        <f aca="false">IF($A84="","",'Purchase Orders'!$C84)</f>
        <v/>
      </c>
      <c r="C84" s="12" t="str">
        <f aca="false">IF($A84="","",'Purchase Orders'!$D84)</f>
        <v/>
      </c>
      <c r="D84" s="12" t="str">
        <f aca="false">IF($A84="","",'Purchase Orders'!$E84)</f>
        <v/>
      </c>
      <c r="E84" s="13" t="str">
        <f aca="false">IF($A84="","",'Purchase Orders'!$I84)</f>
        <v/>
      </c>
      <c r="F84" s="13" t="str">
        <f aca="false">IF($A84="","",SUMIFS('Expense Entry'!$K$5:$K$6000,'Expense Entry'!$E$5:$E$6000,"Payable Payment",'Expense Entry'!$L$5:$L$6000,$A84))</f>
        <v/>
      </c>
      <c r="G84" s="13" t="str">
        <f aca="false">IF($A84="","",$E84-$F84)</f>
        <v/>
      </c>
      <c r="H84" s="12" t="str">
        <f aca="false">IF($A84="","",IF($G84&lt;=0,"Paid",IF($F84&gt;0,"Partial","Unpaid")))</f>
        <v/>
      </c>
    </row>
    <row r="85" customFormat="false" ht="15" hidden="false" customHeight="true" outlineLevel="0" collapsed="false">
      <c r="A85" s="12" t="str">
        <f aca="false">IF('Purchase Orders'!$L85="Received",'Purchase Orders'!$A85,"")</f>
        <v/>
      </c>
      <c r="B85" s="12" t="str">
        <f aca="false">IF($A85="","",'Purchase Orders'!$C85)</f>
        <v/>
      </c>
      <c r="C85" s="12" t="str">
        <f aca="false">IF($A85="","",'Purchase Orders'!$D85)</f>
        <v/>
      </c>
      <c r="D85" s="12" t="str">
        <f aca="false">IF($A85="","",'Purchase Orders'!$E85)</f>
        <v/>
      </c>
      <c r="E85" s="13" t="str">
        <f aca="false">IF($A85="","",'Purchase Orders'!$I85)</f>
        <v/>
      </c>
      <c r="F85" s="13" t="str">
        <f aca="false">IF($A85="","",SUMIFS('Expense Entry'!$K$5:$K$6000,'Expense Entry'!$E$5:$E$6000,"Payable Payment",'Expense Entry'!$L$5:$L$6000,$A85))</f>
        <v/>
      </c>
      <c r="G85" s="13" t="str">
        <f aca="false">IF($A85="","",$E85-$F85)</f>
        <v/>
      </c>
      <c r="H85" s="12" t="str">
        <f aca="false">IF($A85="","",IF($G85&lt;=0,"Paid",IF($F85&gt;0,"Partial","Unpaid")))</f>
        <v/>
      </c>
    </row>
    <row r="86" customFormat="false" ht="15" hidden="false" customHeight="true" outlineLevel="0" collapsed="false">
      <c r="A86" s="12" t="str">
        <f aca="false">IF('Purchase Orders'!$L86="Received",'Purchase Orders'!$A86,"")</f>
        <v/>
      </c>
      <c r="B86" s="12" t="str">
        <f aca="false">IF($A86="","",'Purchase Orders'!$C86)</f>
        <v/>
      </c>
      <c r="C86" s="12" t="str">
        <f aca="false">IF($A86="","",'Purchase Orders'!$D86)</f>
        <v/>
      </c>
      <c r="D86" s="12" t="str">
        <f aca="false">IF($A86="","",'Purchase Orders'!$E86)</f>
        <v/>
      </c>
      <c r="E86" s="13" t="str">
        <f aca="false">IF($A86="","",'Purchase Orders'!$I86)</f>
        <v/>
      </c>
      <c r="F86" s="13" t="str">
        <f aca="false">IF($A86="","",SUMIFS('Expense Entry'!$K$5:$K$6000,'Expense Entry'!$E$5:$E$6000,"Payable Payment",'Expense Entry'!$L$5:$L$6000,$A86))</f>
        <v/>
      </c>
      <c r="G86" s="13" t="str">
        <f aca="false">IF($A86="","",$E86-$F86)</f>
        <v/>
      </c>
      <c r="H86" s="12" t="str">
        <f aca="false">IF($A86="","",IF($G86&lt;=0,"Paid",IF($F86&gt;0,"Partial","Unpaid")))</f>
        <v/>
      </c>
    </row>
    <row r="87" customFormat="false" ht="15" hidden="false" customHeight="true" outlineLevel="0" collapsed="false">
      <c r="A87" s="12" t="str">
        <f aca="false">IF('Purchase Orders'!$L87="Received",'Purchase Orders'!$A87,"")</f>
        <v/>
      </c>
      <c r="B87" s="12" t="str">
        <f aca="false">IF($A87="","",'Purchase Orders'!$C87)</f>
        <v/>
      </c>
      <c r="C87" s="12" t="str">
        <f aca="false">IF($A87="","",'Purchase Orders'!$D87)</f>
        <v/>
      </c>
      <c r="D87" s="12" t="str">
        <f aca="false">IF($A87="","",'Purchase Orders'!$E87)</f>
        <v/>
      </c>
      <c r="E87" s="13" t="str">
        <f aca="false">IF($A87="","",'Purchase Orders'!$I87)</f>
        <v/>
      </c>
      <c r="F87" s="13" t="str">
        <f aca="false">IF($A87="","",SUMIFS('Expense Entry'!$K$5:$K$6000,'Expense Entry'!$E$5:$E$6000,"Payable Payment",'Expense Entry'!$L$5:$L$6000,$A87))</f>
        <v/>
      </c>
      <c r="G87" s="13" t="str">
        <f aca="false">IF($A87="","",$E87-$F87)</f>
        <v/>
      </c>
      <c r="H87" s="12" t="str">
        <f aca="false">IF($A87="","",IF($G87&lt;=0,"Paid",IF($F87&gt;0,"Partial","Unpaid")))</f>
        <v/>
      </c>
    </row>
    <row r="88" customFormat="false" ht="15" hidden="false" customHeight="true" outlineLevel="0" collapsed="false">
      <c r="A88" s="12" t="str">
        <f aca="false">IF('Purchase Orders'!$L88="Received",'Purchase Orders'!$A88,"")</f>
        <v/>
      </c>
      <c r="B88" s="12" t="str">
        <f aca="false">IF($A88="","",'Purchase Orders'!$C88)</f>
        <v/>
      </c>
      <c r="C88" s="12" t="str">
        <f aca="false">IF($A88="","",'Purchase Orders'!$D88)</f>
        <v/>
      </c>
      <c r="D88" s="12" t="str">
        <f aca="false">IF($A88="","",'Purchase Orders'!$E88)</f>
        <v/>
      </c>
      <c r="E88" s="13" t="str">
        <f aca="false">IF($A88="","",'Purchase Orders'!$I88)</f>
        <v/>
      </c>
      <c r="F88" s="13" t="str">
        <f aca="false">IF($A88="","",SUMIFS('Expense Entry'!$K$5:$K$6000,'Expense Entry'!$E$5:$E$6000,"Payable Payment",'Expense Entry'!$L$5:$L$6000,$A88))</f>
        <v/>
      </c>
      <c r="G88" s="13" t="str">
        <f aca="false">IF($A88="","",$E88-$F88)</f>
        <v/>
      </c>
      <c r="H88" s="12" t="str">
        <f aca="false">IF($A88="","",IF($G88&lt;=0,"Paid",IF($F88&gt;0,"Partial","Unpaid")))</f>
        <v/>
      </c>
    </row>
    <row r="89" customFormat="false" ht="15" hidden="false" customHeight="true" outlineLevel="0" collapsed="false">
      <c r="A89" s="12" t="str">
        <f aca="false">IF('Purchase Orders'!$L89="Received",'Purchase Orders'!$A89,"")</f>
        <v/>
      </c>
      <c r="B89" s="12" t="str">
        <f aca="false">IF($A89="","",'Purchase Orders'!$C89)</f>
        <v/>
      </c>
      <c r="C89" s="12" t="str">
        <f aca="false">IF($A89="","",'Purchase Orders'!$D89)</f>
        <v/>
      </c>
      <c r="D89" s="12" t="str">
        <f aca="false">IF($A89="","",'Purchase Orders'!$E89)</f>
        <v/>
      </c>
      <c r="E89" s="13" t="str">
        <f aca="false">IF($A89="","",'Purchase Orders'!$I89)</f>
        <v/>
      </c>
      <c r="F89" s="13" t="str">
        <f aca="false">IF($A89="","",SUMIFS('Expense Entry'!$K$5:$K$6000,'Expense Entry'!$E$5:$E$6000,"Payable Payment",'Expense Entry'!$L$5:$L$6000,$A89))</f>
        <v/>
      </c>
      <c r="G89" s="13" t="str">
        <f aca="false">IF($A89="","",$E89-$F89)</f>
        <v/>
      </c>
      <c r="H89" s="12" t="str">
        <f aca="false">IF($A89="","",IF($G89&lt;=0,"Paid",IF($F89&gt;0,"Partial","Unpaid")))</f>
        <v/>
      </c>
    </row>
    <row r="90" customFormat="false" ht="15" hidden="false" customHeight="true" outlineLevel="0" collapsed="false">
      <c r="A90" s="12" t="str">
        <f aca="false">IF('Purchase Orders'!$L90="Received",'Purchase Orders'!$A90,"")</f>
        <v/>
      </c>
      <c r="B90" s="12" t="str">
        <f aca="false">IF($A90="","",'Purchase Orders'!$C90)</f>
        <v/>
      </c>
      <c r="C90" s="12" t="str">
        <f aca="false">IF($A90="","",'Purchase Orders'!$D90)</f>
        <v/>
      </c>
      <c r="D90" s="12" t="str">
        <f aca="false">IF($A90="","",'Purchase Orders'!$E90)</f>
        <v/>
      </c>
      <c r="E90" s="13" t="str">
        <f aca="false">IF($A90="","",'Purchase Orders'!$I90)</f>
        <v/>
      </c>
      <c r="F90" s="13" t="str">
        <f aca="false">IF($A90="","",SUMIFS('Expense Entry'!$K$5:$K$6000,'Expense Entry'!$E$5:$E$6000,"Payable Payment",'Expense Entry'!$L$5:$L$6000,$A90))</f>
        <v/>
      </c>
      <c r="G90" s="13" t="str">
        <f aca="false">IF($A90="","",$E90-$F90)</f>
        <v/>
      </c>
      <c r="H90" s="12" t="str">
        <f aca="false">IF($A90="","",IF($G90&lt;=0,"Paid",IF($F90&gt;0,"Partial","Unpaid")))</f>
        <v/>
      </c>
    </row>
    <row r="91" customFormat="false" ht="15" hidden="false" customHeight="true" outlineLevel="0" collapsed="false">
      <c r="A91" s="12" t="str">
        <f aca="false">IF('Purchase Orders'!$L91="Received",'Purchase Orders'!$A91,"")</f>
        <v/>
      </c>
      <c r="B91" s="12" t="str">
        <f aca="false">IF($A91="","",'Purchase Orders'!$C91)</f>
        <v/>
      </c>
      <c r="C91" s="12" t="str">
        <f aca="false">IF($A91="","",'Purchase Orders'!$D91)</f>
        <v/>
      </c>
      <c r="D91" s="12" t="str">
        <f aca="false">IF($A91="","",'Purchase Orders'!$E91)</f>
        <v/>
      </c>
      <c r="E91" s="13" t="str">
        <f aca="false">IF($A91="","",'Purchase Orders'!$I91)</f>
        <v/>
      </c>
      <c r="F91" s="13" t="str">
        <f aca="false">IF($A91="","",SUMIFS('Expense Entry'!$K$5:$K$6000,'Expense Entry'!$E$5:$E$6000,"Payable Payment",'Expense Entry'!$L$5:$L$6000,$A91))</f>
        <v/>
      </c>
      <c r="G91" s="13" t="str">
        <f aca="false">IF($A91="","",$E91-$F91)</f>
        <v/>
      </c>
      <c r="H91" s="12" t="str">
        <f aca="false">IF($A91="","",IF($G91&lt;=0,"Paid",IF($F91&gt;0,"Partial","Unpaid")))</f>
        <v/>
      </c>
    </row>
    <row r="92" customFormat="false" ht="15" hidden="false" customHeight="true" outlineLevel="0" collapsed="false">
      <c r="A92" s="12" t="str">
        <f aca="false">IF('Purchase Orders'!$L92="Received",'Purchase Orders'!$A92,"")</f>
        <v/>
      </c>
      <c r="B92" s="12" t="str">
        <f aca="false">IF($A92="","",'Purchase Orders'!$C92)</f>
        <v/>
      </c>
      <c r="C92" s="12" t="str">
        <f aca="false">IF($A92="","",'Purchase Orders'!$D92)</f>
        <v/>
      </c>
      <c r="D92" s="12" t="str">
        <f aca="false">IF($A92="","",'Purchase Orders'!$E92)</f>
        <v/>
      </c>
      <c r="E92" s="13" t="str">
        <f aca="false">IF($A92="","",'Purchase Orders'!$I92)</f>
        <v/>
      </c>
      <c r="F92" s="13" t="str">
        <f aca="false">IF($A92="","",SUMIFS('Expense Entry'!$K$5:$K$6000,'Expense Entry'!$E$5:$E$6000,"Payable Payment",'Expense Entry'!$L$5:$L$6000,$A92))</f>
        <v/>
      </c>
      <c r="G92" s="13" t="str">
        <f aca="false">IF($A92="","",$E92-$F92)</f>
        <v/>
      </c>
      <c r="H92" s="12" t="str">
        <f aca="false">IF($A92="","",IF($G92&lt;=0,"Paid",IF($F92&gt;0,"Partial","Unpaid")))</f>
        <v/>
      </c>
    </row>
    <row r="93" customFormat="false" ht="15" hidden="false" customHeight="true" outlineLevel="0" collapsed="false">
      <c r="A93" s="12" t="str">
        <f aca="false">IF('Purchase Orders'!$L93="Received",'Purchase Orders'!$A93,"")</f>
        <v/>
      </c>
      <c r="B93" s="12" t="str">
        <f aca="false">IF($A93="","",'Purchase Orders'!$C93)</f>
        <v/>
      </c>
      <c r="C93" s="12" t="str">
        <f aca="false">IF($A93="","",'Purchase Orders'!$D93)</f>
        <v/>
      </c>
      <c r="D93" s="12" t="str">
        <f aca="false">IF($A93="","",'Purchase Orders'!$E93)</f>
        <v/>
      </c>
      <c r="E93" s="13" t="str">
        <f aca="false">IF($A93="","",'Purchase Orders'!$I93)</f>
        <v/>
      </c>
      <c r="F93" s="13" t="str">
        <f aca="false">IF($A93="","",SUMIFS('Expense Entry'!$K$5:$K$6000,'Expense Entry'!$E$5:$E$6000,"Payable Payment",'Expense Entry'!$L$5:$L$6000,$A93))</f>
        <v/>
      </c>
      <c r="G93" s="13" t="str">
        <f aca="false">IF($A93="","",$E93-$F93)</f>
        <v/>
      </c>
      <c r="H93" s="12" t="str">
        <f aca="false">IF($A93="","",IF($G93&lt;=0,"Paid",IF($F93&gt;0,"Partial","Unpaid")))</f>
        <v/>
      </c>
    </row>
    <row r="94" customFormat="false" ht="15" hidden="false" customHeight="true" outlineLevel="0" collapsed="false">
      <c r="A94" s="12" t="str">
        <f aca="false">IF('Purchase Orders'!$L94="Received",'Purchase Orders'!$A94,"")</f>
        <v/>
      </c>
      <c r="B94" s="12" t="str">
        <f aca="false">IF($A94="","",'Purchase Orders'!$C94)</f>
        <v/>
      </c>
      <c r="C94" s="12" t="str">
        <f aca="false">IF($A94="","",'Purchase Orders'!$D94)</f>
        <v/>
      </c>
      <c r="D94" s="12" t="str">
        <f aca="false">IF($A94="","",'Purchase Orders'!$E94)</f>
        <v/>
      </c>
      <c r="E94" s="13" t="str">
        <f aca="false">IF($A94="","",'Purchase Orders'!$I94)</f>
        <v/>
      </c>
      <c r="F94" s="13" t="str">
        <f aca="false">IF($A94="","",SUMIFS('Expense Entry'!$K$5:$K$6000,'Expense Entry'!$E$5:$E$6000,"Payable Payment",'Expense Entry'!$L$5:$L$6000,$A94))</f>
        <v/>
      </c>
      <c r="G94" s="13" t="str">
        <f aca="false">IF($A94="","",$E94-$F94)</f>
        <v/>
      </c>
      <c r="H94" s="12" t="str">
        <f aca="false">IF($A94="","",IF($G94&lt;=0,"Paid",IF($F94&gt;0,"Partial","Unpaid")))</f>
        <v/>
      </c>
    </row>
    <row r="95" customFormat="false" ht="15" hidden="false" customHeight="true" outlineLevel="0" collapsed="false">
      <c r="A95" s="12" t="str">
        <f aca="false">IF('Purchase Orders'!$L95="Received",'Purchase Orders'!$A95,"")</f>
        <v/>
      </c>
      <c r="B95" s="12" t="str">
        <f aca="false">IF($A95="","",'Purchase Orders'!$C95)</f>
        <v/>
      </c>
      <c r="C95" s="12" t="str">
        <f aca="false">IF($A95="","",'Purchase Orders'!$D95)</f>
        <v/>
      </c>
      <c r="D95" s="12" t="str">
        <f aca="false">IF($A95="","",'Purchase Orders'!$E95)</f>
        <v/>
      </c>
      <c r="E95" s="13" t="str">
        <f aca="false">IF($A95="","",'Purchase Orders'!$I95)</f>
        <v/>
      </c>
      <c r="F95" s="13" t="str">
        <f aca="false">IF($A95="","",SUMIFS('Expense Entry'!$K$5:$K$6000,'Expense Entry'!$E$5:$E$6000,"Payable Payment",'Expense Entry'!$L$5:$L$6000,$A95))</f>
        <v/>
      </c>
      <c r="G95" s="13" t="str">
        <f aca="false">IF($A95="","",$E95-$F95)</f>
        <v/>
      </c>
      <c r="H95" s="12" t="str">
        <f aca="false">IF($A95="","",IF($G95&lt;=0,"Paid",IF($F95&gt;0,"Partial","Unpaid")))</f>
        <v/>
      </c>
    </row>
    <row r="96" customFormat="false" ht="15" hidden="false" customHeight="true" outlineLevel="0" collapsed="false">
      <c r="A96" s="12" t="str">
        <f aca="false">IF('Purchase Orders'!$L96="Received",'Purchase Orders'!$A96,"")</f>
        <v/>
      </c>
      <c r="B96" s="12" t="str">
        <f aca="false">IF($A96="","",'Purchase Orders'!$C96)</f>
        <v/>
      </c>
      <c r="C96" s="12" t="str">
        <f aca="false">IF($A96="","",'Purchase Orders'!$D96)</f>
        <v/>
      </c>
      <c r="D96" s="12" t="str">
        <f aca="false">IF($A96="","",'Purchase Orders'!$E96)</f>
        <v/>
      </c>
      <c r="E96" s="13" t="str">
        <f aca="false">IF($A96="","",'Purchase Orders'!$I96)</f>
        <v/>
      </c>
      <c r="F96" s="13" t="str">
        <f aca="false">IF($A96="","",SUMIFS('Expense Entry'!$K$5:$K$6000,'Expense Entry'!$E$5:$E$6000,"Payable Payment",'Expense Entry'!$L$5:$L$6000,$A96))</f>
        <v/>
      </c>
      <c r="G96" s="13" t="str">
        <f aca="false">IF($A96="","",$E96-$F96)</f>
        <v/>
      </c>
      <c r="H96" s="12" t="str">
        <f aca="false">IF($A96="","",IF($G96&lt;=0,"Paid",IF($F96&gt;0,"Partial","Unpaid")))</f>
        <v/>
      </c>
    </row>
    <row r="97" customFormat="false" ht="15" hidden="false" customHeight="true" outlineLevel="0" collapsed="false">
      <c r="A97" s="12" t="str">
        <f aca="false">IF('Purchase Orders'!$L97="Received",'Purchase Orders'!$A97,"")</f>
        <v/>
      </c>
      <c r="B97" s="12" t="str">
        <f aca="false">IF($A97="","",'Purchase Orders'!$C97)</f>
        <v/>
      </c>
      <c r="C97" s="12" t="str">
        <f aca="false">IF($A97="","",'Purchase Orders'!$D97)</f>
        <v/>
      </c>
      <c r="D97" s="12" t="str">
        <f aca="false">IF($A97="","",'Purchase Orders'!$E97)</f>
        <v/>
      </c>
      <c r="E97" s="13" t="str">
        <f aca="false">IF($A97="","",'Purchase Orders'!$I97)</f>
        <v/>
      </c>
      <c r="F97" s="13" t="str">
        <f aca="false">IF($A97="","",SUMIFS('Expense Entry'!$K$5:$K$6000,'Expense Entry'!$E$5:$E$6000,"Payable Payment",'Expense Entry'!$L$5:$L$6000,$A97))</f>
        <v/>
      </c>
      <c r="G97" s="13" t="str">
        <f aca="false">IF($A97="","",$E97-$F97)</f>
        <v/>
      </c>
      <c r="H97" s="12" t="str">
        <f aca="false">IF($A97="","",IF($G97&lt;=0,"Paid",IF($F97&gt;0,"Partial","Unpaid")))</f>
        <v/>
      </c>
    </row>
    <row r="98" customFormat="false" ht="15" hidden="false" customHeight="true" outlineLevel="0" collapsed="false">
      <c r="A98" s="12" t="str">
        <f aca="false">IF('Purchase Orders'!$L98="Received",'Purchase Orders'!$A98,"")</f>
        <v/>
      </c>
      <c r="B98" s="12" t="str">
        <f aca="false">IF($A98="","",'Purchase Orders'!$C98)</f>
        <v/>
      </c>
      <c r="C98" s="12" t="str">
        <f aca="false">IF($A98="","",'Purchase Orders'!$D98)</f>
        <v/>
      </c>
      <c r="D98" s="12" t="str">
        <f aca="false">IF($A98="","",'Purchase Orders'!$E98)</f>
        <v/>
      </c>
      <c r="E98" s="13" t="str">
        <f aca="false">IF($A98="","",'Purchase Orders'!$I98)</f>
        <v/>
      </c>
      <c r="F98" s="13" t="str">
        <f aca="false">IF($A98="","",SUMIFS('Expense Entry'!$K$5:$K$6000,'Expense Entry'!$E$5:$E$6000,"Payable Payment",'Expense Entry'!$L$5:$L$6000,$A98))</f>
        <v/>
      </c>
      <c r="G98" s="13" t="str">
        <f aca="false">IF($A98="","",$E98-$F98)</f>
        <v/>
      </c>
      <c r="H98" s="12" t="str">
        <f aca="false">IF($A98="","",IF($G98&lt;=0,"Paid",IF($F98&gt;0,"Partial","Unpaid")))</f>
        <v/>
      </c>
    </row>
    <row r="99" customFormat="false" ht="15" hidden="false" customHeight="true" outlineLevel="0" collapsed="false">
      <c r="A99" s="12" t="str">
        <f aca="false">IF('Purchase Orders'!$L99="Received",'Purchase Orders'!$A99,"")</f>
        <v/>
      </c>
      <c r="B99" s="12" t="str">
        <f aca="false">IF($A99="","",'Purchase Orders'!$C99)</f>
        <v/>
      </c>
      <c r="C99" s="12" t="str">
        <f aca="false">IF($A99="","",'Purchase Orders'!$D99)</f>
        <v/>
      </c>
      <c r="D99" s="12" t="str">
        <f aca="false">IF($A99="","",'Purchase Orders'!$E99)</f>
        <v/>
      </c>
      <c r="E99" s="13" t="str">
        <f aca="false">IF($A99="","",'Purchase Orders'!$I99)</f>
        <v/>
      </c>
      <c r="F99" s="13" t="str">
        <f aca="false">IF($A99="","",SUMIFS('Expense Entry'!$K$5:$K$6000,'Expense Entry'!$E$5:$E$6000,"Payable Payment",'Expense Entry'!$L$5:$L$6000,$A99))</f>
        <v/>
      </c>
      <c r="G99" s="13" t="str">
        <f aca="false">IF($A99="","",$E99-$F99)</f>
        <v/>
      </c>
      <c r="H99" s="12" t="str">
        <f aca="false">IF($A99="","",IF($G99&lt;=0,"Paid",IF($F99&gt;0,"Partial","Unpaid")))</f>
        <v/>
      </c>
    </row>
    <row r="100" customFormat="false" ht="15" hidden="false" customHeight="true" outlineLevel="0" collapsed="false">
      <c r="A100" s="12" t="str">
        <f aca="false">IF('Purchase Orders'!$L100="Received",'Purchase Orders'!$A100,"")</f>
        <v/>
      </c>
      <c r="B100" s="12" t="str">
        <f aca="false">IF($A100="","",'Purchase Orders'!$C100)</f>
        <v/>
      </c>
      <c r="C100" s="12" t="str">
        <f aca="false">IF($A100="","",'Purchase Orders'!$D100)</f>
        <v/>
      </c>
      <c r="D100" s="12" t="str">
        <f aca="false">IF($A100="","",'Purchase Orders'!$E100)</f>
        <v/>
      </c>
      <c r="E100" s="13" t="str">
        <f aca="false">IF($A100="","",'Purchase Orders'!$I100)</f>
        <v/>
      </c>
      <c r="F100" s="13" t="str">
        <f aca="false">IF($A100="","",SUMIFS('Expense Entry'!$K$5:$K$6000,'Expense Entry'!$E$5:$E$6000,"Payable Payment",'Expense Entry'!$L$5:$L$6000,$A100))</f>
        <v/>
      </c>
      <c r="G100" s="13" t="str">
        <f aca="false">IF($A100="","",$E100-$F100)</f>
        <v/>
      </c>
      <c r="H100" s="12" t="str">
        <f aca="false">IF($A100="","",IF($G100&lt;=0,"Paid",IF($F100&gt;0,"Partial","Unpaid")))</f>
        <v/>
      </c>
    </row>
    <row r="101" customFormat="false" ht="15" hidden="false" customHeight="true" outlineLevel="0" collapsed="false">
      <c r="A101" s="12" t="str">
        <f aca="false">IF('Purchase Orders'!$L101="Received",'Purchase Orders'!$A101,"")</f>
        <v/>
      </c>
      <c r="B101" s="12" t="str">
        <f aca="false">IF($A101="","",'Purchase Orders'!$C101)</f>
        <v/>
      </c>
      <c r="C101" s="12" t="str">
        <f aca="false">IF($A101="","",'Purchase Orders'!$D101)</f>
        <v/>
      </c>
      <c r="D101" s="12" t="str">
        <f aca="false">IF($A101="","",'Purchase Orders'!$E101)</f>
        <v/>
      </c>
      <c r="E101" s="13" t="str">
        <f aca="false">IF($A101="","",'Purchase Orders'!$I101)</f>
        <v/>
      </c>
      <c r="F101" s="13" t="str">
        <f aca="false">IF($A101="","",SUMIFS('Expense Entry'!$K$5:$K$6000,'Expense Entry'!$E$5:$E$6000,"Payable Payment",'Expense Entry'!$L$5:$L$6000,$A101))</f>
        <v/>
      </c>
      <c r="G101" s="13" t="str">
        <f aca="false">IF($A101="","",$E101-$F101)</f>
        <v/>
      </c>
      <c r="H101" s="12" t="str">
        <f aca="false">IF($A101="","",IF($G101&lt;=0,"Paid",IF($F101&gt;0,"Partial","Unpaid")))</f>
        <v/>
      </c>
    </row>
    <row r="102" customFormat="false" ht="15" hidden="false" customHeight="true" outlineLevel="0" collapsed="false">
      <c r="A102" s="12" t="str">
        <f aca="false">IF('Purchase Orders'!$L102="Received",'Purchase Orders'!$A102,"")</f>
        <v/>
      </c>
      <c r="B102" s="12" t="str">
        <f aca="false">IF($A102="","",'Purchase Orders'!$C102)</f>
        <v/>
      </c>
      <c r="C102" s="12" t="str">
        <f aca="false">IF($A102="","",'Purchase Orders'!$D102)</f>
        <v/>
      </c>
      <c r="D102" s="12" t="str">
        <f aca="false">IF($A102="","",'Purchase Orders'!$E102)</f>
        <v/>
      </c>
      <c r="E102" s="13" t="str">
        <f aca="false">IF($A102="","",'Purchase Orders'!$I102)</f>
        <v/>
      </c>
      <c r="F102" s="13" t="str">
        <f aca="false">IF($A102="","",SUMIFS('Expense Entry'!$K$5:$K$6000,'Expense Entry'!$E$5:$E$6000,"Payable Payment",'Expense Entry'!$L$5:$L$6000,$A102))</f>
        <v/>
      </c>
      <c r="G102" s="13" t="str">
        <f aca="false">IF($A102="","",$E102-$F102)</f>
        <v/>
      </c>
      <c r="H102" s="12" t="str">
        <f aca="false">IF($A102="","",IF($G102&lt;=0,"Paid",IF($F102&gt;0,"Partial","Unpaid")))</f>
        <v/>
      </c>
    </row>
    <row r="103" customFormat="false" ht="15" hidden="false" customHeight="true" outlineLevel="0" collapsed="false">
      <c r="A103" s="12" t="str">
        <f aca="false">IF('Purchase Orders'!$L103="Received",'Purchase Orders'!$A103,"")</f>
        <v/>
      </c>
      <c r="B103" s="12" t="str">
        <f aca="false">IF($A103="","",'Purchase Orders'!$C103)</f>
        <v/>
      </c>
      <c r="C103" s="12" t="str">
        <f aca="false">IF($A103="","",'Purchase Orders'!$D103)</f>
        <v/>
      </c>
      <c r="D103" s="12" t="str">
        <f aca="false">IF($A103="","",'Purchase Orders'!$E103)</f>
        <v/>
      </c>
      <c r="E103" s="13" t="str">
        <f aca="false">IF($A103="","",'Purchase Orders'!$I103)</f>
        <v/>
      </c>
      <c r="F103" s="13" t="str">
        <f aca="false">IF($A103="","",SUMIFS('Expense Entry'!$K$5:$K$6000,'Expense Entry'!$E$5:$E$6000,"Payable Payment",'Expense Entry'!$L$5:$L$6000,$A103))</f>
        <v/>
      </c>
      <c r="G103" s="13" t="str">
        <f aca="false">IF($A103="","",$E103-$F103)</f>
        <v/>
      </c>
      <c r="H103" s="12" t="str">
        <f aca="false">IF($A103="","",IF($G103&lt;=0,"Paid",IF($F103&gt;0,"Partial","Unpaid")))</f>
        <v/>
      </c>
    </row>
    <row r="104" customFormat="false" ht="15" hidden="false" customHeight="true" outlineLevel="0" collapsed="false">
      <c r="A104" s="12" t="str">
        <f aca="false">IF('Purchase Orders'!$L104="Received",'Purchase Orders'!$A104,"")</f>
        <v/>
      </c>
      <c r="B104" s="12" t="str">
        <f aca="false">IF($A104="","",'Purchase Orders'!$C104)</f>
        <v/>
      </c>
      <c r="C104" s="12" t="str">
        <f aca="false">IF($A104="","",'Purchase Orders'!$D104)</f>
        <v/>
      </c>
      <c r="D104" s="12" t="str">
        <f aca="false">IF($A104="","",'Purchase Orders'!$E104)</f>
        <v/>
      </c>
      <c r="E104" s="13" t="str">
        <f aca="false">IF($A104="","",'Purchase Orders'!$I104)</f>
        <v/>
      </c>
      <c r="F104" s="13" t="str">
        <f aca="false">IF($A104="","",SUMIFS('Expense Entry'!$K$5:$K$6000,'Expense Entry'!$E$5:$E$6000,"Payable Payment",'Expense Entry'!$L$5:$L$6000,$A104))</f>
        <v/>
      </c>
      <c r="G104" s="13" t="str">
        <f aca="false">IF($A104="","",$E104-$F104)</f>
        <v/>
      </c>
      <c r="H104" s="12" t="str">
        <f aca="false">IF($A104="","",IF($G104&lt;=0,"Paid",IF($F104&gt;0,"Partial","Unpaid")))</f>
        <v/>
      </c>
    </row>
    <row r="105" customFormat="false" ht="15" hidden="false" customHeight="true" outlineLevel="0" collapsed="false">
      <c r="A105" s="12" t="str">
        <f aca="false">IF('Purchase Orders'!$L105="Received",'Purchase Orders'!$A105,"")</f>
        <v/>
      </c>
      <c r="B105" s="12" t="str">
        <f aca="false">IF($A105="","",'Purchase Orders'!$C105)</f>
        <v/>
      </c>
      <c r="C105" s="12" t="str">
        <f aca="false">IF($A105="","",'Purchase Orders'!$D105)</f>
        <v/>
      </c>
      <c r="D105" s="12" t="str">
        <f aca="false">IF($A105="","",'Purchase Orders'!$E105)</f>
        <v/>
      </c>
      <c r="E105" s="13" t="str">
        <f aca="false">IF($A105="","",'Purchase Orders'!$I105)</f>
        <v/>
      </c>
      <c r="F105" s="13" t="str">
        <f aca="false">IF($A105="","",SUMIFS('Expense Entry'!$K$5:$K$6000,'Expense Entry'!$E$5:$E$6000,"Payable Payment",'Expense Entry'!$L$5:$L$6000,$A105))</f>
        <v/>
      </c>
      <c r="G105" s="13" t="str">
        <f aca="false">IF($A105="","",$E105-$F105)</f>
        <v/>
      </c>
      <c r="H105" s="12" t="str">
        <f aca="false">IF($A105="","",IF($G105&lt;=0,"Paid",IF($F105&gt;0,"Partial","Unpaid")))</f>
        <v/>
      </c>
    </row>
    <row r="106" customFormat="false" ht="15" hidden="false" customHeight="true" outlineLevel="0" collapsed="false">
      <c r="A106" s="12" t="str">
        <f aca="false">IF('Purchase Orders'!$L106="Received",'Purchase Orders'!$A106,"")</f>
        <v/>
      </c>
      <c r="B106" s="12" t="str">
        <f aca="false">IF($A106="","",'Purchase Orders'!$C106)</f>
        <v/>
      </c>
      <c r="C106" s="12" t="str">
        <f aca="false">IF($A106="","",'Purchase Orders'!$D106)</f>
        <v/>
      </c>
      <c r="D106" s="12" t="str">
        <f aca="false">IF($A106="","",'Purchase Orders'!$E106)</f>
        <v/>
      </c>
      <c r="E106" s="13" t="str">
        <f aca="false">IF($A106="","",'Purchase Orders'!$I106)</f>
        <v/>
      </c>
      <c r="F106" s="13" t="str">
        <f aca="false">IF($A106="","",SUMIFS('Expense Entry'!$K$5:$K$6000,'Expense Entry'!$E$5:$E$6000,"Payable Payment",'Expense Entry'!$L$5:$L$6000,$A106))</f>
        <v/>
      </c>
      <c r="G106" s="13" t="str">
        <f aca="false">IF($A106="","",$E106-$F106)</f>
        <v/>
      </c>
      <c r="H106" s="12" t="str">
        <f aca="false">IF($A106="","",IF($G106&lt;=0,"Paid",IF($F106&gt;0,"Partial","Unpaid")))</f>
        <v/>
      </c>
    </row>
    <row r="107" customFormat="false" ht="15" hidden="false" customHeight="true" outlineLevel="0" collapsed="false">
      <c r="A107" s="12" t="str">
        <f aca="false">IF('Purchase Orders'!$L107="Received",'Purchase Orders'!$A107,"")</f>
        <v/>
      </c>
      <c r="B107" s="12" t="str">
        <f aca="false">IF($A107="","",'Purchase Orders'!$C107)</f>
        <v/>
      </c>
      <c r="C107" s="12" t="str">
        <f aca="false">IF($A107="","",'Purchase Orders'!$D107)</f>
        <v/>
      </c>
      <c r="D107" s="12" t="str">
        <f aca="false">IF($A107="","",'Purchase Orders'!$E107)</f>
        <v/>
      </c>
      <c r="E107" s="13" t="str">
        <f aca="false">IF($A107="","",'Purchase Orders'!$I107)</f>
        <v/>
      </c>
      <c r="F107" s="13" t="str">
        <f aca="false">IF($A107="","",SUMIFS('Expense Entry'!$K$5:$K$6000,'Expense Entry'!$E$5:$E$6000,"Payable Payment",'Expense Entry'!$L$5:$L$6000,$A107))</f>
        <v/>
      </c>
      <c r="G107" s="13" t="str">
        <f aca="false">IF($A107="","",$E107-$F107)</f>
        <v/>
      </c>
      <c r="H107" s="12" t="str">
        <f aca="false">IF($A107="","",IF($G107&lt;=0,"Paid",IF($F107&gt;0,"Partial","Unpaid")))</f>
        <v/>
      </c>
    </row>
    <row r="108" customFormat="false" ht="15" hidden="false" customHeight="true" outlineLevel="0" collapsed="false">
      <c r="A108" s="12" t="str">
        <f aca="false">IF('Purchase Orders'!$L108="Received",'Purchase Orders'!$A108,"")</f>
        <v/>
      </c>
      <c r="B108" s="12" t="str">
        <f aca="false">IF($A108="","",'Purchase Orders'!$C108)</f>
        <v/>
      </c>
      <c r="C108" s="12" t="str">
        <f aca="false">IF($A108="","",'Purchase Orders'!$D108)</f>
        <v/>
      </c>
      <c r="D108" s="12" t="str">
        <f aca="false">IF($A108="","",'Purchase Orders'!$E108)</f>
        <v/>
      </c>
      <c r="E108" s="13" t="str">
        <f aca="false">IF($A108="","",'Purchase Orders'!$I108)</f>
        <v/>
      </c>
      <c r="F108" s="13" t="str">
        <f aca="false">IF($A108="","",SUMIFS('Expense Entry'!$K$5:$K$6000,'Expense Entry'!$E$5:$E$6000,"Payable Payment",'Expense Entry'!$L$5:$L$6000,$A108))</f>
        <v/>
      </c>
      <c r="G108" s="13" t="str">
        <f aca="false">IF($A108="","",$E108-$F108)</f>
        <v/>
      </c>
      <c r="H108" s="12" t="str">
        <f aca="false">IF($A108="","",IF($G108&lt;=0,"Paid",IF($F108&gt;0,"Partial","Unpaid")))</f>
        <v/>
      </c>
    </row>
    <row r="109" customFormat="false" ht="15" hidden="false" customHeight="true" outlineLevel="0" collapsed="false">
      <c r="A109" s="12" t="str">
        <f aca="false">IF('Purchase Orders'!$L109="Received",'Purchase Orders'!$A109,"")</f>
        <v/>
      </c>
      <c r="B109" s="12" t="str">
        <f aca="false">IF($A109="","",'Purchase Orders'!$C109)</f>
        <v/>
      </c>
      <c r="C109" s="12" t="str">
        <f aca="false">IF($A109="","",'Purchase Orders'!$D109)</f>
        <v/>
      </c>
      <c r="D109" s="12" t="str">
        <f aca="false">IF($A109="","",'Purchase Orders'!$E109)</f>
        <v/>
      </c>
      <c r="E109" s="13" t="str">
        <f aca="false">IF($A109="","",'Purchase Orders'!$I109)</f>
        <v/>
      </c>
      <c r="F109" s="13" t="str">
        <f aca="false">IF($A109="","",SUMIFS('Expense Entry'!$K$5:$K$6000,'Expense Entry'!$E$5:$E$6000,"Payable Payment",'Expense Entry'!$L$5:$L$6000,$A109))</f>
        <v/>
      </c>
      <c r="G109" s="13" t="str">
        <f aca="false">IF($A109="","",$E109-$F109)</f>
        <v/>
      </c>
      <c r="H109" s="12" t="str">
        <f aca="false">IF($A109="","",IF($G109&lt;=0,"Paid",IF($F109&gt;0,"Partial","Unpaid")))</f>
        <v/>
      </c>
    </row>
    <row r="110" customFormat="false" ht="15" hidden="false" customHeight="true" outlineLevel="0" collapsed="false">
      <c r="A110" s="12" t="str">
        <f aca="false">IF('Purchase Orders'!$L110="Received",'Purchase Orders'!$A110,"")</f>
        <v/>
      </c>
      <c r="B110" s="12" t="str">
        <f aca="false">IF($A110="","",'Purchase Orders'!$C110)</f>
        <v/>
      </c>
      <c r="C110" s="12" t="str">
        <f aca="false">IF($A110="","",'Purchase Orders'!$D110)</f>
        <v/>
      </c>
      <c r="D110" s="12" t="str">
        <f aca="false">IF($A110="","",'Purchase Orders'!$E110)</f>
        <v/>
      </c>
      <c r="E110" s="13" t="str">
        <f aca="false">IF($A110="","",'Purchase Orders'!$I110)</f>
        <v/>
      </c>
      <c r="F110" s="13" t="str">
        <f aca="false">IF($A110="","",SUMIFS('Expense Entry'!$K$5:$K$6000,'Expense Entry'!$E$5:$E$6000,"Payable Payment",'Expense Entry'!$L$5:$L$6000,$A110))</f>
        <v/>
      </c>
      <c r="G110" s="13" t="str">
        <f aca="false">IF($A110="","",$E110-$F110)</f>
        <v/>
      </c>
      <c r="H110" s="12" t="str">
        <f aca="false">IF($A110="","",IF($G110&lt;=0,"Paid",IF($F110&gt;0,"Partial","Unpaid")))</f>
        <v/>
      </c>
    </row>
    <row r="111" customFormat="false" ht="15" hidden="false" customHeight="true" outlineLevel="0" collapsed="false">
      <c r="A111" s="12" t="str">
        <f aca="false">IF('Purchase Orders'!$L111="Received",'Purchase Orders'!$A111,"")</f>
        <v/>
      </c>
      <c r="B111" s="12" t="str">
        <f aca="false">IF($A111="","",'Purchase Orders'!$C111)</f>
        <v/>
      </c>
      <c r="C111" s="12" t="str">
        <f aca="false">IF($A111="","",'Purchase Orders'!$D111)</f>
        <v/>
      </c>
      <c r="D111" s="12" t="str">
        <f aca="false">IF($A111="","",'Purchase Orders'!$E111)</f>
        <v/>
      </c>
      <c r="E111" s="13" t="str">
        <f aca="false">IF($A111="","",'Purchase Orders'!$I111)</f>
        <v/>
      </c>
      <c r="F111" s="13" t="str">
        <f aca="false">IF($A111="","",SUMIFS('Expense Entry'!$K$5:$K$6000,'Expense Entry'!$E$5:$E$6000,"Payable Payment",'Expense Entry'!$L$5:$L$6000,$A111))</f>
        <v/>
      </c>
      <c r="G111" s="13" t="str">
        <f aca="false">IF($A111="","",$E111-$F111)</f>
        <v/>
      </c>
      <c r="H111" s="12" t="str">
        <f aca="false">IF($A111="","",IF($G111&lt;=0,"Paid",IF($F111&gt;0,"Partial","Unpaid")))</f>
        <v/>
      </c>
    </row>
    <row r="112" customFormat="false" ht="15" hidden="false" customHeight="true" outlineLevel="0" collapsed="false">
      <c r="A112" s="12" t="str">
        <f aca="false">IF('Purchase Orders'!$L112="Received",'Purchase Orders'!$A112,"")</f>
        <v/>
      </c>
      <c r="B112" s="12" t="str">
        <f aca="false">IF($A112="","",'Purchase Orders'!$C112)</f>
        <v/>
      </c>
      <c r="C112" s="12" t="str">
        <f aca="false">IF($A112="","",'Purchase Orders'!$D112)</f>
        <v/>
      </c>
      <c r="D112" s="12" t="str">
        <f aca="false">IF($A112="","",'Purchase Orders'!$E112)</f>
        <v/>
      </c>
      <c r="E112" s="13" t="str">
        <f aca="false">IF($A112="","",'Purchase Orders'!$I112)</f>
        <v/>
      </c>
      <c r="F112" s="13" t="str">
        <f aca="false">IF($A112="","",SUMIFS('Expense Entry'!$K$5:$K$6000,'Expense Entry'!$E$5:$E$6000,"Payable Payment",'Expense Entry'!$L$5:$L$6000,$A112))</f>
        <v/>
      </c>
      <c r="G112" s="13" t="str">
        <f aca="false">IF($A112="","",$E112-$F112)</f>
        <v/>
      </c>
      <c r="H112" s="12" t="str">
        <f aca="false">IF($A112="","",IF($G112&lt;=0,"Paid",IF($F112&gt;0,"Partial","Unpaid")))</f>
        <v/>
      </c>
    </row>
    <row r="113" customFormat="false" ht="15" hidden="false" customHeight="true" outlineLevel="0" collapsed="false">
      <c r="A113" s="12" t="str">
        <f aca="false">IF('Purchase Orders'!$L113="Received",'Purchase Orders'!$A113,"")</f>
        <v/>
      </c>
      <c r="B113" s="12" t="str">
        <f aca="false">IF($A113="","",'Purchase Orders'!$C113)</f>
        <v/>
      </c>
      <c r="C113" s="12" t="str">
        <f aca="false">IF($A113="","",'Purchase Orders'!$D113)</f>
        <v/>
      </c>
      <c r="D113" s="12" t="str">
        <f aca="false">IF($A113="","",'Purchase Orders'!$E113)</f>
        <v/>
      </c>
      <c r="E113" s="13" t="str">
        <f aca="false">IF($A113="","",'Purchase Orders'!$I113)</f>
        <v/>
      </c>
      <c r="F113" s="13" t="str">
        <f aca="false">IF($A113="","",SUMIFS('Expense Entry'!$K$5:$K$6000,'Expense Entry'!$E$5:$E$6000,"Payable Payment",'Expense Entry'!$L$5:$L$6000,$A113))</f>
        <v/>
      </c>
      <c r="G113" s="13" t="str">
        <f aca="false">IF($A113="","",$E113-$F113)</f>
        <v/>
      </c>
      <c r="H113" s="12" t="str">
        <f aca="false">IF($A113="","",IF($G113&lt;=0,"Paid",IF($F113&gt;0,"Partial","Unpaid")))</f>
        <v/>
      </c>
    </row>
    <row r="114" customFormat="false" ht="15" hidden="false" customHeight="true" outlineLevel="0" collapsed="false">
      <c r="A114" s="12" t="str">
        <f aca="false">IF('Purchase Orders'!$L114="Received",'Purchase Orders'!$A114,"")</f>
        <v/>
      </c>
      <c r="B114" s="12" t="str">
        <f aca="false">IF($A114="","",'Purchase Orders'!$C114)</f>
        <v/>
      </c>
      <c r="C114" s="12" t="str">
        <f aca="false">IF($A114="","",'Purchase Orders'!$D114)</f>
        <v/>
      </c>
      <c r="D114" s="12" t="str">
        <f aca="false">IF($A114="","",'Purchase Orders'!$E114)</f>
        <v/>
      </c>
      <c r="E114" s="13" t="str">
        <f aca="false">IF($A114="","",'Purchase Orders'!$I114)</f>
        <v/>
      </c>
      <c r="F114" s="13" t="str">
        <f aca="false">IF($A114="","",SUMIFS('Expense Entry'!$K$5:$K$6000,'Expense Entry'!$E$5:$E$6000,"Payable Payment",'Expense Entry'!$L$5:$L$6000,$A114))</f>
        <v/>
      </c>
      <c r="G114" s="13" t="str">
        <f aca="false">IF($A114="","",$E114-$F114)</f>
        <v/>
      </c>
      <c r="H114" s="12" t="str">
        <f aca="false">IF($A114="","",IF($G114&lt;=0,"Paid",IF($F114&gt;0,"Partial","Unpaid")))</f>
        <v/>
      </c>
    </row>
    <row r="115" customFormat="false" ht="15" hidden="false" customHeight="true" outlineLevel="0" collapsed="false">
      <c r="A115" s="12" t="str">
        <f aca="false">IF('Purchase Orders'!$L115="Received",'Purchase Orders'!$A115,"")</f>
        <v/>
      </c>
      <c r="B115" s="12" t="str">
        <f aca="false">IF($A115="","",'Purchase Orders'!$C115)</f>
        <v/>
      </c>
      <c r="C115" s="12" t="str">
        <f aca="false">IF($A115="","",'Purchase Orders'!$D115)</f>
        <v/>
      </c>
      <c r="D115" s="12" t="str">
        <f aca="false">IF($A115="","",'Purchase Orders'!$E115)</f>
        <v/>
      </c>
      <c r="E115" s="13" t="str">
        <f aca="false">IF($A115="","",'Purchase Orders'!$I115)</f>
        <v/>
      </c>
      <c r="F115" s="13" t="str">
        <f aca="false">IF($A115="","",SUMIFS('Expense Entry'!$K$5:$K$6000,'Expense Entry'!$E$5:$E$6000,"Payable Payment",'Expense Entry'!$L$5:$L$6000,$A115))</f>
        <v/>
      </c>
      <c r="G115" s="13" t="str">
        <f aca="false">IF($A115="","",$E115-$F115)</f>
        <v/>
      </c>
      <c r="H115" s="12" t="str">
        <f aca="false">IF($A115="","",IF($G115&lt;=0,"Paid",IF($F115&gt;0,"Partial","Unpaid")))</f>
        <v/>
      </c>
    </row>
    <row r="116" customFormat="false" ht="15" hidden="false" customHeight="true" outlineLevel="0" collapsed="false">
      <c r="A116" s="12" t="str">
        <f aca="false">IF('Purchase Orders'!$L116="Received",'Purchase Orders'!$A116,"")</f>
        <v/>
      </c>
      <c r="B116" s="12" t="str">
        <f aca="false">IF($A116="","",'Purchase Orders'!$C116)</f>
        <v/>
      </c>
      <c r="C116" s="12" t="str">
        <f aca="false">IF($A116="","",'Purchase Orders'!$D116)</f>
        <v/>
      </c>
      <c r="D116" s="12" t="str">
        <f aca="false">IF($A116="","",'Purchase Orders'!$E116)</f>
        <v/>
      </c>
      <c r="E116" s="13" t="str">
        <f aca="false">IF($A116="","",'Purchase Orders'!$I116)</f>
        <v/>
      </c>
      <c r="F116" s="13" t="str">
        <f aca="false">IF($A116="","",SUMIFS('Expense Entry'!$K$5:$K$6000,'Expense Entry'!$E$5:$E$6000,"Payable Payment",'Expense Entry'!$L$5:$L$6000,$A116))</f>
        <v/>
      </c>
      <c r="G116" s="13" t="str">
        <f aca="false">IF($A116="","",$E116-$F116)</f>
        <v/>
      </c>
      <c r="H116" s="12" t="str">
        <f aca="false">IF($A116="","",IF($G116&lt;=0,"Paid",IF($F116&gt;0,"Partial","Unpaid")))</f>
        <v/>
      </c>
    </row>
    <row r="117" customFormat="false" ht="15" hidden="false" customHeight="true" outlineLevel="0" collapsed="false">
      <c r="A117" s="12" t="str">
        <f aca="false">IF('Purchase Orders'!$L117="Received",'Purchase Orders'!$A117,"")</f>
        <v/>
      </c>
      <c r="B117" s="12" t="str">
        <f aca="false">IF($A117="","",'Purchase Orders'!$C117)</f>
        <v/>
      </c>
      <c r="C117" s="12" t="str">
        <f aca="false">IF($A117="","",'Purchase Orders'!$D117)</f>
        <v/>
      </c>
      <c r="D117" s="12" t="str">
        <f aca="false">IF($A117="","",'Purchase Orders'!$E117)</f>
        <v/>
      </c>
      <c r="E117" s="13" t="str">
        <f aca="false">IF($A117="","",'Purchase Orders'!$I117)</f>
        <v/>
      </c>
      <c r="F117" s="13" t="str">
        <f aca="false">IF($A117="","",SUMIFS('Expense Entry'!$K$5:$K$6000,'Expense Entry'!$E$5:$E$6000,"Payable Payment",'Expense Entry'!$L$5:$L$6000,$A117))</f>
        <v/>
      </c>
      <c r="G117" s="13" t="str">
        <f aca="false">IF($A117="","",$E117-$F117)</f>
        <v/>
      </c>
      <c r="H117" s="12" t="str">
        <f aca="false">IF($A117="","",IF($G117&lt;=0,"Paid",IF($F117&gt;0,"Partial","Unpaid")))</f>
        <v/>
      </c>
    </row>
    <row r="118" customFormat="false" ht="15" hidden="false" customHeight="true" outlineLevel="0" collapsed="false">
      <c r="A118" s="12" t="str">
        <f aca="false">IF('Purchase Orders'!$L118="Received",'Purchase Orders'!$A118,"")</f>
        <v/>
      </c>
      <c r="B118" s="12" t="str">
        <f aca="false">IF($A118="","",'Purchase Orders'!$C118)</f>
        <v/>
      </c>
      <c r="C118" s="12" t="str">
        <f aca="false">IF($A118="","",'Purchase Orders'!$D118)</f>
        <v/>
      </c>
      <c r="D118" s="12" t="str">
        <f aca="false">IF($A118="","",'Purchase Orders'!$E118)</f>
        <v/>
      </c>
      <c r="E118" s="13" t="str">
        <f aca="false">IF($A118="","",'Purchase Orders'!$I118)</f>
        <v/>
      </c>
      <c r="F118" s="13" t="str">
        <f aca="false">IF($A118="","",SUMIFS('Expense Entry'!$K$5:$K$6000,'Expense Entry'!$E$5:$E$6000,"Payable Payment",'Expense Entry'!$L$5:$L$6000,$A118))</f>
        <v/>
      </c>
      <c r="G118" s="13" t="str">
        <f aca="false">IF($A118="","",$E118-$F118)</f>
        <v/>
      </c>
      <c r="H118" s="12" t="str">
        <f aca="false">IF($A118="","",IF($G118&lt;=0,"Paid",IF($F118&gt;0,"Partial","Unpaid")))</f>
        <v/>
      </c>
    </row>
    <row r="119" customFormat="false" ht="15" hidden="false" customHeight="true" outlineLevel="0" collapsed="false">
      <c r="A119" s="12" t="str">
        <f aca="false">IF('Purchase Orders'!$L119="Received",'Purchase Orders'!$A119,"")</f>
        <v/>
      </c>
      <c r="B119" s="12" t="str">
        <f aca="false">IF($A119="","",'Purchase Orders'!$C119)</f>
        <v/>
      </c>
      <c r="C119" s="12" t="str">
        <f aca="false">IF($A119="","",'Purchase Orders'!$D119)</f>
        <v/>
      </c>
      <c r="D119" s="12" t="str">
        <f aca="false">IF($A119="","",'Purchase Orders'!$E119)</f>
        <v/>
      </c>
      <c r="E119" s="13" t="str">
        <f aca="false">IF($A119="","",'Purchase Orders'!$I119)</f>
        <v/>
      </c>
      <c r="F119" s="13" t="str">
        <f aca="false">IF($A119="","",SUMIFS('Expense Entry'!$K$5:$K$6000,'Expense Entry'!$E$5:$E$6000,"Payable Payment",'Expense Entry'!$L$5:$L$6000,$A119))</f>
        <v/>
      </c>
      <c r="G119" s="13" t="str">
        <f aca="false">IF($A119="","",$E119-$F119)</f>
        <v/>
      </c>
      <c r="H119" s="12" t="str">
        <f aca="false">IF($A119="","",IF($G119&lt;=0,"Paid",IF($F119&gt;0,"Partial","Unpaid")))</f>
        <v/>
      </c>
    </row>
    <row r="120" customFormat="false" ht="15" hidden="false" customHeight="true" outlineLevel="0" collapsed="false">
      <c r="A120" s="12" t="str">
        <f aca="false">IF('Purchase Orders'!$L120="Received",'Purchase Orders'!$A120,"")</f>
        <v/>
      </c>
      <c r="B120" s="12" t="str">
        <f aca="false">IF($A120="","",'Purchase Orders'!$C120)</f>
        <v/>
      </c>
      <c r="C120" s="12" t="str">
        <f aca="false">IF($A120="","",'Purchase Orders'!$D120)</f>
        <v/>
      </c>
      <c r="D120" s="12" t="str">
        <f aca="false">IF($A120="","",'Purchase Orders'!$E120)</f>
        <v/>
      </c>
      <c r="E120" s="13" t="str">
        <f aca="false">IF($A120="","",'Purchase Orders'!$I120)</f>
        <v/>
      </c>
      <c r="F120" s="13" t="str">
        <f aca="false">IF($A120="","",SUMIFS('Expense Entry'!$K$5:$K$6000,'Expense Entry'!$E$5:$E$6000,"Payable Payment",'Expense Entry'!$L$5:$L$6000,$A120))</f>
        <v/>
      </c>
      <c r="G120" s="13" t="str">
        <f aca="false">IF($A120="","",$E120-$F120)</f>
        <v/>
      </c>
      <c r="H120" s="12" t="str">
        <f aca="false">IF($A120="","",IF($G120&lt;=0,"Paid",IF($F120&gt;0,"Partial","Unpaid")))</f>
        <v/>
      </c>
    </row>
    <row r="121" customFormat="false" ht="15" hidden="false" customHeight="true" outlineLevel="0" collapsed="false">
      <c r="A121" s="12" t="str">
        <f aca="false">IF('Purchase Orders'!$L121="Received",'Purchase Orders'!$A121,"")</f>
        <v/>
      </c>
      <c r="B121" s="12" t="str">
        <f aca="false">IF($A121="","",'Purchase Orders'!$C121)</f>
        <v/>
      </c>
      <c r="C121" s="12" t="str">
        <f aca="false">IF($A121="","",'Purchase Orders'!$D121)</f>
        <v/>
      </c>
      <c r="D121" s="12" t="str">
        <f aca="false">IF($A121="","",'Purchase Orders'!$E121)</f>
        <v/>
      </c>
      <c r="E121" s="13" t="str">
        <f aca="false">IF($A121="","",'Purchase Orders'!$I121)</f>
        <v/>
      </c>
      <c r="F121" s="13" t="str">
        <f aca="false">IF($A121="","",SUMIFS('Expense Entry'!$K$5:$K$6000,'Expense Entry'!$E$5:$E$6000,"Payable Payment",'Expense Entry'!$L$5:$L$6000,$A121))</f>
        <v/>
      </c>
      <c r="G121" s="13" t="str">
        <f aca="false">IF($A121="","",$E121-$F121)</f>
        <v/>
      </c>
      <c r="H121" s="12" t="str">
        <f aca="false">IF($A121="","",IF($G121&lt;=0,"Paid",IF($F121&gt;0,"Partial","Unpaid")))</f>
        <v/>
      </c>
    </row>
    <row r="122" customFormat="false" ht="15" hidden="false" customHeight="true" outlineLevel="0" collapsed="false">
      <c r="A122" s="12" t="str">
        <f aca="false">IF('Purchase Orders'!$L122="Received",'Purchase Orders'!$A122,"")</f>
        <v/>
      </c>
      <c r="B122" s="12" t="str">
        <f aca="false">IF($A122="","",'Purchase Orders'!$C122)</f>
        <v/>
      </c>
      <c r="C122" s="12" t="str">
        <f aca="false">IF($A122="","",'Purchase Orders'!$D122)</f>
        <v/>
      </c>
      <c r="D122" s="12" t="str">
        <f aca="false">IF($A122="","",'Purchase Orders'!$E122)</f>
        <v/>
      </c>
      <c r="E122" s="13" t="str">
        <f aca="false">IF($A122="","",'Purchase Orders'!$I122)</f>
        <v/>
      </c>
      <c r="F122" s="13" t="str">
        <f aca="false">IF($A122="","",SUMIFS('Expense Entry'!$K$5:$K$6000,'Expense Entry'!$E$5:$E$6000,"Payable Payment",'Expense Entry'!$L$5:$L$6000,$A122))</f>
        <v/>
      </c>
      <c r="G122" s="13" t="str">
        <f aca="false">IF($A122="","",$E122-$F122)</f>
        <v/>
      </c>
      <c r="H122" s="12" t="str">
        <f aca="false">IF($A122="","",IF($G122&lt;=0,"Paid",IF($F122&gt;0,"Partial","Unpaid")))</f>
        <v/>
      </c>
    </row>
    <row r="123" customFormat="false" ht="15" hidden="false" customHeight="true" outlineLevel="0" collapsed="false">
      <c r="A123" s="12" t="str">
        <f aca="false">IF('Purchase Orders'!$L123="Received",'Purchase Orders'!$A123,"")</f>
        <v/>
      </c>
      <c r="B123" s="12" t="str">
        <f aca="false">IF($A123="","",'Purchase Orders'!$C123)</f>
        <v/>
      </c>
      <c r="C123" s="12" t="str">
        <f aca="false">IF($A123="","",'Purchase Orders'!$D123)</f>
        <v/>
      </c>
      <c r="D123" s="12" t="str">
        <f aca="false">IF($A123="","",'Purchase Orders'!$E123)</f>
        <v/>
      </c>
      <c r="E123" s="13" t="str">
        <f aca="false">IF($A123="","",'Purchase Orders'!$I123)</f>
        <v/>
      </c>
      <c r="F123" s="13" t="str">
        <f aca="false">IF($A123="","",SUMIFS('Expense Entry'!$K$5:$K$6000,'Expense Entry'!$E$5:$E$6000,"Payable Payment",'Expense Entry'!$L$5:$L$6000,$A123))</f>
        <v/>
      </c>
      <c r="G123" s="13" t="str">
        <f aca="false">IF($A123="","",$E123-$F123)</f>
        <v/>
      </c>
      <c r="H123" s="12" t="str">
        <f aca="false">IF($A123="","",IF($G123&lt;=0,"Paid",IF($F123&gt;0,"Partial","Unpaid")))</f>
        <v/>
      </c>
    </row>
    <row r="124" customFormat="false" ht="15" hidden="false" customHeight="true" outlineLevel="0" collapsed="false">
      <c r="A124" s="12" t="str">
        <f aca="false">IF('Purchase Orders'!$L124="Received",'Purchase Orders'!$A124,"")</f>
        <v/>
      </c>
      <c r="B124" s="12" t="str">
        <f aca="false">IF($A124="","",'Purchase Orders'!$C124)</f>
        <v/>
      </c>
      <c r="C124" s="12" t="str">
        <f aca="false">IF($A124="","",'Purchase Orders'!$D124)</f>
        <v/>
      </c>
      <c r="D124" s="12" t="str">
        <f aca="false">IF($A124="","",'Purchase Orders'!$E124)</f>
        <v/>
      </c>
      <c r="E124" s="13" t="str">
        <f aca="false">IF($A124="","",'Purchase Orders'!$I124)</f>
        <v/>
      </c>
      <c r="F124" s="13" t="str">
        <f aca="false">IF($A124="","",SUMIFS('Expense Entry'!$K$5:$K$6000,'Expense Entry'!$E$5:$E$6000,"Payable Payment",'Expense Entry'!$L$5:$L$6000,$A124))</f>
        <v/>
      </c>
      <c r="G124" s="13" t="str">
        <f aca="false">IF($A124="","",$E124-$F124)</f>
        <v/>
      </c>
      <c r="H124" s="12" t="str">
        <f aca="false">IF($A124="","",IF($G124&lt;=0,"Paid",IF($F124&gt;0,"Partial","Unpaid")))</f>
        <v/>
      </c>
    </row>
    <row r="125" customFormat="false" ht="15" hidden="false" customHeight="true" outlineLevel="0" collapsed="false">
      <c r="A125" s="12" t="str">
        <f aca="false">IF('Purchase Orders'!$L125="Received",'Purchase Orders'!$A125,"")</f>
        <v/>
      </c>
      <c r="B125" s="12" t="str">
        <f aca="false">IF($A125="","",'Purchase Orders'!$C125)</f>
        <v/>
      </c>
      <c r="C125" s="12" t="str">
        <f aca="false">IF($A125="","",'Purchase Orders'!$D125)</f>
        <v/>
      </c>
      <c r="D125" s="12" t="str">
        <f aca="false">IF($A125="","",'Purchase Orders'!$E125)</f>
        <v/>
      </c>
      <c r="E125" s="13" t="str">
        <f aca="false">IF($A125="","",'Purchase Orders'!$I125)</f>
        <v/>
      </c>
      <c r="F125" s="13" t="str">
        <f aca="false">IF($A125="","",SUMIFS('Expense Entry'!$K$5:$K$6000,'Expense Entry'!$E$5:$E$6000,"Payable Payment",'Expense Entry'!$L$5:$L$6000,$A125))</f>
        <v/>
      </c>
      <c r="G125" s="13" t="str">
        <f aca="false">IF($A125="","",$E125-$F125)</f>
        <v/>
      </c>
      <c r="H125" s="12" t="str">
        <f aca="false">IF($A125="","",IF($G125&lt;=0,"Paid",IF($F125&gt;0,"Partial","Unpaid")))</f>
        <v/>
      </c>
    </row>
    <row r="126" customFormat="false" ht="15" hidden="false" customHeight="true" outlineLevel="0" collapsed="false">
      <c r="A126" s="12" t="str">
        <f aca="false">IF('Purchase Orders'!$L126="Received",'Purchase Orders'!$A126,"")</f>
        <v/>
      </c>
      <c r="B126" s="12" t="str">
        <f aca="false">IF($A126="","",'Purchase Orders'!$C126)</f>
        <v/>
      </c>
      <c r="C126" s="12" t="str">
        <f aca="false">IF($A126="","",'Purchase Orders'!$D126)</f>
        <v/>
      </c>
      <c r="D126" s="12" t="str">
        <f aca="false">IF($A126="","",'Purchase Orders'!$E126)</f>
        <v/>
      </c>
      <c r="E126" s="13" t="str">
        <f aca="false">IF($A126="","",'Purchase Orders'!$I126)</f>
        <v/>
      </c>
      <c r="F126" s="13" t="str">
        <f aca="false">IF($A126="","",SUMIFS('Expense Entry'!$K$5:$K$6000,'Expense Entry'!$E$5:$E$6000,"Payable Payment",'Expense Entry'!$L$5:$L$6000,$A126))</f>
        <v/>
      </c>
      <c r="G126" s="13" t="str">
        <f aca="false">IF($A126="","",$E126-$F126)</f>
        <v/>
      </c>
      <c r="H126" s="12" t="str">
        <f aca="false">IF($A126="","",IF($G126&lt;=0,"Paid",IF($F126&gt;0,"Partial","Unpaid")))</f>
        <v/>
      </c>
    </row>
    <row r="127" customFormat="false" ht="15" hidden="false" customHeight="true" outlineLevel="0" collapsed="false">
      <c r="A127" s="12" t="str">
        <f aca="false">IF('Purchase Orders'!$L127="Received",'Purchase Orders'!$A127,"")</f>
        <v/>
      </c>
      <c r="B127" s="12" t="str">
        <f aca="false">IF($A127="","",'Purchase Orders'!$C127)</f>
        <v/>
      </c>
      <c r="C127" s="12" t="str">
        <f aca="false">IF($A127="","",'Purchase Orders'!$D127)</f>
        <v/>
      </c>
      <c r="D127" s="12" t="str">
        <f aca="false">IF($A127="","",'Purchase Orders'!$E127)</f>
        <v/>
      </c>
      <c r="E127" s="13" t="str">
        <f aca="false">IF($A127="","",'Purchase Orders'!$I127)</f>
        <v/>
      </c>
      <c r="F127" s="13" t="str">
        <f aca="false">IF($A127="","",SUMIFS('Expense Entry'!$K$5:$K$6000,'Expense Entry'!$E$5:$E$6000,"Payable Payment",'Expense Entry'!$L$5:$L$6000,$A127))</f>
        <v/>
      </c>
      <c r="G127" s="13" t="str">
        <f aca="false">IF($A127="","",$E127-$F127)</f>
        <v/>
      </c>
      <c r="H127" s="12" t="str">
        <f aca="false">IF($A127="","",IF($G127&lt;=0,"Paid",IF($F127&gt;0,"Partial","Unpaid")))</f>
        <v/>
      </c>
    </row>
    <row r="128" customFormat="false" ht="15" hidden="false" customHeight="true" outlineLevel="0" collapsed="false">
      <c r="A128" s="12" t="str">
        <f aca="false">IF('Purchase Orders'!$L128="Received",'Purchase Orders'!$A128,"")</f>
        <v/>
      </c>
      <c r="B128" s="12" t="str">
        <f aca="false">IF($A128="","",'Purchase Orders'!$C128)</f>
        <v/>
      </c>
      <c r="C128" s="12" t="str">
        <f aca="false">IF($A128="","",'Purchase Orders'!$D128)</f>
        <v/>
      </c>
      <c r="D128" s="12" t="str">
        <f aca="false">IF($A128="","",'Purchase Orders'!$E128)</f>
        <v/>
      </c>
      <c r="E128" s="13" t="str">
        <f aca="false">IF($A128="","",'Purchase Orders'!$I128)</f>
        <v/>
      </c>
      <c r="F128" s="13" t="str">
        <f aca="false">IF($A128="","",SUMIFS('Expense Entry'!$K$5:$K$6000,'Expense Entry'!$E$5:$E$6000,"Payable Payment",'Expense Entry'!$L$5:$L$6000,$A128))</f>
        <v/>
      </c>
      <c r="G128" s="13" t="str">
        <f aca="false">IF($A128="","",$E128-$F128)</f>
        <v/>
      </c>
      <c r="H128" s="12" t="str">
        <f aca="false">IF($A128="","",IF($G128&lt;=0,"Paid",IF($F128&gt;0,"Partial","Unpaid")))</f>
        <v/>
      </c>
    </row>
    <row r="129" customFormat="false" ht="15" hidden="false" customHeight="true" outlineLevel="0" collapsed="false">
      <c r="A129" s="12" t="str">
        <f aca="false">IF('Purchase Orders'!$L129="Received",'Purchase Orders'!$A129,"")</f>
        <v/>
      </c>
      <c r="B129" s="12" t="str">
        <f aca="false">IF($A129="","",'Purchase Orders'!$C129)</f>
        <v/>
      </c>
      <c r="C129" s="12" t="str">
        <f aca="false">IF($A129="","",'Purchase Orders'!$D129)</f>
        <v/>
      </c>
      <c r="D129" s="12" t="str">
        <f aca="false">IF($A129="","",'Purchase Orders'!$E129)</f>
        <v/>
      </c>
      <c r="E129" s="13" t="str">
        <f aca="false">IF($A129="","",'Purchase Orders'!$I129)</f>
        <v/>
      </c>
      <c r="F129" s="13" t="str">
        <f aca="false">IF($A129="","",SUMIFS('Expense Entry'!$K$5:$K$6000,'Expense Entry'!$E$5:$E$6000,"Payable Payment",'Expense Entry'!$L$5:$L$6000,$A129))</f>
        <v/>
      </c>
      <c r="G129" s="13" t="str">
        <f aca="false">IF($A129="","",$E129-$F129)</f>
        <v/>
      </c>
      <c r="H129" s="12" t="str">
        <f aca="false">IF($A129="","",IF($G129&lt;=0,"Paid",IF($F129&gt;0,"Partial","Unpaid")))</f>
        <v/>
      </c>
    </row>
    <row r="130" customFormat="false" ht="15" hidden="false" customHeight="true" outlineLevel="0" collapsed="false">
      <c r="A130" s="12" t="str">
        <f aca="false">IF('Purchase Orders'!$L130="Received",'Purchase Orders'!$A130,"")</f>
        <v/>
      </c>
      <c r="B130" s="12" t="str">
        <f aca="false">IF($A130="","",'Purchase Orders'!$C130)</f>
        <v/>
      </c>
      <c r="C130" s="12" t="str">
        <f aca="false">IF($A130="","",'Purchase Orders'!$D130)</f>
        <v/>
      </c>
      <c r="D130" s="12" t="str">
        <f aca="false">IF($A130="","",'Purchase Orders'!$E130)</f>
        <v/>
      </c>
      <c r="E130" s="13" t="str">
        <f aca="false">IF($A130="","",'Purchase Orders'!$I130)</f>
        <v/>
      </c>
      <c r="F130" s="13" t="str">
        <f aca="false">IF($A130="","",SUMIFS('Expense Entry'!$K$5:$K$6000,'Expense Entry'!$E$5:$E$6000,"Payable Payment",'Expense Entry'!$L$5:$L$6000,$A130))</f>
        <v/>
      </c>
      <c r="G130" s="13" t="str">
        <f aca="false">IF($A130="","",$E130-$F130)</f>
        <v/>
      </c>
      <c r="H130" s="12" t="str">
        <f aca="false">IF($A130="","",IF($G130&lt;=0,"Paid",IF($F130&gt;0,"Partial","Unpaid")))</f>
        <v/>
      </c>
    </row>
    <row r="131" customFormat="false" ht="15" hidden="false" customHeight="true" outlineLevel="0" collapsed="false">
      <c r="A131" s="12" t="str">
        <f aca="false">IF('Purchase Orders'!$L131="Received",'Purchase Orders'!$A131,"")</f>
        <v/>
      </c>
      <c r="B131" s="12" t="str">
        <f aca="false">IF($A131="","",'Purchase Orders'!$C131)</f>
        <v/>
      </c>
      <c r="C131" s="12" t="str">
        <f aca="false">IF($A131="","",'Purchase Orders'!$D131)</f>
        <v/>
      </c>
      <c r="D131" s="12" t="str">
        <f aca="false">IF($A131="","",'Purchase Orders'!$E131)</f>
        <v/>
      </c>
      <c r="E131" s="13" t="str">
        <f aca="false">IF($A131="","",'Purchase Orders'!$I131)</f>
        <v/>
      </c>
      <c r="F131" s="13" t="str">
        <f aca="false">IF($A131="","",SUMIFS('Expense Entry'!$K$5:$K$6000,'Expense Entry'!$E$5:$E$6000,"Payable Payment",'Expense Entry'!$L$5:$L$6000,$A131))</f>
        <v/>
      </c>
      <c r="G131" s="13" t="str">
        <f aca="false">IF($A131="","",$E131-$F131)</f>
        <v/>
      </c>
      <c r="H131" s="12" t="str">
        <f aca="false">IF($A131="","",IF($G131&lt;=0,"Paid",IF($F131&gt;0,"Partial","Unpaid")))</f>
        <v/>
      </c>
    </row>
    <row r="132" customFormat="false" ht="15" hidden="false" customHeight="true" outlineLevel="0" collapsed="false">
      <c r="A132" s="12" t="str">
        <f aca="false">IF('Purchase Orders'!$L132="Received",'Purchase Orders'!$A132,"")</f>
        <v/>
      </c>
      <c r="B132" s="12" t="str">
        <f aca="false">IF($A132="","",'Purchase Orders'!$C132)</f>
        <v/>
      </c>
      <c r="C132" s="12" t="str">
        <f aca="false">IF($A132="","",'Purchase Orders'!$D132)</f>
        <v/>
      </c>
      <c r="D132" s="12" t="str">
        <f aca="false">IF($A132="","",'Purchase Orders'!$E132)</f>
        <v/>
      </c>
      <c r="E132" s="13" t="str">
        <f aca="false">IF($A132="","",'Purchase Orders'!$I132)</f>
        <v/>
      </c>
      <c r="F132" s="13" t="str">
        <f aca="false">IF($A132="","",SUMIFS('Expense Entry'!$K$5:$K$6000,'Expense Entry'!$E$5:$E$6000,"Payable Payment",'Expense Entry'!$L$5:$L$6000,$A132))</f>
        <v/>
      </c>
      <c r="G132" s="13" t="str">
        <f aca="false">IF($A132="","",$E132-$F132)</f>
        <v/>
      </c>
      <c r="H132" s="12" t="str">
        <f aca="false">IF($A132="","",IF($G132&lt;=0,"Paid",IF($F132&gt;0,"Partial","Unpaid")))</f>
        <v/>
      </c>
    </row>
    <row r="133" customFormat="false" ht="15" hidden="false" customHeight="true" outlineLevel="0" collapsed="false">
      <c r="A133" s="12" t="str">
        <f aca="false">IF('Purchase Orders'!$L133="Received",'Purchase Orders'!$A133,"")</f>
        <v/>
      </c>
      <c r="B133" s="12" t="str">
        <f aca="false">IF($A133="","",'Purchase Orders'!$C133)</f>
        <v/>
      </c>
      <c r="C133" s="12" t="str">
        <f aca="false">IF($A133="","",'Purchase Orders'!$D133)</f>
        <v/>
      </c>
      <c r="D133" s="12" t="str">
        <f aca="false">IF($A133="","",'Purchase Orders'!$E133)</f>
        <v/>
      </c>
      <c r="E133" s="13" t="str">
        <f aca="false">IF($A133="","",'Purchase Orders'!$I133)</f>
        <v/>
      </c>
      <c r="F133" s="13" t="str">
        <f aca="false">IF($A133="","",SUMIFS('Expense Entry'!$K$5:$K$6000,'Expense Entry'!$E$5:$E$6000,"Payable Payment",'Expense Entry'!$L$5:$L$6000,$A133))</f>
        <v/>
      </c>
      <c r="G133" s="13" t="str">
        <f aca="false">IF($A133="","",$E133-$F133)</f>
        <v/>
      </c>
      <c r="H133" s="12" t="str">
        <f aca="false">IF($A133="","",IF($G133&lt;=0,"Paid",IF($F133&gt;0,"Partial","Unpaid")))</f>
        <v/>
      </c>
    </row>
    <row r="134" customFormat="false" ht="15" hidden="false" customHeight="true" outlineLevel="0" collapsed="false">
      <c r="A134" s="12" t="str">
        <f aca="false">IF('Purchase Orders'!$L134="Received",'Purchase Orders'!$A134,"")</f>
        <v/>
      </c>
      <c r="B134" s="12" t="str">
        <f aca="false">IF($A134="","",'Purchase Orders'!$C134)</f>
        <v/>
      </c>
      <c r="C134" s="12" t="str">
        <f aca="false">IF($A134="","",'Purchase Orders'!$D134)</f>
        <v/>
      </c>
      <c r="D134" s="12" t="str">
        <f aca="false">IF($A134="","",'Purchase Orders'!$E134)</f>
        <v/>
      </c>
      <c r="E134" s="13" t="str">
        <f aca="false">IF($A134="","",'Purchase Orders'!$I134)</f>
        <v/>
      </c>
      <c r="F134" s="13" t="str">
        <f aca="false">IF($A134="","",SUMIFS('Expense Entry'!$K$5:$K$6000,'Expense Entry'!$E$5:$E$6000,"Payable Payment",'Expense Entry'!$L$5:$L$6000,$A134))</f>
        <v/>
      </c>
      <c r="G134" s="13" t="str">
        <f aca="false">IF($A134="","",$E134-$F134)</f>
        <v/>
      </c>
      <c r="H134" s="12" t="str">
        <f aca="false">IF($A134="","",IF($G134&lt;=0,"Paid",IF($F134&gt;0,"Partial","Unpaid")))</f>
        <v/>
      </c>
    </row>
    <row r="135" customFormat="false" ht="15" hidden="false" customHeight="true" outlineLevel="0" collapsed="false">
      <c r="A135" s="12" t="str">
        <f aca="false">IF('Purchase Orders'!$L135="Received",'Purchase Orders'!$A135,"")</f>
        <v/>
      </c>
      <c r="B135" s="12" t="str">
        <f aca="false">IF($A135="","",'Purchase Orders'!$C135)</f>
        <v/>
      </c>
      <c r="C135" s="12" t="str">
        <f aca="false">IF($A135="","",'Purchase Orders'!$D135)</f>
        <v/>
      </c>
      <c r="D135" s="12" t="str">
        <f aca="false">IF($A135="","",'Purchase Orders'!$E135)</f>
        <v/>
      </c>
      <c r="E135" s="13" t="str">
        <f aca="false">IF($A135="","",'Purchase Orders'!$I135)</f>
        <v/>
      </c>
      <c r="F135" s="13" t="str">
        <f aca="false">IF($A135="","",SUMIFS('Expense Entry'!$K$5:$K$6000,'Expense Entry'!$E$5:$E$6000,"Payable Payment",'Expense Entry'!$L$5:$L$6000,$A135))</f>
        <v/>
      </c>
      <c r="G135" s="13" t="str">
        <f aca="false">IF($A135="","",$E135-$F135)</f>
        <v/>
      </c>
      <c r="H135" s="12" t="str">
        <f aca="false">IF($A135="","",IF($G135&lt;=0,"Paid",IF($F135&gt;0,"Partial","Unpaid")))</f>
        <v/>
      </c>
    </row>
    <row r="136" customFormat="false" ht="15" hidden="false" customHeight="true" outlineLevel="0" collapsed="false">
      <c r="A136" s="12" t="str">
        <f aca="false">IF('Purchase Orders'!$L136="Received",'Purchase Orders'!$A136,"")</f>
        <v/>
      </c>
      <c r="B136" s="12" t="str">
        <f aca="false">IF($A136="","",'Purchase Orders'!$C136)</f>
        <v/>
      </c>
      <c r="C136" s="12" t="str">
        <f aca="false">IF($A136="","",'Purchase Orders'!$D136)</f>
        <v/>
      </c>
      <c r="D136" s="12" t="str">
        <f aca="false">IF($A136="","",'Purchase Orders'!$E136)</f>
        <v/>
      </c>
      <c r="E136" s="13" t="str">
        <f aca="false">IF($A136="","",'Purchase Orders'!$I136)</f>
        <v/>
      </c>
      <c r="F136" s="13" t="str">
        <f aca="false">IF($A136="","",SUMIFS('Expense Entry'!$K$5:$K$6000,'Expense Entry'!$E$5:$E$6000,"Payable Payment",'Expense Entry'!$L$5:$L$6000,$A136))</f>
        <v/>
      </c>
      <c r="G136" s="13" t="str">
        <f aca="false">IF($A136="","",$E136-$F136)</f>
        <v/>
      </c>
      <c r="H136" s="12" t="str">
        <f aca="false">IF($A136="","",IF($G136&lt;=0,"Paid",IF($F136&gt;0,"Partial","Unpaid")))</f>
        <v/>
      </c>
    </row>
    <row r="137" customFormat="false" ht="15" hidden="false" customHeight="true" outlineLevel="0" collapsed="false">
      <c r="A137" s="12" t="str">
        <f aca="false">IF('Purchase Orders'!$L137="Received",'Purchase Orders'!$A137,"")</f>
        <v/>
      </c>
      <c r="B137" s="12" t="str">
        <f aca="false">IF($A137="","",'Purchase Orders'!$C137)</f>
        <v/>
      </c>
      <c r="C137" s="12" t="str">
        <f aca="false">IF($A137="","",'Purchase Orders'!$D137)</f>
        <v/>
      </c>
      <c r="D137" s="12" t="str">
        <f aca="false">IF($A137="","",'Purchase Orders'!$E137)</f>
        <v/>
      </c>
      <c r="E137" s="13" t="str">
        <f aca="false">IF($A137="","",'Purchase Orders'!$I137)</f>
        <v/>
      </c>
      <c r="F137" s="13" t="str">
        <f aca="false">IF($A137="","",SUMIFS('Expense Entry'!$K$5:$K$6000,'Expense Entry'!$E$5:$E$6000,"Payable Payment",'Expense Entry'!$L$5:$L$6000,$A137))</f>
        <v/>
      </c>
      <c r="G137" s="13" t="str">
        <f aca="false">IF($A137="","",$E137-$F137)</f>
        <v/>
      </c>
      <c r="H137" s="12" t="str">
        <f aca="false">IF($A137="","",IF($G137&lt;=0,"Paid",IF($F137&gt;0,"Partial","Unpaid")))</f>
        <v/>
      </c>
    </row>
    <row r="138" customFormat="false" ht="15" hidden="false" customHeight="true" outlineLevel="0" collapsed="false">
      <c r="A138" s="12" t="str">
        <f aca="false">IF('Purchase Orders'!$L138="Received",'Purchase Orders'!$A138,"")</f>
        <v/>
      </c>
      <c r="B138" s="12" t="str">
        <f aca="false">IF($A138="","",'Purchase Orders'!$C138)</f>
        <v/>
      </c>
      <c r="C138" s="12" t="str">
        <f aca="false">IF($A138="","",'Purchase Orders'!$D138)</f>
        <v/>
      </c>
      <c r="D138" s="12" t="str">
        <f aca="false">IF($A138="","",'Purchase Orders'!$E138)</f>
        <v/>
      </c>
      <c r="E138" s="13" t="str">
        <f aca="false">IF($A138="","",'Purchase Orders'!$I138)</f>
        <v/>
      </c>
      <c r="F138" s="13" t="str">
        <f aca="false">IF($A138="","",SUMIFS('Expense Entry'!$K$5:$K$6000,'Expense Entry'!$E$5:$E$6000,"Payable Payment",'Expense Entry'!$L$5:$L$6000,$A138))</f>
        <v/>
      </c>
      <c r="G138" s="13" t="str">
        <f aca="false">IF($A138="","",$E138-$F138)</f>
        <v/>
      </c>
      <c r="H138" s="12" t="str">
        <f aca="false">IF($A138="","",IF($G138&lt;=0,"Paid",IF($F138&gt;0,"Partial","Unpaid")))</f>
        <v/>
      </c>
    </row>
    <row r="139" customFormat="false" ht="15" hidden="false" customHeight="true" outlineLevel="0" collapsed="false">
      <c r="A139" s="12" t="str">
        <f aca="false">IF('Purchase Orders'!$L139="Received",'Purchase Orders'!$A139,"")</f>
        <v/>
      </c>
      <c r="B139" s="12" t="str">
        <f aca="false">IF($A139="","",'Purchase Orders'!$C139)</f>
        <v/>
      </c>
      <c r="C139" s="12" t="str">
        <f aca="false">IF($A139="","",'Purchase Orders'!$D139)</f>
        <v/>
      </c>
      <c r="D139" s="12" t="str">
        <f aca="false">IF($A139="","",'Purchase Orders'!$E139)</f>
        <v/>
      </c>
      <c r="E139" s="13" t="str">
        <f aca="false">IF($A139="","",'Purchase Orders'!$I139)</f>
        <v/>
      </c>
      <c r="F139" s="13" t="str">
        <f aca="false">IF($A139="","",SUMIFS('Expense Entry'!$K$5:$K$6000,'Expense Entry'!$E$5:$E$6000,"Payable Payment",'Expense Entry'!$L$5:$L$6000,$A139))</f>
        <v/>
      </c>
      <c r="G139" s="13" t="str">
        <f aca="false">IF($A139="","",$E139-$F139)</f>
        <v/>
      </c>
      <c r="H139" s="12" t="str">
        <f aca="false">IF($A139="","",IF($G139&lt;=0,"Paid",IF($F139&gt;0,"Partial","Unpaid")))</f>
        <v/>
      </c>
    </row>
    <row r="140" customFormat="false" ht="15" hidden="false" customHeight="true" outlineLevel="0" collapsed="false">
      <c r="A140" s="12" t="str">
        <f aca="false">IF('Purchase Orders'!$L140="Received",'Purchase Orders'!$A140,"")</f>
        <v/>
      </c>
      <c r="B140" s="12" t="str">
        <f aca="false">IF($A140="","",'Purchase Orders'!$C140)</f>
        <v/>
      </c>
      <c r="C140" s="12" t="str">
        <f aca="false">IF($A140="","",'Purchase Orders'!$D140)</f>
        <v/>
      </c>
      <c r="D140" s="12" t="str">
        <f aca="false">IF($A140="","",'Purchase Orders'!$E140)</f>
        <v/>
      </c>
      <c r="E140" s="13" t="str">
        <f aca="false">IF($A140="","",'Purchase Orders'!$I140)</f>
        <v/>
      </c>
      <c r="F140" s="13" t="str">
        <f aca="false">IF($A140="","",SUMIFS('Expense Entry'!$K$5:$K$6000,'Expense Entry'!$E$5:$E$6000,"Payable Payment",'Expense Entry'!$L$5:$L$6000,$A140))</f>
        <v/>
      </c>
      <c r="G140" s="13" t="str">
        <f aca="false">IF($A140="","",$E140-$F140)</f>
        <v/>
      </c>
      <c r="H140" s="12" t="str">
        <f aca="false">IF($A140="","",IF($G140&lt;=0,"Paid",IF($F140&gt;0,"Partial","Unpaid")))</f>
        <v/>
      </c>
    </row>
    <row r="141" customFormat="false" ht="15" hidden="false" customHeight="true" outlineLevel="0" collapsed="false">
      <c r="A141" s="12" t="str">
        <f aca="false">IF('Purchase Orders'!$L141="Received",'Purchase Orders'!$A141,"")</f>
        <v/>
      </c>
      <c r="B141" s="12" t="str">
        <f aca="false">IF($A141="","",'Purchase Orders'!$C141)</f>
        <v/>
      </c>
      <c r="C141" s="12" t="str">
        <f aca="false">IF($A141="","",'Purchase Orders'!$D141)</f>
        <v/>
      </c>
      <c r="D141" s="12" t="str">
        <f aca="false">IF($A141="","",'Purchase Orders'!$E141)</f>
        <v/>
      </c>
      <c r="E141" s="13" t="str">
        <f aca="false">IF($A141="","",'Purchase Orders'!$I141)</f>
        <v/>
      </c>
      <c r="F141" s="13" t="str">
        <f aca="false">IF($A141="","",SUMIFS('Expense Entry'!$K$5:$K$6000,'Expense Entry'!$E$5:$E$6000,"Payable Payment",'Expense Entry'!$L$5:$L$6000,$A141))</f>
        <v/>
      </c>
      <c r="G141" s="13" t="str">
        <f aca="false">IF($A141="","",$E141-$F141)</f>
        <v/>
      </c>
      <c r="H141" s="12" t="str">
        <f aca="false">IF($A141="","",IF($G141&lt;=0,"Paid",IF($F141&gt;0,"Partial","Unpaid")))</f>
        <v/>
      </c>
    </row>
    <row r="142" customFormat="false" ht="15" hidden="false" customHeight="true" outlineLevel="0" collapsed="false">
      <c r="A142" s="12" t="str">
        <f aca="false">IF('Purchase Orders'!$L142="Received",'Purchase Orders'!$A142,"")</f>
        <v/>
      </c>
      <c r="B142" s="12" t="str">
        <f aca="false">IF($A142="","",'Purchase Orders'!$C142)</f>
        <v/>
      </c>
      <c r="C142" s="12" t="str">
        <f aca="false">IF($A142="","",'Purchase Orders'!$D142)</f>
        <v/>
      </c>
      <c r="D142" s="12" t="str">
        <f aca="false">IF($A142="","",'Purchase Orders'!$E142)</f>
        <v/>
      </c>
      <c r="E142" s="13" t="str">
        <f aca="false">IF($A142="","",'Purchase Orders'!$I142)</f>
        <v/>
      </c>
      <c r="F142" s="13" t="str">
        <f aca="false">IF($A142="","",SUMIFS('Expense Entry'!$K$5:$K$6000,'Expense Entry'!$E$5:$E$6000,"Payable Payment",'Expense Entry'!$L$5:$L$6000,$A142))</f>
        <v/>
      </c>
      <c r="G142" s="13" t="str">
        <f aca="false">IF($A142="","",$E142-$F142)</f>
        <v/>
      </c>
      <c r="H142" s="12" t="str">
        <f aca="false">IF($A142="","",IF($G142&lt;=0,"Paid",IF($F142&gt;0,"Partial","Unpaid")))</f>
        <v/>
      </c>
    </row>
    <row r="143" customFormat="false" ht="15" hidden="false" customHeight="true" outlineLevel="0" collapsed="false">
      <c r="A143" s="12" t="str">
        <f aca="false">IF('Purchase Orders'!$L143="Received",'Purchase Orders'!$A143,"")</f>
        <v/>
      </c>
      <c r="B143" s="12" t="str">
        <f aca="false">IF($A143="","",'Purchase Orders'!$C143)</f>
        <v/>
      </c>
      <c r="C143" s="12" t="str">
        <f aca="false">IF($A143="","",'Purchase Orders'!$D143)</f>
        <v/>
      </c>
      <c r="D143" s="12" t="str">
        <f aca="false">IF($A143="","",'Purchase Orders'!$E143)</f>
        <v/>
      </c>
      <c r="E143" s="13" t="str">
        <f aca="false">IF($A143="","",'Purchase Orders'!$I143)</f>
        <v/>
      </c>
      <c r="F143" s="13" t="str">
        <f aca="false">IF($A143="","",SUMIFS('Expense Entry'!$K$5:$K$6000,'Expense Entry'!$E$5:$E$6000,"Payable Payment",'Expense Entry'!$L$5:$L$6000,$A143))</f>
        <v/>
      </c>
      <c r="G143" s="13" t="str">
        <f aca="false">IF($A143="","",$E143-$F143)</f>
        <v/>
      </c>
      <c r="H143" s="12" t="str">
        <f aca="false">IF($A143="","",IF($G143&lt;=0,"Paid",IF($F143&gt;0,"Partial","Unpaid")))</f>
        <v/>
      </c>
    </row>
    <row r="144" customFormat="false" ht="15" hidden="false" customHeight="true" outlineLevel="0" collapsed="false">
      <c r="A144" s="12" t="str">
        <f aca="false">IF('Purchase Orders'!$L144="Received",'Purchase Orders'!$A144,"")</f>
        <v/>
      </c>
      <c r="B144" s="12" t="str">
        <f aca="false">IF($A144="","",'Purchase Orders'!$C144)</f>
        <v/>
      </c>
      <c r="C144" s="12" t="str">
        <f aca="false">IF($A144="","",'Purchase Orders'!$D144)</f>
        <v/>
      </c>
      <c r="D144" s="12" t="str">
        <f aca="false">IF($A144="","",'Purchase Orders'!$E144)</f>
        <v/>
      </c>
      <c r="E144" s="13" t="str">
        <f aca="false">IF($A144="","",'Purchase Orders'!$I144)</f>
        <v/>
      </c>
      <c r="F144" s="13" t="str">
        <f aca="false">IF($A144="","",SUMIFS('Expense Entry'!$K$5:$K$6000,'Expense Entry'!$E$5:$E$6000,"Payable Payment",'Expense Entry'!$L$5:$L$6000,$A144))</f>
        <v/>
      </c>
      <c r="G144" s="13" t="str">
        <f aca="false">IF($A144="","",$E144-$F144)</f>
        <v/>
      </c>
      <c r="H144" s="12" t="str">
        <f aca="false">IF($A144="","",IF($G144&lt;=0,"Paid",IF($F144&gt;0,"Partial","Unpaid")))</f>
        <v/>
      </c>
    </row>
    <row r="145" customFormat="false" ht="15" hidden="false" customHeight="true" outlineLevel="0" collapsed="false">
      <c r="A145" s="12" t="str">
        <f aca="false">IF('Purchase Orders'!$L145="Received",'Purchase Orders'!$A145,"")</f>
        <v/>
      </c>
      <c r="B145" s="12" t="str">
        <f aca="false">IF($A145="","",'Purchase Orders'!$C145)</f>
        <v/>
      </c>
      <c r="C145" s="12" t="str">
        <f aca="false">IF($A145="","",'Purchase Orders'!$D145)</f>
        <v/>
      </c>
      <c r="D145" s="12" t="str">
        <f aca="false">IF($A145="","",'Purchase Orders'!$E145)</f>
        <v/>
      </c>
      <c r="E145" s="13" t="str">
        <f aca="false">IF($A145="","",'Purchase Orders'!$I145)</f>
        <v/>
      </c>
      <c r="F145" s="13" t="str">
        <f aca="false">IF($A145="","",SUMIFS('Expense Entry'!$K$5:$K$6000,'Expense Entry'!$E$5:$E$6000,"Payable Payment",'Expense Entry'!$L$5:$L$6000,$A145))</f>
        <v/>
      </c>
      <c r="G145" s="13" t="str">
        <f aca="false">IF($A145="","",$E145-$F145)</f>
        <v/>
      </c>
      <c r="H145" s="12" t="str">
        <f aca="false">IF($A145="","",IF($G145&lt;=0,"Paid",IF($F145&gt;0,"Partial","Unpaid")))</f>
        <v/>
      </c>
    </row>
    <row r="146" customFormat="false" ht="15" hidden="false" customHeight="true" outlineLevel="0" collapsed="false">
      <c r="A146" s="12" t="str">
        <f aca="false">IF('Purchase Orders'!$L146="Received",'Purchase Orders'!$A146,"")</f>
        <v/>
      </c>
      <c r="B146" s="12" t="str">
        <f aca="false">IF($A146="","",'Purchase Orders'!$C146)</f>
        <v/>
      </c>
      <c r="C146" s="12" t="str">
        <f aca="false">IF($A146="","",'Purchase Orders'!$D146)</f>
        <v/>
      </c>
      <c r="D146" s="12" t="str">
        <f aca="false">IF($A146="","",'Purchase Orders'!$E146)</f>
        <v/>
      </c>
      <c r="E146" s="13" t="str">
        <f aca="false">IF($A146="","",'Purchase Orders'!$I146)</f>
        <v/>
      </c>
      <c r="F146" s="13" t="str">
        <f aca="false">IF($A146="","",SUMIFS('Expense Entry'!$K$5:$K$6000,'Expense Entry'!$E$5:$E$6000,"Payable Payment",'Expense Entry'!$L$5:$L$6000,$A146))</f>
        <v/>
      </c>
      <c r="G146" s="13" t="str">
        <f aca="false">IF($A146="","",$E146-$F146)</f>
        <v/>
      </c>
      <c r="H146" s="12" t="str">
        <f aca="false">IF($A146="","",IF($G146&lt;=0,"Paid",IF($F146&gt;0,"Partial","Unpaid")))</f>
        <v/>
      </c>
    </row>
    <row r="147" customFormat="false" ht="15" hidden="false" customHeight="true" outlineLevel="0" collapsed="false">
      <c r="A147" s="12" t="str">
        <f aca="false">IF('Purchase Orders'!$L147="Received",'Purchase Orders'!$A147,"")</f>
        <v/>
      </c>
      <c r="B147" s="12" t="str">
        <f aca="false">IF($A147="","",'Purchase Orders'!$C147)</f>
        <v/>
      </c>
      <c r="C147" s="12" t="str">
        <f aca="false">IF($A147="","",'Purchase Orders'!$D147)</f>
        <v/>
      </c>
      <c r="D147" s="12" t="str">
        <f aca="false">IF($A147="","",'Purchase Orders'!$E147)</f>
        <v/>
      </c>
      <c r="E147" s="13" t="str">
        <f aca="false">IF($A147="","",'Purchase Orders'!$I147)</f>
        <v/>
      </c>
      <c r="F147" s="13" t="str">
        <f aca="false">IF($A147="","",SUMIFS('Expense Entry'!$K$5:$K$6000,'Expense Entry'!$E$5:$E$6000,"Payable Payment",'Expense Entry'!$L$5:$L$6000,$A147))</f>
        <v/>
      </c>
      <c r="G147" s="13" t="str">
        <f aca="false">IF($A147="","",$E147-$F147)</f>
        <v/>
      </c>
      <c r="H147" s="12" t="str">
        <f aca="false">IF($A147="","",IF($G147&lt;=0,"Paid",IF($F147&gt;0,"Partial","Unpaid")))</f>
        <v/>
      </c>
    </row>
    <row r="148" customFormat="false" ht="15" hidden="false" customHeight="true" outlineLevel="0" collapsed="false">
      <c r="A148" s="12" t="str">
        <f aca="false">IF('Purchase Orders'!$L148="Received",'Purchase Orders'!$A148,"")</f>
        <v/>
      </c>
      <c r="B148" s="12" t="str">
        <f aca="false">IF($A148="","",'Purchase Orders'!$C148)</f>
        <v/>
      </c>
      <c r="C148" s="12" t="str">
        <f aca="false">IF($A148="","",'Purchase Orders'!$D148)</f>
        <v/>
      </c>
      <c r="D148" s="12" t="str">
        <f aca="false">IF($A148="","",'Purchase Orders'!$E148)</f>
        <v/>
      </c>
      <c r="E148" s="13" t="str">
        <f aca="false">IF($A148="","",'Purchase Orders'!$I148)</f>
        <v/>
      </c>
      <c r="F148" s="13" t="str">
        <f aca="false">IF($A148="","",SUMIFS('Expense Entry'!$K$5:$K$6000,'Expense Entry'!$E$5:$E$6000,"Payable Payment",'Expense Entry'!$L$5:$L$6000,$A148))</f>
        <v/>
      </c>
      <c r="G148" s="13" t="str">
        <f aca="false">IF($A148="","",$E148-$F148)</f>
        <v/>
      </c>
      <c r="H148" s="12" t="str">
        <f aca="false">IF($A148="","",IF($G148&lt;=0,"Paid",IF($F148&gt;0,"Partial","Unpaid")))</f>
        <v/>
      </c>
    </row>
    <row r="149" customFormat="false" ht="15" hidden="false" customHeight="true" outlineLevel="0" collapsed="false">
      <c r="A149" s="12" t="str">
        <f aca="false">IF('Purchase Orders'!$L149="Received",'Purchase Orders'!$A149,"")</f>
        <v/>
      </c>
      <c r="B149" s="12" t="str">
        <f aca="false">IF($A149="","",'Purchase Orders'!$C149)</f>
        <v/>
      </c>
      <c r="C149" s="12" t="str">
        <f aca="false">IF($A149="","",'Purchase Orders'!$D149)</f>
        <v/>
      </c>
      <c r="D149" s="12" t="str">
        <f aca="false">IF($A149="","",'Purchase Orders'!$E149)</f>
        <v/>
      </c>
      <c r="E149" s="13" t="str">
        <f aca="false">IF($A149="","",'Purchase Orders'!$I149)</f>
        <v/>
      </c>
      <c r="F149" s="13" t="str">
        <f aca="false">IF($A149="","",SUMIFS('Expense Entry'!$K$5:$K$6000,'Expense Entry'!$E$5:$E$6000,"Payable Payment",'Expense Entry'!$L$5:$L$6000,$A149))</f>
        <v/>
      </c>
      <c r="G149" s="13" t="str">
        <f aca="false">IF($A149="","",$E149-$F149)</f>
        <v/>
      </c>
      <c r="H149" s="12" t="str">
        <f aca="false">IF($A149="","",IF($G149&lt;=0,"Paid",IF($F149&gt;0,"Partial","Unpaid")))</f>
        <v/>
      </c>
    </row>
    <row r="150" customFormat="false" ht="15" hidden="false" customHeight="true" outlineLevel="0" collapsed="false">
      <c r="A150" s="12" t="str">
        <f aca="false">IF('Purchase Orders'!$L150="Received",'Purchase Orders'!$A150,"")</f>
        <v/>
      </c>
      <c r="B150" s="12" t="str">
        <f aca="false">IF($A150="","",'Purchase Orders'!$C150)</f>
        <v/>
      </c>
      <c r="C150" s="12" t="str">
        <f aca="false">IF($A150="","",'Purchase Orders'!$D150)</f>
        <v/>
      </c>
      <c r="D150" s="12" t="str">
        <f aca="false">IF($A150="","",'Purchase Orders'!$E150)</f>
        <v/>
      </c>
      <c r="E150" s="13" t="str">
        <f aca="false">IF($A150="","",'Purchase Orders'!$I150)</f>
        <v/>
      </c>
      <c r="F150" s="13" t="str">
        <f aca="false">IF($A150="","",SUMIFS('Expense Entry'!$K$5:$K$6000,'Expense Entry'!$E$5:$E$6000,"Payable Payment",'Expense Entry'!$L$5:$L$6000,$A150))</f>
        <v/>
      </c>
      <c r="G150" s="13" t="str">
        <f aca="false">IF($A150="","",$E150-$F150)</f>
        <v/>
      </c>
      <c r="H150" s="12" t="str">
        <f aca="false">IF($A150="","",IF($G150&lt;=0,"Paid",IF($F150&gt;0,"Partial","Unpaid")))</f>
        <v/>
      </c>
    </row>
    <row r="151" customFormat="false" ht="15" hidden="false" customHeight="true" outlineLevel="0" collapsed="false">
      <c r="A151" s="12" t="str">
        <f aca="false">IF('Purchase Orders'!$L151="Received",'Purchase Orders'!$A151,"")</f>
        <v/>
      </c>
      <c r="B151" s="12" t="str">
        <f aca="false">IF($A151="","",'Purchase Orders'!$C151)</f>
        <v/>
      </c>
      <c r="C151" s="12" t="str">
        <f aca="false">IF($A151="","",'Purchase Orders'!$D151)</f>
        <v/>
      </c>
      <c r="D151" s="12" t="str">
        <f aca="false">IF($A151="","",'Purchase Orders'!$E151)</f>
        <v/>
      </c>
      <c r="E151" s="13" t="str">
        <f aca="false">IF($A151="","",'Purchase Orders'!$I151)</f>
        <v/>
      </c>
      <c r="F151" s="13" t="str">
        <f aca="false">IF($A151="","",SUMIFS('Expense Entry'!$K$5:$K$6000,'Expense Entry'!$E$5:$E$6000,"Payable Payment",'Expense Entry'!$L$5:$L$6000,$A151))</f>
        <v/>
      </c>
      <c r="G151" s="13" t="str">
        <f aca="false">IF($A151="","",$E151-$F151)</f>
        <v/>
      </c>
      <c r="H151" s="12" t="str">
        <f aca="false">IF($A151="","",IF($G151&lt;=0,"Paid",IF($F151&gt;0,"Partial","Unpaid")))</f>
        <v/>
      </c>
    </row>
    <row r="152" customFormat="false" ht="15" hidden="false" customHeight="true" outlineLevel="0" collapsed="false">
      <c r="A152" s="12" t="str">
        <f aca="false">IF('Purchase Orders'!$L152="Received",'Purchase Orders'!$A152,"")</f>
        <v/>
      </c>
      <c r="B152" s="12" t="str">
        <f aca="false">IF($A152="","",'Purchase Orders'!$C152)</f>
        <v/>
      </c>
      <c r="C152" s="12" t="str">
        <f aca="false">IF($A152="","",'Purchase Orders'!$D152)</f>
        <v/>
      </c>
      <c r="D152" s="12" t="str">
        <f aca="false">IF($A152="","",'Purchase Orders'!$E152)</f>
        <v/>
      </c>
      <c r="E152" s="13" t="str">
        <f aca="false">IF($A152="","",'Purchase Orders'!$I152)</f>
        <v/>
      </c>
      <c r="F152" s="13" t="str">
        <f aca="false">IF($A152="","",SUMIFS('Expense Entry'!$K$5:$K$6000,'Expense Entry'!$E$5:$E$6000,"Payable Payment",'Expense Entry'!$L$5:$L$6000,$A152))</f>
        <v/>
      </c>
      <c r="G152" s="13" t="str">
        <f aca="false">IF($A152="","",$E152-$F152)</f>
        <v/>
      </c>
      <c r="H152" s="12" t="str">
        <f aca="false">IF($A152="","",IF($G152&lt;=0,"Paid",IF($F152&gt;0,"Partial","Unpaid")))</f>
        <v/>
      </c>
    </row>
    <row r="153" customFormat="false" ht="15" hidden="false" customHeight="true" outlineLevel="0" collapsed="false">
      <c r="A153" s="12" t="str">
        <f aca="false">IF('Purchase Orders'!$L153="Received",'Purchase Orders'!$A153,"")</f>
        <v/>
      </c>
      <c r="B153" s="12" t="str">
        <f aca="false">IF($A153="","",'Purchase Orders'!$C153)</f>
        <v/>
      </c>
      <c r="C153" s="12" t="str">
        <f aca="false">IF($A153="","",'Purchase Orders'!$D153)</f>
        <v/>
      </c>
      <c r="D153" s="12" t="str">
        <f aca="false">IF($A153="","",'Purchase Orders'!$E153)</f>
        <v/>
      </c>
      <c r="E153" s="13" t="str">
        <f aca="false">IF($A153="","",'Purchase Orders'!$I153)</f>
        <v/>
      </c>
      <c r="F153" s="13" t="str">
        <f aca="false">IF($A153="","",SUMIFS('Expense Entry'!$K$5:$K$6000,'Expense Entry'!$E$5:$E$6000,"Payable Payment",'Expense Entry'!$L$5:$L$6000,$A153))</f>
        <v/>
      </c>
      <c r="G153" s="13" t="str">
        <f aca="false">IF($A153="","",$E153-$F153)</f>
        <v/>
      </c>
      <c r="H153" s="12" t="str">
        <f aca="false">IF($A153="","",IF($G153&lt;=0,"Paid",IF($F153&gt;0,"Partial","Unpaid")))</f>
        <v/>
      </c>
    </row>
    <row r="154" customFormat="false" ht="15" hidden="false" customHeight="true" outlineLevel="0" collapsed="false">
      <c r="A154" s="12" t="str">
        <f aca="false">IF('Purchase Orders'!$L154="Received",'Purchase Orders'!$A154,"")</f>
        <v/>
      </c>
      <c r="B154" s="12" t="str">
        <f aca="false">IF($A154="","",'Purchase Orders'!$C154)</f>
        <v/>
      </c>
      <c r="C154" s="12" t="str">
        <f aca="false">IF($A154="","",'Purchase Orders'!$D154)</f>
        <v/>
      </c>
      <c r="D154" s="12" t="str">
        <f aca="false">IF($A154="","",'Purchase Orders'!$E154)</f>
        <v/>
      </c>
      <c r="E154" s="13" t="str">
        <f aca="false">IF($A154="","",'Purchase Orders'!$I154)</f>
        <v/>
      </c>
      <c r="F154" s="13" t="str">
        <f aca="false">IF($A154="","",SUMIFS('Expense Entry'!$K$5:$K$6000,'Expense Entry'!$E$5:$E$6000,"Payable Payment",'Expense Entry'!$L$5:$L$6000,$A154))</f>
        <v/>
      </c>
      <c r="G154" s="13" t="str">
        <f aca="false">IF($A154="","",$E154-$F154)</f>
        <v/>
      </c>
      <c r="H154" s="12" t="str">
        <f aca="false">IF($A154="","",IF($G154&lt;=0,"Paid",IF($F154&gt;0,"Partial","Unpaid")))</f>
        <v/>
      </c>
    </row>
    <row r="155" customFormat="false" ht="15" hidden="false" customHeight="true" outlineLevel="0" collapsed="false">
      <c r="A155" s="12" t="str">
        <f aca="false">IF('Purchase Orders'!$L155="Received",'Purchase Orders'!$A155,"")</f>
        <v/>
      </c>
      <c r="B155" s="12" t="str">
        <f aca="false">IF($A155="","",'Purchase Orders'!$C155)</f>
        <v/>
      </c>
      <c r="C155" s="12" t="str">
        <f aca="false">IF($A155="","",'Purchase Orders'!$D155)</f>
        <v/>
      </c>
      <c r="D155" s="12" t="str">
        <f aca="false">IF($A155="","",'Purchase Orders'!$E155)</f>
        <v/>
      </c>
      <c r="E155" s="13" t="str">
        <f aca="false">IF($A155="","",'Purchase Orders'!$I155)</f>
        <v/>
      </c>
      <c r="F155" s="13" t="str">
        <f aca="false">IF($A155="","",SUMIFS('Expense Entry'!$K$5:$K$6000,'Expense Entry'!$E$5:$E$6000,"Payable Payment",'Expense Entry'!$L$5:$L$6000,$A155))</f>
        <v/>
      </c>
      <c r="G155" s="13" t="str">
        <f aca="false">IF($A155="","",$E155-$F155)</f>
        <v/>
      </c>
      <c r="H155" s="12" t="str">
        <f aca="false">IF($A155="","",IF($G155&lt;=0,"Paid",IF($F155&gt;0,"Partial","Unpaid")))</f>
        <v/>
      </c>
    </row>
    <row r="156" customFormat="false" ht="15" hidden="false" customHeight="true" outlineLevel="0" collapsed="false">
      <c r="A156" s="12" t="str">
        <f aca="false">IF('Purchase Orders'!$L156="Received",'Purchase Orders'!$A156,"")</f>
        <v/>
      </c>
      <c r="B156" s="12" t="str">
        <f aca="false">IF($A156="","",'Purchase Orders'!$C156)</f>
        <v/>
      </c>
      <c r="C156" s="12" t="str">
        <f aca="false">IF($A156="","",'Purchase Orders'!$D156)</f>
        <v/>
      </c>
      <c r="D156" s="12" t="str">
        <f aca="false">IF($A156="","",'Purchase Orders'!$E156)</f>
        <v/>
      </c>
      <c r="E156" s="13" t="str">
        <f aca="false">IF($A156="","",'Purchase Orders'!$I156)</f>
        <v/>
      </c>
      <c r="F156" s="13" t="str">
        <f aca="false">IF($A156="","",SUMIFS('Expense Entry'!$K$5:$K$6000,'Expense Entry'!$E$5:$E$6000,"Payable Payment",'Expense Entry'!$L$5:$L$6000,$A156))</f>
        <v/>
      </c>
      <c r="G156" s="13" t="str">
        <f aca="false">IF($A156="","",$E156-$F156)</f>
        <v/>
      </c>
      <c r="H156" s="12" t="str">
        <f aca="false">IF($A156="","",IF($G156&lt;=0,"Paid",IF($F156&gt;0,"Partial","Unpaid")))</f>
        <v/>
      </c>
    </row>
    <row r="157" customFormat="false" ht="15" hidden="false" customHeight="true" outlineLevel="0" collapsed="false">
      <c r="A157" s="12" t="str">
        <f aca="false">IF('Purchase Orders'!$L157="Received",'Purchase Orders'!$A157,"")</f>
        <v/>
      </c>
      <c r="B157" s="12" t="str">
        <f aca="false">IF($A157="","",'Purchase Orders'!$C157)</f>
        <v/>
      </c>
      <c r="C157" s="12" t="str">
        <f aca="false">IF($A157="","",'Purchase Orders'!$D157)</f>
        <v/>
      </c>
      <c r="D157" s="12" t="str">
        <f aca="false">IF($A157="","",'Purchase Orders'!$E157)</f>
        <v/>
      </c>
      <c r="E157" s="13" t="str">
        <f aca="false">IF($A157="","",'Purchase Orders'!$I157)</f>
        <v/>
      </c>
      <c r="F157" s="13" t="str">
        <f aca="false">IF($A157="","",SUMIFS('Expense Entry'!$K$5:$K$6000,'Expense Entry'!$E$5:$E$6000,"Payable Payment",'Expense Entry'!$L$5:$L$6000,$A157))</f>
        <v/>
      </c>
      <c r="G157" s="13" t="str">
        <f aca="false">IF($A157="","",$E157-$F157)</f>
        <v/>
      </c>
      <c r="H157" s="12" t="str">
        <f aca="false">IF($A157="","",IF($G157&lt;=0,"Paid",IF($F157&gt;0,"Partial","Unpaid")))</f>
        <v/>
      </c>
    </row>
    <row r="158" customFormat="false" ht="15" hidden="false" customHeight="true" outlineLevel="0" collapsed="false">
      <c r="A158" s="12" t="str">
        <f aca="false">IF('Purchase Orders'!$L158="Received",'Purchase Orders'!$A158,"")</f>
        <v/>
      </c>
      <c r="B158" s="12" t="str">
        <f aca="false">IF($A158="","",'Purchase Orders'!$C158)</f>
        <v/>
      </c>
      <c r="C158" s="12" t="str">
        <f aca="false">IF($A158="","",'Purchase Orders'!$D158)</f>
        <v/>
      </c>
      <c r="D158" s="12" t="str">
        <f aca="false">IF($A158="","",'Purchase Orders'!$E158)</f>
        <v/>
      </c>
      <c r="E158" s="13" t="str">
        <f aca="false">IF($A158="","",'Purchase Orders'!$I158)</f>
        <v/>
      </c>
      <c r="F158" s="13" t="str">
        <f aca="false">IF($A158="","",SUMIFS('Expense Entry'!$K$5:$K$6000,'Expense Entry'!$E$5:$E$6000,"Payable Payment",'Expense Entry'!$L$5:$L$6000,$A158))</f>
        <v/>
      </c>
      <c r="G158" s="13" t="str">
        <f aca="false">IF($A158="","",$E158-$F158)</f>
        <v/>
      </c>
      <c r="H158" s="12" t="str">
        <f aca="false">IF($A158="","",IF($G158&lt;=0,"Paid",IF($F158&gt;0,"Partial","Unpaid")))</f>
        <v/>
      </c>
    </row>
    <row r="159" customFormat="false" ht="15" hidden="false" customHeight="true" outlineLevel="0" collapsed="false">
      <c r="A159" s="12" t="str">
        <f aca="false">IF('Purchase Orders'!$L159="Received",'Purchase Orders'!$A159,"")</f>
        <v/>
      </c>
      <c r="B159" s="12" t="str">
        <f aca="false">IF($A159="","",'Purchase Orders'!$C159)</f>
        <v/>
      </c>
      <c r="C159" s="12" t="str">
        <f aca="false">IF($A159="","",'Purchase Orders'!$D159)</f>
        <v/>
      </c>
      <c r="D159" s="12" t="str">
        <f aca="false">IF($A159="","",'Purchase Orders'!$E159)</f>
        <v/>
      </c>
      <c r="E159" s="13" t="str">
        <f aca="false">IF($A159="","",'Purchase Orders'!$I159)</f>
        <v/>
      </c>
      <c r="F159" s="13" t="str">
        <f aca="false">IF($A159="","",SUMIFS('Expense Entry'!$K$5:$K$6000,'Expense Entry'!$E$5:$E$6000,"Payable Payment",'Expense Entry'!$L$5:$L$6000,$A159))</f>
        <v/>
      </c>
      <c r="G159" s="13" t="str">
        <f aca="false">IF($A159="","",$E159-$F159)</f>
        <v/>
      </c>
      <c r="H159" s="12" t="str">
        <f aca="false">IF($A159="","",IF($G159&lt;=0,"Paid",IF($F159&gt;0,"Partial","Unpaid")))</f>
        <v/>
      </c>
    </row>
    <row r="160" customFormat="false" ht="15" hidden="false" customHeight="true" outlineLevel="0" collapsed="false">
      <c r="A160" s="12" t="str">
        <f aca="false">IF('Purchase Orders'!$L160="Received",'Purchase Orders'!$A160,"")</f>
        <v/>
      </c>
      <c r="B160" s="12" t="str">
        <f aca="false">IF($A160="","",'Purchase Orders'!$C160)</f>
        <v/>
      </c>
      <c r="C160" s="12" t="str">
        <f aca="false">IF($A160="","",'Purchase Orders'!$D160)</f>
        <v/>
      </c>
      <c r="D160" s="12" t="str">
        <f aca="false">IF($A160="","",'Purchase Orders'!$E160)</f>
        <v/>
      </c>
      <c r="E160" s="13" t="str">
        <f aca="false">IF($A160="","",'Purchase Orders'!$I160)</f>
        <v/>
      </c>
      <c r="F160" s="13" t="str">
        <f aca="false">IF($A160="","",SUMIFS('Expense Entry'!$K$5:$K$6000,'Expense Entry'!$E$5:$E$6000,"Payable Payment",'Expense Entry'!$L$5:$L$6000,$A160))</f>
        <v/>
      </c>
      <c r="G160" s="13" t="str">
        <f aca="false">IF($A160="","",$E160-$F160)</f>
        <v/>
      </c>
      <c r="H160" s="12" t="str">
        <f aca="false">IF($A160="","",IF($G160&lt;=0,"Paid",IF($F160&gt;0,"Partial","Unpaid")))</f>
        <v/>
      </c>
    </row>
    <row r="161" customFormat="false" ht="15" hidden="false" customHeight="true" outlineLevel="0" collapsed="false">
      <c r="A161" s="12" t="str">
        <f aca="false">IF('Purchase Orders'!$L161="Received",'Purchase Orders'!$A161,"")</f>
        <v/>
      </c>
      <c r="B161" s="12" t="str">
        <f aca="false">IF($A161="","",'Purchase Orders'!$C161)</f>
        <v/>
      </c>
      <c r="C161" s="12" t="str">
        <f aca="false">IF($A161="","",'Purchase Orders'!$D161)</f>
        <v/>
      </c>
      <c r="D161" s="12" t="str">
        <f aca="false">IF($A161="","",'Purchase Orders'!$E161)</f>
        <v/>
      </c>
      <c r="E161" s="13" t="str">
        <f aca="false">IF($A161="","",'Purchase Orders'!$I161)</f>
        <v/>
      </c>
      <c r="F161" s="13" t="str">
        <f aca="false">IF($A161="","",SUMIFS('Expense Entry'!$K$5:$K$6000,'Expense Entry'!$E$5:$E$6000,"Payable Payment",'Expense Entry'!$L$5:$L$6000,$A161))</f>
        <v/>
      </c>
      <c r="G161" s="13" t="str">
        <f aca="false">IF($A161="","",$E161-$F161)</f>
        <v/>
      </c>
      <c r="H161" s="12" t="str">
        <f aca="false">IF($A161="","",IF($G161&lt;=0,"Paid",IF($F161&gt;0,"Partial","Unpaid")))</f>
        <v/>
      </c>
    </row>
    <row r="162" customFormat="false" ht="15" hidden="false" customHeight="true" outlineLevel="0" collapsed="false">
      <c r="A162" s="12" t="str">
        <f aca="false">IF('Purchase Orders'!$L162="Received",'Purchase Orders'!$A162,"")</f>
        <v/>
      </c>
      <c r="B162" s="12" t="str">
        <f aca="false">IF($A162="","",'Purchase Orders'!$C162)</f>
        <v/>
      </c>
      <c r="C162" s="12" t="str">
        <f aca="false">IF($A162="","",'Purchase Orders'!$D162)</f>
        <v/>
      </c>
      <c r="D162" s="12" t="str">
        <f aca="false">IF($A162="","",'Purchase Orders'!$E162)</f>
        <v/>
      </c>
      <c r="E162" s="13" t="str">
        <f aca="false">IF($A162="","",'Purchase Orders'!$I162)</f>
        <v/>
      </c>
      <c r="F162" s="13" t="str">
        <f aca="false">IF($A162="","",SUMIFS('Expense Entry'!$K$5:$K$6000,'Expense Entry'!$E$5:$E$6000,"Payable Payment",'Expense Entry'!$L$5:$L$6000,$A162))</f>
        <v/>
      </c>
      <c r="G162" s="13" t="str">
        <f aca="false">IF($A162="","",$E162-$F162)</f>
        <v/>
      </c>
      <c r="H162" s="12" t="str">
        <f aca="false">IF($A162="","",IF($G162&lt;=0,"Paid",IF($F162&gt;0,"Partial","Unpaid")))</f>
        <v/>
      </c>
    </row>
    <row r="163" customFormat="false" ht="15" hidden="false" customHeight="true" outlineLevel="0" collapsed="false">
      <c r="A163" s="12" t="str">
        <f aca="false">IF('Purchase Orders'!$L163="Received",'Purchase Orders'!$A163,"")</f>
        <v/>
      </c>
      <c r="B163" s="12" t="str">
        <f aca="false">IF($A163="","",'Purchase Orders'!$C163)</f>
        <v/>
      </c>
      <c r="C163" s="12" t="str">
        <f aca="false">IF($A163="","",'Purchase Orders'!$D163)</f>
        <v/>
      </c>
      <c r="D163" s="12" t="str">
        <f aca="false">IF($A163="","",'Purchase Orders'!$E163)</f>
        <v/>
      </c>
      <c r="E163" s="13" t="str">
        <f aca="false">IF($A163="","",'Purchase Orders'!$I163)</f>
        <v/>
      </c>
      <c r="F163" s="13" t="str">
        <f aca="false">IF($A163="","",SUMIFS('Expense Entry'!$K$5:$K$6000,'Expense Entry'!$E$5:$E$6000,"Payable Payment",'Expense Entry'!$L$5:$L$6000,$A163))</f>
        <v/>
      </c>
      <c r="G163" s="13" t="str">
        <f aca="false">IF($A163="","",$E163-$F163)</f>
        <v/>
      </c>
      <c r="H163" s="12" t="str">
        <f aca="false">IF($A163="","",IF($G163&lt;=0,"Paid",IF($F163&gt;0,"Partial","Unpaid")))</f>
        <v/>
      </c>
    </row>
    <row r="164" customFormat="false" ht="15" hidden="false" customHeight="true" outlineLevel="0" collapsed="false">
      <c r="A164" s="12" t="str">
        <f aca="false">IF('Purchase Orders'!$L164="Received",'Purchase Orders'!$A164,"")</f>
        <v/>
      </c>
      <c r="B164" s="12" t="str">
        <f aca="false">IF($A164="","",'Purchase Orders'!$C164)</f>
        <v/>
      </c>
      <c r="C164" s="12" t="str">
        <f aca="false">IF($A164="","",'Purchase Orders'!$D164)</f>
        <v/>
      </c>
      <c r="D164" s="12" t="str">
        <f aca="false">IF($A164="","",'Purchase Orders'!$E164)</f>
        <v/>
      </c>
      <c r="E164" s="13" t="str">
        <f aca="false">IF($A164="","",'Purchase Orders'!$I164)</f>
        <v/>
      </c>
      <c r="F164" s="13" t="str">
        <f aca="false">IF($A164="","",SUMIFS('Expense Entry'!$K$5:$K$6000,'Expense Entry'!$E$5:$E$6000,"Payable Payment",'Expense Entry'!$L$5:$L$6000,$A164))</f>
        <v/>
      </c>
      <c r="G164" s="13" t="str">
        <f aca="false">IF($A164="","",$E164-$F164)</f>
        <v/>
      </c>
      <c r="H164" s="12" t="str">
        <f aca="false">IF($A164="","",IF($G164&lt;=0,"Paid",IF($F164&gt;0,"Partial","Unpaid")))</f>
        <v/>
      </c>
    </row>
    <row r="165" customFormat="false" ht="15" hidden="false" customHeight="true" outlineLevel="0" collapsed="false">
      <c r="A165" s="12" t="str">
        <f aca="false">IF('Purchase Orders'!$L165="Received",'Purchase Orders'!$A165,"")</f>
        <v/>
      </c>
      <c r="B165" s="12" t="str">
        <f aca="false">IF($A165="","",'Purchase Orders'!$C165)</f>
        <v/>
      </c>
      <c r="C165" s="12" t="str">
        <f aca="false">IF($A165="","",'Purchase Orders'!$D165)</f>
        <v/>
      </c>
      <c r="D165" s="12" t="str">
        <f aca="false">IF($A165="","",'Purchase Orders'!$E165)</f>
        <v/>
      </c>
      <c r="E165" s="13" t="str">
        <f aca="false">IF($A165="","",'Purchase Orders'!$I165)</f>
        <v/>
      </c>
      <c r="F165" s="13" t="str">
        <f aca="false">IF($A165="","",SUMIFS('Expense Entry'!$K$5:$K$6000,'Expense Entry'!$E$5:$E$6000,"Payable Payment",'Expense Entry'!$L$5:$L$6000,$A165))</f>
        <v/>
      </c>
      <c r="G165" s="13" t="str">
        <f aca="false">IF($A165="","",$E165-$F165)</f>
        <v/>
      </c>
      <c r="H165" s="12" t="str">
        <f aca="false">IF($A165="","",IF($G165&lt;=0,"Paid",IF($F165&gt;0,"Partial","Unpaid")))</f>
        <v/>
      </c>
    </row>
    <row r="166" customFormat="false" ht="15" hidden="false" customHeight="true" outlineLevel="0" collapsed="false">
      <c r="A166" s="12" t="str">
        <f aca="false">IF('Purchase Orders'!$L166="Received",'Purchase Orders'!$A166,"")</f>
        <v/>
      </c>
      <c r="B166" s="12" t="str">
        <f aca="false">IF($A166="","",'Purchase Orders'!$C166)</f>
        <v/>
      </c>
      <c r="C166" s="12" t="str">
        <f aca="false">IF($A166="","",'Purchase Orders'!$D166)</f>
        <v/>
      </c>
      <c r="D166" s="12" t="str">
        <f aca="false">IF($A166="","",'Purchase Orders'!$E166)</f>
        <v/>
      </c>
      <c r="E166" s="13" t="str">
        <f aca="false">IF($A166="","",'Purchase Orders'!$I166)</f>
        <v/>
      </c>
      <c r="F166" s="13" t="str">
        <f aca="false">IF($A166="","",SUMIFS('Expense Entry'!$K$5:$K$6000,'Expense Entry'!$E$5:$E$6000,"Payable Payment",'Expense Entry'!$L$5:$L$6000,$A166))</f>
        <v/>
      </c>
      <c r="G166" s="13" t="str">
        <f aca="false">IF($A166="","",$E166-$F166)</f>
        <v/>
      </c>
      <c r="H166" s="12" t="str">
        <f aca="false">IF($A166="","",IF($G166&lt;=0,"Paid",IF($F166&gt;0,"Partial","Unpaid")))</f>
        <v/>
      </c>
    </row>
    <row r="167" customFormat="false" ht="15" hidden="false" customHeight="true" outlineLevel="0" collapsed="false">
      <c r="A167" s="12" t="str">
        <f aca="false">IF('Purchase Orders'!$L167="Received",'Purchase Orders'!$A167,"")</f>
        <v/>
      </c>
      <c r="B167" s="12" t="str">
        <f aca="false">IF($A167="","",'Purchase Orders'!$C167)</f>
        <v/>
      </c>
      <c r="C167" s="12" t="str">
        <f aca="false">IF($A167="","",'Purchase Orders'!$D167)</f>
        <v/>
      </c>
      <c r="D167" s="12" t="str">
        <f aca="false">IF($A167="","",'Purchase Orders'!$E167)</f>
        <v/>
      </c>
      <c r="E167" s="13" t="str">
        <f aca="false">IF($A167="","",'Purchase Orders'!$I167)</f>
        <v/>
      </c>
      <c r="F167" s="13" t="str">
        <f aca="false">IF($A167="","",SUMIFS('Expense Entry'!$K$5:$K$6000,'Expense Entry'!$E$5:$E$6000,"Payable Payment",'Expense Entry'!$L$5:$L$6000,$A167))</f>
        <v/>
      </c>
      <c r="G167" s="13" t="str">
        <f aca="false">IF($A167="","",$E167-$F167)</f>
        <v/>
      </c>
      <c r="H167" s="12" t="str">
        <f aca="false">IF($A167="","",IF($G167&lt;=0,"Paid",IF($F167&gt;0,"Partial","Unpaid")))</f>
        <v/>
      </c>
    </row>
    <row r="168" customFormat="false" ht="15" hidden="false" customHeight="true" outlineLevel="0" collapsed="false">
      <c r="A168" s="12" t="str">
        <f aca="false">IF('Purchase Orders'!$L168="Received",'Purchase Orders'!$A168,"")</f>
        <v/>
      </c>
      <c r="B168" s="12" t="str">
        <f aca="false">IF($A168="","",'Purchase Orders'!$C168)</f>
        <v/>
      </c>
      <c r="C168" s="12" t="str">
        <f aca="false">IF($A168="","",'Purchase Orders'!$D168)</f>
        <v/>
      </c>
      <c r="D168" s="12" t="str">
        <f aca="false">IF($A168="","",'Purchase Orders'!$E168)</f>
        <v/>
      </c>
      <c r="E168" s="13" t="str">
        <f aca="false">IF($A168="","",'Purchase Orders'!$I168)</f>
        <v/>
      </c>
      <c r="F168" s="13" t="str">
        <f aca="false">IF($A168="","",SUMIFS('Expense Entry'!$K$5:$K$6000,'Expense Entry'!$E$5:$E$6000,"Payable Payment",'Expense Entry'!$L$5:$L$6000,$A168))</f>
        <v/>
      </c>
      <c r="G168" s="13" t="str">
        <f aca="false">IF($A168="","",$E168-$F168)</f>
        <v/>
      </c>
      <c r="H168" s="12" t="str">
        <f aca="false">IF($A168="","",IF($G168&lt;=0,"Paid",IF($F168&gt;0,"Partial","Unpaid")))</f>
        <v/>
      </c>
    </row>
    <row r="169" customFormat="false" ht="15" hidden="false" customHeight="true" outlineLevel="0" collapsed="false">
      <c r="A169" s="12" t="str">
        <f aca="false">IF('Purchase Orders'!$L169="Received",'Purchase Orders'!$A169,"")</f>
        <v/>
      </c>
      <c r="B169" s="12" t="str">
        <f aca="false">IF($A169="","",'Purchase Orders'!$C169)</f>
        <v/>
      </c>
      <c r="C169" s="12" t="str">
        <f aca="false">IF($A169="","",'Purchase Orders'!$D169)</f>
        <v/>
      </c>
      <c r="D169" s="12" t="str">
        <f aca="false">IF($A169="","",'Purchase Orders'!$E169)</f>
        <v/>
      </c>
      <c r="E169" s="13" t="str">
        <f aca="false">IF($A169="","",'Purchase Orders'!$I169)</f>
        <v/>
      </c>
      <c r="F169" s="13" t="str">
        <f aca="false">IF($A169="","",SUMIFS('Expense Entry'!$K$5:$K$6000,'Expense Entry'!$E$5:$E$6000,"Payable Payment",'Expense Entry'!$L$5:$L$6000,$A169))</f>
        <v/>
      </c>
      <c r="G169" s="13" t="str">
        <f aca="false">IF($A169="","",$E169-$F169)</f>
        <v/>
      </c>
      <c r="H169" s="12" t="str">
        <f aca="false">IF($A169="","",IF($G169&lt;=0,"Paid",IF($F169&gt;0,"Partial","Unpaid")))</f>
        <v/>
      </c>
    </row>
    <row r="170" customFormat="false" ht="15" hidden="false" customHeight="true" outlineLevel="0" collapsed="false">
      <c r="A170" s="12" t="str">
        <f aca="false">IF('Purchase Orders'!$L170="Received",'Purchase Orders'!$A170,"")</f>
        <v/>
      </c>
      <c r="B170" s="12" t="str">
        <f aca="false">IF($A170="","",'Purchase Orders'!$C170)</f>
        <v/>
      </c>
      <c r="C170" s="12" t="str">
        <f aca="false">IF($A170="","",'Purchase Orders'!$D170)</f>
        <v/>
      </c>
      <c r="D170" s="12" t="str">
        <f aca="false">IF($A170="","",'Purchase Orders'!$E170)</f>
        <v/>
      </c>
      <c r="E170" s="13" t="str">
        <f aca="false">IF($A170="","",'Purchase Orders'!$I170)</f>
        <v/>
      </c>
      <c r="F170" s="13" t="str">
        <f aca="false">IF($A170="","",SUMIFS('Expense Entry'!$K$5:$K$6000,'Expense Entry'!$E$5:$E$6000,"Payable Payment",'Expense Entry'!$L$5:$L$6000,$A170))</f>
        <v/>
      </c>
      <c r="G170" s="13" t="str">
        <f aca="false">IF($A170="","",$E170-$F170)</f>
        <v/>
      </c>
      <c r="H170" s="12" t="str">
        <f aca="false">IF($A170="","",IF($G170&lt;=0,"Paid",IF($F170&gt;0,"Partial","Unpaid")))</f>
        <v/>
      </c>
    </row>
    <row r="171" customFormat="false" ht="15" hidden="false" customHeight="true" outlineLevel="0" collapsed="false">
      <c r="A171" s="12" t="str">
        <f aca="false">IF('Purchase Orders'!$L171="Received",'Purchase Orders'!$A171,"")</f>
        <v/>
      </c>
      <c r="B171" s="12" t="str">
        <f aca="false">IF($A171="","",'Purchase Orders'!$C171)</f>
        <v/>
      </c>
      <c r="C171" s="12" t="str">
        <f aca="false">IF($A171="","",'Purchase Orders'!$D171)</f>
        <v/>
      </c>
      <c r="D171" s="12" t="str">
        <f aca="false">IF($A171="","",'Purchase Orders'!$E171)</f>
        <v/>
      </c>
      <c r="E171" s="13" t="str">
        <f aca="false">IF($A171="","",'Purchase Orders'!$I171)</f>
        <v/>
      </c>
      <c r="F171" s="13" t="str">
        <f aca="false">IF($A171="","",SUMIFS('Expense Entry'!$K$5:$K$6000,'Expense Entry'!$E$5:$E$6000,"Payable Payment",'Expense Entry'!$L$5:$L$6000,$A171))</f>
        <v/>
      </c>
      <c r="G171" s="13" t="str">
        <f aca="false">IF($A171="","",$E171-$F171)</f>
        <v/>
      </c>
      <c r="H171" s="12" t="str">
        <f aca="false">IF($A171="","",IF($G171&lt;=0,"Paid",IF($F171&gt;0,"Partial","Unpaid")))</f>
        <v/>
      </c>
    </row>
    <row r="172" customFormat="false" ht="15" hidden="false" customHeight="true" outlineLevel="0" collapsed="false">
      <c r="A172" s="12" t="str">
        <f aca="false">IF('Purchase Orders'!$L172="Received",'Purchase Orders'!$A172,"")</f>
        <v/>
      </c>
      <c r="B172" s="12" t="str">
        <f aca="false">IF($A172="","",'Purchase Orders'!$C172)</f>
        <v/>
      </c>
      <c r="C172" s="12" t="str">
        <f aca="false">IF($A172="","",'Purchase Orders'!$D172)</f>
        <v/>
      </c>
      <c r="D172" s="12" t="str">
        <f aca="false">IF($A172="","",'Purchase Orders'!$E172)</f>
        <v/>
      </c>
      <c r="E172" s="13" t="str">
        <f aca="false">IF($A172="","",'Purchase Orders'!$I172)</f>
        <v/>
      </c>
      <c r="F172" s="13" t="str">
        <f aca="false">IF($A172="","",SUMIFS('Expense Entry'!$K$5:$K$6000,'Expense Entry'!$E$5:$E$6000,"Payable Payment",'Expense Entry'!$L$5:$L$6000,$A172))</f>
        <v/>
      </c>
      <c r="G172" s="13" t="str">
        <f aca="false">IF($A172="","",$E172-$F172)</f>
        <v/>
      </c>
      <c r="H172" s="12" t="str">
        <f aca="false">IF($A172="","",IF($G172&lt;=0,"Paid",IF($F172&gt;0,"Partial","Unpaid")))</f>
        <v/>
      </c>
    </row>
    <row r="173" customFormat="false" ht="15" hidden="false" customHeight="true" outlineLevel="0" collapsed="false">
      <c r="A173" s="12" t="str">
        <f aca="false">IF('Purchase Orders'!$L173="Received",'Purchase Orders'!$A173,"")</f>
        <v/>
      </c>
      <c r="B173" s="12" t="str">
        <f aca="false">IF($A173="","",'Purchase Orders'!$C173)</f>
        <v/>
      </c>
      <c r="C173" s="12" t="str">
        <f aca="false">IF($A173="","",'Purchase Orders'!$D173)</f>
        <v/>
      </c>
      <c r="D173" s="12" t="str">
        <f aca="false">IF($A173="","",'Purchase Orders'!$E173)</f>
        <v/>
      </c>
      <c r="E173" s="13" t="str">
        <f aca="false">IF($A173="","",'Purchase Orders'!$I173)</f>
        <v/>
      </c>
      <c r="F173" s="13" t="str">
        <f aca="false">IF($A173="","",SUMIFS('Expense Entry'!$K$5:$K$6000,'Expense Entry'!$E$5:$E$6000,"Payable Payment",'Expense Entry'!$L$5:$L$6000,$A173))</f>
        <v/>
      </c>
      <c r="G173" s="13" t="str">
        <f aca="false">IF($A173="","",$E173-$F173)</f>
        <v/>
      </c>
      <c r="H173" s="12" t="str">
        <f aca="false">IF($A173="","",IF($G173&lt;=0,"Paid",IF($F173&gt;0,"Partial","Unpaid")))</f>
        <v/>
      </c>
    </row>
    <row r="174" customFormat="false" ht="15" hidden="false" customHeight="true" outlineLevel="0" collapsed="false">
      <c r="A174" s="12" t="str">
        <f aca="false">IF('Purchase Orders'!$L174="Received",'Purchase Orders'!$A174,"")</f>
        <v/>
      </c>
      <c r="B174" s="12" t="str">
        <f aca="false">IF($A174="","",'Purchase Orders'!$C174)</f>
        <v/>
      </c>
      <c r="C174" s="12" t="str">
        <f aca="false">IF($A174="","",'Purchase Orders'!$D174)</f>
        <v/>
      </c>
      <c r="D174" s="12" t="str">
        <f aca="false">IF($A174="","",'Purchase Orders'!$E174)</f>
        <v/>
      </c>
      <c r="E174" s="13" t="str">
        <f aca="false">IF($A174="","",'Purchase Orders'!$I174)</f>
        <v/>
      </c>
      <c r="F174" s="13" t="str">
        <f aca="false">IF($A174="","",SUMIFS('Expense Entry'!$K$5:$K$6000,'Expense Entry'!$E$5:$E$6000,"Payable Payment",'Expense Entry'!$L$5:$L$6000,$A174))</f>
        <v/>
      </c>
      <c r="G174" s="13" t="str">
        <f aca="false">IF($A174="","",$E174-$F174)</f>
        <v/>
      </c>
      <c r="H174" s="12" t="str">
        <f aca="false">IF($A174="","",IF($G174&lt;=0,"Paid",IF($F174&gt;0,"Partial","Unpaid")))</f>
        <v/>
      </c>
    </row>
    <row r="175" customFormat="false" ht="15" hidden="false" customHeight="true" outlineLevel="0" collapsed="false">
      <c r="A175" s="12" t="str">
        <f aca="false">IF('Purchase Orders'!$L175="Received",'Purchase Orders'!$A175,"")</f>
        <v/>
      </c>
      <c r="B175" s="12" t="str">
        <f aca="false">IF($A175="","",'Purchase Orders'!$C175)</f>
        <v/>
      </c>
      <c r="C175" s="12" t="str">
        <f aca="false">IF($A175="","",'Purchase Orders'!$D175)</f>
        <v/>
      </c>
      <c r="D175" s="12" t="str">
        <f aca="false">IF($A175="","",'Purchase Orders'!$E175)</f>
        <v/>
      </c>
      <c r="E175" s="13" t="str">
        <f aca="false">IF($A175="","",'Purchase Orders'!$I175)</f>
        <v/>
      </c>
      <c r="F175" s="13" t="str">
        <f aca="false">IF($A175="","",SUMIFS('Expense Entry'!$K$5:$K$6000,'Expense Entry'!$E$5:$E$6000,"Payable Payment",'Expense Entry'!$L$5:$L$6000,$A175))</f>
        <v/>
      </c>
      <c r="G175" s="13" t="str">
        <f aca="false">IF($A175="","",$E175-$F175)</f>
        <v/>
      </c>
      <c r="H175" s="12" t="str">
        <f aca="false">IF($A175="","",IF($G175&lt;=0,"Paid",IF($F175&gt;0,"Partial","Unpaid")))</f>
        <v/>
      </c>
    </row>
    <row r="176" customFormat="false" ht="15" hidden="false" customHeight="true" outlineLevel="0" collapsed="false">
      <c r="A176" s="12" t="str">
        <f aca="false">IF('Purchase Orders'!$L176="Received",'Purchase Orders'!$A176,"")</f>
        <v/>
      </c>
      <c r="B176" s="12" t="str">
        <f aca="false">IF($A176="","",'Purchase Orders'!$C176)</f>
        <v/>
      </c>
      <c r="C176" s="12" t="str">
        <f aca="false">IF($A176="","",'Purchase Orders'!$D176)</f>
        <v/>
      </c>
      <c r="D176" s="12" t="str">
        <f aca="false">IF($A176="","",'Purchase Orders'!$E176)</f>
        <v/>
      </c>
      <c r="E176" s="13" t="str">
        <f aca="false">IF($A176="","",'Purchase Orders'!$I176)</f>
        <v/>
      </c>
      <c r="F176" s="13" t="str">
        <f aca="false">IF($A176="","",SUMIFS('Expense Entry'!$K$5:$K$6000,'Expense Entry'!$E$5:$E$6000,"Payable Payment",'Expense Entry'!$L$5:$L$6000,$A176))</f>
        <v/>
      </c>
      <c r="G176" s="13" t="str">
        <f aca="false">IF($A176="","",$E176-$F176)</f>
        <v/>
      </c>
      <c r="H176" s="12" t="str">
        <f aca="false">IF($A176="","",IF($G176&lt;=0,"Paid",IF($F176&gt;0,"Partial","Unpaid")))</f>
        <v/>
      </c>
    </row>
    <row r="177" customFormat="false" ht="15" hidden="false" customHeight="true" outlineLevel="0" collapsed="false">
      <c r="A177" s="12" t="str">
        <f aca="false">IF('Purchase Orders'!$L177="Received",'Purchase Orders'!$A177,"")</f>
        <v/>
      </c>
      <c r="B177" s="12" t="str">
        <f aca="false">IF($A177="","",'Purchase Orders'!$C177)</f>
        <v/>
      </c>
      <c r="C177" s="12" t="str">
        <f aca="false">IF($A177="","",'Purchase Orders'!$D177)</f>
        <v/>
      </c>
      <c r="D177" s="12" t="str">
        <f aca="false">IF($A177="","",'Purchase Orders'!$E177)</f>
        <v/>
      </c>
      <c r="E177" s="13" t="str">
        <f aca="false">IF($A177="","",'Purchase Orders'!$I177)</f>
        <v/>
      </c>
      <c r="F177" s="13" t="str">
        <f aca="false">IF($A177="","",SUMIFS('Expense Entry'!$K$5:$K$6000,'Expense Entry'!$E$5:$E$6000,"Payable Payment",'Expense Entry'!$L$5:$L$6000,$A177))</f>
        <v/>
      </c>
      <c r="G177" s="13" t="str">
        <f aca="false">IF($A177="","",$E177-$F177)</f>
        <v/>
      </c>
      <c r="H177" s="12" t="str">
        <f aca="false">IF($A177="","",IF($G177&lt;=0,"Paid",IF($F177&gt;0,"Partial","Unpaid")))</f>
        <v/>
      </c>
    </row>
    <row r="178" customFormat="false" ht="15" hidden="false" customHeight="true" outlineLevel="0" collapsed="false">
      <c r="A178" s="12" t="str">
        <f aca="false">IF('Purchase Orders'!$L178="Received",'Purchase Orders'!$A178,"")</f>
        <v/>
      </c>
      <c r="B178" s="12" t="str">
        <f aca="false">IF($A178="","",'Purchase Orders'!$C178)</f>
        <v/>
      </c>
      <c r="C178" s="12" t="str">
        <f aca="false">IF($A178="","",'Purchase Orders'!$D178)</f>
        <v/>
      </c>
      <c r="D178" s="12" t="str">
        <f aca="false">IF($A178="","",'Purchase Orders'!$E178)</f>
        <v/>
      </c>
      <c r="E178" s="13" t="str">
        <f aca="false">IF($A178="","",'Purchase Orders'!$I178)</f>
        <v/>
      </c>
      <c r="F178" s="13" t="str">
        <f aca="false">IF($A178="","",SUMIFS('Expense Entry'!$K$5:$K$6000,'Expense Entry'!$E$5:$E$6000,"Payable Payment",'Expense Entry'!$L$5:$L$6000,$A178))</f>
        <v/>
      </c>
      <c r="G178" s="13" t="str">
        <f aca="false">IF($A178="","",$E178-$F178)</f>
        <v/>
      </c>
      <c r="H178" s="12" t="str">
        <f aca="false">IF($A178="","",IF($G178&lt;=0,"Paid",IF($F178&gt;0,"Partial","Unpaid")))</f>
        <v/>
      </c>
    </row>
    <row r="179" customFormat="false" ht="15" hidden="false" customHeight="true" outlineLevel="0" collapsed="false">
      <c r="A179" s="12" t="str">
        <f aca="false">IF('Purchase Orders'!$L179="Received",'Purchase Orders'!$A179,"")</f>
        <v/>
      </c>
      <c r="B179" s="12" t="str">
        <f aca="false">IF($A179="","",'Purchase Orders'!$C179)</f>
        <v/>
      </c>
      <c r="C179" s="12" t="str">
        <f aca="false">IF($A179="","",'Purchase Orders'!$D179)</f>
        <v/>
      </c>
      <c r="D179" s="12" t="str">
        <f aca="false">IF($A179="","",'Purchase Orders'!$E179)</f>
        <v/>
      </c>
      <c r="E179" s="13" t="str">
        <f aca="false">IF($A179="","",'Purchase Orders'!$I179)</f>
        <v/>
      </c>
      <c r="F179" s="13" t="str">
        <f aca="false">IF($A179="","",SUMIFS('Expense Entry'!$K$5:$K$6000,'Expense Entry'!$E$5:$E$6000,"Payable Payment",'Expense Entry'!$L$5:$L$6000,$A179))</f>
        <v/>
      </c>
      <c r="G179" s="13" t="str">
        <f aca="false">IF($A179="","",$E179-$F179)</f>
        <v/>
      </c>
      <c r="H179" s="12" t="str">
        <f aca="false">IF($A179="","",IF($G179&lt;=0,"Paid",IF($F179&gt;0,"Partial","Unpaid")))</f>
        <v/>
      </c>
    </row>
    <row r="180" customFormat="false" ht="15" hidden="false" customHeight="true" outlineLevel="0" collapsed="false">
      <c r="A180" s="12" t="str">
        <f aca="false">IF('Purchase Orders'!$L180="Received",'Purchase Orders'!$A180,"")</f>
        <v/>
      </c>
      <c r="B180" s="12" t="str">
        <f aca="false">IF($A180="","",'Purchase Orders'!$C180)</f>
        <v/>
      </c>
      <c r="C180" s="12" t="str">
        <f aca="false">IF($A180="","",'Purchase Orders'!$D180)</f>
        <v/>
      </c>
      <c r="D180" s="12" t="str">
        <f aca="false">IF($A180="","",'Purchase Orders'!$E180)</f>
        <v/>
      </c>
      <c r="E180" s="13" t="str">
        <f aca="false">IF($A180="","",'Purchase Orders'!$I180)</f>
        <v/>
      </c>
      <c r="F180" s="13" t="str">
        <f aca="false">IF($A180="","",SUMIFS('Expense Entry'!$K$5:$K$6000,'Expense Entry'!$E$5:$E$6000,"Payable Payment",'Expense Entry'!$L$5:$L$6000,$A180))</f>
        <v/>
      </c>
      <c r="G180" s="13" t="str">
        <f aca="false">IF($A180="","",$E180-$F180)</f>
        <v/>
      </c>
      <c r="H180" s="12" t="str">
        <f aca="false">IF($A180="","",IF($G180&lt;=0,"Paid",IF($F180&gt;0,"Partial","Unpaid")))</f>
        <v/>
      </c>
    </row>
    <row r="181" customFormat="false" ht="15" hidden="false" customHeight="true" outlineLevel="0" collapsed="false">
      <c r="A181" s="12" t="str">
        <f aca="false">IF('Purchase Orders'!$L181="Received",'Purchase Orders'!$A181,"")</f>
        <v/>
      </c>
      <c r="B181" s="12" t="str">
        <f aca="false">IF($A181="","",'Purchase Orders'!$C181)</f>
        <v/>
      </c>
      <c r="C181" s="12" t="str">
        <f aca="false">IF($A181="","",'Purchase Orders'!$D181)</f>
        <v/>
      </c>
      <c r="D181" s="12" t="str">
        <f aca="false">IF($A181="","",'Purchase Orders'!$E181)</f>
        <v/>
      </c>
      <c r="E181" s="13" t="str">
        <f aca="false">IF($A181="","",'Purchase Orders'!$I181)</f>
        <v/>
      </c>
      <c r="F181" s="13" t="str">
        <f aca="false">IF($A181="","",SUMIFS('Expense Entry'!$K$5:$K$6000,'Expense Entry'!$E$5:$E$6000,"Payable Payment",'Expense Entry'!$L$5:$L$6000,$A181))</f>
        <v/>
      </c>
      <c r="G181" s="13" t="str">
        <f aca="false">IF($A181="","",$E181-$F181)</f>
        <v/>
      </c>
      <c r="H181" s="12" t="str">
        <f aca="false">IF($A181="","",IF($G181&lt;=0,"Paid",IF($F181&gt;0,"Partial","Unpaid")))</f>
        <v/>
      </c>
    </row>
    <row r="182" customFormat="false" ht="15" hidden="false" customHeight="true" outlineLevel="0" collapsed="false">
      <c r="A182" s="12" t="str">
        <f aca="false">IF('Purchase Orders'!$L182="Received",'Purchase Orders'!$A182,"")</f>
        <v/>
      </c>
      <c r="B182" s="12" t="str">
        <f aca="false">IF($A182="","",'Purchase Orders'!$C182)</f>
        <v/>
      </c>
      <c r="C182" s="12" t="str">
        <f aca="false">IF($A182="","",'Purchase Orders'!$D182)</f>
        <v/>
      </c>
      <c r="D182" s="12" t="str">
        <f aca="false">IF($A182="","",'Purchase Orders'!$E182)</f>
        <v/>
      </c>
      <c r="E182" s="13" t="str">
        <f aca="false">IF($A182="","",'Purchase Orders'!$I182)</f>
        <v/>
      </c>
      <c r="F182" s="13" t="str">
        <f aca="false">IF($A182="","",SUMIFS('Expense Entry'!$K$5:$K$6000,'Expense Entry'!$E$5:$E$6000,"Payable Payment",'Expense Entry'!$L$5:$L$6000,$A182))</f>
        <v/>
      </c>
      <c r="G182" s="13" t="str">
        <f aca="false">IF($A182="","",$E182-$F182)</f>
        <v/>
      </c>
      <c r="H182" s="12" t="str">
        <f aca="false">IF($A182="","",IF($G182&lt;=0,"Paid",IF($F182&gt;0,"Partial","Unpaid")))</f>
        <v/>
      </c>
    </row>
    <row r="183" customFormat="false" ht="15" hidden="false" customHeight="true" outlineLevel="0" collapsed="false">
      <c r="A183" s="12" t="str">
        <f aca="false">IF('Purchase Orders'!$L183="Received",'Purchase Orders'!$A183,"")</f>
        <v/>
      </c>
      <c r="B183" s="12" t="str">
        <f aca="false">IF($A183="","",'Purchase Orders'!$C183)</f>
        <v/>
      </c>
      <c r="C183" s="12" t="str">
        <f aca="false">IF($A183="","",'Purchase Orders'!$D183)</f>
        <v/>
      </c>
      <c r="D183" s="12" t="str">
        <f aca="false">IF($A183="","",'Purchase Orders'!$E183)</f>
        <v/>
      </c>
      <c r="E183" s="13" t="str">
        <f aca="false">IF($A183="","",'Purchase Orders'!$I183)</f>
        <v/>
      </c>
      <c r="F183" s="13" t="str">
        <f aca="false">IF($A183="","",SUMIFS('Expense Entry'!$K$5:$K$6000,'Expense Entry'!$E$5:$E$6000,"Payable Payment",'Expense Entry'!$L$5:$L$6000,$A183))</f>
        <v/>
      </c>
      <c r="G183" s="13" t="str">
        <f aca="false">IF($A183="","",$E183-$F183)</f>
        <v/>
      </c>
      <c r="H183" s="12" t="str">
        <f aca="false">IF($A183="","",IF($G183&lt;=0,"Paid",IF($F183&gt;0,"Partial","Unpaid")))</f>
        <v/>
      </c>
    </row>
    <row r="184" customFormat="false" ht="15" hidden="false" customHeight="true" outlineLevel="0" collapsed="false">
      <c r="A184" s="12" t="str">
        <f aca="false">IF('Purchase Orders'!$L184="Received",'Purchase Orders'!$A184,"")</f>
        <v/>
      </c>
      <c r="B184" s="12" t="str">
        <f aca="false">IF($A184="","",'Purchase Orders'!$C184)</f>
        <v/>
      </c>
      <c r="C184" s="12" t="str">
        <f aca="false">IF($A184="","",'Purchase Orders'!$D184)</f>
        <v/>
      </c>
      <c r="D184" s="12" t="str">
        <f aca="false">IF($A184="","",'Purchase Orders'!$E184)</f>
        <v/>
      </c>
      <c r="E184" s="13" t="str">
        <f aca="false">IF($A184="","",'Purchase Orders'!$I184)</f>
        <v/>
      </c>
      <c r="F184" s="13" t="str">
        <f aca="false">IF($A184="","",SUMIFS('Expense Entry'!$K$5:$K$6000,'Expense Entry'!$E$5:$E$6000,"Payable Payment",'Expense Entry'!$L$5:$L$6000,$A184))</f>
        <v/>
      </c>
      <c r="G184" s="13" t="str">
        <f aca="false">IF($A184="","",$E184-$F184)</f>
        <v/>
      </c>
      <c r="H184" s="12" t="str">
        <f aca="false">IF($A184="","",IF($G184&lt;=0,"Paid",IF($F184&gt;0,"Partial","Unpaid")))</f>
        <v/>
      </c>
    </row>
    <row r="185" customFormat="false" ht="15" hidden="false" customHeight="true" outlineLevel="0" collapsed="false">
      <c r="A185" s="12" t="str">
        <f aca="false">IF('Purchase Orders'!$L185="Received",'Purchase Orders'!$A185,"")</f>
        <v/>
      </c>
      <c r="B185" s="12" t="str">
        <f aca="false">IF($A185="","",'Purchase Orders'!$C185)</f>
        <v/>
      </c>
      <c r="C185" s="12" t="str">
        <f aca="false">IF($A185="","",'Purchase Orders'!$D185)</f>
        <v/>
      </c>
      <c r="D185" s="12" t="str">
        <f aca="false">IF($A185="","",'Purchase Orders'!$E185)</f>
        <v/>
      </c>
      <c r="E185" s="13" t="str">
        <f aca="false">IF($A185="","",'Purchase Orders'!$I185)</f>
        <v/>
      </c>
      <c r="F185" s="13" t="str">
        <f aca="false">IF($A185="","",SUMIFS('Expense Entry'!$K$5:$K$6000,'Expense Entry'!$E$5:$E$6000,"Payable Payment",'Expense Entry'!$L$5:$L$6000,$A185))</f>
        <v/>
      </c>
      <c r="G185" s="13" t="str">
        <f aca="false">IF($A185="","",$E185-$F185)</f>
        <v/>
      </c>
      <c r="H185" s="12" t="str">
        <f aca="false">IF($A185="","",IF($G185&lt;=0,"Paid",IF($F185&gt;0,"Partial","Unpaid")))</f>
        <v/>
      </c>
    </row>
    <row r="186" customFormat="false" ht="15" hidden="false" customHeight="true" outlineLevel="0" collapsed="false">
      <c r="A186" s="12" t="str">
        <f aca="false">IF('Purchase Orders'!$L186="Received",'Purchase Orders'!$A186,"")</f>
        <v/>
      </c>
      <c r="B186" s="12" t="str">
        <f aca="false">IF($A186="","",'Purchase Orders'!$C186)</f>
        <v/>
      </c>
      <c r="C186" s="12" t="str">
        <f aca="false">IF($A186="","",'Purchase Orders'!$D186)</f>
        <v/>
      </c>
      <c r="D186" s="12" t="str">
        <f aca="false">IF($A186="","",'Purchase Orders'!$E186)</f>
        <v/>
      </c>
      <c r="E186" s="13" t="str">
        <f aca="false">IF($A186="","",'Purchase Orders'!$I186)</f>
        <v/>
      </c>
      <c r="F186" s="13" t="str">
        <f aca="false">IF($A186="","",SUMIFS('Expense Entry'!$K$5:$K$6000,'Expense Entry'!$E$5:$E$6000,"Payable Payment",'Expense Entry'!$L$5:$L$6000,$A186))</f>
        <v/>
      </c>
      <c r="G186" s="13" t="str">
        <f aca="false">IF($A186="","",$E186-$F186)</f>
        <v/>
      </c>
      <c r="H186" s="12" t="str">
        <f aca="false">IF($A186="","",IF($G186&lt;=0,"Paid",IF($F186&gt;0,"Partial","Unpaid")))</f>
        <v/>
      </c>
    </row>
    <row r="187" customFormat="false" ht="15" hidden="false" customHeight="true" outlineLevel="0" collapsed="false">
      <c r="A187" s="12" t="str">
        <f aca="false">IF('Purchase Orders'!$L187="Received",'Purchase Orders'!$A187,"")</f>
        <v/>
      </c>
      <c r="B187" s="12" t="str">
        <f aca="false">IF($A187="","",'Purchase Orders'!$C187)</f>
        <v/>
      </c>
      <c r="C187" s="12" t="str">
        <f aca="false">IF($A187="","",'Purchase Orders'!$D187)</f>
        <v/>
      </c>
      <c r="D187" s="12" t="str">
        <f aca="false">IF($A187="","",'Purchase Orders'!$E187)</f>
        <v/>
      </c>
      <c r="E187" s="13" t="str">
        <f aca="false">IF($A187="","",'Purchase Orders'!$I187)</f>
        <v/>
      </c>
      <c r="F187" s="13" t="str">
        <f aca="false">IF($A187="","",SUMIFS('Expense Entry'!$K$5:$K$6000,'Expense Entry'!$E$5:$E$6000,"Payable Payment",'Expense Entry'!$L$5:$L$6000,$A187))</f>
        <v/>
      </c>
      <c r="G187" s="13" t="str">
        <f aca="false">IF($A187="","",$E187-$F187)</f>
        <v/>
      </c>
      <c r="H187" s="12" t="str">
        <f aca="false">IF($A187="","",IF($G187&lt;=0,"Paid",IF($F187&gt;0,"Partial","Unpaid")))</f>
        <v/>
      </c>
    </row>
    <row r="188" customFormat="false" ht="15" hidden="false" customHeight="true" outlineLevel="0" collapsed="false">
      <c r="A188" s="12" t="str">
        <f aca="false">IF('Purchase Orders'!$L188="Received",'Purchase Orders'!$A188,"")</f>
        <v/>
      </c>
      <c r="B188" s="12" t="str">
        <f aca="false">IF($A188="","",'Purchase Orders'!$C188)</f>
        <v/>
      </c>
      <c r="C188" s="12" t="str">
        <f aca="false">IF($A188="","",'Purchase Orders'!$D188)</f>
        <v/>
      </c>
      <c r="D188" s="12" t="str">
        <f aca="false">IF($A188="","",'Purchase Orders'!$E188)</f>
        <v/>
      </c>
      <c r="E188" s="13" t="str">
        <f aca="false">IF($A188="","",'Purchase Orders'!$I188)</f>
        <v/>
      </c>
      <c r="F188" s="13" t="str">
        <f aca="false">IF($A188="","",SUMIFS('Expense Entry'!$K$5:$K$6000,'Expense Entry'!$E$5:$E$6000,"Payable Payment",'Expense Entry'!$L$5:$L$6000,$A188))</f>
        <v/>
      </c>
      <c r="G188" s="13" t="str">
        <f aca="false">IF($A188="","",$E188-$F188)</f>
        <v/>
      </c>
      <c r="H188" s="12" t="str">
        <f aca="false">IF($A188="","",IF($G188&lt;=0,"Paid",IF($F188&gt;0,"Partial","Unpaid")))</f>
        <v/>
      </c>
    </row>
    <row r="189" customFormat="false" ht="15" hidden="false" customHeight="true" outlineLevel="0" collapsed="false">
      <c r="A189" s="12" t="str">
        <f aca="false">IF('Purchase Orders'!$L189="Received",'Purchase Orders'!$A189,"")</f>
        <v/>
      </c>
      <c r="B189" s="12" t="str">
        <f aca="false">IF($A189="","",'Purchase Orders'!$C189)</f>
        <v/>
      </c>
      <c r="C189" s="12" t="str">
        <f aca="false">IF($A189="","",'Purchase Orders'!$D189)</f>
        <v/>
      </c>
      <c r="D189" s="12" t="str">
        <f aca="false">IF($A189="","",'Purchase Orders'!$E189)</f>
        <v/>
      </c>
      <c r="E189" s="13" t="str">
        <f aca="false">IF($A189="","",'Purchase Orders'!$I189)</f>
        <v/>
      </c>
      <c r="F189" s="13" t="str">
        <f aca="false">IF($A189="","",SUMIFS('Expense Entry'!$K$5:$K$6000,'Expense Entry'!$E$5:$E$6000,"Payable Payment",'Expense Entry'!$L$5:$L$6000,$A189))</f>
        <v/>
      </c>
      <c r="G189" s="13" t="str">
        <f aca="false">IF($A189="","",$E189-$F189)</f>
        <v/>
      </c>
      <c r="H189" s="12" t="str">
        <f aca="false">IF($A189="","",IF($G189&lt;=0,"Paid",IF($F189&gt;0,"Partial","Unpaid")))</f>
        <v/>
      </c>
    </row>
    <row r="190" customFormat="false" ht="15" hidden="false" customHeight="true" outlineLevel="0" collapsed="false">
      <c r="A190" s="12" t="str">
        <f aca="false">IF('Purchase Orders'!$L190="Received",'Purchase Orders'!$A190,"")</f>
        <v/>
      </c>
      <c r="B190" s="12" t="str">
        <f aca="false">IF($A190="","",'Purchase Orders'!$C190)</f>
        <v/>
      </c>
      <c r="C190" s="12" t="str">
        <f aca="false">IF($A190="","",'Purchase Orders'!$D190)</f>
        <v/>
      </c>
      <c r="D190" s="12" t="str">
        <f aca="false">IF($A190="","",'Purchase Orders'!$E190)</f>
        <v/>
      </c>
      <c r="E190" s="13" t="str">
        <f aca="false">IF($A190="","",'Purchase Orders'!$I190)</f>
        <v/>
      </c>
      <c r="F190" s="13" t="str">
        <f aca="false">IF($A190="","",SUMIFS('Expense Entry'!$K$5:$K$6000,'Expense Entry'!$E$5:$E$6000,"Payable Payment",'Expense Entry'!$L$5:$L$6000,$A190))</f>
        <v/>
      </c>
      <c r="G190" s="13" t="str">
        <f aca="false">IF($A190="","",$E190-$F190)</f>
        <v/>
      </c>
      <c r="H190" s="12" t="str">
        <f aca="false">IF($A190="","",IF($G190&lt;=0,"Paid",IF($F190&gt;0,"Partial","Unpaid")))</f>
        <v/>
      </c>
    </row>
    <row r="191" customFormat="false" ht="15" hidden="false" customHeight="true" outlineLevel="0" collapsed="false">
      <c r="A191" s="12" t="str">
        <f aca="false">IF('Purchase Orders'!$L191="Received",'Purchase Orders'!$A191,"")</f>
        <v/>
      </c>
      <c r="B191" s="12" t="str">
        <f aca="false">IF($A191="","",'Purchase Orders'!$C191)</f>
        <v/>
      </c>
      <c r="C191" s="12" t="str">
        <f aca="false">IF($A191="","",'Purchase Orders'!$D191)</f>
        <v/>
      </c>
      <c r="D191" s="12" t="str">
        <f aca="false">IF($A191="","",'Purchase Orders'!$E191)</f>
        <v/>
      </c>
      <c r="E191" s="13" t="str">
        <f aca="false">IF($A191="","",'Purchase Orders'!$I191)</f>
        <v/>
      </c>
      <c r="F191" s="13" t="str">
        <f aca="false">IF($A191="","",SUMIFS('Expense Entry'!$K$5:$K$6000,'Expense Entry'!$E$5:$E$6000,"Payable Payment",'Expense Entry'!$L$5:$L$6000,$A191))</f>
        <v/>
      </c>
      <c r="G191" s="13" t="str">
        <f aca="false">IF($A191="","",$E191-$F191)</f>
        <v/>
      </c>
      <c r="H191" s="12" t="str">
        <f aca="false">IF($A191="","",IF($G191&lt;=0,"Paid",IF($F191&gt;0,"Partial","Unpaid")))</f>
        <v/>
      </c>
    </row>
    <row r="192" customFormat="false" ht="15" hidden="false" customHeight="true" outlineLevel="0" collapsed="false">
      <c r="A192" s="12" t="str">
        <f aca="false">IF('Purchase Orders'!$L192="Received",'Purchase Orders'!$A192,"")</f>
        <v/>
      </c>
      <c r="B192" s="12" t="str">
        <f aca="false">IF($A192="","",'Purchase Orders'!$C192)</f>
        <v/>
      </c>
      <c r="C192" s="12" t="str">
        <f aca="false">IF($A192="","",'Purchase Orders'!$D192)</f>
        <v/>
      </c>
      <c r="D192" s="12" t="str">
        <f aca="false">IF($A192="","",'Purchase Orders'!$E192)</f>
        <v/>
      </c>
      <c r="E192" s="13" t="str">
        <f aca="false">IF($A192="","",'Purchase Orders'!$I192)</f>
        <v/>
      </c>
      <c r="F192" s="13" t="str">
        <f aca="false">IF($A192="","",SUMIFS('Expense Entry'!$K$5:$K$6000,'Expense Entry'!$E$5:$E$6000,"Payable Payment",'Expense Entry'!$L$5:$L$6000,$A192))</f>
        <v/>
      </c>
      <c r="G192" s="13" t="str">
        <f aca="false">IF($A192="","",$E192-$F192)</f>
        <v/>
      </c>
      <c r="H192" s="12" t="str">
        <f aca="false">IF($A192="","",IF($G192&lt;=0,"Paid",IF($F192&gt;0,"Partial","Unpaid")))</f>
        <v/>
      </c>
    </row>
    <row r="193" customFormat="false" ht="15" hidden="false" customHeight="true" outlineLevel="0" collapsed="false">
      <c r="A193" s="12" t="str">
        <f aca="false">IF('Purchase Orders'!$L193="Received",'Purchase Orders'!$A193,"")</f>
        <v/>
      </c>
      <c r="B193" s="12" t="str">
        <f aca="false">IF($A193="","",'Purchase Orders'!$C193)</f>
        <v/>
      </c>
      <c r="C193" s="12" t="str">
        <f aca="false">IF($A193="","",'Purchase Orders'!$D193)</f>
        <v/>
      </c>
      <c r="D193" s="12" t="str">
        <f aca="false">IF($A193="","",'Purchase Orders'!$E193)</f>
        <v/>
      </c>
      <c r="E193" s="13" t="str">
        <f aca="false">IF($A193="","",'Purchase Orders'!$I193)</f>
        <v/>
      </c>
      <c r="F193" s="13" t="str">
        <f aca="false">IF($A193="","",SUMIFS('Expense Entry'!$K$5:$K$6000,'Expense Entry'!$E$5:$E$6000,"Payable Payment",'Expense Entry'!$L$5:$L$6000,$A193))</f>
        <v/>
      </c>
      <c r="G193" s="13" t="str">
        <f aca="false">IF($A193="","",$E193-$F193)</f>
        <v/>
      </c>
      <c r="H193" s="12" t="str">
        <f aca="false">IF($A193="","",IF($G193&lt;=0,"Paid",IF($F193&gt;0,"Partial","Unpaid")))</f>
        <v/>
      </c>
    </row>
    <row r="194" customFormat="false" ht="15" hidden="false" customHeight="true" outlineLevel="0" collapsed="false">
      <c r="A194" s="12" t="str">
        <f aca="false">IF('Purchase Orders'!$L194="Received",'Purchase Orders'!$A194,"")</f>
        <v/>
      </c>
      <c r="B194" s="12" t="str">
        <f aca="false">IF($A194="","",'Purchase Orders'!$C194)</f>
        <v/>
      </c>
      <c r="C194" s="12" t="str">
        <f aca="false">IF($A194="","",'Purchase Orders'!$D194)</f>
        <v/>
      </c>
      <c r="D194" s="12" t="str">
        <f aca="false">IF($A194="","",'Purchase Orders'!$E194)</f>
        <v/>
      </c>
      <c r="E194" s="13" t="str">
        <f aca="false">IF($A194="","",'Purchase Orders'!$I194)</f>
        <v/>
      </c>
      <c r="F194" s="13" t="str">
        <f aca="false">IF($A194="","",SUMIFS('Expense Entry'!$K$5:$K$6000,'Expense Entry'!$E$5:$E$6000,"Payable Payment",'Expense Entry'!$L$5:$L$6000,$A194))</f>
        <v/>
      </c>
      <c r="G194" s="13" t="str">
        <f aca="false">IF($A194="","",$E194-$F194)</f>
        <v/>
      </c>
      <c r="H194" s="12" t="str">
        <f aca="false">IF($A194="","",IF($G194&lt;=0,"Paid",IF($F194&gt;0,"Partial","Unpaid")))</f>
        <v/>
      </c>
    </row>
    <row r="195" customFormat="false" ht="15" hidden="false" customHeight="true" outlineLevel="0" collapsed="false">
      <c r="A195" s="12" t="str">
        <f aca="false">IF('Purchase Orders'!$L195="Received",'Purchase Orders'!$A195,"")</f>
        <v/>
      </c>
      <c r="B195" s="12" t="str">
        <f aca="false">IF($A195="","",'Purchase Orders'!$C195)</f>
        <v/>
      </c>
      <c r="C195" s="12" t="str">
        <f aca="false">IF($A195="","",'Purchase Orders'!$D195)</f>
        <v/>
      </c>
      <c r="D195" s="12" t="str">
        <f aca="false">IF($A195="","",'Purchase Orders'!$E195)</f>
        <v/>
      </c>
      <c r="E195" s="13" t="str">
        <f aca="false">IF($A195="","",'Purchase Orders'!$I195)</f>
        <v/>
      </c>
      <c r="F195" s="13" t="str">
        <f aca="false">IF($A195="","",SUMIFS('Expense Entry'!$K$5:$K$6000,'Expense Entry'!$E$5:$E$6000,"Payable Payment",'Expense Entry'!$L$5:$L$6000,$A195))</f>
        <v/>
      </c>
      <c r="G195" s="13" t="str">
        <f aca="false">IF($A195="","",$E195-$F195)</f>
        <v/>
      </c>
      <c r="H195" s="12" t="str">
        <f aca="false">IF($A195="","",IF($G195&lt;=0,"Paid",IF($F195&gt;0,"Partial","Unpaid")))</f>
        <v/>
      </c>
    </row>
    <row r="196" customFormat="false" ht="15" hidden="false" customHeight="true" outlineLevel="0" collapsed="false">
      <c r="A196" s="12" t="str">
        <f aca="false">IF('Purchase Orders'!$L196="Received",'Purchase Orders'!$A196,"")</f>
        <v/>
      </c>
      <c r="B196" s="12" t="str">
        <f aca="false">IF($A196="","",'Purchase Orders'!$C196)</f>
        <v/>
      </c>
      <c r="C196" s="12" t="str">
        <f aca="false">IF($A196="","",'Purchase Orders'!$D196)</f>
        <v/>
      </c>
      <c r="D196" s="12" t="str">
        <f aca="false">IF($A196="","",'Purchase Orders'!$E196)</f>
        <v/>
      </c>
      <c r="E196" s="13" t="str">
        <f aca="false">IF($A196="","",'Purchase Orders'!$I196)</f>
        <v/>
      </c>
      <c r="F196" s="13" t="str">
        <f aca="false">IF($A196="","",SUMIFS('Expense Entry'!$K$5:$K$6000,'Expense Entry'!$E$5:$E$6000,"Payable Payment",'Expense Entry'!$L$5:$L$6000,$A196))</f>
        <v/>
      </c>
      <c r="G196" s="13" t="str">
        <f aca="false">IF($A196="","",$E196-$F196)</f>
        <v/>
      </c>
      <c r="H196" s="12" t="str">
        <f aca="false">IF($A196="","",IF($G196&lt;=0,"Paid",IF($F196&gt;0,"Partial","Unpaid")))</f>
        <v/>
      </c>
    </row>
    <row r="197" customFormat="false" ht="15" hidden="false" customHeight="true" outlineLevel="0" collapsed="false">
      <c r="A197" s="12" t="str">
        <f aca="false">IF('Purchase Orders'!$L197="Received",'Purchase Orders'!$A197,"")</f>
        <v/>
      </c>
      <c r="B197" s="12" t="str">
        <f aca="false">IF($A197="","",'Purchase Orders'!$C197)</f>
        <v/>
      </c>
      <c r="C197" s="12" t="str">
        <f aca="false">IF($A197="","",'Purchase Orders'!$D197)</f>
        <v/>
      </c>
      <c r="D197" s="12" t="str">
        <f aca="false">IF($A197="","",'Purchase Orders'!$E197)</f>
        <v/>
      </c>
      <c r="E197" s="13" t="str">
        <f aca="false">IF($A197="","",'Purchase Orders'!$I197)</f>
        <v/>
      </c>
      <c r="F197" s="13" t="str">
        <f aca="false">IF($A197="","",SUMIFS('Expense Entry'!$K$5:$K$6000,'Expense Entry'!$E$5:$E$6000,"Payable Payment",'Expense Entry'!$L$5:$L$6000,$A197))</f>
        <v/>
      </c>
      <c r="G197" s="13" t="str">
        <f aca="false">IF($A197="","",$E197-$F197)</f>
        <v/>
      </c>
      <c r="H197" s="12" t="str">
        <f aca="false">IF($A197="","",IF($G197&lt;=0,"Paid",IF($F197&gt;0,"Partial","Unpaid")))</f>
        <v/>
      </c>
    </row>
    <row r="198" customFormat="false" ht="15" hidden="false" customHeight="true" outlineLevel="0" collapsed="false">
      <c r="A198" s="12" t="str">
        <f aca="false">IF('Purchase Orders'!$L198="Received",'Purchase Orders'!$A198,"")</f>
        <v/>
      </c>
      <c r="B198" s="12" t="str">
        <f aca="false">IF($A198="","",'Purchase Orders'!$C198)</f>
        <v/>
      </c>
      <c r="C198" s="12" t="str">
        <f aca="false">IF($A198="","",'Purchase Orders'!$D198)</f>
        <v/>
      </c>
      <c r="D198" s="12" t="str">
        <f aca="false">IF($A198="","",'Purchase Orders'!$E198)</f>
        <v/>
      </c>
      <c r="E198" s="13" t="str">
        <f aca="false">IF($A198="","",'Purchase Orders'!$I198)</f>
        <v/>
      </c>
      <c r="F198" s="13" t="str">
        <f aca="false">IF($A198="","",SUMIFS('Expense Entry'!$K$5:$K$6000,'Expense Entry'!$E$5:$E$6000,"Payable Payment",'Expense Entry'!$L$5:$L$6000,$A198))</f>
        <v/>
      </c>
      <c r="G198" s="13" t="str">
        <f aca="false">IF($A198="","",$E198-$F198)</f>
        <v/>
      </c>
      <c r="H198" s="12" t="str">
        <f aca="false">IF($A198="","",IF($G198&lt;=0,"Paid",IF($F198&gt;0,"Partial","Unpaid")))</f>
        <v/>
      </c>
    </row>
    <row r="199" customFormat="false" ht="15" hidden="false" customHeight="true" outlineLevel="0" collapsed="false">
      <c r="A199" s="12" t="str">
        <f aca="false">IF('Purchase Orders'!$L199="Received",'Purchase Orders'!$A199,"")</f>
        <v/>
      </c>
      <c r="B199" s="12" t="str">
        <f aca="false">IF($A199="","",'Purchase Orders'!$C199)</f>
        <v/>
      </c>
      <c r="C199" s="12" t="str">
        <f aca="false">IF($A199="","",'Purchase Orders'!$D199)</f>
        <v/>
      </c>
      <c r="D199" s="12" t="str">
        <f aca="false">IF($A199="","",'Purchase Orders'!$E199)</f>
        <v/>
      </c>
      <c r="E199" s="13" t="str">
        <f aca="false">IF($A199="","",'Purchase Orders'!$I199)</f>
        <v/>
      </c>
      <c r="F199" s="13" t="str">
        <f aca="false">IF($A199="","",SUMIFS('Expense Entry'!$K$5:$K$6000,'Expense Entry'!$E$5:$E$6000,"Payable Payment",'Expense Entry'!$L$5:$L$6000,$A199))</f>
        <v/>
      </c>
      <c r="G199" s="13" t="str">
        <f aca="false">IF($A199="","",$E199-$F199)</f>
        <v/>
      </c>
      <c r="H199" s="12" t="str">
        <f aca="false">IF($A199="","",IF($G199&lt;=0,"Paid",IF($F199&gt;0,"Partial","Unpaid")))</f>
        <v/>
      </c>
    </row>
    <row r="200" customFormat="false" ht="15" hidden="false" customHeight="true" outlineLevel="0" collapsed="false">
      <c r="A200" s="12" t="str">
        <f aca="false">IF('Purchase Orders'!$L200="Received",'Purchase Orders'!$A200,"")</f>
        <v/>
      </c>
      <c r="B200" s="12" t="str">
        <f aca="false">IF($A200="","",'Purchase Orders'!$C200)</f>
        <v/>
      </c>
      <c r="C200" s="12" t="str">
        <f aca="false">IF($A200="","",'Purchase Orders'!$D200)</f>
        <v/>
      </c>
      <c r="D200" s="12" t="str">
        <f aca="false">IF($A200="","",'Purchase Orders'!$E200)</f>
        <v/>
      </c>
      <c r="E200" s="13" t="str">
        <f aca="false">IF($A200="","",'Purchase Orders'!$I200)</f>
        <v/>
      </c>
      <c r="F200" s="13" t="str">
        <f aca="false">IF($A200="","",SUMIFS('Expense Entry'!$K$5:$K$6000,'Expense Entry'!$E$5:$E$6000,"Payable Payment",'Expense Entry'!$L$5:$L$6000,$A200))</f>
        <v/>
      </c>
      <c r="G200" s="13" t="str">
        <f aca="false">IF($A200="","",$E200-$F200)</f>
        <v/>
      </c>
      <c r="H200" s="12" t="str">
        <f aca="false">IF($A200="","",IF($G200&lt;=0,"Paid",IF($F200&gt;0,"Partial","Unpaid")))</f>
        <v/>
      </c>
    </row>
    <row r="201" customFormat="false" ht="15" hidden="false" customHeight="true" outlineLevel="0" collapsed="false">
      <c r="A201" s="12" t="str">
        <f aca="false">IF('Purchase Orders'!$L201="Received",'Purchase Orders'!$A201,"")</f>
        <v/>
      </c>
      <c r="B201" s="12" t="str">
        <f aca="false">IF($A201="","",'Purchase Orders'!$C201)</f>
        <v/>
      </c>
      <c r="C201" s="12" t="str">
        <f aca="false">IF($A201="","",'Purchase Orders'!$D201)</f>
        <v/>
      </c>
      <c r="D201" s="12" t="str">
        <f aca="false">IF($A201="","",'Purchase Orders'!$E201)</f>
        <v/>
      </c>
      <c r="E201" s="13" t="str">
        <f aca="false">IF($A201="","",'Purchase Orders'!$I201)</f>
        <v/>
      </c>
      <c r="F201" s="13" t="str">
        <f aca="false">IF($A201="","",SUMIFS('Expense Entry'!$K$5:$K$6000,'Expense Entry'!$E$5:$E$6000,"Payable Payment",'Expense Entry'!$L$5:$L$6000,$A201))</f>
        <v/>
      </c>
      <c r="G201" s="13" t="str">
        <f aca="false">IF($A201="","",$E201-$F201)</f>
        <v/>
      </c>
      <c r="H201" s="12" t="str">
        <f aca="false">IF($A201="","",IF($G201&lt;=0,"Paid",IF($F201&gt;0,"Partial","Unpaid")))</f>
        <v/>
      </c>
    </row>
    <row r="202" customFormat="false" ht="15" hidden="false" customHeight="true" outlineLevel="0" collapsed="false">
      <c r="A202" s="12" t="str">
        <f aca="false">IF('Purchase Orders'!$L202="Received",'Purchase Orders'!$A202,"")</f>
        <v/>
      </c>
      <c r="B202" s="12" t="str">
        <f aca="false">IF($A202="","",'Purchase Orders'!$C202)</f>
        <v/>
      </c>
      <c r="C202" s="12" t="str">
        <f aca="false">IF($A202="","",'Purchase Orders'!$D202)</f>
        <v/>
      </c>
      <c r="D202" s="12" t="str">
        <f aca="false">IF($A202="","",'Purchase Orders'!$E202)</f>
        <v/>
      </c>
      <c r="E202" s="13" t="str">
        <f aca="false">IF($A202="","",'Purchase Orders'!$I202)</f>
        <v/>
      </c>
      <c r="F202" s="13" t="str">
        <f aca="false">IF($A202="","",SUMIFS('Expense Entry'!$K$5:$K$6000,'Expense Entry'!$E$5:$E$6000,"Payable Payment",'Expense Entry'!$L$5:$L$6000,$A202))</f>
        <v/>
      </c>
      <c r="G202" s="13" t="str">
        <f aca="false">IF($A202="","",$E202-$F202)</f>
        <v/>
      </c>
      <c r="H202" s="12" t="str">
        <f aca="false">IF($A202="","",IF($G202&lt;=0,"Paid",IF($F202&gt;0,"Partial","Unpaid")))</f>
        <v/>
      </c>
    </row>
    <row r="203" customFormat="false" ht="15" hidden="false" customHeight="true" outlineLevel="0" collapsed="false">
      <c r="A203" s="12" t="str">
        <f aca="false">IF('Purchase Orders'!$L203="Received",'Purchase Orders'!$A203,"")</f>
        <v/>
      </c>
      <c r="B203" s="12" t="str">
        <f aca="false">IF($A203="","",'Purchase Orders'!$C203)</f>
        <v/>
      </c>
      <c r="C203" s="12" t="str">
        <f aca="false">IF($A203="","",'Purchase Orders'!$D203)</f>
        <v/>
      </c>
      <c r="D203" s="12" t="str">
        <f aca="false">IF($A203="","",'Purchase Orders'!$E203)</f>
        <v/>
      </c>
      <c r="E203" s="13" t="str">
        <f aca="false">IF($A203="","",'Purchase Orders'!$I203)</f>
        <v/>
      </c>
      <c r="F203" s="13" t="str">
        <f aca="false">IF($A203="","",SUMIFS('Expense Entry'!$K$5:$K$6000,'Expense Entry'!$E$5:$E$6000,"Payable Payment",'Expense Entry'!$L$5:$L$6000,$A203))</f>
        <v/>
      </c>
      <c r="G203" s="13" t="str">
        <f aca="false">IF($A203="","",$E203-$F203)</f>
        <v/>
      </c>
      <c r="H203" s="12" t="str">
        <f aca="false">IF($A203="","",IF($G203&lt;=0,"Paid",IF($F203&gt;0,"Partial","Unpaid")))</f>
        <v/>
      </c>
    </row>
    <row r="204" customFormat="false" ht="15" hidden="false" customHeight="true" outlineLevel="0" collapsed="false">
      <c r="A204" s="12" t="str">
        <f aca="false">IF('Purchase Orders'!$L204="Received",'Purchase Orders'!$A204,"")</f>
        <v/>
      </c>
      <c r="B204" s="12" t="str">
        <f aca="false">IF($A204="","",'Purchase Orders'!$C204)</f>
        <v/>
      </c>
      <c r="C204" s="12" t="str">
        <f aca="false">IF($A204="","",'Purchase Orders'!$D204)</f>
        <v/>
      </c>
      <c r="D204" s="12" t="str">
        <f aca="false">IF($A204="","",'Purchase Orders'!$E204)</f>
        <v/>
      </c>
      <c r="E204" s="13" t="str">
        <f aca="false">IF($A204="","",'Purchase Orders'!$I204)</f>
        <v/>
      </c>
      <c r="F204" s="13" t="str">
        <f aca="false">IF($A204="","",SUMIFS('Expense Entry'!$K$5:$K$6000,'Expense Entry'!$E$5:$E$6000,"Payable Payment",'Expense Entry'!$L$5:$L$6000,$A204))</f>
        <v/>
      </c>
      <c r="G204" s="13" t="str">
        <f aca="false">IF($A204="","",$E204-$F204)</f>
        <v/>
      </c>
      <c r="H204" s="12" t="str">
        <f aca="false">IF($A204="","",IF($G204&lt;=0,"Paid",IF($F204&gt;0,"Partial","Unpaid")))</f>
        <v/>
      </c>
    </row>
    <row r="205" customFormat="false" ht="15" hidden="false" customHeight="true" outlineLevel="0" collapsed="false">
      <c r="A205" s="12" t="str">
        <f aca="false">IF('Purchase Orders'!$L205="Received",'Purchase Orders'!$A205,"")</f>
        <v/>
      </c>
      <c r="B205" s="12" t="str">
        <f aca="false">IF($A205="","",'Purchase Orders'!$C205)</f>
        <v/>
      </c>
      <c r="C205" s="12" t="str">
        <f aca="false">IF($A205="","",'Purchase Orders'!$D205)</f>
        <v/>
      </c>
      <c r="D205" s="12" t="str">
        <f aca="false">IF($A205="","",'Purchase Orders'!$E205)</f>
        <v/>
      </c>
      <c r="E205" s="13" t="str">
        <f aca="false">IF($A205="","",'Purchase Orders'!$I205)</f>
        <v/>
      </c>
      <c r="F205" s="13" t="str">
        <f aca="false">IF($A205="","",SUMIFS('Expense Entry'!$K$5:$K$6000,'Expense Entry'!$E$5:$E$6000,"Payable Payment",'Expense Entry'!$L$5:$L$6000,$A205))</f>
        <v/>
      </c>
      <c r="G205" s="13" t="str">
        <f aca="false">IF($A205="","",$E205-$F205)</f>
        <v/>
      </c>
      <c r="H205" s="12" t="str">
        <f aca="false">IF($A205="","",IF($G205&lt;=0,"Paid",IF($F205&gt;0,"Partial","Unpaid")))</f>
        <v/>
      </c>
    </row>
    <row r="206" customFormat="false" ht="15" hidden="false" customHeight="true" outlineLevel="0" collapsed="false">
      <c r="A206" s="12" t="str">
        <f aca="false">IF('Purchase Orders'!$L206="Received",'Purchase Orders'!$A206,"")</f>
        <v/>
      </c>
      <c r="B206" s="12" t="str">
        <f aca="false">IF($A206="","",'Purchase Orders'!$C206)</f>
        <v/>
      </c>
      <c r="C206" s="12" t="str">
        <f aca="false">IF($A206="","",'Purchase Orders'!$D206)</f>
        <v/>
      </c>
      <c r="D206" s="12" t="str">
        <f aca="false">IF($A206="","",'Purchase Orders'!$E206)</f>
        <v/>
      </c>
      <c r="E206" s="13" t="str">
        <f aca="false">IF($A206="","",'Purchase Orders'!$I206)</f>
        <v/>
      </c>
      <c r="F206" s="13" t="str">
        <f aca="false">IF($A206="","",SUMIFS('Expense Entry'!$K$5:$K$6000,'Expense Entry'!$E$5:$E$6000,"Payable Payment",'Expense Entry'!$L$5:$L$6000,$A206))</f>
        <v/>
      </c>
      <c r="G206" s="13" t="str">
        <f aca="false">IF($A206="","",$E206-$F206)</f>
        <v/>
      </c>
      <c r="H206" s="12" t="str">
        <f aca="false">IF($A206="","",IF($G206&lt;=0,"Paid",IF($F206&gt;0,"Partial","Unpaid")))</f>
        <v/>
      </c>
    </row>
    <row r="207" customFormat="false" ht="15" hidden="false" customHeight="true" outlineLevel="0" collapsed="false">
      <c r="A207" s="12" t="str">
        <f aca="false">IF('Purchase Orders'!$L207="Received",'Purchase Orders'!$A207,"")</f>
        <v/>
      </c>
      <c r="B207" s="12" t="str">
        <f aca="false">IF($A207="","",'Purchase Orders'!$C207)</f>
        <v/>
      </c>
      <c r="C207" s="12" t="str">
        <f aca="false">IF($A207="","",'Purchase Orders'!$D207)</f>
        <v/>
      </c>
      <c r="D207" s="12" t="str">
        <f aca="false">IF($A207="","",'Purchase Orders'!$E207)</f>
        <v/>
      </c>
      <c r="E207" s="13" t="str">
        <f aca="false">IF($A207="","",'Purchase Orders'!$I207)</f>
        <v/>
      </c>
      <c r="F207" s="13" t="str">
        <f aca="false">IF($A207="","",SUMIFS('Expense Entry'!$K$5:$K$6000,'Expense Entry'!$E$5:$E$6000,"Payable Payment",'Expense Entry'!$L$5:$L$6000,$A207))</f>
        <v/>
      </c>
      <c r="G207" s="13" t="str">
        <f aca="false">IF($A207="","",$E207-$F207)</f>
        <v/>
      </c>
      <c r="H207" s="12" t="str">
        <f aca="false">IF($A207="","",IF($G207&lt;=0,"Paid",IF($F207&gt;0,"Partial","Unpaid")))</f>
        <v/>
      </c>
    </row>
    <row r="208" customFormat="false" ht="15" hidden="false" customHeight="true" outlineLevel="0" collapsed="false">
      <c r="A208" s="12" t="str">
        <f aca="false">IF('Purchase Orders'!$L208="Received",'Purchase Orders'!$A208,"")</f>
        <v/>
      </c>
      <c r="B208" s="12" t="str">
        <f aca="false">IF($A208="","",'Purchase Orders'!$C208)</f>
        <v/>
      </c>
      <c r="C208" s="12" t="str">
        <f aca="false">IF($A208="","",'Purchase Orders'!$D208)</f>
        <v/>
      </c>
      <c r="D208" s="12" t="str">
        <f aca="false">IF($A208="","",'Purchase Orders'!$E208)</f>
        <v/>
      </c>
      <c r="E208" s="13" t="str">
        <f aca="false">IF($A208="","",'Purchase Orders'!$I208)</f>
        <v/>
      </c>
      <c r="F208" s="13" t="str">
        <f aca="false">IF($A208="","",SUMIFS('Expense Entry'!$K$5:$K$6000,'Expense Entry'!$E$5:$E$6000,"Payable Payment",'Expense Entry'!$L$5:$L$6000,$A208))</f>
        <v/>
      </c>
      <c r="G208" s="13" t="str">
        <f aca="false">IF($A208="","",$E208-$F208)</f>
        <v/>
      </c>
      <c r="H208" s="12" t="str">
        <f aca="false">IF($A208="","",IF($G208&lt;=0,"Paid",IF($F208&gt;0,"Partial","Unpaid")))</f>
        <v/>
      </c>
    </row>
    <row r="209" customFormat="false" ht="15" hidden="false" customHeight="true" outlineLevel="0" collapsed="false">
      <c r="A209" s="12" t="str">
        <f aca="false">IF('Purchase Orders'!$L209="Received",'Purchase Orders'!$A209,"")</f>
        <v/>
      </c>
      <c r="B209" s="12" t="str">
        <f aca="false">IF($A209="","",'Purchase Orders'!$C209)</f>
        <v/>
      </c>
      <c r="C209" s="12" t="str">
        <f aca="false">IF($A209="","",'Purchase Orders'!$D209)</f>
        <v/>
      </c>
      <c r="D209" s="12" t="str">
        <f aca="false">IF($A209="","",'Purchase Orders'!$E209)</f>
        <v/>
      </c>
      <c r="E209" s="13" t="str">
        <f aca="false">IF($A209="","",'Purchase Orders'!$I209)</f>
        <v/>
      </c>
      <c r="F209" s="13" t="str">
        <f aca="false">IF($A209="","",SUMIFS('Expense Entry'!$K$5:$K$6000,'Expense Entry'!$E$5:$E$6000,"Payable Payment",'Expense Entry'!$L$5:$L$6000,$A209))</f>
        <v/>
      </c>
      <c r="G209" s="13" t="str">
        <f aca="false">IF($A209="","",$E209-$F209)</f>
        <v/>
      </c>
      <c r="H209" s="12" t="str">
        <f aca="false">IF($A209="","",IF($G209&lt;=0,"Paid",IF($F209&gt;0,"Partial","Unpaid")))</f>
        <v/>
      </c>
    </row>
    <row r="210" customFormat="false" ht="15" hidden="false" customHeight="true" outlineLevel="0" collapsed="false">
      <c r="A210" s="12" t="str">
        <f aca="false">IF('Purchase Orders'!$L210="Received",'Purchase Orders'!$A210,"")</f>
        <v/>
      </c>
      <c r="B210" s="12" t="str">
        <f aca="false">IF($A210="","",'Purchase Orders'!$C210)</f>
        <v/>
      </c>
      <c r="C210" s="12" t="str">
        <f aca="false">IF($A210="","",'Purchase Orders'!$D210)</f>
        <v/>
      </c>
      <c r="D210" s="12" t="str">
        <f aca="false">IF($A210="","",'Purchase Orders'!$E210)</f>
        <v/>
      </c>
      <c r="E210" s="13" t="str">
        <f aca="false">IF($A210="","",'Purchase Orders'!$I210)</f>
        <v/>
      </c>
      <c r="F210" s="13" t="str">
        <f aca="false">IF($A210="","",SUMIFS('Expense Entry'!$K$5:$K$6000,'Expense Entry'!$E$5:$E$6000,"Payable Payment",'Expense Entry'!$L$5:$L$6000,$A210))</f>
        <v/>
      </c>
      <c r="G210" s="13" t="str">
        <f aca="false">IF($A210="","",$E210-$F210)</f>
        <v/>
      </c>
      <c r="H210" s="12" t="str">
        <f aca="false">IF($A210="","",IF($G210&lt;=0,"Paid",IF($F210&gt;0,"Partial","Unpaid")))</f>
        <v/>
      </c>
    </row>
    <row r="211" customFormat="false" ht="15" hidden="false" customHeight="true" outlineLevel="0" collapsed="false">
      <c r="A211" s="12" t="str">
        <f aca="false">IF('Purchase Orders'!$L211="Received",'Purchase Orders'!$A211,"")</f>
        <v/>
      </c>
      <c r="B211" s="12" t="str">
        <f aca="false">IF($A211="","",'Purchase Orders'!$C211)</f>
        <v/>
      </c>
      <c r="C211" s="12" t="str">
        <f aca="false">IF($A211="","",'Purchase Orders'!$D211)</f>
        <v/>
      </c>
      <c r="D211" s="12" t="str">
        <f aca="false">IF($A211="","",'Purchase Orders'!$E211)</f>
        <v/>
      </c>
      <c r="E211" s="13" t="str">
        <f aca="false">IF($A211="","",'Purchase Orders'!$I211)</f>
        <v/>
      </c>
      <c r="F211" s="13" t="str">
        <f aca="false">IF($A211="","",SUMIFS('Expense Entry'!$K$5:$K$6000,'Expense Entry'!$E$5:$E$6000,"Payable Payment",'Expense Entry'!$L$5:$L$6000,$A211))</f>
        <v/>
      </c>
      <c r="G211" s="13" t="str">
        <f aca="false">IF($A211="","",$E211-$F211)</f>
        <v/>
      </c>
      <c r="H211" s="12" t="str">
        <f aca="false">IF($A211="","",IF($G211&lt;=0,"Paid",IF($F211&gt;0,"Partial","Unpaid")))</f>
        <v/>
      </c>
    </row>
    <row r="212" customFormat="false" ht="15" hidden="false" customHeight="true" outlineLevel="0" collapsed="false">
      <c r="A212" s="12" t="str">
        <f aca="false">IF('Purchase Orders'!$L212="Received",'Purchase Orders'!$A212,"")</f>
        <v/>
      </c>
      <c r="B212" s="12" t="str">
        <f aca="false">IF($A212="","",'Purchase Orders'!$C212)</f>
        <v/>
      </c>
      <c r="C212" s="12" t="str">
        <f aca="false">IF($A212="","",'Purchase Orders'!$D212)</f>
        <v/>
      </c>
      <c r="D212" s="12" t="str">
        <f aca="false">IF($A212="","",'Purchase Orders'!$E212)</f>
        <v/>
      </c>
      <c r="E212" s="13" t="str">
        <f aca="false">IF($A212="","",'Purchase Orders'!$I212)</f>
        <v/>
      </c>
      <c r="F212" s="13" t="str">
        <f aca="false">IF($A212="","",SUMIFS('Expense Entry'!$K$5:$K$6000,'Expense Entry'!$E$5:$E$6000,"Payable Payment",'Expense Entry'!$L$5:$L$6000,$A212))</f>
        <v/>
      </c>
      <c r="G212" s="13" t="str">
        <f aca="false">IF($A212="","",$E212-$F212)</f>
        <v/>
      </c>
      <c r="H212" s="12" t="str">
        <f aca="false">IF($A212="","",IF($G212&lt;=0,"Paid",IF($F212&gt;0,"Partial","Unpaid")))</f>
        <v/>
      </c>
    </row>
    <row r="213" customFormat="false" ht="15" hidden="false" customHeight="true" outlineLevel="0" collapsed="false">
      <c r="A213" s="12" t="str">
        <f aca="false">IF('Purchase Orders'!$L213="Received",'Purchase Orders'!$A213,"")</f>
        <v/>
      </c>
      <c r="B213" s="12" t="str">
        <f aca="false">IF($A213="","",'Purchase Orders'!$C213)</f>
        <v/>
      </c>
      <c r="C213" s="12" t="str">
        <f aca="false">IF($A213="","",'Purchase Orders'!$D213)</f>
        <v/>
      </c>
      <c r="D213" s="12" t="str">
        <f aca="false">IF($A213="","",'Purchase Orders'!$E213)</f>
        <v/>
      </c>
      <c r="E213" s="13" t="str">
        <f aca="false">IF($A213="","",'Purchase Orders'!$I213)</f>
        <v/>
      </c>
      <c r="F213" s="13" t="str">
        <f aca="false">IF($A213="","",SUMIFS('Expense Entry'!$K$5:$K$6000,'Expense Entry'!$E$5:$E$6000,"Payable Payment",'Expense Entry'!$L$5:$L$6000,$A213))</f>
        <v/>
      </c>
      <c r="G213" s="13" t="str">
        <f aca="false">IF($A213="","",$E213-$F213)</f>
        <v/>
      </c>
      <c r="H213" s="12" t="str">
        <f aca="false">IF($A213="","",IF($G213&lt;=0,"Paid",IF($F213&gt;0,"Partial","Unpaid")))</f>
        <v/>
      </c>
    </row>
    <row r="214" customFormat="false" ht="15" hidden="false" customHeight="true" outlineLevel="0" collapsed="false">
      <c r="A214" s="12" t="str">
        <f aca="false">IF('Purchase Orders'!$L214="Received",'Purchase Orders'!$A214,"")</f>
        <v/>
      </c>
      <c r="B214" s="12" t="str">
        <f aca="false">IF($A214="","",'Purchase Orders'!$C214)</f>
        <v/>
      </c>
      <c r="C214" s="12" t="str">
        <f aca="false">IF($A214="","",'Purchase Orders'!$D214)</f>
        <v/>
      </c>
      <c r="D214" s="12" t="str">
        <f aca="false">IF($A214="","",'Purchase Orders'!$E214)</f>
        <v/>
      </c>
      <c r="E214" s="13" t="str">
        <f aca="false">IF($A214="","",'Purchase Orders'!$I214)</f>
        <v/>
      </c>
      <c r="F214" s="13" t="str">
        <f aca="false">IF($A214="","",SUMIFS('Expense Entry'!$K$5:$K$6000,'Expense Entry'!$E$5:$E$6000,"Payable Payment",'Expense Entry'!$L$5:$L$6000,$A214))</f>
        <v/>
      </c>
      <c r="G214" s="13" t="str">
        <f aca="false">IF($A214="","",$E214-$F214)</f>
        <v/>
      </c>
      <c r="H214" s="12" t="str">
        <f aca="false">IF($A214="","",IF($G214&lt;=0,"Paid",IF($F214&gt;0,"Partial","Unpaid")))</f>
        <v/>
      </c>
    </row>
    <row r="215" customFormat="false" ht="15" hidden="false" customHeight="true" outlineLevel="0" collapsed="false">
      <c r="A215" s="12" t="str">
        <f aca="false">IF('Purchase Orders'!$L215="Received",'Purchase Orders'!$A215,"")</f>
        <v/>
      </c>
      <c r="B215" s="12" t="str">
        <f aca="false">IF($A215="","",'Purchase Orders'!$C215)</f>
        <v/>
      </c>
      <c r="C215" s="12" t="str">
        <f aca="false">IF($A215="","",'Purchase Orders'!$D215)</f>
        <v/>
      </c>
      <c r="D215" s="12" t="str">
        <f aca="false">IF($A215="","",'Purchase Orders'!$E215)</f>
        <v/>
      </c>
      <c r="E215" s="13" t="str">
        <f aca="false">IF($A215="","",'Purchase Orders'!$I215)</f>
        <v/>
      </c>
      <c r="F215" s="13" t="str">
        <f aca="false">IF($A215="","",SUMIFS('Expense Entry'!$K$5:$K$6000,'Expense Entry'!$E$5:$E$6000,"Payable Payment",'Expense Entry'!$L$5:$L$6000,$A215))</f>
        <v/>
      </c>
      <c r="G215" s="13" t="str">
        <f aca="false">IF($A215="","",$E215-$F215)</f>
        <v/>
      </c>
      <c r="H215" s="12" t="str">
        <f aca="false">IF($A215="","",IF($G215&lt;=0,"Paid",IF($F215&gt;0,"Partial","Unpaid")))</f>
        <v/>
      </c>
    </row>
    <row r="216" customFormat="false" ht="15" hidden="false" customHeight="true" outlineLevel="0" collapsed="false">
      <c r="A216" s="12" t="str">
        <f aca="false">IF('Purchase Orders'!$L216="Received",'Purchase Orders'!$A216,"")</f>
        <v/>
      </c>
      <c r="B216" s="12" t="str">
        <f aca="false">IF($A216="","",'Purchase Orders'!$C216)</f>
        <v/>
      </c>
      <c r="C216" s="12" t="str">
        <f aca="false">IF($A216="","",'Purchase Orders'!$D216)</f>
        <v/>
      </c>
      <c r="D216" s="12" t="str">
        <f aca="false">IF($A216="","",'Purchase Orders'!$E216)</f>
        <v/>
      </c>
      <c r="E216" s="13" t="str">
        <f aca="false">IF($A216="","",'Purchase Orders'!$I216)</f>
        <v/>
      </c>
      <c r="F216" s="13" t="str">
        <f aca="false">IF($A216="","",SUMIFS('Expense Entry'!$K$5:$K$6000,'Expense Entry'!$E$5:$E$6000,"Payable Payment",'Expense Entry'!$L$5:$L$6000,$A216))</f>
        <v/>
      </c>
      <c r="G216" s="13" t="str">
        <f aca="false">IF($A216="","",$E216-$F216)</f>
        <v/>
      </c>
      <c r="H216" s="12" t="str">
        <f aca="false">IF($A216="","",IF($G216&lt;=0,"Paid",IF($F216&gt;0,"Partial","Unpaid")))</f>
        <v/>
      </c>
    </row>
    <row r="217" customFormat="false" ht="15" hidden="false" customHeight="true" outlineLevel="0" collapsed="false">
      <c r="A217" s="12" t="str">
        <f aca="false">IF('Purchase Orders'!$L217="Received",'Purchase Orders'!$A217,"")</f>
        <v/>
      </c>
      <c r="B217" s="12" t="str">
        <f aca="false">IF($A217="","",'Purchase Orders'!$C217)</f>
        <v/>
      </c>
      <c r="C217" s="12" t="str">
        <f aca="false">IF($A217="","",'Purchase Orders'!$D217)</f>
        <v/>
      </c>
      <c r="D217" s="12" t="str">
        <f aca="false">IF($A217="","",'Purchase Orders'!$E217)</f>
        <v/>
      </c>
      <c r="E217" s="13" t="str">
        <f aca="false">IF($A217="","",'Purchase Orders'!$I217)</f>
        <v/>
      </c>
      <c r="F217" s="13" t="str">
        <f aca="false">IF($A217="","",SUMIFS('Expense Entry'!$K$5:$K$6000,'Expense Entry'!$E$5:$E$6000,"Payable Payment",'Expense Entry'!$L$5:$L$6000,$A217))</f>
        <v/>
      </c>
      <c r="G217" s="13" t="str">
        <f aca="false">IF($A217="","",$E217-$F217)</f>
        <v/>
      </c>
      <c r="H217" s="12" t="str">
        <f aca="false">IF($A217="","",IF($G217&lt;=0,"Paid",IF($F217&gt;0,"Partial","Unpaid")))</f>
        <v/>
      </c>
    </row>
    <row r="218" customFormat="false" ht="15" hidden="false" customHeight="true" outlineLevel="0" collapsed="false">
      <c r="A218" s="12" t="str">
        <f aca="false">IF('Purchase Orders'!$L218="Received",'Purchase Orders'!$A218,"")</f>
        <v/>
      </c>
      <c r="B218" s="12" t="str">
        <f aca="false">IF($A218="","",'Purchase Orders'!$C218)</f>
        <v/>
      </c>
      <c r="C218" s="12" t="str">
        <f aca="false">IF($A218="","",'Purchase Orders'!$D218)</f>
        <v/>
      </c>
      <c r="D218" s="12" t="str">
        <f aca="false">IF($A218="","",'Purchase Orders'!$E218)</f>
        <v/>
      </c>
      <c r="E218" s="13" t="str">
        <f aca="false">IF($A218="","",'Purchase Orders'!$I218)</f>
        <v/>
      </c>
      <c r="F218" s="13" t="str">
        <f aca="false">IF($A218="","",SUMIFS('Expense Entry'!$K$5:$K$6000,'Expense Entry'!$E$5:$E$6000,"Payable Payment",'Expense Entry'!$L$5:$L$6000,$A218))</f>
        <v/>
      </c>
      <c r="G218" s="13" t="str">
        <f aca="false">IF($A218="","",$E218-$F218)</f>
        <v/>
      </c>
      <c r="H218" s="12" t="str">
        <f aca="false">IF($A218="","",IF($G218&lt;=0,"Paid",IF($F218&gt;0,"Partial","Unpaid")))</f>
        <v/>
      </c>
    </row>
    <row r="219" customFormat="false" ht="15" hidden="false" customHeight="true" outlineLevel="0" collapsed="false">
      <c r="A219" s="12" t="str">
        <f aca="false">IF('Purchase Orders'!$L219="Received",'Purchase Orders'!$A219,"")</f>
        <v/>
      </c>
      <c r="B219" s="12" t="str">
        <f aca="false">IF($A219="","",'Purchase Orders'!$C219)</f>
        <v/>
      </c>
      <c r="C219" s="12" t="str">
        <f aca="false">IF($A219="","",'Purchase Orders'!$D219)</f>
        <v/>
      </c>
      <c r="D219" s="12" t="str">
        <f aca="false">IF($A219="","",'Purchase Orders'!$E219)</f>
        <v/>
      </c>
      <c r="E219" s="13" t="str">
        <f aca="false">IF($A219="","",'Purchase Orders'!$I219)</f>
        <v/>
      </c>
      <c r="F219" s="13" t="str">
        <f aca="false">IF($A219="","",SUMIFS('Expense Entry'!$K$5:$K$6000,'Expense Entry'!$E$5:$E$6000,"Payable Payment",'Expense Entry'!$L$5:$L$6000,$A219))</f>
        <v/>
      </c>
      <c r="G219" s="13" t="str">
        <f aca="false">IF($A219="","",$E219-$F219)</f>
        <v/>
      </c>
      <c r="H219" s="12" t="str">
        <f aca="false">IF($A219="","",IF($G219&lt;=0,"Paid",IF($F219&gt;0,"Partial","Unpaid")))</f>
        <v/>
      </c>
    </row>
    <row r="220" customFormat="false" ht="15" hidden="false" customHeight="true" outlineLevel="0" collapsed="false">
      <c r="A220" s="12" t="str">
        <f aca="false">IF('Purchase Orders'!$L220="Received",'Purchase Orders'!$A220,"")</f>
        <v/>
      </c>
      <c r="B220" s="12" t="str">
        <f aca="false">IF($A220="","",'Purchase Orders'!$C220)</f>
        <v/>
      </c>
      <c r="C220" s="12" t="str">
        <f aca="false">IF($A220="","",'Purchase Orders'!$D220)</f>
        <v/>
      </c>
      <c r="D220" s="12" t="str">
        <f aca="false">IF($A220="","",'Purchase Orders'!$E220)</f>
        <v/>
      </c>
      <c r="E220" s="13" t="str">
        <f aca="false">IF($A220="","",'Purchase Orders'!$I220)</f>
        <v/>
      </c>
      <c r="F220" s="13" t="str">
        <f aca="false">IF($A220="","",SUMIFS('Expense Entry'!$K$5:$K$6000,'Expense Entry'!$E$5:$E$6000,"Payable Payment",'Expense Entry'!$L$5:$L$6000,$A220))</f>
        <v/>
      </c>
      <c r="G220" s="13" t="str">
        <f aca="false">IF($A220="","",$E220-$F220)</f>
        <v/>
      </c>
      <c r="H220" s="12" t="str">
        <f aca="false">IF($A220="","",IF($G220&lt;=0,"Paid",IF($F220&gt;0,"Partial","Unpaid")))</f>
        <v/>
      </c>
    </row>
    <row r="221" customFormat="false" ht="15" hidden="false" customHeight="true" outlineLevel="0" collapsed="false">
      <c r="A221" s="12" t="str">
        <f aca="false">IF('Purchase Orders'!$L221="Received",'Purchase Orders'!$A221,"")</f>
        <v/>
      </c>
      <c r="B221" s="12" t="str">
        <f aca="false">IF($A221="","",'Purchase Orders'!$C221)</f>
        <v/>
      </c>
      <c r="C221" s="12" t="str">
        <f aca="false">IF($A221="","",'Purchase Orders'!$D221)</f>
        <v/>
      </c>
      <c r="D221" s="12" t="str">
        <f aca="false">IF($A221="","",'Purchase Orders'!$E221)</f>
        <v/>
      </c>
      <c r="E221" s="13" t="str">
        <f aca="false">IF($A221="","",'Purchase Orders'!$I221)</f>
        <v/>
      </c>
      <c r="F221" s="13" t="str">
        <f aca="false">IF($A221="","",SUMIFS('Expense Entry'!$K$5:$K$6000,'Expense Entry'!$E$5:$E$6000,"Payable Payment",'Expense Entry'!$L$5:$L$6000,$A221))</f>
        <v/>
      </c>
      <c r="G221" s="13" t="str">
        <f aca="false">IF($A221="","",$E221-$F221)</f>
        <v/>
      </c>
      <c r="H221" s="12" t="str">
        <f aca="false">IF($A221="","",IF($G221&lt;=0,"Paid",IF($F221&gt;0,"Partial","Unpaid")))</f>
        <v/>
      </c>
    </row>
    <row r="222" customFormat="false" ht="15" hidden="false" customHeight="true" outlineLevel="0" collapsed="false">
      <c r="A222" s="12" t="str">
        <f aca="false">IF('Purchase Orders'!$L222="Received",'Purchase Orders'!$A222,"")</f>
        <v/>
      </c>
      <c r="B222" s="12" t="str">
        <f aca="false">IF($A222="","",'Purchase Orders'!$C222)</f>
        <v/>
      </c>
      <c r="C222" s="12" t="str">
        <f aca="false">IF($A222="","",'Purchase Orders'!$D222)</f>
        <v/>
      </c>
      <c r="D222" s="12" t="str">
        <f aca="false">IF($A222="","",'Purchase Orders'!$E222)</f>
        <v/>
      </c>
      <c r="E222" s="13" t="str">
        <f aca="false">IF($A222="","",'Purchase Orders'!$I222)</f>
        <v/>
      </c>
      <c r="F222" s="13" t="str">
        <f aca="false">IF($A222="","",SUMIFS('Expense Entry'!$K$5:$K$6000,'Expense Entry'!$E$5:$E$6000,"Payable Payment",'Expense Entry'!$L$5:$L$6000,$A222))</f>
        <v/>
      </c>
      <c r="G222" s="13" t="str">
        <f aca="false">IF($A222="","",$E222-$F222)</f>
        <v/>
      </c>
      <c r="H222" s="12" t="str">
        <f aca="false">IF($A222="","",IF($G222&lt;=0,"Paid",IF($F222&gt;0,"Partial","Unpaid")))</f>
        <v/>
      </c>
    </row>
    <row r="223" customFormat="false" ht="15" hidden="false" customHeight="true" outlineLevel="0" collapsed="false">
      <c r="A223" s="12" t="str">
        <f aca="false">IF('Purchase Orders'!$L223="Received",'Purchase Orders'!$A223,"")</f>
        <v/>
      </c>
      <c r="B223" s="12" t="str">
        <f aca="false">IF($A223="","",'Purchase Orders'!$C223)</f>
        <v/>
      </c>
      <c r="C223" s="12" t="str">
        <f aca="false">IF($A223="","",'Purchase Orders'!$D223)</f>
        <v/>
      </c>
      <c r="D223" s="12" t="str">
        <f aca="false">IF($A223="","",'Purchase Orders'!$E223)</f>
        <v/>
      </c>
      <c r="E223" s="13" t="str">
        <f aca="false">IF($A223="","",'Purchase Orders'!$I223)</f>
        <v/>
      </c>
      <c r="F223" s="13" t="str">
        <f aca="false">IF($A223="","",SUMIFS('Expense Entry'!$K$5:$K$6000,'Expense Entry'!$E$5:$E$6000,"Payable Payment",'Expense Entry'!$L$5:$L$6000,$A223))</f>
        <v/>
      </c>
      <c r="G223" s="13" t="str">
        <f aca="false">IF($A223="","",$E223-$F223)</f>
        <v/>
      </c>
      <c r="H223" s="12" t="str">
        <f aca="false">IF($A223="","",IF($G223&lt;=0,"Paid",IF($F223&gt;0,"Partial","Unpaid")))</f>
        <v/>
      </c>
    </row>
    <row r="224" customFormat="false" ht="15" hidden="false" customHeight="true" outlineLevel="0" collapsed="false">
      <c r="A224" s="12" t="str">
        <f aca="false">IF('Purchase Orders'!$L224="Received",'Purchase Orders'!$A224,"")</f>
        <v/>
      </c>
      <c r="B224" s="12" t="str">
        <f aca="false">IF($A224="","",'Purchase Orders'!$C224)</f>
        <v/>
      </c>
      <c r="C224" s="12" t="str">
        <f aca="false">IF($A224="","",'Purchase Orders'!$D224)</f>
        <v/>
      </c>
      <c r="D224" s="12" t="str">
        <f aca="false">IF($A224="","",'Purchase Orders'!$E224)</f>
        <v/>
      </c>
      <c r="E224" s="13" t="str">
        <f aca="false">IF($A224="","",'Purchase Orders'!$I224)</f>
        <v/>
      </c>
      <c r="F224" s="13" t="str">
        <f aca="false">IF($A224="","",SUMIFS('Expense Entry'!$K$5:$K$6000,'Expense Entry'!$E$5:$E$6000,"Payable Payment",'Expense Entry'!$L$5:$L$6000,$A224))</f>
        <v/>
      </c>
      <c r="G224" s="13" t="str">
        <f aca="false">IF($A224="","",$E224-$F224)</f>
        <v/>
      </c>
      <c r="H224" s="12" t="str">
        <f aca="false">IF($A224="","",IF($G224&lt;=0,"Paid",IF($F224&gt;0,"Partial","Unpaid")))</f>
        <v/>
      </c>
    </row>
    <row r="225" customFormat="false" ht="15" hidden="false" customHeight="true" outlineLevel="0" collapsed="false">
      <c r="A225" s="12" t="str">
        <f aca="false">IF('Purchase Orders'!$L225="Received",'Purchase Orders'!$A225,"")</f>
        <v/>
      </c>
      <c r="B225" s="12" t="str">
        <f aca="false">IF($A225="","",'Purchase Orders'!$C225)</f>
        <v/>
      </c>
      <c r="C225" s="12" t="str">
        <f aca="false">IF($A225="","",'Purchase Orders'!$D225)</f>
        <v/>
      </c>
      <c r="D225" s="12" t="str">
        <f aca="false">IF($A225="","",'Purchase Orders'!$E225)</f>
        <v/>
      </c>
      <c r="E225" s="13" t="str">
        <f aca="false">IF($A225="","",'Purchase Orders'!$I225)</f>
        <v/>
      </c>
      <c r="F225" s="13" t="str">
        <f aca="false">IF($A225="","",SUMIFS('Expense Entry'!$K$5:$K$6000,'Expense Entry'!$E$5:$E$6000,"Payable Payment",'Expense Entry'!$L$5:$L$6000,$A225))</f>
        <v/>
      </c>
      <c r="G225" s="13" t="str">
        <f aca="false">IF($A225="","",$E225-$F225)</f>
        <v/>
      </c>
      <c r="H225" s="12" t="str">
        <f aca="false">IF($A225="","",IF($G225&lt;=0,"Paid",IF($F225&gt;0,"Partial","Unpaid")))</f>
        <v/>
      </c>
    </row>
    <row r="226" customFormat="false" ht="15" hidden="false" customHeight="true" outlineLevel="0" collapsed="false">
      <c r="A226" s="12" t="str">
        <f aca="false">IF('Purchase Orders'!$L226="Received",'Purchase Orders'!$A226,"")</f>
        <v/>
      </c>
      <c r="B226" s="12" t="str">
        <f aca="false">IF($A226="","",'Purchase Orders'!$C226)</f>
        <v/>
      </c>
      <c r="C226" s="12" t="str">
        <f aca="false">IF($A226="","",'Purchase Orders'!$D226)</f>
        <v/>
      </c>
      <c r="D226" s="12" t="str">
        <f aca="false">IF($A226="","",'Purchase Orders'!$E226)</f>
        <v/>
      </c>
      <c r="E226" s="13" t="str">
        <f aca="false">IF($A226="","",'Purchase Orders'!$I226)</f>
        <v/>
      </c>
      <c r="F226" s="13" t="str">
        <f aca="false">IF($A226="","",SUMIFS('Expense Entry'!$K$5:$K$6000,'Expense Entry'!$E$5:$E$6000,"Payable Payment",'Expense Entry'!$L$5:$L$6000,$A226))</f>
        <v/>
      </c>
      <c r="G226" s="13" t="str">
        <f aca="false">IF($A226="","",$E226-$F226)</f>
        <v/>
      </c>
      <c r="H226" s="12" t="str">
        <f aca="false">IF($A226="","",IF($G226&lt;=0,"Paid",IF($F226&gt;0,"Partial","Unpaid")))</f>
        <v/>
      </c>
    </row>
    <row r="227" customFormat="false" ht="15" hidden="false" customHeight="true" outlineLevel="0" collapsed="false">
      <c r="A227" s="12" t="str">
        <f aca="false">IF('Purchase Orders'!$L227="Received",'Purchase Orders'!$A227,"")</f>
        <v/>
      </c>
      <c r="B227" s="12" t="str">
        <f aca="false">IF($A227="","",'Purchase Orders'!$C227)</f>
        <v/>
      </c>
      <c r="C227" s="12" t="str">
        <f aca="false">IF($A227="","",'Purchase Orders'!$D227)</f>
        <v/>
      </c>
      <c r="D227" s="12" t="str">
        <f aca="false">IF($A227="","",'Purchase Orders'!$E227)</f>
        <v/>
      </c>
      <c r="E227" s="13" t="str">
        <f aca="false">IF($A227="","",'Purchase Orders'!$I227)</f>
        <v/>
      </c>
      <c r="F227" s="13" t="str">
        <f aca="false">IF($A227="","",SUMIFS('Expense Entry'!$K$5:$K$6000,'Expense Entry'!$E$5:$E$6000,"Payable Payment",'Expense Entry'!$L$5:$L$6000,$A227))</f>
        <v/>
      </c>
      <c r="G227" s="13" t="str">
        <f aca="false">IF($A227="","",$E227-$F227)</f>
        <v/>
      </c>
      <c r="H227" s="12" t="str">
        <f aca="false">IF($A227="","",IF($G227&lt;=0,"Paid",IF($F227&gt;0,"Partial","Unpaid")))</f>
        <v/>
      </c>
    </row>
    <row r="228" customFormat="false" ht="15" hidden="false" customHeight="true" outlineLevel="0" collapsed="false">
      <c r="A228" s="12" t="str">
        <f aca="false">IF('Purchase Orders'!$L228="Received",'Purchase Orders'!$A228,"")</f>
        <v/>
      </c>
      <c r="B228" s="12" t="str">
        <f aca="false">IF($A228="","",'Purchase Orders'!$C228)</f>
        <v/>
      </c>
      <c r="C228" s="12" t="str">
        <f aca="false">IF($A228="","",'Purchase Orders'!$D228)</f>
        <v/>
      </c>
      <c r="D228" s="12" t="str">
        <f aca="false">IF($A228="","",'Purchase Orders'!$E228)</f>
        <v/>
      </c>
      <c r="E228" s="13" t="str">
        <f aca="false">IF($A228="","",'Purchase Orders'!$I228)</f>
        <v/>
      </c>
      <c r="F228" s="13" t="str">
        <f aca="false">IF($A228="","",SUMIFS('Expense Entry'!$K$5:$K$6000,'Expense Entry'!$E$5:$E$6000,"Payable Payment",'Expense Entry'!$L$5:$L$6000,$A228))</f>
        <v/>
      </c>
      <c r="G228" s="13" t="str">
        <f aca="false">IF($A228="","",$E228-$F228)</f>
        <v/>
      </c>
      <c r="H228" s="12" t="str">
        <f aca="false">IF($A228="","",IF($G228&lt;=0,"Paid",IF($F228&gt;0,"Partial","Unpaid")))</f>
        <v/>
      </c>
    </row>
    <row r="229" customFormat="false" ht="15" hidden="false" customHeight="true" outlineLevel="0" collapsed="false">
      <c r="A229" s="12" t="str">
        <f aca="false">IF('Purchase Orders'!$L229="Received",'Purchase Orders'!$A229,"")</f>
        <v/>
      </c>
      <c r="B229" s="12" t="str">
        <f aca="false">IF($A229="","",'Purchase Orders'!$C229)</f>
        <v/>
      </c>
      <c r="C229" s="12" t="str">
        <f aca="false">IF($A229="","",'Purchase Orders'!$D229)</f>
        <v/>
      </c>
      <c r="D229" s="12" t="str">
        <f aca="false">IF($A229="","",'Purchase Orders'!$E229)</f>
        <v/>
      </c>
      <c r="E229" s="13" t="str">
        <f aca="false">IF($A229="","",'Purchase Orders'!$I229)</f>
        <v/>
      </c>
      <c r="F229" s="13" t="str">
        <f aca="false">IF($A229="","",SUMIFS('Expense Entry'!$K$5:$K$6000,'Expense Entry'!$E$5:$E$6000,"Payable Payment",'Expense Entry'!$L$5:$L$6000,$A229))</f>
        <v/>
      </c>
      <c r="G229" s="13" t="str">
        <f aca="false">IF($A229="","",$E229-$F229)</f>
        <v/>
      </c>
      <c r="H229" s="12" t="str">
        <f aca="false">IF($A229="","",IF($G229&lt;=0,"Paid",IF($F229&gt;0,"Partial","Unpaid")))</f>
        <v/>
      </c>
    </row>
    <row r="230" customFormat="false" ht="15" hidden="false" customHeight="true" outlineLevel="0" collapsed="false">
      <c r="A230" s="12" t="str">
        <f aca="false">IF('Purchase Orders'!$L230="Received",'Purchase Orders'!$A230,"")</f>
        <v/>
      </c>
      <c r="B230" s="12" t="str">
        <f aca="false">IF($A230="","",'Purchase Orders'!$C230)</f>
        <v/>
      </c>
      <c r="C230" s="12" t="str">
        <f aca="false">IF($A230="","",'Purchase Orders'!$D230)</f>
        <v/>
      </c>
      <c r="D230" s="12" t="str">
        <f aca="false">IF($A230="","",'Purchase Orders'!$E230)</f>
        <v/>
      </c>
      <c r="E230" s="13" t="str">
        <f aca="false">IF($A230="","",'Purchase Orders'!$I230)</f>
        <v/>
      </c>
      <c r="F230" s="13" t="str">
        <f aca="false">IF($A230="","",SUMIFS('Expense Entry'!$K$5:$K$6000,'Expense Entry'!$E$5:$E$6000,"Payable Payment",'Expense Entry'!$L$5:$L$6000,$A230))</f>
        <v/>
      </c>
      <c r="G230" s="13" t="str">
        <f aca="false">IF($A230="","",$E230-$F230)</f>
        <v/>
      </c>
      <c r="H230" s="12" t="str">
        <f aca="false">IF($A230="","",IF($G230&lt;=0,"Paid",IF($F230&gt;0,"Partial","Unpaid")))</f>
        <v/>
      </c>
    </row>
    <row r="231" customFormat="false" ht="15" hidden="false" customHeight="true" outlineLevel="0" collapsed="false">
      <c r="A231" s="12" t="str">
        <f aca="false">IF('Purchase Orders'!$L231="Received",'Purchase Orders'!$A231,"")</f>
        <v/>
      </c>
      <c r="B231" s="12" t="str">
        <f aca="false">IF($A231="","",'Purchase Orders'!$C231)</f>
        <v/>
      </c>
      <c r="C231" s="12" t="str">
        <f aca="false">IF($A231="","",'Purchase Orders'!$D231)</f>
        <v/>
      </c>
      <c r="D231" s="12" t="str">
        <f aca="false">IF($A231="","",'Purchase Orders'!$E231)</f>
        <v/>
      </c>
      <c r="E231" s="13" t="str">
        <f aca="false">IF($A231="","",'Purchase Orders'!$I231)</f>
        <v/>
      </c>
      <c r="F231" s="13" t="str">
        <f aca="false">IF($A231="","",SUMIFS('Expense Entry'!$K$5:$K$6000,'Expense Entry'!$E$5:$E$6000,"Payable Payment",'Expense Entry'!$L$5:$L$6000,$A231))</f>
        <v/>
      </c>
      <c r="G231" s="13" t="str">
        <f aca="false">IF($A231="","",$E231-$F231)</f>
        <v/>
      </c>
      <c r="H231" s="12" t="str">
        <f aca="false">IF($A231="","",IF($G231&lt;=0,"Paid",IF($F231&gt;0,"Partial","Unpaid")))</f>
        <v/>
      </c>
    </row>
    <row r="232" customFormat="false" ht="15" hidden="false" customHeight="true" outlineLevel="0" collapsed="false">
      <c r="A232" s="12" t="str">
        <f aca="false">IF('Purchase Orders'!$L232="Received",'Purchase Orders'!$A232,"")</f>
        <v/>
      </c>
      <c r="B232" s="12" t="str">
        <f aca="false">IF($A232="","",'Purchase Orders'!$C232)</f>
        <v/>
      </c>
      <c r="C232" s="12" t="str">
        <f aca="false">IF($A232="","",'Purchase Orders'!$D232)</f>
        <v/>
      </c>
      <c r="D232" s="12" t="str">
        <f aca="false">IF($A232="","",'Purchase Orders'!$E232)</f>
        <v/>
      </c>
      <c r="E232" s="13" t="str">
        <f aca="false">IF($A232="","",'Purchase Orders'!$I232)</f>
        <v/>
      </c>
      <c r="F232" s="13" t="str">
        <f aca="false">IF($A232="","",SUMIFS('Expense Entry'!$K$5:$K$6000,'Expense Entry'!$E$5:$E$6000,"Payable Payment",'Expense Entry'!$L$5:$L$6000,$A232))</f>
        <v/>
      </c>
      <c r="G232" s="13" t="str">
        <f aca="false">IF($A232="","",$E232-$F232)</f>
        <v/>
      </c>
      <c r="H232" s="12" t="str">
        <f aca="false">IF($A232="","",IF($G232&lt;=0,"Paid",IF($F232&gt;0,"Partial","Unpaid")))</f>
        <v/>
      </c>
    </row>
    <row r="233" customFormat="false" ht="15" hidden="false" customHeight="true" outlineLevel="0" collapsed="false">
      <c r="A233" s="12" t="str">
        <f aca="false">IF('Purchase Orders'!$L233="Received",'Purchase Orders'!$A233,"")</f>
        <v/>
      </c>
      <c r="B233" s="12" t="str">
        <f aca="false">IF($A233="","",'Purchase Orders'!$C233)</f>
        <v/>
      </c>
      <c r="C233" s="12" t="str">
        <f aca="false">IF($A233="","",'Purchase Orders'!$D233)</f>
        <v/>
      </c>
      <c r="D233" s="12" t="str">
        <f aca="false">IF($A233="","",'Purchase Orders'!$E233)</f>
        <v/>
      </c>
      <c r="E233" s="13" t="str">
        <f aca="false">IF($A233="","",'Purchase Orders'!$I233)</f>
        <v/>
      </c>
      <c r="F233" s="13" t="str">
        <f aca="false">IF($A233="","",SUMIFS('Expense Entry'!$K$5:$K$6000,'Expense Entry'!$E$5:$E$6000,"Payable Payment",'Expense Entry'!$L$5:$L$6000,$A233))</f>
        <v/>
      </c>
      <c r="G233" s="13" t="str">
        <f aca="false">IF($A233="","",$E233-$F233)</f>
        <v/>
      </c>
      <c r="H233" s="12" t="str">
        <f aca="false">IF($A233="","",IF($G233&lt;=0,"Paid",IF($F233&gt;0,"Partial","Unpaid")))</f>
        <v/>
      </c>
    </row>
    <row r="234" customFormat="false" ht="15" hidden="false" customHeight="true" outlineLevel="0" collapsed="false">
      <c r="A234" s="12" t="str">
        <f aca="false">IF('Purchase Orders'!$L234="Received",'Purchase Orders'!$A234,"")</f>
        <v/>
      </c>
      <c r="B234" s="12" t="str">
        <f aca="false">IF($A234="","",'Purchase Orders'!$C234)</f>
        <v/>
      </c>
      <c r="C234" s="12" t="str">
        <f aca="false">IF($A234="","",'Purchase Orders'!$D234)</f>
        <v/>
      </c>
      <c r="D234" s="12" t="str">
        <f aca="false">IF($A234="","",'Purchase Orders'!$E234)</f>
        <v/>
      </c>
      <c r="E234" s="13" t="str">
        <f aca="false">IF($A234="","",'Purchase Orders'!$I234)</f>
        <v/>
      </c>
      <c r="F234" s="13" t="str">
        <f aca="false">IF($A234="","",SUMIFS('Expense Entry'!$K$5:$K$6000,'Expense Entry'!$E$5:$E$6000,"Payable Payment",'Expense Entry'!$L$5:$L$6000,$A234))</f>
        <v/>
      </c>
      <c r="G234" s="13" t="str">
        <f aca="false">IF($A234="","",$E234-$F234)</f>
        <v/>
      </c>
      <c r="H234" s="12" t="str">
        <f aca="false">IF($A234="","",IF($G234&lt;=0,"Paid",IF($F234&gt;0,"Partial","Unpaid")))</f>
        <v/>
      </c>
    </row>
    <row r="235" customFormat="false" ht="15" hidden="false" customHeight="true" outlineLevel="0" collapsed="false">
      <c r="A235" s="12" t="str">
        <f aca="false">IF('Purchase Orders'!$L235="Received",'Purchase Orders'!$A235,"")</f>
        <v/>
      </c>
      <c r="B235" s="12" t="str">
        <f aca="false">IF($A235="","",'Purchase Orders'!$C235)</f>
        <v/>
      </c>
      <c r="C235" s="12" t="str">
        <f aca="false">IF($A235="","",'Purchase Orders'!$D235)</f>
        <v/>
      </c>
      <c r="D235" s="12" t="str">
        <f aca="false">IF($A235="","",'Purchase Orders'!$E235)</f>
        <v/>
      </c>
      <c r="E235" s="13" t="str">
        <f aca="false">IF($A235="","",'Purchase Orders'!$I235)</f>
        <v/>
      </c>
      <c r="F235" s="13" t="str">
        <f aca="false">IF($A235="","",SUMIFS('Expense Entry'!$K$5:$K$6000,'Expense Entry'!$E$5:$E$6000,"Payable Payment",'Expense Entry'!$L$5:$L$6000,$A235))</f>
        <v/>
      </c>
      <c r="G235" s="13" t="str">
        <f aca="false">IF($A235="","",$E235-$F235)</f>
        <v/>
      </c>
      <c r="H235" s="12" t="str">
        <f aca="false">IF($A235="","",IF($G235&lt;=0,"Paid",IF($F235&gt;0,"Partial","Unpaid")))</f>
        <v/>
      </c>
    </row>
    <row r="236" customFormat="false" ht="15" hidden="false" customHeight="true" outlineLevel="0" collapsed="false">
      <c r="A236" s="12" t="str">
        <f aca="false">IF('Purchase Orders'!$L236="Received",'Purchase Orders'!$A236,"")</f>
        <v/>
      </c>
      <c r="B236" s="12" t="str">
        <f aca="false">IF($A236="","",'Purchase Orders'!$C236)</f>
        <v/>
      </c>
      <c r="C236" s="12" t="str">
        <f aca="false">IF($A236="","",'Purchase Orders'!$D236)</f>
        <v/>
      </c>
      <c r="D236" s="12" t="str">
        <f aca="false">IF($A236="","",'Purchase Orders'!$E236)</f>
        <v/>
      </c>
      <c r="E236" s="13" t="str">
        <f aca="false">IF($A236="","",'Purchase Orders'!$I236)</f>
        <v/>
      </c>
      <c r="F236" s="13" t="str">
        <f aca="false">IF($A236="","",SUMIFS('Expense Entry'!$K$5:$K$6000,'Expense Entry'!$E$5:$E$6000,"Payable Payment",'Expense Entry'!$L$5:$L$6000,$A236))</f>
        <v/>
      </c>
      <c r="G236" s="13" t="str">
        <f aca="false">IF($A236="","",$E236-$F236)</f>
        <v/>
      </c>
      <c r="H236" s="12" t="str">
        <f aca="false">IF($A236="","",IF($G236&lt;=0,"Paid",IF($F236&gt;0,"Partial","Unpaid")))</f>
        <v/>
      </c>
    </row>
    <row r="237" customFormat="false" ht="15" hidden="false" customHeight="true" outlineLevel="0" collapsed="false">
      <c r="A237" s="12" t="str">
        <f aca="false">IF('Purchase Orders'!$L237="Received",'Purchase Orders'!$A237,"")</f>
        <v/>
      </c>
      <c r="B237" s="12" t="str">
        <f aca="false">IF($A237="","",'Purchase Orders'!$C237)</f>
        <v/>
      </c>
      <c r="C237" s="12" t="str">
        <f aca="false">IF($A237="","",'Purchase Orders'!$D237)</f>
        <v/>
      </c>
      <c r="D237" s="12" t="str">
        <f aca="false">IF($A237="","",'Purchase Orders'!$E237)</f>
        <v/>
      </c>
      <c r="E237" s="13" t="str">
        <f aca="false">IF($A237="","",'Purchase Orders'!$I237)</f>
        <v/>
      </c>
      <c r="F237" s="13" t="str">
        <f aca="false">IF($A237="","",SUMIFS('Expense Entry'!$K$5:$K$6000,'Expense Entry'!$E$5:$E$6000,"Payable Payment",'Expense Entry'!$L$5:$L$6000,$A237))</f>
        <v/>
      </c>
      <c r="G237" s="13" t="str">
        <f aca="false">IF($A237="","",$E237-$F237)</f>
        <v/>
      </c>
      <c r="H237" s="12" t="str">
        <f aca="false">IF($A237="","",IF($G237&lt;=0,"Paid",IF($F237&gt;0,"Partial","Unpaid")))</f>
        <v/>
      </c>
    </row>
    <row r="238" customFormat="false" ht="15" hidden="false" customHeight="true" outlineLevel="0" collapsed="false">
      <c r="A238" s="12" t="str">
        <f aca="false">IF('Purchase Orders'!$L238="Received",'Purchase Orders'!$A238,"")</f>
        <v/>
      </c>
      <c r="B238" s="12" t="str">
        <f aca="false">IF($A238="","",'Purchase Orders'!$C238)</f>
        <v/>
      </c>
      <c r="C238" s="12" t="str">
        <f aca="false">IF($A238="","",'Purchase Orders'!$D238)</f>
        <v/>
      </c>
      <c r="D238" s="12" t="str">
        <f aca="false">IF($A238="","",'Purchase Orders'!$E238)</f>
        <v/>
      </c>
      <c r="E238" s="13" t="str">
        <f aca="false">IF($A238="","",'Purchase Orders'!$I238)</f>
        <v/>
      </c>
      <c r="F238" s="13" t="str">
        <f aca="false">IF($A238="","",SUMIFS('Expense Entry'!$K$5:$K$6000,'Expense Entry'!$E$5:$E$6000,"Payable Payment",'Expense Entry'!$L$5:$L$6000,$A238))</f>
        <v/>
      </c>
      <c r="G238" s="13" t="str">
        <f aca="false">IF($A238="","",$E238-$F238)</f>
        <v/>
      </c>
      <c r="H238" s="12" t="str">
        <f aca="false">IF($A238="","",IF($G238&lt;=0,"Paid",IF($F238&gt;0,"Partial","Unpaid")))</f>
        <v/>
      </c>
    </row>
    <row r="239" customFormat="false" ht="15" hidden="false" customHeight="true" outlineLevel="0" collapsed="false">
      <c r="A239" s="12" t="str">
        <f aca="false">IF('Purchase Orders'!$L239="Received",'Purchase Orders'!$A239,"")</f>
        <v/>
      </c>
      <c r="B239" s="12" t="str">
        <f aca="false">IF($A239="","",'Purchase Orders'!$C239)</f>
        <v/>
      </c>
      <c r="C239" s="12" t="str">
        <f aca="false">IF($A239="","",'Purchase Orders'!$D239)</f>
        <v/>
      </c>
      <c r="D239" s="12" t="str">
        <f aca="false">IF($A239="","",'Purchase Orders'!$E239)</f>
        <v/>
      </c>
      <c r="E239" s="13" t="str">
        <f aca="false">IF($A239="","",'Purchase Orders'!$I239)</f>
        <v/>
      </c>
      <c r="F239" s="13" t="str">
        <f aca="false">IF($A239="","",SUMIFS('Expense Entry'!$K$5:$K$6000,'Expense Entry'!$E$5:$E$6000,"Payable Payment",'Expense Entry'!$L$5:$L$6000,$A239))</f>
        <v/>
      </c>
      <c r="G239" s="13" t="str">
        <f aca="false">IF($A239="","",$E239-$F239)</f>
        <v/>
      </c>
      <c r="H239" s="12" t="str">
        <f aca="false">IF($A239="","",IF($G239&lt;=0,"Paid",IF($F239&gt;0,"Partial","Unpaid")))</f>
        <v/>
      </c>
    </row>
    <row r="240" customFormat="false" ht="15" hidden="false" customHeight="true" outlineLevel="0" collapsed="false">
      <c r="A240" s="12" t="str">
        <f aca="false">IF('Purchase Orders'!$L240="Received",'Purchase Orders'!$A240,"")</f>
        <v/>
      </c>
      <c r="B240" s="12" t="str">
        <f aca="false">IF($A240="","",'Purchase Orders'!$C240)</f>
        <v/>
      </c>
      <c r="C240" s="12" t="str">
        <f aca="false">IF($A240="","",'Purchase Orders'!$D240)</f>
        <v/>
      </c>
      <c r="D240" s="12" t="str">
        <f aca="false">IF($A240="","",'Purchase Orders'!$E240)</f>
        <v/>
      </c>
      <c r="E240" s="13" t="str">
        <f aca="false">IF($A240="","",'Purchase Orders'!$I240)</f>
        <v/>
      </c>
      <c r="F240" s="13" t="str">
        <f aca="false">IF($A240="","",SUMIFS('Expense Entry'!$K$5:$K$6000,'Expense Entry'!$E$5:$E$6000,"Payable Payment",'Expense Entry'!$L$5:$L$6000,$A240))</f>
        <v/>
      </c>
      <c r="G240" s="13" t="str">
        <f aca="false">IF($A240="","",$E240-$F240)</f>
        <v/>
      </c>
      <c r="H240" s="12" t="str">
        <f aca="false">IF($A240="","",IF($G240&lt;=0,"Paid",IF($F240&gt;0,"Partial","Unpaid")))</f>
        <v/>
      </c>
    </row>
    <row r="241" customFormat="false" ht="15" hidden="false" customHeight="true" outlineLevel="0" collapsed="false">
      <c r="A241" s="12" t="str">
        <f aca="false">IF('Purchase Orders'!$L241="Received",'Purchase Orders'!$A241,"")</f>
        <v/>
      </c>
      <c r="B241" s="12" t="str">
        <f aca="false">IF($A241="","",'Purchase Orders'!$C241)</f>
        <v/>
      </c>
      <c r="C241" s="12" t="str">
        <f aca="false">IF($A241="","",'Purchase Orders'!$D241)</f>
        <v/>
      </c>
      <c r="D241" s="12" t="str">
        <f aca="false">IF($A241="","",'Purchase Orders'!$E241)</f>
        <v/>
      </c>
      <c r="E241" s="13" t="str">
        <f aca="false">IF($A241="","",'Purchase Orders'!$I241)</f>
        <v/>
      </c>
      <c r="F241" s="13" t="str">
        <f aca="false">IF($A241="","",SUMIFS('Expense Entry'!$K$5:$K$6000,'Expense Entry'!$E$5:$E$6000,"Payable Payment",'Expense Entry'!$L$5:$L$6000,$A241))</f>
        <v/>
      </c>
      <c r="G241" s="13" t="str">
        <f aca="false">IF($A241="","",$E241-$F241)</f>
        <v/>
      </c>
      <c r="H241" s="12" t="str">
        <f aca="false">IF($A241="","",IF($G241&lt;=0,"Paid",IF($F241&gt;0,"Partial","Unpaid")))</f>
        <v/>
      </c>
    </row>
    <row r="242" customFormat="false" ht="15" hidden="false" customHeight="true" outlineLevel="0" collapsed="false">
      <c r="A242" s="12" t="str">
        <f aca="false">IF('Purchase Orders'!$L242="Received",'Purchase Orders'!$A242,"")</f>
        <v/>
      </c>
      <c r="B242" s="12" t="str">
        <f aca="false">IF($A242="","",'Purchase Orders'!$C242)</f>
        <v/>
      </c>
      <c r="C242" s="12" t="str">
        <f aca="false">IF($A242="","",'Purchase Orders'!$D242)</f>
        <v/>
      </c>
      <c r="D242" s="12" t="str">
        <f aca="false">IF($A242="","",'Purchase Orders'!$E242)</f>
        <v/>
      </c>
      <c r="E242" s="13" t="str">
        <f aca="false">IF($A242="","",'Purchase Orders'!$I242)</f>
        <v/>
      </c>
      <c r="F242" s="13" t="str">
        <f aca="false">IF($A242="","",SUMIFS('Expense Entry'!$K$5:$K$6000,'Expense Entry'!$E$5:$E$6000,"Payable Payment",'Expense Entry'!$L$5:$L$6000,$A242))</f>
        <v/>
      </c>
      <c r="G242" s="13" t="str">
        <f aca="false">IF($A242="","",$E242-$F242)</f>
        <v/>
      </c>
      <c r="H242" s="12" t="str">
        <f aca="false">IF($A242="","",IF($G242&lt;=0,"Paid",IF($F242&gt;0,"Partial","Unpaid")))</f>
        <v/>
      </c>
    </row>
    <row r="243" customFormat="false" ht="15" hidden="false" customHeight="true" outlineLevel="0" collapsed="false">
      <c r="A243" s="12" t="str">
        <f aca="false">IF('Purchase Orders'!$L243="Received",'Purchase Orders'!$A243,"")</f>
        <v/>
      </c>
      <c r="B243" s="12" t="str">
        <f aca="false">IF($A243="","",'Purchase Orders'!$C243)</f>
        <v/>
      </c>
      <c r="C243" s="12" t="str">
        <f aca="false">IF($A243="","",'Purchase Orders'!$D243)</f>
        <v/>
      </c>
      <c r="D243" s="12" t="str">
        <f aca="false">IF($A243="","",'Purchase Orders'!$E243)</f>
        <v/>
      </c>
      <c r="E243" s="13" t="str">
        <f aca="false">IF($A243="","",'Purchase Orders'!$I243)</f>
        <v/>
      </c>
      <c r="F243" s="13" t="str">
        <f aca="false">IF($A243="","",SUMIFS('Expense Entry'!$K$5:$K$6000,'Expense Entry'!$E$5:$E$6000,"Payable Payment",'Expense Entry'!$L$5:$L$6000,$A243))</f>
        <v/>
      </c>
      <c r="G243" s="13" t="str">
        <f aca="false">IF($A243="","",$E243-$F243)</f>
        <v/>
      </c>
      <c r="H243" s="12" t="str">
        <f aca="false">IF($A243="","",IF($G243&lt;=0,"Paid",IF($F243&gt;0,"Partial","Unpaid")))</f>
        <v/>
      </c>
    </row>
    <row r="244" customFormat="false" ht="15" hidden="false" customHeight="true" outlineLevel="0" collapsed="false">
      <c r="A244" s="12" t="str">
        <f aca="false">IF('Purchase Orders'!$L244="Received",'Purchase Orders'!$A244,"")</f>
        <v/>
      </c>
      <c r="B244" s="12" t="str">
        <f aca="false">IF($A244="","",'Purchase Orders'!$C244)</f>
        <v/>
      </c>
      <c r="C244" s="12" t="str">
        <f aca="false">IF($A244="","",'Purchase Orders'!$D244)</f>
        <v/>
      </c>
      <c r="D244" s="12" t="str">
        <f aca="false">IF($A244="","",'Purchase Orders'!$E244)</f>
        <v/>
      </c>
      <c r="E244" s="13" t="str">
        <f aca="false">IF($A244="","",'Purchase Orders'!$I244)</f>
        <v/>
      </c>
      <c r="F244" s="13" t="str">
        <f aca="false">IF($A244="","",SUMIFS('Expense Entry'!$K$5:$K$6000,'Expense Entry'!$E$5:$E$6000,"Payable Payment",'Expense Entry'!$L$5:$L$6000,$A244))</f>
        <v/>
      </c>
      <c r="G244" s="13" t="str">
        <f aca="false">IF($A244="","",$E244-$F244)</f>
        <v/>
      </c>
      <c r="H244" s="12" t="str">
        <f aca="false">IF($A244="","",IF($G244&lt;=0,"Paid",IF($F244&gt;0,"Partial","Unpaid")))</f>
        <v/>
      </c>
    </row>
    <row r="245" customFormat="false" ht="15" hidden="false" customHeight="true" outlineLevel="0" collapsed="false">
      <c r="A245" s="12" t="str">
        <f aca="false">IF('Purchase Orders'!$L245="Received",'Purchase Orders'!$A245,"")</f>
        <v/>
      </c>
      <c r="B245" s="12" t="str">
        <f aca="false">IF($A245="","",'Purchase Orders'!$C245)</f>
        <v/>
      </c>
      <c r="C245" s="12" t="str">
        <f aca="false">IF($A245="","",'Purchase Orders'!$D245)</f>
        <v/>
      </c>
      <c r="D245" s="12" t="str">
        <f aca="false">IF($A245="","",'Purchase Orders'!$E245)</f>
        <v/>
      </c>
      <c r="E245" s="13" t="str">
        <f aca="false">IF($A245="","",'Purchase Orders'!$I245)</f>
        <v/>
      </c>
      <c r="F245" s="13" t="str">
        <f aca="false">IF($A245="","",SUMIFS('Expense Entry'!$K$5:$K$6000,'Expense Entry'!$E$5:$E$6000,"Payable Payment",'Expense Entry'!$L$5:$L$6000,$A245))</f>
        <v/>
      </c>
      <c r="G245" s="13" t="str">
        <f aca="false">IF($A245="","",$E245-$F245)</f>
        <v/>
      </c>
      <c r="H245" s="12" t="str">
        <f aca="false">IF($A245="","",IF($G245&lt;=0,"Paid",IF($F245&gt;0,"Partial","Unpaid")))</f>
        <v/>
      </c>
    </row>
    <row r="246" customFormat="false" ht="15" hidden="false" customHeight="true" outlineLevel="0" collapsed="false">
      <c r="A246" s="12" t="str">
        <f aca="false">IF('Purchase Orders'!$L246="Received",'Purchase Orders'!$A246,"")</f>
        <v/>
      </c>
      <c r="B246" s="12" t="str">
        <f aca="false">IF($A246="","",'Purchase Orders'!$C246)</f>
        <v/>
      </c>
      <c r="C246" s="12" t="str">
        <f aca="false">IF($A246="","",'Purchase Orders'!$D246)</f>
        <v/>
      </c>
      <c r="D246" s="12" t="str">
        <f aca="false">IF($A246="","",'Purchase Orders'!$E246)</f>
        <v/>
      </c>
      <c r="E246" s="13" t="str">
        <f aca="false">IF($A246="","",'Purchase Orders'!$I246)</f>
        <v/>
      </c>
      <c r="F246" s="13" t="str">
        <f aca="false">IF($A246="","",SUMIFS('Expense Entry'!$K$5:$K$6000,'Expense Entry'!$E$5:$E$6000,"Payable Payment",'Expense Entry'!$L$5:$L$6000,$A246))</f>
        <v/>
      </c>
      <c r="G246" s="13" t="str">
        <f aca="false">IF($A246="","",$E246-$F246)</f>
        <v/>
      </c>
      <c r="H246" s="12" t="str">
        <f aca="false">IF($A246="","",IF($G246&lt;=0,"Paid",IF($F246&gt;0,"Partial","Unpaid")))</f>
        <v/>
      </c>
    </row>
    <row r="247" customFormat="false" ht="15" hidden="false" customHeight="true" outlineLevel="0" collapsed="false">
      <c r="A247" s="12" t="str">
        <f aca="false">IF('Purchase Orders'!$L247="Received",'Purchase Orders'!$A247,"")</f>
        <v/>
      </c>
      <c r="B247" s="12" t="str">
        <f aca="false">IF($A247="","",'Purchase Orders'!$C247)</f>
        <v/>
      </c>
      <c r="C247" s="12" t="str">
        <f aca="false">IF($A247="","",'Purchase Orders'!$D247)</f>
        <v/>
      </c>
      <c r="D247" s="12" t="str">
        <f aca="false">IF($A247="","",'Purchase Orders'!$E247)</f>
        <v/>
      </c>
      <c r="E247" s="13" t="str">
        <f aca="false">IF($A247="","",'Purchase Orders'!$I247)</f>
        <v/>
      </c>
      <c r="F247" s="13" t="str">
        <f aca="false">IF($A247="","",SUMIFS('Expense Entry'!$K$5:$K$6000,'Expense Entry'!$E$5:$E$6000,"Payable Payment",'Expense Entry'!$L$5:$L$6000,$A247))</f>
        <v/>
      </c>
      <c r="G247" s="13" t="str">
        <f aca="false">IF($A247="","",$E247-$F247)</f>
        <v/>
      </c>
      <c r="H247" s="12" t="str">
        <f aca="false">IF($A247="","",IF($G247&lt;=0,"Paid",IF($F247&gt;0,"Partial","Unpaid")))</f>
        <v/>
      </c>
    </row>
    <row r="248" customFormat="false" ht="15" hidden="false" customHeight="true" outlineLevel="0" collapsed="false">
      <c r="A248" s="12" t="str">
        <f aca="false">IF('Purchase Orders'!$L248="Received",'Purchase Orders'!$A248,"")</f>
        <v/>
      </c>
      <c r="B248" s="12" t="str">
        <f aca="false">IF($A248="","",'Purchase Orders'!$C248)</f>
        <v/>
      </c>
      <c r="C248" s="12" t="str">
        <f aca="false">IF($A248="","",'Purchase Orders'!$D248)</f>
        <v/>
      </c>
      <c r="D248" s="12" t="str">
        <f aca="false">IF($A248="","",'Purchase Orders'!$E248)</f>
        <v/>
      </c>
      <c r="E248" s="13" t="str">
        <f aca="false">IF($A248="","",'Purchase Orders'!$I248)</f>
        <v/>
      </c>
      <c r="F248" s="13" t="str">
        <f aca="false">IF($A248="","",SUMIFS('Expense Entry'!$K$5:$K$6000,'Expense Entry'!$E$5:$E$6000,"Payable Payment",'Expense Entry'!$L$5:$L$6000,$A248))</f>
        <v/>
      </c>
      <c r="G248" s="13" t="str">
        <f aca="false">IF($A248="","",$E248-$F248)</f>
        <v/>
      </c>
      <c r="H248" s="12" t="str">
        <f aca="false">IF($A248="","",IF($G248&lt;=0,"Paid",IF($F248&gt;0,"Partial","Unpaid")))</f>
        <v/>
      </c>
    </row>
    <row r="249" customFormat="false" ht="15" hidden="false" customHeight="true" outlineLevel="0" collapsed="false">
      <c r="A249" s="12" t="str">
        <f aca="false">IF('Purchase Orders'!$L249="Received",'Purchase Orders'!$A249,"")</f>
        <v/>
      </c>
      <c r="B249" s="12" t="str">
        <f aca="false">IF($A249="","",'Purchase Orders'!$C249)</f>
        <v/>
      </c>
      <c r="C249" s="12" t="str">
        <f aca="false">IF($A249="","",'Purchase Orders'!$D249)</f>
        <v/>
      </c>
      <c r="D249" s="12" t="str">
        <f aca="false">IF($A249="","",'Purchase Orders'!$E249)</f>
        <v/>
      </c>
      <c r="E249" s="13" t="str">
        <f aca="false">IF($A249="","",'Purchase Orders'!$I249)</f>
        <v/>
      </c>
      <c r="F249" s="13" t="str">
        <f aca="false">IF($A249="","",SUMIFS('Expense Entry'!$K$5:$K$6000,'Expense Entry'!$E$5:$E$6000,"Payable Payment",'Expense Entry'!$L$5:$L$6000,$A249))</f>
        <v/>
      </c>
      <c r="G249" s="13" t="str">
        <f aca="false">IF($A249="","",$E249-$F249)</f>
        <v/>
      </c>
      <c r="H249" s="12" t="str">
        <f aca="false">IF($A249="","",IF($G249&lt;=0,"Paid",IF($F249&gt;0,"Partial","Unpaid")))</f>
        <v/>
      </c>
    </row>
    <row r="250" customFormat="false" ht="15" hidden="false" customHeight="true" outlineLevel="0" collapsed="false">
      <c r="A250" s="12" t="str">
        <f aca="false">IF('Purchase Orders'!$L250="Received",'Purchase Orders'!$A250,"")</f>
        <v/>
      </c>
      <c r="B250" s="12" t="str">
        <f aca="false">IF($A250="","",'Purchase Orders'!$C250)</f>
        <v/>
      </c>
      <c r="C250" s="12" t="str">
        <f aca="false">IF($A250="","",'Purchase Orders'!$D250)</f>
        <v/>
      </c>
      <c r="D250" s="12" t="str">
        <f aca="false">IF($A250="","",'Purchase Orders'!$E250)</f>
        <v/>
      </c>
      <c r="E250" s="13" t="str">
        <f aca="false">IF($A250="","",'Purchase Orders'!$I250)</f>
        <v/>
      </c>
      <c r="F250" s="13" t="str">
        <f aca="false">IF($A250="","",SUMIFS('Expense Entry'!$K$5:$K$6000,'Expense Entry'!$E$5:$E$6000,"Payable Payment",'Expense Entry'!$L$5:$L$6000,$A250))</f>
        <v/>
      </c>
      <c r="G250" s="13" t="str">
        <f aca="false">IF($A250="","",$E250-$F250)</f>
        <v/>
      </c>
      <c r="H250" s="12" t="str">
        <f aca="false">IF($A250="","",IF($G250&lt;=0,"Paid",IF($F250&gt;0,"Partial","Unpaid")))</f>
        <v/>
      </c>
    </row>
    <row r="251" customFormat="false" ht="15" hidden="false" customHeight="true" outlineLevel="0" collapsed="false">
      <c r="A251" s="12" t="str">
        <f aca="false">IF('Purchase Orders'!$L251="Received",'Purchase Orders'!$A251,"")</f>
        <v/>
      </c>
      <c r="B251" s="12" t="str">
        <f aca="false">IF($A251="","",'Purchase Orders'!$C251)</f>
        <v/>
      </c>
      <c r="C251" s="12" t="str">
        <f aca="false">IF($A251="","",'Purchase Orders'!$D251)</f>
        <v/>
      </c>
      <c r="D251" s="12" t="str">
        <f aca="false">IF($A251="","",'Purchase Orders'!$E251)</f>
        <v/>
      </c>
      <c r="E251" s="13" t="str">
        <f aca="false">IF($A251="","",'Purchase Orders'!$I251)</f>
        <v/>
      </c>
      <c r="F251" s="13" t="str">
        <f aca="false">IF($A251="","",SUMIFS('Expense Entry'!$K$5:$K$6000,'Expense Entry'!$E$5:$E$6000,"Payable Payment",'Expense Entry'!$L$5:$L$6000,$A251))</f>
        <v/>
      </c>
      <c r="G251" s="13" t="str">
        <f aca="false">IF($A251="","",$E251-$F251)</f>
        <v/>
      </c>
      <c r="H251" s="12" t="str">
        <f aca="false">IF($A251="","",IF($G251&lt;=0,"Paid",IF($F251&gt;0,"Partial","Unpaid")))</f>
        <v/>
      </c>
    </row>
    <row r="252" customFormat="false" ht="15" hidden="false" customHeight="true" outlineLevel="0" collapsed="false">
      <c r="A252" s="12" t="str">
        <f aca="false">IF('Purchase Orders'!$L252="Received",'Purchase Orders'!$A252,"")</f>
        <v/>
      </c>
      <c r="B252" s="12" t="str">
        <f aca="false">IF($A252="","",'Purchase Orders'!$C252)</f>
        <v/>
      </c>
      <c r="C252" s="12" t="str">
        <f aca="false">IF($A252="","",'Purchase Orders'!$D252)</f>
        <v/>
      </c>
      <c r="D252" s="12" t="str">
        <f aca="false">IF($A252="","",'Purchase Orders'!$E252)</f>
        <v/>
      </c>
      <c r="E252" s="13" t="str">
        <f aca="false">IF($A252="","",'Purchase Orders'!$I252)</f>
        <v/>
      </c>
      <c r="F252" s="13" t="str">
        <f aca="false">IF($A252="","",SUMIFS('Expense Entry'!$K$5:$K$6000,'Expense Entry'!$E$5:$E$6000,"Payable Payment",'Expense Entry'!$L$5:$L$6000,$A252))</f>
        <v/>
      </c>
      <c r="G252" s="13" t="str">
        <f aca="false">IF($A252="","",$E252-$F252)</f>
        <v/>
      </c>
      <c r="H252" s="12" t="str">
        <f aca="false">IF($A252="","",IF($G252&lt;=0,"Paid",IF($F252&gt;0,"Partial","Unpaid")))</f>
        <v/>
      </c>
    </row>
    <row r="253" customFormat="false" ht="15" hidden="false" customHeight="true" outlineLevel="0" collapsed="false">
      <c r="A253" s="12" t="str">
        <f aca="false">IF('Purchase Orders'!$L253="Received",'Purchase Orders'!$A253,"")</f>
        <v/>
      </c>
      <c r="B253" s="12" t="str">
        <f aca="false">IF($A253="","",'Purchase Orders'!$C253)</f>
        <v/>
      </c>
      <c r="C253" s="12" t="str">
        <f aca="false">IF($A253="","",'Purchase Orders'!$D253)</f>
        <v/>
      </c>
      <c r="D253" s="12" t="str">
        <f aca="false">IF($A253="","",'Purchase Orders'!$E253)</f>
        <v/>
      </c>
      <c r="E253" s="13" t="str">
        <f aca="false">IF($A253="","",'Purchase Orders'!$I253)</f>
        <v/>
      </c>
      <c r="F253" s="13" t="str">
        <f aca="false">IF($A253="","",SUMIFS('Expense Entry'!$K$5:$K$6000,'Expense Entry'!$E$5:$E$6000,"Payable Payment",'Expense Entry'!$L$5:$L$6000,$A253))</f>
        <v/>
      </c>
      <c r="G253" s="13" t="str">
        <f aca="false">IF($A253="","",$E253-$F253)</f>
        <v/>
      </c>
      <c r="H253" s="12" t="str">
        <f aca="false">IF($A253="","",IF($G253&lt;=0,"Paid",IF($F253&gt;0,"Partial","Unpaid")))</f>
        <v/>
      </c>
    </row>
    <row r="254" customFormat="false" ht="15" hidden="false" customHeight="true" outlineLevel="0" collapsed="false">
      <c r="A254" s="12" t="str">
        <f aca="false">IF('Purchase Orders'!$L254="Received",'Purchase Orders'!$A254,"")</f>
        <v/>
      </c>
      <c r="B254" s="12" t="str">
        <f aca="false">IF($A254="","",'Purchase Orders'!$C254)</f>
        <v/>
      </c>
      <c r="C254" s="12" t="str">
        <f aca="false">IF($A254="","",'Purchase Orders'!$D254)</f>
        <v/>
      </c>
      <c r="D254" s="12" t="str">
        <f aca="false">IF($A254="","",'Purchase Orders'!$E254)</f>
        <v/>
      </c>
      <c r="E254" s="13" t="str">
        <f aca="false">IF($A254="","",'Purchase Orders'!$I254)</f>
        <v/>
      </c>
      <c r="F254" s="13" t="str">
        <f aca="false">IF($A254="","",SUMIFS('Expense Entry'!$K$5:$K$6000,'Expense Entry'!$E$5:$E$6000,"Payable Payment",'Expense Entry'!$L$5:$L$6000,$A254))</f>
        <v/>
      </c>
      <c r="G254" s="13" t="str">
        <f aca="false">IF($A254="","",$E254-$F254)</f>
        <v/>
      </c>
      <c r="H254" s="12" t="str">
        <f aca="false">IF($A254="","",IF($G254&lt;=0,"Paid",IF($F254&gt;0,"Partial","Unpaid")))</f>
        <v/>
      </c>
    </row>
    <row r="255" customFormat="false" ht="15" hidden="false" customHeight="true" outlineLevel="0" collapsed="false">
      <c r="A255" s="12" t="str">
        <f aca="false">IF('Purchase Orders'!$L255="Received",'Purchase Orders'!$A255,"")</f>
        <v/>
      </c>
      <c r="B255" s="12" t="str">
        <f aca="false">IF($A255="","",'Purchase Orders'!$C255)</f>
        <v/>
      </c>
      <c r="C255" s="12" t="str">
        <f aca="false">IF($A255="","",'Purchase Orders'!$D255)</f>
        <v/>
      </c>
      <c r="D255" s="12" t="str">
        <f aca="false">IF($A255="","",'Purchase Orders'!$E255)</f>
        <v/>
      </c>
      <c r="E255" s="13" t="str">
        <f aca="false">IF($A255="","",'Purchase Orders'!$I255)</f>
        <v/>
      </c>
      <c r="F255" s="13" t="str">
        <f aca="false">IF($A255="","",SUMIFS('Expense Entry'!$K$5:$K$6000,'Expense Entry'!$E$5:$E$6000,"Payable Payment",'Expense Entry'!$L$5:$L$6000,$A255))</f>
        <v/>
      </c>
      <c r="G255" s="13" t="str">
        <f aca="false">IF($A255="","",$E255-$F255)</f>
        <v/>
      </c>
      <c r="H255" s="12" t="str">
        <f aca="false">IF($A255="","",IF($G255&lt;=0,"Paid",IF($F255&gt;0,"Partial","Unpaid")))</f>
        <v/>
      </c>
    </row>
    <row r="256" customFormat="false" ht="15" hidden="false" customHeight="true" outlineLevel="0" collapsed="false">
      <c r="A256" s="12" t="str">
        <f aca="false">IF('Purchase Orders'!$L256="Received",'Purchase Orders'!$A256,"")</f>
        <v/>
      </c>
      <c r="B256" s="12" t="str">
        <f aca="false">IF($A256="","",'Purchase Orders'!$C256)</f>
        <v/>
      </c>
      <c r="C256" s="12" t="str">
        <f aca="false">IF($A256="","",'Purchase Orders'!$D256)</f>
        <v/>
      </c>
      <c r="D256" s="12" t="str">
        <f aca="false">IF($A256="","",'Purchase Orders'!$E256)</f>
        <v/>
      </c>
      <c r="E256" s="13" t="str">
        <f aca="false">IF($A256="","",'Purchase Orders'!$I256)</f>
        <v/>
      </c>
      <c r="F256" s="13" t="str">
        <f aca="false">IF($A256="","",SUMIFS('Expense Entry'!$K$5:$K$6000,'Expense Entry'!$E$5:$E$6000,"Payable Payment",'Expense Entry'!$L$5:$L$6000,$A256))</f>
        <v/>
      </c>
      <c r="G256" s="13" t="str">
        <f aca="false">IF($A256="","",$E256-$F256)</f>
        <v/>
      </c>
      <c r="H256" s="12" t="str">
        <f aca="false">IF($A256="","",IF($G256&lt;=0,"Paid",IF($F256&gt;0,"Partial","Unpaid")))</f>
        <v/>
      </c>
    </row>
    <row r="257" customFormat="false" ht="15" hidden="false" customHeight="true" outlineLevel="0" collapsed="false">
      <c r="A257" s="12" t="str">
        <f aca="false">IF('Purchase Orders'!$L257="Received",'Purchase Orders'!$A257,"")</f>
        <v/>
      </c>
      <c r="B257" s="12" t="str">
        <f aca="false">IF($A257="","",'Purchase Orders'!$C257)</f>
        <v/>
      </c>
      <c r="C257" s="12" t="str">
        <f aca="false">IF($A257="","",'Purchase Orders'!$D257)</f>
        <v/>
      </c>
      <c r="D257" s="12" t="str">
        <f aca="false">IF($A257="","",'Purchase Orders'!$E257)</f>
        <v/>
      </c>
      <c r="E257" s="13" t="str">
        <f aca="false">IF($A257="","",'Purchase Orders'!$I257)</f>
        <v/>
      </c>
      <c r="F257" s="13" t="str">
        <f aca="false">IF($A257="","",SUMIFS('Expense Entry'!$K$5:$K$6000,'Expense Entry'!$E$5:$E$6000,"Payable Payment",'Expense Entry'!$L$5:$L$6000,$A257))</f>
        <v/>
      </c>
      <c r="G257" s="13" t="str">
        <f aca="false">IF($A257="","",$E257-$F257)</f>
        <v/>
      </c>
      <c r="H257" s="12" t="str">
        <f aca="false">IF($A257="","",IF($G257&lt;=0,"Paid",IF($F257&gt;0,"Partial","Unpaid")))</f>
        <v/>
      </c>
    </row>
    <row r="258" customFormat="false" ht="15" hidden="false" customHeight="true" outlineLevel="0" collapsed="false">
      <c r="A258" s="12" t="str">
        <f aca="false">IF('Purchase Orders'!$L258="Received",'Purchase Orders'!$A258,"")</f>
        <v/>
      </c>
      <c r="B258" s="12" t="str">
        <f aca="false">IF($A258="","",'Purchase Orders'!$C258)</f>
        <v/>
      </c>
      <c r="C258" s="12" t="str">
        <f aca="false">IF($A258="","",'Purchase Orders'!$D258)</f>
        <v/>
      </c>
      <c r="D258" s="12" t="str">
        <f aca="false">IF($A258="","",'Purchase Orders'!$E258)</f>
        <v/>
      </c>
      <c r="E258" s="13" t="str">
        <f aca="false">IF($A258="","",'Purchase Orders'!$I258)</f>
        <v/>
      </c>
      <c r="F258" s="13" t="str">
        <f aca="false">IF($A258="","",SUMIFS('Expense Entry'!$K$5:$K$6000,'Expense Entry'!$E$5:$E$6000,"Payable Payment",'Expense Entry'!$L$5:$L$6000,$A258))</f>
        <v/>
      </c>
      <c r="G258" s="13" t="str">
        <f aca="false">IF($A258="","",$E258-$F258)</f>
        <v/>
      </c>
      <c r="H258" s="12" t="str">
        <f aca="false">IF($A258="","",IF($G258&lt;=0,"Paid",IF($F258&gt;0,"Partial","Unpaid")))</f>
        <v/>
      </c>
    </row>
    <row r="259" customFormat="false" ht="15" hidden="false" customHeight="true" outlineLevel="0" collapsed="false">
      <c r="A259" s="12" t="str">
        <f aca="false">IF('Purchase Orders'!$L259="Received",'Purchase Orders'!$A259,"")</f>
        <v/>
      </c>
      <c r="B259" s="12" t="str">
        <f aca="false">IF($A259="","",'Purchase Orders'!$C259)</f>
        <v/>
      </c>
      <c r="C259" s="12" t="str">
        <f aca="false">IF($A259="","",'Purchase Orders'!$D259)</f>
        <v/>
      </c>
      <c r="D259" s="12" t="str">
        <f aca="false">IF($A259="","",'Purchase Orders'!$E259)</f>
        <v/>
      </c>
      <c r="E259" s="13" t="str">
        <f aca="false">IF($A259="","",'Purchase Orders'!$I259)</f>
        <v/>
      </c>
      <c r="F259" s="13" t="str">
        <f aca="false">IF($A259="","",SUMIFS('Expense Entry'!$K$5:$K$6000,'Expense Entry'!$E$5:$E$6000,"Payable Payment",'Expense Entry'!$L$5:$L$6000,$A259))</f>
        <v/>
      </c>
      <c r="G259" s="13" t="str">
        <f aca="false">IF($A259="","",$E259-$F259)</f>
        <v/>
      </c>
      <c r="H259" s="12" t="str">
        <f aca="false">IF($A259="","",IF($G259&lt;=0,"Paid",IF($F259&gt;0,"Partial","Unpaid")))</f>
        <v/>
      </c>
    </row>
    <row r="260" customFormat="false" ht="15" hidden="false" customHeight="true" outlineLevel="0" collapsed="false">
      <c r="A260" s="12" t="str">
        <f aca="false">IF('Purchase Orders'!$L260="Received",'Purchase Orders'!$A260,"")</f>
        <v/>
      </c>
      <c r="B260" s="12" t="str">
        <f aca="false">IF($A260="","",'Purchase Orders'!$C260)</f>
        <v/>
      </c>
      <c r="C260" s="12" t="str">
        <f aca="false">IF($A260="","",'Purchase Orders'!$D260)</f>
        <v/>
      </c>
      <c r="D260" s="12" t="str">
        <f aca="false">IF($A260="","",'Purchase Orders'!$E260)</f>
        <v/>
      </c>
      <c r="E260" s="13" t="str">
        <f aca="false">IF($A260="","",'Purchase Orders'!$I260)</f>
        <v/>
      </c>
      <c r="F260" s="13" t="str">
        <f aca="false">IF($A260="","",SUMIFS('Expense Entry'!$K$5:$K$6000,'Expense Entry'!$E$5:$E$6000,"Payable Payment",'Expense Entry'!$L$5:$L$6000,$A260))</f>
        <v/>
      </c>
      <c r="G260" s="13" t="str">
        <f aca="false">IF($A260="","",$E260-$F260)</f>
        <v/>
      </c>
      <c r="H260" s="12" t="str">
        <f aca="false">IF($A260="","",IF($G260&lt;=0,"Paid",IF($F260&gt;0,"Partial","Unpaid")))</f>
        <v/>
      </c>
    </row>
    <row r="261" customFormat="false" ht="15" hidden="false" customHeight="true" outlineLevel="0" collapsed="false">
      <c r="A261" s="12" t="str">
        <f aca="false">IF('Purchase Orders'!$L261="Received",'Purchase Orders'!$A261,"")</f>
        <v/>
      </c>
      <c r="B261" s="12" t="str">
        <f aca="false">IF($A261="","",'Purchase Orders'!$C261)</f>
        <v/>
      </c>
      <c r="C261" s="12" t="str">
        <f aca="false">IF($A261="","",'Purchase Orders'!$D261)</f>
        <v/>
      </c>
      <c r="D261" s="12" t="str">
        <f aca="false">IF($A261="","",'Purchase Orders'!$E261)</f>
        <v/>
      </c>
      <c r="E261" s="13" t="str">
        <f aca="false">IF($A261="","",'Purchase Orders'!$I261)</f>
        <v/>
      </c>
      <c r="F261" s="13" t="str">
        <f aca="false">IF($A261="","",SUMIFS('Expense Entry'!$K$5:$K$6000,'Expense Entry'!$E$5:$E$6000,"Payable Payment",'Expense Entry'!$L$5:$L$6000,$A261))</f>
        <v/>
      </c>
      <c r="G261" s="13" t="str">
        <f aca="false">IF($A261="","",$E261-$F261)</f>
        <v/>
      </c>
      <c r="H261" s="12" t="str">
        <f aca="false">IF($A261="","",IF($G261&lt;=0,"Paid",IF($F261&gt;0,"Partial","Unpaid")))</f>
        <v/>
      </c>
    </row>
    <row r="262" customFormat="false" ht="15" hidden="false" customHeight="true" outlineLevel="0" collapsed="false">
      <c r="A262" s="12" t="str">
        <f aca="false">IF('Purchase Orders'!$L262="Received",'Purchase Orders'!$A262,"")</f>
        <v/>
      </c>
      <c r="B262" s="12" t="str">
        <f aca="false">IF($A262="","",'Purchase Orders'!$C262)</f>
        <v/>
      </c>
      <c r="C262" s="12" t="str">
        <f aca="false">IF($A262="","",'Purchase Orders'!$D262)</f>
        <v/>
      </c>
      <c r="D262" s="12" t="str">
        <f aca="false">IF($A262="","",'Purchase Orders'!$E262)</f>
        <v/>
      </c>
      <c r="E262" s="13" t="str">
        <f aca="false">IF($A262="","",'Purchase Orders'!$I262)</f>
        <v/>
      </c>
      <c r="F262" s="13" t="str">
        <f aca="false">IF($A262="","",SUMIFS('Expense Entry'!$K$5:$K$6000,'Expense Entry'!$E$5:$E$6000,"Payable Payment",'Expense Entry'!$L$5:$L$6000,$A262))</f>
        <v/>
      </c>
      <c r="G262" s="13" t="str">
        <f aca="false">IF($A262="","",$E262-$F262)</f>
        <v/>
      </c>
      <c r="H262" s="12" t="str">
        <f aca="false">IF($A262="","",IF($G262&lt;=0,"Paid",IF($F262&gt;0,"Partial","Unpaid")))</f>
        <v/>
      </c>
    </row>
    <row r="263" customFormat="false" ht="15" hidden="false" customHeight="true" outlineLevel="0" collapsed="false">
      <c r="A263" s="12" t="str">
        <f aca="false">IF('Purchase Orders'!$L263="Received",'Purchase Orders'!$A263,"")</f>
        <v/>
      </c>
      <c r="B263" s="12" t="str">
        <f aca="false">IF($A263="","",'Purchase Orders'!$C263)</f>
        <v/>
      </c>
      <c r="C263" s="12" t="str">
        <f aca="false">IF($A263="","",'Purchase Orders'!$D263)</f>
        <v/>
      </c>
      <c r="D263" s="12" t="str">
        <f aca="false">IF($A263="","",'Purchase Orders'!$E263)</f>
        <v/>
      </c>
      <c r="E263" s="13" t="str">
        <f aca="false">IF($A263="","",'Purchase Orders'!$I263)</f>
        <v/>
      </c>
      <c r="F263" s="13" t="str">
        <f aca="false">IF($A263="","",SUMIFS('Expense Entry'!$K$5:$K$6000,'Expense Entry'!$E$5:$E$6000,"Payable Payment",'Expense Entry'!$L$5:$L$6000,$A263))</f>
        <v/>
      </c>
      <c r="G263" s="13" t="str">
        <f aca="false">IF($A263="","",$E263-$F263)</f>
        <v/>
      </c>
      <c r="H263" s="12" t="str">
        <f aca="false">IF($A263="","",IF($G263&lt;=0,"Paid",IF($F263&gt;0,"Partial","Unpaid")))</f>
        <v/>
      </c>
    </row>
    <row r="264" customFormat="false" ht="15" hidden="false" customHeight="true" outlineLevel="0" collapsed="false">
      <c r="A264" s="12" t="str">
        <f aca="false">IF('Purchase Orders'!$L264="Received",'Purchase Orders'!$A264,"")</f>
        <v/>
      </c>
      <c r="B264" s="12" t="str">
        <f aca="false">IF($A264="","",'Purchase Orders'!$C264)</f>
        <v/>
      </c>
      <c r="C264" s="12" t="str">
        <f aca="false">IF($A264="","",'Purchase Orders'!$D264)</f>
        <v/>
      </c>
      <c r="D264" s="12" t="str">
        <f aca="false">IF($A264="","",'Purchase Orders'!$E264)</f>
        <v/>
      </c>
      <c r="E264" s="13" t="str">
        <f aca="false">IF($A264="","",'Purchase Orders'!$I264)</f>
        <v/>
      </c>
      <c r="F264" s="13" t="str">
        <f aca="false">IF($A264="","",SUMIFS('Expense Entry'!$K$5:$K$6000,'Expense Entry'!$E$5:$E$6000,"Payable Payment",'Expense Entry'!$L$5:$L$6000,$A264))</f>
        <v/>
      </c>
      <c r="G264" s="13" t="str">
        <f aca="false">IF($A264="","",$E264-$F264)</f>
        <v/>
      </c>
      <c r="H264" s="12" t="str">
        <f aca="false">IF($A264="","",IF($G264&lt;=0,"Paid",IF($F264&gt;0,"Partial","Unpaid")))</f>
        <v/>
      </c>
    </row>
    <row r="265" customFormat="false" ht="15" hidden="false" customHeight="true" outlineLevel="0" collapsed="false">
      <c r="A265" s="12" t="str">
        <f aca="false">IF('Purchase Orders'!$L265="Received",'Purchase Orders'!$A265,"")</f>
        <v/>
      </c>
      <c r="B265" s="12" t="str">
        <f aca="false">IF($A265="","",'Purchase Orders'!$C265)</f>
        <v/>
      </c>
      <c r="C265" s="12" t="str">
        <f aca="false">IF($A265="","",'Purchase Orders'!$D265)</f>
        <v/>
      </c>
      <c r="D265" s="12" t="str">
        <f aca="false">IF($A265="","",'Purchase Orders'!$E265)</f>
        <v/>
      </c>
      <c r="E265" s="13" t="str">
        <f aca="false">IF($A265="","",'Purchase Orders'!$I265)</f>
        <v/>
      </c>
      <c r="F265" s="13" t="str">
        <f aca="false">IF($A265="","",SUMIFS('Expense Entry'!$K$5:$K$6000,'Expense Entry'!$E$5:$E$6000,"Payable Payment",'Expense Entry'!$L$5:$L$6000,$A265))</f>
        <v/>
      </c>
      <c r="G265" s="13" t="str">
        <f aca="false">IF($A265="","",$E265-$F265)</f>
        <v/>
      </c>
      <c r="H265" s="12" t="str">
        <f aca="false">IF($A265="","",IF($G265&lt;=0,"Paid",IF($F265&gt;0,"Partial","Unpaid")))</f>
        <v/>
      </c>
    </row>
    <row r="266" customFormat="false" ht="15" hidden="false" customHeight="true" outlineLevel="0" collapsed="false">
      <c r="A266" s="12" t="str">
        <f aca="false">IF('Purchase Orders'!$L266="Received",'Purchase Orders'!$A266,"")</f>
        <v/>
      </c>
      <c r="B266" s="12" t="str">
        <f aca="false">IF($A266="","",'Purchase Orders'!$C266)</f>
        <v/>
      </c>
      <c r="C266" s="12" t="str">
        <f aca="false">IF($A266="","",'Purchase Orders'!$D266)</f>
        <v/>
      </c>
      <c r="D266" s="12" t="str">
        <f aca="false">IF($A266="","",'Purchase Orders'!$E266)</f>
        <v/>
      </c>
      <c r="E266" s="13" t="str">
        <f aca="false">IF($A266="","",'Purchase Orders'!$I266)</f>
        <v/>
      </c>
      <c r="F266" s="13" t="str">
        <f aca="false">IF($A266="","",SUMIFS('Expense Entry'!$K$5:$K$6000,'Expense Entry'!$E$5:$E$6000,"Payable Payment",'Expense Entry'!$L$5:$L$6000,$A266))</f>
        <v/>
      </c>
      <c r="G266" s="13" t="str">
        <f aca="false">IF($A266="","",$E266-$F266)</f>
        <v/>
      </c>
      <c r="H266" s="12" t="str">
        <f aca="false">IF($A266="","",IF($G266&lt;=0,"Paid",IF($F266&gt;0,"Partial","Unpaid")))</f>
        <v/>
      </c>
    </row>
    <row r="267" customFormat="false" ht="15" hidden="false" customHeight="true" outlineLevel="0" collapsed="false">
      <c r="A267" s="12" t="str">
        <f aca="false">IF('Purchase Orders'!$L267="Received",'Purchase Orders'!$A267,"")</f>
        <v/>
      </c>
      <c r="B267" s="12" t="str">
        <f aca="false">IF($A267="","",'Purchase Orders'!$C267)</f>
        <v/>
      </c>
      <c r="C267" s="12" t="str">
        <f aca="false">IF($A267="","",'Purchase Orders'!$D267)</f>
        <v/>
      </c>
      <c r="D267" s="12" t="str">
        <f aca="false">IF($A267="","",'Purchase Orders'!$E267)</f>
        <v/>
      </c>
      <c r="E267" s="13" t="str">
        <f aca="false">IF($A267="","",'Purchase Orders'!$I267)</f>
        <v/>
      </c>
      <c r="F267" s="13" t="str">
        <f aca="false">IF($A267="","",SUMIFS('Expense Entry'!$K$5:$K$6000,'Expense Entry'!$E$5:$E$6000,"Payable Payment",'Expense Entry'!$L$5:$L$6000,$A267))</f>
        <v/>
      </c>
      <c r="G267" s="13" t="str">
        <f aca="false">IF($A267="","",$E267-$F267)</f>
        <v/>
      </c>
      <c r="H267" s="12" t="str">
        <f aca="false">IF($A267="","",IF($G267&lt;=0,"Paid",IF($F267&gt;0,"Partial","Unpaid")))</f>
        <v/>
      </c>
    </row>
    <row r="268" customFormat="false" ht="15" hidden="false" customHeight="true" outlineLevel="0" collapsed="false">
      <c r="A268" s="12" t="str">
        <f aca="false">IF('Purchase Orders'!$L268="Received",'Purchase Orders'!$A268,"")</f>
        <v/>
      </c>
      <c r="B268" s="12" t="str">
        <f aca="false">IF($A268="","",'Purchase Orders'!$C268)</f>
        <v/>
      </c>
      <c r="C268" s="12" t="str">
        <f aca="false">IF($A268="","",'Purchase Orders'!$D268)</f>
        <v/>
      </c>
      <c r="D268" s="12" t="str">
        <f aca="false">IF($A268="","",'Purchase Orders'!$E268)</f>
        <v/>
      </c>
      <c r="E268" s="13" t="str">
        <f aca="false">IF($A268="","",'Purchase Orders'!$I268)</f>
        <v/>
      </c>
      <c r="F268" s="13" t="str">
        <f aca="false">IF($A268="","",SUMIFS('Expense Entry'!$K$5:$K$6000,'Expense Entry'!$E$5:$E$6000,"Payable Payment",'Expense Entry'!$L$5:$L$6000,$A268))</f>
        <v/>
      </c>
      <c r="G268" s="13" t="str">
        <f aca="false">IF($A268="","",$E268-$F268)</f>
        <v/>
      </c>
      <c r="H268" s="12" t="str">
        <f aca="false">IF($A268="","",IF($G268&lt;=0,"Paid",IF($F268&gt;0,"Partial","Unpaid")))</f>
        <v/>
      </c>
    </row>
    <row r="269" customFormat="false" ht="15" hidden="false" customHeight="true" outlineLevel="0" collapsed="false">
      <c r="A269" s="12" t="str">
        <f aca="false">IF('Purchase Orders'!$L269="Received",'Purchase Orders'!$A269,"")</f>
        <v/>
      </c>
      <c r="B269" s="12" t="str">
        <f aca="false">IF($A269="","",'Purchase Orders'!$C269)</f>
        <v/>
      </c>
      <c r="C269" s="12" t="str">
        <f aca="false">IF($A269="","",'Purchase Orders'!$D269)</f>
        <v/>
      </c>
      <c r="D269" s="12" t="str">
        <f aca="false">IF($A269="","",'Purchase Orders'!$E269)</f>
        <v/>
      </c>
      <c r="E269" s="13" t="str">
        <f aca="false">IF($A269="","",'Purchase Orders'!$I269)</f>
        <v/>
      </c>
      <c r="F269" s="13" t="str">
        <f aca="false">IF($A269="","",SUMIFS('Expense Entry'!$K$5:$K$6000,'Expense Entry'!$E$5:$E$6000,"Payable Payment",'Expense Entry'!$L$5:$L$6000,$A269))</f>
        <v/>
      </c>
      <c r="G269" s="13" t="str">
        <f aca="false">IF($A269="","",$E269-$F269)</f>
        <v/>
      </c>
      <c r="H269" s="12" t="str">
        <f aca="false">IF($A269="","",IF($G269&lt;=0,"Paid",IF($F269&gt;0,"Partial","Unpaid")))</f>
        <v/>
      </c>
    </row>
    <row r="270" customFormat="false" ht="15" hidden="false" customHeight="true" outlineLevel="0" collapsed="false">
      <c r="A270" s="12" t="str">
        <f aca="false">IF('Purchase Orders'!$L270="Received",'Purchase Orders'!$A270,"")</f>
        <v/>
      </c>
      <c r="B270" s="12" t="str">
        <f aca="false">IF($A270="","",'Purchase Orders'!$C270)</f>
        <v/>
      </c>
      <c r="C270" s="12" t="str">
        <f aca="false">IF($A270="","",'Purchase Orders'!$D270)</f>
        <v/>
      </c>
      <c r="D270" s="12" t="str">
        <f aca="false">IF($A270="","",'Purchase Orders'!$E270)</f>
        <v/>
      </c>
      <c r="E270" s="13" t="str">
        <f aca="false">IF($A270="","",'Purchase Orders'!$I270)</f>
        <v/>
      </c>
      <c r="F270" s="13" t="str">
        <f aca="false">IF($A270="","",SUMIFS('Expense Entry'!$K$5:$K$6000,'Expense Entry'!$E$5:$E$6000,"Payable Payment",'Expense Entry'!$L$5:$L$6000,$A270))</f>
        <v/>
      </c>
      <c r="G270" s="13" t="str">
        <f aca="false">IF($A270="","",$E270-$F270)</f>
        <v/>
      </c>
      <c r="H270" s="12" t="str">
        <f aca="false">IF($A270="","",IF($G270&lt;=0,"Paid",IF($F270&gt;0,"Partial","Unpaid")))</f>
        <v/>
      </c>
    </row>
    <row r="271" customFormat="false" ht="15" hidden="false" customHeight="true" outlineLevel="0" collapsed="false">
      <c r="A271" s="12" t="str">
        <f aca="false">IF('Purchase Orders'!$L271="Received",'Purchase Orders'!$A271,"")</f>
        <v/>
      </c>
      <c r="B271" s="12" t="str">
        <f aca="false">IF($A271="","",'Purchase Orders'!$C271)</f>
        <v/>
      </c>
      <c r="C271" s="12" t="str">
        <f aca="false">IF($A271="","",'Purchase Orders'!$D271)</f>
        <v/>
      </c>
      <c r="D271" s="12" t="str">
        <f aca="false">IF($A271="","",'Purchase Orders'!$E271)</f>
        <v/>
      </c>
      <c r="E271" s="13" t="str">
        <f aca="false">IF($A271="","",'Purchase Orders'!$I271)</f>
        <v/>
      </c>
      <c r="F271" s="13" t="str">
        <f aca="false">IF($A271="","",SUMIFS('Expense Entry'!$K$5:$K$6000,'Expense Entry'!$E$5:$E$6000,"Payable Payment",'Expense Entry'!$L$5:$L$6000,$A271))</f>
        <v/>
      </c>
      <c r="G271" s="13" t="str">
        <f aca="false">IF($A271="","",$E271-$F271)</f>
        <v/>
      </c>
      <c r="H271" s="12" t="str">
        <f aca="false">IF($A271="","",IF($G271&lt;=0,"Paid",IF($F271&gt;0,"Partial","Unpaid")))</f>
        <v/>
      </c>
    </row>
    <row r="272" customFormat="false" ht="15" hidden="false" customHeight="true" outlineLevel="0" collapsed="false">
      <c r="A272" s="12" t="str">
        <f aca="false">IF('Purchase Orders'!$L272="Received",'Purchase Orders'!$A272,"")</f>
        <v/>
      </c>
      <c r="B272" s="12" t="str">
        <f aca="false">IF($A272="","",'Purchase Orders'!$C272)</f>
        <v/>
      </c>
      <c r="C272" s="12" t="str">
        <f aca="false">IF($A272="","",'Purchase Orders'!$D272)</f>
        <v/>
      </c>
      <c r="D272" s="12" t="str">
        <f aca="false">IF($A272="","",'Purchase Orders'!$E272)</f>
        <v/>
      </c>
      <c r="E272" s="13" t="str">
        <f aca="false">IF($A272="","",'Purchase Orders'!$I272)</f>
        <v/>
      </c>
      <c r="F272" s="13" t="str">
        <f aca="false">IF($A272="","",SUMIFS('Expense Entry'!$K$5:$K$6000,'Expense Entry'!$E$5:$E$6000,"Payable Payment",'Expense Entry'!$L$5:$L$6000,$A272))</f>
        <v/>
      </c>
      <c r="G272" s="13" t="str">
        <f aca="false">IF($A272="","",$E272-$F272)</f>
        <v/>
      </c>
      <c r="H272" s="12" t="str">
        <f aca="false">IF($A272="","",IF($G272&lt;=0,"Paid",IF($F272&gt;0,"Partial","Unpaid")))</f>
        <v/>
      </c>
    </row>
    <row r="273" customFormat="false" ht="15" hidden="false" customHeight="true" outlineLevel="0" collapsed="false">
      <c r="A273" s="12" t="str">
        <f aca="false">IF('Purchase Orders'!$L273="Received",'Purchase Orders'!$A273,"")</f>
        <v/>
      </c>
      <c r="B273" s="12" t="str">
        <f aca="false">IF($A273="","",'Purchase Orders'!$C273)</f>
        <v/>
      </c>
      <c r="C273" s="12" t="str">
        <f aca="false">IF($A273="","",'Purchase Orders'!$D273)</f>
        <v/>
      </c>
      <c r="D273" s="12" t="str">
        <f aca="false">IF($A273="","",'Purchase Orders'!$E273)</f>
        <v/>
      </c>
      <c r="E273" s="13" t="str">
        <f aca="false">IF($A273="","",'Purchase Orders'!$I273)</f>
        <v/>
      </c>
      <c r="F273" s="13" t="str">
        <f aca="false">IF($A273="","",SUMIFS('Expense Entry'!$K$5:$K$6000,'Expense Entry'!$E$5:$E$6000,"Payable Payment",'Expense Entry'!$L$5:$L$6000,$A273))</f>
        <v/>
      </c>
      <c r="G273" s="13" t="str">
        <f aca="false">IF($A273="","",$E273-$F273)</f>
        <v/>
      </c>
      <c r="H273" s="12" t="str">
        <f aca="false">IF($A273="","",IF($G273&lt;=0,"Paid",IF($F273&gt;0,"Partial","Unpaid")))</f>
        <v/>
      </c>
    </row>
    <row r="274" customFormat="false" ht="15" hidden="false" customHeight="true" outlineLevel="0" collapsed="false">
      <c r="A274" s="12" t="str">
        <f aca="false">IF('Purchase Orders'!$L274="Received",'Purchase Orders'!$A274,"")</f>
        <v/>
      </c>
      <c r="B274" s="12" t="str">
        <f aca="false">IF($A274="","",'Purchase Orders'!$C274)</f>
        <v/>
      </c>
      <c r="C274" s="12" t="str">
        <f aca="false">IF($A274="","",'Purchase Orders'!$D274)</f>
        <v/>
      </c>
      <c r="D274" s="12" t="str">
        <f aca="false">IF($A274="","",'Purchase Orders'!$E274)</f>
        <v/>
      </c>
      <c r="E274" s="13" t="str">
        <f aca="false">IF($A274="","",'Purchase Orders'!$I274)</f>
        <v/>
      </c>
      <c r="F274" s="13" t="str">
        <f aca="false">IF($A274="","",SUMIFS('Expense Entry'!$K$5:$K$6000,'Expense Entry'!$E$5:$E$6000,"Payable Payment",'Expense Entry'!$L$5:$L$6000,$A274))</f>
        <v/>
      </c>
      <c r="G274" s="13" t="str">
        <f aca="false">IF($A274="","",$E274-$F274)</f>
        <v/>
      </c>
      <c r="H274" s="12" t="str">
        <f aca="false">IF($A274="","",IF($G274&lt;=0,"Paid",IF($F274&gt;0,"Partial","Unpaid")))</f>
        <v/>
      </c>
    </row>
    <row r="275" customFormat="false" ht="15" hidden="false" customHeight="true" outlineLevel="0" collapsed="false">
      <c r="A275" s="12" t="str">
        <f aca="false">IF('Purchase Orders'!$L275="Received",'Purchase Orders'!$A275,"")</f>
        <v/>
      </c>
      <c r="B275" s="12" t="str">
        <f aca="false">IF($A275="","",'Purchase Orders'!$C275)</f>
        <v/>
      </c>
      <c r="C275" s="12" t="str">
        <f aca="false">IF($A275="","",'Purchase Orders'!$D275)</f>
        <v/>
      </c>
      <c r="D275" s="12" t="str">
        <f aca="false">IF($A275="","",'Purchase Orders'!$E275)</f>
        <v/>
      </c>
      <c r="E275" s="13" t="str">
        <f aca="false">IF($A275="","",'Purchase Orders'!$I275)</f>
        <v/>
      </c>
      <c r="F275" s="13" t="str">
        <f aca="false">IF($A275="","",SUMIFS('Expense Entry'!$K$5:$K$6000,'Expense Entry'!$E$5:$E$6000,"Payable Payment",'Expense Entry'!$L$5:$L$6000,$A275))</f>
        <v/>
      </c>
      <c r="G275" s="13" t="str">
        <f aca="false">IF($A275="","",$E275-$F275)</f>
        <v/>
      </c>
      <c r="H275" s="12" t="str">
        <f aca="false">IF($A275="","",IF($G275&lt;=0,"Paid",IF($F275&gt;0,"Partial","Unpaid")))</f>
        <v/>
      </c>
    </row>
    <row r="276" customFormat="false" ht="15" hidden="false" customHeight="true" outlineLevel="0" collapsed="false">
      <c r="A276" s="12" t="str">
        <f aca="false">IF('Purchase Orders'!$L276="Received",'Purchase Orders'!$A276,"")</f>
        <v/>
      </c>
      <c r="B276" s="12" t="str">
        <f aca="false">IF($A276="","",'Purchase Orders'!$C276)</f>
        <v/>
      </c>
      <c r="C276" s="12" t="str">
        <f aca="false">IF($A276="","",'Purchase Orders'!$D276)</f>
        <v/>
      </c>
      <c r="D276" s="12" t="str">
        <f aca="false">IF($A276="","",'Purchase Orders'!$E276)</f>
        <v/>
      </c>
      <c r="E276" s="13" t="str">
        <f aca="false">IF($A276="","",'Purchase Orders'!$I276)</f>
        <v/>
      </c>
      <c r="F276" s="13" t="str">
        <f aca="false">IF($A276="","",SUMIFS('Expense Entry'!$K$5:$K$6000,'Expense Entry'!$E$5:$E$6000,"Payable Payment",'Expense Entry'!$L$5:$L$6000,$A276))</f>
        <v/>
      </c>
      <c r="G276" s="13" t="str">
        <f aca="false">IF($A276="","",$E276-$F276)</f>
        <v/>
      </c>
      <c r="H276" s="12" t="str">
        <f aca="false">IF($A276="","",IF($G276&lt;=0,"Paid",IF($F276&gt;0,"Partial","Unpaid")))</f>
        <v/>
      </c>
    </row>
    <row r="277" customFormat="false" ht="15" hidden="false" customHeight="true" outlineLevel="0" collapsed="false">
      <c r="A277" s="12" t="str">
        <f aca="false">IF('Purchase Orders'!$L277="Received",'Purchase Orders'!$A277,"")</f>
        <v/>
      </c>
      <c r="B277" s="12" t="str">
        <f aca="false">IF($A277="","",'Purchase Orders'!$C277)</f>
        <v/>
      </c>
      <c r="C277" s="12" t="str">
        <f aca="false">IF($A277="","",'Purchase Orders'!$D277)</f>
        <v/>
      </c>
      <c r="D277" s="12" t="str">
        <f aca="false">IF($A277="","",'Purchase Orders'!$E277)</f>
        <v/>
      </c>
      <c r="E277" s="13" t="str">
        <f aca="false">IF($A277="","",'Purchase Orders'!$I277)</f>
        <v/>
      </c>
      <c r="F277" s="13" t="str">
        <f aca="false">IF($A277="","",SUMIFS('Expense Entry'!$K$5:$K$6000,'Expense Entry'!$E$5:$E$6000,"Payable Payment",'Expense Entry'!$L$5:$L$6000,$A277))</f>
        <v/>
      </c>
      <c r="G277" s="13" t="str">
        <f aca="false">IF($A277="","",$E277-$F277)</f>
        <v/>
      </c>
      <c r="H277" s="12" t="str">
        <f aca="false">IF($A277="","",IF($G277&lt;=0,"Paid",IF($F277&gt;0,"Partial","Unpaid")))</f>
        <v/>
      </c>
    </row>
    <row r="278" customFormat="false" ht="15" hidden="false" customHeight="true" outlineLevel="0" collapsed="false">
      <c r="A278" s="12" t="str">
        <f aca="false">IF('Purchase Orders'!$L278="Received",'Purchase Orders'!$A278,"")</f>
        <v/>
      </c>
      <c r="B278" s="12" t="str">
        <f aca="false">IF($A278="","",'Purchase Orders'!$C278)</f>
        <v/>
      </c>
      <c r="C278" s="12" t="str">
        <f aca="false">IF($A278="","",'Purchase Orders'!$D278)</f>
        <v/>
      </c>
      <c r="D278" s="12" t="str">
        <f aca="false">IF($A278="","",'Purchase Orders'!$E278)</f>
        <v/>
      </c>
      <c r="E278" s="13" t="str">
        <f aca="false">IF($A278="","",'Purchase Orders'!$I278)</f>
        <v/>
      </c>
      <c r="F278" s="13" t="str">
        <f aca="false">IF($A278="","",SUMIFS('Expense Entry'!$K$5:$K$6000,'Expense Entry'!$E$5:$E$6000,"Payable Payment",'Expense Entry'!$L$5:$L$6000,$A278))</f>
        <v/>
      </c>
      <c r="G278" s="13" t="str">
        <f aca="false">IF($A278="","",$E278-$F278)</f>
        <v/>
      </c>
      <c r="H278" s="12" t="str">
        <f aca="false">IF($A278="","",IF($G278&lt;=0,"Paid",IF($F278&gt;0,"Partial","Unpaid")))</f>
        <v/>
      </c>
    </row>
    <row r="279" customFormat="false" ht="15" hidden="false" customHeight="true" outlineLevel="0" collapsed="false">
      <c r="A279" s="12" t="str">
        <f aca="false">IF('Purchase Orders'!$L279="Received",'Purchase Orders'!$A279,"")</f>
        <v/>
      </c>
      <c r="B279" s="12" t="str">
        <f aca="false">IF($A279="","",'Purchase Orders'!$C279)</f>
        <v/>
      </c>
      <c r="C279" s="12" t="str">
        <f aca="false">IF($A279="","",'Purchase Orders'!$D279)</f>
        <v/>
      </c>
      <c r="D279" s="12" t="str">
        <f aca="false">IF($A279="","",'Purchase Orders'!$E279)</f>
        <v/>
      </c>
      <c r="E279" s="13" t="str">
        <f aca="false">IF($A279="","",'Purchase Orders'!$I279)</f>
        <v/>
      </c>
      <c r="F279" s="13" t="str">
        <f aca="false">IF($A279="","",SUMIFS('Expense Entry'!$K$5:$K$6000,'Expense Entry'!$E$5:$E$6000,"Payable Payment",'Expense Entry'!$L$5:$L$6000,$A279))</f>
        <v/>
      </c>
      <c r="G279" s="13" t="str">
        <f aca="false">IF($A279="","",$E279-$F279)</f>
        <v/>
      </c>
      <c r="H279" s="12" t="str">
        <f aca="false">IF($A279="","",IF($G279&lt;=0,"Paid",IF($F279&gt;0,"Partial","Unpaid")))</f>
        <v/>
      </c>
    </row>
    <row r="280" customFormat="false" ht="15" hidden="false" customHeight="true" outlineLevel="0" collapsed="false">
      <c r="A280" s="12" t="str">
        <f aca="false">IF('Purchase Orders'!$L280="Received",'Purchase Orders'!$A280,"")</f>
        <v/>
      </c>
      <c r="B280" s="12" t="str">
        <f aca="false">IF($A280="","",'Purchase Orders'!$C280)</f>
        <v/>
      </c>
      <c r="C280" s="12" t="str">
        <f aca="false">IF($A280="","",'Purchase Orders'!$D280)</f>
        <v/>
      </c>
      <c r="D280" s="12" t="str">
        <f aca="false">IF($A280="","",'Purchase Orders'!$E280)</f>
        <v/>
      </c>
      <c r="E280" s="13" t="str">
        <f aca="false">IF($A280="","",'Purchase Orders'!$I280)</f>
        <v/>
      </c>
      <c r="F280" s="13" t="str">
        <f aca="false">IF($A280="","",SUMIFS('Expense Entry'!$K$5:$K$6000,'Expense Entry'!$E$5:$E$6000,"Payable Payment",'Expense Entry'!$L$5:$L$6000,$A280))</f>
        <v/>
      </c>
      <c r="G280" s="13" t="str">
        <f aca="false">IF($A280="","",$E280-$F280)</f>
        <v/>
      </c>
      <c r="H280" s="12" t="str">
        <f aca="false">IF($A280="","",IF($G280&lt;=0,"Paid",IF($F280&gt;0,"Partial","Unpaid")))</f>
        <v/>
      </c>
    </row>
    <row r="281" customFormat="false" ht="15" hidden="false" customHeight="true" outlineLevel="0" collapsed="false">
      <c r="A281" s="12" t="str">
        <f aca="false">IF('Purchase Orders'!$L281="Received",'Purchase Orders'!$A281,"")</f>
        <v/>
      </c>
      <c r="B281" s="12" t="str">
        <f aca="false">IF($A281="","",'Purchase Orders'!$C281)</f>
        <v/>
      </c>
      <c r="C281" s="12" t="str">
        <f aca="false">IF($A281="","",'Purchase Orders'!$D281)</f>
        <v/>
      </c>
      <c r="D281" s="12" t="str">
        <f aca="false">IF($A281="","",'Purchase Orders'!$E281)</f>
        <v/>
      </c>
      <c r="E281" s="13" t="str">
        <f aca="false">IF($A281="","",'Purchase Orders'!$I281)</f>
        <v/>
      </c>
      <c r="F281" s="13" t="str">
        <f aca="false">IF($A281="","",SUMIFS('Expense Entry'!$K$5:$K$6000,'Expense Entry'!$E$5:$E$6000,"Payable Payment",'Expense Entry'!$L$5:$L$6000,$A281))</f>
        <v/>
      </c>
      <c r="G281" s="13" t="str">
        <f aca="false">IF($A281="","",$E281-$F281)</f>
        <v/>
      </c>
      <c r="H281" s="12" t="str">
        <f aca="false">IF($A281="","",IF($G281&lt;=0,"Paid",IF($F281&gt;0,"Partial","Unpaid")))</f>
        <v/>
      </c>
    </row>
    <row r="282" customFormat="false" ht="15" hidden="false" customHeight="true" outlineLevel="0" collapsed="false">
      <c r="A282" s="12" t="str">
        <f aca="false">IF('Purchase Orders'!$L282="Received",'Purchase Orders'!$A282,"")</f>
        <v/>
      </c>
      <c r="B282" s="12" t="str">
        <f aca="false">IF($A282="","",'Purchase Orders'!$C282)</f>
        <v/>
      </c>
      <c r="C282" s="12" t="str">
        <f aca="false">IF($A282="","",'Purchase Orders'!$D282)</f>
        <v/>
      </c>
      <c r="D282" s="12" t="str">
        <f aca="false">IF($A282="","",'Purchase Orders'!$E282)</f>
        <v/>
      </c>
      <c r="E282" s="13" t="str">
        <f aca="false">IF($A282="","",'Purchase Orders'!$I282)</f>
        <v/>
      </c>
      <c r="F282" s="13" t="str">
        <f aca="false">IF($A282="","",SUMIFS('Expense Entry'!$K$5:$K$6000,'Expense Entry'!$E$5:$E$6000,"Payable Payment",'Expense Entry'!$L$5:$L$6000,$A282))</f>
        <v/>
      </c>
      <c r="G282" s="13" t="str">
        <f aca="false">IF($A282="","",$E282-$F282)</f>
        <v/>
      </c>
      <c r="H282" s="12" t="str">
        <f aca="false">IF($A282="","",IF($G282&lt;=0,"Paid",IF($F282&gt;0,"Partial","Unpaid")))</f>
        <v/>
      </c>
    </row>
    <row r="283" customFormat="false" ht="15" hidden="false" customHeight="true" outlineLevel="0" collapsed="false">
      <c r="A283" s="12" t="str">
        <f aca="false">IF('Purchase Orders'!$L283="Received",'Purchase Orders'!$A283,"")</f>
        <v/>
      </c>
      <c r="B283" s="12" t="str">
        <f aca="false">IF($A283="","",'Purchase Orders'!$C283)</f>
        <v/>
      </c>
      <c r="C283" s="12" t="str">
        <f aca="false">IF($A283="","",'Purchase Orders'!$D283)</f>
        <v/>
      </c>
      <c r="D283" s="12" t="str">
        <f aca="false">IF($A283="","",'Purchase Orders'!$E283)</f>
        <v/>
      </c>
      <c r="E283" s="13" t="str">
        <f aca="false">IF($A283="","",'Purchase Orders'!$I283)</f>
        <v/>
      </c>
      <c r="F283" s="13" t="str">
        <f aca="false">IF($A283="","",SUMIFS('Expense Entry'!$K$5:$K$6000,'Expense Entry'!$E$5:$E$6000,"Payable Payment",'Expense Entry'!$L$5:$L$6000,$A283))</f>
        <v/>
      </c>
      <c r="G283" s="13" t="str">
        <f aca="false">IF($A283="","",$E283-$F283)</f>
        <v/>
      </c>
      <c r="H283" s="12" t="str">
        <f aca="false">IF($A283="","",IF($G283&lt;=0,"Paid",IF($F283&gt;0,"Partial","Unpaid")))</f>
        <v/>
      </c>
    </row>
    <row r="284" customFormat="false" ht="15" hidden="false" customHeight="true" outlineLevel="0" collapsed="false">
      <c r="A284" s="12" t="str">
        <f aca="false">IF('Purchase Orders'!$L284="Received",'Purchase Orders'!$A284,"")</f>
        <v/>
      </c>
      <c r="B284" s="12" t="str">
        <f aca="false">IF($A284="","",'Purchase Orders'!$C284)</f>
        <v/>
      </c>
      <c r="C284" s="12" t="str">
        <f aca="false">IF($A284="","",'Purchase Orders'!$D284)</f>
        <v/>
      </c>
      <c r="D284" s="12" t="str">
        <f aca="false">IF($A284="","",'Purchase Orders'!$E284)</f>
        <v/>
      </c>
      <c r="E284" s="13" t="str">
        <f aca="false">IF($A284="","",'Purchase Orders'!$I284)</f>
        <v/>
      </c>
      <c r="F284" s="13" t="str">
        <f aca="false">IF($A284="","",SUMIFS('Expense Entry'!$K$5:$K$6000,'Expense Entry'!$E$5:$E$6000,"Payable Payment",'Expense Entry'!$L$5:$L$6000,$A284))</f>
        <v/>
      </c>
      <c r="G284" s="13" t="str">
        <f aca="false">IF($A284="","",$E284-$F284)</f>
        <v/>
      </c>
      <c r="H284" s="12" t="str">
        <f aca="false">IF($A284="","",IF($G284&lt;=0,"Paid",IF($F284&gt;0,"Partial","Unpaid")))</f>
        <v/>
      </c>
    </row>
    <row r="285" customFormat="false" ht="15" hidden="false" customHeight="true" outlineLevel="0" collapsed="false">
      <c r="A285" s="12" t="str">
        <f aca="false">IF('Purchase Orders'!$L285="Received",'Purchase Orders'!$A285,"")</f>
        <v/>
      </c>
      <c r="B285" s="12" t="str">
        <f aca="false">IF($A285="","",'Purchase Orders'!$C285)</f>
        <v/>
      </c>
      <c r="C285" s="12" t="str">
        <f aca="false">IF($A285="","",'Purchase Orders'!$D285)</f>
        <v/>
      </c>
      <c r="D285" s="12" t="str">
        <f aca="false">IF($A285="","",'Purchase Orders'!$E285)</f>
        <v/>
      </c>
      <c r="E285" s="13" t="str">
        <f aca="false">IF($A285="","",'Purchase Orders'!$I285)</f>
        <v/>
      </c>
      <c r="F285" s="13" t="str">
        <f aca="false">IF($A285="","",SUMIFS('Expense Entry'!$K$5:$K$6000,'Expense Entry'!$E$5:$E$6000,"Payable Payment",'Expense Entry'!$L$5:$L$6000,$A285))</f>
        <v/>
      </c>
      <c r="G285" s="13" t="str">
        <f aca="false">IF($A285="","",$E285-$F285)</f>
        <v/>
      </c>
      <c r="H285" s="12" t="str">
        <f aca="false">IF($A285="","",IF($G285&lt;=0,"Paid",IF($F285&gt;0,"Partial","Unpaid")))</f>
        <v/>
      </c>
    </row>
    <row r="286" customFormat="false" ht="15" hidden="false" customHeight="true" outlineLevel="0" collapsed="false">
      <c r="A286" s="12" t="str">
        <f aca="false">IF('Purchase Orders'!$L286="Received",'Purchase Orders'!$A286,"")</f>
        <v/>
      </c>
      <c r="B286" s="12" t="str">
        <f aca="false">IF($A286="","",'Purchase Orders'!$C286)</f>
        <v/>
      </c>
      <c r="C286" s="12" t="str">
        <f aca="false">IF($A286="","",'Purchase Orders'!$D286)</f>
        <v/>
      </c>
      <c r="D286" s="12" t="str">
        <f aca="false">IF($A286="","",'Purchase Orders'!$E286)</f>
        <v/>
      </c>
      <c r="E286" s="13" t="str">
        <f aca="false">IF($A286="","",'Purchase Orders'!$I286)</f>
        <v/>
      </c>
      <c r="F286" s="13" t="str">
        <f aca="false">IF($A286="","",SUMIFS('Expense Entry'!$K$5:$K$6000,'Expense Entry'!$E$5:$E$6000,"Payable Payment",'Expense Entry'!$L$5:$L$6000,$A286))</f>
        <v/>
      </c>
      <c r="G286" s="13" t="str">
        <f aca="false">IF($A286="","",$E286-$F286)</f>
        <v/>
      </c>
      <c r="H286" s="12" t="str">
        <f aca="false">IF($A286="","",IF($G286&lt;=0,"Paid",IF($F286&gt;0,"Partial","Unpaid")))</f>
        <v/>
      </c>
    </row>
    <row r="287" customFormat="false" ht="15" hidden="false" customHeight="true" outlineLevel="0" collapsed="false">
      <c r="A287" s="12" t="str">
        <f aca="false">IF('Purchase Orders'!$L287="Received",'Purchase Orders'!$A287,"")</f>
        <v/>
      </c>
      <c r="B287" s="12" t="str">
        <f aca="false">IF($A287="","",'Purchase Orders'!$C287)</f>
        <v/>
      </c>
      <c r="C287" s="12" t="str">
        <f aca="false">IF($A287="","",'Purchase Orders'!$D287)</f>
        <v/>
      </c>
      <c r="D287" s="12" t="str">
        <f aca="false">IF($A287="","",'Purchase Orders'!$E287)</f>
        <v/>
      </c>
      <c r="E287" s="13" t="str">
        <f aca="false">IF($A287="","",'Purchase Orders'!$I287)</f>
        <v/>
      </c>
      <c r="F287" s="13" t="str">
        <f aca="false">IF($A287="","",SUMIFS('Expense Entry'!$K$5:$K$6000,'Expense Entry'!$E$5:$E$6000,"Payable Payment",'Expense Entry'!$L$5:$L$6000,$A287))</f>
        <v/>
      </c>
      <c r="G287" s="13" t="str">
        <f aca="false">IF($A287="","",$E287-$F287)</f>
        <v/>
      </c>
      <c r="H287" s="12" t="str">
        <f aca="false">IF($A287="","",IF($G287&lt;=0,"Paid",IF($F287&gt;0,"Partial","Unpaid")))</f>
        <v/>
      </c>
    </row>
    <row r="288" customFormat="false" ht="15" hidden="false" customHeight="true" outlineLevel="0" collapsed="false">
      <c r="A288" s="12" t="str">
        <f aca="false">IF('Purchase Orders'!$L288="Received",'Purchase Orders'!$A288,"")</f>
        <v/>
      </c>
      <c r="B288" s="12" t="str">
        <f aca="false">IF($A288="","",'Purchase Orders'!$C288)</f>
        <v/>
      </c>
      <c r="C288" s="12" t="str">
        <f aca="false">IF($A288="","",'Purchase Orders'!$D288)</f>
        <v/>
      </c>
      <c r="D288" s="12" t="str">
        <f aca="false">IF($A288="","",'Purchase Orders'!$E288)</f>
        <v/>
      </c>
      <c r="E288" s="13" t="str">
        <f aca="false">IF($A288="","",'Purchase Orders'!$I288)</f>
        <v/>
      </c>
      <c r="F288" s="13" t="str">
        <f aca="false">IF($A288="","",SUMIFS('Expense Entry'!$K$5:$K$6000,'Expense Entry'!$E$5:$E$6000,"Payable Payment",'Expense Entry'!$L$5:$L$6000,$A288))</f>
        <v/>
      </c>
      <c r="G288" s="13" t="str">
        <f aca="false">IF($A288="","",$E288-$F288)</f>
        <v/>
      </c>
      <c r="H288" s="12" t="str">
        <f aca="false">IF($A288="","",IF($G288&lt;=0,"Paid",IF($F288&gt;0,"Partial","Unpaid")))</f>
        <v/>
      </c>
    </row>
    <row r="289" customFormat="false" ht="15" hidden="false" customHeight="true" outlineLevel="0" collapsed="false">
      <c r="A289" s="12" t="str">
        <f aca="false">IF('Purchase Orders'!$L289="Received",'Purchase Orders'!$A289,"")</f>
        <v/>
      </c>
      <c r="B289" s="12" t="str">
        <f aca="false">IF($A289="","",'Purchase Orders'!$C289)</f>
        <v/>
      </c>
      <c r="C289" s="12" t="str">
        <f aca="false">IF($A289="","",'Purchase Orders'!$D289)</f>
        <v/>
      </c>
      <c r="D289" s="12" t="str">
        <f aca="false">IF($A289="","",'Purchase Orders'!$E289)</f>
        <v/>
      </c>
      <c r="E289" s="13" t="str">
        <f aca="false">IF($A289="","",'Purchase Orders'!$I289)</f>
        <v/>
      </c>
      <c r="F289" s="13" t="str">
        <f aca="false">IF($A289="","",SUMIFS('Expense Entry'!$K$5:$K$6000,'Expense Entry'!$E$5:$E$6000,"Payable Payment",'Expense Entry'!$L$5:$L$6000,$A289))</f>
        <v/>
      </c>
      <c r="G289" s="13" t="str">
        <f aca="false">IF($A289="","",$E289-$F289)</f>
        <v/>
      </c>
      <c r="H289" s="12" t="str">
        <f aca="false">IF($A289="","",IF($G289&lt;=0,"Paid",IF($F289&gt;0,"Partial","Unpaid")))</f>
        <v/>
      </c>
    </row>
    <row r="290" customFormat="false" ht="15" hidden="false" customHeight="true" outlineLevel="0" collapsed="false">
      <c r="A290" s="12" t="str">
        <f aca="false">IF('Purchase Orders'!$L290="Received",'Purchase Orders'!$A290,"")</f>
        <v/>
      </c>
      <c r="B290" s="12" t="str">
        <f aca="false">IF($A290="","",'Purchase Orders'!$C290)</f>
        <v/>
      </c>
      <c r="C290" s="12" t="str">
        <f aca="false">IF($A290="","",'Purchase Orders'!$D290)</f>
        <v/>
      </c>
      <c r="D290" s="12" t="str">
        <f aca="false">IF($A290="","",'Purchase Orders'!$E290)</f>
        <v/>
      </c>
      <c r="E290" s="13" t="str">
        <f aca="false">IF($A290="","",'Purchase Orders'!$I290)</f>
        <v/>
      </c>
      <c r="F290" s="13" t="str">
        <f aca="false">IF($A290="","",SUMIFS('Expense Entry'!$K$5:$K$6000,'Expense Entry'!$E$5:$E$6000,"Payable Payment",'Expense Entry'!$L$5:$L$6000,$A290))</f>
        <v/>
      </c>
      <c r="G290" s="13" t="str">
        <f aca="false">IF($A290="","",$E290-$F290)</f>
        <v/>
      </c>
      <c r="H290" s="12" t="str">
        <f aca="false">IF($A290="","",IF($G290&lt;=0,"Paid",IF($F290&gt;0,"Partial","Unpaid")))</f>
        <v/>
      </c>
    </row>
    <row r="291" customFormat="false" ht="15" hidden="false" customHeight="true" outlineLevel="0" collapsed="false">
      <c r="A291" s="12" t="str">
        <f aca="false">IF('Purchase Orders'!$L291="Received",'Purchase Orders'!$A291,"")</f>
        <v/>
      </c>
      <c r="B291" s="12" t="str">
        <f aca="false">IF($A291="","",'Purchase Orders'!$C291)</f>
        <v/>
      </c>
      <c r="C291" s="12" t="str">
        <f aca="false">IF($A291="","",'Purchase Orders'!$D291)</f>
        <v/>
      </c>
      <c r="D291" s="12" t="str">
        <f aca="false">IF($A291="","",'Purchase Orders'!$E291)</f>
        <v/>
      </c>
      <c r="E291" s="13" t="str">
        <f aca="false">IF($A291="","",'Purchase Orders'!$I291)</f>
        <v/>
      </c>
      <c r="F291" s="13" t="str">
        <f aca="false">IF($A291="","",SUMIFS('Expense Entry'!$K$5:$K$6000,'Expense Entry'!$E$5:$E$6000,"Payable Payment",'Expense Entry'!$L$5:$L$6000,$A291))</f>
        <v/>
      </c>
      <c r="G291" s="13" t="str">
        <f aca="false">IF($A291="","",$E291-$F291)</f>
        <v/>
      </c>
      <c r="H291" s="12" t="str">
        <f aca="false">IF($A291="","",IF($G291&lt;=0,"Paid",IF($F291&gt;0,"Partial","Unpaid")))</f>
        <v/>
      </c>
    </row>
    <row r="292" customFormat="false" ht="15" hidden="false" customHeight="true" outlineLevel="0" collapsed="false">
      <c r="A292" s="12" t="str">
        <f aca="false">IF('Purchase Orders'!$L292="Received",'Purchase Orders'!$A292,"")</f>
        <v/>
      </c>
      <c r="B292" s="12" t="str">
        <f aca="false">IF($A292="","",'Purchase Orders'!$C292)</f>
        <v/>
      </c>
      <c r="C292" s="12" t="str">
        <f aca="false">IF($A292="","",'Purchase Orders'!$D292)</f>
        <v/>
      </c>
      <c r="D292" s="12" t="str">
        <f aca="false">IF($A292="","",'Purchase Orders'!$E292)</f>
        <v/>
      </c>
      <c r="E292" s="13" t="str">
        <f aca="false">IF($A292="","",'Purchase Orders'!$I292)</f>
        <v/>
      </c>
      <c r="F292" s="13" t="str">
        <f aca="false">IF($A292="","",SUMIFS('Expense Entry'!$K$5:$K$6000,'Expense Entry'!$E$5:$E$6000,"Payable Payment",'Expense Entry'!$L$5:$L$6000,$A292))</f>
        <v/>
      </c>
      <c r="G292" s="13" t="str">
        <f aca="false">IF($A292="","",$E292-$F292)</f>
        <v/>
      </c>
      <c r="H292" s="12" t="str">
        <f aca="false">IF($A292="","",IF($G292&lt;=0,"Paid",IF($F292&gt;0,"Partial","Unpaid")))</f>
        <v/>
      </c>
    </row>
    <row r="293" customFormat="false" ht="15" hidden="false" customHeight="true" outlineLevel="0" collapsed="false">
      <c r="A293" s="12" t="str">
        <f aca="false">IF('Purchase Orders'!$L293="Received",'Purchase Orders'!$A293,"")</f>
        <v/>
      </c>
      <c r="B293" s="12" t="str">
        <f aca="false">IF($A293="","",'Purchase Orders'!$C293)</f>
        <v/>
      </c>
      <c r="C293" s="12" t="str">
        <f aca="false">IF($A293="","",'Purchase Orders'!$D293)</f>
        <v/>
      </c>
      <c r="D293" s="12" t="str">
        <f aca="false">IF($A293="","",'Purchase Orders'!$E293)</f>
        <v/>
      </c>
      <c r="E293" s="13" t="str">
        <f aca="false">IF($A293="","",'Purchase Orders'!$I293)</f>
        <v/>
      </c>
      <c r="F293" s="13" t="str">
        <f aca="false">IF($A293="","",SUMIFS('Expense Entry'!$K$5:$K$6000,'Expense Entry'!$E$5:$E$6000,"Payable Payment",'Expense Entry'!$L$5:$L$6000,$A293))</f>
        <v/>
      </c>
      <c r="G293" s="13" t="str">
        <f aca="false">IF($A293="","",$E293-$F293)</f>
        <v/>
      </c>
      <c r="H293" s="12" t="str">
        <f aca="false">IF($A293="","",IF($G293&lt;=0,"Paid",IF($F293&gt;0,"Partial","Unpaid")))</f>
        <v/>
      </c>
    </row>
    <row r="294" customFormat="false" ht="15" hidden="false" customHeight="true" outlineLevel="0" collapsed="false">
      <c r="A294" s="12" t="str">
        <f aca="false">IF('Purchase Orders'!$L294="Received",'Purchase Orders'!$A294,"")</f>
        <v/>
      </c>
      <c r="B294" s="12" t="str">
        <f aca="false">IF($A294="","",'Purchase Orders'!$C294)</f>
        <v/>
      </c>
      <c r="C294" s="12" t="str">
        <f aca="false">IF($A294="","",'Purchase Orders'!$D294)</f>
        <v/>
      </c>
      <c r="D294" s="12" t="str">
        <f aca="false">IF($A294="","",'Purchase Orders'!$E294)</f>
        <v/>
      </c>
      <c r="E294" s="13" t="str">
        <f aca="false">IF($A294="","",'Purchase Orders'!$I294)</f>
        <v/>
      </c>
      <c r="F294" s="13" t="str">
        <f aca="false">IF($A294="","",SUMIFS('Expense Entry'!$K$5:$K$6000,'Expense Entry'!$E$5:$E$6000,"Payable Payment",'Expense Entry'!$L$5:$L$6000,$A294))</f>
        <v/>
      </c>
      <c r="G294" s="13" t="str">
        <f aca="false">IF($A294="","",$E294-$F294)</f>
        <v/>
      </c>
      <c r="H294" s="12" t="str">
        <f aca="false">IF($A294="","",IF($G294&lt;=0,"Paid",IF($F294&gt;0,"Partial","Unpaid")))</f>
        <v/>
      </c>
    </row>
    <row r="295" customFormat="false" ht="15" hidden="false" customHeight="true" outlineLevel="0" collapsed="false">
      <c r="A295" s="12" t="str">
        <f aca="false">IF('Purchase Orders'!$L295="Received",'Purchase Orders'!$A295,"")</f>
        <v/>
      </c>
      <c r="B295" s="12" t="str">
        <f aca="false">IF($A295="","",'Purchase Orders'!$C295)</f>
        <v/>
      </c>
      <c r="C295" s="12" t="str">
        <f aca="false">IF($A295="","",'Purchase Orders'!$D295)</f>
        <v/>
      </c>
      <c r="D295" s="12" t="str">
        <f aca="false">IF($A295="","",'Purchase Orders'!$E295)</f>
        <v/>
      </c>
      <c r="E295" s="13" t="str">
        <f aca="false">IF($A295="","",'Purchase Orders'!$I295)</f>
        <v/>
      </c>
      <c r="F295" s="13" t="str">
        <f aca="false">IF($A295="","",SUMIFS('Expense Entry'!$K$5:$K$6000,'Expense Entry'!$E$5:$E$6000,"Payable Payment",'Expense Entry'!$L$5:$L$6000,$A295))</f>
        <v/>
      </c>
      <c r="G295" s="13" t="str">
        <f aca="false">IF($A295="","",$E295-$F295)</f>
        <v/>
      </c>
      <c r="H295" s="12" t="str">
        <f aca="false">IF($A295="","",IF($G295&lt;=0,"Paid",IF($F295&gt;0,"Partial","Unpaid")))</f>
        <v/>
      </c>
    </row>
    <row r="296" customFormat="false" ht="15" hidden="false" customHeight="true" outlineLevel="0" collapsed="false">
      <c r="A296" s="12" t="str">
        <f aca="false">IF('Purchase Orders'!$L296="Received",'Purchase Orders'!$A296,"")</f>
        <v/>
      </c>
      <c r="B296" s="12" t="str">
        <f aca="false">IF($A296="","",'Purchase Orders'!$C296)</f>
        <v/>
      </c>
      <c r="C296" s="12" t="str">
        <f aca="false">IF($A296="","",'Purchase Orders'!$D296)</f>
        <v/>
      </c>
      <c r="D296" s="12" t="str">
        <f aca="false">IF($A296="","",'Purchase Orders'!$E296)</f>
        <v/>
      </c>
      <c r="E296" s="13" t="str">
        <f aca="false">IF($A296="","",'Purchase Orders'!$I296)</f>
        <v/>
      </c>
      <c r="F296" s="13" t="str">
        <f aca="false">IF($A296="","",SUMIFS('Expense Entry'!$K$5:$K$6000,'Expense Entry'!$E$5:$E$6000,"Payable Payment",'Expense Entry'!$L$5:$L$6000,$A296))</f>
        <v/>
      </c>
      <c r="G296" s="13" t="str">
        <f aca="false">IF($A296="","",$E296-$F296)</f>
        <v/>
      </c>
      <c r="H296" s="12" t="str">
        <f aca="false">IF($A296="","",IF($G296&lt;=0,"Paid",IF($F296&gt;0,"Partial","Unpaid")))</f>
        <v/>
      </c>
    </row>
    <row r="297" customFormat="false" ht="15" hidden="false" customHeight="true" outlineLevel="0" collapsed="false">
      <c r="A297" s="12" t="str">
        <f aca="false">IF('Purchase Orders'!$L297="Received",'Purchase Orders'!$A297,"")</f>
        <v/>
      </c>
      <c r="B297" s="12" t="str">
        <f aca="false">IF($A297="","",'Purchase Orders'!$C297)</f>
        <v/>
      </c>
      <c r="C297" s="12" t="str">
        <f aca="false">IF($A297="","",'Purchase Orders'!$D297)</f>
        <v/>
      </c>
      <c r="D297" s="12" t="str">
        <f aca="false">IF($A297="","",'Purchase Orders'!$E297)</f>
        <v/>
      </c>
      <c r="E297" s="13" t="str">
        <f aca="false">IF($A297="","",'Purchase Orders'!$I297)</f>
        <v/>
      </c>
      <c r="F297" s="13" t="str">
        <f aca="false">IF($A297="","",SUMIFS('Expense Entry'!$K$5:$K$6000,'Expense Entry'!$E$5:$E$6000,"Payable Payment",'Expense Entry'!$L$5:$L$6000,$A297))</f>
        <v/>
      </c>
      <c r="G297" s="13" t="str">
        <f aca="false">IF($A297="","",$E297-$F297)</f>
        <v/>
      </c>
      <c r="H297" s="12" t="str">
        <f aca="false">IF($A297="","",IF($G297&lt;=0,"Paid",IF($F297&gt;0,"Partial","Unpaid")))</f>
        <v/>
      </c>
    </row>
    <row r="298" customFormat="false" ht="15" hidden="false" customHeight="true" outlineLevel="0" collapsed="false">
      <c r="A298" s="12" t="str">
        <f aca="false">IF('Purchase Orders'!$L298="Received",'Purchase Orders'!$A298,"")</f>
        <v/>
      </c>
      <c r="B298" s="12" t="str">
        <f aca="false">IF($A298="","",'Purchase Orders'!$C298)</f>
        <v/>
      </c>
      <c r="C298" s="12" t="str">
        <f aca="false">IF($A298="","",'Purchase Orders'!$D298)</f>
        <v/>
      </c>
      <c r="D298" s="12" t="str">
        <f aca="false">IF($A298="","",'Purchase Orders'!$E298)</f>
        <v/>
      </c>
      <c r="E298" s="13" t="str">
        <f aca="false">IF($A298="","",'Purchase Orders'!$I298)</f>
        <v/>
      </c>
      <c r="F298" s="13" t="str">
        <f aca="false">IF($A298="","",SUMIFS('Expense Entry'!$K$5:$K$6000,'Expense Entry'!$E$5:$E$6000,"Payable Payment",'Expense Entry'!$L$5:$L$6000,$A298))</f>
        <v/>
      </c>
      <c r="G298" s="13" t="str">
        <f aca="false">IF($A298="","",$E298-$F298)</f>
        <v/>
      </c>
      <c r="H298" s="12" t="str">
        <f aca="false">IF($A298="","",IF($G298&lt;=0,"Paid",IF($F298&gt;0,"Partial","Unpaid")))</f>
        <v/>
      </c>
    </row>
    <row r="299" customFormat="false" ht="15" hidden="false" customHeight="true" outlineLevel="0" collapsed="false">
      <c r="A299" s="12" t="str">
        <f aca="false">IF('Purchase Orders'!$L299="Received",'Purchase Orders'!$A299,"")</f>
        <v/>
      </c>
      <c r="B299" s="12" t="str">
        <f aca="false">IF($A299="","",'Purchase Orders'!$C299)</f>
        <v/>
      </c>
      <c r="C299" s="12" t="str">
        <f aca="false">IF($A299="","",'Purchase Orders'!$D299)</f>
        <v/>
      </c>
      <c r="D299" s="12" t="str">
        <f aca="false">IF($A299="","",'Purchase Orders'!$E299)</f>
        <v/>
      </c>
      <c r="E299" s="13" t="str">
        <f aca="false">IF($A299="","",'Purchase Orders'!$I299)</f>
        <v/>
      </c>
      <c r="F299" s="13" t="str">
        <f aca="false">IF($A299="","",SUMIFS('Expense Entry'!$K$5:$K$6000,'Expense Entry'!$E$5:$E$6000,"Payable Payment",'Expense Entry'!$L$5:$L$6000,$A299))</f>
        <v/>
      </c>
      <c r="G299" s="13" t="str">
        <f aca="false">IF($A299="","",$E299-$F299)</f>
        <v/>
      </c>
      <c r="H299" s="12" t="str">
        <f aca="false">IF($A299="","",IF($G299&lt;=0,"Paid",IF($F299&gt;0,"Partial","Unpaid")))</f>
        <v/>
      </c>
    </row>
    <row r="300" customFormat="false" ht="15" hidden="false" customHeight="true" outlineLevel="0" collapsed="false">
      <c r="A300" s="12" t="str">
        <f aca="false">IF('Purchase Orders'!$L300="Received",'Purchase Orders'!$A300,"")</f>
        <v/>
      </c>
      <c r="B300" s="12" t="str">
        <f aca="false">IF($A300="","",'Purchase Orders'!$C300)</f>
        <v/>
      </c>
      <c r="C300" s="12" t="str">
        <f aca="false">IF($A300="","",'Purchase Orders'!$D300)</f>
        <v/>
      </c>
      <c r="D300" s="12" t="str">
        <f aca="false">IF($A300="","",'Purchase Orders'!$E300)</f>
        <v/>
      </c>
      <c r="E300" s="13" t="str">
        <f aca="false">IF($A300="","",'Purchase Orders'!$I300)</f>
        <v/>
      </c>
      <c r="F300" s="13" t="str">
        <f aca="false">IF($A300="","",SUMIFS('Expense Entry'!$K$5:$K$6000,'Expense Entry'!$E$5:$E$6000,"Payable Payment",'Expense Entry'!$L$5:$L$6000,$A300))</f>
        <v/>
      </c>
      <c r="G300" s="13" t="str">
        <f aca="false">IF($A300="","",$E300-$F300)</f>
        <v/>
      </c>
      <c r="H300" s="12" t="str">
        <f aca="false">IF($A300="","",IF($G300&lt;=0,"Paid",IF($F300&gt;0,"Partial","Unpaid")))</f>
        <v/>
      </c>
    </row>
    <row r="301" customFormat="false" ht="15" hidden="false" customHeight="true" outlineLevel="0" collapsed="false">
      <c r="A301" s="12" t="str">
        <f aca="false">IF('Purchase Orders'!$L301="Received",'Purchase Orders'!$A301,"")</f>
        <v/>
      </c>
      <c r="B301" s="12" t="str">
        <f aca="false">IF($A301="","",'Purchase Orders'!$C301)</f>
        <v/>
      </c>
      <c r="C301" s="12" t="str">
        <f aca="false">IF($A301="","",'Purchase Orders'!$D301)</f>
        <v/>
      </c>
      <c r="D301" s="12" t="str">
        <f aca="false">IF($A301="","",'Purchase Orders'!$E301)</f>
        <v/>
      </c>
      <c r="E301" s="13" t="str">
        <f aca="false">IF($A301="","",'Purchase Orders'!$I301)</f>
        <v/>
      </c>
      <c r="F301" s="13" t="str">
        <f aca="false">IF($A301="","",SUMIFS('Expense Entry'!$K$5:$K$6000,'Expense Entry'!$E$5:$E$6000,"Payable Payment",'Expense Entry'!$L$5:$L$6000,$A301))</f>
        <v/>
      </c>
      <c r="G301" s="13" t="str">
        <f aca="false">IF($A301="","",$E301-$F301)</f>
        <v/>
      </c>
      <c r="H301" s="12" t="str">
        <f aca="false">IF($A301="","",IF($G301&lt;=0,"Paid",IF($F301&gt;0,"Partial","Unpaid")))</f>
        <v/>
      </c>
    </row>
    <row r="302" customFormat="false" ht="15" hidden="false" customHeight="true" outlineLevel="0" collapsed="false">
      <c r="A302" s="12" t="str">
        <f aca="false">IF('Purchase Orders'!$L302="Received",'Purchase Orders'!$A302,"")</f>
        <v/>
      </c>
      <c r="B302" s="12" t="str">
        <f aca="false">IF($A302="","",'Purchase Orders'!$C302)</f>
        <v/>
      </c>
      <c r="C302" s="12" t="str">
        <f aca="false">IF($A302="","",'Purchase Orders'!$D302)</f>
        <v/>
      </c>
      <c r="D302" s="12" t="str">
        <f aca="false">IF($A302="","",'Purchase Orders'!$E302)</f>
        <v/>
      </c>
      <c r="E302" s="13" t="str">
        <f aca="false">IF($A302="","",'Purchase Orders'!$I302)</f>
        <v/>
      </c>
      <c r="F302" s="13" t="str">
        <f aca="false">IF($A302="","",SUMIFS('Expense Entry'!$K$5:$K$6000,'Expense Entry'!$E$5:$E$6000,"Payable Payment",'Expense Entry'!$L$5:$L$6000,$A302))</f>
        <v/>
      </c>
      <c r="G302" s="13" t="str">
        <f aca="false">IF($A302="","",$E302-$F302)</f>
        <v/>
      </c>
      <c r="H302" s="12" t="str">
        <f aca="false">IF($A302="","",IF($G302&lt;=0,"Paid",IF($F302&gt;0,"Partial","Unpaid")))</f>
        <v/>
      </c>
    </row>
    <row r="303" customFormat="false" ht="15" hidden="false" customHeight="true" outlineLevel="0" collapsed="false">
      <c r="A303" s="12" t="str">
        <f aca="false">IF('Purchase Orders'!$L303="Received",'Purchase Orders'!$A303,"")</f>
        <v/>
      </c>
      <c r="B303" s="12" t="str">
        <f aca="false">IF($A303="","",'Purchase Orders'!$C303)</f>
        <v/>
      </c>
      <c r="C303" s="12" t="str">
        <f aca="false">IF($A303="","",'Purchase Orders'!$D303)</f>
        <v/>
      </c>
      <c r="D303" s="12" t="str">
        <f aca="false">IF($A303="","",'Purchase Orders'!$E303)</f>
        <v/>
      </c>
      <c r="E303" s="13" t="str">
        <f aca="false">IF($A303="","",'Purchase Orders'!$I303)</f>
        <v/>
      </c>
      <c r="F303" s="13" t="str">
        <f aca="false">IF($A303="","",SUMIFS('Expense Entry'!$K$5:$K$6000,'Expense Entry'!$E$5:$E$6000,"Payable Payment",'Expense Entry'!$L$5:$L$6000,$A303))</f>
        <v/>
      </c>
      <c r="G303" s="13" t="str">
        <f aca="false">IF($A303="","",$E303-$F303)</f>
        <v/>
      </c>
      <c r="H303" s="12" t="str">
        <f aca="false">IF($A303="","",IF($G303&lt;=0,"Paid",IF($F303&gt;0,"Partial","Unpaid")))</f>
        <v/>
      </c>
    </row>
    <row r="304" customFormat="false" ht="15" hidden="false" customHeight="true" outlineLevel="0" collapsed="false">
      <c r="A304" s="12" t="str">
        <f aca="false">IF('Purchase Orders'!$L304="Received",'Purchase Orders'!$A304,"")</f>
        <v/>
      </c>
      <c r="B304" s="12" t="str">
        <f aca="false">IF($A304="","",'Purchase Orders'!$C304)</f>
        <v/>
      </c>
      <c r="C304" s="12" t="str">
        <f aca="false">IF($A304="","",'Purchase Orders'!$D304)</f>
        <v/>
      </c>
      <c r="D304" s="12" t="str">
        <f aca="false">IF($A304="","",'Purchase Orders'!$E304)</f>
        <v/>
      </c>
      <c r="E304" s="13" t="str">
        <f aca="false">IF($A304="","",'Purchase Orders'!$I304)</f>
        <v/>
      </c>
      <c r="F304" s="13" t="str">
        <f aca="false">IF($A304="","",SUMIFS('Expense Entry'!$K$5:$K$6000,'Expense Entry'!$E$5:$E$6000,"Payable Payment",'Expense Entry'!$L$5:$L$6000,$A304))</f>
        <v/>
      </c>
      <c r="G304" s="13" t="str">
        <f aca="false">IF($A304="","",$E304-$F304)</f>
        <v/>
      </c>
      <c r="H304" s="12" t="str">
        <f aca="false">IF($A304="","",IF($G304&lt;=0,"Paid",IF($F304&gt;0,"Partial","Unpaid")))</f>
        <v/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J6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24"/>
    <col collapsed="false" customWidth="true" hidden="false" outlineLevel="0" max="4" min="4" style="1" width="8"/>
    <col collapsed="false" customWidth="true" hidden="false" outlineLevel="0" max="6" min="5" style="1" width="10"/>
    <col collapsed="false" customWidth="true" hidden="false" outlineLevel="0" max="7" min="7" style="1" width="12"/>
    <col collapsed="false" customWidth="true" hidden="false" outlineLevel="0" max="8" min="8" style="1" width="14"/>
    <col collapsed="false" customWidth="true" hidden="false" outlineLevel="0" max="9" min="9" style="1" width="24"/>
    <col collapsed="false" customWidth="true" hidden="true" outlineLevel="0" max="10" min="10" style="1" width="13"/>
  </cols>
  <sheetData>
    <row r="1" customFormat="false" ht="21.75" hidden="false" customHeight="true" outlineLevel="0" collapsed="false">
      <c r="A1" s="4" t="s">
        <v>1651</v>
      </c>
      <c r="B1" s="4"/>
      <c r="C1" s="4"/>
      <c r="D1" s="4"/>
      <c r="E1" s="4"/>
      <c r="F1" s="4"/>
      <c r="G1" s="4"/>
      <c r="H1" s="4"/>
      <c r="I1" s="4"/>
    </row>
    <row r="2" customFormat="false" ht="15" hidden="false" customHeight="true" outlineLevel="0" collapsed="false">
      <c r="A2" s="5" t="s">
        <v>1652</v>
      </c>
      <c r="B2" s="5"/>
      <c r="C2" s="5"/>
      <c r="D2" s="5"/>
      <c r="E2" s="5"/>
      <c r="F2" s="5"/>
      <c r="G2" s="5"/>
      <c r="H2" s="5"/>
      <c r="I2" s="5"/>
    </row>
    <row r="4" customFormat="false" ht="27.75" hidden="false" customHeight="true" outlineLevel="0" collapsed="false">
      <c r="A4" s="18" t="s">
        <v>170</v>
      </c>
      <c r="B4" s="18" t="s">
        <v>213</v>
      </c>
      <c r="C4" s="18" t="s">
        <v>214</v>
      </c>
      <c r="D4" s="18" t="s">
        <v>216</v>
      </c>
      <c r="E4" s="18" t="s">
        <v>1653</v>
      </c>
      <c r="F4" s="18" t="s">
        <v>217</v>
      </c>
      <c r="G4" s="18" t="s">
        <v>1654</v>
      </c>
      <c r="H4" s="18" t="s">
        <v>1655</v>
      </c>
      <c r="I4" s="18" t="s">
        <v>177</v>
      </c>
      <c r="J4" s="1" t="s">
        <v>1656</v>
      </c>
    </row>
    <row r="5" customFormat="false" ht="15" hidden="false" customHeight="true" outlineLevel="0" collapsed="false">
      <c r="A5" s="19"/>
      <c r="B5" s="12"/>
      <c r="C5" s="12" t="str">
        <f aca="false">IFERROR(VLOOKUP($B5,ItemList_Full,2,0),"")</f>
        <v/>
      </c>
      <c r="D5" s="12" t="str">
        <f aca="false">IFERROR(VLOOKUP($B5,ItemList_Full,3,0),"")</f>
        <v/>
      </c>
      <c r="E5" s="12"/>
      <c r="F5" s="13" t="str">
        <f aca="false">IFERROR(VLOOKUP($B5,ItemList_Full,4,0),"")</f>
        <v/>
      </c>
      <c r="G5" s="13" t="str">
        <f aca="false">IF(OR($E5="",$F5=""),"",$E5*$F5)</f>
        <v/>
      </c>
      <c r="H5" s="12"/>
      <c r="I5" s="12"/>
      <c r="J5" s="1" t="str">
        <f aca="false">IFERROR(VLOOKUP($B5,ItemList_Full,5,0),"")</f>
        <v/>
      </c>
    </row>
    <row r="6" customFormat="false" ht="15" hidden="false" customHeight="true" outlineLevel="0" collapsed="false">
      <c r="A6" s="19"/>
      <c r="B6" s="12"/>
      <c r="C6" s="12" t="str">
        <f aca="false">IFERROR(VLOOKUP($B6,ItemList_Full,2,0),"")</f>
        <v/>
      </c>
      <c r="D6" s="12" t="str">
        <f aca="false">IFERROR(VLOOKUP($B6,ItemList_Full,3,0),"")</f>
        <v/>
      </c>
      <c r="E6" s="12"/>
      <c r="F6" s="13" t="str">
        <f aca="false">IFERROR(VLOOKUP($B6,ItemList_Full,4,0),"")</f>
        <v/>
      </c>
      <c r="G6" s="13" t="str">
        <f aca="false">IF(OR($E6="",$F6=""),"",$E6*$F6)</f>
        <v/>
      </c>
      <c r="H6" s="12"/>
      <c r="I6" s="12"/>
      <c r="J6" s="1" t="str">
        <f aca="false">IFERROR(VLOOKUP($B6,ItemList_Full,5,0),"")</f>
        <v/>
      </c>
    </row>
    <row r="7" customFormat="false" ht="15" hidden="false" customHeight="true" outlineLevel="0" collapsed="false">
      <c r="A7" s="19"/>
      <c r="B7" s="12"/>
      <c r="C7" s="12" t="str">
        <f aca="false">IFERROR(VLOOKUP($B7,ItemList_Full,2,0),"")</f>
        <v/>
      </c>
      <c r="D7" s="12" t="str">
        <f aca="false">IFERROR(VLOOKUP($B7,ItemList_Full,3,0),"")</f>
        <v/>
      </c>
      <c r="E7" s="12"/>
      <c r="F7" s="13" t="str">
        <f aca="false">IFERROR(VLOOKUP($B7,ItemList_Full,4,0),"")</f>
        <v/>
      </c>
      <c r="G7" s="13" t="str">
        <f aca="false">IF(OR($E7="",$F7=""),"",$E7*$F7)</f>
        <v/>
      </c>
      <c r="H7" s="12"/>
      <c r="I7" s="12"/>
      <c r="J7" s="1" t="str">
        <f aca="false">IFERROR(VLOOKUP($B7,ItemList_Full,5,0),"")</f>
        <v/>
      </c>
    </row>
    <row r="8" customFormat="false" ht="15" hidden="false" customHeight="true" outlineLevel="0" collapsed="false">
      <c r="A8" s="19"/>
      <c r="B8" s="12"/>
      <c r="C8" s="12" t="str">
        <f aca="false">IFERROR(VLOOKUP($B8,ItemList_Full,2,0),"")</f>
        <v/>
      </c>
      <c r="D8" s="12" t="str">
        <f aca="false">IFERROR(VLOOKUP($B8,ItemList_Full,3,0),"")</f>
        <v/>
      </c>
      <c r="E8" s="12"/>
      <c r="F8" s="13" t="str">
        <f aca="false">IFERROR(VLOOKUP($B8,ItemList_Full,4,0),"")</f>
        <v/>
      </c>
      <c r="G8" s="13" t="str">
        <f aca="false">IF(OR($E8="",$F8=""),"",$E8*$F8)</f>
        <v/>
      </c>
      <c r="H8" s="12"/>
      <c r="I8" s="12"/>
      <c r="J8" s="1" t="str">
        <f aca="false">IFERROR(VLOOKUP($B8,ItemList_Full,5,0),"")</f>
        <v/>
      </c>
    </row>
    <row r="9" customFormat="false" ht="15" hidden="false" customHeight="true" outlineLevel="0" collapsed="false">
      <c r="A9" s="19"/>
      <c r="B9" s="12"/>
      <c r="C9" s="12" t="str">
        <f aca="false">IFERROR(VLOOKUP($B9,ItemList_Full,2,0),"")</f>
        <v/>
      </c>
      <c r="D9" s="12" t="str">
        <f aca="false">IFERROR(VLOOKUP($B9,ItemList_Full,3,0),"")</f>
        <v/>
      </c>
      <c r="E9" s="12"/>
      <c r="F9" s="13" t="str">
        <f aca="false">IFERROR(VLOOKUP($B9,ItemList_Full,4,0),"")</f>
        <v/>
      </c>
      <c r="G9" s="13" t="str">
        <f aca="false">IF(OR($E9="",$F9=""),"",$E9*$F9)</f>
        <v/>
      </c>
      <c r="H9" s="12"/>
      <c r="I9" s="12"/>
      <c r="J9" s="1" t="str">
        <f aca="false">IFERROR(VLOOKUP($B9,ItemList_Full,5,0),"")</f>
        <v/>
      </c>
    </row>
    <row r="10" customFormat="false" ht="15" hidden="false" customHeight="true" outlineLevel="0" collapsed="false">
      <c r="A10" s="19"/>
      <c r="B10" s="12"/>
      <c r="C10" s="12" t="str">
        <f aca="false">IFERROR(VLOOKUP($B10,ItemList_Full,2,0),"")</f>
        <v/>
      </c>
      <c r="D10" s="12" t="str">
        <f aca="false">IFERROR(VLOOKUP($B10,ItemList_Full,3,0),"")</f>
        <v/>
      </c>
      <c r="E10" s="12"/>
      <c r="F10" s="13" t="str">
        <f aca="false">IFERROR(VLOOKUP($B10,ItemList_Full,4,0),"")</f>
        <v/>
      </c>
      <c r="G10" s="13" t="str">
        <f aca="false">IF(OR($E10="",$F10=""),"",$E10*$F10)</f>
        <v/>
      </c>
      <c r="H10" s="12"/>
      <c r="I10" s="12"/>
      <c r="J10" s="1" t="str">
        <f aca="false">IFERROR(VLOOKUP($B10,ItemList_Full,5,0),"")</f>
        <v/>
      </c>
    </row>
    <row r="11" customFormat="false" ht="15" hidden="false" customHeight="true" outlineLevel="0" collapsed="false">
      <c r="A11" s="19"/>
      <c r="B11" s="12"/>
      <c r="C11" s="12" t="str">
        <f aca="false">IFERROR(VLOOKUP($B11,ItemList_Full,2,0),"")</f>
        <v/>
      </c>
      <c r="D11" s="12" t="str">
        <f aca="false">IFERROR(VLOOKUP($B11,ItemList_Full,3,0),"")</f>
        <v/>
      </c>
      <c r="E11" s="12"/>
      <c r="F11" s="13" t="str">
        <f aca="false">IFERROR(VLOOKUP($B11,ItemList_Full,4,0),"")</f>
        <v/>
      </c>
      <c r="G11" s="13" t="str">
        <f aca="false">IF(OR($E11="",$F11=""),"",$E11*$F11)</f>
        <v/>
      </c>
      <c r="H11" s="12"/>
      <c r="I11" s="12"/>
      <c r="J11" s="1" t="str">
        <f aca="false">IFERROR(VLOOKUP($B11,ItemList_Full,5,0),"")</f>
        <v/>
      </c>
    </row>
    <row r="12" customFormat="false" ht="15" hidden="false" customHeight="true" outlineLevel="0" collapsed="false">
      <c r="A12" s="19"/>
      <c r="B12" s="12"/>
      <c r="C12" s="12" t="str">
        <f aca="false">IFERROR(VLOOKUP($B12,ItemList_Full,2,0),"")</f>
        <v/>
      </c>
      <c r="D12" s="12" t="str">
        <f aca="false">IFERROR(VLOOKUP($B12,ItemList_Full,3,0),"")</f>
        <v/>
      </c>
      <c r="E12" s="12"/>
      <c r="F12" s="13" t="str">
        <f aca="false">IFERROR(VLOOKUP($B12,ItemList_Full,4,0),"")</f>
        <v/>
      </c>
      <c r="G12" s="13" t="str">
        <f aca="false">IF(OR($E12="",$F12=""),"",$E12*$F12)</f>
        <v/>
      </c>
      <c r="H12" s="12"/>
      <c r="I12" s="12"/>
      <c r="J12" s="1" t="str">
        <f aca="false">IFERROR(VLOOKUP($B12,ItemList_Full,5,0),"")</f>
        <v/>
      </c>
    </row>
    <row r="13" customFormat="false" ht="15" hidden="false" customHeight="true" outlineLevel="0" collapsed="false">
      <c r="A13" s="19"/>
      <c r="B13" s="12"/>
      <c r="C13" s="12" t="str">
        <f aca="false">IFERROR(VLOOKUP($B13,ItemList_Full,2,0),"")</f>
        <v/>
      </c>
      <c r="D13" s="12" t="str">
        <f aca="false">IFERROR(VLOOKUP($B13,ItemList_Full,3,0),"")</f>
        <v/>
      </c>
      <c r="E13" s="12"/>
      <c r="F13" s="13" t="str">
        <f aca="false">IFERROR(VLOOKUP($B13,ItemList_Full,4,0),"")</f>
        <v/>
      </c>
      <c r="G13" s="13" t="str">
        <f aca="false">IF(OR($E13="",$F13=""),"",$E13*$F13)</f>
        <v/>
      </c>
      <c r="H13" s="12"/>
      <c r="I13" s="12"/>
      <c r="J13" s="1" t="str">
        <f aca="false">IFERROR(VLOOKUP($B13,ItemList_Full,5,0),"")</f>
        <v/>
      </c>
    </row>
    <row r="14" customFormat="false" ht="15" hidden="false" customHeight="true" outlineLevel="0" collapsed="false">
      <c r="A14" s="19"/>
      <c r="B14" s="12"/>
      <c r="C14" s="12" t="str">
        <f aca="false">IFERROR(VLOOKUP($B14,ItemList_Full,2,0),"")</f>
        <v/>
      </c>
      <c r="D14" s="12" t="str">
        <f aca="false">IFERROR(VLOOKUP($B14,ItemList_Full,3,0),"")</f>
        <v/>
      </c>
      <c r="E14" s="12"/>
      <c r="F14" s="13" t="str">
        <f aca="false">IFERROR(VLOOKUP($B14,ItemList_Full,4,0),"")</f>
        <v/>
      </c>
      <c r="G14" s="13" t="str">
        <f aca="false">IF(OR($E14="",$F14=""),"",$E14*$F14)</f>
        <v/>
      </c>
      <c r="H14" s="12"/>
      <c r="I14" s="12"/>
      <c r="J14" s="1" t="str">
        <f aca="false">IFERROR(VLOOKUP($B14,ItemList_Full,5,0),"")</f>
        <v/>
      </c>
    </row>
    <row r="15" customFormat="false" ht="15" hidden="false" customHeight="true" outlineLevel="0" collapsed="false">
      <c r="A15" s="19"/>
      <c r="B15" s="12"/>
      <c r="C15" s="12" t="str">
        <f aca="false">IFERROR(VLOOKUP($B15,ItemList_Full,2,0),"")</f>
        <v/>
      </c>
      <c r="D15" s="12" t="str">
        <f aca="false">IFERROR(VLOOKUP($B15,ItemList_Full,3,0),"")</f>
        <v/>
      </c>
      <c r="E15" s="12"/>
      <c r="F15" s="13" t="str">
        <f aca="false">IFERROR(VLOOKUP($B15,ItemList_Full,4,0),"")</f>
        <v/>
      </c>
      <c r="G15" s="13" t="str">
        <f aca="false">IF(OR($E15="",$F15=""),"",$E15*$F15)</f>
        <v/>
      </c>
      <c r="H15" s="12"/>
      <c r="I15" s="12"/>
      <c r="J15" s="1" t="str">
        <f aca="false">IFERROR(VLOOKUP($B15,ItemList_Full,5,0),"")</f>
        <v/>
      </c>
    </row>
    <row r="16" customFormat="false" ht="15" hidden="false" customHeight="true" outlineLevel="0" collapsed="false">
      <c r="A16" s="19"/>
      <c r="B16" s="12"/>
      <c r="C16" s="12" t="str">
        <f aca="false">IFERROR(VLOOKUP($B16,ItemList_Full,2,0),"")</f>
        <v/>
      </c>
      <c r="D16" s="12" t="str">
        <f aca="false">IFERROR(VLOOKUP($B16,ItemList_Full,3,0),"")</f>
        <v/>
      </c>
      <c r="E16" s="12"/>
      <c r="F16" s="13" t="str">
        <f aca="false">IFERROR(VLOOKUP($B16,ItemList_Full,4,0),"")</f>
        <v/>
      </c>
      <c r="G16" s="13" t="str">
        <f aca="false">IF(OR($E16="",$F16=""),"",$E16*$F16)</f>
        <v/>
      </c>
      <c r="H16" s="12"/>
      <c r="I16" s="12"/>
      <c r="J16" s="1" t="str">
        <f aca="false">IFERROR(VLOOKUP($B16,ItemList_Full,5,0),"")</f>
        <v/>
      </c>
    </row>
    <row r="17" customFormat="false" ht="15" hidden="false" customHeight="true" outlineLevel="0" collapsed="false">
      <c r="A17" s="19"/>
      <c r="B17" s="12"/>
      <c r="C17" s="12" t="str">
        <f aca="false">IFERROR(VLOOKUP($B17,ItemList_Full,2,0),"")</f>
        <v/>
      </c>
      <c r="D17" s="12" t="str">
        <f aca="false">IFERROR(VLOOKUP($B17,ItemList_Full,3,0),"")</f>
        <v/>
      </c>
      <c r="E17" s="12"/>
      <c r="F17" s="13" t="str">
        <f aca="false">IFERROR(VLOOKUP($B17,ItemList_Full,4,0),"")</f>
        <v/>
      </c>
      <c r="G17" s="13" t="str">
        <f aca="false">IF(OR($E17="",$F17=""),"",$E17*$F17)</f>
        <v/>
      </c>
      <c r="H17" s="12"/>
      <c r="I17" s="12"/>
      <c r="J17" s="1" t="str">
        <f aca="false">IFERROR(VLOOKUP($B17,ItemList_Full,5,0),"")</f>
        <v/>
      </c>
    </row>
    <row r="18" customFormat="false" ht="15" hidden="false" customHeight="true" outlineLevel="0" collapsed="false">
      <c r="A18" s="19"/>
      <c r="B18" s="12"/>
      <c r="C18" s="12" t="str">
        <f aca="false">IFERROR(VLOOKUP($B18,ItemList_Full,2,0),"")</f>
        <v/>
      </c>
      <c r="D18" s="12" t="str">
        <f aca="false">IFERROR(VLOOKUP($B18,ItemList_Full,3,0),"")</f>
        <v/>
      </c>
      <c r="E18" s="12"/>
      <c r="F18" s="13" t="str">
        <f aca="false">IFERROR(VLOOKUP($B18,ItemList_Full,4,0),"")</f>
        <v/>
      </c>
      <c r="G18" s="13" t="str">
        <f aca="false">IF(OR($E18="",$F18=""),"",$E18*$F18)</f>
        <v/>
      </c>
      <c r="H18" s="12"/>
      <c r="I18" s="12"/>
      <c r="J18" s="1" t="str">
        <f aca="false">IFERROR(VLOOKUP($B18,ItemList_Full,5,0),"")</f>
        <v/>
      </c>
    </row>
    <row r="19" customFormat="false" ht="15" hidden="false" customHeight="true" outlineLevel="0" collapsed="false">
      <c r="A19" s="19"/>
      <c r="B19" s="12"/>
      <c r="C19" s="12" t="str">
        <f aca="false">IFERROR(VLOOKUP($B19,ItemList_Full,2,0),"")</f>
        <v/>
      </c>
      <c r="D19" s="12" t="str">
        <f aca="false">IFERROR(VLOOKUP($B19,ItemList_Full,3,0),"")</f>
        <v/>
      </c>
      <c r="E19" s="12"/>
      <c r="F19" s="13" t="str">
        <f aca="false">IFERROR(VLOOKUP($B19,ItemList_Full,4,0),"")</f>
        <v/>
      </c>
      <c r="G19" s="13" t="str">
        <f aca="false">IF(OR($E19="",$F19=""),"",$E19*$F19)</f>
        <v/>
      </c>
      <c r="H19" s="12"/>
      <c r="I19" s="12"/>
      <c r="J19" s="1" t="str">
        <f aca="false">IFERROR(VLOOKUP($B19,ItemList_Full,5,0),"")</f>
        <v/>
      </c>
    </row>
    <row r="20" customFormat="false" ht="15" hidden="false" customHeight="true" outlineLevel="0" collapsed="false">
      <c r="A20" s="19"/>
      <c r="B20" s="12"/>
      <c r="C20" s="12" t="str">
        <f aca="false">IFERROR(VLOOKUP($B20,ItemList_Full,2,0),"")</f>
        <v/>
      </c>
      <c r="D20" s="12" t="str">
        <f aca="false">IFERROR(VLOOKUP($B20,ItemList_Full,3,0),"")</f>
        <v/>
      </c>
      <c r="E20" s="12"/>
      <c r="F20" s="13" t="str">
        <f aca="false">IFERROR(VLOOKUP($B20,ItemList_Full,4,0),"")</f>
        <v/>
      </c>
      <c r="G20" s="13" t="str">
        <f aca="false">IF(OR($E20="",$F20=""),"",$E20*$F20)</f>
        <v/>
      </c>
      <c r="H20" s="12"/>
      <c r="I20" s="12"/>
      <c r="J20" s="1" t="str">
        <f aca="false">IFERROR(VLOOKUP($B20,ItemList_Full,5,0),"")</f>
        <v/>
      </c>
    </row>
    <row r="21" customFormat="false" ht="15" hidden="false" customHeight="true" outlineLevel="0" collapsed="false">
      <c r="A21" s="19"/>
      <c r="B21" s="12"/>
      <c r="C21" s="12" t="str">
        <f aca="false">IFERROR(VLOOKUP($B21,ItemList_Full,2,0),"")</f>
        <v/>
      </c>
      <c r="D21" s="12" t="str">
        <f aca="false">IFERROR(VLOOKUP($B21,ItemList_Full,3,0),"")</f>
        <v/>
      </c>
      <c r="E21" s="12"/>
      <c r="F21" s="13" t="str">
        <f aca="false">IFERROR(VLOOKUP($B21,ItemList_Full,4,0),"")</f>
        <v/>
      </c>
      <c r="G21" s="13" t="str">
        <f aca="false">IF(OR($E21="",$F21=""),"",$E21*$F21)</f>
        <v/>
      </c>
      <c r="H21" s="12"/>
      <c r="I21" s="12"/>
      <c r="J21" s="1" t="str">
        <f aca="false">IFERROR(VLOOKUP($B21,ItemList_Full,5,0),"")</f>
        <v/>
      </c>
    </row>
    <row r="22" customFormat="false" ht="15" hidden="false" customHeight="true" outlineLevel="0" collapsed="false">
      <c r="A22" s="19"/>
      <c r="B22" s="12"/>
      <c r="C22" s="12" t="str">
        <f aca="false">IFERROR(VLOOKUP($B22,ItemList_Full,2,0),"")</f>
        <v/>
      </c>
      <c r="D22" s="12" t="str">
        <f aca="false">IFERROR(VLOOKUP($B22,ItemList_Full,3,0),"")</f>
        <v/>
      </c>
      <c r="E22" s="12"/>
      <c r="F22" s="13" t="str">
        <f aca="false">IFERROR(VLOOKUP($B22,ItemList_Full,4,0),"")</f>
        <v/>
      </c>
      <c r="G22" s="13" t="str">
        <f aca="false">IF(OR($E22="",$F22=""),"",$E22*$F22)</f>
        <v/>
      </c>
      <c r="H22" s="12"/>
      <c r="I22" s="12"/>
      <c r="J22" s="1" t="str">
        <f aca="false">IFERROR(VLOOKUP($B22,ItemList_Full,5,0),"")</f>
        <v/>
      </c>
    </row>
    <row r="23" customFormat="false" ht="15" hidden="false" customHeight="true" outlineLevel="0" collapsed="false">
      <c r="A23" s="19"/>
      <c r="B23" s="12"/>
      <c r="C23" s="12" t="str">
        <f aca="false">IFERROR(VLOOKUP($B23,ItemList_Full,2,0),"")</f>
        <v/>
      </c>
      <c r="D23" s="12" t="str">
        <f aca="false">IFERROR(VLOOKUP($B23,ItemList_Full,3,0),"")</f>
        <v/>
      </c>
      <c r="E23" s="12"/>
      <c r="F23" s="13" t="str">
        <f aca="false">IFERROR(VLOOKUP($B23,ItemList_Full,4,0),"")</f>
        <v/>
      </c>
      <c r="G23" s="13" t="str">
        <f aca="false">IF(OR($E23="",$F23=""),"",$E23*$F23)</f>
        <v/>
      </c>
      <c r="H23" s="12"/>
      <c r="I23" s="12"/>
      <c r="J23" s="1" t="str">
        <f aca="false">IFERROR(VLOOKUP($B23,ItemList_Full,5,0),"")</f>
        <v/>
      </c>
    </row>
    <row r="24" customFormat="false" ht="15" hidden="false" customHeight="true" outlineLevel="0" collapsed="false">
      <c r="A24" s="19"/>
      <c r="B24" s="12"/>
      <c r="C24" s="12" t="str">
        <f aca="false">IFERROR(VLOOKUP($B24,ItemList_Full,2,0),"")</f>
        <v/>
      </c>
      <c r="D24" s="12" t="str">
        <f aca="false">IFERROR(VLOOKUP($B24,ItemList_Full,3,0),"")</f>
        <v/>
      </c>
      <c r="E24" s="12"/>
      <c r="F24" s="13" t="str">
        <f aca="false">IFERROR(VLOOKUP($B24,ItemList_Full,4,0),"")</f>
        <v/>
      </c>
      <c r="G24" s="13" t="str">
        <f aca="false">IF(OR($E24="",$F24=""),"",$E24*$F24)</f>
        <v/>
      </c>
      <c r="H24" s="12"/>
      <c r="I24" s="12"/>
      <c r="J24" s="1" t="str">
        <f aca="false">IFERROR(VLOOKUP($B24,ItemList_Full,5,0),"")</f>
        <v/>
      </c>
    </row>
    <row r="25" customFormat="false" ht="15" hidden="false" customHeight="true" outlineLevel="0" collapsed="false">
      <c r="A25" s="19"/>
      <c r="B25" s="12"/>
      <c r="C25" s="12" t="str">
        <f aca="false">IFERROR(VLOOKUP($B25,ItemList_Full,2,0),"")</f>
        <v/>
      </c>
      <c r="D25" s="12" t="str">
        <f aca="false">IFERROR(VLOOKUP($B25,ItemList_Full,3,0),"")</f>
        <v/>
      </c>
      <c r="E25" s="12"/>
      <c r="F25" s="13" t="str">
        <f aca="false">IFERROR(VLOOKUP($B25,ItemList_Full,4,0),"")</f>
        <v/>
      </c>
      <c r="G25" s="13" t="str">
        <f aca="false">IF(OR($E25="",$F25=""),"",$E25*$F25)</f>
        <v/>
      </c>
      <c r="H25" s="12"/>
      <c r="I25" s="12"/>
      <c r="J25" s="1" t="str">
        <f aca="false">IFERROR(VLOOKUP($B25,ItemList_Full,5,0),"")</f>
        <v/>
      </c>
    </row>
    <row r="26" customFormat="false" ht="15" hidden="false" customHeight="true" outlineLevel="0" collapsed="false">
      <c r="A26" s="19"/>
      <c r="B26" s="12"/>
      <c r="C26" s="12" t="str">
        <f aca="false">IFERROR(VLOOKUP($B26,ItemList_Full,2,0),"")</f>
        <v/>
      </c>
      <c r="D26" s="12" t="str">
        <f aca="false">IFERROR(VLOOKUP($B26,ItemList_Full,3,0),"")</f>
        <v/>
      </c>
      <c r="E26" s="12"/>
      <c r="F26" s="13" t="str">
        <f aca="false">IFERROR(VLOOKUP($B26,ItemList_Full,4,0),"")</f>
        <v/>
      </c>
      <c r="G26" s="13" t="str">
        <f aca="false">IF(OR($E26="",$F26=""),"",$E26*$F26)</f>
        <v/>
      </c>
      <c r="H26" s="12"/>
      <c r="I26" s="12"/>
      <c r="J26" s="1" t="str">
        <f aca="false">IFERROR(VLOOKUP($B26,ItemList_Full,5,0),"")</f>
        <v/>
      </c>
    </row>
    <row r="27" customFormat="false" ht="15" hidden="false" customHeight="true" outlineLevel="0" collapsed="false">
      <c r="A27" s="19"/>
      <c r="B27" s="12"/>
      <c r="C27" s="12" t="str">
        <f aca="false">IFERROR(VLOOKUP($B27,ItemList_Full,2,0),"")</f>
        <v/>
      </c>
      <c r="D27" s="12" t="str">
        <f aca="false">IFERROR(VLOOKUP($B27,ItemList_Full,3,0),"")</f>
        <v/>
      </c>
      <c r="E27" s="12"/>
      <c r="F27" s="13" t="str">
        <f aca="false">IFERROR(VLOOKUP($B27,ItemList_Full,4,0),"")</f>
        <v/>
      </c>
      <c r="G27" s="13" t="str">
        <f aca="false">IF(OR($E27="",$F27=""),"",$E27*$F27)</f>
        <v/>
      </c>
      <c r="H27" s="12"/>
      <c r="I27" s="12"/>
      <c r="J27" s="1" t="str">
        <f aca="false">IFERROR(VLOOKUP($B27,ItemList_Full,5,0),"")</f>
        <v/>
      </c>
    </row>
    <row r="28" customFormat="false" ht="15" hidden="false" customHeight="true" outlineLevel="0" collapsed="false">
      <c r="A28" s="19"/>
      <c r="B28" s="12"/>
      <c r="C28" s="12" t="str">
        <f aca="false">IFERROR(VLOOKUP($B28,ItemList_Full,2,0),"")</f>
        <v/>
      </c>
      <c r="D28" s="12" t="str">
        <f aca="false">IFERROR(VLOOKUP($B28,ItemList_Full,3,0),"")</f>
        <v/>
      </c>
      <c r="E28" s="12"/>
      <c r="F28" s="13" t="str">
        <f aca="false">IFERROR(VLOOKUP($B28,ItemList_Full,4,0),"")</f>
        <v/>
      </c>
      <c r="G28" s="13" t="str">
        <f aca="false">IF(OR($E28="",$F28=""),"",$E28*$F28)</f>
        <v/>
      </c>
      <c r="H28" s="12"/>
      <c r="I28" s="12"/>
      <c r="J28" s="1" t="str">
        <f aca="false">IFERROR(VLOOKUP($B28,ItemList_Full,5,0),"")</f>
        <v/>
      </c>
    </row>
    <row r="29" customFormat="false" ht="15" hidden="false" customHeight="true" outlineLevel="0" collapsed="false">
      <c r="A29" s="19"/>
      <c r="B29" s="12"/>
      <c r="C29" s="12" t="str">
        <f aca="false">IFERROR(VLOOKUP($B29,ItemList_Full,2,0),"")</f>
        <v/>
      </c>
      <c r="D29" s="12" t="str">
        <f aca="false">IFERROR(VLOOKUP($B29,ItemList_Full,3,0),"")</f>
        <v/>
      </c>
      <c r="E29" s="12"/>
      <c r="F29" s="13" t="str">
        <f aca="false">IFERROR(VLOOKUP($B29,ItemList_Full,4,0),"")</f>
        <v/>
      </c>
      <c r="G29" s="13" t="str">
        <f aca="false">IF(OR($E29="",$F29=""),"",$E29*$F29)</f>
        <v/>
      </c>
      <c r="H29" s="12"/>
      <c r="I29" s="12"/>
      <c r="J29" s="1" t="str">
        <f aca="false">IFERROR(VLOOKUP($B29,ItemList_Full,5,0),"")</f>
        <v/>
      </c>
    </row>
    <row r="30" customFormat="false" ht="15" hidden="false" customHeight="true" outlineLevel="0" collapsed="false">
      <c r="A30" s="19"/>
      <c r="B30" s="12"/>
      <c r="C30" s="12" t="str">
        <f aca="false">IFERROR(VLOOKUP($B30,ItemList_Full,2,0),"")</f>
        <v/>
      </c>
      <c r="D30" s="12" t="str">
        <f aca="false">IFERROR(VLOOKUP($B30,ItemList_Full,3,0),"")</f>
        <v/>
      </c>
      <c r="E30" s="12"/>
      <c r="F30" s="13" t="str">
        <f aca="false">IFERROR(VLOOKUP($B30,ItemList_Full,4,0),"")</f>
        <v/>
      </c>
      <c r="G30" s="13" t="str">
        <f aca="false">IF(OR($E30="",$F30=""),"",$E30*$F30)</f>
        <v/>
      </c>
      <c r="H30" s="12"/>
      <c r="I30" s="12"/>
      <c r="J30" s="1" t="str">
        <f aca="false">IFERROR(VLOOKUP($B30,ItemList_Full,5,0),"")</f>
        <v/>
      </c>
    </row>
    <row r="31" customFormat="false" ht="15" hidden="false" customHeight="true" outlineLevel="0" collapsed="false">
      <c r="A31" s="19"/>
      <c r="B31" s="12"/>
      <c r="C31" s="12" t="str">
        <f aca="false">IFERROR(VLOOKUP($B31,ItemList_Full,2,0),"")</f>
        <v/>
      </c>
      <c r="D31" s="12" t="str">
        <f aca="false">IFERROR(VLOOKUP($B31,ItemList_Full,3,0),"")</f>
        <v/>
      </c>
      <c r="E31" s="12"/>
      <c r="F31" s="13" t="str">
        <f aca="false">IFERROR(VLOOKUP($B31,ItemList_Full,4,0),"")</f>
        <v/>
      </c>
      <c r="G31" s="13" t="str">
        <f aca="false">IF(OR($E31="",$F31=""),"",$E31*$F31)</f>
        <v/>
      </c>
      <c r="H31" s="12"/>
      <c r="I31" s="12"/>
      <c r="J31" s="1" t="str">
        <f aca="false">IFERROR(VLOOKUP($B31,ItemList_Full,5,0),"")</f>
        <v/>
      </c>
    </row>
    <row r="32" customFormat="false" ht="15" hidden="false" customHeight="true" outlineLevel="0" collapsed="false">
      <c r="A32" s="19"/>
      <c r="B32" s="12"/>
      <c r="C32" s="12" t="str">
        <f aca="false">IFERROR(VLOOKUP($B32,ItemList_Full,2,0),"")</f>
        <v/>
      </c>
      <c r="D32" s="12" t="str">
        <f aca="false">IFERROR(VLOOKUP($B32,ItemList_Full,3,0),"")</f>
        <v/>
      </c>
      <c r="E32" s="12"/>
      <c r="F32" s="13" t="str">
        <f aca="false">IFERROR(VLOOKUP($B32,ItemList_Full,4,0),"")</f>
        <v/>
      </c>
      <c r="G32" s="13" t="str">
        <f aca="false">IF(OR($E32="",$F32=""),"",$E32*$F32)</f>
        <v/>
      </c>
      <c r="H32" s="12"/>
      <c r="I32" s="12"/>
      <c r="J32" s="1" t="str">
        <f aca="false">IFERROR(VLOOKUP($B32,ItemList_Full,5,0),"")</f>
        <v/>
      </c>
    </row>
    <row r="33" customFormat="false" ht="15" hidden="false" customHeight="true" outlineLevel="0" collapsed="false">
      <c r="A33" s="19"/>
      <c r="B33" s="12"/>
      <c r="C33" s="12" t="str">
        <f aca="false">IFERROR(VLOOKUP($B33,ItemList_Full,2,0),"")</f>
        <v/>
      </c>
      <c r="D33" s="12" t="str">
        <f aca="false">IFERROR(VLOOKUP($B33,ItemList_Full,3,0),"")</f>
        <v/>
      </c>
      <c r="E33" s="12"/>
      <c r="F33" s="13" t="str">
        <f aca="false">IFERROR(VLOOKUP($B33,ItemList_Full,4,0),"")</f>
        <v/>
      </c>
      <c r="G33" s="13" t="str">
        <f aca="false">IF(OR($E33="",$F33=""),"",$E33*$F33)</f>
        <v/>
      </c>
      <c r="H33" s="12"/>
      <c r="I33" s="12"/>
      <c r="J33" s="1" t="str">
        <f aca="false">IFERROR(VLOOKUP($B33,ItemList_Full,5,0),"")</f>
        <v/>
      </c>
    </row>
    <row r="34" customFormat="false" ht="15" hidden="false" customHeight="true" outlineLevel="0" collapsed="false">
      <c r="A34" s="19"/>
      <c r="B34" s="12"/>
      <c r="C34" s="12" t="str">
        <f aca="false">IFERROR(VLOOKUP($B34,ItemList_Full,2,0),"")</f>
        <v/>
      </c>
      <c r="D34" s="12" t="str">
        <f aca="false">IFERROR(VLOOKUP($B34,ItemList_Full,3,0),"")</f>
        <v/>
      </c>
      <c r="E34" s="12"/>
      <c r="F34" s="13" t="str">
        <f aca="false">IFERROR(VLOOKUP($B34,ItemList_Full,4,0),"")</f>
        <v/>
      </c>
      <c r="G34" s="13" t="str">
        <f aca="false">IF(OR($E34="",$F34=""),"",$E34*$F34)</f>
        <v/>
      </c>
      <c r="H34" s="12"/>
      <c r="I34" s="12"/>
      <c r="J34" s="1" t="str">
        <f aca="false">IFERROR(VLOOKUP($B34,ItemList_Full,5,0),"")</f>
        <v/>
      </c>
    </row>
    <row r="35" customFormat="false" ht="15" hidden="false" customHeight="true" outlineLevel="0" collapsed="false">
      <c r="A35" s="19"/>
      <c r="B35" s="12"/>
      <c r="C35" s="12" t="str">
        <f aca="false">IFERROR(VLOOKUP($B35,ItemList_Full,2,0),"")</f>
        <v/>
      </c>
      <c r="D35" s="12" t="str">
        <f aca="false">IFERROR(VLOOKUP($B35,ItemList_Full,3,0),"")</f>
        <v/>
      </c>
      <c r="E35" s="12"/>
      <c r="F35" s="13" t="str">
        <f aca="false">IFERROR(VLOOKUP($B35,ItemList_Full,4,0),"")</f>
        <v/>
      </c>
      <c r="G35" s="13" t="str">
        <f aca="false">IF(OR($E35="",$F35=""),"",$E35*$F35)</f>
        <v/>
      </c>
      <c r="H35" s="12"/>
      <c r="I35" s="12"/>
      <c r="J35" s="1" t="str">
        <f aca="false">IFERROR(VLOOKUP($B35,ItemList_Full,5,0),"")</f>
        <v/>
      </c>
    </row>
    <row r="36" customFormat="false" ht="15" hidden="false" customHeight="true" outlineLevel="0" collapsed="false">
      <c r="A36" s="19"/>
      <c r="B36" s="12"/>
      <c r="C36" s="12" t="str">
        <f aca="false">IFERROR(VLOOKUP($B36,ItemList_Full,2,0),"")</f>
        <v/>
      </c>
      <c r="D36" s="12" t="str">
        <f aca="false">IFERROR(VLOOKUP($B36,ItemList_Full,3,0),"")</f>
        <v/>
      </c>
      <c r="E36" s="12"/>
      <c r="F36" s="13" t="str">
        <f aca="false">IFERROR(VLOOKUP($B36,ItemList_Full,4,0),"")</f>
        <v/>
      </c>
      <c r="G36" s="13" t="str">
        <f aca="false">IF(OR($E36="",$F36=""),"",$E36*$F36)</f>
        <v/>
      </c>
      <c r="H36" s="12"/>
      <c r="I36" s="12"/>
      <c r="J36" s="1" t="str">
        <f aca="false">IFERROR(VLOOKUP($B36,ItemList_Full,5,0),"")</f>
        <v/>
      </c>
    </row>
    <row r="37" customFormat="false" ht="15" hidden="false" customHeight="true" outlineLevel="0" collapsed="false">
      <c r="A37" s="19"/>
      <c r="B37" s="12"/>
      <c r="C37" s="12" t="str">
        <f aca="false">IFERROR(VLOOKUP($B37,ItemList_Full,2,0),"")</f>
        <v/>
      </c>
      <c r="D37" s="12" t="str">
        <f aca="false">IFERROR(VLOOKUP($B37,ItemList_Full,3,0),"")</f>
        <v/>
      </c>
      <c r="E37" s="12"/>
      <c r="F37" s="13" t="str">
        <f aca="false">IFERROR(VLOOKUP($B37,ItemList_Full,4,0),"")</f>
        <v/>
      </c>
      <c r="G37" s="13" t="str">
        <f aca="false">IF(OR($E37="",$F37=""),"",$E37*$F37)</f>
        <v/>
      </c>
      <c r="H37" s="12"/>
      <c r="I37" s="12"/>
      <c r="J37" s="1" t="str">
        <f aca="false">IFERROR(VLOOKUP($B37,ItemList_Full,5,0),"")</f>
        <v/>
      </c>
    </row>
    <row r="38" customFormat="false" ht="15" hidden="false" customHeight="true" outlineLevel="0" collapsed="false">
      <c r="A38" s="19"/>
      <c r="B38" s="12"/>
      <c r="C38" s="12" t="str">
        <f aca="false">IFERROR(VLOOKUP($B38,ItemList_Full,2,0),"")</f>
        <v/>
      </c>
      <c r="D38" s="12" t="str">
        <f aca="false">IFERROR(VLOOKUP($B38,ItemList_Full,3,0),"")</f>
        <v/>
      </c>
      <c r="E38" s="12"/>
      <c r="F38" s="13" t="str">
        <f aca="false">IFERROR(VLOOKUP($B38,ItemList_Full,4,0),"")</f>
        <v/>
      </c>
      <c r="G38" s="13" t="str">
        <f aca="false">IF(OR($E38="",$F38=""),"",$E38*$F38)</f>
        <v/>
      </c>
      <c r="H38" s="12"/>
      <c r="I38" s="12"/>
      <c r="J38" s="1" t="str">
        <f aca="false">IFERROR(VLOOKUP($B38,ItemList_Full,5,0),"")</f>
        <v/>
      </c>
    </row>
    <row r="39" customFormat="false" ht="15" hidden="false" customHeight="true" outlineLevel="0" collapsed="false">
      <c r="A39" s="19"/>
      <c r="B39" s="12"/>
      <c r="C39" s="12" t="str">
        <f aca="false">IFERROR(VLOOKUP($B39,ItemList_Full,2,0),"")</f>
        <v/>
      </c>
      <c r="D39" s="12" t="str">
        <f aca="false">IFERROR(VLOOKUP($B39,ItemList_Full,3,0),"")</f>
        <v/>
      </c>
      <c r="E39" s="12"/>
      <c r="F39" s="13" t="str">
        <f aca="false">IFERROR(VLOOKUP($B39,ItemList_Full,4,0),"")</f>
        <v/>
      </c>
      <c r="G39" s="13" t="str">
        <f aca="false">IF(OR($E39="",$F39=""),"",$E39*$F39)</f>
        <v/>
      </c>
      <c r="H39" s="12"/>
      <c r="I39" s="12"/>
      <c r="J39" s="1" t="str">
        <f aca="false">IFERROR(VLOOKUP($B39,ItemList_Full,5,0),"")</f>
        <v/>
      </c>
    </row>
    <row r="40" customFormat="false" ht="15" hidden="false" customHeight="true" outlineLevel="0" collapsed="false">
      <c r="A40" s="19"/>
      <c r="B40" s="12"/>
      <c r="C40" s="12" t="str">
        <f aca="false">IFERROR(VLOOKUP($B40,ItemList_Full,2,0),"")</f>
        <v/>
      </c>
      <c r="D40" s="12" t="str">
        <f aca="false">IFERROR(VLOOKUP($B40,ItemList_Full,3,0),"")</f>
        <v/>
      </c>
      <c r="E40" s="12"/>
      <c r="F40" s="13" t="str">
        <f aca="false">IFERROR(VLOOKUP($B40,ItemList_Full,4,0),"")</f>
        <v/>
      </c>
      <c r="G40" s="13" t="str">
        <f aca="false">IF(OR($E40="",$F40=""),"",$E40*$F40)</f>
        <v/>
      </c>
      <c r="H40" s="12"/>
      <c r="I40" s="12"/>
      <c r="J40" s="1" t="str">
        <f aca="false">IFERROR(VLOOKUP($B40,ItemList_Full,5,0),"")</f>
        <v/>
      </c>
    </row>
    <row r="41" customFormat="false" ht="15" hidden="false" customHeight="true" outlineLevel="0" collapsed="false">
      <c r="A41" s="19"/>
      <c r="B41" s="12"/>
      <c r="C41" s="12" t="str">
        <f aca="false">IFERROR(VLOOKUP($B41,ItemList_Full,2,0),"")</f>
        <v/>
      </c>
      <c r="D41" s="12" t="str">
        <f aca="false">IFERROR(VLOOKUP($B41,ItemList_Full,3,0),"")</f>
        <v/>
      </c>
      <c r="E41" s="12"/>
      <c r="F41" s="13" t="str">
        <f aca="false">IFERROR(VLOOKUP($B41,ItemList_Full,4,0),"")</f>
        <v/>
      </c>
      <c r="G41" s="13" t="str">
        <f aca="false">IF(OR($E41="",$F41=""),"",$E41*$F41)</f>
        <v/>
      </c>
      <c r="H41" s="12"/>
      <c r="I41" s="12"/>
      <c r="J41" s="1" t="str">
        <f aca="false">IFERROR(VLOOKUP($B41,ItemList_Full,5,0),"")</f>
        <v/>
      </c>
    </row>
    <row r="42" customFormat="false" ht="15" hidden="false" customHeight="true" outlineLevel="0" collapsed="false">
      <c r="A42" s="19"/>
      <c r="B42" s="12"/>
      <c r="C42" s="12" t="str">
        <f aca="false">IFERROR(VLOOKUP($B42,ItemList_Full,2,0),"")</f>
        <v/>
      </c>
      <c r="D42" s="12" t="str">
        <f aca="false">IFERROR(VLOOKUP($B42,ItemList_Full,3,0),"")</f>
        <v/>
      </c>
      <c r="E42" s="12"/>
      <c r="F42" s="13" t="str">
        <f aca="false">IFERROR(VLOOKUP($B42,ItemList_Full,4,0),"")</f>
        <v/>
      </c>
      <c r="G42" s="13" t="str">
        <f aca="false">IF(OR($E42="",$F42=""),"",$E42*$F42)</f>
        <v/>
      </c>
      <c r="H42" s="12"/>
      <c r="I42" s="12"/>
      <c r="J42" s="1" t="str">
        <f aca="false">IFERROR(VLOOKUP($B42,ItemList_Full,5,0),"")</f>
        <v/>
      </c>
    </row>
    <row r="43" customFormat="false" ht="15" hidden="false" customHeight="true" outlineLevel="0" collapsed="false">
      <c r="A43" s="19"/>
      <c r="B43" s="12"/>
      <c r="C43" s="12" t="str">
        <f aca="false">IFERROR(VLOOKUP($B43,ItemList_Full,2,0),"")</f>
        <v/>
      </c>
      <c r="D43" s="12" t="str">
        <f aca="false">IFERROR(VLOOKUP($B43,ItemList_Full,3,0),"")</f>
        <v/>
      </c>
      <c r="E43" s="12"/>
      <c r="F43" s="13" t="str">
        <f aca="false">IFERROR(VLOOKUP($B43,ItemList_Full,4,0),"")</f>
        <v/>
      </c>
      <c r="G43" s="13" t="str">
        <f aca="false">IF(OR($E43="",$F43=""),"",$E43*$F43)</f>
        <v/>
      </c>
      <c r="H43" s="12"/>
      <c r="I43" s="12"/>
      <c r="J43" s="1" t="str">
        <f aca="false">IFERROR(VLOOKUP($B43,ItemList_Full,5,0),"")</f>
        <v/>
      </c>
    </row>
    <row r="44" customFormat="false" ht="15" hidden="false" customHeight="true" outlineLevel="0" collapsed="false">
      <c r="A44" s="19"/>
      <c r="B44" s="12"/>
      <c r="C44" s="12" t="str">
        <f aca="false">IFERROR(VLOOKUP($B44,ItemList_Full,2,0),"")</f>
        <v/>
      </c>
      <c r="D44" s="12" t="str">
        <f aca="false">IFERROR(VLOOKUP($B44,ItemList_Full,3,0),"")</f>
        <v/>
      </c>
      <c r="E44" s="12"/>
      <c r="F44" s="13" t="str">
        <f aca="false">IFERROR(VLOOKUP($B44,ItemList_Full,4,0),"")</f>
        <v/>
      </c>
      <c r="G44" s="13" t="str">
        <f aca="false">IF(OR($E44="",$F44=""),"",$E44*$F44)</f>
        <v/>
      </c>
      <c r="H44" s="12"/>
      <c r="I44" s="12"/>
      <c r="J44" s="1" t="str">
        <f aca="false">IFERROR(VLOOKUP($B44,ItemList_Full,5,0),"")</f>
        <v/>
      </c>
    </row>
    <row r="45" customFormat="false" ht="15" hidden="false" customHeight="true" outlineLevel="0" collapsed="false">
      <c r="A45" s="19"/>
      <c r="B45" s="12"/>
      <c r="C45" s="12" t="str">
        <f aca="false">IFERROR(VLOOKUP($B45,ItemList_Full,2,0),"")</f>
        <v/>
      </c>
      <c r="D45" s="12" t="str">
        <f aca="false">IFERROR(VLOOKUP($B45,ItemList_Full,3,0),"")</f>
        <v/>
      </c>
      <c r="E45" s="12"/>
      <c r="F45" s="13" t="str">
        <f aca="false">IFERROR(VLOOKUP($B45,ItemList_Full,4,0),"")</f>
        <v/>
      </c>
      <c r="G45" s="13" t="str">
        <f aca="false">IF(OR($E45="",$F45=""),"",$E45*$F45)</f>
        <v/>
      </c>
      <c r="H45" s="12"/>
      <c r="I45" s="12"/>
      <c r="J45" s="1" t="str">
        <f aca="false">IFERROR(VLOOKUP($B45,ItemList_Full,5,0),"")</f>
        <v/>
      </c>
    </row>
    <row r="46" customFormat="false" ht="15" hidden="false" customHeight="true" outlineLevel="0" collapsed="false">
      <c r="A46" s="19"/>
      <c r="B46" s="12"/>
      <c r="C46" s="12" t="str">
        <f aca="false">IFERROR(VLOOKUP($B46,ItemList_Full,2,0),"")</f>
        <v/>
      </c>
      <c r="D46" s="12" t="str">
        <f aca="false">IFERROR(VLOOKUP($B46,ItemList_Full,3,0),"")</f>
        <v/>
      </c>
      <c r="E46" s="12"/>
      <c r="F46" s="13" t="str">
        <f aca="false">IFERROR(VLOOKUP($B46,ItemList_Full,4,0),"")</f>
        <v/>
      </c>
      <c r="G46" s="13" t="str">
        <f aca="false">IF(OR($E46="",$F46=""),"",$E46*$F46)</f>
        <v/>
      </c>
      <c r="H46" s="12"/>
      <c r="I46" s="12"/>
      <c r="J46" s="1" t="str">
        <f aca="false">IFERROR(VLOOKUP($B46,ItemList_Full,5,0),"")</f>
        <v/>
      </c>
    </row>
    <row r="47" customFormat="false" ht="15" hidden="false" customHeight="true" outlineLevel="0" collapsed="false">
      <c r="A47" s="19"/>
      <c r="B47" s="12"/>
      <c r="C47" s="12" t="str">
        <f aca="false">IFERROR(VLOOKUP($B47,ItemList_Full,2,0),"")</f>
        <v/>
      </c>
      <c r="D47" s="12" t="str">
        <f aca="false">IFERROR(VLOOKUP($B47,ItemList_Full,3,0),"")</f>
        <v/>
      </c>
      <c r="E47" s="12"/>
      <c r="F47" s="13" t="str">
        <f aca="false">IFERROR(VLOOKUP($B47,ItemList_Full,4,0),"")</f>
        <v/>
      </c>
      <c r="G47" s="13" t="str">
        <f aca="false">IF(OR($E47="",$F47=""),"",$E47*$F47)</f>
        <v/>
      </c>
      <c r="H47" s="12"/>
      <c r="I47" s="12"/>
      <c r="J47" s="1" t="str">
        <f aca="false">IFERROR(VLOOKUP($B47,ItemList_Full,5,0),"")</f>
        <v/>
      </c>
    </row>
    <row r="48" customFormat="false" ht="15" hidden="false" customHeight="true" outlineLevel="0" collapsed="false">
      <c r="A48" s="19"/>
      <c r="B48" s="12"/>
      <c r="C48" s="12" t="str">
        <f aca="false">IFERROR(VLOOKUP($B48,ItemList_Full,2,0),"")</f>
        <v/>
      </c>
      <c r="D48" s="12" t="str">
        <f aca="false">IFERROR(VLOOKUP($B48,ItemList_Full,3,0),"")</f>
        <v/>
      </c>
      <c r="E48" s="12"/>
      <c r="F48" s="13" t="str">
        <f aca="false">IFERROR(VLOOKUP($B48,ItemList_Full,4,0),"")</f>
        <v/>
      </c>
      <c r="G48" s="13" t="str">
        <f aca="false">IF(OR($E48="",$F48=""),"",$E48*$F48)</f>
        <v/>
      </c>
      <c r="H48" s="12"/>
      <c r="I48" s="12"/>
      <c r="J48" s="1" t="str">
        <f aca="false">IFERROR(VLOOKUP($B48,ItemList_Full,5,0),"")</f>
        <v/>
      </c>
    </row>
    <row r="49" customFormat="false" ht="15" hidden="false" customHeight="true" outlineLevel="0" collapsed="false">
      <c r="A49" s="19"/>
      <c r="B49" s="12"/>
      <c r="C49" s="12" t="str">
        <f aca="false">IFERROR(VLOOKUP($B49,ItemList_Full,2,0),"")</f>
        <v/>
      </c>
      <c r="D49" s="12" t="str">
        <f aca="false">IFERROR(VLOOKUP($B49,ItemList_Full,3,0),"")</f>
        <v/>
      </c>
      <c r="E49" s="12"/>
      <c r="F49" s="13" t="str">
        <f aca="false">IFERROR(VLOOKUP($B49,ItemList_Full,4,0),"")</f>
        <v/>
      </c>
      <c r="G49" s="13" t="str">
        <f aca="false">IF(OR($E49="",$F49=""),"",$E49*$F49)</f>
        <v/>
      </c>
      <c r="H49" s="12"/>
      <c r="I49" s="12"/>
      <c r="J49" s="1" t="str">
        <f aca="false">IFERROR(VLOOKUP($B49,ItemList_Full,5,0),"")</f>
        <v/>
      </c>
    </row>
    <row r="50" customFormat="false" ht="15" hidden="false" customHeight="true" outlineLevel="0" collapsed="false">
      <c r="A50" s="19"/>
      <c r="B50" s="12"/>
      <c r="C50" s="12" t="str">
        <f aca="false">IFERROR(VLOOKUP($B50,ItemList_Full,2,0),"")</f>
        <v/>
      </c>
      <c r="D50" s="12" t="str">
        <f aca="false">IFERROR(VLOOKUP($B50,ItemList_Full,3,0),"")</f>
        <v/>
      </c>
      <c r="E50" s="12"/>
      <c r="F50" s="13" t="str">
        <f aca="false">IFERROR(VLOOKUP($B50,ItemList_Full,4,0),"")</f>
        <v/>
      </c>
      <c r="G50" s="13" t="str">
        <f aca="false">IF(OR($E50="",$F50=""),"",$E50*$F50)</f>
        <v/>
      </c>
      <c r="H50" s="12"/>
      <c r="I50" s="12"/>
      <c r="J50" s="1" t="str">
        <f aca="false">IFERROR(VLOOKUP($B50,ItemList_Full,5,0),"")</f>
        <v/>
      </c>
    </row>
    <row r="51" customFormat="false" ht="15" hidden="false" customHeight="true" outlineLevel="0" collapsed="false">
      <c r="A51" s="19"/>
      <c r="B51" s="12"/>
      <c r="C51" s="12" t="str">
        <f aca="false">IFERROR(VLOOKUP($B51,ItemList_Full,2,0),"")</f>
        <v/>
      </c>
      <c r="D51" s="12" t="str">
        <f aca="false">IFERROR(VLOOKUP($B51,ItemList_Full,3,0),"")</f>
        <v/>
      </c>
      <c r="E51" s="12"/>
      <c r="F51" s="13" t="str">
        <f aca="false">IFERROR(VLOOKUP($B51,ItemList_Full,4,0),"")</f>
        <v/>
      </c>
      <c r="G51" s="13" t="str">
        <f aca="false">IF(OR($E51="",$F51=""),"",$E51*$F51)</f>
        <v/>
      </c>
      <c r="H51" s="12"/>
      <c r="I51" s="12"/>
      <c r="J51" s="1" t="str">
        <f aca="false">IFERROR(VLOOKUP($B51,ItemList_Full,5,0),"")</f>
        <v/>
      </c>
    </row>
    <row r="52" customFormat="false" ht="15" hidden="false" customHeight="true" outlineLevel="0" collapsed="false">
      <c r="A52" s="19"/>
      <c r="B52" s="12"/>
      <c r="C52" s="12" t="str">
        <f aca="false">IFERROR(VLOOKUP($B52,ItemList_Full,2,0),"")</f>
        <v/>
      </c>
      <c r="D52" s="12" t="str">
        <f aca="false">IFERROR(VLOOKUP($B52,ItemList_Full,3,0),"")</f>
        <v/>
      </c>
      <c r="E52" s="12"/>
      <c r="F52" s="13" t="str">
        <f aca="false">IFERROR(VLOOKUP($B52,ItemList_Full,4,0),"")</f>
        <v/>
      </c>
      <c r="G52" s="13" t="str">
        <f aca="false">IF(OR($E52="",$F52=""),"",$E52*$F52)</f>
        <v/>
      </c>
      <c r="H52" s="12"/>
      <c r="I52" s="12"/>
      <c r="J52" s="1" t="str">
        <f aca="false">IFERROR(VLOOKUP($B52,ItemList_Full,5,0),"")</f>
        <v/>
      </c>
    </row>
    <row r="53" customFormat="false" ht="15" hidden="false" customHeight="true" outlineLevel="0" collapsed="false">
      <c r="A53" s="19"/>
      <c r="B53" s="12"/>
      <c r="C53" s="12" t="str">
        <f aca="false">IFERROR(VLOOKUP($B53,ItemList_Full,2,0),"")</f>
        <v/>
      </c>
      <c r="D53" s="12" t="str">
        <f aca="false">IFERROR(VLOOKUP($B53,ItemList_Full,3,0),"")</f>
        <v/>
      </c>
      <c r="E53" s="12"/>
      <c r="F53" s="13" t="str">
        <f aca="false">IFERROR(VLOOKUP($B53,ItemList_Full,4,0),"")</f>
        <v/>
      </c>
      <c r="G53" s="13" t="str">
        <f aca="false">IF(OR($E53="",$F53=""),"",$E53*$F53)</f>
        <v/>
      </c>
      <c r="H53" s="12"/>
      <c r="I53" s="12"/>
      <c r="J53" s="1" t="str">
        <f aca="false">IFERROR(VLOOKUP($B53,ItemList_Full,5,0),"")</f>
        <v/>
      </c>
    </row>
    <row r="54" customFormat="false" ht="15" hidden="false" customHeight="true" outlineLevel="0" collapsed="false">
      <c r="A54" s="19"/>
      <c r="B54" s="12"/>
      <c r="C54" s="12" t="str">
        <f aca="false">IFERROR(VLOOKUP($B54,ItemList_Full,2,0),"")</f>
        <v/>
      </c>
      <c r="D54" s="12" t="str">
        <f aca="false">IFERROR(VLOOKUP($B54,ItemList_Full,3,0),"")</f>
        <v/>
      </c>
      <c r="E54" s="12"/>
      <c r="F54" s="13" t="str">
        <f aca="false">IFERROR(VLOOKUP($B54,ItemList_Full,4,0),"")</f>
        <v/>
      </c>
      <c r="G54" s="13" t="str">
        <f aca="false">IF(OR($E54="",$F54=""),"",$E54*$F54)</f>
        <v/>
      </c>
      <c r="H54" s="12"/>
      <c r="I54" s="12"/>
      <c r="J54" s="1" t="str">
        <f aca="false">IFERROR(VLOOKUP($B54,ItemList_Full,5,0),"")</f>
        <v/>
      </c>
    </row>
    <row r="55" customFormat="false" ht="15" hidden="false" customHeight="true" outlineLevel="0" collapsed="false">
      <c r="A55" s="19"/>
      <c r="B55" s="12"/>
      <c r="C55" s="12" t="str">
        <f aca="false">IFERROR(VLOOKUP($B55,ItemList_Full,2,0),"")</f>
        <v/>
      </c>
      <c r="D55" s="12" t="str">
        <f aca="false">IFERROR(VLOOKUP($B55,ItemList_Full,3,0),"")</f>
        <v/>
      </c>
      <c r="E55" s="12"/>
      <c r="F55" s="13" t="str">
        <f aca="false">IFERROR(VLOOKUP($B55,ItemList_Full,4,0),"")</f>
        <v/>
      </c>
      <c r="G55" s="13" t="str">
        <f aca="false">IF(OR($E55="",$F55=""),"",$E55*$F55)</f>
        <v/>
      </c>
      <c r="H55" s="12"/>
      <c r="I55" s="12"/>
      <c r="J55" s="1" t="str">
        <f aca="false">IFERROR(VLOOKUP($B55,ItemList_Full,5,0),"")</f>
        <v/>
      </c>
    </row>
    <row r="56" customFormat="false" ht="15" hidden="false" customHeight="true" outlineLevel="0" collapsed="false">
      <c r="A56" s="19"/>
      <c r="B56" s="12"/>
      <c r="C56" s="12" t="str">
        <f aca="false">IFERROR(VLOOKUP($B56,ItemList_Full,2,0),"")</f>
        <v/>
      </c>
      <c r="D56" s="12" t="str">
        <f aca="false">IFERROR(VLOOKUP($B56,ItemList_Full,3,0),"")</f>
        <v/>
      </c>
      <c r="E56" s="12"/>
      <c r="F56" s="13" t="str">
        <f aca="false">IFERROR(VLOOKUP($B56,ItemList_Full,4,0),"")</f>
        <v/>
      </c>
      <c r="G56" s="13" t="str">
        <f aca="false">IF(OR($E56="",$F56=""),"",$E56*$F56)</f>
        <v/>
      </c>
      <c r="H56" s="12"/>
      <c r="I56" s="12"/>
      <c r="J56" s="1" t="str">
        <f aca="false">IFERROR(VLOOKUP($B56,ItemList_Full,5,0),"")</f>
        <v/>
      </c>
    </row>
    <row r="57" customFormat="false" ht="15" hidden="false" customHeight="true" outlineLevel="0" collapsed="false">
      <c r="A57" s="19"/>
      <c r="B57" s="12"/>
      <c r="C57" s="12" t="str">
        <f aca="false">IFERROR(VLOOKUP($B57,ItemList_Full,2,0),"")</f>
        <v/>
      </c>
      <c r="D57" s="12" t="str">
        <f aca="false">IFERROR(VLOOKUP($B57,ItemList_Full,3,0),"")</f>
        <v/>
      </c>
      <c r="E57" s="12"/>
      <c r="F57" s="13" t="str">
        <f aca="false">IFERROR(VLOOKUP($B57,ItemList_Full,4,0),"")</f>
        <v/>
      </c>
      <c r="G57" s="13" t="str">
        <f aca="false">IF(OR($E57="",$F57=""),"",$E57*$F57)</f>
        <v/>
      </c>
      <c r="H57" s="12"/>
      <c r="I57" s="12"/>
      <c r="J57" s="1" t="str">
        <f aca="false">IFERROR(VLOOKUP($B57,ItemList_Full,5,0),"")</f>
        <v/>
      </c>
    </row>
    <row r="58" customFormat="false" ht="15" hidden="false" customHeight="true" outlineLevel="0" collapsed="false">
      <c r="A58" s="19"/>
      <c r="B58" s="12"/>
      <c r="C58" s="12" t="str">
        <f aca="false">IFERROR(VLOOKUP($B58,ItemList_Full,2,0),"")</f>
        <v/>
      </c>
      <c r="D58" s="12" t="str">
        <f aca="false">IFERROR(VLOOKUP($B58,ItemList_Full,3,0),"")</f>
        <v/>
      </c>
      <c r="E58" s="12"/>
      <c r="F58" s="13" t="str">
        <f aca="false">IFERROR(VLOOKUP($B58,ItemList_Full,4,0),"")</f>
        <v/>
      </c>
      <c r="G58" s="13" t="str">
        <f aca="false">IF(OR($E58="",$F58=""),"",$E58*$F58)</f>
        <v/>
      </c>
      <c r="H58" s="12"/>
      <c r="I58" s="12"/>
      <c r="J58" s="1" t="str">
        <f aca="false">IFERROR(VLOOKUP($B58,ItemList_Full,5,0),"")</f>
        <v/>
      </c>
    </row>
    <row r="59" customFormat="false" ht="15" hidden="false" customHeight="true" outlineLevel="0" collapsed="false">
      <c r="A59" s="19"/>
      <c r="B59" s="12"/>
      <c r="C59" s="12" t="str">
        <f aca="false">IFERROR(VLOOKUP($B59,ItemList_Full,2,0),"")</f>
        <v/>
      </c>
      <c r="D59" s="12" t="str">
        <f aca="false">IFERROR(VLOOKUP($B59,ItemList_Full,3,0),"")</f>
        <v/>
      </c>
      <c r="E59" s="12"/>
      <c r="F59" s="13" t="str">
        <f aca="false">IFERROR(VLOOKUP($B59,ItemList_Full,4,0),"")</f>
        <v/>
      </c>
      <c r="G59" s="13" t="str">
        <f aca="false">IF(OR($E59="",$F59=""),"",$E59*$F59)</f>
        <v/>
      </c>
      <c r="H59" s="12"/>
      <c r="I59" s="12"/>
      <c r="J59" s="1" t="str">
        <f aca="false">IFERROR(VLOOKUP($B59,ItemList_Full,5,0),"")</f>
        <v/>
      </c>
    </row>
    <row r="60" customFormat="false" ht="15" hidden="false" customHeight="true" outlineLevel="0" collapsed="false">
      <c r="A60" s="19"/>
      <c r="B60" s="12"/>
      <c r="C60" s="12" t="str">
        <f aca="false">IFERROR(VLOOKUP($B60,ItemList_Full,2,0),"")</f>
        <v/>
      </c>
      <c r="D60" s="12" t="str">
        <f aca="false">IFERROR(VLOOKUP($B60,ItemList_Full,3,0),"")</f>
        <v/>
      </c>
      <c r="E60" s="12"/>
      <c r="F60" s="13" t="str">
        <f aca="false">IFERROR(VLOOKUP($B60,ItemList_Full,4,0),"")</f>
        <v/>
      </c>
      <c r="G60" s="13" t="str">
        <f aca="false">IF(OR($E60="",$F60=""),"",$E60*$F60)</f>
        <v/>
      </c>
      <c r="H60" s="12"/>
      <c r="I60" s="12"/>
      <c r="J60" s="1" t="str">
        <f aca="false">IFERROR(VLOOKUP($B60,ItemList_Full,5,0),"")</f>
        <v/>
      </c>
    </row>
    <row r="61" customFormat="false" ht="15" hidden="false" customHeight="true" outlineLevel="0" collapsed="false">
      <c r="A61" s="19"/>
      <c r="B61" s="12"/>
      <c r="C61" s="12" t="str">
        <f aca="false">IFERROR(VLOOKUP($B61,ItemList_Full,2,0),"")</f>
        <v/>
      </c>
      <c r="D61" s="12" t="str">
        <f aca="false">IFERROR(VLOOKUP($B61,ItemList_Full,3,0),"")</f>
        <v/>
      </c>
      <c r="E61" s="12"/>
      <c r="F61" s="13" t="str">
        <f aca="false">IFERROR(VLOOKUP($B61,ItemList_Full,4,0),"")</f>
        <v/>
      </c>
      <c r="G61" s="13" t="str">
        <f aca="false">IF(OR($E61="",$F61=""),"",$E61*$F61)</f>
        <v/>
      </c>
      <c r="H61" s="12"/>
      <c r="I61" s="12"/>
      <c r="J61" s="1" t="str">
        <f aca="false">IFERROR(VLOOKUP($B61,ItemList_Full,5,0),"")</f>
        <v/>
      </c>
    </row>
    <row r="62" customFormat="false" ht="15" hidden="false" customHeight="true" outlineLevel="0" collapsed="false">
      <c r="A62" s="19"/>
      <c r="B62" s="12"/>
      <c r="C62" s="12" t="str">
        <f aca="false">IFERROR(VLOOKUP($B62,ItemList_Full,2,0),"")</f>
        <v/>
      </c>
      <c r="D62" s="12" t="str">
        <f aca="false">IFERROR(VLOOKUP($B62,ItemList_Full,3,0),"")</f>
        <v/>
      </c>
      <c r="E62" s="12"/>
      <c r="F62" s="13" t="str">
        <f aca="false">IFERROR(VLOOKUP($B62,ItemList_Full,4,0),"")</f>
        <v/>
      </c>
      <c r="G62" s="13" t="str">
        <f aca="false">IF(OR($E62="",$F62=""),"",$E62*$F62)</f>
        <v/>
      </c>
      <c r="H62" s="12"/>
      <c r="I62" s="12"/>
      <c r="J62" s="1" t="str">
        <f aca="false">IFERROR(VLOOKUP($B62,ItemList_Full,5,0),"")</f>
        <v/>
      </c>
    </row>
    <row r="63" customFormat="false" ht="15" hidden="false" customHeight="true" outlineLevel="0" collapsed="false">
      <c r="A63" s="19"/>
      <c r="B63" s="12"/>
      <c r="C63" s="12" t="str">
        <f aca="false">IFERROR(VLOOKUP($B63,ItemList_Full,2,0),"")</f>
        <v/>
      </c>
      <c r="D63" s="12" t="str">
        <f aca="false">IFERROR(VLOOKUP($B63,ItemList_Full,3,0),"")</f>
        <v/>
      </c>
      <c r="E63" s="12"/>
      <c r="F63" s="13" t="str">
        <f aca="false">IFERROR(VLOOKUP($B63,ItemList_Full,4,0),"")</f>
        <v/>
      </c>
      <c r="G63" s="13" t="str">
        <f aca="false">IF(OR($E63="",$F63=""),"",$E63*$F63)</f>
        <v/>
      </c>
      <c r="H63" s="12"/>
      <c r="I63" s="12"/>
      <c r="J63" s="1" t="str">
        <f aca="false">IFERROR(VLOOKUP($B63,ItemList_Full,5,0),"")</f>
        <v/>
      </c>
    </row>
    <row r="64" customFormat="false" ht="15" hidden="false" customHeight="true" outlineLevel="0" collapsed="false">
      <c r="A64" s="19"/>
      <c r="B64" s="12"/>
      <c r="C64" s="12" t="str">
        <f aca="false">IFERROR(VLOOKUP($B64,ItemList_Full,2,0),"")</f>
        <v/>
      </c>
      <c r="D64" s="12" t="str">
        <f aca="false">IFERROR(VLOOKUP($B64,ItemList_Full,3,0),"")</f>
        <v/>
      </c>
      <c r="E64" s="12"/>
      <c r="F64" s="13" t="str">
        <f aca="false">IFERROR(VLOOKUP($B64,ItemList_Full,4,0),"")</f>
        <v/>
      </c>
      <c r="G64" s="13" t="str">
        <f aca="false">IF(OR($E64="",$F64=""),"",$E64*$F64)</f>
        <v/>
      </c>
      <c r="H64" s="12"/>
      <c r="I64" s="12"/>
      <c r="J64" s="1" t="str">
        <f aca="false">IFERROR(VLOOKUP($B64,ItemList_Full,5,0),"")</f>
        <v/>
      </c>
    </row>
    <row r="65" customFormat="false" ht="15" hidden="false" customHeight="true" outlineLevel="0" collapsed="false">
      <c r="A65" s="19"/>
      <c r="B65" s="12"/>
      <c r="C65" s="12" t="str">
        <f aca="false">IFERROR(VLOOKUP($B65,ItemList_Full,2,0),"")</f>
        <v/>
      </c>
      <c r="D65" s="12" t="str">
        <f aca="false">IFERROR(VLOOKUP($B65,ItemList_Full,3,0),"")</f>
        <v/>
      </c>
      <c r="E65" s="12"/>
      <c r="F65" s="13" t="str">
        <f aca="false">IFERROR(VLOOKUP($B65,ItemList_Full,4,0),"")</f>
        <v/>
      </c>
      <c r="G65" s="13" t="str">
        <f aca="false">IF(OR($E65="",$F65=""),"",$E65*$F65)</f>
        <v/>
      </c>
      <c r="H65" s="12"/>
      <c r="I65" s="12"/>
      <c r="J65" s="1" t="str">
        <f aca="false">IFERROR(VLOOKUP($B65,ItemList_Full,5,0),"")</f>
        <v/>
      </c>
    </row>
    <row r="66" customFormat="false" ht="15" hidden="false" customHeight="true" outlineLevel="0" collapsed="false">
      <c r="A66" s="19"/>
      <c r="B66" s="12"/>
      <c r="C66" s="12" t="str">
        <f aca="false">IFERROR(VLOOKUP($B66,ItemList_Full,2,0),"")</f>
        <v/>
      </c>
      <c r="D66" s="12" t="str">
        <f aca="false">IFERROR(VLOOKUP($B66,ItemList_Full,3,0),"")</f>
        <v/>
      </c>
      <c r="E66" s="12"/>
      <c r="F66" s="13" t="str">
        <f aca="false">IFERROR(VLOOKUP($B66,ItemList_Full,4,0),"")</f>
        <v/>
      </c>
      <c r="G66" s="13" t="str">
        <f aca="false">IF(OR($E66="",$F66=""),"",$E66*$F66)</f>
        <v/>
      </c>
      <c r="H66" s="12"/>
      <c r="I66" s="12"/>
      <c r="J66" s="1" t="str">
        <f aca="false">IFERROR(VLOOKUP($B66,ItemList_Full,5,0),"")</f>
        <v/>
      </c>
    </row>
    <row r="67" customFormat="false" ht="15" hidden="false" customHeight="true" outlineLevel="0" collapsed="false">
      <c r="A67" s="19"/>
      <c r="B67" s="12"/>
      <c r="C67" s="12" t="str">
        <f aca="false">IFERROR(VLOOKUP($B67,ItemList_Full,2,0),"")</f>
        <v/>
      </c>
      <c r="D67" s="12" t="str">
        <f aca="false">IFERROR(VLOOKUP($B67,ItemList_Full,3,0),"")</f>
        <v/>
      </c>
      <c r="E67" s="12"/>
      <c r="F67" s="13" t="str">
        <f aca="false">IFERROR(VLOOKUP($B67,ItemList_Full,4,0),"")</f>
        <v/>
      </c>
      <c r="G67" s="13" t="str">
        <f aca="false">IF(OR($E67="",$F67=""),"",$E67*$F67)</f>
        <v/>
      </c>
      <c r="H67" s="12"/>
      <c r="I67" s="12"/>
      <c r="J67" s="1" t="str">
        <f aca="false">IFERROR(VLOOKUP($B67,ItemList_Full,5,0),"")</f>
        <v/>
      </c>
    </row>
    <row r="68" customFormat="false" ht="15" hidden="false" customHeight="true" outlineLevel="0" collapsed="false">
      <c r="A68" s="19"/>
      <c r="B68" s="12"/>
      <c r="C68" s="12" t="str">
        <f aca="false">IFERROR(VLOOKUP($B68,ItemList_Full,2,0),"")</f>
        <v/>
      </c>
      <c r="D68" s="12" t="str">
        <f aca="false">IFERROR(VLOOKUP($B68,ItemList_Full,3,0),"")</f>
        <v/>
      </c>
      <c r="E68" s="12"/>
      <c r="F68" s="13" t="str">
        <f aca="false">IFERROR(VLOOKUP($B68,ItemList_Full,4,0),"")</f>
        <v/>
      </c>
      <c r="G68" s="13" t="str">
        <f aca="false">IF(OR($E68="",$F68=""),"",$E68*$F68)</f>
        <v/>
      </c>
      <c r="H68" s="12"/>
      <c r="I68" s="12"/>
      <c r="J68" s="1" t="str">
        <f aca="false">IFERROR(VLOOKUP($B68,ItemList_Full,5,0),"")</f>
        <v/>
      </c>
    </row>
    <row r="69" customFormat="false" ht="15" hidden="false" customHeight="true" outlineLevel="0" collapsed="false">
      <c r="A69" s="19"/>
      <c r="B69" s="12"/>
      <c r="C69" s="12" t="str">
        <f aca="false">IFERROR(VLOOKUP($B69,ItemList_Full,2,0),"")</f>
        <v/>
      </c>
      <c r="D69" s="12" t="str">
        <f aca="false">IFERROR(VLOOKUP($B69,ItemList_Full,3,0),"")</f>
        <v/>
      </c>
      <c r="E69" s="12"/>
      <c r="F69" s="13" t="str">
        <f aca="false">IFERROR(VLOOKUP($B69,ItemList_Full,4,0),"")</f>
        <v/>
      </c>
      <c r="G69" s="13" t="str">
        <f aca="false">IF(OR($E69="",$F69=""),"",$E69*$F69)</f>
        <v/>
      </c>
      <c r="H69" s="12"/>
      <c r="I69" s="12"/>
      <c r="J69" s="1" t="str">
        <f aca="false">IFERROR(VLOOKUP($B69,ItemList_Full,5,0),"")</f>
        <v/>
      </c>
    </row>
    <row r="70" customFormat="false" ht="15" hidden="false" customHeight="true" outlineLevel="0" collapsed="false">
      <c r="A70" s="19"/>
      <c r="B70" s="12"/>
      <c r="C70" s="12" t="str">
        <f aca="false">IFERROR(VLOOKUP($B70,ItemList_Full,2,0),"")</f>
        <v/>
      </c>
      <c r="D70" s="12" t="str">
        <f aca="false">IFERROR(VLOOKUP($B70,ItemList_Full,3,0),"")</f>
        <v/>
      </c>
      <c r="E70" s="12"/>
      <c r="F70" s="13" t="str">
        <f aca="false">IFERROR(VLOOKUP($B70,ItemList_Full,4,0),"")</f>
        <v/>
      </c>
      <c r="G70" s="13" t="str">
        <f aca="false">IF(OR($E70="",$F70=""),"",$E70*$F70)</f>
        <v/>
      </c>
      <c r="H70" s="12"/>
      <c r="I70" s="12"/>
      <c r="J70" s="1" t="str">
        <f aca="false">IFERROR(VLOOKUP($B70,ItemList_Full,5,0),"")</f>
        <v/>
      </c>
    </row>
    <row r="71" customFormat="false" ht="15" hidden="false" customHeight="true" outlineLevel="0" collapsed="false">
      <c r="A71" s="19"/>
      <c r="B71" s="12"/>
      <c r="C71" s="12" t="str">
        <f aca="false">IFERROR(VLOOKUP($B71,ItemList_Full,2,0),"")</f>
        <v/>
      </c>
      <c r="D71" s="12" t="str">
        <f aca="false">IFERROR(VLOOKUP($B71,ItemList_Full,3,0),"")</f>
        <v/>
      </c>
      <c r="E71" s="12"/>
      <c r="F71" s="13" t="str">
        <f aca="false">IFERROR(VLOOKUP($B71,ItemList_Full,4,0),"")</f>
        <v/>
      </c>
      <c r="G71" s="13" t="str">
        <f aca="false">IF(OR($E71="",$F71=""),"",$E71*$F71)</f>
        <v/>
      </c>
      <c r="H71" s="12"/>
      <c r="I71" s="12"/>
      <c r="J71" s="1" t="str">
        <f aca="false">IFERROR(VLOOKUP($B71,ItemList_Full,5,0),"")</f>
        <v/>
      </c>
    </row>
    <row r="72" customFormat="false" ht="15" hidden="false" customHeight="true" outlineLevel="0" collapsed="false">
      <c r="A72" s="19"/>
      <c r="B72" s="12"/>
      <c r="C72" s="12" t="str">
        <f aca="false">IFERROR(VLOOKUP($B72,ItemList_Full,2,0),"")</f>
        <v/>
      </c>
      <c r="D72" s="12" t="str">
        <f aca="false">IFERROR(VLOOKUP($B72,ItemList_Full,3,0),"")</f>
        <v/>
      </c>
      <c r="E72" s="12"/>
      <c r="F72" s="13" t="str">
        <f aca="false">IFERROR(VLOOKUP($B72,ItemList_Full,4,0),"")</f>
        <v/>
      </c>
      <c r="G72" s="13" t="str">
        <f aca="false">IF(OR($E72="",$F72=""),"",$E72*$F72)</f>
        <v/>
      </c>
      <c r="H72" s="12"/>
      <c r="I72" s="12"/>
      <c r="J72" s="1" t="str">
        <f aca="false">IFERROR(VLOOKUP($B72,ItemList_Full,5,0),"")</f>
        <v/>
      </c>
    </row>
    <row r="73" customFormat="false" ht="15" hidden="false" customHeight="true" outlineLevel="0" collapsed="false">
      <c r="A73" s="19"/>
      <c r="B73" s="12"/>
      <c r="C73" s="12" t="str">
        <f aca="false">IFERROR(VLOOKUP($B73,ItemList_Full,2,0),"")</f>
        <v/>
      </c>
      <c r="D73" s="12" t="str">
        <f aca="false">IFERROR(VLOOKUP($B73,ItemList_Full,3,0),"")</f>
        <v/>
      </c>
      <c r="E73" s="12"/>
      <c r="F73" s="13" t="str">
        <f aca="false">IFERROR(VLOOKUP($B73,ItemList_Full,4,0),"")</f>
        <v/>
      </c>
      <c r="G73" s="13" t="str">
        <f aca="false">IF(OR($E73="",$F73=""),"",$E73*$F73)</f>
        <v/>
      </c>
      <c r="H73" s="12"/>
      <c r="I73" s="12"/>
      <c r="J73" s="1" t="str">
        <f aca="false">IFERROR(VLOOKUP($B73,ItemList_Full,5,0),"")</f>
        <v/>
      </c>
    </row>
    <row r="74" customFormat="false" ht="15" hidden="false" customHeight="true" outlineLevel="0" collapsed="false">
      <c r="A74" s="19"/>
      <c r="B74" s="12"/>
      <c r="C74" s="12" t="str">
        <f aca="false">IFERROR(VLOOKUP($B74,ItemList_Full,2,0),"")</f>
        <v/>
      </c>
      <c r="D74" s="12" t="str">
        <f aca="false">IFERROR(VLOOKUP($B74,ItemList_Full,3,0),"")</f>
        <v/>
      </c>
      <c r="E74" s="12"/>
      <c r="F74" s="13" t="str">
        <f aca="false">IFERROR(VLOOKUP($B74,ItemList_Full,4,0),"")</f>
        <v/>
      </c>
      <c r="G74" s="13" t="str">
        <f aca="false">IF(OR($E74="",$F74=""),"",$E74*$F74)</f>
        <v/>
      </c>
      <c r="H74" s="12"/>
      <c r="I74" s="12"/>
      <c r="J74" s="1" t="str">
        <f aca="false">IFERROR(VLOOKUP($B74,ItemList_Full,5,0),"")</f>
        <v/>
      </c>
    </row>
    <row r="75" customFormat="false" ht="15" hidden="false" customHeight="true" outlineLevel="0" collapsed="false">
      <c r="A75" s="19"/>
      <c r="B75" s="12"/>
      <c r="C75" s="12" t="str">
        <f aca="false">IFERROR(VLOOKUP($B75,ItemList_Full,2,0),"")</f>
        <v/>
      </c>
      <c r="D75" s="12" t="str">
        <f aca="false">IFERROR(VLOOKUP($B75,ItemList_Full,3,0),"")</f>
        <v/>
      </c>
      <c r="E75" s="12"/>
      <c r="F75" s="13" t="str">
        <f aca="false">IFERROR(VLOOKUP($B75,ItemList_Full,4,0),"")</f>
        <v/>
      </c>
      <c r="G75" s="13" t="str">
        <f aca="false">IF(OR($E75="",$F75=""),"",$E75*$F75)</f>
        <v/>
      </c>
      <c r="H75" s="12"/>
      <c r="I75" s="12"/>
      <c r="J75" s="1" t="str">
        <f aca="false">IFERROR(VLOOKUP($B75,ItemList_Full,5,0),"")</f>
        <v/>
      </c>
    </row>
    <row r="76" customFormat="false" ht="15" hidden="false" customHeight="true" outlineLevel="0" collapsed="false">
      <c r="A76" s="19"/>
      <c r="B76" s="12"/>
      <c r="C76" s="12" t="str">
        <f aca="false">IFERROR(VLOOKUP($B76,ItemList_Full,2,0),"")</f>
        <v/>
      </c>
      <c r="D76" s="12" t="str">
        <f aca="false">IFERROR(VLOOKUP($B76,ItemList_Full,3,0),"")</f>
        <v/>
      </c>
      <c r="E76" s="12"/>
      <c r="F76" s="13" t="str">
        <f aca="false">IFERROR(VLOOKUP($B76,ItemList_Full,4,0),"")</f>
        <v/>
      </c>
      <c r="G76" s="13" t="str">
        <f aca="false">IF(OR($E76="",$F76=""),"",$E76*$F76)</f>
        <v/>
      </c>
      <c r="H76" s="12"/>
      <c r="I76" s="12"/>
      <c r="J76" s="1" t="str">
        <f aca="false">IFERROR(VLOOKUP($B76,ItemList_Full,5,0),"")</f>
        <v/>
      </c>
    </row>
    <row r="77" customFormat="false" ht="15" hidden="false" customHeight="true" outlineLevel="0" collapsed="false">
      <c r="A77" s="19"/>
      <c r="B77" s="12"/>
      <c r="C77" s="12" t="str">
        <f aca="false">IFERROR(VLOOKUP($B77,ItemList_Full,2,0),"")</f>
        <v/>
      </c>
      <c r="D77" s="12" t="str">
        <f aca="false">IFERROR(VLOOKUP($B77,ItemList_Full,3,0),"")</f>
        <v/>
      </c>
      <c r="E77" s="12"/>
      <c r="F77" s="13" t="str">
        <f aca="false">IFERROR(VLOOKUP($B77,ItemList_Full,4,0),"")</f>
        <v/>
      </c>
      <c r="G77" s="13" t="str">
        <f aca="false">IF(OR($E77="",$F77=""),"",$E77*$F77)</f>
        <v/>
      </c>
      <c r="H77" s="12"/>
      <c r="I77" s="12"/>
      <c r="J77" s="1" t="str">
        <f aca="false">IFERROR(VLOOKUP($B77,ItemList_Full,5,0),"")</f>
        <v/>
      </c>
    </row>
    <row r="78" customFormat="false" ht="15" hidden="false" customHeight="true" outlineLevel="0" collapsed="false">
      <c r="A78" s="19"/>
      <c r="B78" s="12"/>
      <c r="C78" s="12" t="str">
        <f aca="false">IFERROR(VLOOKUP($B78,ItemList_Full,2,0),"")</f>
        <v/>
      </c>
      <c r="D78" s="12" t="str">
        <f aca="false">IFERROR(VLOOKUP($B78,ItemList_Full,3,0),"")</f>
        <v/>
      </c>
      <c r="E78" s="12"/>
      <c r="F78" s="13" t="str">
        <f aca="false">IFERROR(VLOOKUP($B78,ItemList_Full,4,0),"")</f>
        <v/>
      </c>
      <c r="G78" s="13" t="str">
        <f aca="false">IF(OR($E78="",$F78=""),"",$E78*$F78)</f>
        <v/>
      </c>
      <c r="H78" s="12"/>
      <c r="I78" s="12"/>
      <c r="J78" s="1" t="str">
        <f aca="false">IFERROR(VLOOKUP($B78,ItemList_Full,5,0),"")</f>
        <v/>
      </c>
    </row>
    <row r="79" customFormat="false" ht="15" hidden="false" customHeight="true" outlineLevel="0" collapsed="false">
      <c r="A79" s="19"/>
      <c r="B79" s="12"/>
      <c r="C79" s="12" t="str">
        <f aca="false">IFERROR(VLOOKUP($B79,ItemList_Full,2,0),"")</f>
        <v/>
      </c>
      <c r="D79" s="12" t="str">
        <f aca="false">IFERROR(VLOOKUP($B79,ItemList_Full,3,0),"")</f>
        <v/>
      </c>
      <c r="E79" s="12"/>
      <c r="F79" s="13" t="str">
        <f aca="false">IFERROR(VLOOKUP($B79,ItemList_Full,4,0),"")</f>
        <v/>
      </c>
      <c r="G79" s="13" t="str">
        <f aca="false">IF(OR($E79="",$F79=""),"",$E79*$F79)</f>
        <v/>
      </c>
      <c r="H79" s="12"/>
      <c r="I79" s="12"/>
      <c r="J79" s="1" t="str">
        <f aca="false">IFERROR(VLOOKUP($B79,ItemList_Full,5,0),"")</f>
        <v/>
      </c>
    </row>
    <row r="80" customFormat="false" ht="15" hidden="false" customHeight="true" outlineLevel="0" collapsed="false">
      <c r="A80" s="19"/>
      <c r="B80" s="12"/>
      <c r="C80" s="12" t="str">
        <f aca="false">IFERROR(VLOOKUP($B80,ItemList_Full,2,0),"")</f>
        <v/>
      </c>
      <c r="D80" s="12" t="str">
        <f aca="false">IFERROR(VLOOKUP($B80,ItemList_Full,3,0),"")</f>
        <v/>
      </c>
      <c r="E80" s="12"/>
      <c r="F80" s="13" t="str">
        <f aca="false">IFERROR(VLOOKUP($B80,ItemList_Full,4,0),"")</f>
        <v/>
      </c>
      <c r="G80" s="13" t="str">
        <f aca="false">IF(OR($E80="",$F80=""),"",$E80*$F80)</f>
        <v/>
      </c>
      <c r="H80" s="12"/>
      <c r="I80" s="12"/>
      <c r="J80" s="1" t="str">
        <f aca="false">IFERROR(VLOOKUP($B80,ItemList_Full,5,0),"")</f>
        <v/>
      </c>
    </row>
    <row r="81" customFormat="false" ht="15" hidden="false" customHeight="true" outlineLevel="0" collapsed="false">
      <c r="A81" s="19"/>
      <c r="B81" s="12"/>
      <c r="C81" s="12" t="str">
        <f aca="false">IFERROR(VLOOKUP($B81,ItemList_Full,2,0),"")</f>
        <v/>
      </c>
      <c r="D81" s="12" t="str">
        <f aca="false">IFERROR(VLOOKUP($B81,ItemList_Full,3,0),"")</f>
        <v/>
      </c>
      <c r="E81" s="12"/>
      <c r="F81" s="13" t="str">
        <f aca="false">IFERROR(VLOOKUP($B81,ItemList_Full,4,0),"")</f>
        <v/>
      </c>
      <c r="G81" s="13" t="str">
        <f aca="false">IF(OR($E81="",$F81=""),"",$E81*$F81)</f>
        <v/>
      </c>
      <c r="H81" s="12"/>
      <c r="I81" s="12"/>
      <c r="J81" s="1" t="str">
        <f aca="false">IFERROR(VLOOKUP($B81,ItemList_Full,5,0),"")</f>
        <v/>
      </c>
    </row>
    <row r="82" customFormat="false" ht="15" hidden="false" customHeight="true" outlineLevel="0" collapsed="false">
      <c r="A82" s="19"/>
      <c r="B82" s="12"/>
      <c r="C82" s="12" t="str">
        <f aca="false">IFERROR(VLOOKUP($B82,ItemList_Full,2,0),"")</f>
        <v/>
      </c>
      <c r="D82" s="12" t="str">
        <f aca="false">IFERROR(VLOOKUP($B82,ItemList_Full,3,0),"")</f>
        <v/>
      </c>
      <c r="E82" s="12"/>
      <c r="F82" s="13" t="str">
        <f aca="false">IFERROR(VLOOKUP($B82,ItemList_Full,4,0),"")</f>
        <v/>
      </c>
      <c r="G82" s="13" t="str">
        <f aca="false">IF(OR($E82="",$F82=""),"",$E82*$F82)</f>
        <v/>
      </c>
      <c r="H82" s="12"/>
      <c r="I82" s="12"/>
      <c r="J82" s="1" t="str">
        <f aca="false">IFERROR(VLOOKUP($B82,ItemList_Full,5,0),"")</f>
        <v/>
      </c>
    </row>
    <row r="83" customFormat="false" ht="15" hidden="false" customHeight="true" outlineLevel="0" collapsed="false">
      <c r="A83" s="19"/>
      <c r="B83" s="12"/>
      <c r="C83" s="12" t="str">
        <f aca="false">IFERROR(VLOOKUP($B83,ItemList_Full,2,0),"")</f>
        <v/>
      </c>
      <c r="D83" s="12" t="str">
        <f aca="false">IFERROR(VLOOKUP($B83,ItemList_Full,3,0),"")</f>
        <v/>
      </c>
      <c r="E83" s="12"/>
      <c r="F83" s="13" t="str">
        <f aca="false">IFERROR(VLOOKUP($B83,ItemList_Full,4,0),"")</f>
        <v/>
      </c>
      <c r="G83" s="13" t="str">
        <f aca="false">IF(OR($E83="",$F83=""),"",$E83*$F83)</f>
        <v/>
      </c>
      <c r="H83" s="12"/>
      <c r="I83" s="12"/>
      <c r="J83" s="1" t="str">
        <f aca="false">IFERROR(VLOOKUP($B83,ItemList_Full,5,0),"")</f>
        <v/>
      </c>
    </row>
    <row r="84" customFormat="false" ht="15" hidden="false" customHeight="true" outlineLevel="0" collapsed="false">
      <c r="A84" s="19"/>
      <c r="B84" s="12"/>
      <c r="C84" s="12" t="str">
        <f aca="false">IFERROR(VLOOKUP($B84,ItemList_Full,2,0),"")</f>
        <v/>
      </c>
      <c r="D84" s="12" t="str">
        <f aca="false">IFERROR(VLOOKUP($B84,ItemList_Full,3,0),"")</f>
        <v/>
      </c>
      <c r="E84" s="12"/>
      <c r="F84" s="13" t="str">
        <f aca="false">IFERROR(VLOOKUP($B84,ItemList_Full,4,0),"")</f>
        <v/>
      </c>
      <c r="G84" s="13" t="str">
        <f aca="false">IF(OR($E84="",$F84=""),"",$E84*$F84)</f>
        <v/>
      </c>
      <c r="H84" s="12"/>
      <c r="I84" s="12"/>
      <c r="J84" s="1" t="str">
        <f aca="false">IFERROR(VLOOKUP($B84,ItemList_Full,5,0),"")</f>
        <v/>
      </c>
    </row>
    <row r="85" customFormat="false" ht="15" hidden="false" customHeight="true" outlineLevel="0" collapsed="false">
      <c r="A85" s="19"/>
      <c r="B85" s="12"/>
      <c r="C85" s="12" t="str">
        <f aca="false">IFERROR(VLOOKUP($B85,ItemList_Full,2,0),"")</f>
        <v/>
      </c>
      <c r="D85" s="12" t="str">
        <f aca="false">IFERROR(VLOOKUP($B85,ItemList_Full,3,0),"")</f>
        <v/>
      </c>
      <c r="E85" s="12"/>
      <c r="F85" s="13" t="str">
        <f aca="false">IFERROR(VLOOKUP($B85,ItemList_Full,4,0),"")</f>
        <v/>
      </c>
      <c r="G85" s="13" t="str">
        <f aca="false">IF(OR($E85="",$F85=""),"",$E85*$F85)</f>
        <v/>
      </c>
      <c r="H85" s="12"/>
      <c r="I85" s="12"/>
      <c r="J85" s="1" t="str">
        <f aca="false">IFERROR(VLOOKUP($B85,ItemList_Full,5,0),"")</f>
        <v/>
      </c>
    </row>
    <row r="86" customFormat="false" ht="15" hidden="false" customHeight="true" outlineLevel="0" collapsed="false">
      <c r="A86" s="19"/>
      <c r="B86" s="12"/>
      <c r="C86" s="12" t="str">
        <f aca="false">IFERROR(VLOOKUP($B86,ItemList_Full,2,0),"")</f>
        <v/>
      </c>
      <c r="D86" s="12" t="str">
        <f aca="false">IFERROR(VLOOKUP($B86,ItemList_Full,3,0),"")</f>
        <v/>
      </c>
      <c r="E86" s="12"/>
      <c r="F86" s="13" t="str">
        <f aca="false">IFERROR(VLOOKUP($B86,ItemList_Full,4,0),"")</f>
        <v/>
      </c>
      <c r="G86" s="13" t="str">
        <f aca="false">IF(OR($E86="",$F86=""),"",$E86*$F86)</f>
        <v/>
      </c>
      <c r="H86" s="12"/>
      <c r="I86" s="12"/>
      <c r="J86" s="1" t="str">
        <f aca="false">IFERROR(VLOOKUP($B86,ItemList_Full,5,0),"")</f>
        <v/>
      </c>
    </row>
    <row r="87" customFormat="false" ht="15" hidden="false" customHeight="true" outlineLevel="0" collapsed="false">
      <c r="A87" s="19"/>
      <c r="B87" s="12"/>
      <c r="C87" s="12" t="str">
        <f aca="false">IFERROR(VLOOKUP($B87,ItemList_Full,2,0),"")</f>
        <v/>
      </c>
      <c r="D87" s="12" t="str">
        <f aca="false">IFERROR(VLOOKUP($B87,ItemList_Full,3,0),"")</f>
        <v/>
      </c>
      <c r="E87" s="12"/>
      <c r="F87" s="13" t="str">
        <f aca="false">IFERROR(VLOOKUP($B87,ItemList_Full,4,0),"")</f>
        <v/>
      </c>
      <c r="G87" s="13" t="str">
        <f aca="false">IF(OR($E87="",$F87=""),"",$E87*$F87)</f>
        <v/>
      </c>
      <c r="H87" s="12"/>
      <c r="I87" s="12"/>
      <c r="J87" s="1" t="str">
        <f aca="false">IFERROR(VLOOKUP($B87,ItemList_Full,5,0),"")</f>
        <v/>
      </c>
    </row>
    <row r="88" customFormat="false" ht="15" hidden="false" customHeight="true" outlineLevel="0" collapsed="false">
      <c r="A88" s="19"/>
      <c r="B88" s="12"/>
      <c r="C88" s="12" t="str">
        <f aca="false">IFERROR(VLOOKUP($B88,ItemList_Full,2,0),"")</f>
        <v/>
      </c>
      <c r="D88" s="12" t="str">
        <f aca="false">IFERROR(VLOOKUP($B88,ItemList_Full,3,0),"")</f>
        <v/>
      </c>
      <c r="E88" s="12"/>
      <c r="F88" s="13" t="str">
        <f aca="false">IFERROR(VLOOKUP($B88,ItemList_Full,4,0),"")</f>
        <v/>
      </c>
      <c r="G88" s="13" t="str">
        <f aca="false">IF(OR($E88="",$F88=""),"",$E88*$F88)</f>
        <v/>
      </c>
      <c r="H88" s="12"/>
      <c r="I88" s="12"/>
      <c r="J88" s="1" t="str">
        <f aca="false">IFERROR(VLOOKUP($B88,ItemList_Full,5,0),"")</f>
        <v/>
      </c>
    </row>
    <row r="89" customFormat="false" ht="15" hidden="false" customHeight="true" outlineLevel="0" collapsed="false">
      <c r="A89" s="19"/>
      <c r="B89" s="12"/>
      <c r="C89" s="12" t="str">
        <f aca="false">IFERROR(VLOOKUP($B89,ItemList_Full,2,0),"")</f>
        <v/>
      </c>
      <c r="D89" s="12" t="str">
        <f aca="false">IFERROR(VLOOKUP($B89,ItemList_Full,3,0),"")</f>
        <v/>
      </c>
      <c r="E89" s="12"/>
      <c r="F89" s="13" t="str">
        <f aca="false">IFERROR(VLOOKUP($B89,ItemList_Full,4,0),"")</f>
        <v/>
      </c>
      <c r="G89" s="13" t="str">
        <f aca="false">IF(OR($E89="",$F89=""),"",$E89*$F89)</f>
        <v/>
      </c>
      <c r="H89" s="12"/>
      <c r="I89" s="12"/>
      <c r="J89" s="1" t="str">
        <f aca="false">IFERROR(VLOOKUP($B89,ItemList_Full,5,0),"")</f>
        <v/>
      </c>
    </row>
    <row r="90" customFormat="false" ht="15" hidden="false" customHeight="true" outlineLevel="0" collapsed="false">
      <c r="A90" s="19"/>
      <c r="B90" s="12"/>
      <c r="C90" s="12" t="str">
        <f aca="false">IFERROR(VLOOKUP($B90,ItemList_Full,2,0),"")</f>
        <v/>
      </c>
      <c r="D90" s="12" t="str">
        <f aca="false">IFERROR(VLOOKUP($B90,ItemList_Full,3,0),"")</f>
        <v/>
      </c>
      <c r="E90" s="12"/>
      <c r="F90" s="13" t="str">
        <f aca="false">IFERROR(VLOOKUP($B90,ItemList_Full,4,0),"")</f>
        <v/>
      </c>
      <c r="G90" s="13" t="str">
        <f aca="false">IF(OR($E90="",$F90=""),"",$E90*$F90)</f>
        <v/>
      </c>
      <c r="H90" s="12"/>
      <c r="I90" s="12"/>
      <c r="J90" s="1" t="str">
        <f aca="false">IFERROR(VLOOKUP($B90,ItemList_Full,5,0),"")</f>
        <v/>
      </c>
    </row>
    <row r="91" customFormat="false" ht="15" hidden="false" customHeight="true" outlineLevel="0" collapsed="false">
      <c r="A91" s="19"/>
      <c r="B91" s="12"/>
      <c r="C91" s="12" t="str">
        <f aca="false">IFERROR(VLOOKUP($B91,ItemList_Full,2,0),"")</f>
        <v/>
      </c>
      <c r="D91" s="12" t="str">
        <f aca="false">IFERROR(VLOOKUP($B91,ItemList_Full,3,0),"")</f>
        <v/>
      </c>
      <c r="E91" s="12"/>
      <c r="F91" s="13" t="str">
        <f aca="false">IFERROR(VLOOKUP($B91,ItemList_Full,4,0),"")</f>
        <v/>
      </c>
      <c r="G91" s="13" t="str">
        <f aca="false">IF(OR($E91="",$F91=""),"",$E91*$F91)</f>
        <v/>
      </c>
      <c r="H91" s="12"/>
      <c r="I91" s="12"/>
      <c r="J91" s="1" t="str">
        <f aca="false">IFERROR(VLOOKUP($B91,ItemList_Full,5,0),"")</f>
        <v/>
      </c>
    </row>
    <row r="92" customFormat="false" ht="15" hidden="false" customHeight="true" outlineLevel="0" collapsed="false">
      <c r="A92" s="19"/>
      <c r="B92" s="12"/>
      <c r="C92" s="12" t="str">
        <f aca="false">IFERROR(VLOOKUP($B92,ItemList_Full,2,0),"")</f>
        <v/>
      </c>
      <c r="D92" s="12" t="str">
        <f aca="false">IFERROR(VLOOKUP($B92,ItemList_Full,3,0),"")</f>
        <v/>
      </c>
      <c r="E92" s="12"/>
      <c r="F92" s="13" t="str">
        <f aca="false">IFERROR(VLOOKUP($B92,ItemList_Full,4,0),"")</f>
        <v/>
      </c>
      <c r="G92" s="13" t="str">
        <f aca="false">IF(OR($E92="",$F92=""),"",$E92*$F92)</f>
        <v/>
      </c>
      <c r="H92" s="12"/>
      <c r="I92" s="12"/>
      <c r="J92" s="1" t="str">
        <f aca="false">IFERROR(VLOOKUP($B92,ItemList_Full,5,0),"")</f>
        <v/>
      </c>
    </row>
    <row r="93" customFormat="false" ht="15" hidden="false" customHeight="true" outlineLevel="0" collapsed="false">
      <c r="A93" s="19"/>
      <c r="B93" s="12"/>
      <c r="C93" s="12" t="str">
        <f aca="false">IFERROR(VLOOKUP($B93,ItemList_Full,2,0),"")</f>
        <v/>
      </c>
      <c r="D93" s="12" t="str">
        <f aca="false">IFERROR(VLOOKUP($B93,ItemList_Full,3,0),"")</f>
        <v/>
      </c>
      <c r="E93" s="12"/>
      <c r="F93" s="13" t="str">
        <f aca="false">IFERROR(VLOOKUP($B93,ItemList_Full,4,0),"")</f>
        <v/>
      </c>
      <c r="G93" s="13" t="str">
        <f aca="false">IF(OR($E93="",$F93=""),"",$E93*$F93)</f>
        <v/>
      </c>
      <c r="H93" s="12"/>
      <c r="I93" s="12"/>
      <c r="J93" s="1" t="str">
        <f aca="false">IFERROR(VLOOKUP($B93,ItemList_Full,5,0),"")</f>
        <v/>
      </c>
    </row>
    <row r="94" customFormat="false" ht="15" hidden="false" customHeight="true" outlineLevel="0" collapsed="false">
      <c r="A94" s="19"/>
      <c r="B94" s="12"/>
      <c r="C94" s="12" t="str">
        <f aca="false">IFERROR(VLOOKUP($B94,ItemList_Full,2,0),"")</f>
        <v/>
      </c>
      <c r="D94" s="12" t="str">
        <f aca="false">IFERROR(VLOOKUP($B94,ItemList_Full,3,0),"")</f>
        <v/>
      </c>
      <c r="E94" s="12"/>
      <c r="F94" s="13" t="str">
        <f aca="false">IFERROR(VLOOKUP($B94,ItemList_Full,4,0),"")</f>
        <v/>
      </c>
      <c r="G94" s="13" t="str">
        <f aca="false">IF(OR($E94="",$F94=""),"",$E94*$F94)</f>
        <v/>
      </c>
      <c r="H94" s="12"/>
      <c r="I94" s="12"/>
      <c r="J94" s="1" t="str">
        <f aca="false">IFERROR(VLOOKUP($B94,ItemList_Full,5,0),"")</f>
        <v/>
      </c>
    </row>
    <row r="95" customFormat="false" ht="15" hidden="false" customHeight="true" outlineLevel="0" collapsed="false">
      <c r="A95" s="19"/>
      <c r="B95" s="12"/>
      <c r="C95" s="12" t="str">
        <f aca="false">IFERROR(VLOOKUP($B95,ItemList_Full,2,0),"")</f>
        <v/>
      </c>
      <c r="D95" s="12" t="str">
        <f aca="false">IFERROR(VLOOKUP($B95,ItemList_Full,3,0),"")</f>
        <v/>
      </c>
      <c r="E95" s="12"/>
      <c r="F95" s="13" t="str">
        <f aca="false">IFERROR(VLOOKUP($B95,ItemList_Full,4,0),"")</f>
        <v/>
      </c>
      <c r="G95" s="13" t="str">
        <f aca="false">IF(OR($E95="",$F95=""),"",$E95*$F95)</f>
        <v/>
      </c>
      <c r="H95" s="12"/>
      <c r="I95" s="12"/>
      <c r="J95" s="1" t="str">
        <f aca="false">IFERROR(VLOOKUP($B95,ItemList_Full,5,0),"")</f>
        <v/>
      </c>
    </row>
    <row r="96" customFormat="false" ht="15" hidden="false" customHeight="true" outlineLevel="0" collapsed="false">
      <c r="A96" s="19"/>
      <c r="B96" s="12"/>
      <c r="C96" s="12" t="str">
        <f aca="false">IFERROR(VLOOKUP($B96,ItemList_Full,2,0),"")</f>
        <v/>
      </c>
      <c r="D96" s="12" t="str">
        <f aca="false">IFERROR(VLOOKUP($B96,ItemList_Full,3,0),"")</f>
        <v/>
      </c>
      <c r="E96" s="12"/>
      <c r="F96" s="13" t="str">
        <f aca="false">IFERROR(VLOOKUP($B96,ItemList_Full,4,0),"")</f>
        <v/>
      </c>
      <c r="G96" s="13" t="str">
        <f aca="false">IF(OR($E96="",$F96=""),"",$E96*$F96)</f>
        <v/>
      </c>
      <c r="H96" s="12"/>
      <c r="I96" s="12"/>
      <c r="J96" s="1" t="str">
        <f aca="false">IFERROR(VLOOKUP($B96,ItemList_Full,5,0),"")</f>
        <v/>
      </c>
    </row>
    <row r="97" customFormat="false" ht="15" hidden="false" customHeight="true" outlineLevel="0" collapsed="false">
      <c r="A97" s="19"/>
      <c r="B97" s="12"/>
      <c r="C97" s="12" t="str">
        <f aca="false">IFERROR(VLOOKUP($B97,ItemList_Full,2,0),"")</f>
        <v/>
      </c>
      <c r="D97" s="12" t="str">
        <f aca="false">IFERROR(VLOOKUP($B97,ItemList_Full,3,0),"")</f>
        <v/>
      </c>
      <c r="E97" s="12"/>
      <c r="F97" s="13" t="str">
        <f aca="false">IFERROR(VLOOKUP($B97,ItemList_Full,4,0),"")</f>
        <v/>
      </c>
      <c r="G97" s="13" t="str">
        <f aca="false">IF(OR($E97="",$F97=""),"",$E97*$F97)</f>
        <v/>
      </c>
      <c r="H97" s="12"/>
      <c r="I97" s="12"/>
      <c r="J97" s="1" t="str">
        <f aca="false">IFERROR(VLOOKUP($B97,ItemList_Full,5,0),"")</f>
        <v/>
      </c>
    </row>
    <row r="98" customFormat="false" ht="15" hidden="false" customHeight="true" outlineLevel="0" collapsed="false">
      <c r="A98" s="19"/>
      <c r="B98" s="12"/>
      <c r="C98" s="12" t="str">
        <f aca="false">IFERROR(VLOOKUP($B98,ItemList_Full,2,0),"")</f>
        <v/>
      </c>
      <c r="D98" s="12" t="str">
        <f aca="false">IFERROR(VLOOKUP($B98,ItemList_Full,3,0),"")</f>
        <v/>
      </c>
      <c r="E98" s="12"/>
      <c r="F98" s="13" t="str">
        <f aca="false">IFERROR(VLOOKUP($B98,ItemList_Full,4,0),"")</f>
        <v/>
      </c>
      <c r="G98" s="13" t="str">
        <f aca="false">IF(OR($E98="",$F98=""),"",$E98*$F98)</f>
        <v/>
      </c>
      <c r="H98" s="12"/>
      <c r="I98" s="12"/>
      <c r="J98" s="1" t="str">
        <f aca="false">IFERROR(VLOOKUP($B98,ItemList_Full,5,0),"")</f>
        <v/>
      </c>
    </row>
    <row r="99" customFormat="false" ht="15" hidden="false" customHeight="true" outlineLevel="0" collapsed="false">
      <c r="A99" s="19"/>
      <c r="B99" s="12"/>
      <c r="C99" s="12" t="str">
        <f aca="false">IFERROR(VLOOKUP($B99,ItemList_Full,2,0),"")</f>
        <v/>
      </c>
      <c r="D99" s="12" t="str">
        <f aca="false">IFERROR(VLOOKUP($B99,ItemList_Full,3,0),"")</f>
        <v/>
      </c>
      <c r="E99" s="12"/>
      <c r="F99" s="13" t="str">
        <f aca="false">IFERROR(VLOOKUP($B99,ItemList_Full,4,0),"")</f>
        <v/>
      </c>
      <c r="G99" s="13" t="str">
        <f aca="false">IF(OR($E99="",$F99=""),"",$E99*$F99)</f>
        <v/>
      </c>
      <c r="H99" s="12"/>
      <c r="I99" s="12"/>
      <c r="J99" s="1" t="str">
        <f aca="false">IFERROR(VLOOKUP($B99,ItemList_Full,5,0),"")</f>
        <v/>
      </c>
    </row>
    <row r="100" customFormat="false" ht="15" hidden="false" customHeight="true" outlineLevel="0" collapsed="false">
      <c r="A100" s="19"/>
      <c r="B100" s="12"/>
      <c r="C100" s="12" t="str">
        <f aca="false">IFERROR(VLOOKUP($B100,ItemList_Full,2,0),"")</f>
        <v/>
      </c>
      <c r="D100" s="12" t="str">
        <f aca="false">IFERROR(VLOOKUP($B100,ItemList_Full,3,0),"")</f>
        <v/>
      </c>
      <c r="E100" s="12"/>
      <c r="F100" s="13" t="str">
        <f aca="false">IFERROR(VLOOKUP($B100,ItemList_Full,4,0),"")</f>
        <v/>
      </c>
      <c r="G100" s="13" t="str">
        <f aca="false">IF(OR($E100="",$F100=""),"",$E100*$F100)</f>
        <v/>
      </c>
      <c r="H100" s="12"/>
      <c r="I100" s="12"/>
      <c r="J100" s="1" t="str">
        <f aca="false">IFERROR(VLOOKUP($B100,ItemList_Full,5,0),"")</f>
        <v/>
      </c>
    </row>
    <row r="101" customFormat="false" ht="15" hidden="false" customHeight="true" outlineLevel="0" collapsed="false">
      <c r="A101" s="19"/>
      <c r="B101" s="12"/>
      <c r="C101" s="12" t="str">
        <f aca="false">IFERROR(VLOOKUP($B101,ItemList_Full,2,0),"")</f>
        <v/>
      </c>
      <c r="D101" s="12" t="str">
        <f aca="false">IFERROR(VLOOKUP($B101,ItemList_Full,3,0),"")</f>
        <v/>
      </c>
      <c r="E101" s="12"/>
      <c r="F101" s="13" t="str">
        <f aca="false">IFERROR(VLOOKUP($B101,ItemList_Full,4,0),"")</f>
        <v/>
      </c>
      <c r="G101" s="13" t="str">
        <f aca="false">IF(OR($E101="",$F101=""),"",$E101*$F101)</f>
        <v/>
      </c>
      <c r="H101" s="12"/>
      <c r="I101" s="12"/>
      <c r="J101" s="1" t="str">
        <f aca="false">IFERROR(VLOOKUP($B101,ItemList_Full,5,0),"")</f>
        <v/>
      </c>
    </row>
    <row r="102" customFormat="false" ht="15" hidden="false" customHeight="true" outlineLevel="0" collapsed="false">
      <c r="A102" s="19"/>
      <c r="B102" s="12"/>
      <c r="C102" s="12" t="str">
        <f aca="false">IFERROR(VLOOKUP($B102,ItemList_Full,2,0),"")</f>
        <v/>
      </c>
      <c r="D102" s="12" t="str">
        <f aca="false">IFERROR(VLOOKUP($B102,ItemList_Full,3,0),"")</f>
        <v/>
      </c>
      <c r="E102" s="12"/>
      <c r="F102" s="13" t="str">
        <f aca="false">IFERROR(VLOOKUP($B102,ItemList_Full,4,0),"")</f>
        <v/>
      </c>
      <c r="G102" s="13" t="str">
        <f aca="false">IF(OR($E102="",$F102=""),"",$E102*$F102)</f>
        <v/>
      </c>
      <c r="H102" s="12"/>
      <c r="I102" s="12"/>
      <c r="J102" s="1" t="str">
        <f aca="false">IFERROR(VLOOKUP($B102,ItemList_Full,5,0),"")</f>
        <v/>
      </c>
    </row>
    <row r="103" customFormat="false" ht="15" hidden="false" customHeight="true" outlineLevel="0" collapsed="false">
      <c r="A103" s="19"/>
      <c r="B103" s="12"/>
      <c r="C103" s="12" t="str">
        <f aca="false">IFERROR(VLOOKUP($B103,ItemList_Full,2,0),"")</f>
        <v/>
      </c>
      <c r="D103" s="12" t="str">
        <f aca="false">IFERROR(VLOOKUP($B103,ItemList_Full,3,0),"")</f>
        <v/>
      </c>
      <c r="E103" s="12"/>
      <c r="F103" s="13" t="str">
        <f aca="false">IFERROR(VLOOKUP($B103,ItemList_Full,4,0),"")</f>
        <v/>
      </c>
      <c r="G103" s="13" t="str">
        <f aca="false">IF(OR($E103="",$F103=""),"",$E103*$F103)</f>
        <v/>
      </c>
      <c r="H103" s="12"/>
      <c r="I103" s="12"/>
      <c r="J103" s="1" t="str">
        <f aca="false">IFERROR(VLOOKUP($B103,ItemList_Full,5,0),"")</f>
        <v/>
      </c>
    </row>
    <row r="104" customFormat="false" ht="15" hidden="false" customHeight="true" outlineLevel="0" collapsed="false">
      <c r="A104" s="19"/>
      <c r="B104" s="12"/>
      <c r="C104" s="12" t="str">
        <f aca="false">IFERROR(VLOOKUP($B104,ItemList_Full,2,0),"")</f>
        <v/>
      </c>
      <c r="D104" s="12" t="str">
        <f aca="false">IFERROR(VLOOKUP($B104,ItemList_Full,3,0),"")</f>
        <v/>
      </c>
      <c r="E104" s="12"/>
      <c r="F104" s="13" t="str">
        <f aca="false">IFERROR(VLOOKUP($B104,ItemList_Full,4,0),"")</f>
        <v/>
      </c>
      <c r="G104" s="13" t="str">
        <f aca="false">IF(OR($E104="",$F104=""),"",$E104*$F104)</f>
        <v/>
      </c>
      <c r="H104" s="12"/>
      <c r="I104" s="12"/>
      <c r="J104" s="1" t="str">
        <f aca="false">IFERROR(VLOOKUP($B104,ItemList_Full,5,0),"")</f>
        <v/>
      </c>
    </row>
    <row r="105" customFormat="false" ht="15" hidden="false" customHeight="true" outlineLevel="0" collapsed="false">
      <c r="A105" s="19"/>
      <c r="B105" s="12"/>
      <c r="C105" s="12" t="str">
        <f aca="false">IFERROR(VLOOKUP($B105,ItemList_Full,2,0),"")</f>
        <v/>
      </c>
      <c r="D105" s="12" t="str">
        <f aca="false">IFERROR(VLOOKUP($B105,ItemList_Full,3,0),"")</f>
        <v/>
      </c>
      <c r="E105" s="12"/>
      <c r="F105" s="13" t="str">
        <f aca="false">IFERROR(VLOOKUP($B105,ItemList_Full,4,0),"")</f>
        <v/>
      </c>
      <c r="G105" s="13" t="str">
        <f aca="false">IF(OR($E105="",$F105=""),"",$E105*$F105)</f>
        <v/>
      </c>
      <c r="H105" s="12"/>
      <c r="I105" s="12"/>
      <c r="J105" s="1" t="str">
        <f aca="false">IFERROR(VLOOKUP($B105,ItemList_Full,5,0),"")</f>
        <v/>
      </c>
    </row>
    <row r="106" customFormat="false" ht="15" hidden="false" customHeight="true" outlineLevel="0" collapsed="false">
      <c r="A106" s="19"/>
      <c r="B106" s="12"/>
      <c r="C106" s="12" t="str">
        <f aca="false">IFERROR(VLOOKUP($B106,ItemList_Full,2,0),"")</f>
        <v/>
      </c>
      <c r="D106" s="12" t="str">
        <f aca="false">IFERROR(VLOOKUP($B106,ItemList_Full,3,0),"")</f>
        <v/>
      </c>
      <c r="E106" s="12"/>
      <c r="F106" s="13" t="str">
        <f aca="false">IFERROR(VLOOKUP($B106,ItemList_Full,4,0),"")</f>
        <v/>
      </c>
      <c r="G106" s="13" t="str">
        <f aca="false">IF(OR($E106="",$F106=""),"",$E106*$F106)</f>
        <v/>
      </c>
      <c r="H106" s="12"/>
      <c r="I106" s="12"/>
      <c r="J106" s="1" t="str">
        <f aca="false">IFERROR(VLOOKUP($B106,ItemList_Full,5,0),"")</f>
        <v/>
      </c>
    </row>
    <row r="107" customFormat="false" ht="15" hidden="false" customHeight="true" outlineLevel="0" collapsed="false">
      <c r="A107" s="19"/>
      <c r="B107" s="12"/>
      <c r="C107" s="12" t="str">
        <f aca="false">IFERROR(VLOOKUP($B107,ItemList_Full,2,0),"")</f>
        <v/>
      </c>
      <c r="D107" s="12" t="str">
        <f aca="false">IFERROR(VLOOKUP($B107,ItemList_Full,3,0),"")</f>
        <v/>
      </c>
      <c r="E107" s="12"/>
      <c r="F107" s="13" t="str">
        <f aca="false">IFERROR(VLOOKUP($B107,ItemList_Full,4,0),"")</f>
        <v/>
      </c>
      <c r="G107" s="13" t="str">
        <f aca="false">IF(OR($E107="",$F107=""),"",$E107*$F107)</f>
        <v/>
      </c>
      <c r="H107" s="12"/>
      <c r="I107" s="12"/>
      <c r="J107" s="1" t="str">
        <f aca="false">IFERROR(VLOOKUP($B107,ItemList_Full,5,0),"")</f>
        <v/>
      </c>
    </row>
    <row r="108" customFormat="false" ht="15" hidden="false" customHeight="true" outlineLevel="0" collapsed="false">
      <c r="A108" s="19"/>
      <c r="B108" s="12"/>
      <c r="C108" s="12" t="str">
        <f aca="false">IFERROR(VLOOKUP($B108,ItemList_Full,2,0),"")</f>
        <v/>
      </c>
      <c r="D108" s="12" t="str">
        <f aca="false">IFERROR(VLOOKUP($B108,ItemList_Full,3,0),"")</f>
        <v/>
      </c>
      <c r="E108" s="12"/>
      <c r="F108" s="13" t="str">
        <f aca="false">IFERROR(VLOOKUP($B108,ItemList_Full,4,0),"")</f>
        <v/>
      </c>
      <c r="G108" s="13" t="str">
        <f aca="false">IF(OR($E108="",$F108=""),"",$E108*$F108)</f>
        <v/>
      </c>
      <c r="H108" s="12"/>
      <c r="I108" s="12"/>
      <c r="J108" s="1" t="str">
        <f aca="false">IFERROR(VLOOKUP($B108,ItemList_Full,5,0),"")</f>
        <v/>
      </c>
    </row>
    <row r="109" customFormat="false" ht="15" hidden="false" customHeight="true" outlineLevel="0" collapsed="false">
      <c r="A109" s="19"/>
      <c r="B109" s="12"/>
      <c r="C109" s="12" t="str">
        <f aca="false">IFERROR(VLOOKUP($B109,ItemList_Full,2,0),"")</f>
        <v/>
      </c>
      <c r="D109" s="12" t="str">
        <f aca="false">IFERROR(VLOOKUP($B109,ItemList_Full,3,0),"")</f>
        <v/>
      </c>
      <c r="E109" s="12"/>
      <c r="F109" s="13" t="str">
        <f aca="false">IFERROR(VLOOKUP($B109,ItemList_Full,4,0),"")</f>
        <v/>
      </c>
      <c r="G109" s="13" t="str">
        <f aca="false">IF(OR($E109="",$F109=""),"",$E109*$F109)</f>
        <v/>
      </c>
      <c r="H109" s="12"/>
      <c r="I109" s="12"/>
      <c r="J109" s="1" t="str">
        <f aca="false">IFERROR(VLOOKUP($B109,ItemList_Full,5,0),"")</f>
        <v/>
      </c>
    </row>
    <row r="110" customFormat="false" ht="15" hidden="false" customHeight="true" outlineLevel="0" collapsed="false">
      <c r="A110" s="19"/>
      <c r="B110" s="12"/>
      <c r="C110" s="12" t="str">
        <f aca="false">IFERROR(VLOOKUP($B110,ItemList_Full,2,0),"")</f>
        <v/>
      </c>
      <c r="D110" s="12" t="str">
        <f aca="false">IFERROR(VLOOKUP($B110,ItemList_Full,3,0),"")</f>
        <v/>
      </c>
      <c r="E110" s="12"/>
      <c r="F110" s="13" t="str">
        <f aca="false">IFERROR(VLOOKUP($B110,ItemList_Full,4,0),"")</f>
        <v/>
      </c>
      <c r="G110" s="13" t="str">
        <f aca="false">IF(OR($E110="",$F110=""),"",$E110*$F110)</f>
        <v/>
      </c>
      <c r="H110" s="12"/>
      <c r="I110" s="12"/>
      <c r="J110" s="1" t="str">
        <f aca="false">IFERROR(VLOOKUP($B110,ItemList_Full,5,0),"")</f>
        <v/>
      </c>
    </row>
    <row r="111" customFormat="false" ht="15" hidden="false" customHeight="true" outlineLevel="0" collapsed="false">
      <c r="A111" s="19"/>
      <c r="B111" s="12"/>
      <c r="C111" s="12" t="str">
        <f aca="false">IFERROR(VLOOKUP($B111,ItemList_Full,2,0),"")</f>
        <v/>
      </c>
      <c r="D111" s="12" t="str">
        <f aca="false">IFERROR(VLOOKUP($B111,ItemList_Full,3,0),"")</f>
        <v/>
      </c>
      <c r="E111" s="12"/>
      <c r="F111" s="13" t="str">
        <f aca="false">IFERROR(VLOOKUP($B111,ItemList_Full,4,0),"")</f>
        <v/>
      </c>
      <c r="G111" s="13" t="str">
        <f aca="false">IF(OR($E111="",$F111=""),"",$E111*$F111)</f>
        <v/>
      </c>
      <c r="H111" s="12"/>
      <c r="I111" s="12"/>
      <c r="J111" s="1" t="str">
        <f aca="false">IFERROR(VLOOKUP($B111,ItemList_Full,5,0),"")</f>
        <v/>
      </c>
    </row>
    <row r="112" customFormat="false" ht="15" hidden="false" customHeight="true" outlineLevel="0" collapsed="false">
      <c r="A112" s="19"/>
      <c r="B112" s="12"/>
      <c r="C112" s="12" t="str">
        <f aca="false">IFERROR(VLOOKUP($B112,ItemList_Full,2,0),"")</f>
        <v/>
      </c>
      <c r="D112" s="12" t="str">
        <f aca="false">IFERROR(VLOOKUP($B112,ItemList_Full,3,0),"")</f>
        <v/>
      </c>
      <c r="E112" s="12"/>
      <c r="F112" s="13" t="str">
        <f aca="false">IFERROR(VLOOKUP($B112,ItemList_Full,4,0),"")</f>
        <v/>
      </c>
      <c r="G112" s="13" t="str">
        <f aca="false">IF(OR($E112="",$F112=""),"",$E112*$F112)</f>
        <v/>
      </c>
      <c r="H112" s="12"/>
      <c r="I112" s="12"/>
      <c r="J112" s="1" t="str">
        <f aca="false">IFERROR(VLOOKUP($B112,ItemList_Full,5,0),"")</f>
        <v/>
      </c>
    </row>
    <row r="113" customFormat="false" ht="15" hidden="false" customHeight="true" outlineLevel="0" collapsed="false">
      <c r="A113" s="19"/>
      <c r="B113" s="12"/>
      <c r="C113" s="12" t="str">
        <f aca="false">IFERROR(VLOOKUP($B113,ItemList_Full,2,0),"")</f>
        <v/>
      </c>
      <c r="D113" s="12" t="str">
        <f aca="false">IFERROR(VLOOKUP($B113,ItemList_Full,3,0),"")</f>
        <v/>
      </c>
      <c r="E113" s="12"/>
      <c r="F113" s="13" t="str">
        <f aca="false">IFERROR(VLOOKUP($B113,ItemList_Full,4,0),"")</f>
        <v/>
      </c>
      <c r="G113" s="13" t="str">
        <f aca="false">IF(OR($E113="",$F113=""),"",$E113*$F113)</f>
        <v/>
      </c>
      <c r="H113" s="12"/>
      <c r="I113" s="12"/>
      <c r="J113" s="1" t="str">
        <f aca="false">IFERROR(VLOOKUP($B113,ItemList_Full,5,0),"")</f>
        <v/>
      </c>
    </row>
    <row r="114" customFormat="false" ht="15" hidden="false" customHeight="true" outlineLevel="0" collapsed="false">
      <c r="A114" s="19"/>
      <c r="B114" s="12"/>
      <c r="C114" s="12" t="str">
        <f aca="false">IFERROR(VLOOKUP($B114,ItemList_Full,2,0),"")</f>
        <v/>
      </c>
      <c r="D114" s="12" t="str">
        <f aca="false">IFERROR(VLOOKUP($B114,ItemList_Full,3,0),"")</f>
        <v/>
      </c>
      <c r="E114" s="12"/>
      <c r="F114" s="13" t="str">
        <f aca="false">IFERROR(VLOOKUP($B114,ItemList_Full,4,0),"")</f>
        <v/>
      </c>
      <c r="G114" s="13" t="str">
        <f aca="false">IF(OR($E114="",$F114=""),"",$E114*$F114)</f>
        <v/>
      </c>
      <c r="H114" s="12"/>
      <c r="I114" s="12"/>
      <c r="J114" s="1" t="str">
        <f aca="false">IFERROR(VLOOKUP($B114,ItemList_Full,5,0),"")</f>
        <v/>
      </c>
    </row>
    <row r="115" customFormat="false" ht="15" hidden="false" customHeight="true" outlineLevel="0" collapsed="false">
      <c r="A115" s="19"/>
      <c r="B115" s="12"/>
      <c r="C115" s="12" t="str">
        <f aca="false">IFERROR(VLOOKUP($B115,ItemList_Full,2,0),"")</f>
        <v/>
      </c>
      <c r="D115" s="12" t="str">
        <f aca="false">IFERROR(VLOOKUP($B115,ItemList_Full,3,0),"")</f>
        <v/>
      </c>
      <c r="E115" s="12"/>
      <c r="F115" s="13" t="str">
        <f aca="false">IFERROR(VLOOKUP($B115,ItemList_Full,4,0),"")</f>
        <v/>
      </c>
      <c r="G115" s="13" t="str">
        <f aca="false">IF(OR($E115="",$F115=""),"",$E115*$F115)</f>
        <v/>
      </c>
      <c r="H115" s="12"/>
      <c r="I115" s="12"/>
      <c r="J115" s="1" t="str">
        <f aca="false">IFERROR(VLOOKUP($B115,ItemList_Full,5,0),"")</f>
        <v/>
      </c>
    </row>
    <row r="116" customFormat="false" ht="15" hidden="false" customHeight="true" outlineLevel="0" collapsed="false">
      <c r="A116" s="19"/>
      <c r="B116" s="12"/>
      <c r="C116" s="12" t="str">
        <f aca="false">IFERROR(VLOOKUP($B116,ItemList_Full,2,0),"")</f>
        <v/>
      </c>
      <c r="D116" s="12" t="str">
        <f aca="false">IFERROR(VLOOKUP($B116,ItemList_Full,3,0),"")</f>
        <v/>
      </c>
      <c r="E116" s="12"/>
      <c r="F116" s="13" t="str">
        <f aca="false">IFERROR(VLOOKUP($B116,ItemList_Full,4,0),"")</f>
        <v/>
      </c>
      <c r="G116" s="13" t="str">
        <f aca="false">IF(OR($E116="",$F116=""),"",$E116*$F116)</f>
        <v/>
      </c>
      <c r="H116" s="12"/>
      <c r="I116" s="12"/>
      <c r="J116" s="1" t="str">
        <f aca="false">IFERROR(VLOOKUP($B116,ItemList_Full,5,0),"")</f>
        <v/>
      </c>
    </row>
    <row r="117" customFormat="false" ht="15" hidden="false" customHeight="true" outlineLevel="0" collapsed="false">
      <c r="A117" s="19"/>
      <c r="B117" s="12"/>
      <c r="C117" s="12" t="str">
        <f aca="false">IFERROR(VLOOKUP($B117,ItemList_Full,2,0),"")</f>
        <v/>
      </c>
      <c r="D117" s="12" t="str">
        <f aca="false">IFERROR(VLOOKUP($B117,ItemList_Full,3,0),"")</f>
        <v/>
      </c>
      <c r="E117" s="12"/>
      <c r="F117" s="13" t="str">
        <f aca="false">IFERROR(VLOOKUP($B117,ItemList_Full,4,0),"")</f>
        <v/>
      </c>
      <c r="G117" s="13" t="str">
        <f aca="false">IF(OR($E117="",$F117=""),"",$E117*$F117)</f>
        <v/>
      </c>
      <c r="H117" s="12"/>
      <c r="I117" s="12"/>
      <c r="J117" s="1" t="str">
        <f aca="false">IFERROR(VLOOKUP($B117,ItemList_Full,5,0),"")</f>
        <v/>
      </c>
    </row>
    <row r="118" customFormat="false" ht="15" hidden="false" customHeight="true" outlineLevel="0" collapsed="false">
      <c r="A118" s="19"/>
      <c r="B118" s="12"/>
      <c r="C118" s="12" t="str">
        <f aca="false">IFERROR(VLOOKUP($B118,ItemList_Full,2,0),"")</f>
        <v/>
      </c>
      <c r="D118" s="12" t="str">
        <f aca="false">IFERROR(VLOOKUP($B118,ItemList_Full,3,0),"")</f>
        <v/>
      </c>
      <c r="E118" s="12"/>
      <c r="F118" s="13" t="str">
        <f aca="false">IFERROR(VLOOKUP($B118,ItemList_Full,4,0),"")</f>
        <v/>
      </c>
      <c r="G118" s="13" t="str">
        <f aca="false">IF(OR($E118="",$F118=""),"",$E118*$F118)</f>
        <v/>
      </c>
      <c r="H118" s="12"/>
      <c r="I118" s="12"/>
      <c r="J118" s="1" t="str">
        <f aca="false">IFERROR(VLOOKUP($B118,ItemList_Full,5,0),"")</f>
        <v/>
      </c>
    </row>
    <row r="119" customFormat="false" ht="15" hidden="false" customHeight="true" outlineLevel="0" collapsed="false">
      <c r="A119" s="19"/>
      <c r="B119" s="12"/>
      <c r="C119" s="12" t="str">
        <f aca="false">IFERROR(VLOOKUP($B119,ItemList_Full,2,0),"")</f>
        <v/>
      </c>
      <c r="D119" s="12" t="str">
        <f aca="false">IFERROR(VLOOKUP($B119,ItemList_Full,3,0),"")</f>
        <v/>
      </c>
      <c r="E119" s="12"/>
      <c r="F119" s="13" t="str">
        <f aca="false">IFERROR(VLOOKUP($B119,ItemList_Full,4,0),"")</f>
        <v/>
      </c>
      <c r="G119" s="13" t="str">
        <f aca="false">IF(OR($E119="",$F119=""),"",$E119*$F119)</f>
        <v/>
      </c>
      <c r="H119" s="12"/>
      <c r="I119" s="12"/>
      <c r="J119" s="1" t="str">
        <f aca="false">IFERROR(VLOOKUP($B119,ItemList_Full,5,0),"")</f>
        <v/>
      </c>
    </row>
    <row r="120" customFormat="false" ht="15" hidden="false" customHeight="true" outlineLevel="0" collapsed="false">
      <c r="A120" s="19"/>
      <c r="B120" s="12"/>
      <c r="C120" s="12" t="str">
        <f aca="false">IFERROR(VLOOKUP($B120,ItemList_Full,2,0),"")</f>
        <v/>
      </c>
      <c r="D120" s="12" t="str">
        <f aca="false">IFERROR(VLOOKUP($B120,ItemList_Full,3,0),"")</f>
        <v/>
      </c>
      <c r="E120" s="12"/>
      <c r="F120" s="13" t="str">
        <f aca="false">IFERROR(VLOOKUP($B120,ItemList_Full,4,0),"")</f>
        <v/>
      </c>
      <c r="G120" s="13" t="str">
        <f aca="false">IF(OR($E120="",$F120=""),"",$E120*$F120)</f>
        <v/>
      </c>
      <c r="H120" s="12"/>
      <c r="I120" s="12"/>
      <c r="J120" s="1" t="str">
        <f aca="false">IFERROR(VLOOKUP($B120,ItemList_Full,5,0),"")</f>
        <v/>
      </c>
    </row>
    <row r="121" customFormat="false" ht="15" hidden="false" customHeight="true" outlineLevel="0" collapsed="false">
      <c r="A121" s="19"/>
      <c r="B121" s="12"/>
      <c r="C121" s="12" t="str">
        <f aca="false">IFERROR(VLOOKUP($B121,ItemList_Full,2,0),"")</f>
        <v/>
      </c>
      <c r="D121" s="12" t="str">
        <f aca="false">IFERROR(VLOOKUP($B121,ItemList_Full,3,0),"")</f>
        <v/>
      </c>
      <c r="E121" s="12"/>
      <c r="F121" s="13" t="str">
        <f aca="false">IFERROR(VLOOKUP($B121,ItemList_Full,4,0),"")</f>
        <v/>
      </c>
      <c r="G121" s="13" t="str">
        <f aca="false">IF(OR($E121="",$F121=""),"",$E121*$F121)</f>
        <v/>
      </c>
      <c r="H121" s="12"/>
      <c r="I121" s="12"/>
      <c r="J121" s="1" t="str">
        <f aca="false">IFERROR(VLOOKUP($B121,ItemList_Full,5,0),"")</f>
        <v/>
      </c>
    </row>
    <row r="122" customFormat="false" ht="15" hidden="false" customHeight="true" outlineLevel="0" collapsed="false">
      <c r="A122" s="19"/>
      <c r="B122" s="12"/>
      <c r="C122" s="12" t="str">
        <f aca="false">IFERROR(VLOOKUP($B122,ItemList_Full,2,0),"")</f>
        <v/>
      </c>
      <c r="D122" s="12" t="str">
        <f aca="false">IFERROR(VLOOKUP($B122,ItemList_Full,3,0),"")</f>
        <v/>
      </c>
      <c r="E122" s="12"/>
      <c r="F122" s="13" t="str">
        <f aca="false">IFERROR(VLOOKUP($B122,ItemList_Full,4,0),"")</f>
        <v/>
      </c>
      <c r="G122" s="13" t="str">
        <f aca="false">IF(OR($E122="",$F122=""),"",$E122*$F122)</f>
        <v/>
      </c>
      <c r="H122" s="12"/>
      <c r="I122" s="12"/>
      <c r="J122" s="1" t="str">
        <f aca="false">IFERROR(VLOOKUP($B122,ItemList_Full,5,0),"")</f>
        <v/>
      </c>
    </row>
    <row r="123" customFormat="false" ht="15" hidden="false" customHeight="true" outlineLevel="0" collapsed="false">
      <c r="A123" s="19"/>
      <c r="B123" s="12"/>
      <c r="C123" s="12" t="str">
        <f aca="false">IFERROR(VLOOKUP($B123,ItemList_Full,2,0),"")</f>
        <v/>
      </c>
      <c r="D123" s="12" t="str">
        <f aca="false">IFERROR(VLOOKUP($B123,ItemList_Full,3,0),"")</f>
        <v/>
      </c>
      <c r="E123" s="12"/>
      <c r="F123" s="13" t="str">
        <f aca="false">IFERROR(VLOOKUP($B123,ItemList_Full,4,0),"")</f>
        <v/>
      </c>
      <c r="G123" s="13" t="str">
        <f aca="false">IF(OR($E123="",$F123=""),"",$E123*$F123)</f>
        <v/>
      </c>
      <c r="H123" s="12"/>
      <c r="I123" s="12"/>
      <c r="J123" s="1" t="str">
        <f aca="false">IFERROR(VLOOKUP($B123,ItemList_Full,5,0),"")</f>
        <v/>
      </c>
    </row>
    <row r="124" customFormat="false" ht="15" hidden="false" customHeight="true" outlineLevel="0" collapsed="false">
      <c r="A124" s="19"/>
      <c r="B124" s="12"/>
      <c r="C124" s="12" t="str">
        <f aca="false">IFERROR(VLOOKUP($B124,ItemList_Full,2,0),"")</f>
        <v/>
      </c>
      <c r="D124" s="12" t="str">
        <f aca="false">IFERROR(VLOOKUP($B124,ItemList_Full,3,0),"")</f>
        <v/>
      </c>
      <c r="E124" s="12"/>
      <c r="F124" s="13" t="str">
        <f aca="false">IFERROR(VLOOKUP($B124,ItemList_Full,4,0),"")</f>
        <v/>
      </c>
      <c r="G124" s="13" t="str">
        <f aca="false">IF(OR($E124="",$F124=""),"",$E124*$F124)</f>
        <v/>
      </c>
      <c r="H124" s="12"/>
      <c r="I124" s="12"/>
      <c r="J124" s="1" t="str">
        <f aca="false">IFERROR(VLOOKUP($B124,ItemList_Full,5,0),"")</f>
        <v/>
      </c>
    </row>
    <row r="125" customFormat="false" ht="15" hidden="false" customHeight="true" outlineLevel="0" collapsed="false">
      <c r="A125" s="19"/>
      <c r="B125" s="12"/>
      <c r="C125" s="12" t="str">
        <f aca="false">IFERROR(VLOOKUP($B125,ItemList_Full,2,0),"")</f>
        <v/>
      </c>
      <c r="D125" s="12" t="str">
        <f aca="false">IFERROR(VLOOKUP($B125,ItemList_Full,3,0),"")</f>
        <v/>
      </c>
      <c r="E125" s="12"/>
      <c r="F125" s="13" t="str">
        <f aca="false">IFERROR(VLOOKUP($B125,ItemList_Full,4,0),"")</f>
        <v/>
      </c>
      <c r="G125" s="13" t="str">
        <f aca="false">IF(OR($E125="",$F125=""),"",$E125*$F125)</f>
        <v/>
      </c>
      <c r="H125" s="12"/>
      <c r="I125" s="12"/>
      <c r="J125" s="1" t="str">
        <f aca="false">IFERROR(VLOOKUP($B125,ItemList_Full,5,0),"")</f>
        <v/>
      </c>
    </row>
    <row r="126" customFormat="false" ht="15" hidden="false" customHeight="true" outlineLevel="0" collapsed="false">
      <c r="A126" s="19"/>
      <c r="B126" s="12"/>
      <c r="C126" s="12" t="str">
        <f aca="false">IFERROR(VLOOKUP($B126,ItemList_Full,2,0),"")</f>
        <v/>
      </c>
      <c r="D126" s="12" t="str">
        <f aca="false">IFERROR(VLOOKUP($B126,ItemList_Full,3,0),"")</f>
        <v/>
      </c>
      <c r="E126" s="12"/>
      <c r="F126" s="13" t="str">
        <f aca="false">IFERROR(VLOOKUP($B126,ItemList_Full,4,0),"")</f>
        <v/>
      </c>
      <c r="G126" s="13" t="str">
        <f aca="false">IF(OR($E126="",$F126=""),"",$E126*$F126)</f>
        <v/>
      </c>
      <c r="H126" s="12"/>
      <c r="I126" s="12"/>
      <c r="J126" s="1" t="str">
        <f aca="false">IFERROR(VLOOKUP($B126,ItemList_Full,5,0),"")</f>
        <v/>
      </c>
    </row>
    <row r="127" customFormat="false" ht="15" hidden="false" customHeight="true" outlineLevel="0" collapsed="false">
      <c r="A127" s="19"/>
      <c r="B127" s="12"/>
      <c r="C127" s="12" t="str">
        <f aca="false">IFERROR(VLOOKUP($B127,ItemList_Full,2,0),"")</f>
        <v/>
      </c>
      <c r="D127" s="12" t="str">
        <f aca="false">IFERROR(VLOOKUP($B127,ItemList_Full,3,0),"")</f>
        <v/>
      </c>
      <c r="E127" s="12"/>
      <c r="F127" s="13" t="str">
        <f aca="false">IFERROR(VLOOKUP($B127,ItemList_Full,4,0),"")</f>
        <v/>
      </c>
      <c r="G127" s="13" t="str">
        <f aca="false">IF(OR($E127="",$F127=""),"",$E127*$F127)</f>
        <v/>
      </c>
      <c r="H127" s="12"/>
      <c r="I127" s="12"/>
      <c r="J127" s="1" t="str">
        <f aca="false">IFERROR(VLOOKUP($B127,ItemList_Full,5,0),"")</f>
        <v/>
      </c>
    </row>
    <row r="128" customFormat="false" ht="15" hidden="false" customHeight="true" outlineLevel="0" collapsed="false">
      <c r="A128" s="19"/>
      <c r="B128" s="12"/>
      <c r="C128" s="12" t="str">
        <f aca="false">IFERROR(VLOOKUP($B128,ItemList_Full,2,0),"")</f>
        <v/>
      </c>
      <c r="D128" s="12" t="str">
        <f aca="false">IFERROR(VLOOKUP($B128,ItemList_Full,3,0),"")</f>
        <v/>
      </c>
      <c r="E128" s="12"/>
      <c r="F128" s="13" t="str">
        <f aca="false">IFERROR(VLOOKUP($B128,ItemList_Full,4,0),"")</f>
        <v/>
      </c>
      <c r="G128" s="13" t="str">
        <f aca="false">IF(OR($E128="",$F128=""),"",$E128*$F128)</f>
        <v/>
      </c>
      <c r="H128" s="12"/>
      <c r="I128" s="12"/>
      <c r="J128" s="1" t="str">
        <f aca="false">IFERROR(VLOOKUP($B128,ItemList_Full,5,0),"")</f>
        <v/>
      </c>
    </row>
    <row r="129" customFormat="false" ht="15" hidden="false" customHeight="true" outlineLevel="0" collapsed="false">
      <c r="A129" s="19"/>
      <c r="B129" s="12"/>
      <c r="C129" s="12" t="str">
        <f aca="false">IFERROR(VLOOKUP($B129,ItemList_Full,2,0),"")</f>
        <v/>
      </c>
      <c r="D129" s="12" t="str">
        <f aca="false">IFERROR(VLOOKUP($B129,ItemList_Full,3,0),"")</f>
        <v/>
      </c>
      <c r="E129" s="12"/>
      <c r="F129" s="13" t="str">
        <f aca="false">IFERROR(VLOOKUP($B129,ItemList_Full,4,0),"")</f>
        <v/>
      </c>
      <c r="G129" s="13" t="str">
        <f aca="false">IF(OR($E129="",$F129=""),"",$E129*$F129)</f>
        <v/>
      </c>
      <c r="H129" s="12"/>
      <c r="I129" s="12"/>
      <c r="J129" s="1" t="str">
        <f aca="false">IFERROR(VLOOKUP($B129,ItemList_Full,5,0),"")</f>
        <v/>
      </c>
    </row>
    <row r="130" customFormat="false" ht="15" hidden="false" customHeight="true" outlineLevel="0" collapsed="false">
      <c r="A130" s="19"/>
      <c r="B130" s="12"/>
      <c r="C130" s="12" t="str">
        <f aca="false">IFERROR(VLOOKUP($B130,ItemList_Full,2,0),"")</f>
        <v/>
      </c>
      <c r="D130" s="12" t="str">
        <f aca="false">IFERROR(VLOOKUP($B130,ItemList_Full,3,0),"")</f>
        <v/>
      </c>
      <c r="E130" s="12"/>
      <c r="F130" s="13" t="str">
        <f aca="false">IFERROR(VLOOKUP($B130,ItemList_Full,4,0),"")</f>
        <v/>
      </c>
      <c r="G130" s="13" t="str">
        <f aca="false">IF(OR($E130="",$F130=""),"",$E130*$F130)</f>
        <v/>
      </c>
      <c r="H130" s="12"/>
      <c r="I130" s="12"/>
      <c r="J130" s="1" t="str">
        <f aca="false">IFERROR(VLOOKUP($B130,ItemList_Full,5,0),"")</f>
        <v/>
      </c>
    </row>
    <row r="131" customFormat="false" ht="15" hidden="false" customHeight="true" outlineLevel="0" collapsed="false">
      <c r="A131" s="19"/>
      <c r="B131" s="12"/>
      <c r="C131" s="12" t="str">
        <f aca="false">IFERROR(VLOOKUP($B131,ItemList_Full,2,0),"")</f>
        <v/>
      </c>
      <c r="D131" s="12" t="str">
        <f aca="false">IFERROR(VLOOKUP($B131,ItemList_Full,3,0),"")</f>
        <v/>
      </c>
      <c r="E131" s="12"/>
      <c r="F131" s="13" t="str">
        <f aca="false">IFERROR(VLOOKUP($B131,ItemList_Full,4,0),"")</f>
        <v/>
      </c>
      <c r="G131" s="13" t="str">
        <f aca="false">IF(OR($E131="",$F131=""),"",$E131*$F131)</f>
        <v/>
      </c>
      <c r="H131" s="12"/>
      <c r="I131" s="12"/>
      <c r="J131" s="1" t="str">
        <f aca="false">IFERROR(VLOOKUP($B131,ItemList_Full,5,0),"")</f>
        <v/>
      </c>
    </row>
    <row r="132" customFormat="false" ht="15" hidden="false" customHeight="true" outlineLevel="0" collapsed="false">
      <c r="A132" s="19"/>
      <c r="B132" s="12"/>
      <c r="C132" s="12" t="str">
        <f aca="false">IFERROR(VLOOKUP($B132,ItemList_Full,2,0),"")</f>
        <v/>
      </c>
      <c r="D132" s="12" t="str">
        <f aca="false">IFERROR(VLOOKUP($B132,ItemList_Full,3,0),"")</f>
        <v/>
      </c>
      <c r="E132" s="12"/>
      <c r="F132" s="13" t="str">
        <f aca="false">IFERROR(VLOOKUP($B132,ItemList_Full,4,0),"")</f>
        <v/>
      </c>
      <c r="G132" s="13" t="str">
        <f aca="false">IF(OR($E132="",$F132=""),"",$E132*$F132)</f>
        <v/>
      </c>
      <c r="H132" s="12"/>
      <c r="I132" s="12"/>
      <c r="J132" s="1" t="str">
        <f aca="false">IFERROR(VLOOKUP($B132,ItemList_Full,5,0),"")</f>
        <v/>
      </c>
    </row>
    <row r="133" customFormat="false" ht="15" hidden="false" customHeight="true" outlineLevel="0" collapsed="false">
      <c r="A133" s="19"/>
      <c r="B133" s="12"/>
      <c r="C133" s="12" t="str">
        <f aca="false">IFERROR(VLOOKUP($B133,ItemList_Full,2,0),"")</f>
        <v/>
      </c>
      <c r="D133" s="12" t="str">
        <f aca="false">IFERROR(VLOOKUP($B133,ItemList_Full,3,0),"")</f>
        <v/>
      </c>
      <c r="E133" s="12"/>
      <c r="F133" s="13" t="str">
        <f aca="false">IFERROR(VLOOKUP($B133,ItemList_Full,4,0),"")</f>
        <v/>
      </c>
      <c r="G133" s="13" t="str">
        <f aca="false">IF(OR($E133="",$F133=""),"",$E133*$F133)</f>
        <v/>
      </c>
      <c r="H133" s="12"/>
      <c r="I133" s="12"/>
      <c r="J133" s="1" t="str">
        <f aca="false">IFERROR(VLOOKUP($B133,ItemList_Full,5,0),"")</f>
        <v/>
      </c>
    </row>
    <row r="134" customFormat="false" ht="15" hidden="false" customHeight="true" outlineLevel="0" collapsed="false">
      <c r="A134" s="19"/>
      <c r="B134" s="12"/>
      <c r="C134" s="12" t="str">
        <f aca="false">IFERROR(VLOOKUP($B134,ItemList_Full,2,0),"")</f>
        <v/>
      </c>
      <c r="D134" s="12" t="str">
        <f aca="false">IFERROR(VLOOKUP($B134,ItemList_Full,3,0),"")</f>
        <v/>
      </c>
      <c r="E134" s="12"/>
      <c r="F134" s="13" t="str">
        <f aca="false">IFERROR(VLOOKUP($B134,ItemList_Full,4,0),"")</f>
        <v/>
      </c>
      <c r="G134" s="13" t="str">
        <f aca="false">IF(OR($E134="",$F134=""),"",$E134*$F134)</f>
        <v/>
      </c>
      <c r="H134" s="12"/>
      <c r="I134" s="12"/>
      <c r="J134" s="1" t="str">
        <f aca="false">IFERROR(VLOOKUP($B134,ItemList_Full,5,0),"")</f>
        <v/>
      </c>
    </row>
    <row r="135" customFormat="false" ht="15" hidden="false" customHeight="true" outlineLevel="0" collapsed="false">
      <c r="A135" s="19"/>
      <c r="B135" s="12"/>
      <c r="C135" s="12" t="str">
        <f aca="false">IFERROR(VLOOKUP($B135,ItemList_Full,2,0),"")</f>
        <v/>
      </c>
      <c r="D135" s="12" t="str">
        <f aca="false">IFERROR(VLOOKUP($B135,ItemList_Full,3,0),"")</f>
        <v/>
      </c>
      <c r="E135" s="12"/>
      <c r="F135" s="13" t="str">
        <f aca="false">IFERROR(VLOOKUP($B135,ItemList_Full,4,0),"")</f>
        <v/>
      </c>
      <c r="G135" s="13" t="str">
        <f aca="false">IF(OR($E135="",$F135=""),"",$E135*$F135)</f>
        <v/>
      </c>
      <c r="H135" s="12"/>
      <c r="I135" s="12"/>
      <c r="J135" s="1" t="str">
        <f aca="false">IFERROR(VLOOKUP($B135,ItemList_Full,5,0),"")</f>
        <v/>
      </c>
    </row>
    <row r="136" customFormat="false" ht="15" hidden="false" customHeight="true" outlineLevel="0" collapsed="false">
      <c r="A136" s="19"/>
      <c r="B136" s="12"/>
      <c r="C136" s="12" t="str">
        <f aca="false">IFERROR(VLOOKUP($B136,ItemList_Full,2,0),"")</f>
        <v/>
      </c>
      <c r="D136" s="12" t="str">
        <f aca="false">IFERROR(VLOOKUP($B136,ItemList_Full,3,0),"")</f>
        <v/>
      </c>
      <c r="E136" s="12"/>
      <c r="F136" s="13" t="str">
        <f aca="false">IFERROR(VLOOKUP($B136,ItemList_Full,4,0),"")</f>
        <v/>
      </c>
      <c r="G136" s="13" t="str">
        <f aca="false">IF(OR($E136="",$F136=""),"",$E136*$F136)</f>
        <v/>
      </c>
      <c r="H136" s="12"/>
      <c r="I136" s="12"/>
      <c r="J136" s="1" t="str">
        <f aca="false">IFERROR(VLOOKUP($B136,ItemList_Full,5,0),"")</f>
        <v/>
      </c>
    </row>
    <row r="137" customFormat="false" ht="15" hidden="false" customHeight="true" outlineLevel="0" collapsed="false">
      <c r="A137" s="19"/>
      <c r="B137" s="12"/>
      <c r="C137" s="12" t="str">
        <f aca="false">IFERROR(VLOOKUP($B137,ItemList_Full,2,0),"")</f>
        <v/>
      </c>
      <c r="D137" s="12" t="str">
        <f aca="false">IFERROR(VLOOKUP($B137,ItemList_Full,3,0),"")</f>
        <v/>
      </c>
      <c r="E137" s="12"/>
      <c r="F137" s="13" t="str">
        <f aca="false">IFERROR(VLOOKUP($B137,ItemList_Full,4,0),"")</f>
        <v/>
      </c>
      <c r="G137" s="13" t="str">
        <f aca="false">IF(OR($E137="",$F137=""),"",$E137*$F137)</f>
        <v/>
      </c>
      <c r="H137" s="12"/>
      <c r="I137" s="12"/>
      <c r="J137" s="1" t="str">
        <f aca="false">IFERROR(VLOOKUP($B137,ItemList_Full,5,0),"")</f>
        <v/>
      </c>
    </row>
    <row r="138" customFormat="false" ht="15" hidden="false" customHeight="true" outlineLevel="0" collapsed="false">
      <c r="A138" s="19"/>
      <c r="B138" s="12"/>
      <c r="C138" s="12" t="str">
        <f aca="false">IFERROR(VLOOKUP($B138,ItemList_Full,2,0),"")</f>
        <v/>
      </c>
      <c r="D138" s="12" t="str">
        <f aca="false">IFERROR(VLOOKUP($B138,ItemList_Full,3,0),"")</f>
        <v/>
      </c>
      <c r="E138" s="12"/>
      <c r="F138" s="13" t="str">
        <f aca="false">IFERROR(VLOOKUP($B138,ItemList_Full,4,0),"")</f>
        <v/>
      </c>
      <c r="G138" s="13" t="str">
        <f aca="false">IF(OR($E138="",$F138=""),"",$E138*$F138)</f>
        <v/>
      </c>
      <c r="H138" s="12"/>
      <c r="I138" s="12"/>
      <c r="J138" s="1" t="str">
        <f aca="false">IFERROR(VLOOKUP($B138,ItemList_Full,5,0),"")</f>
        <v/>
      </c>
    </row>
    <row r="139" customFormat="false" ht="15" hidden="false" customHeight="true" outlineLevel="0" collapsed="false">
      <c r="A139" s="19"/>
      <c r="B139" s="12"/>
      <c r="C139" s="12" t="str">
        <f aca="false">IFERROR(VLOOKUP($B139,ItemList_Full,2,0),"")</f>
        <v/>
      </c>
      <c r="D139" s="12" t="str">
        <f aca="false">IFERROR(VLOOKUP($B139,ItemList_Full,3,0),"")</f>
        <v/>
      </c>
      <c r="E139" s="12"/>
      <c r="F139" s="13" t="str">
        <f aca="false">IFERROR(VLOOKUP($B139,ItemList_Full,4,0),"")</f>
        <v/>
      </c>
      <c r="G139" s="13" t="str">
        <f aca="false">IF(OR($E139="",$F139=""),"",$E139*$F139)</f>
        <v/>
      </c>
      <c r="H139" s="12"/>
      <c r="I139" s="12"/>
      <c r="J139" s="1" t="str">
        <f aca="false">IFERROR(VLOOKUP($B139,ItemList_Full,5,0),"")</f>
        <v/>
      </c>
    </row>
    <row r="140" customFormat="false" ht="15" hidden="false" customHeight="true" outlineLevel="0" collapsed="false">
      <c r="A140" s="19"/>
      <c r="B140" s="12"/>
      <c r="C140" s="12" t="str">
        <f aca="false">IFERROR(VLOOKUP($B140,ItemList_Full,2,0),"")</f>
        <v/>
      </c>
      <c r="D140" s="12" t="str">
        <f aca="false">IFERROR(VLOOKUP($B140,ItemList_Full,3,0),"")</f>
        <v/>
      </c>
      <c r="E140" s="12"/>
      <c r="F140" s="13" t="str">
        <f aca="false">IFERROR(VLOOKUP($B140,ItemList_Full,4,0),"")</f>
        <v/>
      </c>
      <c r="G140" s="13" t="str">
        <f aca="false">IF(OR($E140="",$F140=""),"",$E140*$F140)</f>
        <v/>
      </c>
      <c r="H140" s="12"/>
      <c r="I140" s="12"/>
      <c r="J140" s="1" t="str">
        <f aca="false">IFERROR(VLOOKUP($B140,ItemList_Full,5,0),"")</f>
        <v/>
      </c>
    </row>
    <row r="141" customFormat="false" ht="15" hidden="false" customHeight="true" outlineLevel="0" collapsed="false">
      <c r="A141" s="19"/>
      <c r="B141" s="12"/>
      <c r="C141" s="12" t="str">
        <f aca="false">IFERROR(VLOOKUP($B141,ItemList_Full,2,0),"")</f>
        <v/>
      </c>
      <c r="D141" s="12" t="str">
        <f aca="false">IFERROR(VLOOKUP($B141,ItemList_Full,3,0),"")</f>
        <v/>
      </c>
      <c r="E141" s="12"/>
      <c r="F141" s="13" t="str">
        <f aca="false">IFERROR(VLOOKUP($B141,ItemList_Full,4,0),"")</f>
        <v/>
      </c>
      <c r="G141" s="13" t="str">
        <f aca="false">IF(OR($E141="",$F141=""),"",$E141*$F141)</f>
        <v/>
      </c>
      <c r="H141" s="12"/>
      <c r="I141" s="12"/>
      <c r="J141" s="1" t="str">
        <f aca="false">IFERROR(VLOOKUP($B141,ItemList_Full,5,0),"")</f>
        <v/>
      </c>
    </row>
    <row r="142" customFormat="false" ht="15" hidden="false" customHeight="true" outlineLevel="0" collapsed="false">
      <c r="A142" s="19"/>
      <c r="B142" s="12"/>
      <c r="C142" s="12" t="str">
        <f aca="false">IFERROR(VLOOKUP($B142,ItemList_Full,2,0),"")</f>
        <v/>
      </c>
      <c r="D142" s="12" t="str">
        <f aca="false">IFERROR(VLOOKUP($B142,ItemList_Full,3,0),"")</f>
        <v/>
      </c>
      <c r="E142" s="12"/>
      <c r="F142" s="13" t="str">
        <f aca="false">IFERROR(VLOOKUP($B142,ItemList_Full,4,0),"")</f>
        <v/>
      </c>
      <c r="G142" s="13" t="str">
        <f aca="false">IF(OR($E142="",$F142=""),"",$E142*$F142)</f>
        <v/>
      </c>
      <c r="H142" s="12"/>
      <c r="I142" s="12"/>
      <c r="J142" s="1" t="str">
        <f aca="false">IFERROR(VLOOKUP($B142,ItemList_Full,5,0),"")</f>
        <v/>
      </c>
    </row>
    <row r="143" customFormat="false" ht="15" hidden="false" customHeight="true" outlineLevel="0" collapsed="false">
      <c r="A143" s="19"/>
      <c r="B143" s="12"/>
      <c r="C143" s="12" t="str">
        <f aca="false">IFERROR(VLOOKUP($B143,ItemList_Full,2,0),"")</f>
        <v/>
      </c>
      <c r="D143" s="12" t="str">
        <f aca="false">IFERROR(VLOOKUP($B143,ItemList_Full,3,0),"")</f>
        <v/>
      </c>
      <c r="E143" s="12"/>
      <c r="F143" s="13" t="str">
        <f aca="false">IFERROR(VLOOKUP($B143,ItemList_Full,4,0),"")</f>
        <v/>
      </c>
      <c r="G143" s="13" t="str">
        <f aca="false">IF(OR($E143="",$F143=""),"",$E143*$F143)</f>
        <v/>
      </c>
      <c r="H143" s="12"/>
      <c r="I143" s="12"/>
      <c r="J143" s="1" t="str">
        <f aca="false">IFERROR(VLOOKUP($B143,ItemList_Full,5,0),"")</f>
        <v/>
      </c>
    </row>
    <row r="144" customFormat="false" ht="15" hidden="false" customHeight="true" outlineLevel="0" collapsed="false">
      <c r="A144" s="19"/>
      <c r="B144" s="12"/>
      <c r="C144" s="12" t="str">
        <f aca="false">IFERROR(VLOOKUP($B144,ItemList_Full,2,0),"")</f>
        <v/>
      </c>
      <c r="D144" s="12" t="str">
        <f aca="false">IFERROR(VLOOKUP($B144,ItemList_Full,3,0),"")</f>
        <v/>
      </c>
      <c r="E144" s="12"/>
      <c r="F144" s="13" t="str">
        <f aca="false">IFERROR(VLOOKUP($B144,ItemList_Full,4,0),"")</f>
        <v/>
      </c>
      <c r="G144" s="13" t="str">
        <f aca="false">IF(OR($E144="",$F144=""),"",$E144*$F144)</f>
        <v/>
      </c>
      <c r="H144" s="12"/>
      <c r="I144" s="12"/>
      <c r="J144" s="1" t="str">
        <f aca="false">IFERROR(VLOOKUP($B144,ItemList_Full,5,0),"")</f>
        <v/>
      </c>
    </row>
    <row r="145" customFormat="false" ht="15" hidden="false" customHeight="true" outlineLevel="0" collapsed="false">
      <c r="A145" s="19"/>
      <c r="B145" s="12"/>
      <c r="C145" s="12" t="str">
        <f aca="false">IFERROR(VLOOKUP($B145,ItemList_Full,2,0),"")</f>
        <v/>
      </c>
      <c r="D145" s="12" t="str">
        <f aca="false">IFERROR(VLOOKUP($B145,ItemList_Full,3,0),"")</f>
        <v/>
      </c>
      <c r="E145" s="12"/>
      <c r="F145" s="13" t="str">
        <f aca="false">IFERROR(VLOOKUP($B145,ItemList_Full,4,0),"")</f>
        <v/>
      </c>
      <c r="G145" s="13" t="str">
        <f aca="false">IF(OR($E145="",$F145=""),"",$E145*$F145)</f>
        <v/>
      </c>
      <c r="H145" s="12"/>
      <c r="I145" s="12"/>
      <c r="J145" s="1" t="str">
        <f aca="false">IFERROR(VLOOKUP($B145,ItemList_Full,5,0),"")</f>
        <v/>
      </c>
    </row>
    <row r="146" customFormat="false" ht="15" hidden="false" customHeight="true" outlineLevel="0" collapsed="false">
      <c r="A146" s="19"/>
      <c r="B146" s="12"/>
      <c r="C146" s="12" t="str">
        <f aca="false">IFERROR(VLOOKUP($B146,ItemList_Full,2,0),"")</f>
        <v/>
      </c>
      <c r="D146" s="12" t="str">
        <f aca="false">IFERROR(VLOOKUP($B146,ItemList_Full,3,0),"")</f>
        <v/>
      </c>
      <c r="E146" s="12"/>
      <c r="F146" s="13" t="str">
        <f aca="false">IFERROR(VLOOKUP($B146,ItemList_Full,4,0),"")</f>
        <v/>
      </c>
      <c r="G146" s="13" t="str">
        <f aca="false">IF(OR($E146="",$F146=""),"",$E146*$F146)</f>
        <v/>
      </c>
      <c r="H146" s="12"/>
      <c r="I146" s="12"/>
      <c r="J146" s="1" t="str">
        <f aca="false">IFERROR(VLOOKUP($B146,ItemList_Full,5,0),"")</f>
        <v/>
      </c>
    </row>
    <row r="147" customFormat="false" ht="15" hidden="false" customHeight="true" outlineLevel="0" collapsed="false">
      <c r="A147" s="19"/>
      <c r="B147" s="12"/>
      <c r="C147" s="12" t="str">
        <f aca="false">IFERROR(VLOOKUP($B147,ItemList_Full,2,0),"")</f>
        <v/>
      </c>
      <c r="D147" s="12" t="str">
        <f aca="false">IFERROR(VLOOKUP($B147,ItemList_Full,3,0),"")</f>
        <v/>
      </c>
      <c r="E147" s="12"/>
      <c r="F147" s="13" t="str">
        <f aca="false">IFERROR(VLOOKUP($B147,ItemList_Full,4,0),"")</f>
        <v/>
      </c>
      <c r="G147" s="13" t="str">
        <f aca="false">IF(OR($E147="",$F147=""),"",$E147*$F147)</f>
        <v/>
      </c>
      <c r="H147" s="12"/>
      <c r="I147" s="12"/>
      <c r="J147" s="1" t="str">
        <f aca="false">IFERROR(VLOOKUP($B147,ItemList_Full,5,0),"")</f>
        <v/>
      </c>
    </row>
    <row r="148" customFormat="false" ht="15" hidden="false" customHeight="true" outlineLevel="0" collapsed="false">
      <c r="A148" s="19"/>
      <c r="B148" s="12"/>
      <c r="C148" s="12" t="str">
        <f aca="false">IFERROR(VLOOKUP($B148,ItemList_Full,2,0),"")</f>
        <v/>
      </c>
      <c r="D148" s="12" t="str">
        <f aca="false">IFERROR(VLOOKUP($B148,ItemList_Full,3,0),"")</f>
        <v/>
      </c>
      <c r="E148" s="12"/>
      <c r="F148" s="13" t="str">
        <f aca="false">IFERROR(VLOOKUP($B148,ItemList_Full,4,0),"")</f>
        <v/>
      </c>
      <c r="G148" s="13" t="str">
        <f aca="false">IF(OR($E148="",$F148=""),"",$E148*$F148)</f>
        <v/>
      </c>
      <c r="H148" s="12"/>
      <c r="I148" s="12"/>
      <c r="J148" s="1" t="str">
        <f aca="false">IFERROR(VLOOKUP($B148,ItemList_Full,5,0),"")</f>
        <v/>
      </c>
    </row>
    <row r="149" customFormat="false" ht="15" hidden="false" customHeight="true" outlineLevel="0" collapsed="false">
      <c r="A149" s="19"/>
      <c r="B149" s="12"/>
      <c r="C149" s="12" t="str">
        <f aca="false">IFERROR(VLOOKUP($B149,ItemList_Full,2,0),"")</f>
        <v/>
      </c>
      <c r="D149" s="12" t="str">
        <f aca="false">IFERROR(VLOOKUP($B149,ItemList_Full,3,0),"")</f>
        <v/>
      </c>
      <c r="E149" s="12"/>
      <c r="F149" s="13" t="str">
        <f aca="false">IFERROR(VLOOKUP($B149,ItemList_Full,4,0),"")</f>
        <v/>
      </c>
      <c r="G149" s="13" t="str">
        <f aca="false">IF(OR($E149="",$F149=""),"",$E149*$F149)</f>
        <v/>
      </c>
      <c r="H149" s="12"/>
      <c r="I149" s="12"/>
      <c r="J149" s="1" t="str">
        <f aca="false">IFERROR(VLOOKUP($B149,ItemList_Full,5,0),"")</f>
        <v/>
      </c>
    </row>
    <row r="150" customFormat="false" ht="15" hidden="false" customHeight="true" outlineLevel="0" collapsed="false">
      <c r="A150" s="19"/>
      <c r="B150" s="12"/>
      <c r="C150" s="12" t="str">
        <f aca="false">IFERROR(VLOOKUP($B150,ItemList_Full,2,0),"")</f>
        <v/>
      </c>
      <c r="D150" s="12" t="str">
        <f aca="false">IFERROR(VLOOKUP($B150,ItemList_Full,3,0),"")</f>
        <v/>
      </c>
      <c r="E150" s="12"/>
      <c r="F150" s="13" t="str">
        <f aca="false">IFERROR(VLOOKUP($B150,ItemList_Full,4,0),"")</f>
        <v/>
      </c>
      <c r="G150" s="13" t="str">
        <f aca="false">IF(OR($E150="",$F150=""),"",$E150*$F150)</f>
        <v/>
      </c>
      <c r="H150" s="12"/>
      <c r="I150" s="12"/>
      <c r="J150" s="1" t="str">
        <f aca="false">IFERROR(VLOOKUP($B150,ItemList_Full,5,0),"")</f>
        <v/>
      </c>
    </row>
    <row r="151" customFormat="false" ht="15" hidden="false" customHeight="true" outlineLevel="0" collapsed="false">
      <c r="A151" s="19"/>
      <c r="B151" s="12"/>
      <c r="C151" s="12" t="str">
        <f aca="false">IFERROR(VLOOKUP($B151,ItemList_Full,2,0),"")</f>
        <v/>
      </c>
      <c r="D151" s="12" t="str">
        <f aca="false">IFERROR(VLOOKUP($B151,ItemList_Full,3,0),"")</f>
        <v/>
      </c>
      <c r="E151" s="12"/>
      <c r="F151" s="13" t="str">
        <f aca="false">IFERROR(VLOOKUP($B151,ItemList_Full,4,0),"")</f>
        <v/>
      </c>
      <c r="G151" s="13" t="str">
        <f aca="false">IF(OR($E151="",$F151=""),"",$E151*$F151)</f>
        <v/>
      </c>
      <c r="H151" s="12"/>
      <c r="I151" s="12"/>
      <c r="J151" s="1" t="str">
        <f aca="false">IFERROR(VLOOKUP($B151,ItemList_Full,5,0),"")</f>
        <v/>
      </c>
    </row>
    <row r="152" customFormat="false" ht="15" hidden="false" customHeight="true" outlineLevel="0" collapsed="false">
      <c r="A152" s="19"/>
      <c r="B152" s="12"/>
      <c r="C152" s="12" t="str">
        <f aca="false">IFERROR(VLOOKUP($B152,ItemList_Full,2,0),"")</f>
        <v/>
      </c>
      <c r="D152" s="12" t="str">
        <f aca="false">IFERROR(VLOOKUP($B152,ItemList_Full,3,0),"")</f>
        <v/>
      </c>
      <c r="E152" s="12"/>
      <c r="F152" s="13" t="str">
        <f aca="false">IFERROR(VLOOKUP($B152,ItemList_Full,4,0),"")</f>
        <v/>
      </c>
      <c r="G152" s="13" t="str">
        <f aca="false">IF(OR($E152="",$F152=""),"",$E152*$F152)</f>
        <v/>
      </c>
      <c r="H152" s="12"/>
      <c r="I152" s="12"/>
      <c r="J152" s="1" t="str">
        <f aca="false">IFERROR(VLOOKUP($B152,ItemList_Full,5,0),"")</f>
        <v/>
      </c>
    </row>
    <row r="153" customFormat="false" ht="15" hidden="false" customHeight="true" outlineLevel="0" collapsed="false">
      <c r="A153" s="19"/>
      <c r="B153" s="12"/>
      <c r="C153" s="12" t="str">
        <f aca="false">IFERROR(VLOOKUP($B153,ItemList_Full,2,0),"")</f>
        <v/>
      </c>
      <c r="D153" s="12" t="str">
        <f aca="false">IFERROR(VLOOKUP($B153,ItemList_Full,3,0),"")</f>
        <v/>
      </c>
      <c r="E153" s="12"/>
      <c r="F153" s="13" t="str">
        <f aca="false">IFERROR(VLOOKUP($B153,ItemList_Full,4,0),"")</f>
        <v/>
      </c>
      <c r="G153" s="13" t="str">
        <f aca="false">IF(OR($E153="",$F153=""),"",$E153*$F153)</f>
        <v/>
      </c>
      <c r="H153" s="12"/>
      <c r="I153" s="12"/>
      <c r="J153" s="1" t="str">
        <f aca="false">IFERROR(VLOOKUP($B153,ItemList_Full,5,0),"")</f>
        <v/>
      </c>
    </row>
    <row r="154" customFormat="false" ht="15" hidden="false" customHeight="true" outlineLevel="0" collapsed="false">
      <c r="A154" s="19"/>
      <c r="B154" s="12"/>
      <c r="C154" s="12" t="str">
        <f aca="false">IFERROR(VLOOKUP($B154,ItemList_Full,2,0),"")</f>
        <v/>
      </c>
      <c r="D154" s="12" t="str">
        <f aca="false">IFERROR(VLOOKUP($B154,ItemList_Full,3,0),"")</f>
        <v/>
      </c>
      <c r="E154" s="12"/>
      <c r="F154" s="13" t="str">
        <f aca="false">IFERROR(VLOOKUP($B154,ItemList_Full,4,0),"")</f>
        <v/>
      </c>
      <c r="G154" s="13" t="str">
        <f aca="false">IF(OR($E154="",$F154=""),"",$E154*$F154)</f>
        <v/>
      </c>
      <c r="H154" s="12"/>
      <c r="I154" s="12"/>
      <c r="J154" s="1" t="str">
        <f aca="false">IFERROR(VLOOKUP($B154,ItemList_Full,5,0),"")</f>
        <v/>
      </c>
    </row>
    <row r="155" customFormat="false" ht="15" hidden="false" customHeight="true" outlineLevel="0" collapsed="false">
      <c r="A155" s="19"/>
      <c r="B155" s="12"/>
      <c r="C155" s="12" t="str">
        <f aca="false">IFERROR(VLOOKUP($B155,ItemList_Full,2,0),"")</f>
        <v/>
      </c>
      <c r="D155" s="12" t="str">
        <f aca="false">IFERROR(VLOOKUP($B155,ItemList_Full,3,0),"")</f>
        <v/>
      </c>
      <c r="E155" s="12"/>
      <c r="F155" s="13" t="str">
        <f aca="false">IFERROR(VLOOKUP($B155,ItemList_Full,4,0),"")</f>
        <v/>
      </c>
      <c r="G155" s="13" t="str">
        <f aca="false">IF(OR($E155="",$F155=""),"",$E155*$F155)</f>
        <v/>
      </c>
      <c r="H155" s="12"/>
      <c r="I155" s="12"/>
      <c r="J155" s="1" t="str">
        <f aca="false">IFERROR(VLOOKUP($B155,ItemList_Full,5,0),"")</f>
        <v/>
      </c>
    </row>
    <row r="156" customFormat="false" ht="15" hidden="false" customHeight="true" outlineLevel="0" collapsed="false">
      <c r="A156" s="19"/>
      <c r="B156" s="12"/>
      <c r="C156" s="12" t="str">
        <f aca="false">IFERROR(VLOOKUP($B156,ItemList_Full,2,0),"")</f>
        <v/>
      </c>
      <c r="D156" s="12" t="str">
        <f aca="false">IFERROR(VLOOKUP($B156,ItemList_Full,3,0),"")</f>
        <v/>
      </c>
      <c r="E156" s="12"/>
      <c r="F156" s="13" t="str">
        <f aca="false">IFERROR(VLOOKUP($B156,ItemList_Full,4,0),"")</f>
        <v/>
      </c>
      <c r="G156" s="13" t="str">
        <f aca="false">IF(OR($E156="",$F156=""),"",$E156*$F156)</f>
        <v/>
      </c>
      <c r="H156" s="12"/>
      <c r="I156" s="12"/>
      <c r="J156" s="1" t="str">
        <f aca="false">IFERROR(VLOOKUP($B156,ItemList_Full,5,0),"")</f>
        <v/>
      </c>
    </row>
    <row r="157" customFormat="false" ht="15" hidden="false" customHeight="true" outlineLevel="0" collapsed="false">
      <c r="A157" s="19"/>
      <c r="B157" s="12"/>
      <c r="C157" s="12" t="str">
        <f aca="false">IFERROR(VLOOKUP($B157,ItemList_Full,2,0),"")</f>
        <v/>
      </c>
      <c r="D157" s="12" t="str">
        <f aca="false">IFERROR(VLOOKUP($B157,ItemList_Full,3,0),"")</f>
        <v/>
      </c>
      <c r="E157" s="12"/>
      <c r="F157" s="13" t="str">
        <f aca="false">IFERROR(VLOOKUP($B157,ItemList_Full,4,0),"")</f>
        <v/>
      </c>
      <c r="G157" s="13" t="str">
        <f aca="false">IF(OR($E157="",$F157=""),"",$E157*$F157)</f>
        <v/>
      </c>
      <c r="H157" s="12"/>
      <c r="I157" s="12"/>
      <c r="J157" s="1" t="str">
        <f aca="false">IFERROR(VLOOKUP($B157,ItemList_Full,5,0),"")</f>
        <v/>
      </c>
    </row>
    <row r="158" customFormat="false" ht="15" hidden="false" customHeight="true" outlineLevel="0" collapsed="false">
      <c r="A158" s="19"/>
      <c r="B158" s="12"/>
      <c r="C158" s="12" t="str">
        <f aca="false">IFERROR(VLOOKUP($B158,ItemList_Full,2,0),"")</f>
        <v/>
      </c>
      <c r="D158" s="12" t="str">
        <f aca="false">IFERROR(VLOOKUP($B158,ItemList_Full,3,0),"")</f>
        <v/>
      </c>
      <c r="E158" s="12"/>
      <c r="F158" s="13" t="str">
        <f aca="false">IFERROR(VLOOKUP($B158,ItemList_Full,4,0),"")</f>
        <v/>
      </c>
      <c r="G158" s="13" t="str">
        <f aca="false">IF(OR($E158="",$F158=""),"",$E158*$F158)</f>
        <v/>
      </c>
      <c r="H158" s="12"/>
      <c r="I158" s="12"/>
      <c r="J158" s="1" t="str">
        <f aca="false">IFERROR(VLOOKUP($B158,ItemList_Full,5,0),"")</f>
        <v/>
      </c>
    </row>
    <row r="159" customFormat="false" ht="15" hidden="false" customHeight="true" outlineLevel="0" collapsed="false">
      <c r="A159" s="19"/>
      <c r="B159" s="12"/>
      <c r="C159" s="12" t="str">
        <f aca="false">IFERROR(VLOOKUP($B159,ItemList_Full,2,0),"")</f>
        <v/>
      </c>
      <c r="D159" s="12" t="str">
        <f aca="false">IFERROR(VLOOKUP($B159,ItemList_Full,3,0),"")</f>
        <v/>
      </c>
      <c r="E159" s="12"/>
      <c r="F159" s="13" t="str">
        <f aca="false">IFERROR(VLOOKUP($B159,ItemList_Full,4,0),"")</f>
        <v/>
      </c>
      <c r="G159" s="13" t="str">
        <f aca="false">IF(OR($E159="",$F159=""),"",$E159*$F159)</f>
        <v/>
      </c>
      <c r="H159" s="12"/>
      <c r="I159" s="12"/>
      <c r="J159" s="1" t="str">
        <f aca="false">IFERROR(VLOOKUP($B159,ItemList_Full,5,0),"")</f>
        <v/>
      </c>
    </row>
    <row r="160" customFormat="false" ht="15" hidden="false" customHeight="true" outlineLevel="0" collapsed="false">
      <c r="A160" s="19"/>
      <c r="B160" s="12"/>
      <c r="C160" s="12" t="str">
        <f aca="false">IFERROR(VLOOKUP($B160,ItemList_Full,2,0),"")</f>
        <v/>
      </c>
      <c r="D160" s="12" t="str">
        <f aca="false">IFERROR(VLOOKUP($B160,ItemList_Full,3,0),"")</f>
        <v/>
      </c>
      <c r="E160" s="12"/>
      <c r="F160" s="13" t="str">
        <f aca="false">IFERROR(VLOOKUP($B160,ItemList_Full,4,0),"")</f>
        <v/>
      </c>
      <c r="G160" s="13" t="str">
        <f aca="false">IF(OR($E160="",$F160=""),"",$E160*$F160)</f>
        <v/>
      </c>
      <c r="H160" s="12"/>
      <c r="I160" s="12"/>
      <c r="J160" s="1" t="str">
        <f aca="false">IFERROR(VLOOKUP($B160,ItemList_Full,5,0),"")</f>
        <v/>
      </c>
    </row>
    <row r="161" customFormat="false" ht="15" hidden="false" customHeight="true" outlineLevel="0" collapsed="false">
      <c r="A161" s="19"/>
      <c r="B161" s="12"/>
      <c r="C161" s="12" t="str">
        <f aca="false">IFERROR(VLOOKUP($B161,ItemList_Full,2,0),"")</f>
        <v/>
      </c>
      <c r="D161" s="12" t="str">
        <f aca="false">IFERROR(VLOOKUP($B161,ItemList_Full,3,0),"")</f>
        <v/>
      </c>
      <c r="E161" s="12"/>
      <c r="F161" s="13" t="str">
        <f aca="false">IFERROR(VLOOKUP($B161,ItemList_Full,4,0),"")</f>
        <v/>
      </c>
      <c r="G161" s="13" t="str">
        <f aca="false">IF(OR($E161="",$F161=""),"",$E161*$F161)</f>
        <v/>
      </c>
      <c r="H161" s="12"/>
      <c r="I161" s="12"/>
      <c r="J161" s="1" t="str">
        <f aca="false">IFERROR(VLOOKUP($B161,ItemList_Full,5,0),"")</f>
        <v/>
      </c>
    </row>
    <row r="162" customFormat="false" ht="15" hidden="false" customHeight="true" outlineLevel="0" collapsed="false">
      <c r="A162" s="19"/>
      <c r="B162" s="12"/>
      <c r="C162" s="12" t="str">
        <f aca="false">IFERROR(VLOOKUP($B162,ItemList_Full,2,0),"")</f>
        <v/>
      </c>
      <c r="D162" s="12" t="str">
        <f aca="false">IFERROR(VLOOKUP($B162,ItemList_Full,3,0),"")</f>
        <v/>
      </c>
      <c r="E162" s="12"/>
      <c r="F162" s="13" t="str">
        <f aca="false">IFERROR(VLOOKUP($B162,ItemList_Full,4,0),"")</f>
        <v/>
      </c>
      <c r="G162" s="13" t="str">
        <f aca="false">IF(OR($E162="",$F162=""),"",$E162*$F162)</f>
        <v/>
      </c>
      <c r="H162" s="12"/>
      <c r="I162" s="12"/>
      <c r="J162" s="1" t="str">
        <f aca="false">IFERROR(VLOOKUP($B162,ItemList_Full,5,0),"")</f>
        <v/>
      </c>
    </row>
    <row r="163" customFormat="false" ht="15" hidden="false" customHeight="true" outlineLevel="0" collapsed="false">
      <c r="A163" s="19"/>
      <c r="B163" s="12"/>
      <c r="C163" s="12" t="str">
        <f aca="false">IFERROR(VLOOKUP($B163,ItemList_Full,2,0),"")</f>
        <v/>
      </c>
      <c r="D163" s="12" t="str">
        <f aca="false">IFERROR(VLOOKUP($B163,ItemList_Full,3,0),"")</f>
        <v/>
      </c>
      <c r="E163" s="12"/>
      <c r="F163" s="13" t="str">
        <f aca="false">IFERROR(VLOOKUP($B163,ItemList_Full,4,0),"")</f>
        <v/>
      </c>
      <c r="G163" s="13" t="str">
        <f aca="false">IF(OR($E163="",$F163=""),"",$E163*$F163)</f>
        <v/>
      </c>
      <c r="H163" s="12"/>
      <c r="I163" s="12"/>
      <c r="J163" s="1" t="str">
        <f aca="false">IFERROR(VLOOKUP($B163,ItemList_Full,5,0),"")</f>
        <v/>
      </c>
    </row>
    <row r="164" customFormat="false" ht="15" hidden="false" customHeight="true" outlineLevel="0" collapsed="false">
      <c r="A164" s="19"/>
      <c r="B164" s="12"/>
      <c r="C164" s="12" t="str">
        <f aca="false">IFERROR(VLOOKUP($B164,ItemList_Full,2,0),"")</f>
        <v/>
      </c>
      <c r="D164" s="12" t="str">
        <f aca="false">IFERROR(VLOOKUP($B164,ItemList_Full,3,0),"")</f>
        <v/>
      </c>
      <c r="E164" s="12"/>
      <c r="F164" s="13" t="str">
        <f aca="false">IFERROR(VLOOKUP($B164,ItemList_Full,4,0),"")</f>
        <v/>
      </c>
      <c r="G164" s="13" t="str">
        <f aca="false">IF(OR($E164="",$F164=""),"",$E164*$F164)</f>
        <v/>
      </c>
      <c r="H164" s="12"/>
      <c r="I164" s="12"/>
      <c r="J164" s="1" t="str">
        <f aca="false">IFERROR(VLOOKUP($B164,ItemList_Full,5,0),"")</f>
        <v/>
      </c>
    </row>
    <row r="165" customFormat="false" ht="15" hidden="false" customHeight="true" outlineLevel="0" collapsed="false">
      <c r="A165" s="19"/>
      <c r="B165" s="12"/>
      <c r="C165" s="12" t="str">
        <f aca="false">IFERROR(VLOOKUP($B165,ItemList_Full,2,0),"")</f>
        <v/>
      </c>
      <c r="D165" s="12" t="str">
        <f aca="false">IFERROR(VLOOKUP($B165,ItemList_Full,3,0),"")</f>
        <v/>
      </c>
      <c r="E165" s="12"/>
      <c r="F165" s="13" t="str">
        <f aca="false">IFERROR(VLOOKUP($B165,ItemList_Full,4,0),"")</f>
        <v/>
      </c>
      <c r="G165" s="13" t="str">
        <f aca="false">IF(OR($E165="",$F165=""),"",$E165*$F165)</f>
        <v/>
      </c>
      <c r="H165" s="12"/>
      <c r="I165" s="12"/>
      <c r="J165" s="1" t="str">
        <f aca="false">IFERROR(VLOOKUP($B165,ItemList_Full,5,0),"")</f>
        <v/>
      </c>
    </row>
    <row r="166" customFormat="false" ht="15" hidden="false" customHeight="true" outlineLevel="0" collapsed="false">
      <c r="A166" s="19"/>
      <c r="B166" s="12"/>
      <c r="C166" s="12" t="str">
        <f aca="false">IFERROR(VLOOKUP($B166,ItemList_Full,2,0),"")</f>
        <v/>
      </c>
      <c r="D166" s="12" t="str">
        <f aca="false">IFERROR(VLOOKUP($B166,ItemList_Full,3,0),"")</f>
        <v/>
      </c>
      <c r="E166" s="12"/>
      <c r="F166" s="13" t="str">
        <f aca="false">IFERROR(VLOOKUP($B166,ItemList_Full,4,0),"")</f>
        <v/>
      </c>
      <c r="G166" s="13" t="str">
        <f aca="false">IF(OR($E166="",$F166=""),"",$E166*$F166)</f>
        <v/>
      </c>
      <c r="H166" s="12"/>
      <c r="I166" s="12"/>
      <c r="J166" s="1" t="str">
        <f aca="false">IFERROR(VLOOKUP($B166,ItemList_Full,5,0),"")</f>
        <v/>
      </c>
    </row>
    <row r="167" customFormat="false" ht="15" hidden="false" customHeight="true" outlineLevel="0" collapsed="false">
      <c r="A167" s="19"/>
      <c r="B167" s="12"/>
      <c r="C167" s="12" t="str">
        <f aca="false">IFERROR(VLOOKUP($B167,ItemList_Full,2,0),"")</f>
        <v/>
      </c>
      <c r="D167" s="12" t="str">
        <f aca="false">IFERROR(VLOOKUP($B167,ItemList_Full,3,0),"")</f>
        <v/>
      </c>
      <c r="E167" s="12"/>
      <c r="F167" s="13" t="str">
        <f aca="false">IFERROR(VLOOKUP($B167,ItemList_Full,4,0),"")</f>
        <v/>
      </c>
      <c r="G167" s="13" t="str">
        <f aca="false">IF(OR($E167="",$F167=""),"",$E167*$F167)</f>
        <v/>
      </c>
      <c r="H167" s="12"/>
      <c r="I167" s="12"/>
      <c r="J167" s="1" t="str">
        <f aca="false">IFERROR(VLOOKUP($B167,ItemList_Full,5,0),"")</f>
        <v/>
      </c>
    </row>
    <row r="168" customFormat="false" ht="15" hidden="false" customHeight="true" outlineLevel="0" collapsed="false">
      <c r="A168" s="19"/>
      <c r="B168" s="12"/>
      <c r="C168" s="12" t="str">
        <f aca="false">IFERROR(VLOOKUP($B168,ItemList_Full,2,0),"")</f>
        <v/>
      </c>
      <c r="D168" s="12" t="str">
        <f aca="false">IFERROR(VLOOKUP($B168,ItemList_Full,3,0),"")</f>
        <v/>
      </c>
      <c r="E168" s="12"/>
      <c r="F168" s="13" t="str">
        <f aca="false">IFERROR(VLOOKUP($B168,ItemList_Full,4,0),"")</f>
        <v/>
      </c>
      <c r="G168" s="13" t="str">
        <f aca="false">IF(OR($E168="",$F168=""),"",$E168*$F168)</f>
        <v/>
      </c>
      <c r="H168" s="12"/>
      <c r="I168" s="12"/>
      <c r="J168" s="1" t="str">
        <f aca="false">IFERROR(VLOOKUP($B168,ItemList_Full,5,0),"")</f>
        <v/>
      </c>
    </row>
    <row r="169" customFormat="false" ht="15" hidden="false" customHeight="true" outlineLevel="0" collapsed="false">
      <c r="A169" s="19"/>
      <c r="B169" s="12"/>
      <c r="C169" s="12" t="str">
        <f aca="false">IFERROR(VLOOKUP($B169,ItemList_Full,2,0),"")</f>
        <v/>
      </c>
      <c r="D169" s="12" t="str">
        <f aca="false">IFERROR(VLOOKUP($B169,ItemList_Full,3,0),"")</f>
        <v/>
      </c>
      <c r="E169" s="12"/>
      <c r="F169" s="13" t="str">
        <f aca="false">IFERROR(VLOOKUP($B169,ItemList_Full,4,0),"")</f>
        <v/>
      </c>
      <c r="G169" s="13" t="str">
        <f aca="false">IF(OR($E169="",$F169=""),"",$E169*$F169)</f>
        <v/>
      </c>
      <c r="H169" s="12"/>
      <c r="I169" s="12"/>
      <c r="J169" s="1" t="str">
        <f aca="false">IFERROR(VLOOKUP($B169,ItemList_Full,5,0),"")</f>
        <v/>
      </c>
    </row>
    <row r="170" customFormat="false" ht="15" hidden="false" customHeight="true" outlineLevel="0" collapsed="false">
      <c r="A170" s="19"/>
      <c r="B170" s="12"/>
      <c r="C170" s="12" t="str">
        <f aca="false">IFERROR(VLOOKUP($B170,ItemList_Full,2,0),"")</f>
        <v/>
      </c>
      <c r="D170" s="12" t="str">
        <f aca="false">IFERROR(VLOOKUP($B170,ItemList_Full,3,0),"")</f>
        <v/>
      </c>
      <c r="E170" s="12"/>
      <c r="F170" s="13" t="str">
        <f aca="false">IFERROR(VLOOKUP($B170,ItemList_Full,4,0),"")</f>
        <v/>
      </c>
      <c r="G170" s="13" t="str">
        <f aca="false">IF(OR($E170="",$F170=""),"",$E170*$F170)</f>
        <v/>
      </c>
      <c r="H170" s="12"/>
      <c r="I170" s="12"/>
      <c r="J170" s="1" t="str">
        <f aca="false">IFERROR(VLOOKUP($B170,ItemList_Full,5,0),"")</f>
        <v/>
      </c>
    </row>
    <row r="171" customFormat="false" ht="15" hidden="false" customHeight="true" outlineLevel="0" collapsed="false">
      <c r="A171" s="19"/>
      <c r="B171" s="12"/>
      <c r="C171" s="12" t="str">
        <f aca="false">IFERROR(VLOOKUP($B171,ItemList_Full,2,0),"")</f>
        <v/>
      </c>
      <c r="D171" s="12" t="str">
        <f aca="false">IFERROR(VLOOKUP($B171,ItemList_Full,3,0),"")</f>
        <v/>
      </c>
      <c r="E171" s="12"/>
      <c r="F171" s="13" t="str">
        <f aca="false">IFERROR(VLOOKUP($B171,ItemList_Full,4,0),"")</f>
        <v/>
      </c>
      <c r="G171" s="13" t="str">
        <f aca="false">IF(OR($E171="",$F171=""),"",$E171*$F171)</f>
        <v/>
      </c>
      <c r="H171" s="12"/>
      <c r="I171" s="12"/>
      <c r="J171" s="1" t="str">
        <f aca="false">IFERROR(VLOOKUP($B171,ItemList_Full,5,0),"")</f>
        <v/>
      </c>
    </row>
    <row r="172" customFormat="false" ht="15" hidden="false" customHeight="true" outlineLevel="0" collapsed="false">
      <c r="A172" s="19"/>
      <c r="B172" s="12"/>
      <c r="C172" s="12" t="str">
        <f aca="false">IFERROR(VLOOKUP($B172,ItemList_Full,2,0),"")</f>
        <v/>
      </c>
      <c r="D172" s="12" t="str">
        <f aca="false">IFERROR(VLOOKUP($B172,ItemList_Full,3,0),"")</f>
        <v/>
      </c>
      <c r="E172" s="12"/>
      <c r="F172" s="13" t="str">
        <f aca="false">IFERROR(VLOOKUP($B172,ItemList_Full,4,0),"")</f>
        <v/>
      </c>
      <c r="G172" s="13" t="str">
        <f aca="false">IF(OR($E172="",$F172=""),"",$E172*$F172)</f>
        <v/>
      </c>
      <c r="H172" s="12"/>
      <c r="I172" s="12"/>
      <c r="J172" s="1" t="str">
        <f aca="false">IFERROR(VLOOKUP($B172,ItemList_Full,5,0),"")</f>
        <v/>
      </c>
    </row>
    <row r="173" customFormat="false" ht="15" hidden="false" customHeight="true" outlineLevel="0" collapsed="false">
      <c r="A173" s="19"/>
      <c r="B173" s="12"/>
      <c r="C173" s="12" t="str">
        <f aca="false">IFERROR(VLOOKUP($B173,ItemList_Full,2,0),"")</f>
        <v/>
      </c>
      <c r="D173" s="12" t="str">
        <f aca="false">IFERROR(VLOOKUP($B173,ItemList_Full,3,0),"")</f>
        <v/>
      </c>
      <c r="E173" s="12"/>
      <c r="F173" s="13" t="str">
        <f aca="false">IFERROR(VLOOKUP($B173,ItemList_Full,4,0),"")</f>
        <v/>
      </c>
      <c r="G173" s="13" t="str">
        <f aca="false">IF(OR($E173="",$F173=""),"",$E173*$F173)</f>
        <v/>
      </c>
      <c r="H173" s="12"/>
      <c r="I173" s="12"/>
      <c r="J173" s="1" t="str">
        <f aca="false">IFERROR(VLOOKUP($B173,ItemList_Full,5,0),"")</f>
        <v/>
      </c>
    </row>
    <row r="174" customFormat="false" ht="15" hidden="false" customHeight="true" outlineLevel="0" collapsed="false">
      <c r="A174" s="19"/>
      <c r="B174" s="12"/>
      <c r="C174" s="12" t="str">
        <f aca="false">IFERROR(VLOOKUP($B174,ItemList_Full,2,0),"")</f>
        <v/>
      </c>
      <c r="D174" s="12" t="str">
        <f aca="false">IFERROR(VLOOKUP($B174,ItemList_Full,3,0),"")</f>
        <v/>
      </c>
      <c r="E174" s="12"/>
      <c r="F174" s="13" t="str">
        <f aca="false">IFERROR(VLOOKUP($B174,ItemList_Full,4,0),"")</f>
        <v/>
      </c>
      <c r="G174" s="13" t="str">
        <f aca="false">IF(OR($E174="",$F174=""),"",$E174*$F174)</f>
        <v/>
      </c>
      <c r="H174" s="12"/>
      <c r="I174" s="12"/>
      <c r="J174" s="1" t="str">
        <f aca="false">IFERROR(VLOOKUP($B174,ItemList_Full,5,0),"")</f>
        <v/>
      </c>
    </row>
    <row r="175" customFormat="false" ht="15" hidden="false" customHeight="true" outlineLevel="0" collapsed="false">
      <c r="A175" s="19"/>
      <c r="B175" s="12"/>
      <c r="C175" s="12" t="str">
        <f aca="false">IFERROR(VLOOKUP($B175,ItemList_Full,2,0),"")</f>
        <v/>
      </c>
      <c r="D175" s="12" t="str">
        <f aca="false">IFERROR(VLOOKUP($B175,ItemList_Full,3,0),"")</f>
        <v/>
      </c>
      <c r="E175" s="12"/>
      <c r="F175" s="13" t="str">
        <f aca="false">IFERROR(VLOOKUP($B175,ItemList_Full,4,0),"")</f>
        <v/>
      </c>
      <c r="G175" s="13" t="str">
        <f aca="false">IF(OR($E175="",$F175=""),"",$E175*$F175)</f>
        <v/>
      </c>
      <c r="H175" s="12"/>
      <c r="I175" s="12"/>
      <c r="J175" s="1" t="str">
        <f aca="false">IFERROR(VLOOKUP($B175,ItemList_Full,5,0),"")</f>
        <v/>
      </c>
    </row>
    <row r="176" customFormat="false" ht="15" hidden="false" customHeight="true" outlineLevel="0" collapsed="false">
      <c r="A176" s="19"/>
      <c r="B176" s="12"/>
      <c r="C176" s="12" t="str">
        <f aca="false">IFERROR(VLOOKUP($B176,ItemList_Full,2,0),"")</f>
        <v/>
      </c>
      <c r="D176" s="12" t="str">
        <f aca="false">IFERROR(VLOOKUP($B176,ItemList_Full,3,0),"")</f>
        <v/>
      </c>
      <c r="E176" s="12"/>
      <c r="F176" s="13" t="str">
        <f aca="false">IFERROR(VLOOKUP($B176,ItemList_Full,4,0),"")</f>
        <v/>
      </c>
      <c r="G176" s="13" t="str">
        <f aca="false">IF(OR($E176="",$F176=""),"",$E176*$F176)</f>
        <v/>
      </c>
      <c r="H176" s="12"/>
      <c r="I176" s="12"/>
      <c r="J176" s="1" t="str">
        <f aca="false">IFERROR(VLOOKUP($B176,ItemList_Full,5,0),"")</f>
        <v/>
      </c>
    </row>
    <row r="177" customFormat="false" ht="15" hidden="false" customHeight="true" outlineLevel="0" collapsed="false">
      <c r="A177" s="19"/>
      <c r="B177" s="12"/>
      <c r="C177" s="12" t="str">
        <f aca="false">IFERROR(VLOOKUP($B177,ItemList_Full,2,0),"")</f>
        <v/>
      </c>
      <c r="D177" s="12" t="str">
        <f aca="false">IFERROR(VLOOKUP($B177,ItemList_Full,3,0),"")</f>
        <v/>
      </c>
      <c r="E177" s="12"/>
      <c r="F177" s="13" t="str">
        <f aca="false">IFERROR(VLOOKUP($B177,ItemList_Full,4,0),"")</f>
        <v/>
      </c>
      <c r="G177" s="13" t="str">
        <f aca="false">IF(OR($E177="",$F177=""),"",$E177*$F177)</f>
        <v/>
      </c>
      <c r="H177" s="12"/>
      <c r="I177" s="12"/>
      <c r="J177" s="1" t="str">
        <f aca="false">IFERROR(VLOOKUP($B177,ItemList_Full,5,0),"")</f>
        <v/>
      </c>
    </row>
    <row r="178" customFormat="false" ht="15" hidden="false" customHeight="true" outlineLevel="0" collapsed="false">
      <c r="A178" s="19"/>
      <c r="B178" s="12"/>
      <c r="C178" s="12" t="str">
        <f aca="false">IFERROR(VLOOKUP($B178,ItemList_Full,2,0),"")</f>
        <v/>
      </c>
      <c r="D178" s="12" t="str">
        <f aca="false">IFERROR(VLOOKUP($B178,ItemList_Full,3,0),"")</f>
        <v/>
      </c>
      <c r="E178" s="12"/>
      <c r="F178" s="13" t="str">
        <f aca="false">IFERROR(VLOOKUP($B178,ItemList_Full,4,0),"")</f>
        <v/>
      </c>
      <c r="G178" s="13" t="str">
        <f aca="false">IF(OR($E178="",$F178=""),"",$E178*$F178)</f>
        <v/>
      </c>
      <c r="H178" s="12"/>
      <c r="I178" s="12"/>
      <c r="J178" s="1" t="str">
        <f aca="false">IFERROR(VLOOKUP($B178,ItemList_Full,5,0),"")</f>
        <v/>
      </c>
    </row>
    <row r="179" customFormat="false" ht="15" hidden="false" customHeight="true" outlineLevel="0" collapsed="false">
      <c r="A179" s="19"/>
      <c r="B179" s="12"/>
      <c r="C179" s="12" t="str">
        <f aca="false">IFERROR(VLOOKUP($B179,ItemList_Full,2,0),"")</f>
        <v/>
      </c>
      <c r="D179" s="12" t="str">
        <f aca="false">IFERROR(VLOOKUP($B179,ItemList_Full,3,0),"")</f>
        <v/>
      </c>
      <c r="E179" s="12"/>
      <c r="F179" s="13" t="str">
        <f aca="false">IFERROR(VLOOKUP($B179,ItemList_Full,4,0),"")</f>
        <v/>
      </c>
      <c r="G179" s="13" t="str">
        <f aca="false">IF(OR($E179="",$F179=""),"",$E179*$F179)</f>
        <v/>
      </c>
      <c r="H179" s="12"/>
      <c r="I179" s="12"/>
      <c r="J179" s="1" t="str">
        <f aca="false">IFERROR(VLOOKUP($B179,ItemList_Full,5,0),"")</f>
        <v/>
      </c>
    </row>
    <row r="180" customFormat="false" ht="15" hidden="false" customHeight="true" outlineLevel="0" collapsed="false">
      <c r="A180" s="19"/>
      <c r="B180" s="12"/>
      <c r="C180" s="12" t="str">
        <f aca="false">IFERROR(VLOOKUP($B180,ItemList_Full,2,0),"")</f>
        <v/>
      </c>
      <c r="D180" s="12" t="str">
        <f aca="false">IFERROR(VLOOKUP($B180,ItemList_Full,3,0),"")</f>
        <v/>
      </c>
      <c r="E180" s="12"/>
      <c r="F180" s="13" t="str">
        <f aca="false">IFERROR(VLOOKUP($B180,ItemList_Full,4,0),"")</f>
        <v/>
      </c>
      <c r="G180" s="13" t="str">
        <f aca="false">IF(OR($E180="",$F180=""),"",$E180*$F180)</f>
        <v/>
      </c>
      <c r="H180" s="12"/>
      <c r="I180" s="12"/>
      <c r="J180" s="1" t="str">
        <f aca="false">IFERROR(VLOOKUP($B180,ItemList_Full,5,0),"")</f>
        <v/>
      </c>
    </row>
    <row r="181" customFormat="false" ht="15" hidden="false" customHeight="true" outlineLevel="0" collapsed="false">
      <c r="A181" s="19"/>
      <c r="B181" s="12"/>
      <c r="C181" s="12" t="str">
        <f aca="false">IFERROR(VLOOKUP($B181,ItemList_Full,2,0),"")</f>
        <v/>
      </c>
      <c r="D181" s="12" t="str">
        <f aca="false">IFERROR(VLOOKUP($B181,ItemList_Full,3,0),"")</f>
        <v/>
      </c>
      <c r="E181" s="12"/>
      <c r="F181" s="13" t="str">
        <f aca="false">IFERROR(VLOOKUP($B181,ItemList_Full,4,0),"")</f>
        <v/>
      </c>
      <c r="G181" s="13" t="str">
        <f aca="false">IF(OR($E181="",$F181=""),"",$E181*$F181)</f>
        <v/>
      </c>
      <c r="H181" s="12"/>
      <c r="I181" s="12"/>
      <c r="J181" s="1" t="str">
        <f aca="false">IFERROR(VLOOKUP($B181,ItemList_Full,5,0),"")</f>
        <v/>
      </c>
    </row>
    <row r="182" customFormat="false" ht="15" hidden="false" customHeight="true" outlineLevel="0" collapsed="false">
      <c r="A182" s="19"/>
      <c r="B182" s="12"/>
      <c r="C182" s="12" t="str">
        <f aca="false">IFERROR(VLOOKUP($B182,ItemList_Full,2,0),"")</f>
        <v/>
      </c>
      <c r="D182" s="12" t="str">
        <f aca="false">IFERROR(VLOOKUP($B182,ItemList_Full,3,0),"")</f>
        <v/>
      </c>
      <c r="E182" s="12"/>
      <c r="F182" s="13" t="str">
        <f aca="false">IFERROR(VLOOKUP($B182,ItemList_Full,4,0),"")</f>
        <v/>
      </c>
      <c r="G182" s="13" t="str">
        <f aca="false">IF(OR($E182="",$F182=""),"",$E182*$F182)</f>
        <v/>
      </c>
      <c r="H182" s="12"/>
      <c r="I182" s="12"/>
      <c r="J182" s="1" t="str">
        <f aca="false">IFERROR(VLOOKUP($B182,ItemList_Full,5,0),"")</f>
        <v/>
      </c>
    </row>
    <row r="183" customFormat="false" ht="15" hidden="false" customHeight="true" outlineLevel="0" collapsed="false">
      <c r="A183" s="19"/>
      <c r="B183" s="12"/>
      <c r="C183" s="12" t="str">
        <f aca="false">IFERROR(VLOOKUP($B183,ItemList_Full,2,0),"")</f>
        <v/>
      </c>
      <c r="D183" s="12" t="str">
        <f aca="false">IFERROR(VLOOKUP($B183,ItemList_Full,3,0),"")</f>
        <v/>
      </c>
      <c r="E183" s="12"/>
      <c r="F183" s="13" t="str">
        <f aca="false">IFERROR(VLOOKUP($B183,ItemList_Full,4,0),"")</f>
        <v/>
      </c>
      <c r="G183" s="13" t="str">
        <f aca="false">IF(OR($E183="",$F183=""),"",$E183*$F183)</f>
        <v/>
      </c>
      <c r="H183" s="12"/>
      <c r="I183" s="12"/>
      <c r="J183" s="1" t="str">
        <f aca="false">IFERROR(VLOOKUP($B183,ItemList_Full,5,0),"")</f>
        <v/>
      </c>
    </row>
    <row r="184" customFormat="false" ht="15" hidden="false" customHeight="true" outlineLevel="0" collapsed="false">
      <c r="A184" s="19"/>
      <c r="B184" s="12"/>
      <c r="C184" s="12" t="str">
        <f aca="false">IFERROR(VLOOKUP($B184,ItemList_Full,2,0),"")</f>
        <v/>
      </c>
      <c r="D184" s="12" t="str">
        <f aca="false">IFERROR(VLOOKUP($B184,ItemList_Full,3,0),"")</f>
        <v/>
      </c>
      <c r="E184" s="12"/>
      <c r="F184" s="13" t="str">
        <f aca="false">IFERROR(VLOOKUP($B184,ItemList_Full,4,0),"")</f>
        <v/>
      </c>
      <c r="G184" s="13" t="str">
        <f aca="false">IF(OR($E184="",$F184=""),"",$E184*$F184)</f>
        <v/>
      </c>
      <c r="H184" s="12"/>
      <c r="I184" s="12"/>
      <c r="J184" s="1" t="str">
        <f aca="false">IFERROR(VLOOKUP($B184,ItemList_Full,5,0),"")</f>
        <v/>
      </c>
    </row>
    <row r="185" customFormat="false" ht="15" hidden="false" customHeight="true" outlineLevel="0" collapsed="false">
      <c r="A185" s="19"/>
      <c r="B185" s="12"/>
      <c r="C185" s="12" t="str">
        <f aca="false">IFERROR(VLOOKUP($B185,ItemList_Full,2,0),"")</f>
        <v/>
      </c>
      <c r="D185" s="12" t="str">
        <f aca="false">IFERROR(VLOOKUP($B185,ItemList_Full,3,0),"")</f>
        <v/>
      </c>
      <c r="E185" s="12"/>
      <c r="F185" s="13" t="str">
        <f aca="false">IFERROR(VLOOKUP($B185,ItemList_Full,4,0),"")</f>
        <v/>
      </c>
      <c r="G185" s="13" t="str">
        <f aca="false">IF(OR($E185="",$F185=""),"",$E185*$F185)</f>
        <v/>
      </c>
      <c r="H185" s="12"/>
      <c r="I185" s="12"/>
      <c r="J185" s="1" t="str">
        <f aca="false">IFERROR(VLOOKUP($B185,ItemList_Full,5,0),"")</f>
        <v/>
      </c>
    </row>
    <row r="186" customFormat="false" ht="15" hidden="false" customHeight="true" outlineLevel="0" collapsed="false">
      <c r="A186" s="19"/>
      <c r="B186" s="12"/>
      <c r="C186" s="12" t="str">
        <f aca="false">IFERROR(VLOOKUP($B186,ItemList_Full,2,0),"")</f>
        <v/>
      </c>
      <c r="D186" s="12" t="str">
        <f aca="false">IFERROR(VLOOKUP($B186,ItemList_Full,3,0),"")</f>
        <v/>
      </c>
      <c r="E186" s="12"/>
      <c r="F186" s="13" t="str">
        <f aca="false">IFERROR(VLOOKUP($B186,ItemList_Full,4,0),"")</f>
        <v/>
      </c>
      <c r="G186" s="13" t="str">
        <f aca="false">IF(OR($E186="",$F186=""),"",$E186*$F186)</f>
        <v/>
      </c>
      <c r="H186" s="12"/>
      <c r="I186" s="12"/>
      <c r="J186" s="1" t="str">
        <f aca="false">IFERROR(VLOOKUP($B186,ItemList_Full,5,0),"")</f>
        <v/>
      </c>
    </row>
    <row r="187" customFormat="false" ht="15" hidden="false" customHeight="true" outlineLevel="0" collapsed="false">
      <c r="A187" s="19"/>
      <c r="B187" s="12"/>
      <c r="C187" s="12" t="str">
        <f aca="false">IFERROR(VLOOKUP($B187,ItemList_Full,2,0),"")</f>
        <v/>
      </c>
      <c r="D187" s="12" t="str">
        <f aca="false">IFERROR(VLOOKUP($B187,ItemList_Full,3,0),"")</f>
        <v/>
      </c>
      <c r="E187" s="12"/>
      <c r="F187" s="13" t="str">
        <f aca="false">IFERROR(VLOOKUP($B187,ItemList_Full,4,0),"")</f>
        <v/>
      </c>
      <c r="G187" s="13" t="str">
        <f aca="false">IF(OR($E187="",$F187=""),"",$E187*$F187)</f>
        <v/>
      </c>
      <c r="H187" s="12"/>
      <c r="I187" s="12"/>
      <c r="J187" s="1" t="str">
        <f aca="false">IFERROR(VLOOKUP($B187,ItemList_Full,5,0),"")</f>
        <v/>
      </c>
    </row>
    <row r="188" customFormat="false" ht="15" hidden="false" customHeight="true" outlineLevel="0" collapsed="false">
      <c r="A188" s="19"/>
      <c r="B188" s="12"/>
      <c r="C188" s="12" t="str">
        <f aca="false">IFERROR(VLOOKUP($B188,ItemList_Full,2,0),"")</f>
        <v/>
      </c>
      <c r="D188" s="12" t="str">
        <f aca="false">IFERROR(VLOOKUP($B188,ItemList_Full,3,0),"")</f>
        <v/>
      </c>
      <c r="E188" s="12"/>
      <c r="F188" s="13" t="str">
        <f aca="false">IFERROR(VLOOKUP($B188,ItemList_Full,4,0),"")</f>
        <v/>
      </c>
      <c r="G188" s="13" t="str">
        <f aca="false">IF(OR($E188="",$F188=""),"",$E188*$F188)</f>
        <v/>
      </c>
      <c r="H188" s="12"/>
      <c r="I188" s="12"/>
      <c r="J188" s="1" t="str">
        <f aca="false">IFERROR(VLOOKUP($B188,ItemList_Full,5,0),"")</f>
        <v/>
      </c>
    </row>
    <row r="189" customFormat="false" ht="15" hidden="false" customHeight="true" outlineLevel="0" collapsed="false">
      <c r="A189" s="19"/>
      <c r="B189" s="12"/>
      <c r="C189" s="12" t="str">
        <f aca="false">IFERROR(VLOOKUP($B189,ItemList_Full,2,0),"")</f>
        <v/>
      </c>
      <c r="D189" s="12" t="str">
        <f aca="false">IFERROR(VLOOKUP($B189,ItemList_Full,3,0),"")</f>
        <v/>
      </c>
      <c r="E189" s="12"/>
      <c r="F189" s="13" t="str">
        <f aca="false">IFERROR(VLOOKUP($B189,ItemList_Full,4,0),"")</f>
        <v/>
      </c>
      <c r="G189" s="13" t="str">
        <f aca="false">IF(OR($E189="",$F189=""),"",$E189*$F189)</f>
        <v/>
      </c>
      <c r="H189" s="12"/>
      <c r="I189" s="12"/>
      <c r="J189" s="1" t="str">
        <f aca="false">IFERROR(VLOOKUP($B189,ItemList_Full,5,0),"")</f>
        <v/>
      </c>
    </row>
    <row r="190" customFormat="false" ht="15" hidden="false" customHeight="true" outlineLevel="0" collapsed="false">
      <c r="A190" s="19"/>
      <c r="B190" s="12"/>
      <c r="C190" s="12" t="str">
        <f aca="false">IFERROR(VLOOKUP($B190,ItemList_Full,2,0),"")</f>
        <v/>
      </c>
      <c r="D190" s="12" t="str">
        <f aca="false">IFERROR(VLOOKUP($B190,ItemList_Full,3,0),"")</f>
        <v/>
      </c>
      <c r="E190" s="12"/>
      <c r="F190" s="13" t="str">
        <f aca="false">IFERROR(VLOOKUP($B190,ItemList_Full,4,0),"")</f>
        <v/>
      </c>
      <c r="G190" s="13" t="str">
        <f aca="false">IF(OR($E190="",$F190=""),"",$E190*$F190)</f>
        <v/>
      </c>
      <c r="H190" s="12"/>
      <c r="I190" s="12"/>
      <c r="J190" s="1" t="str">
        <f aca="false">IFERROR(VLOOKUP($B190,ItemList_Full,5,0),"")</f>
        <v/>
      </c>
    </row>
    <row r="191" customFormat="false" ht="15" hidden="false" customHeight="true" outlineLevel="0" collapsed="false">
      <c r="A191" s="19"/>
      <c r="B191" s="12"/>
      <c r="C191" s="12" t="str">
        <f aca="false">IFERROR(VLOOKUP($B191,ItemList_Full,2,0),"")</f>
        <v/>
      </c>
      <c r="D191" s="12" t="str">
        <f aca="false">IFERROR(VLOOKUP($B191,ItemList_Full,3,0),"")</f>
        <v/>
      </c>
      <c r="E191" s="12"/>
      <c r="F191" s="13" t="str">
        <f aca="false">IFERROR(VLOOKUP($B191,ItemList_Full,4,0),"")</f>
        <v/>
      </c>
      <c r="G191" s="13" t="str">
        <f aca="false">IF(OR($E191="",$F191=""),"",$E191*$F191)</f>
        <v/>
      </c>
      <c r="H191" s="12"/>
      <c r="I191" s="12"/>
      <c r="J191" s="1" t="str">
        <f aca="false">IFERROR(VLOOKUP($B191,ItemList_Full,5,0),"")</f>
        <v/>
      </c>
    </row>
    <row r="192" customFormat="false" ht="15" hidden="false" customHeight="true" outlineLevel="0" collapsed="false">
      <c r="A192" s="19"/>
      <c r="B192" s="12"/>
      <c r="C192" s="12" t="str">
        <f aca="false">IFERROR(VLOOKUP($B192,ItemList_Full,2,0),"")</f>
        <v/>
      </c>
      <c r="D192" s="12" t="str">
        <f aca="false">IFERROR(VLOOKUP($B192,ItemList_Full,3,0),"")</f>
        <v/>
      </c>
      <c r="E192" s="12"/>
      <c r="F192" s="13" t="str">
        <f aca="false">IFERROR(VLOOKUP($B192,ItemList_Full,4,0),"")</f>
        <v/>
      </c>
      <c r="G192" s="13" t="str">
        <f aca="false">IF(OR($E192="",$F192=""),"",$E192*$F192)</f>
        <v/>
      </c>
      <c r="H192" s="12"/>
      <c r="I192" s="12"/>
      <c r="J192" s="1" t="str">
        <f aca="false">IFERROR(VLOOKUP($B192,ItemList_Full,5,0),"")</f>
        <v/>
      </c>
    </row>
    <row r="193" customFormat="false" ht="15" hidden="false" customHeight="true" outlineLevel="0" collapsed="false">
      <c r="A193" s="19"/>
      <c r="B193" s="12"/>
      <c r="C193" s="12" t="str">
        <f aca="false">IFERROR(VLOOKUP($B193,ItemList_Full,2,0),"")</f>
        <v/>
      </c>
      <c r="D193" s="12" t="str">
        <f aca="false">IFERROR(VLOOKUP($B193,ItemList_Full,3,0),"")</f>
        <v/>
      </c>
      <c r="E193" s="12"/>
      <c r="F193" s="13" t="str">
        <f aca="false">IFERROR(VLOOKUP($B193,ItemList_Full,4,0),"")</f>
        <v/>
      </c>
      <c r="G193" s="13" t="str">
        <f aca="false">IF(OR($E193="",$F193=""),"",$E193*$F193)</f>
        <v/>
      </c>
      <c r="H193" s="12"/>
      <c r="I193" s="12"/>
      <c r="J193" s="1" t="str">
        <f aca="false">IFERROR(VLOOKUP($B193,ItemList_Full,5,0),"")</f>
        <v/>
      </c>
    </row>
    <row r="194" customFormat="false" ht="15" hidden="false" customHeight="true" outlineLevel="0" collapsed="false">
      <c r="A194" s="19"/>
      <c r="B194" s="12"/>
      <c r="C194" s="12" t="str">
        <f aca="false">IFERROR(VLOOKUP($B194,ItemList_Full,2,0),"")</f>
        <v/>
      </c>
      <c r="D194" s="12" t="str">
        <f aca="false">IFERROR(VLOOKUP($B194,ItemList_Full,3,0),"")</f>
        <v/>
      </c>
      <c r="E194" s="12"/>
      <c r="F194" s="13" t="str">
        <f aca="false">IFERROR(VLOOKUP($B194,ItemList_Full,4,0),"")</f>
        <v/>
      </c>
      <c r="G194" s="13" t="str">
        <f aca="false">IF(OR($E194="",$F194=""),"",$E194*$F194)</f>
        <v/>
      </c>
      <c r="H194" s="12"/>
      <c r="I194" s="12"/>
      <c r="J194" s="1" t="str">
        <f aca="false">IFERROR(VLOOKUP($B194,ItemList_Full,5,0),"")</f>
        <v/>
      </c>
    </row>
    <row r="195" customFormat="false" ht="15" hidden="false" customHeight="true" outlineLevel="0" collapsed="false">
      <c r="A195" s="19"/>
      <c r="B195" s="12"/>
      <c r="C195" s="12" t="str">
        <f aca="false">IFERROR(VLOOKUP($B195,ItemList_Full,2,0),"")</f>
        <v/>
      </c>
      <c r="D195" s="12" t="str">
        <f aca="false">IFERROR(VLOOKUP($B195,ItemList_Full,3,0),"")</f>
        <v/>
      </c>
      <c r="E195" s="12"/>
      <c r="F195" s="13" t="str">
        <f aca="false">IFERROR(VLOOKUP($B195,ItemList_Full,4,0),"")</f>
        <v/>
      </c>
      <c r="G195" s="13" t="str">
        <f aca="false">IF(OR($E195="",$F195=""),"",$E195*$F195)</f>
        <v/>
      </c>
      <c r="H195" s="12"/>
      <c r="I195" s="12"/>
      <c r="J195" s="1" t="str">
        <f aca="false">IFERROR(VLOOKUP($B195,ItemList_Full,5,0),"")</f>
        <v/>
      </c>
    </row>
    <row r="196" customFormat="false" ht="15" hidden="false" customHeight="true" outlineLevel="0" collapsed="false">
      <c r="A196" s="19"/>
      <c r="B196" s="12"/>
      <c r="C196" s="12" t="str">
        <f aca="false">IFERROR(VLOOKUP($B196,ItemList_Full,2,0),"")</f>
        <v/>
      </c>
      <c r="D196" s="12" t="str">
        <f aca="false">IFERROR(VLOOKUP($B196,ItemList_Full,3,0),"")</f>
        <v/>
      </c>
      <c r="E196" s="12"/>
      <c r="F196" s="13" t="str">
        <f aca="false">IFERROR(VLOOKUP($B196,ItemList_Full,4,0),"")</f>
        <v/>
      </c>
      <c r="G196" s="13" t="str">
        <f aca="false">IF(OR($E196="",$F196=""),"",$E196*$F196)</f>
        <v/>
      </c>
      <c r="H196" s="12"/>
      <c r="I196" s="12"/>
      <c r="J196" s="1" t="str">
        <f aca="false">IFERROR(VLOOKUP($B196,ItemList_Full,5,0),"")</f>
        <v/>
      </c>
    </row>
    <row r="197" customFormat="false" ht="15" hidden="false" customHeight="true" outlineLevel="0" collapsed="false">
      <c r="A197" s="19"/>
      <c r="B197" s="12"/>
      <c r="C197" s="12" t="str">
        <f aca="false">IFERROR(VLOOKUP($B197,ItemList_Full,2,0),"")</f>
        <v/>
      </c>
      <c r="D197" s="12" t="str">
        <f aca="false">IFERROR(VLOOKUP($B197,ItemList_Full,3,0),"")</f>
        <v/>
      </c>
      <c r="E197" s="12"/>
      <c r="F197" s="13" t="str">
        <f aca="false">IFERROR(VLOOKUP($B197,ItemList_Full,4,0),"")</f>
        <v/>
      </c>
      <c r="G197" s="13" t="str">
        <f aca="false">IF(OR($E197="",$F197=""),"",$E197*$F197)</f>
        <v/>
      </c>
      <c r="H197" s="12"/>
      <c r="I197" s="12"/>
      <c r="J197" s="1" t="str">
        <f aca="false">IFERROR(VLOOKUP($B197,ItemList_Full,5,0),"")</f>
        <v/>
      </c>
    </row>
    <row r="198" customFormat="false" ht="15" hidden="false" customHeight="true" outlineLevel="0" collapsed="false">
      <c r="A198" s="19"/>
      <c r="B198" s="12"/>
      <c r="C198" s="12" t="str">
        <f aca="false">IFERROR(VLOOKUP($B198,ItemList_Full,2,0),"")</f>
        <v/>
      </c>
      <c r="D198" s="12" t="str">
        <f aca="false">IFERROR(VLOOKUP($B198,ItemList_Full,3,0),"")</f>
        <v/>
      </c>
      <c r="E198" s="12"/>
      <c r="F198" s="13" t="str">
        <f aca="false">IFERROR(VLOOKUP($B198,ItemList_Full,4,0),"")</f>
        <v/>
      </c>
      <c r="G198" s="13" t="str">
        <f aca="false">IF(OR($E198="",$F198=""),"",$E198*$F198)</f>
        <v/>
      </c>
      <c r="H198" s="12"/>
      <c r="I198" s="12"/>
      <c r="J198" s="1" t="str">
        <f aca="false">IFERROR(VLOOKUP($B198,ItemList_Full,5,0),"")</f>
        <v/>
      </c>
    </row>
    <row r="199" customFormat="false" ht="15" hidden="false" customHeight="true" outlineLevel="0" collapsed="false">
      <c r="A199" s="19"/>
      <c r="B199" s="12"/>
      <c r="C199" s="12" t="str">
        <f aca="false">IFERROR(VLOOKUP($B199,ItemList_Full,2,0),"")</f>
        <v/>
      </c>
      <c r="D199" s="12" t="str">
        <f aca="false">IFERROR(VLOOKUP($B199,ItemList_Full,3,0),"")</f>
        <v/>
      </c>
      <c r="E199" s="12"/>
      <c r="F199" s="13" t="str">
        <f aca="false">IFERROR(VLOOKUP($B199,ItemList_Full,4,0),"")</f>
        <v/>
      </c>
      <c r="G199" s="13" t="str">
        <f aca="false">IF(OR($E199="",$F199=""),"",$E199*$F199)</f>
        <v/>
      </c>
      <c r="H199" s="12"/>
      <c r="I199" s="12"/>
      <c r="J199" s="1" t="str">
        <f aca="false">IFERROR(VLOOKUP($B199,ItemList_Full,5,0),"")</f>
        <v/>
      </c>
    </row>
    <row r="200" customFormat="false" ht="15" hidden="false" customHeight="true" outlineLevel="0" collapsed="false">
      <c r="A200" s="19"/>
      <c r="B200" s="12"/>
      <c r="C200" s="12" t="str">
        <f aca="false">IFERROR(VLOOKUP($B200,ItemList_Full,2,0),"")</f>
        <v/>
      </c>
      <c r="D200" s="12" t="str">
        <f aca="false">IFERROR(VLOOKUP($B200,ItemList_Full,3,0),"")</f>
        <v/>
      </c>
      <c r="E200" s="12"/>
      <c r="F200" s="13" t="str">
        <f aca="false">IFERROR(VLOOKUP($B200,ItemList_Full,4,0),"")</f>
        <v/>
      </c>
      <c r="G200" s="13" t="str">
        <f aca="false">IF(OR($E200="",$F200=""),"",$E200*$F200)</f>
        <v/>
      </c>
      <c r="H200" s="12"/>
      <c r="I200" s="12"/>
      <c r="J200" s="1" t="str">
        <f aca="false">IFERROR(VLOOKUP($B200,ItemList_Full,5,0),"")</f>
        <v/>
      </c>
    </row>
    <row r="201" customFormat="false" ht="15" hidden="false" customHeight="true" outlineLevel="0" collapsed="false">
      <c r="A201" s="19"/>
      <c r="B201" s="12"/>
      <c r="C201" s="12" t="str">
        <f aca="false">IFERROR(VLOOKUP($B201,ItemList_Full,2,0),"")</f>
        <v/>
      </c>
      <c r="D201" s="12" t="str">
        <f aca="false">IFERROR(VLOOKUP($B201,ItemList_Full,3,0),"")</f>
        <v/>
      </c>
      <c r="E201" s="12"/>
      <c r="F201" s="13" t="str">
        <f aca="false">IFERROR(VLOOKUP($B201,ItemList_Full,4,0),"")</f>
        <v/>
      </c>
      <c r="G201" s="13" t="str">
        <f aca="false">IF(OR($E201="",$F201=""),"",$E201*$F201)</f>
        <v/>
      </c>
      <c r="H201" s="12"/>
      <c r="I201" s="12"/>
      <c r="J201" s="1" t="str">
        <f aca="false">IFERROR(VLOOKUP($B201,ItemList_Full,5,0),"")</f>
        <v/>
      </c>
    </row>
    <row r="202" customFormat="false" ht="15" hidden="false" customHeight="true" outlineLevel="0" collapsed="false">
      <c r="A202" s="19"/>
      <c r="B202" s="12"/>
      <c r="C202" s="12" t="str">
        <f aca="false">IFERROR(VLOOKUP($B202,ItemList_Full,2,0),"")</f>
        <v/>
      </c>
      <c r="D202" s="12" t="str">
        <f aca="false">IFERROR(VLOOKUP($B202,ItemList_Full,3,0),"")</f>
        <v/>
      </c>
      <c r="E202" s="12"/>
      <c r="F202" s="13" t="str">
        <f aca="false">IFERROR(VLOOKUP($B202,ItemList_Full,4,0),"")</f>
        <v/>
      </c>
      <c r="G202" s="13" t="str">
        <f aca="false">IF(OR($E202="",$F202=""),"",$E202*$F202)</f>
        <v/>
      </c>
      <c r="H202" s="12"/>
      <c r="I202" s="12"/>
      <c r="J202" s="1" t="str">
        <f aca="false">IFERROR(VLOOKUP($B202,ItemList_Full,5,0),"")</f>
        <v/>
      </c>
    </row>
    <row r="203" customFormat="false" ht="15" hidden="false" customHeight="true" outlineLevel="0" collapsed="false">
      <c r="A203" s="19"/>
      <c r="B203" s="12"/>
      <c r="C203" s="12" t="str">
        <f aca="false">IFERROR(VLOOKUP($B203,ItemList_Full,2,0),"")</f>
        <v/>
      </c>
      <c r="D203" s="12" t="str">
        <f aca="false">IFERROR(VLOOKUP($B203,ItemList_Full,3,0),"")</f>
        <v/>
      </c>
      <c r="E203" s="12"/>
      <c r="F203" s="13" t="str">
        <f aca="false">IFERROR(VLOOKUP($B203,ItemList_Full,4,0),"")</f>
        <v/>
      </c>
      <c r="G203" s="13" t="str">
        <f aca="false">IF(OR($E203="",$F203=""),"",$E203*$F203)</f>
        <v/>
      </c>
      <c r="H203" s="12"/>
      <c r="I203" s="12"/>
      <c r="J203" s="1" t="str">
        <f aca="false">IFERROR(VLOOKUP($B203,ItemList_Full,5,0),"")</f>
        <v/>
      </c>
    </row>
    <row r="204" customFormat="false" ht="15" hidden="false" customHeight="true" outlineLevel="0" collapsed="false">
      <c r="A204" s="19"/>
      <c r="B204" s="12"/>
      <c r="C204" s="12" t="str">
        <f aca="false">IFERROR(VLOOKUP($B204,ItemList_Full,2,0),"")</f>
        <v/>
      </c>
      <c r="D204" s="12" t="str">
        <f aca="false">IFERROR(VLOOKUP($B204,ItemList_Full,3,0),"")</f>
        <v/>
      </c>
      <c r="E204" s="12"/>
      <c r="F204" s="13" t="str">
        <f aca="false">IFERROR(VLOOKUP($B204,ItemList_Full,4,0),"")</f>
        <v/>
      </c>
      <c r="G204" s="13" t="str">
        <f aca="false">IF(OR($E204="",$F204=""),"",$E204*$F204)</f>
        <v/>
      </c>
      <c r="H204" s="12"/>
      <c r="I204" s="12"/>
      <c r="J204" s="1" t="str">
        <f aca="false">IFERROR(VLOOKUP($B204,ItemList_Full,5,0),"")</f>
        <v/>
      </c>
    </row>
    <row r="205" customFormat="false" ht="15" hidden="false" customHeight="true" outlineLevel="0" collapsed="false">
      <c r="A205" s="19"/>
      <c r="B205" s="12"/>
      <c r="C205" s="12" t="str">
        <f aca="false">IFERROR(VLOOKUP($B205,ItemList_Full,2,0),"")</f>
        <v/>
      </c>
      <c r="D205" s="12" t="str">
        <f aca="false">IFERROR(VLOOKUP($B205,ItemList_Full,3,0),"")</f>
        <v/>
      </c>
      <c r="E205" s="12"/>
      <c r="F205" s="13" t="str">
        <f aca="false">IFERROR(VLOOKUP($B205,ItemList_Full,4,0),"")</f>
        <v/>
      </c>
      <c r="G205" s="13" t="str">
        <f aca="false">IF(OR($E205="",$F205=""),"",$E205*$F205)</f>
        <v/>
      </c>
      <c r="H205" s="12"/>
      <c r="I205" s="12"/>
      <c r="J205" s="1" t="str">
        <f aca="false">IFERROR(VLOOKUP($B205,ItemList_Full,5,0),"")</f>
        <v/>
      </c>
    </row>
    <row r="206" customFormat="false" ht="15" hidden="false" customHeight="true" outlineLevel="0" collapsed="false">
      <c r="A206" s="19"/>
      <c r="B206" s="12"/>
      <c r="C206" s="12" t="str">
        <f aca="false">IFERROR(VLOOKUP($B206,ItemList_Full,2,0),"")</f>
        <v/>
      </c>
      <c r="D206" s="12" t="str">
        <f aca="false">IFERROR(VLOOKUP($B206,ItemList_Full,3,0),"")</f>
        <v/>
      </c>
      <c r="E206" s="12"/>
      <c r="F206" s="13" t="str">
        <f aca="false">IFERROR(VLOOKUP($B206,ItemList_Full,4,0),"")</f>
        <v/>
      </c>
      <c r="G206" s="13" t="str">
        <f aca="false">IF(OR($E206="",$F206=""),"",$E206*$F206)</f>
        <v/>
      </c>
      <c r="H206" s="12"/>
      <c r="I206" s="12"/>
      <c r="J206" s="1" t="str">
        <f aca="false">IFERROR(VLOOKUP($B206,ItemList_Full,5,0),"")</f>
        <v/>
      </c>
    </row>
    <row r="207" customFormat="false" ht="15" hidden="false" customHeight="true" outlineLevel="0" collapsed="false">
      <c r="A207" s="19"/>
      <c r="B207" s="12"/>
      <c r="C207" s="12" t="str">
        <f aca="false">IFERROR(VLOOKUP($B207,ItemList_Full,2,0),"")</f>
        <v/>
      </c>
      <c r="D207" s="12" t="str">
        <f aca="false">IFERROR(VLOOKUP($B207,ItemList_Full,3,0),"")</f>
        <v/>
      </c>
      <c r="E207" s="12"/>
      <c r="F207" s="13" t="str">
        <f aca="false">IFERROR(VLOOKUP($B207,ItemList_Full,4,0),"")</f>
        <v/>
      </c>
      <c r="G207" s="13" t="str">
        <f aca="false">IF(OR($E207="",$F207=""),"",$E207*$F207)</f>
        <v/>
      </c>
      <c r="H207" s="12"/>
      <c r="I207" s="12"/>
      <c r="J207" s="1" t="str">
        <f aca="false">IFERROR(VLOOKUP($B207,ItemList_Full,5,0),"")</f>
        <v/>
      </c>
    </row>
    <row r="208" customFormat="false" ht="15" hidden="false" customHeight="true" outlineLevel="0" collapsed="false">
      <c r="A208" s="19"/>
      <c r="B208" s="12"/>
      <c r="C208" s="12" t="str">
        <f aca="false">IFERROR(VLOOKUP($B208,ItemList_Full,2,0),"")</f>
        <v/>
      </c>
      <c r="D208" s="12" t="str">
        <f aca="false">IFERROR(VLOOKUP($B208,ItemList_Full,3,0),"")</f>
        <v/>
      </c>
      <c r="E208" s="12"/>
      <c r="F208" s="13" t="str">
        <f aca="false">IFERROR(VLOOKUP($B208,ItemList_Full,4,0),"")</f>
        <v/>
      </c>
      <c r="G208" s="13" t="str">
        <f aca="false">IF(OR($E208="",$F208=""),"",$E208*$F208)</f>
        <v/>
      </c>
      <c r="H208" s="12"/>
      <c r="I208" s="12"/>
      <c r="J208" s="1" t="str">
        <f aca="false">IFERROR(VLOOKUP($B208,ItemList_Full,5,0),"")</f>
        <v/>
      </c>
    </row>
    <row r="209" customFormat="false" ht="15" hidden="false" customHeight="true" outlineLevel="0" collapsed="false">
      <c r="A209" s="19"/>
      <c r="B209" s="12"/>
      <c r="C209" s="12" t="str">
        <f aca="false">IFERROR(VLOOKUP($B209,ItemList_Full,2,0),"")</f>
        <v/>
      </c>
      <c r="D209" s="12" t="str">
        <f aca="false">IFERROR(VLOOKUP($B209,ItemList_Full,3,0),"")</f>
        <v/>
      </c>
      <c r="E209" s="12"/>
      <c r="F209" s="13" t="str">
        <f aca="false">IFERROR(VLOOKUP($B209,ItemList_Full,4,0),"")</f>
        <v/>
      </c>
      <c r="G209" s="13" t="str">
        <f aca="false">IF(OR($E209="",$F209=""),"",$E209*$F209)</f>
        <v/>
      </c>
      <c r="H209" s="12"/>
      <c r="I209" s="12"/>
      <c r="J209" s="1" t="str">
        <f aca="false">IFERROR(VLOOKUP($B209,ItemList_Full,5,0),"")</f>
        <v/>
      </c>
    </row>
    <row r="210" customFormat="false" ht="15" hidden="false" customHeight="true" outlineLevel="0" collapsed="false">
      <c r="A210" s="19"/>
      <c r="B210" s="12"/>
      <c r="C210" s="12" t="str">
        <f aca="false">IFERROR(VLOOKUP($B210,ItemList_Full,2,0),"")</f>
        <v/>
      </c>
      <c r="D210" s="12" t="str">
        <f aca="false">IFERROR(VLOOKUP($B210,ItemList_Full,3,0),"")</f>
        <v/>
      </c>
      <c r="E210" s="12"/>
      <c r="F210" s="13" t="str">
        <f aca="false">IFERROR(VLOOKUP($B210,ItemList_Full,4,0),"")</f>
        <v/>
      </c>
      <c r="G210" s="13" t="str">
        <f aca="false">IF(OR($E210="",$F210=""),"",$E210*$F210)</f>
        <v/>
      </c>
      <c r="H210" s="12"/>
      <c r="I210" s="12"/>
      <c r="J210" s="1" t="str">
        <f aca="false">IFERROR(VLOOKUP($B210,ItemList_Full,5,0),"")</f>
        <v/>
      </c>
    </row>
    <row r="211" customFormat="false" ht="15" hidden="false" customHeight="true" outlineLevel="0" collapsed="false">
      <c r="A211" s="19"/>
      <c r="B211" s="12"/>
      <c r="C211" s="12" t="str">
        <f aca="false">IFERROR(VLOOKUP($B211,ItemList_Full,2,0),"")</f>
        <v/>
      </c>
      <c r="D211" s="12" t="str">
        <f aca="false">IFERROR(VLOOKUP($B211,ItemList_Full,3,0),"")</f>
        <v/>
      </c>
      <c r="E211" s="12"/>
      <c r="F211" s="13" t="str">
        <f aca="false">IFERROR(VLOOKUP($B211,ItemList_Full,4,0),"")</f>
        <v/>
      </c>
      <c r="G211" s="13" t="str">
        <f aca="false">IF(OR($E211="",$F211=""),"",$E211*$F211)</f>
        <v/>
      </c>
      <c r="H211" s="12"/>
      <c r="I211" s="12"/>
      <c r="J211" s="1" t="str">
        <f aca="false">IFERROR(VLOOKUP($B211,ItemList_Full,5,0),"")</f>
        <v/>
      </c>
    </row>
    <row r="212" customFormat="false" ht="15" hidden="false" customHeight="true" outlineLevel="0" collapsed="false">
      <c r="A212" s="19"/>
      <c r="B212" s="12"/>
      <c r="C212" s="12" t="str">
        <f aca="false">IFERROR(VLOOKUP($B212,ItemList_Full,2,0),"")</f>
        <v/>
      </c>
      <c r="D212" s="12" t="str">
        <f aca="false">IFERROR(VLOOKUP($B212,ItemList_Full,3,0),"")</f>
        <v/>
      </c>
      <c r="E212" s="12"/>
      <c r="F212" s="13" t="str">
        <f aca="false">IFERROR(VLOOKUP($B212,ItemList_Full,4,0),"")</f>
        <v/>
      </c>
      <c r="G212" s="13" t="str">
        <f aca="false">IF(OR($E212="",$F212=""),"",$E212*$F212)</f>
        <v/>
      </c>
      <c r="H212" s="12"/>
      <c r="I212" s="12"/>
      <c r="J212" s="1" t="str">
        <f aca="false">IFERROR(VLOOKUP($B212,ItemList_Full,5,0),"")</f>
        <v/>
      </c>
    </row>
    <row r="213" customFormat="false" ht="15" hidden="false" customHeight="true" outlineLevel="0" collapsed="false">
      <c r="A213" s="19"/>
      <c r="B213" s="12"/>
      <c r="C213" s="12" t="str">
        <f aca="false">IFERROR(VLOOKUP($B213,ItemList_Full,2,0),"")</f>
        <v/>
      </c>
      <c r="D213" s="12" t="str">
        <f aca="false">IFERROR(VLOOKUP($B213,ItemList_Full,3,0),"")</f>
        <v/>
      </c>
      <c r="E213" s="12"/>
      <c r="F213" s="13" t="str">
        <f aca="false">IFERROR(VLOOKUP($B213,ItemList_Full,4,0),"")</f>
        <v/>
      </c>
      <c r="G213" s="13" t="str">
        <f aca="false">IF(OR($E213="",$F213=""),"",$E213*$F213)</f>
        <v/>
      </c>
      <c r="H213" s="12"/>
      <c r="I213" s="12"/>
      <c r="J213" s="1" t="str">
        <f aca="false">IFERROR(VLOOKUP($B213,ItemList_Full,5,0),"")</f>
        <v/>
      </c>
    </row>
    <row r="214" customFormat="false" ht="15" hidden="false" customHeight="true" outlineLevel="0" collapsed="false">
      <c r="A214" s="19"/>
      <c r="B214" s="12"/>
      <c r="C214" s="12" t="str">
        <f aca="false">IFERROR(VLOOKUP($B214,ItemList_Full,2,0),"")</f>
        <v/>
      </c>
      <c r="D214" s="12" t="str">
        <f aca="false">IFERROR(VLOOKUP($B214,ItemList_Full,3,0),"")</f>
        <v/>
      </c>
      <c r="E214" s="12"/>
      <c r="F214" s="13" t="str">
        <f aca="false">IFERROR(VLOOKUP($B214,ItemList_Full,4,0),"")</f>
        <v/>
      </c>
      <c r="G214" s="13" t="str">
        <f aca="false">IF(OR($E214="",$F214=""),"",$E214*$F214)</f>
        <v/>
      </c>
      <c r="H214" s="12"/>
      <c r="I214" s="12"/>
      <c r="J214" s="1" t="str">
        <f aca="false">IFERROR(VLOOKUP($B214,ItemList_Full,5,0),"")</f>
        <v/>
      </c>
    </row>
    <row r="215" customFormat="false" ht="15" hidden="false" customHeight="true" outlineLevel="0" collapsed="false">
      <c r="A215" s="19"/>
      <c r="B215" s="12"/>
      <c r="C215" s="12" t="str">
        <f aca="false">IFERROR(VLOOKUP($B215,ItemList_Full,2,0),"")</f>
        <v/>
      </c>
      <c r="D215" s="12" t="str">
        <f aca="false">IFERROR(VLOOKUP($B215,ItemList_Full,3,0),"")</f>
        <v/>
      </c>
      <c r="E215" s="12"/>
      <c r="F215" s="13" t="str">
        <f aca="false">IFERROR(VLOOKUP($B215,ItemList_Full,4,0),"")</f>
        <v/>
      </c>
      <c r="G215" s="13" t="str">
        <f aca="false">IF(OR($E215="",$F215=""),"",$E215*$F215)</f>
        <v/>
      </c>
      <c r="H215" s="12"/>
      <c r="I215" s="12"/>
      <c r="J215" s="1" t="str">
        <f aca="false">IFERROR(VLOOKUP($B215,ItemList_Full,5,0),"")</f>
        <v/>
      </c>
    </row>
    <row r="216" customFormat="false" ht="15" hidden="false" customHeight="true" outlineLevel="0" collapsed="false">
      <c r="A216" s="19"/>
      <c r="B216" s="12"/>
      <c r="C216" s="12" t="str">
        <f aca="false">IFERROR(VLOOKUP($B216,ItemList_Full,2,0),"")</f>
        <v/>
      </c>
      <c r="D216" s="12" t="str">
        <f aca="false">IFERROR(VLOOKUP($B216,ItemList_Full,3,0),"")</f>
        <v/>
      </c>
      <c r="E216" s="12"/>
      <c r="F216" s="13" t="str">
        <f aca="false">IFERROR(VLOOKUP($B216,ItemList_Full,4,0),"")</f>
        <v/>
      </c>
      <c r="G216" s="13" t="str">
        <f aca="false">IF(OR($E216="",$F216=""),"",$E216*$F216)</f>
        <v/>
      </c>
      <c r="H216" s="12"/>
      <c r="I216" s="12"/>
      <c r="J216" s="1" t="str">
        <f aca="false">IFERROR(VLOOKUP($B216,ItemList_Full,5,0),"")</f>
        <v/>
      </c>
    </row>
    <row r="217" customFormat="false" ht="15" hidden="false" customHeight="true" outlineLevel="0" collapsed="false">
      <c r="A217" s="19"/>
      <c r="B217" s="12"/>
      <c r="C217" s="12" t="str">
        <f aca="false">IFERROR(VLOOKUP($B217,ItemList_Full,2,0),"")</f>
        <v/>
      </c>
      <c r="D217" s="12" t="str">
        <f aca="false">IFERROR(VLOOKUP($B217,ItemList_Full,3,0),"")</f>
        <v/>
      </c>
      <c r="E217" s="12"/>
      <c r="F217" s="13" t="str">
        <f aca="false">IFERROR(VLOOKUP($B217,ItemList_Full,4,0),"")</f>
        <v/>
      </c>
      <c r="G217" s="13" t="str">
        <f aca="false">IF(OR($E217="",$F217=""),"",$E217*$F217)</f>
        <v/>
      </c>
      <c r="H217" s="12"/>
      <c r="I217" s="12"/>
      <c r="J217" s="1" t="str">
        <f aca="false">IFERROR(VLOOKUP($B217,ItemList_Full,5,0),"")</f>
        <v/>
      </c>
    </row>
    <row r="218" customFormat="false" ht="15" hidden="false" customHeight="true" outlineLevel="0" collapsed="false">
      <c r="A218" s="19"/>
      <c r="B218" s="12"/>
      <c r="C218" s="12" t="str">
        <f aca="false">IFERROR(VLOOKUP($B218,ItemList_Full,2,0),"")</f>
        <v/>
      </c>
      <c r="D218" s="12" t="str">
        <f aca="false">IFERROR(VLOOKUP($B218,ItemList_Full,3,0),"")</f>
        <v/>
      </c>
      <c r="E218" s="12"/>
      <c r="F218" s="13" t="str">
        <f aca="false">IFERROR(VLOOKUP($B218,ItemList_Full,4,0),"")</f>
        <v/>
      </c>
      <c r="G218" s="13" t="str">
        <f aca="false">IF(OR($E218="",$F218=""),"",$E218*$F218)</f>
        <v/>
      </c>
      <c r="H218" s="12"/>
      <c r="I218" s="12"/>
      <c r="J218" s="1" t="str">
        <f aca="false">IFERROR(VLOOKUP($B218,ItemList_Full,5,0),"")</f>
        <v/>
      </c>
    </row>
    <row r="219" customFormat="false" ht="15" hidden="false" customHeight="true" outlineLevel="0" collapsed="false">
      <c r="A219" s="19"/>
      <c r="B219" s="12"/>
      <c r="C219" s="12" t="str">
        <f aca="false">IFERROR(VLOOKUP($B219,ItemList_Full,2,0),"")</f>
        <v/>
      </c>
      <c r="D219" s="12" t="str">
        <f aca="false">IFERROR(VLOOKUP($B219,ItemList_Full,3,0),"")</f>
        <v/>
      </c>
      <c r="E219" s="12"/>
      <c r="F219" s="13" t="str">
        <f aca="false">IFERROR(VLOOKUP($B219,ItemList_Full,4,0),"")</f>
        <v/>
      </c>
      <c r="G219" s="13" t="str">
        <f aca="false">IF(OR($E219="",$F219=""),"",$E219*$F219)</f>
        <v/>
      </c>
      <c r="H219" s="12"/>
      <c r="I219" s="12"/>
      <c r="J219" s="1" t="str">
        <f aca="false">IFERROR(VLOOKUP($B219,ItemList_Full,5,0),"")</f>
        <v/>
      </c>
    </row>
    <row r="220" customFormat="false" ht="15" hidden="false" customHeight="true" outlineLevel="0" collapsed="false">
      <c r="A220" s="19"/>
      <c r="B220" s="12"/>
      <c r="C220" s="12" t="str">
        <f aca="false">IFERROR(VLOOKUP($B220,ItemList_Full,2,0),"")</f>
        <v/>
      </c>
      <c r="D220" s="12" t="str">
        <f aca="false">IFERROR(VLOOKUP($B220,ItemList_Full,3,0),"")</f>
        <v/>
      </c>
      <c r="E220" s="12"/>
      <c r="F220" s="13" t="str">
        <f aca="false">IFERROR(VLOOKUP($B220,ItemList_Full,4,0),"")</f>
        <v/>
      </c>
      <c r="G220" s="13" t="str">
        <f aca="false">IF(OR($E220="",$F220=""),"",$E220*$F220)</f>
        <v/>
      </c>
      <c r="H220" s="12"/>
      <c r="I220" s="12"/>
      <c r="J220" s="1" t="str">
        <f aca="false">IFERROR(VLOOKUP($B220,ItemList_Full,5,0),"")</f>
        <v/>
      </c>
    </row>
    <row r="221" customFormat="false" ht="15" hidden="false" customHeight="true" outlineLevel="0" collapsed="false">
      <c r="A221" s="19"/>
      <c r="B221" s="12"/>
      <c r="C221" s="12" t="str">
        <f aca="false">IFERROR(VLOOKUP($B221,ItemList_Full,2,0),"")</f>
        <v/>
      </c>
      <c r="D221" s="12" t="str">
        <f aca="false">IFERROR(VLOOKUP($B221,ItemList_Full,3,0),"")</f>
        <v/>
      </c>
      <c r="E221" s="12"/>
      <c r="F221" s="13" t="str">
        <f aca="false">IFERROR(VLOOKUP($B221,ItemList_Full,4,0),"")</f>
        <v/>
      </c>
      <c r="G221" s="13" t="str">
        <f aca="false">IF(OR($E221="",$F221=""),"",$E221*$F221)</f>
        <v/>
      </c>
      <c r="H221" s="12"/>
      <c r="I221" s="12"/>
      <c r="J221" s="1" t="str">
        <f aca="false">IFERROR(VLOOKUP($B221,ItemList_Full,5,0),"")</f>
        <v/>
      </c>
    </row>
    <row r="222" customFormat="false" ht="15" hidden="false" customHeight="true" outlineLevel="0" collapsed="false">
      <c r="A222" s="19"/>
      <c r="B222" s="12"/>
      <c r="C222" s="12" t="str">
        <f aca="false">IFERROR(VLOOKUP($B222,ItemList_Full,2,0),"")</f>
        <v/>
      </c>
      <c r="D222" s="12" t="str">
        <f aca="false">IFERROR(VLOOKUP($B222,ItemList_Full,3,0),"")</f>
        <v/>
      </c>
      <c r="E222" s="12"/>
      <c r="F222" s="13" t="str">
        <f aca="false">IFERROR(VLOOKUP($B222,ItemList_Full,4,0),"")</f>
        <v/>
      </c>
      <c r="G222" s="13" t="str">
        <f aca="false">IF(OR($E222="",$F222=""),"",$E222*$F222)</f>
        <v/>
      </c>
      <c r="H222" s="12"/>
      <c r="I222" s="12"/>
      <c r="J222" s="1" t="str">
        <f aca="false">IFERROR(VLOOKUP($B222,ItemList_Full,5,0),"")</f>
        <v/>
      </c>
    </row>
    <row r="223" customFormat="false" ht="15" hidden="false" customHeight="true" outlineLevel="0" collapsed="false">
      <c r="A223" s="19"/>
      <c r="B223" s="12"/>
      <c r="C223" s="12" t="str">
        <f aca="false">IFERROR(VLOOKUP($B223,ItemList_Full,2,0),"")</f>
        <v/>
      </c>
      <c r="D223" s="12" t="str">
        <f aca="false">IFERROR(VLOOKUP($B223,ItemList_Full,3,0),"")</f>
        <v/>
      </c>
      <c r="E223" s="12"/>
      <c r="F223" s="13" t="str">
        <f aca="false">IFERROR(VLOOKUP($B223,ItemList_Full,4,0),"")</f>
        <v/>
      </c>
      <c r="G223" s="13" t="str">
        <f aca="false">IF(OR($E223="",$F223=""),"",$E223*$F223)</f>
        <v/>
      </c>
      <c r="H223" s="12"/>
      <c r="I223" s="12"/>
      <c r="J223" s="1" t="str">
        <f aca="false">IFERROR(VLOOKUP($B223,ItemList_Full,5,0),"")</f>
        <v/>
      </c>
    </row>
    <row r="224" customFormat="false" ht="15" hidden="false" customHeight="true" outlineLevel="0" collapsed="false">
      <c r="A224" s="19"/>
      <c r="B224" s="12"/>
      <c r="C224" s="12" t="str">
        <f aca="false">IFERROR(VLOOKUP($B224,ItemList_Full,2,0),"")</f>
        <v/>
      </c>
      <c r="D224" s="12" t="str">
        <f aca="false">IFERROR(VLOOKUP($B224,ItemList_Full,3,0),"")</f>
        <v/>
      </c>
      <c r="E224" s="12"/>
      <c r="F224" s="13" t="str">
        <f aca="false">IFERROR(VLOOKUP($B224,ItemList_Full,4,0),"")</f>
        <v/>
      </c>
      <c r="G224" s="13" t="str">
        <f aca="false">IF(OR($E224="",$F224=""),"",$E224*$F224)</f>
        <v/>
      </c>
      <c r="H224" s="12"/>
      <c r="I224" s="12"/>
      <c r="J224" s="1" t="str">
        <f aca="false">IFERROR(VLOOKUP($B224,ItemList_Full,5,0),"")</f>
        <v/>
      </c>
    </row>
    <row r="225" customFormat="false" ht="15" hidden="false" customHeight="true" outlineLevel="0" collapsed="false">
      <c r="A225" s="19"/>
      <c r="B225" s="12"/>
      <c r="C225" s="12" t="str">
        <f aca="false">IFERROR(VLOOKUP($B225,ItemList_Full,2,0),"")</f>
        <v/>
      </c>
      <c r="D225" s="12" t="str">
        <f aca="false">IFERROR(VLOOKUP($B225,ItemList_Full,3,0),"")</f>
        <v/>
      </c>
      <c r="E225" s="12"/>
      <c r="F225" s="13" t="str">
        <f aca="false">IFERROR(VLOOKUP($B225,ItemList_Full,4,0),"")</f>
        <v/>
      </c>
      <c r="G225" s="13" t="str">
        <f aca="false">IF(OR($E225="",$F225=""),"",$E225*$F225)</f>
        <v/>
      </c>
      <c r="H225" s="12"/>
      <c r="I225" s="12"/>
      <c r="J225" s="1" t="str">
        <f aca="false">IFERROR(VLOOKUP($B225,ItemList_Full,5,0),"")</f>
        <v/>
      </c>
    </row>
    <row r="226" customFormat="false" ht="15" hidden="false" customHeight="true" outlineLevel="0" collapsed="false">
      <c r="A226" s="19"/>
      <c r="B226" s="12"/>
      <c r="C226" s="12" t="str">
        <f aca="false">IFERROR(VLOOKUP($B226,ItemList_Full,2,0),"")</f>
        <v/>
      </c>
      <c r="D226" s="12" t="str">
        <f aca="false">IFERROR(VLOOKUP($B226,ItemList_Full,3,0),"")</f>
        <v/>
      </c>
      <c r="E226" s="12"/>
      <c r="F226" s="13" t="str">
        <f aca="false">IFERROR(VLOOKUP($B226,ItemList_Full,4,0),"")</f>
        <v/>
      </c>
      <c r="G226" s="13" t="str">
        <f aca="false">IF(OR($E226="",$F226=""),"",$E226*$F226)</f>
        <v/>
      </c>
      <c r="H226" s="12"/>
      <c r="I226" s="12"/>
      <c r="J226" s="1" t="str">
        <f aca="false">IFERROR(VLOOKUP($B226,ItemList_Full,5,0),"")</f>
        <v/>
      </c>
    </row>
    <row r="227" customFormat="false" ht="15" hidden="false" customHeight="true" outlineLevel="0" collapsed="false">
      <c r="A227" s="19"/>
      <c r="B227" s="12"/>
      <c r="C227" s="12" t="str">
        <f aca="false">IFERROR(VLOOKUP($B227,ItemList_Full,2,0),"")</f>
        <v/>
      </c>
      <c r="D227" s="12" t="str">
        <f aca="false">IFERROR(VLOOKUP($B227,ItemList_Full,3,0),"")</f>
        <v/>
      </c>
      <c r="E227" s="12"/>
      <c r="F227" s="13" t="str">
        <f aca="false">IFERROR(VLOOKUP($B227,ItemList_Full,4,0),"")</f>
        <v/>
      </c>
      <c r="G227" s="13" t="str">
        <f aca="false">IF(OR($E227="",$F227=""),"",$E227*$F227)</f>
        <v/>
      </c>
      <c r="H227" s="12"/>
      <c r="I227" s="12"/>
      <c r="J227" s="1" t="str">
        <f aca="false">IFERROR(VLOOKUP($B227,ItemList_Full,5,0),"")</f>
        <v/>
      </c>
    </row>
    <row r="228" customFormat="false" ht="15" hidden="false" customHeight="true" outlineLevel="0" collapsed="false">
      <c r="A228" s="19"/>
      <c r="B228" s="12"/>
      <c r="C228" s="12" t="str">
        <f aca="false">IFERROR(VLOOKUP($B228,ItemList_Full,2,0),"")</f>
        <v/>
      </c>
      <c r="D228" s="12" t="str">
        <f aca="false">IFERROR(VLOOKUP($B228,ItemList_Full,3,0),"")</f>
        <v/>
      </c>
      <c r="E228" s="12"/>
      <c r="F228" s="13" t="str">
        <f aca="false">IFERROR(VLOOKUP($B228,ItemList_Full,4,0),"")</f>
        <v/>
      </c>
      <c r="G228" s="13" t="str">
        <f aca="false">IF(OR($E228="",$F228=""),"",$E228*$F228)</f>
        <v/>
      </c>
      <c r="H228" s="12"/>
      <c r="I228" s="12"/>
      <c r="J228" s="1" t="str">
        <f aca="false">IFERROR(VLOOKUP($B228,ItemList_Full,5,0),"")</f>
        <v/>
      </c>
    </row>
    <row r="229" customFormat="false" ht="15" hidden="false" customHeight="true" outlineLevel="0" collapsed="false">
      <c r="A229" s="19"/>
      <c r="B229" s="12"/>
      <c r="C229" s="12" t="str">
        <f aca="false">IFERROR(VLOOKUP($B229,ItemList_Full,2,0),"")</f>
        <v/>
      </c>
      <c r="D229" s="12" t="str">
        <f aca="false">IFERROR(VLOOKUP($B229,ItemList_Full,3,0),"")</f>
        <v/>
      </c>
      <c r="E229" s="12"/>
      <c r="F229" s="13" t="str">
        <f aca="false">IFERROR(VLOOKUP($B229,ItemList_Full,4,0),"")</f>
        <v/>
      </c>
      <c r="G229" s="13" t="str">
        <f aca="false">IF(OR($E229="",$F229=""),"",$E229*$F229)</f>
        <v/>
      </c>
      <c r="H229" s="12"/>
      <c r="I229" s="12"/>
      <c r="J229" s="1" t="str">
        <f aca="false">IFERROR(VLOOKUP($B229,ItemList_Full,5,0),"")</f>
        <v/>
      </c>
    </row>
    <row r="230" customFormat="false" ht="15" hidden="false" customHeight="true" outlineLevel="0" collapsed="false">
      <c r="A230" s="19"/>
      <c r="B230" s="12"/>
      <c r="C230" s="12" t="str">
        <f aca="false">IFERROR(VLOOKUP($B230,ItemList_Full,2,0),"")</f>
        <v/>
      </c>
      <c r="D230" s="12" t="str">
        <f aca="false">IFERROR(VLOOKUP($B230,ItemList_Full,3,0),"")</f>
        <v/>
      </c>
      <c r="E230" s="12"/>
      <c r="F230" s="13" t="str">
        <f aca="false">IFERROR(VLOOKUP($B230,ItemList_Full,4,0),"")</f>
        <v/>
      </c>
      <c r="G230" s="13" t="str">
        <f aca="false">IF(OR($E230="",$F230=""),"",$E230*$F230)</f>
        <v/>
      </c>
      <c r="H230" s="12"/>
      <c r="I230" s="12"/>
      <c r="J230" s="1" t="str">
        <f aca="false">IFERROR(VLOOKUP($B230,ItemList_Full,5,0),"")</f>
        <v/>
      </c>
    </row>
    <row r="231" customFormat="false" ht="15" hidden="false" customHeight="true" outlineLevel="0" collapsed="false">
      <c r="A231" s="19"/>
      <c r="B231" s="12"/>
      <c r="C231" s="12" t="str">
        <f aca="false">IFERROR(VLOOKUP($B231,ItemList_Full,2,0),"")</f>
        <v/>
      </c>
      <c r="D231" s="12" t="str">
        <f aca="false">IFERROR(VLOOKUP($B231,ItemList_Full,3,0),"")</f>
        <v/>
      </c>
      <c r="E231" s="12"/>
      <c r="F231" s="13" t="str">
        <f aca="false">IFERROR(VLOOKUP($B231,ItemList_Full,4,0),"")</f>
        <v/>
      </c>
      <c r="G231" s="13" t="str">
        <f aca="false">IF(OR($E231="",$F231=""),"",$E231*$F231)</f>
        <v/>
      </c>
      <c r="H231" s="12"/>
      <c r="I231" s="12"/>
      <c r="J231" s="1" t="str">
        <f aca="false">IFERROR(VLOOKUP($B231,ItemList_Full,5,0),"")</f>
        <v/>
      </c>
    </row>
    <row r="232" customFormat="false" ht="15" hidden="false" customHeight="true" outlineLevel="0" collapsed="false">
      <c r="A232" s="19"/>
      <c r="B232" s="12"/>
      <c r="C232" s="12" t="str">
        <f aca="false">IFERROR(VLOOKUP($B232,ItemList_Full,2,0),"")</f>
        <v/>
      </c>
      <c r="D232" s="12" t="str">
        <f aca="false">IFERROR(VLOOKUP($B232,ItemList_Full,3,0),"")</f>
        <v/>
      </c>
      <c r="E232" s="12"/>
      <c r="F232" s="13" t="str">
        <f aca="false">IFERROR(VLOOKUP($B232,ItemList_Full,4,0),"")</f>
        <v/>
      </c>
      <c r="G232" s="13" t="str">
        <f aca="false">IF(OR($E232="",$F232=""),"",$E232*$F232)</f>
        <v/>
      </c>
      <c r="H232" s="12"/>
      <c r="I232" s="12"/>
      <c r="J232" s="1" t="str">
        <f aca="false">IFERROR(VLOOKUP($B232,ItemList_Full,5,0),"")</f>
        <v/>
      </c>
    </row>
    <row r="233" customFormat="false" ht="15" hidden="false" customHeight="true" outlineLevel="0" collapsed="false">
      <c r="A233" s="19"/>
      <c r="B233" s="12"/>
      <c r="C233" s="12" t="str">
        <f aca="false">IFERROR(VLOOKUP($B233,ItemList_Full,2,0),"")</f>
        <v/>
      </c>
      <c r="D233" s="12" t="str">
        <f aca="false">IFERROR(VLOOKUP($B233,ItemList_Full,3,0),"")</f>
        <v/>
      </c>
      <c r="E233" s="12"/>
      <c r="F233" s="13" t="str">
        <f aca="false">IFERROR(VLOOKUP($B233,ItemList_Full,4,0),"")</f>
        <v/>
      </c>
      <c r="G233" s="13" t="str">
        <f aca="false">IF(OR($E233="",$F233=""),"",$E233*$F233)</f>
        <v/>
      </c>
      <c r="H233" s="12"/>
      <c r="I233" s="12"/>
      <c r="J233" s="1" t="str">
        <f aca="false">IFERROR(VLOOKUP($B233,ItemList_Full,5,0),"")</f>
        <v/>
      </c>
    </row>
    <row r="234" customFormat="false" ht="15" hidden="false" customHeight="true" outlineLevel="0" collapsed="false">
      <c r="A234" s="19"/>
      <c r="B234" s="12"/>
      <c r="C234" s="12" t="str">
        <f aca="false">IFERROR(VLOOKUP($B234,ItemList_Full,2,0),"")</f>
        <v/>
      </c>
      <c r="D234" s="12" t="str">
        <f aca="false">IFERROR(VLOOKUP($B234,ItemList_Full,3,0),"")</f>
        <v/>
      </c>
      <c r="E234" s="12"/>
      <c r="F234" s="13" t="str">
        <f aca="false">IFERROR(VLOOKUP($B234,ItemList_Full,4,0),"")</f>
        <v/>
      </c>
      <c r="G234" s="13" t="str">
        <f aca="false">IF(OR($E234="",$F234=""),"",$E234*$F234)</f>
        <v/>
      </c>
      <c r="H234" s="12"/>
      <c r="I234" s="12"/>
      <c r="J234" s="1" t="str">
        <f aca="false">IFERROR(VLOOKUP($B234,ItemList_Full,5,0),"")</f>
        <v/>
      </c>
    </row>
    <row r="235" customFormat="false" ht="15" hidden="false" customHeight="true" outlineLevel="0" collapsed="false">
      <c r="A235" s="19"/>
      <c r="B235" s="12"/>
      <c r="C235" s="12" t="str">
        <f aca="false">IFERROR(VLOOKUP($B235,ItemList_Full,2,0),"")</f>
        <v/>
      </c>
      <c r="D235" s="12" t="str">
        <f aca="false">IFERROR(VLOOKUP($B235,ItemList_Full,3,0),"")</f>
        <v/>
      </c>
      <c r="E235" s="12"/>
      <c r="F235" s="13" t="str">
        <f aca="false">IFERROR(VLOOKUP($B235,ItemList_Full,4,0),"")</f>
        <v/>
      </c>
      <c r="G235" s="13" t="str">
        <f aca="false">IF(OR($E235="",$F235=""),"",$E235*$F235)</f>
        <v/>
      </c>
      <c r="H235" s="12"/>
      <c r="I235" s="12"/>
      <c r="J235" s="1" t="str">
        <f aca="false">IFERROR(VLOOKUP($B235,ItemList_Full,5,0),"")</f>
        <v/>
      </c>
    </row>
    <row r="236" customFormat="false" ht="15" hidden="false" customHeight="true" outlineLevel="0" collapsed="false">
      <c r="A236" s="19"/>
      <c r="B236" s="12"/>
      <c r="C236" s="12" t="str">
        <f aca="false">IFERROR(VLOOKUP($B236,ItemList_Full,2,0),"")</f>
        <v/>
      </c>
      <c r="D236" s="12" t="str">
        <f aca="false">IFERROR(VLOOKUP($B236,ItemList_Full,3,0),"")</f>
        <v/>
      </c>
      <c r="E236" s="12"/>
      <c r="F236" s="13" t="str">
        <f aca="false">IFERROR(VLOOKUP($B236,ItemList_Full,4,0),"")</f>
        <v/>
      </c>
      <c r="G236" s="13" t="str">
        <f aca="false">IF(OR($E236="",$F236=""),"",$E236*$F236)</f>
        <v/>
      </c>
      <c r="H236" s="12"/>
      <c r="I236" s="12"/>
      <c r="J236" s="1" t="str">
        <f aca="false">IFERROR(VLOOKUP($B236,ItemList_Full,5,0),"")</f>
        <v/>
      </c>
    </row>
    <row r="237" customFormat="false" ht="15" hidden="false" customHeight="true" outlineLevel="0" collapsed="false">
      <c r="A237" s="19"/>
      <c r="B237" s="12"/>
      <c r="C237" s="12" t="str">
        <f aca="false">IFERROR(VLOOKUP($B237,ItemList_Full,2,0),"")</f>
        <v/>
      </c>
      <c r="D237" s="12" t="str">
        <f aca="false">IFERROR(VLOOKUP($B237,ItemList_Full,3,0),"")</f>
        <v/>
      </c>
      <c r="E237" s="12"/>
      <c r="F237" s="13" t="str">
        <f aca="false">IFERROR(VLOOKUP($B237,ItemList_Full,4,0),"")</f>
        <v/>
      </c>
      <c r="G237" s="13" t="str">
        <f aca="false">IF(OR($E237="",$F237=""),"",$E237*$F237)</f>
        <v/>
      </c>
      <c r="H237" s="12"/>
      <c r="I237" s="12"/>
      <c r="J237" s="1" t="str">
        <f aca="false">IFERROR(VLOOKUP($B237,ItemList_Full,5,0),"")</f>
        <v/>
      </c>
    </row>
    <row r="238" customFormat="false" ht="15" hidden="false" customHeight="true" outlineLevel="0" collapsed="false">
      <c r="A238" s="19"/>
      <c r="B238" s="12"/>
      <c r="C238" s="12" t="str">
        <f aca="false">IFERROR(VLOOKUP($B238,ItemList_Full,2,0),"")</f>
        <v/>
      </c>
      <c r="D238" s="12" t="str">
        <f aca="false">IFERROR(VLOOKUP($B238,ItemList_Full,3,0),"")</f>
        <v/>
      </c>
      <c r="E238" s="12"/>
      <c r="F238" s="13" t="str">
        <f aca="false">IFERROR(VLOOKUP($B238,ItemList_Full,4,0),"")</f>
        <v/>
      </c>
      <c r="G238" s="13" t="str">
        <f aca="false">IF(OR($E238="",$F238=""),"",$E238*$F238)</f>
        <v/>
      </c>
      <c r="H238" s="12"/>
      <c r="I238" s="12"/>
      <c r="J238" s="1" t="str">
        <f aca="false">IFERROR(VLOOKUP($B238,ItemList_Full,5,0),"")</f>
        <v/>
      </c>
    </row>
    <row r="239" customFormat="false" ht="15" hidden="false" customHeight="true" outlineLevel="0" collapsed="false">
      <c r="A239" s="19"/>
      <c r="B239" s="12"/>
      <c r="C239" s="12" t="str">
        <f aca="false">IFERROR(VLOOKUP($B239,ItemList_Full,2,0),"")</f>
        <v/>
      </c>
      <c r="D239" s="12" t="str">
        <f aca="false">IFERROR(VLOOKUP($B239,ItemList_Full,3,0),"")</f>
        <v/>
      </c>
      <c r="E239" s="12"/>
      <c r="F239" s="13" t="str">
        <f aca="false">IFERROR(VLOOKUP($B239,ItemList_Full,4,0),"")</f>
        <v/>
      </c>
      <c r="G239" s="13" t="str">
        <f aca="false">IF(OR($E239="",$F239=""),"",$E239*$F239)</f>
        <v/>
      </c>
      <c r="H239" s="12"/>
      <c r="I239" s="12"/>
      <c r="J239" s="1" t="str">
        <f aca="false">IFERROR(VLOOKUP($B239,ItemList_Full,5,0),"")</f>
        <v/>
      </c>
    </row>
    <row r="240" customFormat="false" ht="15" hidden="false" customHeight="true" outlineLevel="0" collapsed="false">
      <c r="A240" s="19"/>
      <c r="B240" s="12"/>
      <c r="C240" s="12" t="str">
        <f aca="false">IFERROR(VLOOKUP($B240,ItemList_Full,2,0),"")</f>
        <v/>
      </c>
      <c r="D240" s="12" t="str">
        <f aca="false">IFERROR(VLOOKUP($B240,ItemList_Full,3,0),"")</f>
        <v/>
      </c>
      <c r="E240" s="12"/>
      <c r="F240" s="13" t="str">
        <f aca="false">IFERROR(VLOOKUP($B240,ItemList_Full,4,0),"")</f>
        <v/>
      </c>
      <c r="G240" s="13" t="str">
        <f aca="false">IF(OR($E240="",$F240=""),"",$E240*$F240)</f>
        <v/>
      </c>
      <c r="H240" s="12"/>
      <c r="I240" s="12"/>
      <c r="J240" s="1" t="str">
        <f aca="false">IFERROR(VLOOKUP($B240,ItemList_Full,5,0),"")</f>
        <v/>
      </c>
    </row>
    <row r="241" customFormat="false" ht="15" hidden="false" customHeight="true" outlineLevel="0" collapsed="false">
      <c r="A241" s="19"/>
      <c r="B241" s="12"/>
      <c r="C241" s="12" t="str">
        <f aca="false">IFERROR(VLOOKUP($B241,ItemList_Full,2,0),"")</f>
        <v/>
      </c>
      <c r="D241" s="12" t="str">
        <f aca="false">IFERROR(VLOOKUP($B241,ItemList_Full,3,0),"")</f>
        <v/>
      </c>
      <c r="E241" s="12"/>
      <c r="F241" s="13" t="str">
        <f aca="false">IFERROR(VLOOKUP($B241,ItemList_Full,4,0),"")</f>
        <v/>
      </c>
      <c r="G241" s="13" t="str">
        <f aca="false">IF(OR($E241="",$F241=""),"",$E241*$F241)</f>
        <v/>
      </c>
      <c r="H241" s="12"/>
      <c r="I241" s="12"/>
      <c r="J241" s="1" t="str">
        <f aca="false">IFERROR(VLOOKUP($B241,ItemList_Full,5,0),"")</f>
        <v/>
      </c>
    </row>
    <row r="242" customFormat="false" ht="15" hidden="false" customHeight="true" outlineLevel="0" collapsed="false">
      <c r="A242" s="19"/>
      <c r="B242" s="12"/>
      <c r="C242" s="12" t="str">
        <f aca="false">IFERROR(VLOOKUP($B242,ItemList_Full,2,0),"")</f>
        <v/>
      </c>
      <c r="D242" s="12" t="str">
        <f aca="false">IFERROR(VLOOKUP($B242,ItemList_Full,3,0),"")</f>
        <v/>
      </c>
      <c r="E242" s="12"/>
      <c r="F242" s="13" t="str">
        <f aca="false">IFERROR(VLOOKUP($B242,ItemList_Full,4,0),"")</f>
        <v/>
      </c>
      <c r="G242" s="13" t="str">
        <f aca="false">IF(OR($E242="",$F242=""),"",$E242*$F242)</f>
        <v/>
      </c>
      <c r="H242" s="12"/>
      <c r="I242" s="12"/>
      <c r="J242" s="1" t="str">
        <f aca="false">IFERROR(VLOOKUP($B242,ItemList_Full,5,0),"")</f>
        <v/>
      </c>
    </row>
    <row r="243" customFormat="false" ht="15" hidden="false" customHeight="true" outlineLevel="0" collapsed="false">
      <c r="A243" s="19"/>
      <c r="B243" s="12"/>
      <c r="C243" s="12" t="str">
        <f aca="false">IFERROR(VLOOKUP($B243,ItemList_Full,2,0),"")</f>
        <v/>
      </c>
      <c r="D243" s="12" t="str">
        <f aca="false">IFERROR(VLOOKUP($B243,ItemList_Full,3,0),"")</f>
        <v/>
      </c>
      <c r="E243" s="12"/>
      <c r="F243" s="13" t="str">
        <f aca="false">IFERROR(VLOOKUP($B243,ItemList_Full,4,0),"")</f>
        <v/>
      </c>
      <c r="G243" s="13" t="str">
        <f aca="false">IF(OR($E243="",$F243=""),"",$E243*$F243)</f>
        <v/>
      </c>
      <c r="H243" s="12"/>
      <c r="I243" s="12"/>
      <c r="J243" s="1" t="str">
        <f aca="false">IFERROR(VLOOKUP($B243,ItemList_Full,5,0),"")</f>
        <v/>
      </c>
    </row>
    <row r="244" customFormat="false" ht="15" hidden="false" customHeight="true" outlineLevel="0" collapsed="false">
      <c r="A244" s="19"/>
      <c r="B244" s="12"/>
      <c r="C244" s="12" t="str">
        <f aca="false">IFERROR(VLOOKUP($B244,ItemList_Full,2,0),"")</f>
        <v/>
      </c>
      <c r="D244" s="12" t="str">
        <f aca="false">IFERROR(VLOOKUP($B244,ItemList_Full,3,0),"")</f>
        <v/>
      </c>
      <c r="E244" s="12"/>
      <c r="F244" s="13" t="str">
        <f aca="false">IFERROR(VLOOKUP($B244,ItemList_Full,4,0),"")</f>
        <v/>
      </c>
      <c r="G244" s="13" t="str">
        <f aca="false">IF(OR($E244="",$F244=""),"",$E244*$F244)</f>
        <v/>
      </c>
      <c r="H244" s="12"/>
      <c r="I244" s="12"/>
      <c r="J244" s="1" t="str">
        <f aca="false">IFERROR(VLOOKUP($B244,ItemList_Full,5,0),"")</f>
        <v/>
      </c>
    </row>
    <row r="245" customFormat="false" ht="15" hidden="false" customHeight="true" outlineLevel="0" collapsed="false">
      <c r="A245" s="19"/>
      <c r="B245" s="12"/>
      <c r="C245" s="12" t="str">
        <f aca="false">IFERROR(VLOOKUP($B245,ItemList_Full,2,0),"")</f>
        <v/>
      </c>
      <c r="D245" s="12" t="str">
        <f aca="false">IFERROR(VLOOKUP($B245,ItemList_Full,3,0),"")</f>
        <v/>
      </c>
      <c r="E245" s="12"/>
      <c r="F245" s="13" t="str">
        <f aca="false">IFERROR(VLOOKUP($B245,ItemList_Full,4,0),"")</f>
        <v/>
      </c>
      <c r="G245" s="13" t="str">
        <f aca="false">IF(OR($E245="",$F245=""),"",$E245*$F245)</f>
        <v/>
      </c>
      <c r="H245" s="12"/>
      <c r="I245" s="12"/>
      <c r="J245" s="1" t="str">
        <f aca="false">IFERROR(VLOOKUP($B245,ItemList_Full,5,0),"")</f>
        <v/>
      </c>
    </row>
    <row r="246" customFormat="false" ht="15" hidden="false" customHeight="true" outlineLevel="0" collapsed="false">
      <c r="A246" s="19"/>
      <c r="B246" s="12"/>
      <c r="C246" s="12" t="str">
        <f aca="false">IFERROR(VLOOKUP($B246,ItemList_Full,2,0),"")</f>
        <v/>
      </c>
      <c r="D246" s="12" t="str">
        <f aca="false">IFERROR(VLOOKUP($B246,ItemList_Full,3,0),"")</f>
        <v/>
      </c>
      <c r="E246" s="12"/>
      <c r="F246" s="13" t="str">
        <f aca="false">IFERROR(VLOOKUP($B246,ItemList_Full,4,0),"")</f>
        <v/>
      </c>
      <c r="G246" s="13" t="str">
        <f aca="false">IF(OR($E246="",$F246=""),"",$E246*$F246)</f>
        <v/>
      </c>
      <c r="H246" s="12"/>
      <c r="I246" s="12"/>
      <c r="J246" s="1" t="str">
        <f aca="false">IFERROR(VLOOKUP($B246,ItemList_Full,5,0),"")</f>
        <v/>
      </c>
    </row>
    <row r="247" customFormat="false" ht="15" hidden="false" customHeight="true" outlineLevel="0" collapsed="false">
      <c r="A247" s="19"/>
      <c r="B247" s="12"/>
      <c r="C247" s="12" t="str">
        <f aca="false">IFERROR(VLOOKUP($B247,ItemList_Full,2,0),"")</f>
        <v/>
      </c>
      <c r="D247" s="12" t="str">
        <f aca="false">IFERROR(VLOOKUP($B247,ItemList_Full,3,0),"")</f>
        <v/>
      </c>
      <c r="E247" s="12"/>
      <c r="F247" s="13" t="str">
        <f aca="false">IFERROR(VLOOKUP($B247,ItemList_Full,4,0),"")</f>
        <v/>
      </c>
      <c r="G247" s="13" t="str">
        <f aca="false">IF(OR($E247="",$F247=""),"",$E247*$F247)</f>
        <v/>
      </c>
      <c r="H247" s="12"/>
      <c r="I247" s="12"/>
      <c r="J247" s="1" t="str">
        <f aca="false">IFERROR(VLOOKUP($B247,ItemList_Full,5,0),"")</f>
        <v/>
      </c>
    </row>
    <row r="248" customFormat="false" ht="15" hidden="false" customHeight="true" outlineLevel="0" collapsed="false">
      <c r="A248" s="19"/>
      <c r="B248" s="12"/>
      <c r="C248" s="12" t="str">
        <f aca="false">IFERROR(VLOOKUP($B248,ItemList_Full,2,0),"")</f>
        <v/>
      </c>
      <c r="D248" s="12" t="str">
        <f aca="false">IFERROR(VLOOKUP($B248,ItemList_Full,3,0),"")</f>
        <v/>
      </c>
      <c r="E248" s="12"/>
      <c r="F248" s="13" t="str">
        <f aca="false">IFERROR(VLOOKUP($B248,ItemList_Full,4,0),"")</f>
        <v/>
      </c>
      <c r="G248" s="13" t="str">
        <f aca="false">IF(OR($E248="",$F248=""),"",$E248*$F248)</f>
        <v/>
      </c>
      <c r="H248" s="12"/>
      <c r="I248" s="12"/>
      <c r="J248" s="1" t="str">
        <f aca="false">IFERROR(VLOOKUP($B248,ItemList_Full,5,0),"")</f>
        <v/>
      </c>
    </row>
    <row r="249" customFormat="false" ht="15" hidden="false" customHeight="true" outlineLevel="0" collapsed="false">
      <c r="A249" s="19"/>
      <c r="B249" s="12"/>
      <c r="C249" s="12" t="str">
        <f aca="false">IFERROR(VLOOKUP($B249,ItemList_Full,2,0),"")</f>
        <v/>
      </c>
      <c r="D249" s="12" t="str">
        <f aca="false">IFERROR(VLOOKUP($B249,ItemList_Full,3,0),"")</f>
        <v/>
      </c>
      <c r="E249" s="12"/>
      <c r="F249" s="13" t="str">
        <f aca="false">IFERROR(VLOOKUP($B249,ItemList_Full,4,0),"")</f>
        <v/>
      </c>
      <c r="G249" s="13" t="str">
        <f aca="false">IF(OR($E249="",$F249=""),"",$E249*$F249)</f>
        <v/>
      </c>
      <c r="H249" s="12"/>
      <c r="I249" s="12"/>
      <c r="J249" s="1" t="str">
        <f aca="false">IFERROR(VLOOKUP($B249,ItemList_Full,5,0),"")</f>
        <v/>
      </c>
    </row>
    <row r="250" customFormat="false" ht="15" hidden="false" customHeight="true" outlineLevel="0" collapsed="false">
      <c r="A250" s="19"/>
      <c r="B250" s="12"/>
      <c r="C250" s="12" t="str">
        <f aca="false">IFERROR(VLOOKUP($B250,ItemList_Full,2,0),"")</f>
        <v/>
      </c>
      <c r="D250" s="12" t="str">
        <f aca="false">IFERROR(VLOOKUP($B250,ItemList_Full,3,0),"")</f>
        <v/>
      </c>
      <c r="E250" s="12"/>
      <c r="F250" s="13" t="str">
        <f aca="false">IFERROR(VLOOKUP($B250,ItemList_Full,4,0),"")</f>
        <v/>
      </c>
      <c r="G250" s="13" t="str">
        <f aca="false">IF(OR($E250="",$F250=""),"",$E250*$F250)</f>
        <v/>
      </c>
      <c r="H250" s="12"/>
      <c r="I250" s="12"/>
      <c r="J250" s="1" t="str">
        <f aca="false">IFERROR(VLOOKUP($B250,ItemList_Full,5,0),"")</f>
        <v/>
      </c>
    </row>
    <row r="251" customFormat="false" ht="15" hidden="false" customHeight="true" outlineLevel="0" collapsed="false">
      <c r="A251" s="19"/>
      <c r="B251" s="12"/>
      <c r="C251" s="12" t="str">
        <f aca="false">IFERROR(VLOOKUP($B251,ItemList_Full,2,0),"")</f>
        <v/>
      </c>
      <c r="D251" s="12" t="str">
        <f aca="false">IFERROR(VLOOKUP($B251,ItemList_Full,3,0),"")</f>
        <v/>
      </c>
      <c r="E251" s="12"/>
      <c r="F251" s="13" t="str">
        <f aca="false">IFERROR(VLOOKUP($B251,ItemList_Full,4,0),"")</f>
        <v/>
      </c>
      <c r="G251" s="13" t="str">
        <f aca="false">IF(OR($E251="",$F251=""),"",$E251*$F251)</f>
        <v/>
      </c>
      <c r="H251" s="12"/>
      <c r="I251" s="12"/>
      <c r="J251" s="1" t="str">
        <f aca="false">IFERROR(VLOOKUP($B251,ItemList_Full,5,0),"")</f>
        <v/>
      </c>
    </row>
    <row r="252" customFormat="false" ht="15" hidden="false" customHeight="true" outlineLevel="0" collapsed="false">
      <c r="A252" s="19"/>
      <c r="B252" s="12"/>
      <c r="C252" s="12" t="str">
        <f aca="false">IFERROR(VLOOKUP($B252,ItemList_Full,2,0),"")</f>
        <v/>
      </c>
      <c r="D252" s="12" t="str">
        <f aca="false">IFERROR(VLOOKUP($B252,ItemList_Full,3,0),"")</f>
        <v/>
      </c>
      <c r="E252" s="12"/>
      <c r="F252" s="13" t="str">
        <f aca="false">IFERROR(VLOOKUP($B252,ItemList_Full,4,0),"")</f>
        <v/>
      </c>
      <c r="G252" s="13" t="str">
        <f aca="false">IF(OR($E252="",$F252=""),"",$E252*$F252)</f>
        <v/>
      </c>
      <c r="H252" s="12"/>
      <c r="I252" s="12"/>
      <c r="J252" s="1" t="str">
        <f aca="false">IFERROR(VLOOKUP($B252,ItemList_Full,5,0),"")</f>
        <v/>
      </c>
    </row>
    <row r="253" customFormat="false" ht="15" hidden="false" customHeight="true" outlineLevel="0" collapsed="false">
      <c r="A253" s="19"/>
      <c r="B253" s="12"/>
      <c r="C253" s="12" t="str">
        <f aca="false">IFERROR(VLOOKUP($B253,ItemList_Full,2,0),"")</f>
        <v/>
      </c>
      <c r="D253" s="12" t="str">
        <f aca="false">IFERROR(VLOOKUP($B253,ItemList_Full,3,0),"")</f>
        <v/>
      </c>
      <c r="E253" s="12"/>
      <c r="F253" s="13" t="str">
        <f aca="false">IFERROR(VLOOKUP($B253,ItemList_Full,4,0),"")</f>
        <v/>
      </c>
      <c r="G253" s="13" t="str">
        <f aca="false">IF(OR($E253="",$F253=""),"",$E253*$F253)</f>
        <v/>
      </c>
      <c r="H253" s="12"/>
      <c r="I253" s="12"/>
      <c r="J253" s="1" t="str">
        <f aca="false">IFERROR(VLOOKUP($B253,ItemList_Full,5,0),"")</f>
        <v/>
      </c>
    </row>
    <row r="254" customFormat="false" ht="15" hidden="false" customHeight="true" outlineLevel="0" collapsed="false">
      <c r="A254" s="19"/>
      <c r="B254" s="12"/>
      <c r="C254" s="12" t="str">
        <f aca="false">IFERROR(VLOOKUP($B254,ItemList_Full,2,0),"")</f>
        <v/>
      </c>
      <c r="D254" s="12" t="str">
        <f aca="false">IFERROR(VLOOKUP($B254,ItemList_Full,3,0),"")</f>
        <v/>
      </c>
      <c r="E254" s="12"/>
      <c r="F254" s="13" t="str">
        <f aca="false">IFERROR(VLOOKUP($B254,ItemList_Full,4,0),"")</f>
        <v/>
      </c>
      <c r="G254" s="13" t="str">
        <f aca="false">IF(OR($E254="",$F254=""),"",$E254*$F254)</f>
        <v/>
      </c>
      <c r="H254" s="12"/>
      <c r="I254" s="12"/>
      <c r="J254" s="1" t="str">
        <f aca="false">IFERROR(VLOOKUP($B254,ItemList_Full,5,0),"")</f>
        <v/>
      </c>
    </row>
    <row r="255" customFormat="false" ht="15" hidden="false" customHeight="true" outlineLevel="0" collapsed="false">
      <c r="A255" s="19"/>
      <c r="B255" s="12"/>
      <c r="C255" s="12" t="str">
        <f aca="false">IFERROR(VLOOKUP($B255,ItemList_Full,2,0),"")</f>
        <v/>
      </c>
      <c r="D255" s="12" t="str">
        <f aca="false">IFERROR(VLOOKUP($B255,ItemList_Full,3,0),"")</f>
        <v/>
      </c>
      <c r="E255" s="12"/>
      <c r="F255" s="13" t="str">
        <f aca="false">IFERROR(VLOOKUP($B255,ItemList_Full,4,0),"")</f>
        <v/>
      </c>
      <c r="G255" s="13" t="str">
        <f aca="false">IF(OR($E255="",$F255=""),"",$E255*$F255)</f>
        <v/>
      </c>
      <c r="H255" s="12"/>
      <c r="I255" s="12"/>
      <c r="J255" s="1" t="str">
        <f aca="false">IFERROR(VLOOKUP($B255,ItemList_Full,5,0),"")</f>
        <v/>
      </c>
    </row>
    <row r="256" customFormat="false" ht="15" hidden="false" customHeight="true" outlineLevel="0" collapsed="false">
      <c r="A256" s="19"/>
      <c r="B256" s="12"/>
      <c r="C256" s="12" t="str">
        <f aca="false">IFERROR(VLOOKUP($B256,ItemList_Full,2,0),"")</f>
        <v/>
      </c>
      <c r="D256" s="12" t="str">
        <f aca="false">IFERROR(VLOOKUP($B256,ItemList_Full,3,0),"")</f>
        <v/>
      </c>
      <c r="E256" s="12"/>
      <c r="F256" s="13" t="str">
        <f aca="false">IFERROR(VLOOKUP($B256,ItemList_Full,4,0),"")</f>
        <v/>
      </c>
      <c r="G256" s="13" t="str">
        <f aca="false">IF(OR($E256="",$F256=""),"",$E256*$F256)</f>
        <v/>
      </c>
      <c r="H256" s="12"/>
      <c r="I256" s="12"/>
      <c r="J256" s="1" t="str">
        <f aca="false">IFERROR(VLOOKUP($B256,ItemList_Full,5,0),"")</f>
        <v/>
      </c>
    </row>
    <row r="257" customFormat="false" ht="15" hidden="false" customHeight="true" outlineLevel="0" collapsed="false">
      <c r="A257" s="19"/>
      <c r="B257" s="12"/>
      <c r="C257" s="12" t="str">
        <f aca="false">IFERROR(VLOOKUP($B257,ItemList_Full,2,0),"")</f>
        <v/>
      </c>
      <c r="D257" s="12" t="str">
        <f aca="false">IFERROR(VLOOKUP($B257,ItemList_Full,3,0),"")</f>
        <v/>
      </c>
      <c r="E257" s="12"/>
      <c r="F257" s="13" t="str">
        <f aca="false">IFERROR(VLOOKUP($B257,ItemList_Full,4,0),"")</f>
        <v/>
      </c>
      <c r="G257" s="13" t="str">
        <f aca="false">IF(OR($E257="",$F257=""),"",$E257*$F257)</f>
        <v/>
      </c>
      <c r="H257" s="12"/>
      <c r="I257" s="12"/>
      <c r="J257" s="1" t="str">
        <f aca="false">IFERROR(VLOOKUP($B257,ItemList_Full,5,0),"")</f>
        <v/>
      </c>
    </row>
    <row r="258" customFormat="false" ht="15" hidden="false" customHeight="true" outlineLevel="0" collapsed="false">
      <c r="A258" s="19"/>
      <c r="B258" s="12"/>
      <c r="C258" s="12" t="str">
        <f aca="false">IFERROR(VLOOKUP($B258,ItemList_Full,2,0),"")</f>
        <v/>
      </c>
      <c r="D258" s="12" t="str">
        <f aca="false">IFERROR(VLOOKUP($B258,ItemList_Full,3,0),"")</f>
        <v/>
      </c>
      <c r="E258" s="12"/>
      <c r="F258" s="13" t="str">
        <f aca="false">IFERROR(VLOOKUP($B258,ItemList_Full,4,0),"")</f>
        <v/>
      </c>
      <c r="G258" s="13" t="str">
        <f aca="false">IF(OR($E258="",$F258=""),"",$E258*$F258)</f>
        <v/>
      </c>
      <c r="H258" s="12"/>
      <c r="I258" s="12"/>
      <c r="J258" s="1" t="str">
        <f aca="false">IFERROR(VLOOKUP($B258,ItemList_Full,5,0),"")</f>
        <v/>
      </c>
    </row>
    <row r="259" customFormat="false" ht="15" hidden="false" customHeight="true" outlineLevel="0" collapsed="false">
      <c r="A259" s="19"/>
      <c r="B259" s="12"/>
      <c r="C259" s="12" t="str">
        <f aca="false">IFERROR(VLOOKUP($B259,ItemList_Full,2,0),"")</f>
        <v/>
      </c>
      <c r="D259" s="12" t="str">
        <f aca="false">IFERROR(VLOOKUP($B259,ItemList_Full,3,0),"")</f>
        <v/>
      </c>
      <c r="E259" s="12"/>
      <c r="F259" s="13" t="str">
        <f aca="false">IFERROR(VLOOKUP($B259,ItemList_Full,4,0),"")</f>
        <v/>
      </c>
      <c r="G259" s="13" t="str">
        <f aca="false">IF(OR($E259="",$F259=""),"",$E259*$F259)</f>
        <v/>
      </c>
      <c r="H259" s="12"/>
      <c r="I259" s="12"/>
      <c r="J259" s="1" t="str">
        <f aca="false">IFERROR(VLOOKUP($B259,ItemList_Full,5,0),"")</f>
        <v/>
      </c>
    </row>
    <row r="260" customFormat="false" ht="15" hidden="false" customHeight="true" outlineLevel="0" collapsed="false">
      <c r="A260" s="19"/>
      <c r="B260" s="12"/>
      <c r="C260" s="12" t="str">
        <f aca="false">IFERROR(VLOOKUP($B260,ItemList_Full,2,0),"")</f>
        <v/>
      </c>
      <c r="D260" s="12" t="str">
        <f aca="false">IFERROR(VLOOKUP($B260,ItemList_Full,3,0),"")</f>
        <v/>
      </c>
      <c r="E260" s="12"/>
      <c r="F260" s="13" t="str">
        <f aca="false">IFERROR(VLOOKUP($B260,ItemList_Full,4,0),"")</f>
        <v/>
      </c>
      <c r="G260" s="13" t="str">
        <f aca="false">IF(OR($E260="",$F260=""),"",$E260*$F260)</f>
        <v/>
      </c>
      <c r="H260" s="12"/>
      <c r="I260" s="12"/>
      <c r="J260" s="1" t="str">
        <f aca="false">IFERROR(VLOOKUP($B260,ItemList_Full,5,0),"")</f>
        <v/>
      </c>
    </row>
    <row r="261" customFormat="false" ht="15" hidden="false" customHeight="true" outlineLevel="0" collapsed="false">
      <c r="A261" s="19"/>
      <c r="B261" s="12"/>
      <c r="C261" s="12" t="str">
        <f aca="false">IFERROR(VLOOKUP($B261,ItemList_Full,2,0),"")</f>
        <v/>
      </c>
      <c r="D261" s="12" t="str">
        <f aca="false">IFERROR(VLOOKUP($B261,ItemList_Full,3,0),"")</f>
        <v/>
      </c>
      <c r="E261" s="12"/>
      <c r="F261" s="13" t="str">
        <f aca="false">IFERROR(VLOOKUP($B261,ItemList_Full,4,0),"")</f>
        <v/>
      </c>
      <c r="G261" s="13" t="str">
        <f aca="false">IF(OR($E261="",$F261=""),"",$E261*$F261)</f>
        <v/>
      </c>
      <c r="H261" s="12"/>
      <c r="I261" s="12"/>
      <c r="J261" s="1" t="str">
        <f aca="false">IFERROR(VLOOKUP($B261,ItemList_Full,5,0),"")</f>
        <v/>
      </c>
    </row>
    <row r="262" customFormat="false" ht="15" hidden="false" customHeight="true" outlineLevel="0" collapsed="false">
      <c r="A262" s="19"/>
      <c r="B262" s="12"/>
      <c r="C262" s="12" t="str">
        <f aca="false">IFERROR(VLOOKUP($B262,ItemList_Full,2,0),"")</f>
        <v/>
      </c>
      <c r="D262" s="12" t="str">
        <f aca="false">IFERROR(VLOOKUP($B262,ItemList_Full,3,0),"")</f>
        <v/>
      </c>
      <c r="E262" s="12"/>
      <c r="F262" s="13" t="str">
        <f aca="false">IFERROR(VLOOKUP($B262,ItemList_Full,4,0),"")</f>
        <v/>
      </c>
      <c r="G262" s="13" t="str">
        <f aca="false">IF(OR($E262="",$F262=""),"",$E262*$F262)</f>
        <v/>
      </c>
      <c r="H262" s="12"/>
      <c r="I262" s="12"/>
      <c r="J262" s="1" t="str">
        <f aca="false">IFERROR(VLOOKUP($B262,ItemList_Full,5,0),"")</f>
        <v/>
      </c>
    </row>
    <row r="263" customFormat="false" ht="15" hidden="false" customHeight="true" outlineLevel="0" collapsed="false">
      <c r="A263" s="19"/>
      <c r="B263" s="12"/>
      <c r="C263" s="12" t="str">
        <f aca="false">IFERROR(VLOOKUP($B263,ItemList_Full,2,0),"")</f>
        <v/>
      </c>
      <c r="D263" s="12" t="str">
        <f aca="false">IFERROR(VLOOKUP($B263,ItemList_Full,3,0),"")</f>
        <v/>
      </c>
      <c r="E263" s="12"/>
      <c r="F263" s="13" t="str">
        <f aca="false">IFERROR(VLOOKUP($B263,ItemList_Full,4,0),"")</f>
        <v/>
      </c>
      <c r="G263" s="13" t="str">
        <f aca="false">IF(OR($E263="",$F263=""),"",$E263*$F263)</f>
        <v/>
      </c>
      <c r="H263" s="12"/>
      <c r="I263" s="12"/>
      <c r="J263" s="1" t="str">
        <f aca="false">IFERROR(VLOOKUP($B263,ItemList_Full,5,0),"")</f>
        <v/>
      </c>
    </row>
    <row r="264" customFormat="false" ht="15" hidden="false" customHeight="true" outlineLevel="0" collapsed="false">
      <c r="A264" s="19"/>
      <c r="B264" s="12"/>
      <c r="C264" s="12" t="str">
        <f aca="false">IFERROR(VLOOKUP($B264,ItemList_Full,2,0),"")</f>
        <v/>
      </c>
      <c r="D264" s="12" t="str">
        <f aca="false">IFERROR(VLOOKUP($B264,ItemList_Full,3,0),"")</f>
        <v/>
      </c>
      <c r="E264" s="12"/>
      <c r="F264" s="13" t="str">
        <f aca="false">IFERROR(VLOOKUP($B264,ItemList_Full,4,0),"")</f>
        <v/>
      </c>
      <c r="G264" s="13" t="str">
        <f aca="false">IF(OR($E264="",$F264=""),"",$E264*$F264)</f>
        <v/>
      </c>
      <c r="H264" s="12"/>
      <c r="I264" s="12"/>
      <c r="J264" s="1" t="str">
        <f aca="false">IFERROR(VLOOKUP($B264,ItemList_Full,5,0),"")</f>
        <v/>
      </c>
    </row>
    <row r="265" customFormat="false" ht="15" hidden="false" customHeight="true" outlineLevel="0" collapsed="false">
      <c r="A265" s="19"/>
      <c r="B265" s="12"/>
      <c r="C265" s="12" t="str">
        <f aca="false">IFERROR(VLOOKUP($B265,ItemList_Full,2,0),"")</f>
        <v/>
      </c>
      <c r="D265" s="12" t="str">
        <f aca="false">IFERROR(VLOOKUP($B265,ItemList_Full,3,0),"")</f>
        <v/>
      </c>
      <c r="E265" s="12"/>
      <c r="F265" s="13" t="str">
        <f aca="false">IFERROR(VLOOKUP($B265,ItemList_Full,4,0),"")</f>
        <v/>
      </c>
      <c r="G265" s="13" t="str">
        <f aca="false">IF(OR($E265="",$F265=""),"",$E265*$F265)</f>
        <v/>
      </c>
      <c r="H265" s="12"/>
      <c r="I265" s="12"/>
      <c r="J265" s="1" t="str">
        <f aca="false">IFERROR(VLOOKUP($B265,ItemList_Full,5,0),"")</f>
        <v/>
      </c>
    </row>
    <row r="266" customFormat="false" ht="15" hidden="false" customHeight="true" outlineLevel="0" collapsed="false">
      <c r="A266" s="19"/>
      <c r="B266" s="12"/>
      <c r="C266" s="12" t="str">
        <f aca="false">IFERROR(VLOOKUP($B266,ItemList_Full,2,0),"")</f>
        <v/>
      </c>
      <c r="D266" s="12" t="str">
        <f aca="false">IFERROR(VLOOKUP($B266,ItemList_Full,3,0),"")</f>
        <v/>
      </c>
      <c r="E266" s="12"/>
      <c r="F266" s="13" t="str">
        <f aca="false">IFERROR(VLOOKUP($B266,ItemList_Full,4,0),"")</f>
        <v/>
      </c>
      <c r="G266" s="13" t="str">
        <f aca="false">IF(OR($E266="",$F266=""),"",$E266*$F266)</f>
        <v/>
      </c>
      <c r="H266" s="12"/>
      <c r="I266" s="12"/>
      <c r="J266" s="1" t="str">
        <f aca="false">IFERROR(VLOOKUP($B266,ItemList_Full,5,0),"")</f>
        <v/>
      </c>
    </row>
    <row r="267" customFormat="false" ht="15" hidden="false" customHeight="true" outlineLevel="0" collapsed="false">
      <c r="A267" s="19"/>
      <c r="B267" s="12"/>
      <c r="C267" s="12" t="str">
        <f aca="false">IFERROR(VLOOKUP($B267,ItemList_Full,2,0),"")</f>
        <v/>
      </c>
      <c r="D267" s="12" t="str">
        <f aca="false">IFERROR(VLOOKUP($B267,ItemList_Full,3,0),"")</f>
        <v/>
      </c>
      <c r="E267" s="12"/>
      <c r="F267" s="13" t="str">
        <f aca="false">IFERROR(VLOOKUP($B267,ItemList_Full,4,0),"")</f>
        <v/>
      </c>
      <c r="G267" s="13" t="str">
        <f aca="false">IF(OR($E267="",$F267=""),"",$E267*$F267)</f>
        <v/>
      </c>
      <c r="H267" s="12"/>
      <c r="I267" s="12"/>
      <c r="J267" s="1" t="str">
        <f aca="false">IFERROR(VLOOKUP($B267,ItemList_Full,5,0),"")</f>
        <v/>
      </c>
    </row>
    <row r="268" customFormat="false" ht="15" hidden="false" customHeight="true" outlineLevel="0" collapsed="false">
      <c r="A268" s="19"/>
      <c r="B268" s="12"/>
      <c r="C268" s="12" t="str">
        <f aca="false">IFERROR(VLOOKUP($B268,ItemList_Full,2,0),"")</f>
        <v/>
      </c>
      <c r="D268" s="12" t="str">
        <f aca="false">IFERROR(VLOOKUP($B268,ItemList_Full,3,0),"")</f>
        <v/>
      </c>
      <c r="E268" s="12"/>
      <c r="F268" s="13" t="str">
        <f aca="false">IFERROR(VLOOKUP($B268,ItemList_Full,4,0),"")</f>
        <v/>
      </c>
      <c r="G268" s="13" t="str">
        <f aca="false">IF(OR($E268="",$F268=""),"",$E268*$F268)</f>
        <v/>
      </c>
      <c r="H268" s="12"/>
      <c r="I268" s="12"/>
      <c r="J268" s="1" t="str">
        <f aca="false">IFERROR(VLOOKUP($B268,ItemList_Full,5,0),"")</f>
        <v/>
      </c>
    </row>
    <row r="269" customFormat="false" ht="15" hidden="false" customHeight="true" outlineLevel="0" collapsed="false">
      <c r="A269" s="19"/>
      <c r="B269" s="12"/>
      <c r="C269" s="12" t="str">
        <f aca="false">IFERROR(VLOOKUP($B269,ItemList_Full,2,0),"")</f>
        <v/>
      </c>
      <c r="D269" s="12" t="str">
        <f aca="false">IFERROR(VLOOKUP($B269,ItemList_Full,3,0),"")</f>
        <v/>
      </c>
      <c r="E269" s="12"/>
      <c r="F269" s="13" t="str">
        <f aca="false">IFERROR(VLOOKUP($B269,ItemList_Full,4,0),"")</f>
        <v/>
      </c>
      <c r="G269" s="13" t="str">
        <f aca="false">IF(OR($E269="",$F269=""),"",$E269*$F269)</f>
        <v/>
      </c>
      <c r="H269" s="12"/>
      <c r="I269" s="12"/>
      <c r="J269" s="1" t="str">
        <f aca="false">IFERROR(VLOOKUP($B269,ItemList_Full,5,0),"")</f>
        <v/>
      </c>
    </row>
    <row r="270" customFormat="false" ht="15" hidden="false" customHeight="true" outlineLevel="0" collapsed="false">
      <c r="A270" s="19"/>
      <c r="B270" s="12"/>
      <c r="C270" s="12" t="str">
        <f aca="false">IFERROR(VLOOKUP($B270,ItemList_Full,2,0),"")</f>
        <v/>
      </c>
      <c r="D270" s="12" t="str">
        <f aca="false">IFERROR(VLOOKUP($B270,ItemList_Full,3,0),"")</f>
        <v/>
      </c>
      <c r="E270" s="12"/>
      <c r="F270" s="13" t="str">
        <f aca="false">IFERROR(VLOOKUP($B270,ItemList_Full,4,0),"")</f>
        <v/>
      </c>
      <c r="G270" s="13" t="str">
        <f aca="false">IF(OR($E270="",$F270=""),"",$E270*$F270)</f>
        <v/>
      </c>
      <c r="H270" s="12"/>
      <c r="I270" s="12"/>
      <c r="J270" s="1" t="str">
        <f aca="false">IFERROR(VLOOKUP($B270,ItemList_Full,5,0),"")</f>
        <v/>
      </c>
    </row>
    <row r="271" customFormat="false" ht="15" hidden="false" customHeight="true" outlineLevel="0" collapsed="false">
      <c r="A271" s="19"/>
      <c r="B271" s="12"/>
      <c r="C271" s="12" t="str">
        <f aca="false">IFERROR(VLOOKUP($B271,ItemList_Full,2,0),"")</f>
        <v/>
      </c>
      <c r="D271" s="12" t="str">
        <f aca="false">IFERROR(VLOOKUP($B271,ItemList_Full,3,0),"")</f>
        <v/>
      </c>
      <c r="E271" s="12"/>
      <c r="F271" s="13" t="str">
        <f aca="false">IFERROR(VLOOKUP($B271,ItemList_Full,4,0),"")</f>
        <v/>
      </c>
      <c r="G271" s="13" t="str">
        <f aca="false">IF(OR($E271="",$F271=""),"",$E271*$F271)</f>
        <v/>
      </c>
      <c r="H271" s="12"/>
      <c r="I271" s="12"/>
      <c r="J271" s="1" t="str">
        <f aca="false">IFERROR(VLOOKUP($B271,ItemList_Full,5,0),"")</f>
        <v/>
      </c>
    </row>
    <row r="272" customFormat="false" ht="15" hidden="false" customHeight="true" outlineLevel="0" collapsed="false">
      <c r="A272" s="19"/>
      <c r="B272" s="12"/>
      <c r="C272" s="12" t="str">
        <f aca="false">IFERROR(VLOOKUP($B272,ItemList_Full,2,0),"")</f>
        <v/>
      </c>
      <c r="D272" s="12" t="str">
        <f aca="false">IFERROR(VLOOKUP($B272,ItemList_Full,3,0),"")</f>
        <v/>
      </c>
      <c r="E272" s="12"/>
      <c r="F272" s="13" t="str">
        <f aca="false">IFERROR(VLOOKUP($B272,ItemList_Full,4,0),"")</f>
        <v/>
      </c>
      <c r="G272" s="13" t="str">
        <f aca="false">IF(OR($E272="",$F272=""),"",$E272*$F272)</f>
        <v/>
      </c>
      <c r="H272" s="12"/>
      <c r="I272" s="12"/>
      <c r="J272" s="1" t="str">
        <f aca="false">IFERROR(VLOOKUP($B272,ItemList_Full,5,0),"")</f>
        <v/>
      </c>
    </row>
    <row r="273" customFormat="false" ht="15" hidden="false" customHeight="true" outlineLevel="0" collapsed="false">
      <c r="A273" s="19"/>
      <c r="B273" s="12"/>
      <c r="C273" s="12" t="str">
        <f aca="false">IFERROR(VLOOKUP($B273,ItemList_Full,2,0),"")</f>
        <v/>
      </c>
      <c r="D273" s="12" t="str">
        <f aca="false">IFERROR(VLOOKUP($B273,ItemList_Full,3,0),"")</f>
        <v/>
      </c>
      <c r="E273" s="12"/>
      <c r="F273" s="13" t="str">
        <f aca="false">IFERROR(VLOOKUP($B273,ItemList_Full,4,0),"")</f>
        <v/>
      </c>
      <c r="G273" s="13" t="str">
        <f aca="false">IF(OR($E273="",$F273=""),"",$E273*$F273)</f>
        <v/>
      </c>
      <c r="H273" s="12"/>
      <c r="I273" s="12"/>
      <c r="J273" s="1" t="str">
        <f aca="false">IFERROR(VLOOKUP($B273,ItemList_Full,5,0),"")</f>
        <v/>
      </c>
    </row>
    <row r="274" customFormat="false" ht="15" hidden="false" customHeight="true" outlineLevel="0" collapsed="false">
      <c r="A274" s="19"/>
      <c r="B274" s="12"/>
      <c r="C274" s="12" t="str">
        <f aca="false">IFERROR(VLOOKUP($B274,ItemList_Full,2,0),"")</f>
        <v/>
      </c>
      <c r="D274" s="12" t="str">
        <f aca="false">IFERROR(VLOOKUP($B274,ItemList_Full,3,0),"")</f>
        <v/>
      </c>
      <c r="E274" s="12"/>
      <c r="F274" s="13" t="str">
        <f aca="false">IFERROR(VLOOKUP($B274,ItemList_Full,4,0),"")</f>
        <v/>
      </c>
      <c r="G274" s="13" t="str">
        <f aca="false">IF(OR($E274="",$F274=""),"",$E274*$F274)</f>
        <v/>
      </c>
      <c r="H274" s="12"/>
      <c r="I274" s="12"/>
      <c r="J274" s="1" t="str">
        <f aca="false">IFERROR(VLOOKUP($B274,ItemList_Full,5,0),"")</f>
        <v/>
      </c>
    </row>
    <row r="275" customFormat="false" ht="15" hidden="false" customHeight="true" outlineLevel="0" collapsed="false">
      <c r="A275" s="19"/>
      <c r="B275" s="12"/>
      <c r="C275" s="12" t="str">
        <f aca="false">IFERROR(VLOOKUP($B275,ItemList_Full,2,0),"")</f>
        <v/>
      </c>
      <c r="D275" s="12" t="str">
        <f aca="false">IFERROR(VLOOKUP($B275,ItemList_Full,3,0),"")</f>
        <v/>
      </c>
      <c r="E275" s="12"/>
      <c r="F275" s="13" t="str">
        <f aca="false">IFERROR(VLOOKUP($B275,ItemList_Full,4,0),"")</f>
        <v/>
      </c>
      <c r="G275" s="13" t="str">
        <f aca="false">IF(OR($E275="",$F275=""),"",$E275*$F275)</f>
        <v/>
      </c>
      <c r="H275" s="12"/>
      <c r="I275" s="12"/>
      <c r="J275" s="1" t="str">
        <f aca="false">IFERROR(VLOOKUP($B275,ItemList_Full,5,0),"")</f>
        <v/>
      </c>
    </row>
    <row r="276" customFormat="false" ht="15" hidden="false" customHeight="true" outlineLevel="0" collapsed="false">
      <c r="A276" s="19"/>
      <c r="B276" s="12"/>
      <c r="C276" s="12" t="str">
        <f aca="false">IFERROR(VLOOKUP($B276,ItemList_Full,2,0),"")</f>
        <v/>
      </c>
      <c r="D276" s="12" t="str">
        <f aca="false">IFERROR(VLOOKUP($B276,ItemList_Full,3,0),"")</f>
        <v/>
      </c>
      <c r="E276" s="12"/>
      <c r="F276" s="13" t="str">
        <f aca="false">IFERROR(VLOOKUP($B276,ItemList_Full,4,0),"")</f>
        <v/>
      </c>
      <c r="G276" s="13" t="str">
        <f aca="false">IF(OR($E276="",$F276=""),"",$E276*$F276)</f>
        <v/>
      </c>
      <c r="H276" s="12"/>
      <c r="I276" s="12"/>
      <c r="J276" s="1" t="str">
        <f aca="false">IFERROR(VLOOKUP($B276,ItemList_Full,5,0),"")</f>
        <v/>
      </c>
    </row>
    <row r="277" customFormat="false" ht="15" hidden="false" customHeight="true" outlineLevel="0" collapsed="false">
      <c r="A277" s="19"/>
      <c r="B277" s="12"/>
      <c r="C277" s="12" t="str">
        <f aca="false">IFERROR(VLOOKUP($B277,ItemList_Full,2,0),"")</f>
        <v/>
      </c>
      <c r="D277" s="12" t="str">
        <f aca="false">IFERROR(VLOOKUP($B277,ItemList_Full,3,0),"")</f>
        <v/>
      </c>
      <c r="E277" s="12"/>
      <c r="F277" s="13" t="str">
        <f aca="false">IFERROR(VLOOKUP($B277,ItemList_Full,4,0),"")</f>
        <v/>
      </c>
      <c r="G277" s="13" t="str">
        <f aca="false">IF(OR($E277="",$F277=""),"",$E277*$F277)</f>
        <v/>
      </c>
      <c r="H277" s="12"/>
      <c r="I277" s="12"/>
      <c r="J277" s="1" t="str">
        <f aca="false">IFERROR(VLOOKUP($B277,ItemList_Full,5,0),"")</f>
        <v/>
      </c>
    </row>
    <row r="278" customFormat="false" ht="15" hidden="false" customHeight="true" outlineLevel="0" collapsed="false">
      <c r="A278" s="19"/>
      <c r="B278" s="12"/>
      <c r="C278" s="12" t="str">
        <f aca="false">IFERROR(VLOOKUP($B278,ItemList_Full,2,0),"")</f>
        <v/>
      </c>
      <c r="D278" s="12" t="str">
        <f aca="false">IFERROR(VLOOKUP($B278,ItemList_Full,3,0),"")</f>
        <v/>
      </c>
      <c r="E278" s="12"/>
      <c r="F278" s="13" t="str">
        <f aca="false">IFERROR(VLOOKUP($B278,ItemList_Full,4,0),"")</f>
        <v/>
      </c>
      <c r="G278" s="13" t="str">
        <f aca="false">IF(OR($E278="",$F278=""),"",$E278*$F278)</f>
        <v/>
      </c>
      <c r="H278" s="12"/>
      <c r="I278" s="12"/>
      <c r="J278" s="1" t="str">
        <f aca="false">IFERROR(VLOOKUP($B278,ItemList_Full,5,0),"")</f>
        <v/>
      </c>
    </row>
    <row r="279" customFormat="false" ht="15" hidden="false" customHeight="true" outlineLevel="0" collapsed="false">
      <c r="A279" s="19"/>
      <c r="B279" s="12"/>
      <c r="C279" s="12" t="str">
        <f aca="false">IFERROR(VLOOKUP($B279,ItemList_Full,2,0),"")</f>
        <v/>
      </c>
      <c r="D279" s="12" t="str">
        <f aca="false">IFERROR(VLOOKUP($B279,ItemList_Full,3,0),"")</f>
        <v/>
      </c>
      <c r="E279" s="12"/>
      <c r="F279" s="13" t="str">
        <f aca="false">IFERROR(VLOOKUP($B279,ItemList_Full,4,0),"")</f>
        <v/>
      </c>
      <c r="G279" s="13" t="str">
        <f aca="false">IF(OR($E279="",$F279=""),"",$E279*$F279)</f>
        <v/>
      </c>
      <c r="H279" s="12"/>
      <c r="I279" s="12"/>
      <c r="J279" s="1" t="str">
        <f aca="false">IFERROR(VLOOKUP($B279,ItemList_Full,5,0),"")</f>
        <v/>
      </c>
    </row>
    <row r="280" customFormat="false" ht="15" hidden="false" customHeight="true" outlineLevel="0" collapsed="false">
      <c r="A280" s="19"/>
      <c r="B280" s="12"/>
      <c r="C280" s="12" t="str">
        <f aca="false">IFERROR(VLOOKUP($B280,ItemList_Full,2,0),"")</f>
        <v/>
      </c>
      <c r="D280" s="12" t="str">
        <f aca="false">IFERROR(VLOOKUP($B280,ItemList_Full,3,0),"")</f>
        <v/>
      </c>
      <c r="E280" s="12"/>
      <c r="F280" s="13" t="str">
        <f aca="false">IFERROR(VLOOKUP($B280,ItemList_Full,4,0),"")</f>
        <v/>
      </c>
      <c r="G280" s="13" t="str">
        <f aca="false">IF(OR($E280="",$F280=""),"",$E280*$F280)</f>
        <v/>
      </c>
      <c r="H280" s="12"/>
      <c r="I280" s="12"/>
      <c r="J280" s="1" t="str">
        <f aca="false">IFERROR(VLOOKUP($B280,ItemList_Full,5,0),"")</f>
        <v/>
      </c>
    </row>
    <row r="281" customFormat="false" ht="15" hidden="false" customHeight="true" outlineLevel="0" collapsed="false">
      <c r="A281" s="19"/>
      <c r="B281" s="12"/>
      <c r="C281" s="12" t="str">
        <f aca="false">IFERROR(VLOOKUP($B281,ItemList_Full,2,0),"")</f>
        <v/>
      </c>
      <c r="D281" s="12" t="str">
        <f aca="false">IFERROR(VLOOKUP($B281,ItemList_Full,3,0),"")</f>
        <v/>
      </c>
      <c r="E281" s="12"/>
      <c r="F281" s="13" t="str">
        <f aca="false">IFERROR(VLOOKUP($B281,ItemList_Full,4,0),"")</f>
        <v/>
      </c>
      <c r="G281" s="13" t="str">
        <f aca="false">IF(OR($E281="",$F281=""),"",$E281*$F281)</f>
        <v/>
      </c>
      <c r="H281" s="12"/>
      <c r="I281" s="12"/>
      <c r="J281" s="1" t="str">
        <f aca="false">IFERROR(VLOOKUP($B281,ItemList_Full,5,0),"")</f>
        <v/>
      </c>
    </row>
    <row r="282" customFormat="false" ht="15" hidden="false" customHeight="true" outlineLevel="0" collapsed="false">
      <c r="A282" s="19"/>
      <c r="B282" s="12"/>
      <c r="C282" s="12" t="str">
        <f aca="false">IFERROR(VLOOKUP($B282,ItemList_Full,2,0),"")</f>
        <v/>
      </c>
      <c r="D282" s="12" t="str">
        <f aca="false">IFERROR(VLOOKUP($B282,ItemList_Full,3,0),"")</f>
        <v/>
      </c>
      <c r="E282" s="12"/>
      <c r="F282" s="13" t="str">
        <f aca="false">IFERROR(VLOOKUP($B282,ItemList_Full,4,0),"")</f>
        <v/>
      </c>
      <c r="G282" s="13" t="str">
        <f aca="false">IF(OR($E282="",$F282=""),"",$E282*$F282)</f>
        <v/>
      </c>
      <c r="H282" s="12"/>
      <c r="I282" s="12"/>
      <c r="J282" s="1" t="str">
        <f aca="false">IFERROR(VLOOKUP($B282,ItemList_Full,5,0),"")</f>
        <v/>
      </c>
    </row>
    <row r="283" customFormat="false" ht="15" hidden="false" customHeight="true" outlineLevel="0" collapsed="false">
      <c r="A283" s="19"/>
      <c r="B283" s="12"/>
      <c r="C283" s="12" t="str">
        <f aca="false">IFERROR(VLOOKUP($B283,ItemList_Full,2,0),"")</f>
        <v/>
      </c>
      <c r="D283" s="12" t="str">
        <f aca="false">IFERROR(VLOOKUP($B283,ItemList_Full,3,0),"")</f>
        <v/>
      </c>
      <c r="E283" s="12"/>
      <c r="F283" s="13" t="str">
        <f aca="false">IFERROR(VLOOKUP($B283,ItemList_Full,4,0),"")</f>
        <v/>
      </c>
      <c r="G283" s="13" t="str">
        <f aca="false">IF(OR($E283="",$F283=""),"",$E283*$F283)</f>
        <v/>
      </c>
      <c r="H283" s="12"/>
      <c r="I283" s="12"/>
      <c r="J283" s="1" t="str">
        <f aca="false">IFERROR(VLOOKUP($B283,ItemList_Full,5,0),"")</f>
        <v/>
      </c>
    </row>
    <row r="284" customFormat="false" ht="15" hidden="false" customHeight="true" outlineLevel="0" collapsed="false">
      <c r="A284" s="19"/>
      <c r="B284" s="12"/>
      <c r="C284" s="12" t="str">
        <f aca="false">IFERROR(VLOOKUP($B284,ItemList_Full,2,0),"")</f>
        <v/>
      </c>
      <c r="D284" s="12" t="str">
        <f aca="false">IFERROR(VLOOKUP($B284,ItemList_Full,3,0),"")</f>
        <v/>
      </c>
      <c r="E284" s="12"/>
      <c r="F284" s="13" t="str">
        <f aca="false">IFERROR(VLOOKUP($B284,ItemList_Full,4,0),"")</f>
        <v/>
      </c>
      <c r="G284" s="13" t="str">
        <f aca="false">IF(OR($E284="",$F284=""),"",$E284*$F284)</f>
        <v/>
      </c>
      <c r="H284" s="12"/>
      <c r="I284" s="12"/>
      <c r="J284" s="1" t="str">
        <f aca="false">IFERROR(VLOOKUP($B284,ItemList_Full,5,0),"")</f>
        <v/>
      </c>
    </row>
    <row r="285" customFormat="false" ht="15" hidden="false" customHeight="true" outlineLevel="0" collapsed="false">
      <c r="A285" s="19"/>
      <c r="B285" s="12"/>
      <c r="C285" s="12" t="str">
        <f aca="false">IFERROR(VLOOKUP($B285,ItemList_Full,2,0),"")</f>
        <v/>
      </c>
      <c r="D285" s="12" t="str">
        <f aca="false">IFERROR(VLOOKUP($B285,ItemList_Full,3,0),"")</f>
        <v/>
      </c>
      <c r="E285" s="12"/>
      <c r="F285" s="13" t="str">
        <f aca="false">IFERROR(VLOOKUP($B285,ItemList_Full,4,0),"")</f>
        <v/>
      </c>
      <c r="G285" s="13" t="str">
        <f aca="false">IF(OR($E285="",$F285=""),"",$E285*$F285)</f>
        <v/>
      </c>
      <c r="H285" s="12"/>
      <c r="I285" s="12"/>
      <c r="J285" s="1" t="str">
        <f aca="false">IFERROR(VLOOKUP($B285,ItemList_Full,5,0),"")</f>
        <v/>
      </c>
    </row>
    <row r="286" customFormat="false" ht="15" hidden="false" customHeight="true" outlineLevel="0" collapsed="false">
      <c r="A286" s="19"/>
      <c r="B286" s="12"/>
      <c r="C286" s="12" t="str">
        <f aca="false">IFERROR(VLOOKUP($B286,ItemList_Full,2,0),"")</f>
        <v/>
      </c>
      <c r="D286" s="12" t="str">
        <f aca="false">IFERROR(VLOOKUP($B286,ItemList_Full,3,0),"")</f>
        <v/>
      </c>
      <c r="E286" s="12"/>
      <c r="F286" s="13" t="str">
        <f aca="false">IFERROR(VLOOKUP($B286,ItemList_Full,4,0),"")</f>
        <v/>
      </c>
      <c r="G286" s="13" t="str">
        <f aca="false">IF(OR($E286="",$F286=""),"",$E286*$F286)</f>
        <v/>
      </c>
      <c r="H286" s="12"/>
      <c r="I286" s="12"/>
      <c r="J286" s="1" t="str">
        <f aca="false">IFERROR(VLOOKUP($B286,ItemList_Full,5,0),"")</f>
        <v/>
      </c>
    </row>
    <row r="287" customFormat="false" ht="15" hidden="false" customHeight="true" outlineLevel="0" collapsed="false">
      <c r="A287" s="19"/>
      <c r="B287" s="12"/>
      <c r="C287" s="12" t="str">
        <f aca="false">IFERROR(VLOOKUP($B287,ItemList_Full,2,0),"")</f>
        <v/>
      </c>
      <c r="D287" s="12" t="str">
        <f aca="false">IFERROR(VLOOKUP($B287,ItemList_Full,3,0),"")</f>
        <v/>
      </c>
      <c r="E287" s="12"/>
      <c r="F287" s="13" t="str">
        <f aca="false">IFERROR(VLOOKUP($B287,ItemList_Full,4,0),"")</f>
        <v/>
      </c>
      <c r="G287" s="13" t="str">
        <f aca="false">IF(OR($E287="",$F287=""),"",$E287*$F287)</f>
        <v/>
      </c>
      <c r="H287" s="12"/>
      <c r="I287" s="12"/>
      <c r="J287" s="1" t="str">
        <f aca="false">IFERROR(VLOOKUP($B287,ItemList_Full,5,0),"")</f>
        <v/>
      </c>
    </row>
    <row r="288" customFormat="false" ht="15" hidden="false" customHeight="true" outlineLevel="0" collapsed="false">
      <c r="A288" s="19"/>
      <c r="B288" s="12"/>
      <c r="C288" s="12" t="str">
        <f aca="false">IFERROR(VLOOKUP($B288,ItemList_Full,2,0),"")</f>
        <v/>
      </c>
      <c r="D288" s="12" t="str">
        <f aca="false">IFERROR(VLOOKUP($B288,ItemList_Full,3,0),"")</f>
        <v/>
      </c>
      <c r="E288" s="12"/>
      <c r="F288" s="13" t="str">
        <f aca="false">IFERROR(VLOOKUP($B288,ItemList_Full,4,0),"")</f>
        <v/>
      </c>
      <c r="G288" s="13" t="str">
        <f aca="false">IF(OR($E288="",$F288=""),"",$E288*$F288)</f>
        <v/>
      </c>
      <c r="H288" s="12"/>
      <c r="I288" s="12"/>
      <c r="J288" s="1" t="str">
        <f aca="false">IFERROR(VLOOKUP($B288,ItemList_Full,5,0),"")</f>
        <v/>
      </c>
    </row>
    <row r="289" customFormat="false" ht="15" hidden="false" customHeight="true" outlineLevel="0" collapsed="false">
      <c r="A289" s="19"/>
      <c r="B289" s="12"/>
      <c r="C289" s="12" t="str">
        <f aca="false">IFERROR(VLOOKUP($B289,ItemList_Full,2,0),"")</f>
        <v/>
      </c>
      <c r="D289" s="12" t="str">
        <f aca="false">IFERROR(VLOOKUP($B289,ItemList_Full,3,0),"")</f>
        <v/>
      </c>
      <c r="E289" s="12"/>
      <c r="F289" s="13" t="str">
        <f aca="false">IFERROR(VLOOKUP($B289,ItemList_Full,4,0),"")</f>
        <v/>
      </c>
      <c r="G289" s="13" t="str">
        <f aca="false">IF(OR($E289="",$F289=""),"",$E289*$F289)</f>
        <v/>
      </c>
      <c r="H289" s="12"/>
      <c r="I289" s="12"/>
      <c r="J289" s="1" t="str">
        <f aca="false">IFERROR(VLOOKUP($B289,ItemList_Full,5,0),"")</f>
        <v/>
      </c>
    </row>
    <row r="290" customFormat="false" ht="15" hidden="false" customHeight="true" outlineLevel="0" collapsed="false">
      <c r="A290" s="19"/>
      <c r="B290" s="12"/>
      <c r="C290" s="12" t="str">
        <f aca="false">IFERROR(VLOOKUP($B290,ItemList_Full,2,0),"")</f>
        <v/>
      </c>
      <c r="D290" s="12" t="str">
        <f aca="false">IFERROR(VLOOKUP($B290,ItemList_Full,3,0),"")</f>
        <v/>
      </c>
      <c r="E290" s="12"/>
      <c r="F290" s="13" t="str">
        <f aca="false">IFERROR(VLOOKUP($B290,ItemList_Full,4,0),"")</f>
        <v/>
      </c>
      <c r="G290" s="13" t="str">
        <f aca="false">IF(OR($E290="",$F290=""),"",$E290*$F290)</f>
        <v/>
      </c>
      <c r="H290" s="12"/>
      <c r="I290" s="12"/>
      <c r="J290" s="1" t="str">
        <f aca="false">IFERROR(VLOOKUP($B290,ItemList_Full,5,0),"")</f>
        <v/>
      </c>
    </row>
    <row r="291" customFormat="false" ht="15" hidden="false" customHeight="true" outlineLevel="0" collapsed="false">
      <c r="A291" s="19"/>
      <c r="B291" s="12"/>
      <c r="C291" s="12" t="str">
        <f aca="false">IFERROR(VLOOKUP($B291,ItemList_Full,2,0),"")</f>
        <v/>
      </c>
      <c r="D291" s="12" t="str">
        <f aca="false">IFERROR(VLOOKUP($B291,ItemList_Full,3,0),"")</f>
        <v/>
      </c>
      <c r="E291" s="12"/>
      <c r="F291" s="13" t="str">
        <f aca="false">IFERROR(VLOOKUP($B291,ItemList_Full,4,0),"")</f>
        <v/>
      </c>
      <c r="G291" s="13" t="str">
        <f aca="false">IF(OR($E291="",$F291=""),"",$E291*$F291)</f>
        <v/>
      </c>
      <c r="H291" s="12"/>
      <c r="I291" s="12"/>
      <c r="J291" s="1" t="str">
        <f aca="false">IFERROR(VLOOKUP($B291,ItemList_Full,5,0),"")</f>
        <v/>
      </c>
    </row>
    <row r="292" customFormat="false" ht="15" hidden="false" customHeight="true" outlineLevel="0" collapsed="false">
      <c r="A292" s="19"/>
      <c r="B292" s="12"/>
      <c r="C292" s="12" t="str">
        <f aca="false">IFERROR(VLOOKUP($B292,ItemList_Full,2,0),"")</f>
        <v/>
      </c>
      <c r="D292" s="12" t="str">
        <f aca="false">IFERROR(VLOOKUP($B292,ItemList_Full,3,0),"")</f>
        <v/>
      </c>
      <c r="E292" s="12"/>
      <c r="F292" s="13" t="str">
        <f aca="false">IFERROR(VLOOKUP($B292,ItemList_Full,4,0),"")</f>
        <v/>
      </c>
      <c r="G292" s="13" t="str">
        <f aca="false">IF(OR($E292="",$F292=""),"",$E292*$F292)</f>
        <v/>
      </c>
      <c r="H292" s="12"/>
      <c r="I292" s="12"/>
      <c r="J292" s="1" t="str">
        <f aca="false">IFERROR(VLOOKUP($B292,ItemList_Full,5,0),"")</f>
        <v/>
      </c>
    </row>
    <row r="293" customFormat="false" ht="15" hidden="false" customHeight="true" outlineLevel="0" collapsed="false">
      <c r="A293" s="19"/>
      <c r="B293" s="12"/>
      <c r="C293" s="12" t="str">
        <f aca="false">IFERROR(VLOOKUP($B293,ItemList_Full,2,0),"")</f>
        <v/>
      </c>
      <c r="D293" s="12" t="str">
        <f aca="false">IFERROR(VLOOKUP($B293,ItemList_Full,3,0),"")</f>
        <v/>
      </c>
      <c r="E293" s="12"/>
      <c r="F293" s="13" t="str">
        <f aca="false">IFERROR(VLOOKUP($B293,ItemList_Full,4,0),"")</f>
        <v/>
      </c>
      <c r="G293" s="13" t="str">
        <f aca="false">IF(OR($E293="",$F293=""),"",$E293*$F293)</f>
        <v/>
      </c>
      <c r="H293" s="12"/>
      <c r="I293" s="12"/>
      <c r="J293" s="1" t="str">
        <f aca="false">IFERROR(VLOOKUP($B293,ItemList_Full,5,0),"")</f>
        <v/>
      </c>
    </row>
    <row r="294" customFormat="false" ht="15" hidden="false" customHeight="true" outlineLevel="0" collapsed="false">
      <c r="A294" s="19"/>
      <c r="B294" s="12"/>
      <c r="C294" s="12" t="str">
        <f aca="false">IFERROR(VLOOKUP($B294,ItemList_Full,2,0),"")</f>
        <v/>
      </c>
      <c r="D294" s="12" t="str">
        <f aca="false">IFERROR(VLOOKUP($B294,ItemList_Full,3,0),"")</f>
        <v/>
      </c>
      <c r="E294" s="12"/>
      <c r="F294" s="13" t="str">
        <f aca="false">IFERROR(VLOOKUP($B294,ItemList_Full,4,0),"")</f>
        <v/>
      </c>
      <c r="G294" s="13" t="str">
        <f aca="false">IF(OR($E294="",$F294=""),"",$E294*$F294)</f>
        <v/>
      </c>
      <c r="H294" s="12"/>
      <c r="I294" s="12"/>
      <c r="J294" s="1" t="str">
        <f aca="false">IFERROR(VLOOKUP($B294,ItemList_Full,5,0),"")</f>
        <v/>
      </c>
    </row>
    <row r="295" customFormat="false" ht="15" hidden="false" customHeight="true" outlineLevel="0" collapsed="false">
      <c r="A295" s="19"/>
      <c r="B295" s="12"/>
      <c r="C295" s="12" t="str">
        <f aca="false">IFERROR(VLOOKUP($B295,ItemList_Full,2,0),"")</f>
        <v/>
      </c>
      <c r="D295" s="12" t="str">
        <f aca="false">IFERROR(VLOOKUP($B295,ItemList_Full,3,0),"")</f>
        <v/>
      </c>
      <c r="E295" s="12"/>
      <c r="F295" s="13" t="str">
        <f aca="false">IFERROR(VLOOKUP($B295,ItemList_Full,4,0),"")</f>
        <v/>
      </c>
      <c r="G295" s="13" t="str">
        <f aca="false">IF(OR($E295="",$F295=""),"",$E295*$F295)</f>
        <v/>
      </c>
      <c r="H295" s="12"/>
      <c r="I295" s="12"/>
      <c r="J295" s="1" t="str">
        <f aca="false">IFERROR(VLOOKUP($B295,ItemList_Full,5,0),"")</f>
        <v/>
      </c>
    </row>
    <row r="296" customFormat="false" ht="15" hidden="false" customHeight="true" outlineLevel="0" collapsed="false">
      <c r="A296" s="19"/>
      <c r="B296" s="12"/>
      <c r="C296" s="12" t="str">
        <f aca="false">IFERROR(VLOOKUP($B296,ItemList_Full,2,0),"")</f>
        <v/>
      </c>
      <c r="D296" s="12" t="str">
        <f aca="false">IFERROR(VLOOKUP($B296,ItemList_Full,3,0),"")</f>
        <v/>
      </c>
      <c r="E296" s="12"/>
      <c r="F296" s="13" t="str">
        <f aca="false">IFERROR(VLOOKUP($B296,ItemList_Full,4,0),"")</f>
        <v/>
      </c>
      <c r="G296" s="13" t="str">
        <f aca="false">IF(OR($E296="",$F296=""),"",$E296*$F296)</f>
        <v/>
      </c>
      <c r="H296" s="12"/>
      <c r="I296" s="12"/>
      <c r="J296" s="1" t="str">
        <f aca="false">IFERROR(VLOOKUP($B296,ItemList_Full,5,0),"")</f>
        <v/>
      </c>
    </row>
    <row r="297" customFormat="false" ht="15" hidden="false" customHeight="true" outlineLevel="0" collapsed="false">
      <c r="A297" s="19"/>
      <c r="B297" s="12"/>
      <c r="C297" s="12" t="str">
        <f aca="false">IFERROR(VLOOKUP($B297,ItemList_Full,2,0),"")</f>
        <v/>
      </c>
      <c r="D297" s="12" t="str">
        <f aca="false">IFERROR(VLOOKUP($B297,ItemList_Full,3,0),"")</f>
        <v/>
      </c>
      <c r="E297" s="12"/>
      <c r="F297" s="13" t="str">
        <f aca="false">IFERROR(VLOOKUP($B297,ItemList_Full,4,0),"")</f>
        <v/>
      </c>
      <c r="G297" s="13" t="str">
        <f aca="false">IF(OR($E297="",$F297=""),"",$E297*$F297)</f>
        <v/>
      </c>
      <c r="H297" s="12"/>
      <c r="I297" s="12"/>
      <c r="J297" s="1" t="str">
        <f aca="false">IFERROR(VLOOKUP($B297,ItemList_Full,5,0),"")</f>
        <v/>
      </c>
    </row>
    <row r="298" customFormat="false" ht="15" hidden="false" customHeight="true" outlineLevel="0" collapsed="false">
      <c r="A298" s="19"/>
      <c r="B298" s="12"/>
      <c r="C298" s="12" t="str">
        <f aca="false">IFERROR(VLOOKUP($B298,ItemList_Full,2,0),"")</f>
        <v/>
      </c>
      <c r="D298" s="12" t="str">
        <f aca="false">IFERROR(VLOOKUP($B298,ItemList_Full,3,0),"")</f>
        <v/>
      </c>
      <c r="E298" s="12"/>
      <c r="F298" s="13" t="str">
        <f aca="false">IFERROR(VLOOKUP($B298,ItemList_Full,4,0),"")</f>
        <v/>
      </c>
      <c r="G298" s="13" t="str">
        <f aca="false">IF(OR($E298="",$F298=""),"",$E298*$F298)</f>
        <v/>
      </c>
      <c r="H298" s="12"/>
      <c r="I298" s="12"/>
      <c r="J298" s="1" t="str">
        <f aca="false">IFERROR(VLOOKUP($B298,ItemList_Full,5,0),"")</f>
        <v/>
      </c>
    </row>
    <row r="299" customFormat="false" ht="15" hidden="false" customHeight="true" outlineLevel="0" collapsed="false">
      <c r="A299" s="19"/>
      <c r="B299" s="12"/>
      <c r="C299" s="12" t="str">
        <f aca="false">IFERROR(VLOOKUP($B299,ItemList_Full,2,0),"")</f>
        <v/>
      </c>
      <c r="D299" s="12" t="str">
        <f aca="false">IFERROR(VLOOKUP($B299,ItemList_Full,3,0),"")</f>
        <v/>
      </c>
      <c r="E299" s="12"/>
      <c r="F299" s="13" t="str">
        <f aca="false">IFERROR(VLOOKUP($B299,ItemList_Full,4,0),"")</f>
        <v/>
      </c>
      <c r="G299" s="13" t="str">
        <f aca="false">IF(OR($E299="",$F299=""),"",$E299*$F299)</f>
        <v/>
      </c>
      <c r="H299" s="12"/>
      <c r="I299" s="12"/>
      <c r="J299" s="1" t="str">
        <f aca="false">IFERROR(VLOOKUP($B299,ItemList_Full,5,0),"")</f>
        <v/>
      </c>
    </row>
    <row r="300" customFormat="false" ht="15" hidden="false" customHeight="true" outlineLevel="0" collapsed="false">
      <c r="A300" s="19"/>
      <c r="B300" s="12"/>
      <c r="C300" s="12" t="str">
        <f aca="false">IFERROR(VLOOKUP($B300,ItemList_Full,2,0),"")</f>
        <v/>
      </c>
      <c r="D300" s="12" t="str">
        <f aca="false">IFERROR(VLOOKUP($B300,ItemList_Full,3,0),"")</f>
        <v/>
      </c>
      <c r="E300" s="12"/>
      <c r="F300" s="13" t="str">
        <f aca="false">IFERROR(VLOOKUP($B300,ItemList_Full,4,0),"")</f>
        <v/>
      </c>
      <c r="G300" s="13" t="str">
        <f aca="false">IF(OR($E300="",$F300=""),"",$E300*$F300)</f>
        <v/>
      </c>
      <c r="H300" s="12"/>
      <c r="I300" s="12"/>
      <c r="J300" s="1" t="str">
        <f aca="false">IFERROR(VLOOKUP($B300,ItemList_Full,5,0),"")</f>
        <v/>
      </c>
    </row>
    <row r="301" customFormat="false" ht="15" hidden="false" customHeight="true" outlineLevel="0" collapsed="false">
      <c r="A301" s="19"/>
      <c r="B301" s="12"/>
      <c r="C301" s="12" t="str">
        <f aca="false">IFERROR(VLOOKUP($B301,ItemList_Full,2,0),"")</f>
        <v/>
      </c>
      <c r="D301" s="12" t="str">
        <f aca="false">IFERROR(VLOOKUP($B301,ItemList_Full,3,0),"")</f>
        <v/>
      </c>
      <c r="E301" s="12"/>
      <c r="F301" s="13" t="str">
        <f aca="false">IFERROR(VLOOKUP($B301,ItemList_Full,4,0),"")</f>
        <v/>
      </c>
      <c r="G301" s="13" t="str">
        <f aca="false">IF(OR($E301="",$F301=""),"",$E301*$F301)</f>
        <v/>
      </c>
      <c r="H301" s="12"/>
      <c r="I301" s="12"/>
      <c r="J301" s="1" t="str">
        <f aca="false">IFERROR(VLOOKUP($B301,ItemList_Full,5,0),"")</f>
        <v/>
      </c>
    </row>
    <row r="302" customFormat="false" ht="15" hidden="false" customHeight="true" outlineLevel="0" collapsed="false">
      <c r="A302" s="19"/>
      <c r="B302" s="12"/>
      <c r="C302" s="12" t="str">
        <f aca="false">IFERROR(VLOOKUP($B302,ItemList_Full,2,0),"")</f>
        <v/>
      </c>
      <c r="D302" s="12" t="str">
        <f aca="false">IFERROR(VLOOKUP($B302,ItemList_Full,3,0),"")</f>
        <v/>
      </c>
      <c r="E302" s="12"/>
      <c r="F302" s="13" t="str">
        <f aca="false">IFERROR(VLOOKUP($B302,ItemList_Full,4,0),"")</f>
        <v/>
      </c>
      <c r="G302" s="13" t="str">
        <f aca="false">IF(OR($E302="",$F302=""),"",$E302*$F302)</f>
        <v/>
      </c>
      <c r="H302" s="12"/>
      <c r="I302" s="12"/>
      <c r="J302" s="1" t="str">
        <f aca="false">IFERROR(VLOOKUP($B302,ItemList_Full,5,0),"")</f>
        <v/>
      </c>
    </row>
    <row r="303" customFormat="false" ht="15" hidden="false" customHeight="true" outlineLevel="0" collapsed="false">
      <c r="A303" s="19"/>
      <c r="B303" s="12"/>
      <c r="C303" s="12" t="str">
        <f aca="false">IFERROR(VLOOKUP($B303,ItemList_Full,2,0),"")</f>
        <v/>
      </c>
      <c r="D303" s="12" t="str">
        <f aca="false">IFERROR(VLOOKUP($B303,ItemList_Full,3,0),"")</f>
        <v/>
      </c>
      <c r="E303" s="12"/>
      <c r="F303" s="13" t="str">
        <f aca="false">IFERROR(VLOOKUP($B303,ItemList_Full,4,0),"")</f>
        <v/>
      </c>
      <c r="G303" s="13" t="str">
        <f aca="false">IF(OR($E303="",$F303=""),"",$E303*$F303)</f>
        <v/>
      </c>
      <c r="H303" s="12"/>
      <c r="I303" s="12"/>
      <c r="J303" s="1" t="str">
        <f aca="false">IFERROR(VLOOKUP($B303,ItemList_Full,5,0),"")</f>
        <v/>
      </c>
    </row>
    <row r="304" customFormat="false" ht="15" hidden="false" customHeight="true" outlineLevel="0" collapsed="false">
      <c r="A304" s="19"/>
      <c r="B304" s="12"/>
      <c r="C304" s="12" t="str">
        <f aca="false">IFERROR(VLOOKUP($B304,ItemList_Full,2,0),"")</f>
        <v/>
      </c>
      <c r="D304" s="12" t="str">
        <f aca="false">IFERROR(VLOOKUP($B304,ItemList_Full,3,0),"")</f>
        <v/>
      </c>
      <c r="E304" s="12"/>
      <c r="F304" s="13" t="str">
        <f aca="false">IFERROR(VLOOKUP($B304,ItemList_Full,4,0),"")</f>
        <v/>
      </c>
      <c r="G304" s="13" t="str">
        <f aca="false">IF(OR($E304="",$F304=""),"",$E304*$F304)</f>
        <v/>
      </c>
      <c r="H304" s="12"/>
      <c r="I304" s="12"/>
      <c r="J304" s="1" t="str">
        <f aca="false">IFERROR(VLOOKUP($B304,ItemList_Full,5,0),"")</f>
        <v/>
      </c>
    </row>
    <row r="305" customFormat="false" ht="15" hidden="false" customHeight="true" outlineLevel="0" collapsed="false">
      <c r="A305" s="19"/>
      <c r="B305" s="12"/>
      <c r="C305" s="12" t="str">
        <f aca="false">IFERROR(VLOOKUP($B305,ItemList_Full,2,0),"")</f>
        <v/>
      </c>
      <c r="D305" s="12" t="str">
        <f aca="false">IFERROR(VLOOKUP($B305,ItemList_Full,3,0),"")</f>
        <v/>
      </c>
      <c r="E305" s="12"/>
      <c r="F305" s="13" t="str">
        <f aca="false">IFERROR(VLOOKUP($B305,ItemList_Full,4,0),"")</f>
        <v/>
      </c>
      <c r="G305" s="13" t="str">
        <f aca="false">IF(OR($E305="",$F305=""),"",$E305*$F305)</f>
        <v/>
      </c>
      <c r="H305" s="12"/>
      <c r="I305" s="12"/>
      <c r="J305" s="1" t="str">
        <f aca="false">IFERROR(VLOOKUP($B305,ItemList_Full,5,0),"")</f>
        <v/>
      </c>
    </row>
    <row r="306" customFormat="false" ht="15" hidden="false" customHeight="true" outlineLevel="0" collapsed="false">
      <c r="A306" s="19"/>
      <c r="B306" s="12"/>
      <c r="C306" s="12" t="str">
        <f aca="false">IFERROR(VLOOKUP($B306,ItemList_Full,2,0),"")</f>
        <v/>
      </c>
      <c r="D306" s="12" t="str">
        <f aca="false">IFERROR(VLOOKUP($B306,ItemList_Full,3,0),"")</f>
        <v/>
      </c>
      <c r="E306" s="12"/>
      <c r="F306" s="13" t="str">
        <f aca="false">IFERROR(VLOOKUP($B306,ItemList_Full,4,0),"")</f>
        <v/>
      </c>
      <c r="G306" s="13" t="str">
        <f aca="false">IF(OR($E306="",$F306=""),"",$E306*$F306)</f>
        <v/>
      </c>
      <c r="H306" s="12"/>
      <c r="I306" s="12"/>
      <c r="J306" s="1" t="str">
        <f aca="false">IFERROR(VLOOKUP($B306,ItemList_Full,5,0),"")</f>
        <v/>
      </c>
    </row>
    <row r="307" customFormat="false" ht="15" hidden="false" customHeight="true" outlineLevel="0" collapsed="false">
      <c r="A307" s="19"/>
      <c r="B307" s="12"/>
      <c r="C307" s="12" t="str">
        <f aca="false">IFERROR(VLOOKUP($B307,ItemList_Full,2,0),"")</f>
        <v/>
      </c>
      <c r="D307" s="12" t="str">
        <f aca="false">IFERROR(VLOOKUP($B307,ItemList_Full,3,0),"")</f>
        <v/>
      </c>
      <c r="E307" s="12"/>
      <c r="F307" s="13" t="str">
        <f aca="false">IFERROR(VLOOKUP($B307,ItemList_Full,4,0),"")</f>
        <v/>
      </c>
      <c r="G307" s="13" t="str">
        <f aca="false">IF(OR($E307="",$F307=""),"",$E307*$F307)</f>
        <v/>
      </c>
      <c r="H307" s="12"/>
      <c r="I307" s="12"/>
      <c r="J307" s="1" t="str">
        <f aca="false">IFERROR(VLOOKUP($B307,ItemList_Full,5,0),"")</f>
        <v/>
      </c>
    </row>
    <row r="308" customFormat="false" ht="15" hidden="false" customHeight="true" outlineLevel="0" collapsed="false">
      <c r="A308" s="19"/>
      <c r="B308" s="12"/>
      <c r="C308" s="12" t="str">
        <f aca="false">IFERROR(VLOOKUP($B308,ItemList_Full,2,0),"")</f>
        <v/>
      </c>
      <c r="D308" s="12" t="str">
        <f aca="false">IFERROR(VLOOKUP($B308,ItemList_Full,3,0),"")</f>
        <v/>
      </c>
      <c r="E308" s="12"/>
      <c r="F308" s="13" t="str">
        <f aca="false">IFERROR(VLOOKUP($B308,ItemList_Full,4,0),"")</f>
        <v/>
      </c>
      <c r="G308" s="13" t="str">
        <f aca="false">IF(OR($E308="",$F308=""),"",$E308*$F308)</f>
        <v/>
      </c>
      <c r="H308" s="12"/>
      <c r="I308" s="12"/>
      <c r="J308" s="1" t="str">
        <f aca="false">IFERROR(VLOOKUP($B308,ItemList_Full,5,0),"")</f>
        <v/>
      </c>
    </row>
    <row r="309" customFormat="false" ht="15" hidden="false" customHeight="true" outlineLevel="0" collapsed="false">
      <c r="A309" s="19"/>
      <c r="B309" s="12"/>
      <c r="C309" s="12" t="str">
        <f aca="false">IFERROR(VLOOKUP($B309,ItemList_Full,2,0),"")</f>
        <v/>
      </c>
      <c r="D309" s="12" t="str">
        <f aca="false">IFERROR(VLOOKUP($B309,ItemList_Full,3,0),"")</f>
        <v/>
      </c>
      <c r="E309" s="12"/>
      <c r="F309" s="13" t="str">
        <f aca="false">IFERROR(VLOOKUP($B309,ItemList_Full,4,0),"")</f>
        <v/>
      </c>
      <c r="G309" s="13" t="str">
        <f aca="false">IF(OR($E309="",$F309=""),"",$E309*$F309)</f>
        <v/>
      </c>
      <c r="H309" s="12"/>
      <c r="I309" s="12"/>
      <c r="J309" s="1" t="str">
        <f aca="false">IFERROR(VLOOKUP($B309,ItemList_Full,5,0),"")</f>
        <v/>
      </c>
    </row>
    <row r="310" customFormat="false" ht="15" hidden="false" customHeight="true" outlineLevel="0" collapsed="false">
      <c r="A310" s="19"/>
      <c r="B310" s="12"/>
      <c r="C310" s="12" t="str">
        <f aca="false">IFERROR(VLOOKUP($B310,ItemList_Full,2,0),"")</f>
        <v/>
      </c>
      <c r="D310" s="12" t="str">
        <f aca="false">IFERROR(VLOOKUP($B310,ItemList_Full,3,0),"")</f>
        <v/>
      </c>
      <c r="E310" s="12"/>
      <c r="F310" s="13" t="str">
        <f aca="false">IFERROR(VLOOKUP($B310,ItemList_Full,4,0),"")</f>
        <v/>
      </c>
      <c r="G310" s="13" t="str">
        <f aca="false">IF(OR($E310="",$F310=""),"",$E310*$F310)</f>
        <v/>
      </c>
      <c r="H310" s="12"/>
      <c r="I310" s="12"/>
      <c r="J310" s="1" t="str">
        <f aca="false">IFERROR(VLOOKUP($B310,ItemList_Full,5,0),"")</f>
        <v/>
      </c>
    </row>
    <row r="311" customFormat="false" ht="15" hidden="false" customHeight="true" outlineLevel="0" collapsed="false">
      <c r="A311" s="19"/>
      <c r="B311" s="12"/>
      <c r="C311" s="12" t="str">
        <f aca="false">IFERROR(VLOOKUP($B311,ItemList_Full,2,0),"")</f>
        <v/>
      </c>
      <c r="D311" s="12" t="str">
        <f aca="false">IFERROR(VLOOKUP($B311,ItemList_Full,3,0),"")</f>
        <v/>
      </c>
      <c r="E311" s="12"/>
      <c r="F311" s="13" t="str">
        <f aca="false">IFERROR(VLOOKUP($B311,ItemList_Full,4,0),"")</f>
        <v/>
      </c>
      <c r="G311" s="13" t="str">
        <f aca="false">IF(OR($E311="",$F311=""),"",$E311*$F311)</f>
        <v/>
      </c>
      <c r="H311" s="12"/>
      <c r="I311" s="12"/>
      <c r="J311" s="1" t="str">
        <f aca="false">IFERROR(VLOOKUP($B311,ItemList_Full,5,0),"")</f>
        <v/>
      </c>
    </row>
    <row r="312" customFormat="false" ht="15" hidden="false" customHeight="true" outlineLevel="0" collapsed="false">
      <c r="A312" s="19"/>
      <c r="B312" s="12"/>
      <c r="C312" s="12" t="str">
        <f aca="false">IFERROR(VLOOKUP($B312,ItemList_Full,2,0),"")</f>
        <v/>
      </c>
      <c r="D312" s="12" t="str">
        <f aca="false">IFERROR(VLOOKUP($B312,ItemList_Full,3,0),"")</f>
        <v/>
      </c>
      <c r="E312" s="12"/>
      <c r="F312" s="13" t="str">
        <f aca="false">IFERROR(VLOOKUP($B312,ItemList_Full,4,0),"")</f>
        <v/>
      </c>
      <c r="G312" s="13" t="str">
        <f aca="false">IF(OR($E312="",$F312=""),"",$E312*$F312)</f>
        <v/>
      </c>
      <c r="H312" s="12"/>
      <c r="I312" s="12"/>
      <c r="J312" s="1" t="str">
        <f aca="false">IFERROR(VLOOKUP($B312,ItemList_Full,5,0),"")</f>
        <v/>
      </c>
    </row>
    <row r="313" customFormat="false" ht="15" hidden="false" customHeight="true" outlineLevel="0" collapsed="false">
      <c r="A313" s="19"/>
      <c r="B313" s="12"/>
      <c r="C313" s="12" t="str">
        <f aca="false">IFERROR(VLOOKUP($B313,ItemList_Full,2,0),"")</f>
        <v/>
      </c>
      <c r="D313" s="12" t="str">
        <f aca="false">IFERROR(VLOOKUP($B313,ItemList_Full,3,0),"")</f>
        <v/>
      </c>
      <c r="E313" s="12"/>
      <c r="F313" s="13" t="str">
        <f aca="false">IFERROR(VLOOKUP($B313,ItemList_Full,4,0),"")</f>
        <v/>
      </c>
      <c r="G313" s="13" t="str">
        <f aca="false">IF(OR($E313="",$F313=""),"",$E313*$F313)</f>
        <v/>
      </c>
      <c r="H313" s="12"/>
      <c r="I313" s="12"/>
      <c r="J313" s="1" t="str">
        <f aca="false">IFERROR(VLOOKUP($B313,ItemList_Full,5,0),"")</f>
        <v/>
      </c>
    </row>
    <row r="314" customFormat="false" ht="15" hidden="false" customHeight="true" outlineLevel="0" collapsed="false">
      <c r="A314" s="19"/>
      <c r="B314" s="12"/>
      <c r="C314" s="12" t="str">
        <f aca="false">IFERROR(VLOOKUP($B314,ItemList_Full,2,0),"")</f>
        <v/>
      </c>
      <c r="D314" s="12" t="str">
        <f aca="false">IFERROR(VLOOKUP($B314,ItemList_Full,3,0),"")</f>
        <v/>
      </c>
      <c r="E314" s="12"/>
      <c r="F314" s="13" t="str">
        <f aca="false">IFERROR(VLOOKUP($B314,ItemList_Full,4,0),"")</f>
        <v/>
      </c>
      <c r="G314" s="13" t="str">
        <f aca="false">IF(OR($E314="",$F314=""),"",$E314*$F314)</f>
        <v/>
      </c>
      <c r="H314" s="12"/>
      <c r="I314" s="12"/>
      <c r="J314" s="1" t="str">
        <f aca="false">IFERROR(VLOOKUP($B314,ItemList_Full,5,0),"")</f>
        <v/>
      </c>
    </row>
    <row r="315" customFormat="false" ht="15" hidden="false" customHeight="true" outlineLevel="0" collapsed="false">
      <c r="A315" s="19"/>
      <c r="B315" s="12"/>
      <c r="C315" s="12" t="str">
        <f aca="false">IFERROR(VLOOKUP($B315,ItemList_Full,2,0),"")</f>
        <v/>
      </c>
      <c r="D315" s="12" t="str">
        <f aca="false">IFERROR(VLOOKUP($B315,ItemList_Full,3,0),"")</f>
        <v/>
      </c>
      <c r="E315" s="12"/>
      <c r="F315" s="13" t="str">
        <f aca="false">IFERROR(VLOOKUP($B315,ItemList_Full,4,0),"")</f>
        <v/>
      </c>
      <c r="G315" s="13" t="str">
        <f aca="false">IF(OR($E315="",$F315=""),"",$E315*$F315)</f>
        <v/>
      </c>
      <c r="H315" s="12"/>
      <c r="I315" s="12"/>
      <c r="J315" s="1" t="str">
        <f aca="false">IFERROR(VLOOKUP($B315,ItemList_Full,5,0),"")</f>
        <v/>
      </c>
    </row>
    <row r="316" customFormat="false" ht="15" hidden="false" customHeight="true" outlineLevel="0" collapsed="false">
      <c r="A316" s="19"/>
      <c r="B316" s="12"/>
      <c r="C316" s="12" t="str">
        <f aca="false">IFERROR(VLOOKUP($B316,ItemList_Full,2,0),"")</f>
        <v/>
      </c>
      <c r="D316" s="12" t="str">
        <f aca="false">IFERROR(VLOOKUP($B316,ItemList_Full,3,0),"")</f>
        <v/>
      </c>
      <c r="E316" s="12"/>
      <c r="F316" s="13" t="str">
        <f aca="false">IFERROR(VLOOKUP($B316,ItemList_Full,4,0),"")</f>
        <v/>
      </c>
      <c r="G316" s="13" t="str">
        <f aca="false">IF(OR($E316="",$F316=""),"",$E316*$F316)</f>
        <v/>
      </c>
      <c r="H316" s="12"/>
      <c r="I316" s="12"/>
      <c r="J316" s="1" t="str">
        <f aca="false">IFERROR(VLOOKUP($B316,ItemList_Full,5,0),"")</f>
        <v/>
      </c>
    </row>
    <row r="317" customFormat="false" ht="15" hidden="false" customHeight="true" outlineLevel="0" collapsed="false">
      <c r="A317" s="19"/>
      <c r="B317" s="12"/>
      <c r="C317" s="12" t="str">
        <f aca="false">IFERROR(VLOOKUP($B317,ItemList_Full,2,0),"")</f>
        <v/>
      </c>
      <c r="D317" s="12" t="str">
        <f aca="false">IFERROR(VLOOKUP($B317,ItemList_Full,3,0),"")</f>
        <v/>
      </c>
      <c r="E317" s="12"/>
      <c r="F317" s="13" t="str">
        <f aca="false">IFERROR(VLOOKUP($B317,ItemList_Full,4,0),"")</f>
        <v/>
      </c>
      <c r="G317" s="13" t="str">
        <f aca="false">IF(OR($E317="",$F317=""),"",$E317*$F317)</f>
        <v/>
      </c>
      <c r="H317" s="12"/>
      <c r="I317" s="12"/>
      <c r="J317" s="1" t="str">
        <f aca="false">IFERROR(VLOOKUP($B317,ItemList_Full,5,0),"")</f>
        <v/>
      </c>
    </row>
    <row r="318" customFormat="false" ht="15" hidden="false" customHeight="true" outlineLevel="0" collapsed="false">
      <c r="A318" s="19"/>
      <c r="B318" s="12"/>
      <c r="C318" s="12" t="str">
        <f aca="false">IFERROR(VLOOKUP($B318,ItemList_Full,2,0),"")</f>
        <v/>
      </c>
      <c r="D318" s="12" t="str">
        <f aca="false">IFERROR(VLOOKUP($B318,ItemList_Full,3,0),"")</f>
        <v/>
      </c>
      <c r="E318" s="12"/>
      <c r="F318" s="13" t="str">
        <f aca="false">IFERROR(VLOOKUP($B318,ItemList_Full,4,0),"")</f>
        <v/>
      </c>
      <c r="G318" s="13" t="str">
        <f aca="false">IF(OR($E318="",$F318=""),"",$E318*$F318)</f>
        <v/>
      </c>
      <c r="H318" s="12"/>
      <c r="I318" s="12"/>
      <c r="J318" s="1" t="str">
        <f aca="false">IFERROR(VLOOKUP($B318,ItemList_Full,5,0),"")</f>
        <v/>
      </c>
    </row>
    <row r="319" customFormat="false" ht="15" hidden="false" customHeight="true" outlineLevel="0" collapsed="false">
      <c r="A319" s="19"/>
      <c r="B319" s="12"/>
      <c r="C319" s="12" t="str">
        <f aca="false">IFERROR(VLOOKUP($B319,ItemList_Full,2,0),"")</f>
        <v/>
      </c>
      <c r="D319" s="12" t="str">
        <f aca="false">IFERROR(VLOOKUP($B319,ItemList_Full,3,0),"")</f>
        <v/>
      </c>
      <c r="E319" s="12"/>
      <c r="F319" s="13" t="str">
        <f aca="false">IFERROR(VLOOKUP($B319,ItemList_Full,4,0),"")</f>
        <v/>
      </c>
      <c r="G319" s="13" t="str">
        <f aca="false">IF(OR($E319="",$F319=""),"",$E319*$F319)</f>
        <v/>
      </c>
      <c r="H319" s="12"/>
      <c r="I319" s="12"/>
      <c r="J319" s="1" t="str">
        <f aca="false">IFERROR(VLOOKUP($B319,ItemList_Full,5,0),"")</f>
        <v/>
      </c>
    </row>
    <row r="320" customFormat="false" ht="15" hidden="false" customHeight="true" outlineLevel="0" collapsed="false">
      <c r="A320" s="19"/>
      <c r="B320" s="12"/>
      <c r="C320" s="12" t="str">
        <f aca="false">IFERROR(VLOOKUP($B320,ItemList_Full,2,0),"")</f>
        <v/>
      </c>
      <c r="D320" s="12" t="str">
        <f aca="false">IFERROR(VLOOKUP($B320,ItemList_Full,3,0),"")</f>
        <v/>
      </c>
      <c r="E320" s="12"/>
      <c r="F320" s="13" t="str">
        <f aca="false">IFERROR(VLOOKUP($B320,ItemList_Full,4,0),"")</f>
        <v/>
      </c>
      <c r="G320" s="13" t="str">
        <f aca="false">IF(OR($E320="",$F320=""),"",$E320*$F320)</f>
        <v/>
      </c>
      <c r="H320" s="12"/>
      <c r="I320" s="12"/>
      <c r="J320" s="1" t="str">
        <f aca="false">IFERROR(VLOOKUP($B320,ItemList_Full,5,0),"")</f>
        <v/>
      </c>
    </row>
    <row r="321" customFormat="false" ht="15" hidden="false" customHeight="true" outlineLevel="0" collapsed="false">
      <c r="A321" s="19"/>
      <c r="B321" s="12"/>
      <c r="C321" s="12" t="str">
        <f aca="false">IFERROR(VLOOKUP($B321,ItemList_Full,2,0),"")</f>
        <v/>
      </c>
      <c r="D321" s="12" t="str">
        <f aca="false">IFERROR(VLOOKUP($B321,ItemList_Full,3,0),"")</f>
        <v/>
      </c>
      <c r="E321" s="12"/>
      <c r="F321" s="13" t="str">
        <f aca="false">IFERROR(VLOOKUP($B321,ItemList_Full,4,0),"")</f>
        <v/>
      </c>
      <c r="G321" s="13" t="str">
        <f aca="false">IF(OR($E321="",$F321=""),"",$E321*$F321)</f>
        <v/>
      </c>
      <c r="H321" s="12"/>
      <c r="I321" s="12"/>
      <c r="J321" s="1" t="str">
        <f aca="false">IFERROR(VLOOKUP($B321,ItemList_Full,5,0),"")</f>
        <v/>
      </c>
    </row>
    <row r="322" customFormat="false" ht="15" hidden="false" customHeight="true" outlineLevel="0" collapsed="false">
      <c r="A322" s="19"/>
      <c r="B322" s="12"/>
      <c r="C322" s="12" t="str">
        <f aca="false">IFERROR(VLOOKUP($B322,ItemList_Full,2,0),"")</f>
        <v/>
      </c>
      <c r="D322" s="12" t="str">
        <f aca="false">IFERROR(VLOOKUP($B322,ItemList_Full,3,0),"")</f>
        <v/>
      </c>
      <c r="E322" s="12"/>
      <c r="F322" s="13" t="str">
        <f aca="false">IFERROR(VLOOKUP($B322,ItemList_Full,4,0),"")</f>
        <v/>
      </c>
      <c r="G322" s="13" t="str">
        <f aca="false">IF(OR($E322="",$F322=""),"",$E322*$F322)</f>
        <v/>
      </c>
      <c r="H322" s="12"/>
      <c r="I322" s="12"/>
      <c r="J322" s="1" t="str">
        <f aca="false">IFERROR(VLOOKUP($B322,ItemList_Full,5,0),"")</f>
        <v/>
      </c>
    </row>
    <row r="323" customFormat="false" ht="15" hidden="false" customHeight="true" outlineLevel="0" collapsed="false">
      <c r="A323" s="19"/>
      <c r="B323" s="12"/>
      <c r="C323" s="12" t="str">
        <f aca="false">IFERROR(VLOOKUP($B323,ItemList_Full,2,0),"")</f>
        <v/>
      </c>
      <c r="D323" s="12" t="str">
        <f aca="false">IFERROR(VLOOKUP($B323,ItemList_Full,3,0),"")</f>
        <v/>
      </c>
      <c r="E323" s="12"/>
      <c r="F323" s="13" t="str">
        <f aca="false">IFERROR(VLOOKUP($B323,ItemList_Full,4,0),"")</f>
        <v/>
      </c>
      <c r="G323" s="13" t="str">
        <f aca="false">IF(OR($E323="",$F323=""),"",$E323*$F323)</f>
        <v/>
      </c>
      <c r="H323" s="12"/>
      <c r="I323" s="12"/>
      <c r="J323" s="1" t="str">
        <f aca="false">IFERROR(VLOOKUP($B323,ItemList_Full,5,0),"")</f>
        <v/>
      </c>
    </row>
    <row r="324" customFormat="false" ht="15" hidden="false" customHeight="true" outlineLevel="0" collapsed="false">
      <c r="A324" s="19"/>
      <c r="B324" s="12"/>
      <c r="C324" s="12" t="str">
        <f aca="false">IFERROR(VLOOKUP($B324,ItemList_Full,2,0),"")</f>
        <v/>
      </c>
      <c r="D324" s="12" t="str">
        <f aca="false">IFERROR(VLOOKUP($B324,ItemList_Full,3,0),"")</f>
        <v/>
      </c>
      <c r="E324" s="12"/>
      <c r="F324" s="13" t="str">
        <f aca="false">IFERROR(VLOOKUP($B324,ItemList_Full,4,0),"")</f>
        <v/>
      </c>
      <c r="G324" s="13" t="str">
        <f aca="false">IF(OR($E324="",$F324=""),"",$E324*$F324)</f>
        <v/>
      </c>
      <c r="H324" s="12"/>
      <c r="I324" s="12"/>
      <c r="J324" s="1" t="str">
        <f aca="false">IFERROR(VLOOKUP($B324,ItemList_Full,5,0),"")</f>
        <v/>
      </c>
    </row>
    <row r="325" customFormat="false" ht="15" hidden="false" customHeight="true" outlineLevel="0" collapsed="false">
      <c r="A325" s="19"/>
      <c r="B325" s="12"/>
      <c r="C325" s="12" t="str">
        <f aca="false">IFERROR(VLOOKUP($B325,ItemList_Full,2,0),"")</f>
        <v/>
      </c>
      <c r="D325" s="12" t="str">
        <f aca="false">IFERROR(VLOOKUP($B325,ItemList_Full,3,0),"")</f>
        <v/>
      </c>
      <c r="E325" s="12"/>
      <c r="F325" s="13" t="str">
        <f aca="false">IFERROR(VLOOKUP($B325,ItemList_Full,4,0),"")</f>
        <v/>
      </c>
      <c r="G325" s="13" t="str">
        <f aca="false">IF(OR($E325="",$F325=""),"",$E325*$F325)</f>
        <v/>
      </c>
      <c r="H325" s="12"/>
      <c r="I325" s="12"/>
      <c r="J325" s="1" t="str">
        <f aca="false">IFERROR(VLOOKUP($B325,ItemList_Full,5,0),"")</f>
        <v/>
      </c>
    </row>
    <row r="326" customFormat="false" ht="15" hidden="false" customHeight="true" outlineLevel="0" collapsed="false">
      <c r="A326" s="19"/>
      <c r="B326" s="12"/>
      <c r="C326" s="12" t="str">
        <f aca="false">IFERROR(VLOOKUP($B326,ItemList_Full,2,0),"")</f>
        <v/>
      </c>
      <c r="D326" s="12" t="str">
        <f aca="false">IFERROR(VLOOKUP($B326,ItemList_Full,3,0),"")</f>
        <v/>
      </c>
      <c r="E326" s="12"/>
      <c r="F326" s="13" t="str">
        <f aca="false">IFERROR(VLOOKUP($B326,ItemList_Full,4,0),"")</f>
        <v/>
      </c>
      <c r="G326" s="13" t="str">
        <f aca="false">IF(OR($E326="",$F326=""),"",$E326*$F326)</f>
        <v/>
      </c>
      <c r="H326" s="12"/>
      <c r="I326" s="12"/>
      <c r="J326" s="1" t="str">
        <f aca="false">IFERROR(VLOOKUP($B326,ItemList_Full,5,0),"")</f>
        <v/>
      </c>
    </row>
    <row r="327" customFormat="false" ht="15" hidden="false" customHeight="true" outlineLevel="0" collapsed="false">
      <c r="A327" s="19"/>
      <c r="B327" s="12"/>
      <c r="C327" s="12" t="str">
        <f aca="false">IFERROR(VLOOKUP($B327,ItemList_Full,2,0),"")</f>
        <v/>
      </c>
      <c r="D327" s="12" t="str">
        <f aca="false">IFERROR(VLOOKUP($B327,ItemList_Full,3,0),"")</f>
        <v/>
      </c>
      <c r="E327" s="12"/>
      <c r="F327" s="13" t="str">
        <f aca="false">IFERROR(VLOOKUP($B327,ItemList_Full,4,0),"")</f>
        <v/>
      </c>
      <c r="G327" s="13" t="str">
        <f aca="false">IF(OR($E327="",$F327=""),"",$E327*$F327)</f>
        <v/>
      </c>
      <c r="H327" s="12"/>
      <c r="I327" s="12"/>
      <c r="J327" s="1" t="str">
        <f aca="false">IFERROR(VLOOKUP($B327,ItemList_Full,5,0),"")</f>
        <v/>
      </c>
    </row>
    <row r="328" customFormat="false" ht="15" hidden="false" customHeight="true" outlineLevel="0" collapsed="false">
      <c r="A328" s="19"/>
      <c r="B328" s="12"/>
      <c r="C328" s="12" t="str">
        <f aca="false">IFERROR(VLOOKUP($B328,ItemList_Full,2,0),"")</f>
        <v/>
      </c>
      <c r="D328" s="12" t="str">
        <f aca="false">IFERROR(VLOOKUP($B328,ItemList_Full,3,0),"")</f>
        <v/>
      </c>
      <c r="E328" s="12"/>
      <c r="F328" s="13" t="str">
        <f aca="false">IFERROR(VLOOKUP($B328,ItemList_Full,4,0),"")</f>
        <v/>
      </c>
      <c r="G328" s="13" t="str">
        <f aca="false">IF(OR($E328="",$F328=""),"",$E328*$F328)</f>
        <v/>
      </c>
      <c r="H328" s="12"/>
      <c r="I328" s="12"/>
      <c r="J328" s="1" t="str">
        <f aca="false">IFERROR(VLOOKUP($B328,ItemList_Full,5,0),"")</f>
        <v/>
      </c>
    </row>
    <row r="329" customFormat="false" ht="15" hidden="false" customHeight="true" outlineLevel="0" collapsed="false">
      <c r="A329" s="19"/>
      <c r="B329" s="12"/>
      <c r="C329" s="12" t="str">
        <f aca="false">IFERROR(VLOOKUP($B329,ItemList_Full,2,0),"")</f>
        <v/>
      </c>
      <c r="D329" s="12" t="str">
        <f aca="false">IFERROR(VLOOKUP($B329,ItemList_Full,3,0),"")</f>
        <v/>
      </c>
      <c r="E329" s="12"/>
      <c r="F329" s="13" t="str">
        <f aca="false">IFERROR(VLOOKUP($B329,ItemList_Full,4,0),"")</f>
        <v/>
      </c>
      <c r="G329" s="13" t="str">
        <f aca="false">IF(OR($E329="",$F329=""),"",$E329*$F329)</f>
        <v/>
      </c>
      <c r="H329" s="12"/>
      <c r="I329" s="12"/>
      <c r="J329" s="1" t="str">
        <f aca="false">IFERROR(VLOOKUP($B329,ItemList_Full,5,0),"")</f>
        <v/>
      </c>
    </row>
    <row r="330" customFormat="false" ht="15" hidden="false" customHeight="true" outlineLevel="0" collapsed="false">
      <c r="A330" s="19"/>
      <c r="B330" s="12"/>
      <c r="C330" s="12" t="str">
        <f aca="false">IFERROR(VLOOKUP($B330,ItemList_Full,2,0),"")</f>
        <v/>
      </c>
      <c r="D330" s="12" t="str">
        <f aca="false">IFERROR(VLOOKUP($B330,ItemList_Full,3,0),"")</f>
        <v/>
      </c>
      <c r="E330" s="12"/>
      <c r="F330" s="13" t="str">
        <f aca="false">IFERROR(VLOOKUP($B330,ItemList_Full,4,0),"")</f>
        <v/>
      </c>
      <c r="G330" s="13" t="str">
        <f aca="false">IF(OR($E330="",$F330=""),"",$E330*$F330)</f>
        <v/>
      </c>
      <c r="H330" s="12"/>
      <c r="I330" s="12"/>
      <c r="J330" s="1" t="str">
        <f aca="false">IFERROR(VLOOKUP($B330,ItemList_Full,5,0),"")</f>
        <v/>
      </c>
    </row>
    <row r="331" customFormat="false" ht="15" hidden="false" customHeight="true" outlineLevel="0" collapsed="false">
      <c r="A331" s="19"/>
      <c r="B331" s="12"/>
      <c r="C331" s="12" t="str">
        <f aca="false">IFERROR(VLOOKUP($B331,ItemList_Full,2,0),"")</f>
        <v/>
      </c>
      <c r="D331" s="12" t="str">
        <f aca="false">IFERROR(VLOOKUP($B331,ItemList_Full,3,0),"")</f>
        <v/>
      </c>
      <c r="E331" s="12"/>
      <c r="F331" s="13" t="str">
        <f aca="false">IFERROR(VLOOKUP($B331,ItemList_Full,4,0),"")</f>
        <v/>
      </c>
      <c r="G331" s="13" t="str">
        <f aca="false">IF(OR($E331="",$F331=""),"",$E331*$F331)</f>
        <v/>
      </c>
      <c r="H331" s="12"/>
      <c r="I331" s="12"/>
      <c r="J331" s="1" t="str">
        <f aca="false">IFERROR(VLOOKUP($B331,ItemList_Full,5,0),"")</f>
        <v/>
      </c>
    </row>
    <row r="332" customFormat="false" ht="15" hidden="false" customHeight="true" outlineLevel="0" collapsed="false">
      <c r="A332" s="19"/>
      <c r="B332" s="12"/>
      <c r="C332" s="12" t="str">
        <f aca="false">IFERROR(VLOOKUP($B332,ItemList_Full,2,0),"")</f>
        <v/>
      </c>
      <c r="D332" s="12" t="str">
        <f aca="false">IFERROR(VLOOKUP($B332,ItemList_Full,3,0),"")</f>
        <v/>
      </c>
      <c r="E332" s="12"/>
      <c r="F332" s="13" t="str">
        <f aca="false">IFERROR(VLOOKUP($B332,ItemList_Full,4,0),"")</f>
        <v/>
      </c>
      <c r="G332" s="13" t="str">
        <f aca="false">IF(OR($E332="",$F332=""),"",$E332*$F332)</f>
        <v/>
      </c>
      <c r="H332" s="12"/>
      <c r="I332" s="12"/>
      <c r="J332" s="1" t="str">
        <f aca="false">IFERROR(VLOOKUP($B332,ItemList_Full,5,0),"")</f>
        <v/>
      </c>
    </row>
    <row r="333" customFormat="false" ht="15" hidden="false" customHeight="true" outlineLevel="0" collapsed="false">
      <c r="A333" s="19"/>
      <c r="B333" s="12"/>
      <c r="C333" s="12" t="str">
        <f aca="false">IFERROR(VLOOKUP($B333,ItemList_Full,2,0),"")</f>
        <v/>
      </c>
      <c r="D333" s="12" t="str">
        <f aca="false">IFERROR(VLOOKUP($B333,ItemList_Full,3,0),"")</f>
        <v/>
      </c>
      <c r="E333" s="12"/>
      <c r="F333" s="13" t="str">
        <f aca="false">IFERROR(VLOOKUP($B333,ItemList_Full,4,0),"")</f>
        <v/>
      </c>
      <c r="G333" s="13" t="str">
        <f aca="false">IF(OR($E333="",$F333=""),"",$E333*$F333)</f>
        <v/>
      </c>
      <c r="H333" s="12"/>
      <c r="I333" s="12"/>
      <c r="J333" s="1" t="str">
        <f aca="false">IFERROR(VLOOKUP($B333,ItemList_Full,5,0),"")</f>
        <v/>
      </c>
    </row>
    <row r="334" customFormat="false" ht="15" hidden="false" customHeight="true" outlineLevel="0" collapsed="false">
      <c r="A334" s="19"/>
      <c r="B334" s="12"/>
      <c r="C334" s="12" t="str">
        <f aca="false">IFERROR(VLOOKUP($B334,ItemList_Full,2,0),"")</f>
        <v/>
      </c>
      <c r="D334" s="12" t="str">
        <f aca="false">IFERROR(VLOOKUP($B334,ItemList_Full,3,0),"")</f>
        <v/>
      </c>
      <c r="E334" s="12"/>
      <c r="F334" s="13" t="str">
        <f aca="false">IFERROR(VLOOKUP($B334,ItemList_Full,4,0),"")</f>
        <v/>
      </c>
      <c r="G334" s="13" t="str">
        <f aca="false">IF(OR($E334="",$F334=""),"",$E334*$F334)</f>
        <v/>
      </c>
      <c r="H334" s="12"/>
      <c r="I334" s="12"/>
      <c r="J334" s="1" t="str">
        <f aca="false">IFERROR(VLOOKUP($B334,ItemList_Full,5,0),"")</f>
        <v/>
      </c>
    </row>
    <row r="335" customFormat="false" ht="15" hidden="false" customHeight="true" outlineLevel="0" collapsed="false">
      <c r="A335" s="19"/>
      <c r="B335" s="12"/>
      <c r="C335" s="12" t="str">
        <f aca="false">IFERROR(VLOOKUP($B335,ItemList_Full,2,0),"")</f>
        <v/>
      </c>
      <c r="D335" s="12" t="str">
        <f aca="false">IFERROR(VLOOKUP($B335,ItemList_Full,3,0),"")</f>
        <v/>
      </c>
      <c r="E335" s="12"/>
      <c r="F335" s="13" t="str">
        <f aca="false">IFERROR(VLOOKUP($B335,ItemList_Full,4,0),"")</f>
        <v/>
      </c>
      <c r="G335" s="13" t="str">
        <f aca="false">IF(OR($E335="",$F335=""),"",$E335*$F335)</f>
        <v/>
      </c>
      <c r="H335" s="12"/>
      <c r="I335" s="12"/>
      <c r="J335" s="1" t="str">
        <f aca="false">IFERROR(VLOOKUP($B335,ItemList_Full,5,0),"")</f>
        <v/>
      </c>
    </row>
    <row r="336" customFormat="false" ht="15" hidden="false" customHeight="true" outlineLevel="0" collapsed="false">
      <c r="A336" s="19"/>
      <c r="B336" s="12"/>
      <c r="C336" s="12" t="str">
        <f aca="false">IFERROR(VLOOKUP($B336,ItemList_Full,2,0),"")</f>
        <v/>
      </c>
      <c r="D336" s="12" t="str">
        <f aca="false">IFERROR(VLOOKUP($B336,ItemList_Full,3,0),"")</f>
        <v/>
      </c>
      <c r="E336" s="12"/>
      <c r="F336" s="13" t="str">
        <f aca="false">IFERROR(VLOOKUP($B336,ItemList_Full,4,0),"")</f>
        <v/>
      </c>
      <c r="G336" s="13" t="str">
        <f aca="false">IF(OR($E336="",$F336=""),"",$E336*$F336)</f>
        <v/>
      </c>
      <c r="H336" s="12"/>
      <c r="I336" s="12"/>
      <c r="J336" s="1" t="str">
        <f aca="false">IFERROR(VLOOKUP($B336,ItemList_Full,5,0),"")</f>
        <v/>
      </c>
    </row>
    <row r="337" customFormat="false" ht="15" hidden="false" customHeight="true" outlineLevel="0" collapsed="false">
      <c r="A337" s="19"/>
      <c r="B337" s="12"/>
      <c r="C337" s="12" t="str">
        <f aca="false">IFERROR(VLOOKUP($B337,ItemList_Full,2,0),"")</f>
        <v/>
      </c>
      <c r="D337" s="12" t="str">
        <f aca="false">IFERROR(VLOOKUP($B337,ItemList_Full,3,0),"")</f>
        <v/>
      </c>
      <c r="E337" s="12"/>
      <c r="F337" s="13" t="str">
        <f aca="false">IFERROR(VLOOKUP($B337,ItemList_Full,4,0),"")</f>
        <v/>
      </c>
      <c r="G337" s="13" t="str">
        <f aca="false">IF(OR($E337="",$F337=""),"",$E337*$F337)</f>
        <v/>
      </c>
      <c r="H337" s="12"/>
      <c r="I337" s="12"/>
      <c r="J337" s="1" t="str">
        <f aca="false">IFERROR(VLOOKUP($B337,ItemList_Full,5,0),"")</f>
        <v/>
      </c>
    </row>
    <row r="338" customFormat="false" ht="15" hidden="false" customHeight="true" outlineLevel="0" collapsed="false">
      <c r="A338" s="19"/>
      <c r="B338" s="12"/>
      <c r="C338" s="12" t="str">
        <f aca="false">IFERROR(VLOOKUP($B338,ItemList_Full,2,0),"")</f>
        <v/>
      </c>
      <c r="D338" s="12" t="str">
        <f aca="false">IFERROR(VLOOKUP($B338,ItemList_Full,3,0),"")</f>
        <v/>
      </c>
      <c r="E338" s="12"/>
      <c r="F338" s="13" t="str">
        <f aca="false">IFERROR(VLOOKUP($B338,ItemList_Full,4,0),"")</f>
        <v/>
      </c>
      <c r="G338" s="13" t="str">
        <f aca="false">IF(OR($E338="",$F338=""),"",$E338*$F338)</f>
        <v/>
      </c>
      <c r="H338" s="12"/>
      <c r="I338" s="12"/>
      <c r="J338" s="1" t="str">
        <f aca="false">IFERROR(VLOOKUP($B338,ItemList_Full,5,0),"")</f>
        <v/>
      </c>
    </row>
    <row r="339" customFormat="false" ht="15" hidden="false" customHeight="true" outlineLevel="0" collapsed="false">
      <c r="A339" s="19"/>
      <c r="B339" s="12"/>
      <c r="C339" s="12" t="str">
        <f aca="false">IFERROR(VLOOKUP($B339,ItemList_Full,2,0),"")</f>
        <v/>
      </c>
      <c r="D339" s="12" t="str">
        <f aca="false">IFERROR(VLOOKUP($B339,ItemList_Full,3,0),"")</f>
        <v/>
      </c>
      <c r="E339" s="12"/>
      <c r="F339" s="13" t="str">
        <f aca="false">IFERROR(VLOOKUP($B339,ItemList_Full,4,0),"")</f>
        <v/>
      </c>
      <c r="G339" s="13" t="str">
        <f aca="false">IF(OR($E339="",$F339=""),"",$E339*$F339)</f>
        <v/>
      </c>
      <c r="H339" s="12"/>
      <c r="I339" s="12"/>
      <c r="J339" s="1" t="str">
        <f aca="false">IFERROR(VLOOKUP($B339,ItemList_Full,5,0),"")</f>
        <v/>
      </c>
    </row>
    <row r="340" customFormat="false" ht="15" hidden="false" customHeight="true" outlineLevel="0" collapsed="false">
      <c r="A340" s="19"/>
      <c r="B340" s="12"/>
      <c r="C340" s="12" t="str">
        <f aca="false">IFERROR(VLOOKUP($B340,ItemList_Full,2,0),"")</f>
        <v/>
      </c>
      <c r="D340" s="12" t="str">
        <f aca="false">IFERROR(VLOOKUP($B340,ItemList_Full,3,0),"")</f>
        <v/>
      </c>
      <c r="E340" s="12"/>
      <c r="F340" s="13" t="str">
        <f aca="false">IFERROR(VLOOKUP($B340,ItemList_Full,4,0),"")</f>
        <v/>
      </c>
      <c r="G340" s="13" t="str">
        <f aca="false">IF(OR($E340="",$F340=""),"",$E340*$F340)</f>
        <v/>
      </c>
      <c r="H340" s="12"/>
      <c r="I340" s="12"/>
      <c r="J340" s="1" t="str">
        <f aca="false">IFERROR(VLOOKUP($B340,ItemList_Full,5,0),"")</f>
        <v/>
      </c>
    </row>
    <row r="341" customFormat="false" ht="15" hidden="false" customHeight="true" outlineLevel="0" collapsed="false">
      <c r="A341" s="19"/>
      <c r="B341" s="12"/>
      <c r="C341" s="12" t="str">
        <f aca="false">IFERROR(VLOOKUP($B341,ItemList_Full,2,0),"")</f>
        <v/>
      </c>
      <c r="D341" s="12" t="str">
        <f aca="false">IFERROR(VLOOKUP($B341,ItemList_Full,3,0),"")</f>
        <v/>
      </c>
      <c r="E341" s="12"/>
      <c r="F341" s="13" t="str">
        <f aca="false">IFERROR(VLOOKUP($B341,ItemList_Full,4,0),"")</f>
        <v/>
      </c>
      <c r="G341" s="13" t="str">
        <f aca="false">IF(OR($E341="",$F341=""),"",$E341*$F341)</f>
        <v/>
      </c>
      <c r="H341" s="12"/>
      <c r="I341" s="12"/>
      <c r="J341" s="1" t="str">
        <f aca="false">IFERROR(VLOOKUP($B341,ItemList_Full,5,0),"")</f>
        <v/>
      </c>
    </row>
    <row r="342" customFormat="false" ht="15" hidden="false" customHeight="true" outlineLevel="0" collapsed="false">
      <c r="A342" s="19"/>
      <c r="B342" s="12"/>
      <c r="C342" s="12" t="str">
        <f aca="false">IFERROR(VLOOKUP($B342,ItemList_Full,2,0),"")</f>
        <v/>
      </c>
      <c r="D342" s="12" t="str">
        <f aca="false">IFERROR(VLOOKUP($B342,ItemList_Full,3,0),"")</f>
        <v/>
      </c>
      <c r="E342" s="12"/>
      <c r="F342" s="13" t="str">
        <f aca="false">IFERROR(VLOOKUP($B342,ItemList_Full,4,0),"")</f>
        <v/>
      </c>
      <c r="G342" s="13" t="str">
        <f aca="false">IF(OR($E342="",$F342=""),"",$E342*$F342)</f>
        <v/>
      </c>
      <c r="H342" s="12"/>
      <c r="I342" s="12"/>
      <c r="J342" s="1" t="str">
        <f aca="false">IFERROR(VLOOKUP($B342,ItemList_Full,5,0),"")</f>
        <v/>
      </c>
    </row>
    <row r="343" customFormat="false" ht="15" hidden="false" customHeight="true" outlineLevel="0" collapsed="false">
      <c r="A343" s="19"/>
      <c r="B343" s="12"/>
      <c r="C343" s="12" t="str">
        <f aca="false">IFERROR(VLOOKUP($B343,ItemList_Full,2,0),"")</f>
        <v/>
      </c>
      <c r="D343" s="12" t="str">
        <f aca="false">IFERROR(VLOOKUP($B343,ItemList_Full,3,0),"")</f>
        <v/>
      </c>
      <c r="E343" s="12"/>
      <c r="F343" s="13" t="str">
        <f aca="false">IFERROR(VLOOKUP($B343,ItemList_Full,4,0),"")</f>
        <v/>
      </c>
      <c r="G343" s="13" t="str">
        <f aca="false">IF(OR($E343="",$F343=""),"",$E343*$F343)</f>
        <v/>
      </c>
      <c r="H343" s="12"/>
      <c r="I343" s="12"/>
      <c r="J343" s="1" t="str">
        <f aca="false">IFERROR(VLOOKUP($B343,ItemList_Full,5,0),"")</f>
        <v/>
      </c>
    </row>
    <row r="344" customFormat="false" ht="15" hidden="false" customHeight="true" outlineLevel="0" collapsed="false">
      <c r="A344" s="19"/>
      <c r="B344" s="12"/>
      <c r="C344" s="12" t="str">
        <f aca="false">IFERROR(VLOOKUP($B344,ItemList_Full,2,0),"")</f>
        <v/>
      </c>
      <c r="D344" s="12" t="str">
        <f aca="false">IFERROR(VLOOKUP($B344,ItemList_Full,3,0),"")</f>
        <v/>
      </c>
      <c r="E344" s="12"/>
      <c r="F344" s="13" t="str">
        <f aca="false">IFERROR(VLOOKUP($B344,ItemList_Full,4,0),"")</f>
        <v/>
      </c>
      <c r="G344" s="13" t="str">
        <f aca="false">IF(OR($E344="",$F344=""),"",$E344*$F344)</f>
        <v/>
      </c>
      <c r="H344" s="12"/>
      <c r="I344" s="12"/>
      <c r="J344" s="1" t="str">
        <f aca="false">IFERROR(VLOOKUP($B344,ItemList_Full,5,0),"")</f>
        <v/>
      </c>
    </row>
    <row r="345" customFormat="false" ht="15" hidden="false" customHeight="true" outlineLevel="0" collapsed="false">
      <c r="A345" s="19"/>
      <c r="B345" s="12"/>
      <c r="C345" s="12" t="str">
        <f aca="false">IFERROR(VLOOKUP($B345,ItemList_Full,2,0),"")</f>
        <v/>
      </c>
      <c r="D345" s="12" t="str">
        <f aca="false">IFERROR(VLOOKUP($B345,ItemList_Full,3,0),"")</f>
        <v/>
      </c>
      <c r="E345" s="12"/>
      <c r="F345" s="13" t="str">
        <f aca="false">IFERROR(VLOOKUP($B345,ItemList_Full,4,0),"")</f>
        <v/>
      </c>
      <c r="G345" s="13" t="str">
        <f aca="false">IF(OR($E345="",$F345=""),"",$E345*$F345)</f>
        <v/>
      </c>
      <c r="H345" s="12"/>
      <c r="I345" s="12"/>
      <c r="J345" s="1" t="str">
        <f aca="false">IFERROR(VLOOKUP($B345,ItemList_Full,5,0),"")</f>
        <v/>
      </c>
    </row>
    <row r="346" customFormat="false" ht="15" hidden="false" customHeight="true" outlineLevel="0" collapsed="false">
      <c r="A346" s="19"/>
      <c r="B346" s="12"/>
      <c r="C346" s="12" t="str">
        <f aca="false">IFERROR(VLOOKUP($B346,ItemList_Full,2,0),"")</f>
        <v/>
      </c>
      <c r="D346" s="12" t="str">
        <f aca="false">IFERROR(VLOOKUP($B346,ItemList_Full,3,0),"")</f>
        <v/>
      </c>
      <c r="E346" s="12"/>
      <c r="F346" s="13" t="str">
        <f aca="false">IFERROR(VLOOKUP($B346,ItemList_Full,4,0),"")</f>
        <v/>
      </c>
      <c r="G346" s="13" t="str">
        <f aca="false">IF(OR($E346="",$F346=""),"",$E346*$F346)</f>
        <v/>
      </c>
      <c r="H346" s="12"/>
      <c r="I346" s="12"/>
      <c r="J346" s="1" t="str">
        <f aca="false">IFERROR(VLOOKUP($B346,ItemList_Full,5,0),"")</f>
        <v/>
      </c>
    </row>
    <row r="347" customFormat="false" ht="15" hidden="false" customHeight="true" outlineLevel="0" collapsed="false">
      <c r="A347" s="19"/>
      <c r="B347" s="12"/>
      <c r="C347" s="12" t="str">
        <f aca="false">IFERROR(VLOOKUP($B347,ItemList_Full,2,0),"")</f>
        <v/>
      </c>
      <c r="D347" s="12" t="str">
        <f aca="false">IFERROR(VLOOKUP($B347,ItemList_Full,3,0),"")</f>
        <v/>
      </c>
      <c r="E347" s="12"/>
      <c r="F347" s="13" t="str">
        <f aca="false">IFERROR(VLOOKUP($B347,ItemList_Full,4,0),"")</f>
        <v/>
      </c>
      <c r="G347" s="13" t="str">
        <f aca="false">IF(OR($E347="",$F347=""),"",$E347*$F347)</f>
        <v/>
      </c>
      <c r="H347" s="12"/>
      <c r="I347" s="12"/>
      <c r="J347" s="1" t="str">
        <f aca="false">IFERROR(VLOOKUP($B347,ItemList_Full,5,0),"")</f>
        <v/>
      </c>
    </row>
    <row r="348" customFormat="false" ht="15" hidden="false" customHeight="true" outlineLevel="0" collapsed="false">
      <c r="A348" s="19"/>
      <c r="B348" s="12"/>
      <c r="C348" s="12" t="str">
        <f aca="false">IFERROR(VLOOKUP($B348,ItemList_Full,2,0),"")</f>
        <v/>
      </c>
      <c r="D348" s="12" t="str">
        <f aca="false">IFERROR(VLOOKUP($B348,ItemList_Full,3,0),"")</f>
        <v/>
      </c>
      <c r="E348" s="12"/>
      <c r="F348" s="13" t="str">
        <f aca="false">IFERROR(VLOOKUP($B348,ItemList_Full,4,0),"")</f>
        <v/>
      </c>
      <c r="G348" s="13" t="str">
        <f aca="false">IF(OR($E348="",$F348=""),"",$E348*$F348)</f>
        <v/>
      </c>
      <c r="H348" s="12"/>
      <c r="I348" s="12"/>
      <c r="J348" s="1" t="str">
        <f aca="false">IFERROR(VLOOKUP($B348,ItemList_Full,5,0),"")</f>
        <v/>
      </c>
    </row>
    <row r="349" customFormat="false" ht="15" hidden="false" customHeight="true" outlineLevel="0" collapsed="false">
      <c r="A349" s="19"/>
      <c r="B349" s="12"/>
      <c r="C349" s="12" t="str">
        <f aca="false">IFERROR(VLOOKUP($B349,ItemList_Full,2,0),"")</f>
        <v/>
      </c>
      <c r="D349" s="12" t="str">
        <f aca="false">IFERROR(VLOOKUP($B349,ItemList_Full,3,0),"")</f>
        <v/>
      </c>
      <c r="E349" s="12"/>
      <c r="F349" s="13" t="str">
        <f aca="false">IFERROR(VLOOKUP($B349,ItemList_Full,4,0),"")</f>
        <v/>
      </c>
      <c r="G349" s="13" t="str">
        <f aca="false">IF(OR($E349="",$F349=""),"",$E349*$F349)</f>
        <v/>
      </c>
      <c r="H349" s="12"/>
      <c r="I349" s="12"/>
      <c r="J349" s="1" t="str">
        <f aca="false">IFERROR(VLOOKUP($B349,ItemList_Full,5,0),"")</f>
        <v/>
      </c>
    </row>
    <row r="350" customFormat="false" ht="15" hidden="false" customHeight="true" outlineLevel="0" collapsed="false">
      <c r="A350" s="19"/>
      <c r="B350" s="12"/>
      <c r="C350" s="12" t="str">
        <f aca="false">IFERROR(VLOOKUP($B350,ItemList_Full,2,0),"")</f>
        <v/>
      </c>
      <c r="D350" s="12" t="str">
        <f aca="false">IFERROR(VLOOKUP($B350,ItemList_Full,3,0),"")</f>
        <v/>
      </c>
      <c r="E350" s="12"/>
      <c r="F350" s="13" t="str">
        <f aca="false">IFERROR(VLOOKUP($B350,ItemList_Full,4,0),"")</f>
        <v/>
      </c>
      <c r="G350" s="13" t="str">
        <f aca="false">IF(OR($E350="",$F350=""),"",$E350*$F350)</f>
        <v/>
      </c>
      <c r="H350" s="12"/>
      <c r="I350" s="12"/>
      <c r="J350" s="1" t="str">
        <f aca="false">IFERROR(VLOOKUP($B350,ItemList_Full,5,0),"")</f>
        <v/>
      </c>
    </row>
    <row r="351" customFormat="false" ht="15" hidden="false" customHeight="true" outlineLevel="0" collapsed="false">
      <c r="A351" s="19"/>
      <c r="B351" s="12"/>
      <c r="C351" s="12" t="str">
        <f aca="false">IFERROR(VLOOKUP($B351,ItemList_Full,2,0),"")</f>
        <v/>
      </c>
      <c r="D351" s="12" t="str">
        <f aca="false">IFERROR(VLOOKUP($B351,ItemList_Full,3,0),"")</f>
        <v/>
      </c>
      <c r="E351" s="12"/>
      <c r="F351" s="13" t="str">
        <f aca="false">IFERROR(VLOOKUP($B351,ItemList_Full,4,0),"")</f>
        <v/>
      </c>
      <c r="G351" s="13" t="str">
        <f aca="false">IF(OR($E351="",$F351=""),"",$E351*$F351)</f>
        <v/>
      </c>
      <c r="H351" s="12"/>
      <c r="I351" s="12"/>
      <c r="J351" s="1" t="str">
        <f aca="false">IFERROR(VLOOKUP($B351,ItemList_Full,5,0),"")</f>
        <v/>
      </c>
    </row>
    <row r="352" customFormat="false" ht="15" hidden="false" customHeight="true" outlineLevel="0" collapsed="false">
      <c r="A352" s="19"/>
      <c r="B352" s="12"/>
      <c r="C352" s="12" t="str">
        <f aca="false">IFERROR(VLOOKUP($B352,ItemList_Full,2,0),"")</f>
        <v/>
      </c>
      <c r="D352" s="12" t="str">
        <f aca="false">IFERROR(VLOOKUP($B352,ItemList_Full,3,0),"")</f>
        <v/>
      </c>
      <c r="E352" s="12"/>
      <c r="F352" s="13" t="str">
        <f aca="false">IFERROR(VLOOKUP($B352,ItemList_Full,4,0),"")</f>
        <v/>
      </c>
      <c r="G352" s="13" t="str">
        <f aca="false">IF(OR($E352="",$F352=""),"",$E352*$F352)</f>
        <v/>
      </c>
      <c r="H352" s="12"/>
      <c r="I352" s="12"/>
      <c r="J352" s="1" t="str">
        <f aca="false">IFERROR(VLOOKUP($B352,ItemList_Full,5,0),"")</f>
        <v/>
      </c>
    </row>
    <row r="353" customFormat="false" ht="15" hidden="false" customHeight="true" outlineLevel="0" collapsed="false">
      <c r="A353" s="19"/>
      <c r="B353" s="12"/>
      <c r="C353" s="12" t="str">
        <f aca="false">IFERROR(VLOOKUP($B353,ItemList_Full,2,0),"")</f>
        <v/>
      </c>
      <c r="D353" s="12" t="str">
        <f aca="false">IFERROR(VLOOKUP($B353,ItemList_Full,3,0),"")</f>
        <v/>
      </c>
      <c r="E353" s="12"/>
      <c r="F353" s="13" t="str">
        <f aca="false">IFERROR(VLOOKUP($B353,ItemList_Full,4,0),"")</f>
        <v/>
      </c>
      <c r="G353" s="13" t="str">
        <f aca="false">IF(OR($E353="",$F353=""),"",$E353*$F353)</f>
        <v/>
      </c>
      <c r="H353" s="12"/>
      <c r="I353" s="12"/>
      <c r="J353" s="1" t="str">
        <f aca="false">IFERROR(VLOOKUP($B353,ItemList_Full,5,0),"")</f>
        <v/>
      </c>
    </row>
    <row r="354" customFormat="false" ht="15" hidden="false" customHeight="true" outlineLevel="0" collapsed="false">
      <c r="A354" s="19"/>
      <c r="B354" s="12"/>
      <c r="C354" s="12" t="str">
        <f aca="false">IFERROR(VLOOKUP($B354,ItemList_Full,2,0),"")</f>
        <v/>
      </c>
      <c r="D354" s="12" t="str">
        <f aca="false">IFERROR(VLOOKUP($B354,ItemList_Full,3,0),"")</f>
        <v/>
      </c>
      <c r="E354" s="12"/>
      <c r="F354" s="13" t="str">
        <f aca="false">IFERROR(VLOOKUP($B354,ItemList_Full,4,0),"")</f>
        <v/>
      </c>
      <c r="G354" s="13" t="str">
        <f aca="false">IF(OR($E354="",$F354=""),"",$E354*$F354)</f>
        <v/>
      </c>
      <c r="H354" s="12"/>
      <c r="I354" s="12"/>
      <c r="J354" s="1" t="str">
        <f aca="false">IFERROR(VLOOKUP($B354,ItemList_Full,5,0),"")</f>
        <v/>
      </c>
    </row>
    <row r="355" customFormat="false" ht="15" hidden="false" customHeight="true" outlineLevel="0" collapsed="false">
      <c r="A355" s="19"/>
      <c r="B355" s="12"/>
      <c r="C355" s="12" t="str">
        <f aca="false">IFERROR(VLOOKUP($B355,ItemList_Full,2,0),"")</f>
        <v/>
      </c>
      <c r="D355" s="12" t="str">
        <f aca="false">IFERROR(VLOOKUP($B355,ItemList_Full,3,0),"")</f>
        <v/>
      </c>
      <c r="E355" s="12"/>
      <c r="F355" s="13" t="str">
        <f aca="false">IFERROR(VLOOKUP($B355,ItemList_Full,4,0),"")</f>
        <v/>
      </c>
      <c r="G355" s="13" t="str">
        <f aca="false">IF(OR($E355="",$F355=""),"",$E355*$F355)</f>
        <v/>
      </c>
      <c r="H355" s="12"/>
      <c r="I355" s="12"/>
      <c r="J355" s="1" t="str">
        <f aca="false">IFERROR(VLOOKUP($B355,ItemList_Full,5,0),"")</f>
        <v/>
      </c>
    </row>
    <row r="356" customFormat="false" ht="15" hidden="false" customHeight="true" outlineLevel="0" collapsed="false">
      <c r="A356" s="19"/>
      <c r="B356" s="12"/>
      <c r="C356" s="12" t="str">
        <f aca="false">IFERROR(VLOOKUP($B356,ItemList_Full,2,0),"")</f>
        <v/>
      </c>
      <c r="D356" s="12" t="str">
        <f aca="false">IFERROR(VLOOKUP($B356,ItemList_Full,3,0),"")</f>
        <v/>
      </c>
      <c r="E356" s="12"/>
      <c r="F356" s="13" t="str">
        <f aca="false">IFERROR(VLOOKUP($B356,ItemList_Full,4,0),"")</f>
        <v/>
      </c>
      <c r="G356" s="13" t="str">
        <f aca="false">IF(OR($E356="",$F356=""),"",$E356*$F356)</f>
        <v/>
      </c>
      <c r="H356" s="12"/>
      <c r="I356" s="12"/>
      <c r="J356" s="1" t="str">
        <f aca="false">IFERROR(VLOOKUP($B356,ItemList_Full,5,0),"")</f>
        <v/>
      </c>
    </row>
    <row r="357" customFormat="false" ht="15" hidden="false" customHeight="true" outlineLevel="0" collapsed="false">
      <c r="A357" s="19"/>
      <c r="B357" s="12"/>
      <c r="C357" s="12" t="str">
        <f aca="false">IFERROR(VLOOKUP($B357,ItemList_Full,2,0),"")</f>
        <v/>
      </c>
      <c r="D357" s="12" t="str">
        <f aca="false">IFERROR(VLOOKUP($B357,ItemList_Full,3,0),"")</f>
        <v/>
      </c>
      <c r="E357" s="12"/>
      <c r="F357" s="13" t="str">
        <f aca="false">IFERROR(VLOOKUP($B357,ItemList_Full,4,0),"")</f>
        <v/>
      </c>
      <c r="G357" s="13" t="str">
        <f aca="false">IF(OR($E357="",$F357=""),"",$E357*$F357)</f>
        <v/>
      </c>
      <c r="H357" s="12"/>
      <c r="I357" s="12"/>
      <c r="J357" s="1" t="str">
        <f aca="false">IFERROR(VLOOKUP($B357,ItemList_Full,5,0),"")</f>
        <v/>
      </c>
    </row>
    <row r="358" customFormat="false" ht="15" hidden="false" customHeight="true" outlineLevel="0" collapsed="false">
      <c r="A358" s="19"/>
      <c r="B358" s="12"/>
      <c r="C358" s="12" t="str">
        <f aca="false">IFERROR(VLOOKUP($B358,ItemList_Full,2,0),"")</f>
        <v/>
      </c>
      <c r="D358" s="12" t="str">
        <f aca="false">IFERROR(VLOOKUP($B358,ItemList_Full,3,0),"")</f>
        <v/>
      </c>
      <c r="E358" s="12"/>
      <c r="F358" s="13" t="str">
        <f aca="false">IFERROR(VLOOKUP($B358,ItemList_Full,4,0),"")</f>
        <v/>
      </c>
      <c r="G358" s="13" t="str">
        <f aca="false">IF(OR($E358="",$F358=""),"",$E358*$F358)</f>
        <v/>
      </c>
      <c r="H358" s="12"/>
      <c r="I358" s="12"/>
      <c r="J358" s="1" t="str">
        <f aca="false">IFERROR(VLOOKUP($B358,ItemList_Full,5,0),"")</f>
        <v/>
      </c>
    </row>
    <row r="359" customFormat="false" ht="15" hidden="false" customHeight="true" outlineLevel="0" collapsed="false">
      <c r="A359" s="19"/>
      <c r="B359" s="12"/>
      <c r="C359" s="12" t="str">
        <f aca="false">IFERROR(VLOOKUP($B359,ItemList_Full,2,0),"")</f>
        <v/>
      </c>
      <c r="D359" s="12" t="str">
        <f aca="false">IFERROR(VLOOKUP($B359,ItemList_Full,3,0),"")</f>
        <v/>
      </c>
      <c r="E359" s="12"/>
      <c r="F359" s="13" t="str">
        <f aca="false">IFERROR(VLOOKUP($B359,ItemList_Full,4,0),"")</f>
        <v/>
      </c>
      <c r="G359" s="13" t="str">
        <f aca="false">IF(OR($E359="",$F359=""),"",$E359*$F359)</f>
        <v/>
      </c>
      <c r="H359" s="12"/>
      <c r="I359" s="12"/>
      <c r="J359" s="1" t="str">
        <f aca="false">IFERROR(VLOOKUP($B359,ItemList_Full,5,0),"")</f>
        <v/>
      </c>
    </row>
    <row r="360" customFormat="false" ht="15" hidden="false" customHeight="true" outlineLevel="0" collapsed="false">
      <c r="A360" s="19"/>
      <c r="B360" s="12"/>
      <c r="C360" s="12" t="str">
        <f aca="false">IFERROR(VLOOKUP($B360,ItemList_Full,2,0),"")</f>
        <v/>
      </c>
      <c r="D360" s="12" t="str">
        <f aca="false">IFERROR(VLOOKUP($B360,ItemList_Full,3,0),"")</f>
        <v/>
      </c>
      <c r="E360" s="12"/>
      <c r="F360" s="13" t="str">
        <f aca="false">IFERROR(VLOOKUP($B360,ItemList_Full,4,0),"")</f>
        <v/>
      </c>
      <c r="G360" s="13" t="str">
        <f aca="false">IF(OR($E360="",$F360=""),"",$E360*$F360)</f>
        <v/>
      </c>
      <c r="H360" s="12"/>
      <c r="I360" s="12"/>
      <c r="J360" s="1" t="str">
        <f aca="false">IFERROR(VLOOKUP($B360,ItemList_Full,5,0),"")</f>
        <v/>
      </c>
    </row>
    <row r="361" customFormat="false" ht="15" hidden="false" customHeight="true" outlineLevel="0" collapsed="false">
      <c r="A361" s="19"/>
      <c r="B361" s="12"/>
      <c r="C361" s="12" t="str">
        <f aca="false">IFERROR(VLOOKUP($B361,ItemList_Full,2,0),"")</f>
        <v/>
      </c>
      <c r="D361" s="12" t="str">
        <f aca="false">IFERROR(VLOOKUP($B361,ItemList_Full,3,0),"")</f>
        <v/>
      </c>
      <c r="E361" s="12"/>
      <c r="F361" s="13" t="str">
        <f aca="false">IFERROR(VLOOKUP($B361,ItemList_Full,4,0),"")</f>
        <v/>
      </c>
      <c r="G361" s="13" t="str">
        <f aca="false">IF(OR($E361="",$F361=""),"",$E361*$F361)</f>
        <v/>
      </c>
      <c r="H361" s="12"/>
      <c r="I361" s="12"/>
      <c r="J361" s="1" t="str">
        <f aca="false">IFERROR(VLOOKUP($B361,ItemList_Full,5,0),"")</f>
        <v/>
      </c>
    </row>
    <row r="362" customFormat="false" ht="15" hidden="false" customHeight="true" outlineLevel="0" collapsed="false">
      <c r="A362" s="19"/>
      <c r="B362" s="12"/>
      <c r="C362" s="12" t="str">
        <f aca="false">IFERROR(VLOOKUP($B362,ItemList_Full,2,0),"")</f>
        <v/>
      </c>
      <c r="D362" s="12" t="str">
        <f aca="false">IFERROR(VLOOKUP($B362,ItemList_Full,3,0),"")</f>
        <v/>
      </c>
      <c r="E362" s="12"/>
      <c r="F362" s="13" t="str">
        <f aca="false">IFERROR(VLOOKUP($B362,ItemList_Full,4,0),"")</f>
        <v/>
      </c>
      <c r="G362" s="13" t="str">
        <f aca="false">IF(OR($E362="",$F362=""),"",$E362*$F362)</f>
        <v/>
      </c>
      <c r="H362" s="12"/>
      <c r="I362" s="12"/>
      <c r="J362" s="1" t="str">
        <f aca="false">IFERROR(VLOOKUP($B362,ItemList_Full,5,0),"")</f>
        <v/>
      </c>
    </row>
    <row r="363" customFormat="false" ht="15" hidden="false" customHeight="true" outlineLevel="0" collapsed="false">
      <c r="A363" s="19"/>
      <c r="B363" s="12"/>
      <c r="C363" s="12" t="str">
        <f aca="false">IFERROR(VLOOKUP($B363,ItemList_Full,2,0),"")</f>
        <v/>
      </c>
      <c r="D363" s="12" t="str">
        <f aca="false">IFERROR(VLOOKUP($B363,ItemList_Full,3,0),"")</f>
        <v/>
      </c>
      <c r="E363" s="12"/>
      <c r="F363" s="13" t="str">
        <f aca="false">IFERROR(VLOOKUP($B363,ItemList_Full,4,0),"")</f>
        <v/>
      </c>
      <c r="G363" s="13" t="str">
        <f aca="false">IF(OR($E363="",$F363=""),"",$E363*$F363)</f>
        <v/>
      </c>
      <c r="H363" s="12"/>
      <c r="I363" s="12"/>
      <c r="J363" s="1" t="str">
        <f aca="false">IFERROR(VLOOKUP($B363,ItemList_Full,5,0),"")</f>
        <v/>
      </c>
    </row>
    <row r="364" customFormat="false" ht="15" hidden="false" customHeight="true" outlineLevel="0" collapsed="false">
      <c r="A364" s="19"/>
      <c r="B364" s="12"/>
      <c r="C364" s="12" t="str">
        <f aca="false">IFERROR(VLOOKUP($B364,ItemList_Full,2,0),"")</f>
        <v/>
      </c>
      <c r="D364" s="12" t="str">
        <f aca="false">IFERROR(VLOOKUP($B364,ItemList_Full,3,0),"")</f>
        <v/>
      </c>
      <c r="E364" s="12"/>
      <c r="F364" s="13" t="str">
        <f aca="false">IFERROR(VLOOKUP($B364,ItemList_Full,4,0),"")</f>
        <v/>
      </c>
      <c r="G364" s="13" t="str">
        <f aca="false">IF(OR($E364="",$F364=""),"",$E364*$F364)</f>
        <v/>
      </c>
      <c r="H364" s="12"/>
      <c r="I364" s="12"/>
      <c r="J364" s="1" t="str">
        <f aca="false">IFERROR(VLOOKUP($B364,ItemList_Full,5,0),"")</f>
        <v/>
      </c>
    </row>
    <row r="365" customFormat="false" ht="15" hidden="false" customHeight="true" outlineLevel="0" collapsed="false">
      <c r="A365" s="19"/>
      <c r="B365" s="12"/>
      <c r="C365" s="12" t="str">
        <f aca="false">IFERROR(VLOOKUP($B365,ItemList_Full,2,0),"")</f>
        <v/>
      </c>
      <c r="D365" s="12" t="str">
        <f aca="false">IFERROR(VLOOKUP($B365,ItemList_Full,3,0),"")</f>
        <v/>
      </c>
      <c r="E365" s="12"/>
      <c r="F365" s="13" t="str">
        <f aca="false">IFERROR(VLOOKUP($B365,ItemList_Full,4,0),"")</f>
        <v/>
      </c>
      <c r="G365" s="13" t="str">
        <f aca="false">IF(OR($E365="",$F365=""),"",$E365*$F365)</f>
        <v/>
      </c>
      <c r="H365" s="12"/>
      <c r="I365" s="12"/>
      <c r="J365" s="1" t="str">
        <f aca="false">IFERROR(VLOOKUP($B365,ItemList_Full,5,0),"")</f>
        <v/>
      </c>
    </row>
    <row r="366" customFormat="false" ht="15" hidden="false" customHeight="true" outlineLevel="0" collapsed="false">
      <c r="A366" s="19"/>
      <c r="B366" s="12"/>
      <c r="C366" s="12" t="str">
        <f aca="false">IFERROR(VLOOKUP($B366,ItemList_Full,2,0),"")</f>
        <v/>
      </c>
      <c r="D366" s="12" t="str">
        <f aca="false">IFERROR(VLOOKUP($B366,ItemList_Full,3,0),"")</f>
        <v/>
      </c>
      <c r="E366" s="12"/>
      <c r="F366" s="13" t="str">
        <f aca="false">IFERROR(VLOOKUP($B366,ItemList_Full,4,0),"")</f>
        <v/>
      </c>
      <c r="G366" s="13" t="str">
        <f aca="false">IF(OR($E366="",$F366=""),"",$E366*$F366)</f>
        <v/>
      </c>
      <c r="H366" s="12"/>
      <c r="I366" s="12"/>
      <c r="J366" s="1" t="str">
        <f aca="false">IFERROR(VLOOKUP($B366,ItemList_Full,5,0),"")</f>
        <v/>
      </c>
    </row>
    <row r="367" customFormat="false" ht="15" hidden="false" customHeight="true" outlineLevel="0" collapsed="false">
      <c r="A367" s="19"/>
      <c r="B367" s="12"/>
      <c r="C367" s="12" t="str">
        <f aca="false">IFERROR(VLOOKUP($B367,ItemList_Full,2,0),"")</f>
        <v/>
      </c>
      <c r="D367" s="12" t="str">
        <f aca="false">IFERROR(VLOOKUP($B367,ItemList_Full,3,0),"")</f>
        <v/>
      </c>
      <c r="E367" s="12"/>
      <c r="F367" s="13" t="str">
        <f aca="false">IFERROR(VLOOKUP($B367,ItemList_Full,4,0),"")</f>
        <v/>
      </c>
      <c r="G367" s="13" t="str">
        <f aca="false">IF(OR($E367="",$F367=""),"",$E367*$F367)</f>
        <v/>
      </c>
      <c r="H367" s="12"/>
      <c r="I367" s="12"/>
      <c r="J367" s="1" t="str">
        <f aca="false">IFERROR(VLOOKUP($B367,ItemList_Full,5,0),"")</f>
        <v/>
      </c>
    </row>
    <row r="368" customFormat="false" ht="15" hidden="false" customHeight="true" outlineLevel="0" collapsed="false">
      <c r="A368" s="19"/>
      <c r="B368" s="12"/>
      <c r="C368" s="12" t="str">
        <f aca="false">IFERROR(VLOOKUP($B368,ItemList_Full,2,0),"")</f>
        <v/>
      </c>
      <c r="D368" s="12" t="str">
        <f aca="false">IFERROR(VLOOKUP($B368,ItemList_Full,3,0),"")</f>
        <v/>
      </c>
      <c r="E368" s="12"/>
      <c r="F368" s="13" t="str">
        <f aca="false">IFERROR(VLOOKUP($B368,ItemList_Full,4,0),"")</f>
        <v/>
      </c>
      <c r="G368" s="13" t="str">
        <f aca="false">IF(OR($E368="",$F368=""),"",$E368*$F368)</f>
        <v/>
      </c>
      <c r="H368" s="12"/>
      <c r="I368" s="12"/>
      <c r="J368" s="1" t="str">
        <f aca="false">IFERROR(VLOOKUP($B368,ItemList_Full,5,0),"")</f>
        <v/>
      </c>
    </row>
    <row r="369" customFormat="false" ht="15" hidden="false" customHeight="true" outlineLevel="0" collapsed="false">
      <c r="A369" s="19"/>
      <c r="B369" s="12"/>
      <c r="C369" s="12" t="str">
        <f aca="false">IFERROR(VLOOKUP($B369,ItemList_Full,2,0),"")</f>
        <v/>
      </c>
      <c r="D369" s="12" t="str">
        <f aca="false">IFERROR(VLOOKUP($B369,ItemList_Full,3,0),"")</f>
        <v/>
      </c>
      <c r="E369" s="12"/>
      <c r="F369" s="13" t="str">
        <f aca="false">IFERROR(VLOOKUP($B369,ItemList_Full,4,0),"")</f>
        <v/>
      </c>
      <c r="G369" s="13" t="str">
        <f aca="false">IF(OR($E369="",$F369=""),"",$E369*$F369)</f>
        <v/>
      </c>
      <c r="H369" s="12"/>
      <c r="I369" s="12"/>
      <c r="J369" s="1" t="str">
        <f aca="false">IFERROR(VLOOKUP($B369,ItemList_Full,5,0),"")</f>
        <v/>
      </c>
    </row>
    <row r="370" customFormat="false" ht="15" hidden="false" customHeight="true" outlineLevel="0" collapsed="false">
      <c r="A370" s="19"/>
      <c r="B370" s="12"/>
      <c r="C370" s="12" t="str">
        <f aca="false">IFERROR(VLOOKUP($B370,ItemList_Full,2,0),"")</f>
        <v/>
      </c>
      <c r="D370" s="12" t="str">
        <f aca="false">IFERROR(VLOOKUP($B370,ItemList_Full,3,0),"")</f>
        <v/>
      </c>
      <c r="E370" s="12"/>
      <c r="F370" s="13" t="str">
        <f aca="false">IFERROR(VLOOKUP($B370,ItemList_Full,4,0),"")</f>
        <v/>
      </c>
      <c r="G370" s="13" t="str">
        <f aca="false">IF(OR($E370="",$F370=""),"",$E370*$F370)</f>
        <v/>
      </c>
      <c r="H370" s="12"/>
      <c r="I370" s="12"/>
      <c r="J370" s="1" t="str">
        <f aca="false">IFERROR(VLOOKUP($B370,ItemList_Full,5,0),"")</f>
        <v/>
      </c>
    </row>
    <row r="371" customFormat="false" ht="15" hidden="false" customHeight="true" outlineLevel="0" collapsed="false">
      <c r="A371" s="19"/>
      <c r="B371" s="12"/>
      <c r="C371" s="12" t="str">
        <f aca="false">IFERROR(VLOOKUP($B371,ItemList_Full,2,0),"")</f>
        <v/>
      </c>
      <c r="D371" s="12" t="str">
        <f aca="false">IFERROR(VLOOKUP($B371,ItemList_Full,3,0),"")</f>
        <v/>
      </c>
      <c r="E371" s="12"/>
      <c r="F371" s="13" t="str">
        <f aca="false">IFERROR(VLOOKUP($B371,ItemList_Full,4,0),"")</f>
        <v/>
      </c>
      <c r="G371" s="13" t="str">
        <f aca="false">IF(OR($E371="",$F371=""),"",$E371*$F371)</f>
        <v/>
      </c>
      <c r="H371" s="12"/>
      <c r="I371" s="12"/>
      <c r="J371" s="1" t="str">
        <f aca="false">IFERROR(VLOOKUP($B371,ItemList_Full,5,0),"")</f>
        <v/>
      </c>
    </row>
    <row r="372" customFormat="false" ht="15" hidden="false" customHeight="true" outlineLevel="0" collapsed="false">
      <c r="A372" s="19"/>
      <c r="B372" s="12"/>
      <c r="C372" s="12" t="str">
        <f aca="false">IFERROR(VLOOKUP($B372,ItemList_Full,2,0),"")</f>
        <v/>
      </c>
      <c r="D372" s="12" t="str">
        <f aca="false">IFERROR(VLOOKUP($B372,ItemList_Full,3,0),"")</f>
        <v/>
      </c>
      <c r="E372" s="12"/>
      <c r="F372" s="13" t="str">
        <f aca="false">IFERROR(VLOOKUP($B372,ItemList_Full,4,0),"")</f>
        <v/>
      </c>
      <c r="G372" s="13" t="str">
        <f aca="false">IF(OR($E372="",$F372=""),"",$E372*$F372)</f>
        <v/>
      </c>
      <c r="H372" s="12"/>
      <c r="I372" s="12"/>
      <c r="J372" s="1" t="str">
        <f aca="false">IFERROR(VLOOKUP($B372,ItemList_Full,5,0),"")</f>
        <v/>
      </c>
    </row>
    <row r="373" customFormat="false" ht="15" hidden="false" customHeight="true" outlineLevel="0" collapsed="false">
      <c r="A373" s="19"/>
      <c r="B373" s="12"/>
      <c r="C373" s="12" t="str">
        <f aca="false">IFERROR(VLOOKUP($B373,ItemList_Full,2,0),"")</f>
        <v/>
      </c>
      <c r="D373" s="12" t="str">
        <f aca="false">IFERROR(VLOOKUP($B373,ItemList_Full,3,0),"")</f>
        <v/>
      </c>
      <c r="E373" s="12"/>
      <c r="F373" s="13" t="str">
        <f aca="false">IFERROR(VLOOKUP($B373,ItemList_Full,4,0),"")</f>
        <v/>
      </c>
      <c r="G373" s="13" t="str">
        <f aca="false">IF(OR($E373="",$F373=""),"",$E373*$F373)</f>
        <v/>
      </c>
      <c r="H373" s="12"/>
      <c r="I373" s="12"/>
      <c r="J373" s="1" t="str">
        <f aca="false">IFERROR(VLOOKUP($B373,ItemList_Full,5,0),"")</f>
        <v/>
      </c>
    </row>
    <row r="374" customFormat="false" ht="15" hidden="false" customHeight="true" outlineLevel="0" collapsed="false">
      <c r="A374" s="19"/>
      <c r="B374" s="12"/>
      <c r="C374" s="12" t="str">
        <f aca="false">IFERROR(VLOOKUP($B374,ItemList_Full,2,0),"")</f>
        <v/>
      </c>
      <c r="D374" s="12" t="str">
        <f aca="false">IFERROR(VLOOKUP($B374,ItemList_Full,3,0),"")</f>
        <v/>
      </c>
      <c r="E374" s="12"/>
      <c r="F374" s="13" t="str">
        <f aca="false">IFERROR(VLOOKUP($B374,ItemList_Full,4,0),"")</f>
        <v/>
      </c>
      <c r="G374" s="13" t="str">
        <f aca="false">IF(OR($E374="",$F374=""),"",$E374*$F374)</f>
        <v/>
      </c>
      <c r="H374" s="12"/>
      <c r="I374" s="12"/>
      <c r="J374" s="1" t="str">
        <f aca="false">IFERROR(VLOOKUP($B374,ItemList_Full,5,0),"")</f>
        <v/>
      </c>
    </row>
    <row r="375" customFormat="false" ht="15" hidden="false" customHeight="true" outlineLevel="0" collapsed="false">
      <c r="A375" s="19"/>
      <c r="B375" s="12"/>
      <c r="C375" s="12" t="str">
        <f aca="false">IFERROR(VLOOKUP($B375,ItemList_Full,2,0),"")</f>
        <v/>
      </c>
      <c r="D375" s="12" t="str">
        <f aca="false">IFERROR(VLOOKUP($B375,ItemList_Full,3,0),"")</f>
        <v/>
      </c>
      <c r="E375" s="12"/>
      <c r="F375" s="13" t="str">
        <f aca="false">IFERROR(VLOOKUP($B375,ItemList_Full,4,0),"")</f>
        <v/>
      </c>
      <c r="G375" s="13" t="str">
        <f aca="false">IF(OR($E375="",$F375=""),"",$E375*$F375)</f>
        <v/>
      </c>
      <c r="H375" s="12"/>
      <c r="I375" s="12"/>
      <c r="J375" s="1" t="str">
        <f aca="false">IFERROR(VLOOKUP($B375,ItemList_Full,5,0),"")</f>
        <v/>
      </c>
    </row>
    <row r="376" customFormat="false" ht="15" hidden="false" customHeight="true" outlineLevel="0" collapsed="false">
      <c r="A376" s="19"/>
      <c r="B376" s="12"/>
      <c r="C376" s="12" t="str">
        <f aca="false">IFERROR(VLOOKUP($B376,ItemList_Full,2,0),"")</f>
        <v/>
      </c>
      <c r="D376" s="12" t="str">
        <f aca="false">IFERROR(VLOOKUP($B376,ItemList_Full,3,0),"")</f>
        <v/>
      </c>
      <c r="E376" s="12"/>
      <c r="F376" s="13" t="str">
        <f aca="false">IFERROR(VLOOKUP($B376,ItemList_Full,4,0),"")</f>
        <v/>
      </c>
      <c r="G376" s="13" t="str">
        <f aca="false">IF(OR($E376="",$F376=""),"",$E376*$F376)</f>
        <v/>
      </c>
      <c r="H376" s="12"/>
      <c r="I376" s="12"/>
      <c r="J376" s="1" t="str">
        <f aca="false">IFERROR(VLOOKUP($B376,ItemList_Full,5,0),"")</f>
        <v/>
      </c>
    </row>
    <row r="377" customFormat="false" ht="15" hidden="false" customHeight="true" outlineLevel="0" collapsed="false">
      <c r="A377" s="19"/>
      <c r="B377" s="12"/>
      <c r="C377" s="12" t="str">
        <f aca="false">IFERROR(VLOOKUP($B377,ItemList_Full,2,0),"")</f>
        <v/>
      </c>
      <c r="D377" s="12" t="str">
        <f aca="false">IFERROR(VLOOKUP($B377,ItemList_Full,3,0),"")</f>
        <v/>
      </c>
      <c r="E377" s="12"/>
      <c r="F377" s="13" t="str">
        <f aca="false">IFERROR(VLOOKUP($B377,ItemList_Full,4,0),"")</f>
        <v/>
      </c>
      <c r="G377" s="13" t="str">
        <f aca="false">IF(OR($E377="",$F377=""),"",$E377*$F377)</f>
        <v/>
      </c>
      <c r="H377" s="12"/>
      <c r="I377" s="12"/>
      <c r="J377" s="1" t="str">
        <f aca="false">IFERROR(VLOOKUP($B377,ItemList_Full,5,0),"")</f>
        <v/>
      </c>
    </row>
    <row r="378" customFormat="false" ht="15" hidden="false" customHeight="true" outlineLevel="0" collapsed="false">
      <c r="A378" s="19"/>
      <c r="B378" s="12"/>
      <c r="C378" s="12" t="str">
        <f aca="false">IFERROR(VLOOKUP($B378,ItemList_Full,2,0),"")</f>
        <v/>
      </c>
      <c r="D378" s="12" t="str">
        <f aca="false">IFERROR(VLOOKUP($B378,ItemList_Full,3,0),"")</f>
        <v/>
      </c>
      <c r="E378" s="12"/>
      <c r="F378" s="13" t="str">
        <f aca="false">IFERROR(VLOOKUP($B378,ItemList_Full,4,0),"")</f>
        <v/>
      </c>
      <c r="G378" s="13" t="str">
        <f aca="false">IF(OR($E378="",$F378=""),"",$E378*$F378)</f>
        <v/>
      </c>
      <c r="H378" s="12"/>
      <c r="I378" s="12"/>
      <c r="J378" s="1" t="str">
        <f aca="false">IFERROR(VLOOKUP($B378,ItemList_Full,5,0),"")</f>
        <v/>
      </c>
    </row>
    <row r="379" customFormat="false" ht="15" hidden="false" customHeight="true" outlineLevel="0" collapsed="false">
      <c r="A379" s="19"/>
      <c r="B379" s="12"/>
      <c r="C379" s="12" t="str">
        <f aca="false">IFERROR(VLOOKUP($B379,ItemList_Full,2,0),"")</f>
        <v/>
      </c>
      <c r="D379" s="12" t="str">
        <f aca="false">IFERROR(VLOOKUP($B379,ItemList_Full,3,0),"")</f>
        <v/>
      </c>
      <c r="E379" s="12"/>
      <c r="F379" s="13" t="str">
        <f aca="false">IFERROR(VLOOKUP($B379,ItemList_Full,4,0),"")</f>
        <v/>
      </c>
      <c r="G379" s="13" t="str">
        <f aca="false">IF(OR($E379="",$F379=""),"",$E379*$F379)</f>
        <v/>
      </c>
      <c r="H379" s="12"/>
      <c r="I379" s="12"/>
      <c r="J379" s="1" t="str">
        <f aca="false">IFERROR(VLOOKUP($B379,ItemList_Full,5,0),"")</f>
        <v/>
      </c>
    </row>
    <row r="380" customFormat="false" ht="15" hidden="false" customHeight="true" outlineLevel="0" collapsed="false">
      <c r="A380" s="19"/>
      <c r="B380" s="12"/>
      <c r="C380" s="12" t="str">
        <f aca="false">IFERROR(VLOOKUP($B380,ItemList_Full,2,0),"")</f>
        <v/>
      </c>
      <c r="D380" s="12" t="str">
        <f aca="false">IFERROR(VLOOKUP($B380,ItemList_Full,3,0),"")</f>
        <v/>
      </c>
      <c r="E380" s="12"/>
      <c r="F380" s="13" t="str">
        <f aca="false">IFERROR(VLOOKUP($B380,ItemList_Full,4,0),"")</f>
        <v/>
      </c>
      <c r="G380" s="13" t="str">
        <f aca="false">IF(OR($E380="",$F380=""),"",$E380*$F380)</f>
        <v/>
      </c>
      <c r="H380" s="12"/>
      <c r="I380" s="12"/>
      <c r="J380" s="1" t="str">
        <f aca="false">IFERROR(VLOOKUP($B380,ItemList_Full,5,0),"")</f>
        <v/>
      </c>
    </row>
    <row r="381" customFormat="false" ht="15" hidden="false" customHeight="true" outlineLevel="0" collapsed="false">
      <c r="A381" s="19"/>
      <c r="B381" s="12"/>
      <c r="C381" s="12" t="str">
        <f aca="false">IFERROR(VLOOKUP($B381,ItemList_Full,2,0),"")</f>
        <v/>
      </c>
      <c r="D381" s="12" t="str">
        <f aca="false">IFERROR(VLOOKUP($B381,ItemList_Full,3,0),"")</f>
        <v/>
      </c>
      <c r="E381" s="12"/>
      <c r="F381" s="13" t="str">
        <f aca="false">IFERROR(VLOOKUP($B381,ItemList_Full,4,0),"")</f>
        <v/>
      </c>
      <c r="G381" s="13" t="str">
        <f aca="false">IF(OR($E381="",$F381=""),"",$E381*$F381)</f>
        <v/>
      </c>
      <c r="H381" s="12"/>
      <c r="I381" s="12"/>
      <c r="J381" s="1" t="str">
        <f aca="false">IFERROR(VLOOKUP($B381,ItemList_Full,5,0),"")</f>
        <v/>
      </c>
    </row>
    <row r="382" customFormat="false" ht="15" hidden="false" customHeight="true" outlineLevel="0" collapsed="false">
      <c r="A382" s="19"/>
      <c r="B382" s="12"/>
      <c r="C382" s="12" t="str">
        <f aca="false">IFERROR(VLOOKUP($B382,ItemList_Full,2,0),"")</f>
        <v/>
      </c>
      <c r="D382" s="12" t="str">
        <f aca="false">IFERROR(VLOOKUP($B382,ItemList_Full,3,0),"")</f>
        <v/>
      </c>
      <c r="E382" s="12"/>
      <c r="F382" s="13" t="str">
        <f aca="false">IFERROR(VLOOKUP($B382,ItemList_Full,4,0),"")</f>
        <v/>
      </c>
      <c r="G382" s="13" t="str">
        <f aca="false">IF(OR($E382="",$F382=""),"",$E382*$F382)</f>
        <v/>
      </c>
      <c r="H382" s="12"/>
      <c r="I382" s="12"/>
      <c r="J382" s="1" t="str">
        <f aca="false">IFERROR(VLOOKUP($B382,ItemList_Full,5,0),"")</f>
        <v/>
      </c>
    </row>
    <row r="383" customFormat="false" ht="15" hidden="false" customHeight="true" outlineLevel="0" collapsed="false">
      <c r="A383" s="19"/>
      <c r="B383" s="12"/>
      <c r="C383" s="12" t="str">
        <f aca="false">IFERROR(VLOOKUP($B383,ItemList_Full,2,0),"")</f>
        <v/>
      </c>
      <c r="D383" s="12" t="str">
        <f aca="false">IFERROR(VLOOKUP($B383,ItemList_Full,3,0),"")</f>
        <v/>
      </c>
      <c r="E383" s="12"/>
      <c r="F383" s="13" t="str">
        <f aca="false">IFERROR(VLOOKUP($B383,ItemList_Full,4,0),"")</f>
        <v/>
      </c>
      <c r="G383" s="13" t="str">
        <f aca="false">IF(OR($E383="",$F383=""),"",$E383*$F383)</f>
        <v/>
      </c>
      <c r="H383" s="12"/>
      <c r="I383" s="12"/>
      <c r="J383" s="1" t="str">
        <f aca="false">IFERROR(VLOOKUP($B383,ItemList_Full,5,0),"")</f>
        <v/>
      </c>
    </row>
    <row r="384" customFormat="false" ht="15" hidden="false" customHeight="true" outlineLevel="0" collapsed="false">
      <c r="A384" s="19"/>
      <c r="B384" s="12"/>
      <c r="C384" s="12" t="str">
        <f aca="false">IFERROR(VLOOKUP($B384,ItemList_Full,2,0),"")</f>
        <v/>
      </c>
      <c r="D384" s="12" t="str">
        <f aca="false">IFERROR(VLOOKUP($B384,ItemList_Full,3,0),"")</f>
        <v/>
      </c>
      <c r="E384" s="12"/>
      <c r="F384" s="13" t="str">
        <f aca="false">IFERROR(VLOOKUP($B384,ItemList_Full,4,0),"")</f>
        <v/>
      </c>
      <c r="G384" s="13" t="str">
        <f aca="false">IF(OR($E384="",$F384=""),"",$E384*$F384)</f>
        <v/>
      </c>
      <c r="H384" s="12"/>
      <c r="I384" s="12"/>
      <c r="J384" s="1" t="str">
        <f aca="false">IFERROR(VLOOKUP($B384,ItemList_Full,5,0),"")</f>
        <v/>
      </c>
    </row>
    <row r="385" customFormat="false" ht="15" hidden="false" customHeight="true" outlineLevel="0" collapsed="false">
      <c r="A385" s="19"/>
      <c r="B385" s="12"/>
      <c r="C385" s="12" t="str">
        <f aca="false">IFERROR(VLOOKUP($B385,ItemList_Full,2,0),"")</f>
        <v/>
      </c>
      <c r="D385" s="12" t="str">
        <f aca="false">IFERROR(VLOOKUP($B385,ItemList_Full,3,0),"")</f>
        <v/>
      </c>
      <c r="E385" s="12"/>
      <c r="F385" s="13" t="str">
        <f aca="false">IFERROR(VLOOKUP($B385,ItemList_Full,4,0),"")</f>
        <v/>
      </c>
      <c r="G385" s="13" t="str">
        <f aca="false">IF(OR($E385="",$F385=""),"",$E385*$F385)</f>
        <v/>
      </c>
      <c r="H385" s="12"/>
      <c r="I385" s="12"/>
      <c r="J385" s="1" t="str">
        <f aca="false">IFERROR(VLOOKUP($B385,ItemList_Full,5,0),"")</f>
        <v/>
      </c>
    </row>
    <row r="386" customFormat="false" ht="15" hidden="false" customHeight="true" outlineLevel="0" collapsed="false">
      <c r="A386" s="19"/>
      <c r="B386" s="12"/>
      <c r="C386" s="12" t="str">
        <f aca="false">IFERROR(VLOOKUP($B386,ItemList_Full,2,0),"")</f>
        <v/>
      </c>
      <c r="D386" s="12" t="str">
        <f aca="false">IFERROR(VLOOKUP($B386,ItemList_Full,3,0),"")</f>
        <v/>
      </c>
      <c r="E386" s="12"/>
      <c r="F386" s="13" t="str">
        <f aca="false">IFERROR(VLOOKUP($B386,ItemList_Full,4,0),"")</f>
        <v/>
      </c>
      <c r="G386" s="13" t="str">
        <f aca="false">IF(OR($E386="",$F386=""),"",$E386*$F386)</f>
        <v/>
      </c>
      <c r="H386" s="12"/>
      <c r="I386" s="12"/>
      <c r="J386" s="1" t="str">
        <f aca="false">IFERROR(VLOOKUP($B386,ItemList_Full,5,0),"")</f>
        <v/>
      </c>
    </row>
    <row r="387" customFormat="false" ht="15" hidden="false" customHeight="true" outlineLevel="0" collapsed="false">
      <c r="A387" s="19"/>
      <c r="B387" s="12"/>
      <c r="C387" s="12" t="str">
        <f aca="false">IFERROR(VLOOKUP($B387,ItemList_Full,2,0),"")</f>
        <v/>
      </c>
      <c r="D387" s="12" t="str">
        <f aca="false">IFERROR(VLOOKUP($B387,ItemList_Full,3,0),"")</f>
        <v/>
      </c>
      <c r="E387" s="12"/>
      <c r="F387" s="13" t="str">
        <f aca="false">IFERROR(VLOOKUP($B387,ItemList_Full,4,0),"")</f>
        <v/>
      </c>
      <c r="G387" s="13" t="str">
        <f aca="false">IF(OR($E387="",$F387=""),"",$E387*$F387)</f>
        <v/>
      </c>
      <c r="H387" s="12"/>
      <c r="I387" s="12"/>
      <c r="J387" s="1" t="str">
        <f aca="false">IFERROR(VLOOKUP($B387,ItemList_Full,5,0),"")</f>
        <v/>
      </c>
    </row>
    <row r="388" customFormat="false" ht="15" hidden="false" customHeight="true" outlineLevel="0" collapsed="false">
      <c r="A388" s="19"/>
      <c r="B388" s="12"/>
      <c r="C388" s="12" t="str">
        <f aca="false">IFERROR(VLOOKUP($B388,ItemList_Full,2,0),"")</f>
        <v/>
      </c>
      <c r="D388" s="12" t="str">
        <f aca="false">IFERROR(VLOOKUP($B388,ItemList_Full,3,0),"")</f>
        <v/>
      </c>
      <c r="E388" s="12"/>
      <c r="F388" s="13" t="str">
        <f aca="false">IFERROR(VLOOKUP($B388,ItemList_Full,4,0),"")</f>
        <v/>
      </c>
      <c r="G388" s="13" t="str">
        <f aca="false">IF(OR($E388="",$F388=""),"",$E388*$F388)</f>
        <v/>
      </c>
      <c r="H388" s="12"/>
      <c r="I388" s="12"/>
      <c r="J388" s="1" t="str">
        <f aca="false">IFERROR(VLOOKUP($B388,ItemList_Full,5,0),"")</f>
        <v/>
      </c>
    </row>
    <row r="389" customFormat="false" ht="15" hidden="false" customHeight="true" outlineLevel="0" collapsed="false">
      <c r="A389" s="19"/>
      <c r="B389" s="12"/>
      <c r="C389" s="12" t="str">
        <f aca="false">IFERROR(VLOOKUP($B389,ItemList_Full,2,0),"")</f>
        <v/>
      </c>
      <c r="D389" s="12" t="str">
        <f aca="false">IFERROR(VLOOKUP($B389,ItemList_Full,3,0),"")</f>
        <v/>
      </c>
      <c r="E389" s="12"/>
      <c r="F389" s="13" t="str">
        <f aca="false">IFERROR(VLOOKUP($B389,ItemList_Full,4,0),"")</f>
        <v/>
      </c>
      <c r="G389" s="13" t="str">
        <f aca="false">IF(OR($E389="",$F389=""),"",$E389*$F389)</f>
        <v/>
      </c>
      <c r="H389" s="12"/>
      <c r="I389" s="12"/>
      <c r="J389" s="1" t="str">
        <f aca="false">IFERROR(VLOOKUP($B389,ItemList_Full,5,0),"")</f>
        <v/>
      </c>
    </row>
    <row r="390" customFormat="false" ht="15" hidden="false" customHeight="true" outlineLevel="0" collapsed="false">
      <c r="A390" s="19"/>
      <c r="B390" s="12"/>
      <c r="C390" s="12" t="str">
        <f aca="false">IFERROR(VLOOKUP($B390,ItemList_Full,2,0),"")</f>
        <v/>
      </c>
      <c r="D390" s="12" t="str">
        <f aca="false">IFERROR(VLOOKUP($B390,ItemList_Full,3,0),"")</f>
        <v/>
      </c>
      <c r="E390" s="12"/>
      <c r="F390" s="13" t="str">
        <f aca="false">IFERROR(VLOOKUP($B390,ItemList_Full,4,0),"")</f>
        <v/>
      </c>
      <c r="G390" s="13" t="str">
        <f aca="false">IF(OR($E390="",$F390=""),"",$E390*$F390)</f>
        <v/>
      </c>
      <c r="H390" s="12"/>
      <c r="I390" s="12"/>
      <c r="J390" s="1" t="str">
        <f aca="false">IFERROR(VLOOKUP($B390,ItemList_Full,5,0),"")</f>
        <v/>
      </c>
    </row>
    <row r="391" customFormat="false" ht="15" hidden="false" customHeight="true" outlineLevel="0" collapsed="false">
      <c r="A391" s="19"/>
      <c r="B391" s="12"/>
      <c r="C391" s="12" t="str">
        <f aca="false">IFERROR(VLOOKUP($B391,ItemList_Full,2,0),"")</f>
        <v/>
      </c>
      <c r="D391" s="12" t="str">
        <f aca="false">IFERROR(VLOOKUP($B391,ItemList_Full,3,0),"")</f>
        <v/>
      </c>
      <c r="E391" s="12"/>
      <c r="F391" s="13" t="str">
        <f aca="false">IFERROR(VLOOKUP($B391,ItemList_Full,4,0),"")</f>
        <v/>
      </c>
      <c r="G391" s="13" t="str">
        <f aca="false">IF(OR($E391="",$F391=""),"",$E391*$F391)</f>
        <v/>
      </c>
      <c r="H391" s="12"/>
      <c r="I391" s="12"/>
      <c r="J391" s="1" t="str">
        <f aca="false">IFERROR(VLOOKUP($B391,ItemList_Full,5,0),"")</f>
        <v/>
      </c>
    </row>
    <row r="392" customFormat="false" ht="15" hidden="false" customHeight="true" outlineLevel="0" collapsed="false">
      <c r="A392" s="19"/>
      <c r="B392" s="12"/>
      <c r="C392" s="12" t="str">
        <f aca="false">IFERROR(VLOOKUP($B392,ItemList_Full,2,0),"")</f>
        <v/>
      </c>
      <c r="D392" s="12" t="str">
        <f aca="false">IFERROR(VLOOKUP($B392,ItemList_Full,3,0),"")</f>
        <v/>
      </c>
      <c r="E392" s="12"/>
      <c r="F392" s="13" t="str">
        <f aca="false">IFERROR(VLOOKUP($B392,ItemList_Full,4,0),"")</f>
        <v/>
      </c>
      <c r="G392" s="13" t="str">
        <f aca="false">IF(OR($E392="",$F392=""),"",$E392*$F392)</f>
        <v/>
      </c>
      <c r="H392" s="12"/>
      <c r="I392" s="12"/>
      <c r="J392" s="1" t="str">
        <f aca="false">IFERROR(VLOOKUP($B392,ItemList_Full,5,0),"")</f>
        <v/>
      </c>
    </row>
    <row r="393" customFormat="false" ht="15" hidden="false" customHeight="true" outlineLevel="0" collapsed="false">
      <c r="A393" s="19"/>
      <c r="B393" s="12"/>
      <c r="C393" s="12" t="str">
        <f aca="false">IFERROR(VLOOKUP($B393,ItemList_Full,2,0),"")</f>
        <v/>
      </c>
      <c r="D393" s="12" t="str">
        <f aca="false">IFERROR(VLOOKUP($B393,ItemList_Full,3,0),"")</f>
        <v/>
      </c>
      <c r="E393" s="12"/>
      <c r="F393" s="13" t="str">
        <f aca="false">IFERROR(VLOOKUP($B393,ItemList_Full,4,0),"")</f>
        <v/>
      </c>
      <c r="G393" s="13" t="str">
        <f aca="false">IF(OR($E393="",$F393=""),"",$E393*$F393)</f>
        <v/>
      </c>
      <c r="H393" s="12"/>
      <c r="I393" s="12"/>
      <c r="J393" s="1" t="str">
        <f aca="false">IFERROR(VLOOKUP($B393,ItemList_Full,5,0),"")</f>
        <v/>
      </c>
    </row>
    <row r="394" customFormat="false" ht="15" hidden="false" customHeight="true" outlineLevel="0" collapsed="false">
      <c r="A394" s="19"/>
      <c r="B394" s="12"/>
      <c r="C394" s="12" t="str">
        <f aca="false">IFERROR(VLOOKUP($B394,ItemList_Full,2,0),"")</f>
        <v/>
      </c>
      <c r="D394" s="12" t="str">
        <f aca="false">IFERROR(VLOOKUP($B394,ItemList_Full,3,0),"")</f>
        <v/>
      </c>
      <c r="E394" s="12"/>
      <c r="F394" s="13" t="str">
        <f aca="false">IFERROR(VLOOKUP($B394,ItemList_Full,4,0),"")</f>
        <v/>
      </c>
      <c r="G394" s="13" t="str">
        <f aca="false">IF(OR($E394="",$F394=""),"",$E394*$F394)</f>
        <v/>
      </c>
      <c r="H394" s="12"/>
      <c r="I394" s="12"/>
      <c r="J394" s="1" t="str">
        <f aca="false">IFERROR(VLOOKUP($B394,ItemList_Full,5,0),"")</f>
        <v/>
      </c>
    </row>
    <row r="395" customFormat="false" ht="15" hidden="false" customHeight="true" outlineLevel="0" collapsed="false">
      <c r="A395" s="19"/>
      <c r="B395" s="12"/>
      <c r="C395" s="12" t="str">
        <f aca="false">IFERROR(VLOOKUP($B395,ItemList_Full,2,0),"")</f>
        <v/>
      </c>
      <c r="D395" s="12" t="str">
        <f aca="false">IFERROR(VLOOKUP($B395,ItemList_Full,3,0),"")</f>
        <v/>
      </c>
      <c r="E395" s="12"/>
      <c r="F395" s="13" t="str">
        <f aca="false">IFERROR(VLOOKUP($B395,ItemList_Full,4,0),"")</f>
        <v/>
      </c>
      <c r="G395" s="13" t="str">
        <f aca="false">IF(OR($E395="",$F395=""),"",$E395*$F395)</f>
        <v/>
      </c>
      <c r="H395" s="12"/>
      <c r="I395" s="12"/>
      <c r="J395" s="1" t="str">
        <f aca="false">IFERROR(VLOOKUP($B395,ItemList_Full,5,0),"")</f>
        <v/>
      </c>
    </row>
    <row r="396" customFormat="false" ht="15" hidden="false" customHeight="true" outlineLevel="0" collapsed="false">
      <c r="A396" s="19"/>
      <c r="B396" s="12"/>
      <c r="C396" s="12" t="str">
        <f aca="false">IFERROR(VLOOKUP($B396,ItemList_Full,2,0),"")</f>
        <v/>
      </c>
      <c r="D396" s="12" t="str">
        <f aca="false">IFERROR(VLOOKUP($B396,ItemList_Full,3,0),"")</f>
        <v/>
      </c>
      <c r="E396" s="12"/>
      <c r="F396" s="13" t="str">
        <f aca="false">IFERROR(VLOOKUP($B396,ItemList_Full,4,0),"")</f>
        <v/>
      </c>
      <c r="G396" s="13" t="str">
        <f aca="false">IF(OR($E396="",$F396=""),"",$E396*$F396)</f>
        <v/>
      </c>
      <c r="H396" s="12"/>
      <c r="I396" s="12"/>
      <c r="J396" s="1" t="str">
        <f aca="false">IFERROR(VLOOKUP($B396,ItemList_Full,5,0),"")</f>
        <v/>
      </c>
    </row>
    <row r="397" customFormat="false" ht="15" hidden="false" customHeight="true" outlineLevel="0" collapsed="false">
      <c r="A397" s="19"/>
      <c r="B397" s="12"/>
      <c r="C397" s="12" t="str">
        <f aca="false">IFERROR(VLOOKUP($B397,ItemList_Full,2,0),"")</f>
        <v/>
      </c>
      <c r="D397" s="12" t="str">
        <f aca="false">IFERROR(VLOOKUP($B397,ItemList_Full,3,0),"")</f>
        <v/>
      </c>
      <c r="E397" s="12"/>
      <c r="F397" s="13" t="str">
        <f aca="false">IFERROR(VLOOKUP($B397,ItemList_Full,4,0),"")</f>
        <v/>
      </c>
      <c r="G397" s="13" t="str">
        <f aca="false">IF(OR($E397="",$F397=""),"",$E397*$F397)</f>
        <v/>
      </c>
      <c r="H397" s="12"/>
      <c r="I397" s="12"/>
      <c r="J397" s="1" t="str">
        <f aca="false">IFERROR(VLOOKUP($B397,ItemList_Full,5,0),"")</f>
        <v/>
      </c>
    </row>
    <row r="398" customFormat="false" ht="15" hidden="false" customHeight="true" outlineLevel="0" collapsed="false">
      <c r="A398" s="19"/>
      <c r="B398" s="12"/>
      <c r="C398" s="12" t="str">
        <f aca="false">IFERROR(VLOOKUP($B398,ItemList_Full,2,0),"")</f>
        <v/>
      </c>
      <c r="D398" s="12" t="str">
        <f aca="false">IFERROR(VLOOKUP($B398,ItemList_Full,3,0),"")</f>
        <v/>
      </c>
      <c r="E398" s="12"/>
      <c r="F398" s="13" t="str">
        <f aca="false">IFERROR(VLOOKUP($B398,ItemList_Full,4,0),"")</f>
        <v/>
      </c>
      <c r="G398" s="13" t="str">
        <f aca="false">IF(OR($E398="",$F398=""),"",$E398*$F398)</f>
        <v/>
      </c>
      <c r="H398" s="12"/>
      <c r="I398" s="12"/>
      <c r="J398" s="1" t="str">
        <f aca="false">IFERROR(VLOOKUP($B398,ItemList_Full,5,0),"")</f>
        <v/>
      </c>
    </row>
    <row r="399" customFormat="false" ht="15" hidden="false" customHeight="true" outlineLevel="0" collapsed="false">
      <c r="A399" s="19"/>
      <c r="B399" s="12"/>
      <c r="C399" s="12" t="str">
        <f aca="false">IFERROR(VLOOKUP($B399,ItemList_Full,2,0),"")</f>
        <v/>
      </c>
      <c r="D399" s="12" t="str">
        <f aca="false">IFERROR(VLOOKUP($B399,ItemList_Full,3,0),"")</f>
        <v/>
      </c>
      <c r="E399" s="12"/>
      <c r="F399" s="13" t="str">
        <f aca="false">IFERROR(VLOOKUP($B399,ItemList_Full,4,0),"")</f>
        <v/>
      </c>
      <c r="G399" s="13" t="str">
        <f aca="false">IF(OR($E399="",$F399=""),"",$E399*$F399)</f>
        <v/>
      </c>
      <c r="H399" s="12"/>
      <c r="I399" s="12"/>
      <c r="J399" s="1" t="str">
        <f aca="false">IFERROR(VLOOKUP($B399,ItemList_Full,5,0),"")</f>
        <v/>
      </c>
    </row>
    <row r="400" customFormat="false" ht="15" hidden="false" customHeight="true" outlineLevel="0" collapsed="false">
      <c r="A400" s="19"/>
      <c r="B400" s="12"/>
      <c r="C400" s="12" t="str">
        <f aca="false">IFERROR(VLOOKUP($B400,ItemList_Full,2,0),"")</f>
        <v/>
      </c>
      <c r="D400" s="12" t="str">
        <f aca="false">IFERROR(VLOOKUP($B400,ItemList_Full,3,0),"")</f>
        <v/>
      </c>
      <c r="E400" s="12"/>
      <c r="F400" s="13" t="str">
        <f aca="false">IFERROR(VLOOKUP($B400,ItemList_Full,4,0),"")</f>
        <v/>
      </c>
      <c r="G400" s="13" t="str">
        <f aca="false">IF(OR($E400="",$F400=""),"",$E400*$F400)</f>
        <v/>
      </c>
      <c r="H400" s="12"/>
      <c r="I400" s="12"/>
      <c r="J400" s="1" t="str">
        <f aca="false">IFERROR(VLOOKUP($B400,ItemList_Full,5,0),"")</f>
        <v/>
      </c>
    </row>
    <row r="401" customFormat="false" ht="15" hidden="false" customHeight="true" outlineLevel="0" collapsed="false">
      <c r="A401" s="19"/>
      <c r="B401" s="12"/>
      <c r="C401" s="12" t="str">
        <f aca="false">IFERROR(VLOOKUP($B401,ItemList_Full,2,0),"")</f>
        <v/>
      </c>
      <c r="D401" s="12" t="str">
        <f aca="false">IFERROR(VLOOKUP($B401,ItemList_Full,3,0),"")</f>
        <v/>
      </c>
      <c r="E401" s="12"/>
      <c r="F401" s="13" t="str">
        <f aca="false">IFERROR(VLOOKUP($B401,ItemList_Full,4,0),"")</f>
        <v/>
      </c>
      <c r="G401" s="13" t="str">
        <f aca="false">IF(OR($E401="",$F401=""),"",$E401*$F401)</f>
        <v/>
      </c>
      <c r="H401" s="12"/>
      <c r="I401" s="12"/>
      <c r="J401" s="1" t="str">
        <f aca="false">IFERROR(VLOOKUP($B401,ItemList_Full,5,0),"")</f>
        <v/>
      </c>
    </row>
    <row r="402" customFormat="false" ht="15" hidden="false" customHeight="true" outlineLevel="0" collapsed="false">
      <c r="A402" s="19"/>
      <c r="B402" s="12"/>
      <c r="C402" s="12" t="str">
        <f aca="false">IFERROR(VLOOKUP($B402,ItemList_Full,2,0),"")</f>
        <v/>
      </c>
      <c r="D402" s="12" t="str">
        <f aca="false">IFERROR(VLOOKUP($B402,ItemList_Full,3,0),"")</f>
        <v/>
      </c>
      <c r="E402" s="12"/>
      <c r="F402" s="13" t="str">
        <f aca="false">IFERROR(VLOOKUP($B402,ItemList_Full,4,0),"")</f>
        <v/>
      </c>
      <c r="G402" s="13" t="str">
        <f aca="false">IF(OR($E402="",$F402=""),"",$E402*$F402)</f>
        <v/>
      </c>
      <c r="H402" s="12"/>
      <c r="I402" s="12"/>
      <c r="J402" s="1" t="str">
        <f aca="false">IFERROR(VLOOKUP($B402,ItemList_Full,5,0),"")</f>
        <v/>
      </c>
    </row>
    <row r="403" customFormat="false" ht="15" hidden="false" customHeight="true" outlineLevel="0" collapsed="false">
      <c r="A403" s="19"/>
      <c r="B403" s="12"/>
      <c r="C403" s="12" t="str">
        <f aca="false">IFERROR(VLOOKUP($B403,ItemList_Full,2,0),"")</f>
        <v/>
      </c>
      <c r="D403" s="12" t="str">
        <f aca="false">IFERROR(VLOOKUP($B403,ItemList_Full,3,0),"")</f>
        <v/>
      </c>
      <c r="E403" s="12"/>
      <c r="F403" s="13" t="str">
        <f aca="false">IFERROR(VLOOKUP($B403,ItemList_Full,4,0),"")</f>
        <v/>
      </c>
      <c r="G403" s="13" t="str">
        <f aca="false">IF(OR($E403="",$F403=""),"",$E403*$F403)</f>
        <v/>
      </c>
      <c r="H403" s="12"/>
      <c r="I403" s="12"/>
      <c r="J403" s="1" t="str">
        <f aca="false">IFERROR(VLOOKUP($B403,ItemList_Full,5,0),"")</f>
        <v/>
      </c>
    </row>
    <row r="404" customFormat="false" ht="15" hidden="false" customHeight="true" outlineLevel="0" collapsed="false">
      <c r="A404" s="19"/>
      <c r="B404" s="12"/>
      <c r="C404" s="12" t="str">
        <f aca="false">IFERROR(VLOOKUP($B404,ItemList_Full,2,0),"")</f>
        <v/>
      </c>
      <c r="D404" s="12" t="str">
        <f aca="false">IFERROR(VLOOKUP($B404,ItemList_Full,3,0),"")</f>
        <v/>
      </c>
      <c r="E404" s="12"/>
      <c r="F404" s="13" t="str">
        <f aca="false">IFERROR(VLOOKUP($B404,ItemList_Full,4,0),"")</f>
        <v/>
      </c>
      <c r="G404" s="13" t="str">
        <f aca="false">IF(OR($E404="",$F404=""),"",$E404*$F404)</f>
        <v/>
      </c>
      <c r="H404" s="12"/>
      <c r="I404" s="12"/>
      <c r="J404" s="1" t="str">
        <f aca="false">IFERROR(VLOOKUP($B404,ItemList_Full,5,0),"")</f>
        <v/>
      </c>
    </row>
    <row r="405" customFormat="false" ht="15" hidden="false" customHeight="true" outlineLevel="0" collapsed="false">
      <c r="A405" s="19"/>
      <c r="B405" s="12"/>
      <c r="C405" s="12" t="str">
        <f aca="false">IFERROR(VLOOKUP($B405,ItemList_Full,2,0),"")</f>
        <v/>
      </c>
      <c r="D405" s="12" t="str">
        <f aca="false">IFERROR(VLOOKUP($B405,ItemList_Full,3,0),"")</f>
        <v/>
      </c>
      <c r="E405" s="12"/>
      <c r="F405" s="13" t="str">
        <f aca="false">IFERROR(VLOOKUP($B405,ItemList_Full,4,0),"")</f>
        <v/>
      </c>
      <c r="G405" s="13" t="str">
        <f aca="false">IF(OR($E405="",$F405=""),"",$E405*$F405)</f>
        <v/>
      </c>
      <c r="H405" s="12"/>
      <c r="I405" s="12"/>
      <c r="J405" s="1" t="str">
        <f aca="false">IFERROR(VLOOKUP($B405,ItemList_Full,5,0),"")</f>
        <v/>
      </c>
    </row>
    <row r="406" customFormat="false" ht="15" hidden="false" customHeight="true" outlineLevel="0" collapsed="false">
      <c r="A406" s="19"/>
      <c r="B406" s="12"/>
      <c r="C406" s="12" t="str">
        <f aca="false">IFERROR(VLOOKUP($B406,ItemList_Full,2,0),"")</f>
        <v/>
      </c>
      <c r="D406" s="12" t="str">
        <f aca="false">IFERROR(VLOOKUP($B406,ItemList_Full,3,0),"")</f>
        <v/>
      </c>
      <c r="E406" s="12"/>
      <c r="F406" s="13" t="str">
        <f aca="false">IFERROR(VLOOKUP($B406,ItemList_Full,4,0),"")</f>
        <v/>
      </c>
      <c r="G406" s="13" t="str">
        <f aca="false">IF(OR($E406="",$F406=""),"",$E406*$F406)</f>
        <v/>
      </c>
      <c r="H406" s="12"/>
      <c r="I406" s="12"/>
      <c r="J406" s="1" t="str">
        <f aca="false">IFERROR(VLOOKUP($B406,ItemList_Full,5,0),"")</f>
        <v/>
      </c>
    </row>
    <row r="407" customFormat="false" ht="15" hidden="false" customHeight="true" outlineLevel="0" collapsed="false">
      <c r="A407" s="19"/>
      <c r="B407" s="12"/>
      <c r="C407" s="12" t="str">
        <f aca="false">IFERROR(VLOOKUP($B407,ItemList_Full,2,0),"")</f>
        <v/>
      </c>
      <c r="D407" s="12" t="str">
        <f aca="false">IFERROR(VLOOKUP($B407,ItemList_Full,3,0),"")</f>
        <v/>
      </c>
      <c r="E407" s="12"/>
      <c r="F407" s="13" t="str">
        <f aca="false">IFERROR(VLOOKUP($B407,ItemList_Full,4,0),"")</f>
        <v/>
      </c>
      <c r="G407" s="13" t="str">
        <f aca="false">IF(OR($E407="",$F407=""),"",$E407*$F407)</f>
        <v/>
      </c>
      <c r="H407" s="12"/>
      <c r="I407" s="12"/>
      <c r="J407" s="1" t="str">
        <f aca="false">IFERROR(VLOOKUP($B407,ItemList_Full,5,0),"")</f>
        <v/>
      </c>
    </row>
    <row r="408" customFormat="false" ht="15" hidden="false" customHeight="true" outlineLevel="0" collapsed="false">
      <c r="A408" s="19"/>
      <c r="B408" s="12"/>
      <c r="C408" s="12" t="str">
        <f aca="false">IFERROR(VLOOKUP($B408,ItemList_Full,2,0),"")</f>
        <v/>
      </c>
      <c r="D408" s="12" t="str">
        <f aca="false">IFERROR(VLOOKUP($B408,ItemList_Full,3,0),"")</f>
        <v/>
      </c>
      <c r="E408" s="12"/>
      <c r="F408" s="13" t="str">
        <f aca="false">IFERROR(VLOOKUP($B408,ItemList_Full,4,0),"")</f>
        <v/>
      </c>
      <c r="G408" s="13" t="str">
        <f aca="false">IF(OR($E408="",$F408=""),"",$E408*$F408)</f>
        <v/>
      </c>
      <c r="H408" s="12"/>
      <c r="I408" s="12"/>
      <c r="J408" s="1" t="str">
        <f aca="false">IFERROR(VLOOKUP($B408,ItemList_Full,5,0),"")</f>
        <v/>
      </c>
    </row>
    <row r="409" customFormat="false" ht="15" hidden="false" customHeight="true" outlineLevel="0" collapsed="false">
      <c r="A409" s="19"/>
      <c r="B409" s="12"/>
      <c r="C409" s="12" t="str">
        <f aca="false">IFERROR(VLOOKUP($B409,ItemList_Full,2,0),"")</f>
        <v/>
      </c>
      <c r="D409" s="12" t="str">
        <f aca="false">IFERROR(VLOOKUP($B409,ItemList_Full,3,0),"")</f>
        <v/>
      </c>
      <c r="E409" s="12"/>
      <c r="F409" s="13" t="str">
        <f aca="false">IFERROR(VLOOKUP($B409,ItemList_Full,4,0),"")</f>
        <v/>
      </c>
      <c r="G409" s="13" t="str">
        <f aca="false">IF(OR($E409="",$F409=""),"",$E409*$F409)</f>
        <v/>
      </c>
      <c r="H409" s="12"/>
      <c r="I409" s="12"/>
      <c r="J409" s="1" t="str">
        <f aca="false">IFERROR(VLOOKUP($B409,ItemList_Full,5,0),"")</f>
        <v/>
      </c>
    </row>
    <row r="410" customFormat="false" ht="15" hidden="false" customHeight="true" outlineLevel="0" collapsed="false">
      <c r="A410" s="19"/>
      <c r="B410" s="12"/>
      <c r="C410" s="12" t="str">
        <f aca="false">IFERROR(VLOOKUP($B410,ItemList_Full,2,0),"")</f>
        <v/>
      </c>
      <c r="D410" s="12" t="str">
        <f aca="false">IFERROR(VLOOKUP($B410,ItemList_Full,3,0),"")</f>
        <v/>
      </c>
      <c r="E410" s="12"/>
      <c r="F410" s="13" t="str">
        <f aca="false">IFERROR(VLOOKUP($B410,ItemList_Full,4,0),"")</f>
        <v/>
      </c>
      <c r="G410" s="13" t="str">
        <f aca="false">IF(OR($E410="",$F410=""),"",$E410*$F410)</f>
        <v/>
      </c>
      <c r="H410" s="12"/>
      <c r="I410" s="12"/>
      <c r="J410" s="1" t="str">
        <f aca="false">IFERROR(VLOOKUP($B410,ItemList_Full,5,0),"")</f>
        <v/>
      </c>
    </row>
    <row r="411" customFormat="false" ht="15" hidden="false" customHeight="true" outlineLevel="0" collapsed="false">
      <c r="A411" s="19"/>
      <c r="B411" s="12"/>
      <c r="C411" s="12" t="str">
        <f aca="false">IFERROR(VLOOKUP($B411,ItemList_Full,2,0),"")</f>
        <v/>
      </c>
      <c r="D411" s="12" t="str">
        <f aca="false">IFERROR(VLOOKUP($B411,ItemList_Full,3,0),"")</f>
        <v/>
      </c>
      <c r="E411" s="12"/>
      <c r="F411" s="13" t="str">
        <f aca="false">IFERROR(VLOOKUP($B411,ItemList_Full,4,0),"")</f>
        <v/>
      </c>
      <c r="G411" s="13" t="str">
        <f aca="false">IF(OR($E411="",$F411=""),"",$E411*$F411)</f>
        <v/>
      </c>
      <c r="H411" s="12"/>
      <c r="I411" s="12"/>
      <c r="J411" s="1" t="str">
        <f aca="false">IFERROR(VLOOKUP($B411,ItemList_Full,5,0),"")</f>
        <v/>
      </c>
    </row>
    <row r="412" customFormat="false" ht="15" hidden="false" customHeight="true" outlineLevel="0" collapsed="false">
      <c r="A412" s="19"/>
      <c r="B412" s="12"/>
      <c r="C412" s="12" t="str">
        <f aca="false">IFERROR(VLOOKUP($B412,ItemList_Full,2,0),"")</f>
        <v/>
      </c>
      <c r="D412" s="12" t="str">
        <f aca="false">IFERROR(VLOOKUP($B412,ItemList_Full,3,0),"")</f>
        <v/>
      </c>
      <c r="E412" s="12"/>
      <c r="F412" s="13" t="str">
        <f aca="false">IFERROR(VLOOKUP($B412,ItemList_Full,4,0),"")</f>
        <v/>
      </c>
      <c r="G412" s="13" t="str">
        <f aca="false">IF(OR($E412="",$F412=""),"",$E412*$F412)</f>
        <v/>
      </c>
      <c r="H412" s="12"/>
      <c r="I412" s="12"/>
      <c r="J412" s="1" t="str">
        <f aca="false">IFERROR(VLOOKUP($B412,ItemList_Full,5,0),"")</f>
        <v/>
      </c>
    </row>
    <row r="413" customFormat="false" ht="15" hidden="false" customHeight="true" outlineLevel="0" collapsed="false">
      <c r="A413" s="19"/>
      <c r="B413" s="12"/>
      <c r="C413" s="12" t="str">
        <f aca="false">IFERROR(VLOOKUP($B413,ItemList_Full,2,0),"")</f>
        <v/>
      </c>
      <c r="D413" s="12" t="str">
        <f aca="false">IFERROR(VLOOKUP($B413,ItemList_Full,3,0),"")</f>
        <v/>
      </c>
      <c r="E413" s="12"/>
      <c r="F413" s="13" t="str">
        <f aca="false">IFERROR(VLOOKUP($B413,ItemList_Full,4,0),"")</f>
        <v/>
      </c>
      <c r="G413" s="13" t="str">
        <f aca="false">IF(OR($E413="",$F413=""),"",$E413*$F413)</f>
        <v/>
      </c>
      <c r="H413" s="12"/>
      <c r="I413" s="12"/>
      <c r="J413" s="1" t="str">
        <f aca="false">IFERROR(VLOOKUP($B413,ItemList_Full,5,0),"")</f>
        <v/>
      </c>
    </row>
    <row r="414" customFormat="false" ht="15" hidden="false" customHeight="true" outlineLevel="0" collapsed="false">
      <c r="A414" s="19"/>
      <c r="B414" s="12"/>
      <c r="C414" s="12" t="str">
        <f aca="false">IFERROR(VLOOKUP($B414,ItemList_Full,2,0),"")</f>
        <v/>
      </c>
      <c r="D414" s="12" t="str">
        <f aca="false">IFERROR(VLOOKUP($B414,ItemList_Full,3,0),"")</f>
        <v/>
      </c>
      <c r="E414" s="12"/>
      <c r="F414" s="13" t="str">
        <f aca="false">IFERROR(VLOOKUP($B414,ItemList_Full,4,0),"")</f>
        <v/>
      </c>
      <c r="G414" s="13" t="str">
        <f aca="false">IF(OR($E414="",$F414=""),"",$E414*$F414)</f>
        <v/>
      </c>
      <c r="H414" s="12"/>
      <c r="I414" s="12"/>
      <c r="J414" s="1" t="str">
        <f aca="false">IFERROR(VLOOKUP($B414,ItemList_Full,5,0),"")</f>
        <v/>
      </c>
    </row>
    <row r="415" customFormat="false" ht="15" hidden="false" customHeight="true" outlineLevel="0" collapsed="false">
      <c r="A415" s="19"/>
      <c r="B415" s="12"/>
      <c r="C415" s="12" t="str">
        <f aca="false">IFERROR(VLOOKUP($B415,ItemList_Full,2,0),"")</f>
        <v/>
      </c>
      <c r="D415" s="12" t="str">
        <f aca="false">IFERROR(VLOOKUP($B415,ItemList_Full,3,0),"")</f>
        <v/>
      </c>
      <c r="E415" s="12"/>
      <c r="F415" s="13" t="str">
        <f aca="false">IFERROR(VLOOKUP($B415,ItemList_Full,4,0),"")</f>
        <v/>
      </c>
      <c r="G415" s="13" t="str">
        <f aca="false">IF(OR($E415="",$F415=""),"",$E415*$F415)</f>
        <v/>
      </c>
      <c r="H415" s="12"/>
      <c r="I415" s="12"/>
      <c r="J415" s="1" t="str">
        <f aca="false">IFERROR(VLOOKUP($B415,ItemList_Full,5,0),"")</f>
        <v/>
      </c>
    </row>
    <row r="416" customFormat="false" ht="15" hidden="false" customHeight="true" outlineLevel="0" collapsed="false">
      <c r="A416" s="19"/>
      <c r="B416" s="12"/>
      <c r="C416" s="12" t="str">
        <f aca="false">IFERROR(VLOOKUP($B416,ItemList_Full,2,0),"")</f>
        <v/>
      </c>
      <c r="D416" s="12" t="str">
        <f aca="false">IFERROR(VLOOKUP($B416,ItemList_Full,3,0),"")</f>
        <v/>
      </c>
      <c r="E416" s="12"/>
      <c r="F416" s="13" t="str">
        <f aca="false">IFERROR(VLOOKUP($B416,ItemList_Full,4,0),"")</f>
        <v/>
      </c>
      <c r="G416" s="13" t="str">
        <f aca="false">IF(OR($E416="",$F416=""),"",$E416*$F416)</f>
        <v/>
      </c>
      <c r="H416" s="12"/>
      <c r="I416" s="12"/>
      <c r="J416" s="1" t="str">
        <f aca="false">IFERROR(VLOOKUP($B416,ItemList_Full,5,0),"")</f>
        <v/>
      </c>
    </row>
    <row r="417" customFormat="false" ht="15" hidden="false" customHeight="true" outlineLevel="0" collapsed="false">
      <c r="A417" s="19"/>
      <c r="B417" s="12"/>
      <c r="C417" s="12" t="str">
        <f aca="false">IFERROR(VLOOKUP($B417,ItemList_Full,2,0),"")</f>
        <v/>
      </c>
      <c r="D417" s="12" t="str">
        <f aca="false">IFERROR(VLOOKUP($B417,ItemList_Full,3,0),"")</f>
        <v/>
      </c>
      <c r="E417" s="12"/>
      <c r="F417" s="13" t="str">
        <f aca="false">IFERROR(VLOOKUP($B417,ItemList_Full,4,0),"")</f>
        <v/>
      </c>
      <c r="G417" s="13" t="str">
        <f aca="false">IF(OR($E417="",$F417=""),"",$E417*$F417)</f>
        <v/>
      </c>
      <c r="H417" s="12"/>
      <c r="I417" s="12"/>
      <c r="J417" s="1" t="str">
        <f aca="false">IFERROR(VLOOKUP($B417,ItemList_Full,5,0),"")</f>
        <v/>
      </c>
    </row>
    <row r="418" customFormat="false" ht="15" hidden="false" customHeight="true" outlineLevel="0" collapsed="false">
      <c r="A418" s="19"/>
      <c r="B418" s="12"/>
      <c r="C418" s="12" t="str">
        <f aca="false">IFERROR(VLOOKUP($B418,ItemList_Full,2,0),"")</f>
        <v/>
      </c>
      <c r="D418" s="12" t="str">
        <f aca="false">IFERROR(VLOOKUP($B418,ItemList_Full,3,0),"")</f>
        <v/>
      </c>
      <c r="E418" s="12"/>
      <c r="F418" s="13" t="str">
        <f aca="false">IFERROR(VLOOKUP($B418,ItemList_Full,4,0),"")</f>
        <v/>
      </c>
      <c r="G418" s="13" t="str">
        <f aca="false">IF(OR($E418="",$F418=""),"",$E418*$F418)</f>
        <v/>
      </c>
      <c r="H418" s="12"/>
      <c r="I418" s="12"/>
      <c r="J418" s="1" t="str">
        <f aca="false">IFERROR(VLOOKUP($B418,ItemList_Full,5,0),"")</f>
        <v/>
      </c>
    </row>
    <row r="419" customFormat="false" ht="15" hidden="false" customHeight="true" outlineLevel="0" collapsed="false">
      <c r="A419" s="19"/>
      <c r="B419" s="12"/>
      <c r="C419" s="12" t="str">
        <f aca="false">IFERROR(VLOOKUP($B419,ItemList_Full,2,0),"")</f>
        <v/>
      </c>
      <c r="D419" s="12" t="str">
        <f aca="false">IFERROR(VLOOKUP($B419,ItemList_Full,3,0),"")</f>
        <v/>
      </c>
      <c r="E419" s="12"/>
      <c r="F419" s="13" t="str">
        <f aca="false">IFERROR(VLOOKUP($B419,ItemList_Full,4,0),"")</f>
        <v/>
      </c>
      <c r="G419" s="13" t="str">
        <f aca="false">IF(OR($E419="",$F419=""),"",$E419*$F419)</f>
        <v/>
      </c>
      <c r="H419" s="12"/>
      <c r="I419" s="12"/>
      <c r="J419" s="1" t="str">
        <f aca="false">IFERROR(VLOOKUP($B419,ItemList_Full,5,0),"")</f>
        <v/>
      </c>
    </row>
    <row r="420" customFormat="false" ht="15" hidden="false" customHeight="true" outlineLevel="0" collapsed="false">
      <c r="A420" s="19"/>
      <c r="B420" s="12"/>
      <c r="C420" s="12" t="str">
        <f aca="false">IFERROR(VLOOKUP($B420,ItemList_Full,2,0),"")</f>
        <v/>
      </c>
      <c r="D420" s="12" t="str">
        <f aca="false">IFERROR(VLOOKUP($B420,ItemList_Full,3,0),"")</f>
        <v/>
      </c>
      <c r="E420" s="12"/>
      <c r="F420" s="13" t="str">
        <f aca="false">IFERROR(VLOOKUP($B420,ItemList_Full,4,0),"")</f>
        <v/>
      </c>
      <c r="G420" s="13" t="str">
        <f aca="false">IF(OR($E420="",$F420=""),"",$E420*$F420)</f>
        <v/>
      </c>
      <c r="H420" s="12"/>
      <c r="I420" s="12"/>
      <c r="J420" s="1" t="str">
        <f aca="false">IFERROR(VLOOKUP($B420,ItemList_Full,5,0),"")</f>
        <v/>
      </c>
    </row>
    <row r="421" customFormat="false" ht="15" hidden="false" customHeight="true" outlineLevel="0" collapsed="false">
      <c r="A421" s="19"/>
      <c r="B421" s="12"/>
      <c r="C421" s="12" t="str">
        <f aca="false">IFERROR(VLOOKUP($B421,ItemList_Full,2,0),"")</f>
        <v/>
      </c>
      <c r="D421" s="12" t="str">
        <f aca="false">IFERROR(VLOOKUP($B421,ItemList_Full,3,0),"")</f>
        <v/>
      </c>
      <c r="E421" s="12"/>
      <c r="F421" s="13" t="str">
        <f aca="false">IFERROR(VLOOKUP($B421,ItemList_Full,4,0),"")</f>
        <v/>
      </c>
      <c r="G421" s="13" t="str">
        <f aca="false">IF(OR($E421="",$F421=""),"",$E421*$F421)</f>
        <v/>
      </c>
      <c r="H421" s="12"/>
      <c r="I421" s="12"/>
      <c r="J421" s="1" t="str">
        <f aca="false">IFERROR(VLOOKUP($B421,ItemList_Full,5,0),"")</f>
        <v/>
      </c>
    </row>
    <row r="422" customFormat="false" ht="15" hidden="false" customHeight="true" outlineLevel="0" collapsed="false">
      <c r="A422" s="19"/>
      <c r="B422" s="12"/>
      <c r="C422" s="12" t="str">
        <f aca="false">IFERROR(VLOOKUP($B422,ItemList_Full,2,0),"")</f>
        <v/>
      </c>
      <c r="D422" s="12" t="str">
        <f aca="false">IFERROR(VLOOKUP($B422,ItemList_Full,3,0),"")</f>
        <v/>
      </c>
      <c r="E422" s="12"/>
      <c r="F422" s="13" t="str">
        <f aca="false">IFERROR(VLOOKUP($B422,ItemList_Full,4,0),"")</f>
        <v/>
      </c>
      <c r="G422" s="13" t="str">
        <f aca="false">IF(OR($E422="",$F422=""),"",$E422*$F422)</f>
        <v/>
      </c>
      <c r="H422" s="12"/>
      <c r="I422" s="12"/>
      <c r="J422" s="1" t="str">
        <f aca="false">IFERROR(VLOOKUP($B422,ItemList_Full,5,0),"")</f>
        <v/>
      </c>
    </row>
    <row r="423" customFormat="false" ht="15" hidden="false" customHeight="true" outlineLevel="0" collapsed="false">
      <c r="A423" s="19"/>
      <c r="B423" s="12"/>
      <c r="C423" s="12" t="str">
        <f aca="false">IFERROR(VLOOKUP($B423,ItemList_Full,2,0),"")</f>
        <v/>
      </c>
      <c r="D423" s="12" t="str">
        <f aca="false">IFERROR(VLOOKUP($B423,ItemList_Full,3,0),"")</f>
        <v/>
      </c>
      <c r="E423" s="12"/>
      <c r="F423" s="13" t="str">
        <f aca="false">IFERROR(VLOOKUP($B423,ItemList_Full,4,0),"")</f>
        <v/>
      </c>
      <c r="G423" s="13" t="str">
        <f aca="false">IF(OR($E423="",$F423=""),"",$E423*$F423)</f>
        <v/>
      </c>
      <c r="H423" s="12"/>
      <c r="I423" s="12"/>
      <c r="J423" s="1" t="str">
        <f aca="false">IFERROR(VLOOKUP($B423,ItemList_Full,5,0),"")</f>
        <v/>
      </c>
    </row>
    <row r="424" customFormat="false" ht="15" hidden="false" customHeight="true" outlineLevel="0" collapsed="false">
      <c r="A424" s="19"/>
      <c r="B424" s="12"/>
      <c r="C424" s="12" t="str">
        <f aca="false">IFERROR(VLOOKUP($B424,ItemList_Full,2,0),"")</f>
        <v/>
      </c>
      <c r="D424" s="12" t="str">
        <f aca="false">IFERROR(VLOOKUP($B424,ItemList_Full,3,0),"")</f>
        <v/>
      </c>
      <c r="E424" s="12"/>
      <c r="F424" s="13" t="str">
        <f aca="false">IFERROR(VLOOKUP($B424,ItemList_Full,4,0),"")</f>
        <v/>
      </c>
      <c r="G424" s="13" t="str">
        <f aca="false">IF(OR($E424="",$F424=""),"",$E424*$F424)</f>
        <v/>
      </c>
      <c r="H424" s="12"/>
      <c r="I424" s="12"/>
      <c r="J424" s="1" t="str">
        <f aca="false">IFERROR(VLOOKUP($B424,ItemList_Full,5,0),"")</f>
        <v/>
      </c>
    </row>
    <row r="425" customFormat="false" ht="15" hidden="false" customHeight="true" outlineLevel="0" collapsed="false">
      <c r="A425" s="19"/>
      <c r="B425" s="12"/>
      <c r="C425" s="12" t="str">
        <f aca="false">IFERROR(VLOOKUP($B425,ItemList_Full,2,0),"")</f>
        <v/>
      </c>
      <c r="D425" s="12" t="str">
        <f aca="false">IFERROR(VLOOKUP($B425,ItemList_Full,3,0),"")</f>
        <v/>
      </c>
      <c r="E425" s="12"/>
      <c r="F425" s="13" t="str">
        <f aca="false">IFERROR(VLOOKUP($B425,ItemList_Full,4,0),"")</f>
        <v/>
      </c>
      <c r="G425" s="13" t="str">
        <f aca="false">IF(OR($E425="",$F425=""),"",$E425*$F425)</f>
        <v/>
      </c>
      <c r="H425" s="12"/>
      <c r="I425" s="12"/>
      <c r="J425" s="1" t="str">
        <f aca="false">IFERROR(VLOOKUP($B425,ItemList_Full,5,0),"")</f>
        <v/>
      </c>
    </row>
    <row r="426" customFormat="false" ht="15" hidden="false" customHeight="true" outlineLevel="0" collapsed="false">
      <c r="A426" s="19"/>
      <c r="B426" s="12"/>
      <c r="C426" s="12" t="str">
        <f aca="false">IFERROR(VLOOKUP($B426,ItemList_Full,2,0),"")</f>
        <v/>
      </c>
      <c r="D426" s="12" t="str">
        <f aca="false">IFERROR(VLOOKUP($B426,ItemList_Full,3,0),"")</f>
        <v/>
      </c>
      <c r="E426" s="12"/>
      <c r="F426" s="13" t="str">
        <f aca="false">IFERROR(VLOOKUP($B426,ItemList_Full,4,0),"")</f>
        <v/>
      </c>
      <c r="G426" s="13" t="str">
        <f aca="false">IF(OR($E426="",$F426=""),"",$E426*$F426)</f>
        <v/>
      </c>
      <c r="H426" s="12"/>
      <c r="I426" s="12"/>
      <c r="J426" s="1" t="str">
        <f aca="false">IFERROR(VLOOKUP($B426,ItemList_Full,5,0),"")</f>
        <v/>
      </c>
    </row>
    <row r="427" customFormat="false" ht="15" hidden="false" customHeight="true" outlineLevel="0" collapsed="false">
      <c r="A427" s="19"/>
      <c r="B427" s="12"/>
      <c r="C427" s="12" t="str">
        <f aca="false">IFERROR(VLOOKUP($B427,ItemList_Full,2,0),"")</f>
        <v/>
      </c>
      <c r="D427" s="12" t="str">
        <f aca="false">IFERROR(VLOOKUP($B427,ItemList_Full,3,0),"")</f>
        <v/>
      </c>
      <c r="E427" s="12"/>
      <c r="F427" s="13" t="str">
        <f aca="false">IFERROR(VLOOKUP($B427,ItemList_Full,4,0),"")</f>
        <v/>
      </c>
      <c r="G427" s="13" t="str">
        <f aca="false">IF(OR($E427="",$F427=""),"",$E427*$F427)</f>
        <v/>
      </c>
      <c r="H427" s="12"/>
      <c r="I427" s="12"/>
      <c r="J427" s="1" t="str">
        <f aca="false">IFERROR(VLOOKUP($B427,ItemList_Full,5,0),"")</f>
        <v/>
      </c>
    </row>
    <row r="428" customFormat="false" ht="15" hidden="false" customHeight="true" outlineLevel="0" collapsed="false">
      <c r="A428" s="19"/>
      <c r="B428" s="12"/>
      <c r="C428" s="12" t="str">
        <f aca="false">IFERROR(VLOOKUP($B428,ItemList_Full,2,0),"")</f>
        <v/>
      </c>
      <c r="D428" s="12" t="str">
        <f aca="false">IFERROR(VLOOKUP($B428,ItemList_Full,3,0),"")</f>
        <v/>
      </c>
      <c r="E428" s="12"/>
      <c r="F428" s="13" t="str">
        <f aca="false">IFERROR(VLOOKUP($B428,ItemList_Full,4,0),"")</f>
        <v/>
      </c>
      <c r="G428" s="13" t="str">
        <f aca="false">IF(OR($E428="",$F428=""),"",$E428*$F428)</f>
        <v/>
      </c>
      <c r="H428" s="12"/>
      <c r="I428" s="12"/>
      <c r="J428" s="1" t="str">
        <f aca="false">IFERROR(VLOOKUP($B428,ItemList_Full,5,0),"")</f>
        <v/>
      </c>
    </row>
    <row r="429" customFormat="false" ht="15" hidden="false" customHeight="true" outlineLevel="0" collapsed="false">
      <c r="A429" s="19"/>
      <c r="B429" s="12"/>
      <c r="C429" s="12" t="str">
        <f aca="false">IFERROR(VLOOKUP($B429,ItemList_Full,2,0),"")</f>
        <v/>
      </c>
      <c r="D429" s="12" t="str">
        <f aca="false">IFERROR(VLOOKUP($B429,ItemList_Full,3,0),"")</f>
        <v/>
      </c>
      <c r="E429" s="12"/>
      <c r="F429" s="13" t="str">
        <f aca="false">IFERROR(VLOOKUP($B429,ItemList_Full,4,0),"")</f>
        <v/>
      </c>
      <c r="G429" s="13" t="str">
        <f aca="false">IF(OR($E429="",$F429=""),"",$E429*$F429)</f>
        <v/>
      </c>
      <c r="H429" s="12"/>
      <c r="I429" s="12"/>
      <c r="J429" s="1" t="str">
        <f aca="false">IFERROR(VLOOKUP($B429,ItemList_Full,5,0),"")</f>
        <v/>
      </c>
    </row>
    <row r="430" customFormat="false" ht="15" hidden="false" customHeight="true" outlineLevel="0" collapsed="false">
      <c r="A430" s="19"/>
      <c r="B430" s="12"/>
      <c r="C430" s="12" t="str">
        <f aca="false">IFERROR(VLOOKUP($B430,ItemList_Full,2,0),"")</f>
        <v/>
      </c>
      <c r="D430" s="12" t="str">
        <f aca="false">IFERROR(VLOOKUP($B430,ItemList_Full,3,0),"")</f>
        <v/>
      </c>
      <c r="E430" s="12"/>
      <c r="F430" s="13" t="str">
        <f aca="false">IFERROR(VLOOKUP($B430,ItemList_Full,4,0),"")</f>
        <v/>
      </c>
      <c r="G430" s="13" t="str">
        <f aca="false">IF(OR($E430="",$F430=""),"",$E430*$F430)</f>
        <v/>
      </c>
      <c r="H430" s="12"/>
      <c r="I430" s="12"/>
      <c r="J430" s="1" t="str">
        <f aca="false">IFERROR(VLOOKUP($B430,ItemList_Full,5,0),"")</f>
        <v/>
      </c>
    </row>
    <row r="431" customFormat="false" ht="15" hidden="false" customHeight="true" outlineLevel="0" collapsed="false">
      <c r="A431" s="19"/>
      <c r="B431" s="12"/>
      <c r="C431" s="12" t="str">
        <f aca="false">IFERROR(VLOOKUP($B431,ItemList_Full,2,0),"")</f>
        <v/>
      </c>
      <c r="D431" s="12" t="str">
        <f aca="false">IFERROR(VLOOKUP($B431,ItemList_Full,3,0),"")</f>
        <v/>
      </c>
      <c r="E431" s="12"/>
      <c r="F431" s="13" t="str">
        <f aca="false">IFERROR(VLOOKUP($B431,ItemList_Full,4,0),"")</f>
        <v/>
      </c>
      <c r="G431" s="13" t="str">
        <f aca="false">IF(OR($E431="",$F431=""),"",$E431*$F431)</f>
        <v/>
      </c>
      <c r="H431" s="12"/>
      <c r="I431" s="12"/>
      <c r="J431" s="1" t="str">
        <f aca="false">IFERROR(VLOOKUP($B431,ItemList_Full,5,0),"")</f>
        <v/>
      </c>
    </row>
    <row r="432" customFormat="false" ht="15" hidden="false" customHeight="true" outlineLevel="0" collapsed="false">
      <c r="A432" s="19"/>
      <c r="B432" s="12"/>
      <c r="C432" s="12" t="str">
        <f aca="false">IFERROR(VLOOKUP($B432,ItemList_Full,2,0),"")</f>
        <v/>
      </c>
      <c r="D432" s="12" t="str">
        <f aca="false">IFERROR(VLOOKUP($B432,ItemList_Full,3,0),"")</f>
        <v/>
      </c>
      <c r="E432" s="12"/>
      <c r="F432" s="13" t="str">
        <f aca="false">IFERROR(VLOOKUP($B432,ItemList_Full,4,0),"")</f>
        <v/>
      </c>
      <c r="G432" s="13" t="str">
        <f aca="false">IF(OR($E432="",$F432=""),"",$E432*$F432)</f>
        <v/>
      </c>
      <c r="H432" s="12"/>
      <c r="I432" s="12"/>
      <c r="J432" s="1" t="str">
        <f aca="false">IFERROR(VLOOKUP($B432,ItemList_Full,5,0),"")</f>
        <v/>
      </c>
    </row>
    <row r="433" customFormat="false" ht="15" hidden="false" customHeight="true" outlineLevel="0" collapsed="false">
      <c r="A433" s="19"/>
      <c r="B433" s="12"/>
      <c r="C433" s="12" t="str">
        <f aca="false">IFERROR(VLOOKUP($B433,ItemList_Full,2,0),"")</f>
        <v/>
      </c>
      <c r="D433" s="12" t="str">
        <f aca="false">IFERROR(VLOOKUP($B433,ItemList_Full,3,0),"")</f>
        <v/>
      </c>
      <c r="E433" s="12"/>
      <c r="F433" s="13" t="str">
        <f aca="false">IFERROR(VLOOKUP($B433,ItemList_Full,4,0),"")</f>
        <v/>
      </c>
      <c r="G433" s="13" t="str">
        <f aca="false">IF(OR($E433="",$F433=""),"",$E433*$F433)</f>
        <v/>
      </c>
      <c r="H433" s="12"/>
      <c r="I433" s="12"/>
      <c r="J433" s="1" t="str">
        <f aca="false">IFERROR(VLOOKUP($B433,ItemList_Full,5,0),"")</f>
        <v/>
      </c>
    </row>
    <row r="434" customFormat="false" ht="15" hidden="false" customHeight="true" outlineLevel="0" collapsed="false">
      <c r="A434" s="19"/>
      <c r="B434" s="12"/>
      <c r="C434" s="12" t="str">
        <f aca="false">IFERROR(VLOOKUP($B434,ItemList_Full,2,0),"")</f>
        <v/>
      </c>
      <c r="D434" s="12" t="str">
        <f aca="false">IFERROR(VLOOKUP($B434,ItemList_Full,3,0),"")</f>
        <v/>
      </c>
      <c r="E434" s="12"/>
      <c r="F434" s="13" t="str">
        <f aca="false">IFERROR(VLOOKUP($B434,ItemList_Full,4,0),"")</f>
        <v/>
      </c>
      <c r="G434" s="13" t="str">
        <f aca="false">IF(OR($E434="",$F434=""),"",$E434*$F434)</f>
        <v/>
      </c>
      <c r="H434" s="12"/>
      <c r="I434" s="12"/>
      <c r="J434" s="1" t="str">
        <f aca="false">IFERROR(VLOOKUP($B434,ItemList_Full,5,0),"")</f>
        <v/>
      </c>
    </row>
    <row r="435" customFormat="false" ht="15" hidden="false" customHeight="true" outlineLevel="0" collapsed="false">
      <c r="A435" s="19"/>
      <c r="B435" s="12"/>
      <c r="C435" s="12" t="str">
        <f aca="false">IFERROR(VLOOKUP($B435,ItemList_Full,2,0),"")</f>
        <v/>
      </c>
      <c r="D435" s="12" t="str">
        <f aca="false">IFERROR(VLOOKUP($B435,ItemList_Full,3,0),"")</f>
        <v/>
      </c>
      <c r="E435" s="12"/>
      <c r="F435" s="13" t="str">
        <f aca="false">IFERROR(VLOOKUP($B435,ItemList_Full,4,0),"")</f>
        <v/>
      </c>
      <c r="G435" s="13" t="str">
        <f aca="false">IF(OR($E435="",$F435=""),"",$E435*$F435)</f>
        <v/>
      </c>
      <c r="H435" s="12"/>
      <c r="I435" s="12"/>
      <c r="J435" s="1" t="str">
        <f aca="false">IFERROR(VLOOKUP($B435,ItemList_Full,5,0),"")</f>
        <v/>
      </c>
    </row>
    <row r="436" customFormat="false" ht="15" hidden="false" customHeight="true" outlineLevel="0" collapsed="false">
      <c r="A436" s="19"/>
      <c r="B436" s="12"/>
      <c r="C436" s="12" t="str">
        <f aca="false">IFERROR(VLOOKUP($B436,ItemList_Full,2,0),"")</f>
        <v/>
      </c>
      <c r="D436" s="12" t="str">
        <f aca="false">IFERROR(VLOOKUP($B436,ItemList_Full,3,0),"")</f>
        <v/>
      </c>
      <c r="E436" s="12"/>
      <c r="F436" s="13" t="str">
        <f aca="false">IFERROR(VLOOKUP($B436,ItemList_Full,4,0),"")</f>
        <v/>
      </c>
      <c r="G436" s="13" t="str">
        <f aca="false">IF(OR($E436="",$F436=""),"",$E436*$F436)</f>
        <v/>
      </c>
      <c r="H436" s="12"/>
      <c r="I436" s="12"/>
      <c r="J436" s="1" t="str">
        <f aca="false">IFERROR(VLOOKUP($B436,ItemList_Full,5,0),"")</f>
        <v/>
      </c>
    </row>
    <row r="437" customFormat="false" ht="15" hidden="false" customHeight="true" outlineLevel="0" collapsed="false">
      <c r="A437" s="19"/>
      <c r="B437" s="12"/>
      <c r="C437" s="12" t="str">
        <f aca="false">IFERROR(VLOOKUP($B437,ItemList_Full,2,0),"")</f>
        <v/>
      </c>
      <c r="D437" s="12" t="str">
        <f aca="false">IFERROR(VLOOKUP($B437,ItemList_Full,3,0),"")</f>
        <v/>
      </c>
      <c r="E437" s="12"/>
      <c r="F437" s="13" t="str">
        <f aca="false">IFERROR(VLOOKUP($B437,ItemList_Full,4,0),"")</f>
        <v/>
      </c>
      <c r="G437" s="13" t="str">
        <f aca="false">IF(OR($E437="",$F437=""),"",$E437*$F437)</f>
        <v/>
      </c>
      <c r="H437" s="12"/>
      <c r="I437" s="12"/>
      <c r="J437" s="1" t="str">
        <f aca="false">IFERROR(VLOOKUP($B437,ItemList_Full,5,0),"")</f>
        <v/>
      </c>
    </row>
    <row r="438" customFormat="false" ht="15" hidden="false" customHeight="true" outlineLevel="0" collapsed="false">
      <c r="A438" s="19"/>
      <c r="B438" s="12"/>
      <c r="C438" s="12" t="str">
        <f aca="false">IFERROR(VLOOKUP($B438,ItemList_Full,2,0),"")</f>
        <v/>
      </c>
      <c r="D438" s="12" t="str">
        <f aca="false">IFERROR(VLOOKUP($B438,ItemList_Full,3,0),"")</f>
        <v/>
      </c>
      <c r="E438" s="12"/>
      <c r="F438" s="13" t="str">
        <f aca="false">IFERROR(VLOOKUP($B438,ItemList_Full,4,0),"")</f>
        <v/>
      </c>
      <c r="G438" s="13" t="str">
        <f aca="false">IF(OR($E438="",$F438=""),"",$E438*$F438)</f>
        <v/>
      </c>
      <c r="H438" s="12"/>
      <c r="I438" s="12"/>
      <c r="J438" s="1" t="str">
        <f aca="false">IFERROR(VLOOKUP($B438,ItemList_Full,5,0),"")</f>
        <v/>
      </c>
    </row>
    <row r="439" customFormat="false" ht="15" hidden="false" customHeight="true" outlineLevel="0" collapsed="false">
      <c r="A439" s="19"/>
      <c r="B439" s="12"/>
      <c r="C439" s="12" t="str">
        <f aca="false">IFERROR(VLOOKUP($B439,ItemList_Full,2,0),"")</f>
        <v/>
      </c>
      <c r="D439" s="12" t="str">
        <f aca="false">IFERROR(VLOOKUP($B439,ItemList_Full,3,0),"")</f>
        <v/>
      </c>
      <c r="E439" s="12"/>
      <c r="F439" s="13" t="str">
        <f aca="false">IFERROR(VLOOKUP($B439,ItemList_Full,4,0),"")</f>
        <v/>
      </c>
      <c r="G439" s="13" t="str">
        <f aca="false">IF(OR($E439="",$F439=""),"",$E439*$F439)</f>
        <v/>
      </c>
      <c r="H439" s="12"/>
      <c r="I439" s="12"/>
      <c r="J439" s="1" t="str">
        <f aca="false">IFERROR(VLOOKUP($B439,ItemList_Full,5,0),"")</f>
        <v/>
      </c>
    </row>
    <row r="440" customFormat="false" ht="15" hidden="false" customHeight="true" outlineLevel="0" collapsed="false">
      <c r="A440" s="19"/>
      <c r="B440" s="12"/>
      <c r="C440" s="12" t="str">
        <f aca="false">IFERROR(VLOOKUP($B440,ItemList_Full,2,0),"")</f>
        <v/>
      </c>
      <c r="D440" s="12" t="str">
        <f aca="false">IFERROR(VLOOKUP($B440,ItemList_Full,3,0),"")</f>
        <v/>
      </c>
      <c r="E440" s="12"/>
      <c r="F440" s="13" t="str">
        <f aca="false">IFERROR(VLOOKUP($B440,ItemList_Full,4,0),"")</f>
        <v/>
      </c>
      <c r="G440" s="13" t="str">
        <f aca="false">IF(OR($E440="",$F440=""),"",$E440*$F440)</f>
        <v/>
      </c>
      <c r="H440" s="12"/>
      <c r="I440" s="12"/>
      <c r="J440" s="1" t="str">
        <f aca="false">IFERROR(VLOOKUP($B440,ItemList_Full,5,0),"")</f>
        <v/>
      </c>
    </row>
    <row r="441" customFormat="false" ht="15" hidden="false" customHeight="true" outlineLevel="0" collapsed="false">
      <c r="A441" s="19"/>
      <c r="B441" s="12"/>
      <c r="C441" s="12" t="str">
        <f aca="false">IFERROR(VLOOKUP($B441,ItemList_Full,2,0),"")</f>
        <v/>
      </c>
      <c r="D441" s="12" t="str">
        <f aca="false">IFERROR(VLOOKUP($B441,ItemList_Full,3,0),"")</f>
        <v/>
      </c>
      <c r="E441" s="12"/>
      <c r="F441" s="13" t="str">
        <f aca="false">IFERROR(VLOOKUP($B441,ItemList_Full,4,0),"")</f>
        <v/>
      </c>
      <c r="G441" s="13" t="str">
        <f aca="false">IF(OR($E441="",$F441=""),"",$E441*$F441)</f>
        <v/>
      </c>
      <c r="H441" s="12"/>
      <c r="I441" s="12"/>
      <c r="J441" s="1" t="str">
        <f aca="false">IFERROR(VLOOKUP($B441,ItemList_Full,5,0),"")</f>
        <v/>
      </c>
    </row>
    <row r="442" customFormat="false" ht="15" hidden="false" customHeight="true" outlineLevel="0" collapsed="false">
      <c r="A442" s="19"/>
      <c r="B442" s="12"/>
      <c r="C442" s="12" t="str">
        <f aca="false">IFERROR(VLOOKUP($B442,ItemList_Full,2,0),"")</f>
        <v/>
      </c>
      <c r="D442" s="12" t="str">
        <f aca="false">IFERROR(VLOOKUP($B442,ItemList_Full,3,0),"")</f>
        <v/>
      </c>
      <c r="E442" s="12"/>
      <c r="F442" s="13" t="str">
        <f aca="false">IFERROR(VLOOKUP($B442,ItemList_Full,4,0),"")</f>
        <v/>
      </c>
      <c r="G442" s="13" t="str">
        <f aca="false">IF(OR($E442="",$F442=""),"",$E442*$F442)</f>
        <v/>
      </c>
      <c r="H442" s="12"/>
      <c r="I442" s="12"/>
      <c r="J442" s="1" t="str">
        <f aca="false">IFERROR(VLOOKUP($B442,ItemList_Full,5,0),"")</f>
        <v/>
      </c>
    </row>
    <row r="443" customFormat="false" ht="15" hidden="false" customHeight="true" outlineLevel="0" collapsed="false">
      <c r="A443" s="19"/>
      <c r="B443" s="12"/>
      <c r="C443" s="12" t="str">
        <f aca="false">IFERROR(VLOOKUP($B443,ItemList_Full,2,0),"")</f>
        <v/>
      </c>
      <c r="D443" s="12" t="str">
        <f aca="false">IFERROR(VLOOKUP($B443,ItemList_Full,3,0),"")</f>
        <v/>
      </c>
      <c r="E443" s="12"/>
      <c r="F443" s="13" t="str">
        <f aca="false">IFERROR(VLOOKUP($B443,ItemList_Full,4,0),"")</f>
        <v/>
      </c>
      <c r="G443" s="13" t="str">
        <f aca="false">IF(OR($E443="",$F443=""),"",$E443*$F443)</f>
        <v/>
      </c>
      <c r="H443" s="12"/>
      <c r="I443" s="12"/>
      <c r="J443" s="1" t="str">
        <f aca="false">IFERROR(VLOOKUP($B443,ItemList_Full,5,0),"")</f>
        <v/>
      </c>
    </row>
    <row r="444" customFormat="false" ht="15" hidden="false" customHeight="true" outlineLevel="0" collapsed="false">
      <c r="A444" s="19"/>
      <c r="B444" s="12"/>
      <c r="C444" s="12" t="str">
        <f aca="false">IFERROR(VLOOKUP($B444,ItemList_Full,2,0),"")</f>
        <v/>
      </c>
      <c r="D444" s="12" t="str">
        <f aca="false">IFERROR(VLOOKUP($B444,ItemList_Full,3,0),"")</f>
        <v/>
      </c>
      <c r="E444" s="12"/>
      <c r="F444" s="13" t="str">
        <f aca="false">IFERROR(VLOOKUP($B444,ItemList_Full,4,0),"")</f>
        <v/>
      </c>
      <c r="G444" s="13" t="str">
        <f aca="false">IF(OR($E444="",$F444=""),"",$E444*$F444)</f>
        <v/>
      </c>
      <c r="H444" s="12"/>
      <c r="I444" s="12"/>
      <c r="J444" s="1" t="str">
        <f aca="false">IFERROR(VLOOKUP($B444,ItemList_Full,5,0),"")</f>
        <v/>
      </c>
    </row>
    <row r="445" customFormat="false" ht="15" hidden="false" customHeight="true" outlineLevel="0" collapsed="false">
      <c r="A445" s="19"/>
      <c r="B445" s="12"/>
      <c r="C445" s="12" t="str">
        <f aca="false">IFERROR(VLOOKUP($B445,ItemList_Full,2,0),"")</f>
        <v/>
      </c>
      <c r="D445" s="12" t="str">
        <f aca="false">IFERROR(VLOOKUP($B445,ItemList_Full,3,0),"")</f>
        <v/>
      </c>
      <c r="E445" s="12"/>
      <c r="F445" s="13" t="str">
        <f aca="false">IFERROR(VLOOKUP($B445,ItemList_Full,4,0),"")</f>
        <v/>
      </c>
      <c r="G445" s="13" t="str">
        <f aca="false">IF(OR($E445="",$F445=""),"",$E445*$F445)</f>
        <v/>
      </c>
      <c r="H445" s="12"/>
      <c r="I445" s="12"/>
      <c r="J445" s="1" t="str">
        <f aca="false">IFERROR(VLOOKUP($B445,ItemList_Full,5,0),"")</f>
        <v/>
      </c>
    </row>
    <row r="446" customFormat="false" ht="15" hidden="false" customHeight="true" outlineLevel="0" collapsed="false">
      <c r="A446" s="19"/>
      <c r="B446" s="12"/>
      <c r="C446" s="12" t="str">
        <f aca="false">IFERROR(VLOOKUP($B446,ItemList_Full,2,0),"")</f>
        <v/>
      </c>
      <c r="D446" s="12" t="str">
        <f aca="false">IFERROR(VLOOKUP($B446,ItemList_Full,3,0),"")</f>
        <v/>
      </c>
      <c r="E446" s="12"/>
      <c r="F446" s="13" t="str">
        <f aca="false">IFERROR(VLOOKUP($B446,ItemList_Full,4,0),"")</f>
        <v/>
      </c>
      <c r="G446" s="13" t="str">
        <f aca="false">IF(OR($E446="",$F446=""),"",$E446*$F446)</f>
        <v/>
      </c>
      <c r="H446" s="12"/>
      <c r="I446" s="12"/>
      <c r="J446" s="1" t="str">
        <f aca="false">IFERROR(VLOOKUP($B446,ItemList_Full,5,0),"")</f>
        <v/>
      </c>
    </row>
    <row r="447" customFormat="false" ht="15" hidden="false" customHeight="true" outlineLevel="0" collapsed="false">
      <c r="A447" s="19"/>
      <c r="B447" s="12"/>
      <c r="C447" s="12" t="str">
        <f aca="false">IFERROR(VLOOKUP($B447,ItemList_Full,2,0),"")</f>
        <v/>
      </c>
      <c r="D447" s="12" t="str">
        <f aca="false">IFERROR(VLOOKUP($B447,ItemList_Full,3,0),"")</f>
        <v/>
      </c>
      <c r="E447" s="12"/>
      <c r="F447" s="13" t="str">
        <f aca="false">IFERROR(VLOOKUP($B447,ItemList_Full,4,0),"")</f>
        <v/>
      </c>
      <c r="G447" s="13" t="str">
        <f aca="false">IF(OR($E447="",$F447=""),"",$E447*$F447)</f>
        <v/>
      </c>
      <c r="H447" s="12"/>
      <c r="I447" s="12"/>
      <c r="J447" s="1" t="str">
        <f aca="false">IFERROR(VLOOKUP($B447,ItemList_Full,5,0),"")</f>
        <v/>
      </c>
    </row>
    <row r="448" customFormat="false" ht="15" hidden="false" customHeight="true" outlineLevel="0" collapsed="false">
      <c r="A448" s="19"/>
      <c r="B448" s="12"/>
      <c r="C448" s="12" t="str">
        <f aca="false">IFERROR(VLOOKUP($B448,ItemList_Full,2,0),"")</f>
        <v/>
      </c>
      <c r="D448" s="12" t="str">
        <f aca="false">IFERROR(VLOOKUP($B448,ItemList_Full,3,0),"")</f>
        <v/>
      </c>
      <c r="E448" s="12"/>
      <c r="F448" s="13" t="str">
        <f aca="false">IFERROR(VLOOKUP($B448,ItemList_Full,4,0),"")</f>
        <v/>
      </c>
      <c r="G448" s="13" t="str">
        <f aca="false">IF(OR($E448="",$F448=""),"",$E448*$F448)</f>
        <v/>
      </c>
      <c r="H448" s="12"/>
      <c r="I448" s="12"/>
      <c r="J448" s="1" t="str">
        <f aca="false">IFERROR(VLOOKUP($B448,ItemList_Full,5,0),"")</f>
        <v/>
      </c>
    </row>
    <row r="449" customFormat="false" ht="15" hidden="false" customHeight="true" outlineLevel="0" collapsed="false">
      <c r="A449" s="19"/>
      <c r="B449" s="12"/>
      <c r="C449" s="12" t="str">
        <f aca="false">IFERROR(VLOOKUP($B449,ItemList_Full,2,0),"")</f>
        <v/>
      </c>
      <c r="D449" s="12" t="str">
        <f aca="false">IFERROR(VLOOKUP($B449,ItemList_Full,3,0),"")</f>
        <v/>
      </c>
      <c r="E449" s="12"/>
      <c r="F449" s="13" t="str">
        <f aca="false">IFERROR(VLOOKUP($B449,ItemList_Full,4,0),"")</f>
        <v/>
      </c>
      <c r="G449" s="13" t="str">
        <f aca="false">IF(OR($E449="",$F449=""),"",$E449*$F449)</f>
        <v/>
      </c>
      <c r="H449" s="12"/>
      <c r="I449" s="12"/>
      <c r="J449" s="1" t="str">
        <f aca="false">IFERROR(VLOOKUP($B449,ItemList_Full,5,0),"")</f>
        <v/>
      </c>
    </row>
    <row r="450" customFormat="false" ht="15" hidden="false" customHeight="true" outlineLevel="0" collapsed="false">
      <c r="A450" s="19"/>
      <c r="B450" s="12"/>
      <c r="C450" s="12" t="str">
        <f aca="false">IFERROR(VLOOKUP($B450,ItemList_Full,2,0),"")</f>
        <v/>
      </c>
      <c r="D450" s="12" t="str">
        <f aca="false">IFERROR(VLOOKUP($B450,ItemList_Full,3,0),"")</f>
        <v/>
      </c>
      <c r="E450" s="12"/>
      <c r="F450" s="13" t="str">
        <f aca="false">IFERROR(VLOOKUP($B450,ItemList_Full,4,0),"")</f>
        <v/>
      </c>
      <c r="G450" s="13" t="str">
        <f aca="false">IF(OR($E450="",$F450=""),"",$E450*$F450)</f>
        <v/>
      </c>
      <c r="H450" s="12"/>
      <c r="I450" s="12"/>
      <c r="J450" s="1" t="str">
        <f aca="false">IFERROR(VLOOKUP($B450,ItemList_Full,5,0),"")</f>
        <v/>
      </c>
    </row>
    <row r="451" customFormat="false" ht="15" hidden="false" customHeight="true" outlineLevel="0" collapsed="false">
      <c r="A451" s="19"/>
      <c r="B451" s="12"/>
      <c r="C451" s="12" t="str">
        <f aca="false">IFERROR(VLOOKUP($B451,ItemList_Full,2,0),"")</f>
        <v/>
      </c>
      <c r="D451" s="12" t="str">
        <f aca="false">IFERROR(VLOOKUP($B451,ItemList_Full,3,0),"")</f>
        <v/>
      </c>
      <c r="E451" s="12"/>
      <c r="F451" s="13" t="str">
        <f aca="false">IFERROR(VLOOKUP($B451,ItemList_Full,4,0),"")</f>
        <v/>
      </c>
      <c r="G451" s="13" t="str">
        <f aca="false">IF(OR($E451="",$F451=""),"",$E451*$F451)</f>
        <v/>
      </c>
      <c r="H451" s="12"/>
      <c r="I451" s="12"/>
      <c r="J451" s="1" t="str">
        <f aca="false">IFERROR(VLOOKUP($B451,ItemList_Full,5,0),"")</f>
        <v/>
      </c>
    </row>
    <row r="452" customFormat="false" ht="15" hidden="false" customHeight="true" outlineLevel="0" collapsed="false">
      <c r="A452" s="19"/>
      <c r="B452" s="12"/>
      <c r="C452" s="12" t="str">
        <f aca="false">IFERROR(VLOOKUP($B452,ItemList_Full,2,0),"")</f>
        <v/>
      </c>
      <c r="D452" s="12" t="str">
        <f aca="false">IFERROR(VLOOKUP($B452,ItemList_Full,3,0),"")</f>
        <v/>
      </c>
      <c r="E452" s="12"/>
      <c r="F452" s="13" t="str">
        <f aca="false">IFERROR(VLOOKUP($B452,ItemList_Full,4,0),"")</f>
        <v/>
      </c>
      <c r="G452" s="13" t="str">
        <f aca="false">IF(OR($E452="",$F452=""),"",$E452*$F452)</f>
        <v/>
      </c>
      <c r="H452" s="12"/>
      <c r="I452" s="12"/>
      <c r="J452" s="1" t="str">
        <f aca="false">IFERROR(VLOOKUP($B452,ItemList_Full,5,0),"")</f>
        <v/>
      </c>
    </row>
    <row r="453" customFormat="false" ht="15" hidden="false" customHeight="true" outlineLevel="0" collapsed="false">
      <c r="A453" s="19"/>
      <c r="B453" s="12"/>
      <c r="C453" s="12" t="str">
        <f aca="false">IFERROR(VLOOKUP($B453,ItemList_Full,2,0),"")</f>
        <v/>
      </c>
      <c r="D453" s="12" t="str">
        <f aca="false">IFERROR(VLOOKUP($B453,ItemList_Full,3,0),"")</f>
        <v/>
      </c>
      <c r="E453" s="12"/>
      <c r="F453" s="13" t="str">
        <f aca="false">IFERROR(VLOOKUP($B453,ItemList_Full,4,0),"")</f>
        <v/>
      </c>
      <c r="G453" s="13" t="str">
        <f aca="false">IF(OR($E453="",$F453=""),"",$E453*$F453)</f>
        <v/>
      </c>
      <c r="H453" s="12"/>
      <c r="I453" s="12"/>
      <c r="J453" s="1" t="str">
        <f aca="false">IFERROR(VLOOKUP($B453,ItemList_Full,5,0),"")</f>
        <v/>
      </c>
    </row>
    <row r="454" customFormat="false" ht="15" hidden="false" customHeight="true" outlineLevel="0" collapsed="false">
      <c r="A454" s="19"/>
      <c r="B454" s="12"/>
      <c r="C454" s="12" t="str">
        <f aca="false">IFERROR(VLOOKUP($B454,ItemList_Full,2,0),"")</f>
        <v/>
      </c>
      <c r="D454" s="12" t="str">
        <f aca="false">IFERROR(VLOOKUP($B454,ItemList_Full,3,0),"")</f>
        <v/>
      </c>
      <c r="E454" s="12"/>
      <c r="F454" s="13" t="str">
        <f aca="false">IFERROR(VLOOKUP($B454,ItemList_Full,4,0),"")</f>
        <v/>
      </c>
      <c r="G454" s="13" t="str">
        <f aca="false">IF(OR($E454="",$F454=""),"",$E454*$F454)</f>
        <v/>
      </c>
      <c r="H454" s="12"/>
      <c r="I454" s="12"/>
      <c r="J454" s="1" t="str">
        <f aca="false">IFERROR(VLOOKUP($B454,ItemList_Full,5,0),"")</f>
        <v/>
      </c>
    </row>
    <row r="455" customFormat="false" ht="15" hidden="false" customHeight="true" outlineLevel="0" collapsed="false">
      <c r="A455" s="19"/>
      <c r="B455" s="12"/>
      <c r="C455" s="12" t="str">
        <f aca="false">IFERROR(VLOOKUP($B455,ItemList_Full,2,0),"")</f>
        <v/>
      </c>
      <c r="D455" s="12" t="str">
        <f aca="false">IFERROR(VLOOKUP($B455,ItemList_Full,3,0),"")</f>
        <v/>
      </c>
      <c r="E455" s="12"/>
      <c r="F455" s="13" t="str">
        <f aca="false">IFERROR(VLOOKUP($B455,ItemList_Full,4,0),"")</f>
        <v/>
      </c>
      <c r="G455" s="13" t="str">
        <f aca="false">IF(OR($E455="",$F455=""),"",$E455*$F455)</f>
        <v/>
      </c>
      <c r="H455" s="12"/>
      <c r="I455" s="12"/>
      <c r="J455" s="1" t="str">
        <f aca="false">IFERROR(VLOOKUP($B455,ItemList_Full,5,0),"")</f>
        <v/>
      </c>
    </row>
    <row r="456" customFormat="false" ht="15" hidden="false" customHeight="true" outlineLevel="0" collapsed="false">
      <c r="A456" s="19"/>
      <c r="B456" s="12"/>
      <c r="C456" s="12" t="str">
        <f aca="false">IFERROR(VLOOKUP($B456,ItemList_Full,2,0),"")</f>
        <v/>
      </c>
      <c r="D456" s="12" t="str">
        <f aca="false">IFERROR(VLOOKUP($B456,ItemList_Full,3,0),"")</f>
        <v/>
      </c>
      <c r="E456" s="12"/>
      <c r="F456" s="13" t="str">
        <f aca="false">IFERROR(VLOOKUP($B456,ItemList_Full,4,0),"")</f>
        <v/>
      </c>
      <c r="G456" s="13" t="str">
        <f aca="false">IF(OR($E456="",$F456=""),"",$E456*$F456)</f>
        <v/>
      </c>
      <c r="H456" s="12"/>
      <c r="I456" s="12"/>
      <c r="J456" s="1" t="str">
        <f aca="false">IFERROR(VLOOKUP($B456,ItemList_Full,5,0),"")</f>
        <v/>
      </c>
    </row>
    <row r="457" customFormat="false" ht="15" hidden="false" customHeight="true" outlineLevel="0" collapsed="false">
      <c r="A457" s="19"/>
      <c r="B457" s="12"/>
      <c r="C457" s="12" t="str">
        <f aca="false">IFERROR(VLOOKUP($B457,ItemList_Full,2,0),"")</f>
        <v/>
      </c>
      <c r="D457" s="12" t="str">
        <f aca="false">IFERROR(VLOOKUP($B457,ItemList_Full,3,0),"")</f>
        <v/>
      </c>
      <c r="E457" s="12"/>
      <c r="F457" s="13" t="str">
        <f aca="false">IFERROR(VLOOKUP($B457,ItemList_Full,4,0),"")</f>
        <v/>
      </c>
      <c r="G457" s="13" t="str">
        <f aca="false">IF(OR($E457="",$F457=""),"",$E457*$F457)</f>
        <v/>
      </c>
      <c r="H457" s="12"/>
      <c r="I457" s="12"/>
      <c r="J457" s="1" t="str">
        <f aca="false">IFERROR(VLOOKUP($B457,ItemList_Full,5,0),"")</f>
        <v/>
      </c>
    </row>
    <row r="458" customFormat="false" ht="15" hidden="false" customHeight="true" outlineLevel="0" collapsed="false">
      <c r="A458" s="19"/>
      <c r="B458" s="12"/>
      <c r="C458" s="12" t="str">
        <f aca="false">IFERROR(VLOOKUP($B458,ItemList_Full,2,0),"")</f>
        <v/>
      </c>
      <c r="D458" s="12" t="str">
        <f aca="false">IFERROR(VLOOKUP($B458,ItemList_Full,3,0),"")</f>
        <v/>
      </c>
      <c r="E458" s="12"/>
      <c r="F458" s="13" t="str">
        <f aca="false">IFERROR(VLOOKUP($B458,ItemList_Full,4,0),"")</f>
        <v/>
      </c>
      <c r="G458" s="13" t="str">
        <f aca="false">IF(OR($E458="",$F458=""),"",$E458*$F458)</f>
        <v/>
      </c>
      <c r="H458" s="12"/>
      <c r="I458" s="12"/>
      <c r="J458" s="1" t="str">
        <f aca="false">IFERROR(VLOOKUP($B458,ItemList_Full,5,0),"")</f>
        <v/>
      </c>
    </row>
    <row r="459" customFormat="false" ht="15" hidden="false" customHeight="true" outlineLevel="0" collapsed="false">
      <c r="A459" s="19"/>
      <c r="B459" s="12"/>
      <c r="C459" s="12" t="str">
        <f aca="false">IFERROR(VLOOKUP($B459,ItemList_Full,2,0),"")</f>
        <v/>
      </c>
      <c r="D459" s="12" t="str">
        <f aca="false">IFERROR(VLOOKUP($B459,ItemList_Full,3,0),"")</f>
        <v/>
      </c>
      <c r="E459" s="12"/>
      <c r="F459" s="13" t="str">
        <f aca="false">IFERROR(VLOOKUP($B459,ItemList_Full,4,0),"")</f>
        <v/>
      </c>
      <c r="G459" s="13" t="str">
        <f aca="false">IF(OR($E459="",$F459=""),"",$E459*$F459)</f>
        <v/>
      </c>
      <c r="H459" s="12"/>
      <c r="I459" s="12"/>
      <c r="J459" s="1" t="str">
        <f aca="false">IFERROR(VLOOKUP($B459,ItemList_Full,5,0),"")</f>
        <v/>
      </c>
    </row>
    <row r="460" customFormat="false" ht="15" hidden="false" customHeight="true" outlineLevel="0" collapsed="false">
      <c r="A460" s="19"/>
      <c r="B460" s="12"/>
      <c r="C460" s="12" t="str">
        <f aca="false">IFERROR(VLOOKUP($B460,ItemList_Full,2,0),"")</f>
        <v/>
      </c>
      <c r="D460" s="12" t="str">
        <f aca="false">IFERROR(VLOOKUP($B460,ItemList_Full,3,0),"")</f>
        <v/>
      </c>
      <c r="E460" s="12"/>
      <c r="F460" s="13" t="str">
        <f aca="false">IFERROR(VLOOKUP($B460,ItemList_Full,4,0),"")</f>
        <v/>
      </c>
      <c r="G460" s="13" t="str">
        <f aca="false">IF(OR($E460="",$F460=""),"",$E460*$F460)</f>
        <v/>
      </c>
      <c r="H460" s="12"/>
      <c r="I460" s="12"/>
      <c r="J460" s="1" t="str">
        <f aca="false">IFERROR(VLOOKUP($B460,ItemList_Full,5,0),"")</f>
        <v/>
      </c>
    </row>
    <row r="461" customFormat="false" ht="15" hidden="false" customHeight="true" outlineLevel="0" collapsed="false">
      <c r="A461" s="19"/>
      <c r="B461" s="12"/>
      <c r="C461" s="12" t="str">
        <f aca="false">IFERROR(VLOOKUP($B461,ItemList_Full,2,0),"")</f>
        <v/>
      </c>
      <c r="D461" s="12" t="str">
        <f aca="false">IFERROR(VLOOKUP($B461,ItemList_Full,3,0),"")</f>
        <v/>
      </c>
      <c r="E461" s="12"/>
      <c r="F461" s="13" t="str">
        <f aca="false">IFERROR(VLOOKUP($B461,ItemList_Full,4,0),"")</f>
        <v/>
      </c>
      <c r="G461" s="13" t="str">
        <f aca="false">IF(OR($E461="",$F461=""),"",$E461*$F461)</f>
        <v/>
      </c>
      <c r="H461" s="12"/>
      <c r="I461" s="12"/>
      <c r="J461" s="1" t="str">
        <f aca="false">IFERROR(VLOOKUP($B461,ItemList_Full,5,0),"")</f>
        <v/>
      </c>
    </row>
    <row r="462" customFormat="false" ht="15" hidden="false" customHeight="true" outlineLevel="0" collapsed="false">
      <c r="A462" s="19"/>
      <c r="B462" s="12"/>
      <c r="C462" s="12" t="str">
        <f aca="false">IFERROR(VLOOKUP($B462,ItemList_Full,2,0),"")</f>
        <v/>
      </c>
      <c r="D462" s="12" t="str">
        <f aca="false">IFERROR(VLOOKUP($B462,ItemList_Full,3,0),"")</f>
        <v/>
      </c>
      <c r="E462" s="12"/>
      <c r="F462" s="13" t="str">
        <f aca="false">IFERROR(VLOOKUP($B462,ItemList_Full,4,0),"")</f>
        <v/>
      </c>
      <c r="G462" s="13" t="str">
        <f aca="false">IF(OR($E462="",$F462=""),"",$E462*$F462)</f>
        <v/>
      </c>
      <c r="H462" s="12"/>
      <c r="I462" s="12"/>
      <c r="J462" s="1" t="str">
        <f aca="false">IFERROR(VLOOKUP($B462,ItemList_Full,5,0),"")</f>
        <v/>
      </c>
    </row>
    <row r="463" customFormat="false" ht="15" hidden="false" customHeight="true" outlineLevel="0" collapsed="false">
      <c r="A463" s="19"/>
      <c r="B463" s="12"/>
      <c r="C463" s="12" t="str">
        <f aca="false">IFERROR(VLOOKUP($B463,ItemList_Full,2,0),"")</f>
        <v/>
      </c>
      <c r="D463" s="12" t="str">
        <f aca="false">IFERROR(VLOOKUP($B463,ItemList_Full,3,0),"")</f>
        <v/>
      </c>
      <c r="E463" s="12"/>
      <c r="F463" s="13" t="str">
        <f aca="false">IFERROR(VLOOKUP($B463,ItemList_Full,4,0),"")</f>
        <v/>
      </c>
      <c r="G463" s="13" t="str">
        <f aca="false">IF(OR($E463="",$F463=""),"",$E463*$F463)</f>
        <v/>
      </c>
      <c r="H463" s="12"/>
      <c r="I463" s="12"/>
      <c r="J463" s="1" t="str">
        <f aca="false">IFERROR(VLOOKUP($B463,ItemList_Full,5,0),"")</f>
        <v/>
      </c>
    </row>
    <row r="464" customFormat="false" ht="15" hidden="false" customHeight="true" outlineLevel="0" collapsed="false">
      <c r="A464" s="19"/>
      <c r="B464" s="12"/>
      <c r="C464" s="12" t="str">
        <f aca="false">IFERROR(VLOOKUP($B464,ItemList_Full,2,0),"")</f>
        <v/>
      </c>
      <c r="D464" s="12" t="str">
        <f aca="false">IFERROR(VLOOKUP($B464,ItemList_Full,3,0),"")</f>
        <v/>
      </c>
      <c r="E464" s="12"/>
      <c r="F464" s="13" t="str">
        <f aca="false">IFERROR(VLOOKUP($B464,ItemList_Full,4,0),"")</f>
        <v/>
      </c>
      <c r="G464" s="13" t="str">
        <f aca="false">IF(OR($E464="",$F464=""),"",$E464*$F464)</f>
        <v/>
      </c>
      <c r="H464" s="12"/>
      <c r="I464" s="12"/>
      <c r="J464" s="1" t="str">
        <f aca="false">IFERROR(VLOOKUP($B464,ItemList_Full,5,0),"")</f>
        <v/>
      </c>
    </row>
    <row r="465" customFormat="false" ht="15" hidden="false" customHeight="true" outlineLevel="0" collapsed="false">
      <c r="A465" s="19"/>
      <c r="B465" s="12"/>
      <c r="C465" s="12" t="str">
        <f aca="false">IFERROR(VLOOKUP($B465,ItemList_Full,2,0),"")</f>
        <v/>
      </c>
      <c r="D465" s="12" t="str">
        <f aca="false">IFERROR(VLOOKUP($B465,ItemList_Full,3,0),"")</f>
        <v/>
      </c>
      <c r="E465" s="12"/>
      <c r="F465" s="13" t="str">
        <f aca="false">IFERROR(VLOOKUP($B465,ItemList_Full,4,0),"")</f>
        <v/>
      </c>
      <c r="G465" s="13" t="str">
        <f aca="false">IF(OR($E465="",$F465=""),"",$E465*$F465)</f>
        <v/>
      </c>
      <c r="H465" s="12"/>
      <c r="I465" s="12"/>
      <c r="J465" s="1" t="str">
        <f aca="false">IFERROR(VLOOKUP($B465,ItemList_Full,5,0),"")</f>
        <v/>
      </c>
    </row>
    <row r="466" customFormat="false" ht="15" hidden="false" customHeight="true" outlineLevel="0" collapsed="false">
      <c r="A466" s="19"/>
      <c r="B466" s="12"/>
      <c r="C466" s="12" t="str">
        <f aca="false">IFERROR(VLOOKUP($B466,ItemList_Full,2,0),"")</f>
        <v/>
      </c>
      <c r="D466" s="12" t="str">
        <f aca="false">IFERROR(VLOOKUP($B466,ItemList_Full,3,0),"")</f>
        <v/>
      </c>
      <c r="E466" s="12"/>
      <c r="F466" s="13" t="str">
        <f aca="false">IFERROR(VLOOKUP($B466,ItemList_Full,4,0),"")</f>
        <v/>
      </c>
      <c r="G466" s="13" t="str">
        <f aca="false">IF(OR($E466="",$F466=""),"",$E466*$F466)</f>
        <v/>
      </c>
      <c r="H466" s="12"/>
      <c r="I466" s="12"/>
      <c r="J466" s="1" t="str">
        <f aca="false">IFERROR(VLOOKUP($B466,ItemList_Full,5,0),"")</f>
        <v/>
      </c>
    </row>
    <row r="467" customFormat="false" ht="15" hidden="false" customHeight="true" outlineLevel="0" collapsed="false">
      <c r="A467" s="19"/>
      <c r="B467" s="12"/>
      <c r="C467" s="12" t="str">
        <f aca="false">IFERROR(VLOOKUP($B467,ItemList_Full,2,0),"")</f>
        <v/>
      </c>
      <c r="D467" s="12" t="str">
        <f aca="false">IFERROR(VLOOKUP($B467,ItemList_Full,3,0),"")</f>
        <v/>
      </c>
      <c r="E467" s="12"/>
      <c r="F467" s="13" t="str">
        <f aca="false">IFERROR(VLOOKUP($B467,ItemList_Full,4,0),"")</f>
        <v/>
      </c>
      <c r="G467" s="13" t="str">
        <f aca="false">IF(OR($E467="",$F467=""),"",$E467*$F467)</f>
        <v/>
      </c>
      <c r="H467" s="12"/>
      <c r="I467" s="12"/>
      <c r="J467" s="1" t="str">
        <f aca="false">IFERROR(VLOOKUP($B467,ItemList_Full,5,0),"")</f>
        <v/>
      </c>
    </row>
    <row r="468" customFormat="false" ht="15" hidden="false" customHeight="true" outlineLevel="0" collapsed="false">
      <c r="A468" s="19"/>
      <c r="B468" s="12"/>
      <c r="C468" s="12" t="str">
        <f aca="false">IFERROR(VLOOKUP($B468,ItemList_Full,2,0),"")</f>
        <v/>
      </c>
      <c r="D468" s="12" t="str">
        <f aca="false">IFERROR(VLOOKUP($B468,ItemList_Full,3,0),"")</f>
        <v/>
      </c>
      <c r="E468" s="12"/>
      <c r="F468" s="13" t="str">
        <f aca="false">IFERROR(VLOOKUP($B468,ItemList_Full,4,0),"")</f>
        <v/>
      </c>
      <c r="G468" s="13" t="str">
        <f aca="false">IF(OR($E468="",$F468=""),"",$E468*$F468)</f>
        <v/>
      </c>
      <c r="H468" s="12"/>
      <c r="I468" s="12"/>
      <c r="J468" s="1" t="str">
        <f aca="false">IFERROR(VLOOKUP($B468,ItemList_Full,5,0),"")</f>
        <v/>
      </c>
    </row>
    <row r="469" customFormat="false" ht="15" hidden="false" customHeight="true" outlineLevel="0" collapsed="false">
      <c r="A469" s="19"/>
      <c r="B469" s="12"/>
      <c r="C469" s="12" t="str">
        <f aca="false">IFERROR(VLOOKUP($B469,ItemList_Full,2,0),"")</f>
        <v/>
      </c>
      <c r="D469" s="12" t="str">
        <f aca="false">IFERROR(VLOOKUP($B469,ItemList_Full,3,0),"")</f>
        <v/>
      </c>
      <c r="E469" s="12"/>
      <c r="F469" s="13" t="str">
        <f aca="false">IFERROR(VLOOKUP($B469,ItemList_Full,4,0),"")</f>
        <v/>
      </c>
      <c r="G469" s="13" t="str">
        <f aca="false">IF(OR($E469="",$F469=""),"",$E469*$F469)</f>
        <v/>
      </c>
      <c r="H469" s="12"/>
      <c r="I469" s="12"/>
      <c r="J469" s="1" t="str">
        <f aca="false">IFERROR(VLOOKUP($B469,ItemList_Full,5,0),"")</f>
        <v/>
      </c>
    </row>
    <row r="470" customFormat="false" ht="15" hidden="false" customHeight="true" outlineLevel="0" collapsed="false">
      <c r="A470" s="19"/>
      <c r="B470" s="12"/>
      <c r="C470" s="12" t="str">
        <f aca="false">IFERROR(VLOOKUP($B470,ItemList_Full,2,0),"")</f>
        <v/>
      </c>
      <c r="D470" s="12" t="str">
        <f aca="false">IFERROR(VLOOKUP($B470,ItemList_Full,3,0),"")</f>
        <v/>
      </c>
      <c r="E470" s="12"/>
      <c r="F470" s="13" t="str">
        <f aca="false">IFERROR(VLOOKUP($B470,ItemList_Full,4,0),"")</f>
        <v/>
      </c>
      <c r="G470" s="13" t="str">
        <f aca="false">IF(OR($E470="",$F470=""),"",$E470*$F470)</f>
        <v/>
      </c>
      <c r="H470" s="12"/>
      <c r="I470" s="12"/>
      <c r="J470" s="1" t="str">
        <f aca="false">IFERROR(VLOOKUP($B470,ItemList_Full,5,0),"")</f>
        <v/>
      </c>
    </row>
    <row r="471" customFormat="false" ht="15" hidden="false" customHeight="true" outlineLevel="0" collapsed="false">
      <c r="A471" s="19"/>
      <c r="B471" s="12"/>
      <c r="C471" s="12" t="str">
        <f aca="false">IFERROR(VLOOKUP($B471,ItemList_Full,2,0),"")</f>
        <v/>
      </c>
      <c r="D471" s="12" t="str">
        <f aca="false">IFERROR(VLOOKUP($B471,ItemList_Full,3,0),"")</f>
        <v/>
      </c>
      <c r="E471" s="12"/>
      <c r="F471" s="13" t="str">
        <f aca="false">IFERROR(VLOOKUP($B471,ItemList_Full,4,0),"")</f>
        <v/>
      </c>
      <c r="G471" s="13" t="str">
        <f aca="false">IF(OR($E471="",$F471=""),"",$E471*$F471)</f>
        <v/>
      </c>
      <c r="H471" s="12"/>
      <c r="I471" s="12"/>
      <c r="J471" s="1" t="str">
        <f aca="false">IFERROR(VLOOKUP($B471,ItemList_Full,5,0),"")</f>
        <v/>
      </c>
    </row>
    <row r="472" customFormat="false" ht="15" hidden="false" customHeight="true" outlineLevel="0" collapsed="false">
      <c r="A472" s="19"/>
      <c r="B472" s="12"/>
      <c r="C472" s="12" t="str">
        <f aca="false">IFERROR(VLOOKUP($B472,ItemList_Full,2,0),"")</f>
        <v/>
      </c>
      <c r="D472" s="12" t="str">
        <f aca="false">IFERROR(VLOOKUP($B472,ItemList_Full,3,0),"")</f>
        <v/>
      </c>
      <c r="E472" s="12"/>
      <c r="F472" s="13" t="str">
        <f aca="false">IFERROR(VLOOKUP($B472,ItemList_Full,4,0),"")</f>
        <v/>
      </c>
      <c r="G472" s="13" t="str">
        <f aca="false">IF(OR($E472="",$F472=""),"",$E472*$F472)</f>
        <v/>
      </c>
      <c r="H472" s="12"/>
      <c r="I472" s="12"/>
      <c r="J472" s="1" t="str">
        <f aca="false">IFERROR(VLOOKUP($B472,ItemList_Full,5,0),"")</f>
        <v/>
      </c>
    </row>
    <row r="473" customFormat="false" ht="15" hidden="false" customHeight="true" outlineLevel="0" collapsed="false">
      <c r="A473" s="19"/>
      <c r="B473" s="12"/>
      <c r="C473" s="12" t="str">
        <f aca="false">IFERROR(VLOOKUP($B473,ItemList_Full,2,0),"")</f>
        <v/>
      </c>
      <c r="D473" s="12" t="str">
        <f aca="false">IFERROR(VLOOKUP($B473,ItemList_Full,3,0),"")</f>
        <v/>
      </c>
      <c r="E473" s="12"/>
      <c r="F473" s="13" t="str">
        <f aca="false">IFERROR(VLOOKUP($B473,ItemList_Full,4,0),"")</f>
        <v/>
      </c>
      <c r="G473" s="13" t="str">
        <f aca="false">IF(OR($E473="",$F473=""),"",$E473*$F473)</f>
        <v/>
      </c>
      <c r="H473" s="12"/>
      <c r="I473" s="12"/>
      <c r="J473" s="1" t="str">
        <f aca="false">IFERROR(VLOOKUP($B473,ItemList_Full,5,0),"")</f>
        <v/>
      </c>
    </row>
    <row r="474" customFormat="false" ht="15" hidden="false" customHeight="true" outlineLevel="0" collapsed="false">
      <c r="A474" s="19"/>
      <c r="B474" s="12"/>
      <c r="C474" s="12" t="str">
        <f aca="false">IFERROR(VLOOKUP($B474,ItemList_Full,2,0),"")</f>
        <v/>
      </c>
      <c r="D474" s="12" t="str">
        <f aca="false">IFERROR(VLOOKUP($B474,ItemList_Full,3,0),"")</f>
        <v/>
      </c>
      <c r="E474" s="12"/>
      <c r="F474" s="13" t="str">
        <f aca="false">IFERROR(VLOOKUP($B474,ItemList_Full,4,0),"")</f>
        <v/>
      </c>
      <c r="G474" s="13" t="str">
        <f aca="false">IF(OR($E474="",$F474=""),"",$E474*$F474)</f>
        <v/>
      </c>
      <c r="H474" s="12"/>
      <c r="I474" s="12"/>
      <c r="J474" s="1" t="str">
        <f aca="false">IFERROR(VLOOKUP($B474,ItemList_Full,5,0),"")</f>
        <v/>
      </c>
    </row>
    <row r="475" customFormat="false" ht="15" hidden="false" customHeight="true" outlineLevel="0" collapsed="false">
      <c r="A475" s="19"/>
      <c r="B475" s="12"/>
      <c r="C475" s="12" t="str">
        <f aca="false">IFERROR(VLOOKUP($B475,ItemList_Full,2,0),"")</f>
        <v/>
      </c>
      <c r="D475" s="12" t="str">
        <f aca="false">IFERROR(VLOOKUP($B475,ItemList_Full,3,0),"")</f>
        <v/>
      </c>
      <c r="E475" s="12"/>
      <c r="F475" s="13" t="str">
        <f aca="false">IFERROR(VLOOKUP($B475,ItemList_Full,4,0),"")</f>
        <v/>
      </c>
      <c r="G475" s="13" t="str">
        <f aca="false">IF(OR($E475="",$F475=""),"",$E475*$F475)</f>
        <v/>
      </c>
      <c r="H475" s="12"/>
      <c r="I475" s="12"/>
      <c r="J475" s="1" t="str">
        <f aca="false">IFERROR(VLOOKUP($B475,ItemList_Full,5,0),"")</f>
        <v/>
      </c>
    </row>
    <row r="476" customFormat="false" ht="15" hidden="false" customHeight="true" outlineLevel="0" collapsed="false">
      <c r="A476" s="19"/>
      <c r="B476" s="12"/>
      <c r="C476" s="12" t="str">
        <f aca="false">IFERROR(VLOOKUP($B476,ItemList_Full,2,0),"")</f>
        <v/>
      </c>
      <c r="D476" s="12" t="str">
        <f aca="false">IFERROR(VLOOKUP($B476,ItemList_Full,3,0),"")</f>
        <v/>
      </c>
      <c r="E476" s="12"/>
      <c r="F476" s="13" t="str">
        <f aca="false">IFERROR(VLOOKUP($B476,ItemList_Full,4,0),"")</f>
        <v/>
      </c>
      <c r="G476" s="13" t="str">
        <f aca="false">IF(OR($E476="",$F476=""),"",$E476*$F476)</f>
        <v/>
      </c>
      <c r="H476" s="12"/>
      <c r="I476" s="12"/>
      <c r="J476" s="1" t="str">
        <f aca="false">IFERROR(VLOOKUP($B476,ItemList_Full,5,0),"")</f>
        <v/>
      </c>
    </row>
    <row r="477" customFormat="false" ht="15" hidden="false" customHeight="true" outlineLevel="0" collapsed="false">
      <c r="A477" s="19"/>
      <c r="B477" s="12"/>
      <c r="C477" s="12" t="str">
        <f aca="false">IFERROR(VLOOKUP($B477,ItemList_Full,2,0),"")</f>
        <v/>
      </c>
      <c r="D477" s="12" t="str">
        <f aca="false">IFERROR(VLOOKUP($B477,ItemList_Full,3,0),"")</f>
        <v/>
      </c>
      <c r="E477" s="12"/>
      <c r="F477" s="13" t="str">
        <f aca="false">IFERROR(VLOOKUP($B477,ItemList_Full,4,0),"")</f>
        <v/>
      </c>
      <c r="G477" s="13" t="str">
        <f aca="false">IF(OR($E477="",$F477=""),"",$E477*$F477)</f>
        <v/>
      </c>
      <c r="H477" s="12"/>
      <c r="I477" s="12"/>
      <c r="J477" s="1" t="str">
        <f aca="false">IFERROR(VLOOKUP($B477,ItemList_Full,5,0),"")</f>
        <v/>
      </c>
    </row>
    <row r="478" customFormat="false" ht="15" hidden="false" customHeight="true" outlineLevel="0" collapsed="false">
      <c r="A478" s="19"/>
      <c r="B478" s="12"/>
      <c r="C478" s="12" t="str">
        <f aca="false">IFERROR(VLOOKUP($B478,ItemList_Full,2,0),"")</f>
        <v/>
      </c>
      <c r="D478" s="12" t="str">
        <f aca="false">IFERROR(VLOOKUP($B478,ItemList_Full,3,0),"")</f>
        <v/>
      </c>
      <c r="E478" s="12"/>
      <c r="F478" s="13" t="str">
        <f aca="false">IFERROR(VLOOKUP($B478,ItemList_Full,4,0),"")</f>
        <v/>
      </c>
      <c r="G478" s="13" t="str">
        <f aca="false">IF(OR($E478="",$F478=""),"",$E478*$F478)</f>
        <v/>
      </c>
      <c r="H478" s="12"/>
      <c r="I478" s="12"/>
      <c r="J478" s="1" t="str">
        <f aca="false">IFERROR(VLOOKUP($B478,ItemList_Full,5,0),"")</f>
        <v/>
      </c>
    </row>
    <row r="479" customFormat="false" ht="15" hidden="false" customHeight="true" outlineLevel="0" collapsed="false">
      <c r="A479" s="19"/>
      <c r="B479" s="12"/>
      <c r="C479" s="12" t="str">
        <f aca="false">IFERROR(VLOOKUP($B479,ItemList_Full,2,0),"")</f>
        <v/>
      </c>
      <c r="D479" s="12" t="str">
        <f aca="false">IFERROR(VLOOKUP($B479,ItemList_Full,3,0),"")</f>
        <v/>
      </c>
      <c r="E479" s="12"/>
      <c r="F479" s="13" t="str">
        <f aca="false">IFERROR(VLOOKUP($B479,ItemList_Full,4,0),"")</f>
        <v/>
      </c>
      <c r="G479" s="13" t="str">
        <f aca="false">IF(OR($E479="",$F479=""),"",$E479*$F479)</f>
        <v/>
      </c>
      <c r="H479" s="12"/>
      <c r="I479" s="12"/>
      <c r="J479" s="1" t="str">
        <f aca="false">IFERROR(VLOOKUP($B479,ItemList_Full,5,0),"")</f>
        <v/>
      </c>
    </row>
    <row r="480" customFormat="false" ht="15" hidden="false" customHeight="true" outlineLevel="0" collapsed="false">
      <c r="A480" s="19"/>
      <c r="B480" s="12"/>
      <c r="C480" s="12" t="str">
        <f aca="false">IFERROR(VLOOKUP($B480,ItemList_Full,2,0),"")</f>
        <v/>
      </c>
      <c r="D480" s="12" t="str">
        <f aca="false">IFERROR(VLOOKUP($B480,ItemList_Full,3,0),"")</f>
        <v/>
      </c>
      <c r="E480" s="12"/>
      <c r="F480" s="13" t="str">
        <f aca="false">IFERROR(VLOOKUP($B480,ItemList_Full,4,0),"")</f>
        <v/>
      </c>
      <c r="G480" s="13" t="str">
        <f aca="false">IF(OR($E480="",$F480=""),"",$E480*$F480)</f>
        <v/>
      </c>
      <c r="H480" s="12"/>
      <c r="I480" s="12"/>
      <c r="J480" s="1" t="str">
        <f aca="false">IFERROR(VLOOKUP($B480,ItemList_Full,5,0),"")</f>
        <v/>
      </c>
    </row>
    <row r="481" customFormat="false" ht="15" hidden="false" customHeight="true" outlineLevel="0" collapsed="false">
      <c r="A481" s="19"/>
      <c r="B481" s="12"/>
      <c r="C481" s="12" t="str">
        <f aca="false">IFERROR(VLOOKUP($B481,ItemList_Full,2,0),"")</f>
        <v/>
      </c>
      <c r="D481" s="12" t="str">
        <f aca="false">IFERROR(VLOOKUP($B481,ItemList_Full,3,0),"")</f>
        <v/>
      </c>
      <c r="E481" s="12"/>
      <c r="F481" s="13" t="str">
        <f aca="false">IFERROR(VLOOKUP($B481,ItemList_Full,4,0),"")</f>
        <v/>
      </c>
      <c r="G481" s="13" t="str">
        <f aca="false">IF(OR($E481="",$F481=""),"",$E481*$F481)</f>
        <v/>
      </c>
      <c r="H481" s="12"/>
      <c r="I481" s="12"/>
      <c r="J481" s="1" t="str">
        <f aca="false">IFERROR(VLOOKUP($B481,ItemList_Full,5,0),"")</f>
        <v/>
      </c>
    </row>
    <row r="482" customFormat="false" ht="15" hidden="false" customHeight="true" outlineLevel="0" collapsed="false">
      <c r="A482" s="19"/>
      <c r="B482" s="12"/>
      <c r="C482" s="12" t="str">
        <f aca="false">IFERROR(VLOOKUP($B482,ItemList_Full,2,0),"")</f>
        <v/>
      </c>
      <c r="D482" s="12" t="str">
        <f aca="false">IFERROR(VLOOKUP($B482,ItemList_Full,3,0),"")</f>
        <v/>
      </c>
      <c r="E482" s="12"/>
      <c r="F482" s="13" t="str">
        <f aca="false">IFERROR(VLOOKUP($B482,ItemList_Full,4,0),"")</f>
        <v/>
      </c>
      <c r="G482" s="13" t="str">
        <f aca="false">IF(OR($E482="",$F482=""),"",$E482*$F482)</f>
        <v/>
      </c>
      <c r="H482" s="12"/>
      <c r="I482" s="12"/>
      <c r="J482" s="1" t="str">
        <f aca="false">IFERROR(VLOOKUP($B482,ItemList_Full,5,0),"")</f>
        <v/>
      </c>
    </row>
    <row r="483" customFormat="false" ht="15" hidden="false" customHeight="true" outlineLevel="0" collapsed="false">
      <c r="A483" s="19"/>
      <c r="B483" s="12"/>
      <c r="C483" s="12" t="str">
        <f aca="false">IFERROR(VLOOKUP($B483,ItemList_Full,2,0),"")</f>
        <v/>
      </c>
      <c r="D483" s="12" t="str">
        <f aca="false">IFERROR(VLOOKUP($B483,ItemList_Full,3,0),"")</f>
        <v/>
      </c>
      <c r="E483" s="12"/>
      <c r="F483" s="13" t="str">
        <f aca="false">IFERROR(VLOOKUP($B483,ItemList_Full,4,0),"")</f>
        <v/>
      </c>
      <c r="G483" s="13" t="str">
        <f aca="false">IF(OR($E483="",$F483=""),"",$E483*$F483)</f>
        <v/>
      </c>
      <c r="H483" s="12"/>
      <c r="I483" s="12"/>
      <c r="J483" s="1" t="str">
        <f aca="false">IFERROR(VLOOKUP($B483,ItemList_Full,5,0),"")</f>
        <v/>
      </c>
    </row>
    <row r="484" customFormat="false" ht="15" hidden="false" customHeight="true" outlineLevel="0" collapsed="false">
      <c r="A484" s="19"/>
      <c r="B484" s="12"/>
      <c r="C484" s="12" t="str">
        <f aca="false">IFERROR(VLOOKUP($B484,ItemList_Full,2,0),"")</f>
        <v/>
      </c>
      <c r="D484" s="12" t="str">
        <f aca="false">IFERROR(VLOOKUP($B484,ItemList_Full,3,0),"")</f>
        <v/>
      </c>
      <c r="E484" s="12"/>
      <c r="F484" s="13" t="str">
        <f aca="false">IFERROR(VLOOKUP($B484,ItemList_Full,4,0),"")</f>
        <v/>
      </c>
      <c r="G484" s="13" t="str">
        <f aca="false">IF(OR($E484="",$F484=""),"",$E484*$F484)</f>
        <v/>
      </c>
      <c r="H484" s="12"/>
      <c r="I484" s="12"/>
      <c r="J484" s="1" t="str">
        <f aca="false">IFERROR(VLOOKUP($B484,ItemList_Full,5,0),"")</f>
        <v/>
      </c>
    </row>
    <row r="485" customFormat="false" ht="15" hidden="false" customHeight="true" outlineLevel="0" collapsed="false">
      <c r="A485" s="19"/>
      <c r="B485" s="12"/>
      <c r="C485" s="12" t="str">
        <f aca="false">IFERROR(VLOOKUP($B485,ItemList_Full,2,0),"")</f>
        <v/>
      </c>
      <c r="D485" s="12" t="str">
        <f aca="false">IFERROR(VLOOKUP($B485,ItemList_Full,3,0),"")</f>
        <v/>
      </c>
      <c r="E485" s="12"/>
      <c r="F485" s="13" t="str">
        <f aca="false">IFERROR(VLOOKUP($B485,ItemList_Full,4,0),"")</f>
        <v/>
      </c>
      <c r="G485" s="13" t="str">
        <f aca="false">IF(OR($E485="",$F485=""),"",$E485*$F485)</f>
        <v/>
      </c>
      <c r="H485" s="12"/>
      <c r="I485" s="12"/>
      <c r="J485" s="1" t="str">
        <f aca="false">IFERROR(VLOOKUP($B485,ItemList_Full,5,0),"")</f>
        <v/>
      </c>
    </row>
    <row r="486" customFormat="false" ht="15" hidden="false" customHeight="true" outlineLevel="0" collapsed="false">
      <c r="A486" s="19"/>
      <c r="B486" s="12"/>
      <c r="C486" s="12" t="str">
        <f aca="false">IFERROR(VLOOKUP($B486,ItemList_Full,2,0),"")</f>
        <v/>
      </c>
      <c r="D486" s="12" t="str">
        <f aca="false">IFERROR(VLOOKUP($B486,ItemList_Full,3,0),"")</f>
        <v/>
      </c>
      <c r="E486" s="12"/>
      <c r="F486" s="13" t="str">
        <f aca="false">IFERROR(VLOOKUP($B486,ItemList_Full,4,0),"")</f>
        <v/>
      </c>
      <c r="G486" s="13" t="str">
        <f aca="false">IF(OR($E486="",$F486=""),"",$E486*$F486)</f>
        <v/>
      </c>
      <c r="H486" s="12"/>
      <c r="I486" s="12"/>
      <c r="J486" s="1" t="str">
        <f aca="false">IFERROR(VLOOKUP($B486,ItemList_Full,5,0),"")</f>
        <v/>
      </c>
    </row>
    <row r="487" customFormat="false" ht="15" hidden="false" customHeight="true" outlineLevel="0" collapsed="false">
      <c r="A487" s="19"/>
      <c r="B487" s="12"/>
      <c r="C487" s="12" t="str">
        <f aca="false">IFERROR(VLOOKUP($B487,ItemList_Full,2,0),"")</f>
        <v/>
      </c>
      <c r="D487" s="12" t="str">
        <f aca="false">IFERROR(VLOOKUP($B487,ItemList_Full,3,0),"")</f>
        <v/>
      </c>
      <c r="E487" s="12"/>
      <c r="F487" s="13" t="str">
        <f aca="false">IFERROR(VLOOKUP($B487,ItemList_Full,4,0),"")</f>
        <v/>
      </c>
      <c r="G487" s="13" t="str">
        <f aca="false">IF(OR($E487="",$F487=""),"",$E487*$F487)</f>
        <v/>
      </c>
      <c r="H487" s="12"/>
      <c r="I487" s="12"/>
      <c r="J487" s="1" t="str">
        <f aca="false">IFERROR(VLOOKUP($B487,ItemList_Full,5,0),"")</f>
        <v/>
      </c>
    </row>
    <row r="488" customFormat="false" ht="15" hidden="false" customHeight="true" outlineLevel="0" collapsed="false">
      <c r="A488" s="19"/>
      <c r="B488" s="12"/>
      <c r="C488" s="12" t="str">
        <f aca="false">IFERROR(VLOOKUP($B488,ItemList_Full,2,0),"")</f>
        <v/>
      </c>
      <c r="D488" s="12" t="str">
        <f aca="false">IFERROR(VLOOKUP($B488,ItemList_Full,3,0),"")</f>
        <v/>
      </c>
      <c r="E488" s="12"/>
      <c r="F488" s="13" t="str">
        <f aca="false">IFERROR(VLOOKUP($B488,ItemList_Full,4,0),"")</f>
        <v/>
      </c>
      <c r="G488" s="13" t="str">
        <f aca="false">IF(OR($E488="",$F488=""),"",$E488*$F488)</f>
        <v/>
      </c>
      <c r="H488" s="12"/>
      <c r="I488" s="12"/>
      <c r="J488" s="1" t="str">
        <f aca="false">IFERROR(VLOOKUP($B488,ItemList_Full,5,0),"")</f>
        <v/>
      </c>
    </row>
    <row r="489" customFormat="false" ht="15" hidden="false" customHeight="true" outlineLevel="0" collapsed="false">
      <c r="A489" s="19"/>
      <c r="B489" s="12"/>
      <c r="C489" s="12" t="str">
        <f aca="false">IFERROR(VLOOKUP($B489,ItemList_Full,2,0),"")</f>
        <v/>
      </c>
      <c r="D489" s="12" t="str">
        <f aca="false">IFERROR(VLOOKUP($B489,ItemList_Full,3,0),"")</f>
        <v/>
      </c>
      <c r="E489" s="12"/>
      <c r="F489" s="13" t="str">
        <f aca="false">IFERROR(VLOOKUP($B489,ItemList_Full,4,0),"")</f>
        <v/>
      </c>
      <c r="G489" s="13" t="str">
        <f aca="false">IF(OR($E489="",$F489=""),"",$E489*$F489)</f>
        <v/>
      </c>
      <c r="H489" s="12"/>
      <c r="I489" s="12"/>
      <c r="J489" s="1" t="str">
        <f aca="false">IFERROR(VLOOKUP($B489,ItemList_Full,5,0),"")</f>
        <v/>
      </c>
    </row>
    <row r="490" customFormat="false" ht="15" hidden="false" customHeight="true" outlineLevel="0" collapsed="false">
      <c r="A490" s="19"/>
      <c r="B490" s="12"/>
      <c r="C490" s="12" t="str">
        <f aca="false">IFERROR(VLOOKUP($B490,ItemList_Full,2,0),"")</f>
        <v/>
      </c>
      <c r="D490" s="12" t="str">
        <f aca="false">IFERROR(VLOOKUP($B490,ItemList_Full,3,0),"")</f>
        <v/>
      </c>
      <c r="E490" s="12"/>
      <c r="F490" s="13" t="str">
        <f aca="false">IFERROR(VLOOKUP($B490,ItemList_Full,4,0),"")</f>
        <v/>
      </c>
      <c r="G490" s="13" t="str">
        <f aca="false">IF(OR($E490="",$F490=""),"",$E490*$F490)</f>
        <v/>
      </c>
      <c r="H490" s="12"/>
      <c r="I490" s="12"/>
      <c r="J490" s="1" t="str">
        <f aca="false">IFERROR(VLOOKUP($B490,ItemList_Full,5,0),"")</f>
        <v/>
      </c>
    </row>
    <row r="491" customFormat="false" ht="15" hidden="false" customHeight="true" outlineLevel="0" collapsed="false">
      <c r="A491" s="19"/>
      <c r="B491" s="12"/>
      <c r="C491" s="12" t="str">
        <f aca="false">IFERROR(VLOOKUP($B491,ItemList_Full,2,0),"")</f>
        <v/>
      </c>
      <c r="D491" s="12" t="str">
        <f aca="false">IFERROR(VLOOKUP($B491,ItemList_Full,3,0),"")</f>
        <v/>
      </c>
      <c r="E491" s="12"/>
      <c r="F491" s="13" t="str">
        <f aca="false">IFERROR(VLOOKUP($B491,ItemList_Full,4,0),"")</f>
        <v/>
      </c>
      <c r="G491" s="13" t="str">
        <f aca="false">IF(OR($E491="",$F491=""),"",$E491*$F491)</f>
        <v/>
      </c>
      <c r="H491" s="12"/>
      <c r="I491" s="12"/>
      <c r="J491" s="1" t="str">
        <f aca="false">IFERROR(VLOOKUP($B491,ItemList_Full,5,0),"")</f>
        <v/>
      </c>
    </row>
    <row r="492" customFormat="false" ht="15" hidden="false" customHeight="true" outlineLevel="0" collapsed="false">
      <c r="A492" s="19"/>
      <c r="B492" s="12"/>
      <c r="C492" s="12" t="str">
        <f aca="false">IFERROR(VLOOKUP($B492,ItemList_Full,2,0),"")</f>
        <v/>
      </c>
      <c r="D492" s="12" t="str">
        <f aca="false">IFERROR(VLOOKUP($B492,ItemList_Full,3,0),"")</f>
        <v/>
      </c>
      <c r="E492" s="12"/>
      <c r="F492" s="13" t="str">
        <f aca="false">IFERROR(VLOOKUP($B492,ItemList_Full,4,0),"")</f>
        <v/>
      </c>
      <c r="G492" s="13" t="str">
        <f aca="false">IF(OR($E492="",$F492=""),"",$E492*$F492)</f>
        <v/>
      </c>
      <c r="H492" s="12"/>
      <c r="I492" s="12"/>
      <c r="J492" s="1" t="str">
        <f aca="false">IFERROR(VLOOKUP($B492,ItemList_Full,5,0),"")</f>
        <v/>
      </c>
    </row>
    <row r="493" customFormat="false" ht="15" hidden="false" customHeight="true" outlineLevel="0" collapsed="false">
      <c r="A493" s="19"/>
      <c r="B493" s="12"/>
      <c r="C493" s="12" t="str">
        <f aca="false">IFERROR(VLOOKUP($B493,ItemList_Full,2,0),"")</f>
        <v/>
      </c>
      <c r="D493" s="12" t="str">
        <f aca="false">IFERROR(VLOOKUP($B493,ItemList_Full,3,0),"")</f>
        <v/>
      </c>
      <c r="E493" s="12"/>
      <c r="F493" s="13" t="str">
        <f aca="false">IFERROR(VLOOKUP($B493,ItemList_Full,4,0),"")</f>
        <v/>
      </c>
      <c r="G493" s="13" t="str">
        <f aca="false">IF(OR($E493="",$F493=""),"",$E493*$F493)</f>
        <v/>
      </c>
      <c r="H493" s="12"/>
      <c r="I493" s="12"/>
      <c r="J493" s="1" t="str">
        <f aca="false">IFERROR(VLOOKUP($B493,ItemList_Full,5,0),"")</f>
        <v/>
      </c>
    </row>
    <row r="494" customFormat="false" ht="15" hidden="false" customHeight="true" outlineLevel="0" collapsed="false">
      <c r="A494" s="19"/>
      <c r="B494" s="12"/>
      <c r="C494" s="12" t="str">
        <f aca="false">IFERROR(VLOOKUP($B494,ItemList_Full,2,0),"")</f>
        <v/>
      </c>
      <c r="D494" s="12" t="str">
        <f aca="false">IFERROR(VLOOKUP($B494,ItemList_Full,3,0),"")</f>
        <v/>
      </c>
      <c r="E494" s="12"/>
      <c r="F494" s="13" t="str">
        <f aca="false">IFERROR(VLOOKUP($B494,ItemList_Full,4,0),"")</f>
        <v/>
      </c>
      <c r="G494" s="13" t="str">
        <f aca="false">IF(OR($E494="",$F494=""),"",$E494*$F494)</f>
        <v/>
      </c>
      <c r="H494" s="12"/>
      <c r="I494" s="12"/>
      <c r="J494" s="1" t="str">
        <f aca="false">IFERROR(VLOOKUP($B494,ItemList_Full,5,0),"")</f>
        <v/>
      </c>
    </row>
    <row r="495" customFormat="false" ht="15" hidden="false" customHeight="true" outlineLevel="0" collapsed="false">
      <c r="A495" s="19"/>
      <c r="B495" s="12"/>
      <c r="C495" s="12" t="str">
        <f aca="false">IFERROR(VLOOKUP($B495,ItemList_Full,2,0),"")</f>
        <v/>
      </c>
      <c r="D495" s="12" t="str">
        <f aca="false">IFERROR(VLOOKUP($B495,ItemList_Full,3,0),"")</f>
        <v/>
      </c>
      <c r="E495" s="12"/>
      <c r="F495" s="13" t="str">
        <f aca="false">IFERROR(VLOOKUP($B495,ItemList_Full,4,0),"")</f>
        <v/>
      </c>
      <c r="G495" s="13" t="str">
        <f aca="false">IF(OR($E495="",$F495=""),"",$E495*$F495)</f>
        <v/>
      </c>
      <c r="H495" s="12"/>
      <c r="I495" s="12"/>
      <c r="J495" s="1" t="str">
        <f aca="false">IFERROR(VLOOKUP($B495,ItemList_Full,5,0),"")</f>
        <v/>
      </c>
    </row>
    <row r="496" customFormat="false" ht="15" hidden="false" customHeight="true" outlineLevel="0" collapsed="false">
      <c r="A496" s="19"/>
      <c r="B496" s="12"/>
      <c r="C496" s="12" t="str">
        <f aca="false">IFERROR(VLOOKUP($B496,ItemList_Full,2,0),"")</f>
        <v/>
      </c>
      <c r="D496" s="12" t="str">
        <f aca="false">IFERROR(VLOOKUP($B496,ItemList_Full,3,0),"")</f>
        <v/>
      </c>
      <c r="E496" s="12"/>
      <c r="F496" s="13" t="str">
        <f aca="false">IFERROR(VLOOKUP($B496,ItemList_Full,4,0),"")</f>
        <v/>
      </c>
      <c r="G496" s="13" t="str">
        <f aca="false">IF(OR($E496="",$F496=""),"",$E496*$F496)</f>
        <v/>
      </c>
      <c r="H496" s="12"/>
      <c r="I496" s="12"/>
      <c r="J496" s="1" t="str">
        <f aca="false">IFERROR(VLOOKUP($B496,ItemList_Full,5,0),"")</f>
        <v/>
      </c>
    </row>
    <row r="497" customFormat="false" ht="15" hidden="false" customHeight="true" outlineLevel="0" collapsed="false">
      <c r="A497" s="19"/>
      <c r="B497" s="12"/>
      <c r="C497" s="12" t="str">
        <f aca="false">IFERROR(VLOOKUP($B497,ItemList_Full,2,0),"")</f>
        <v/>
      </c>
      <c r="D497" s="12" t="str">
        <f aca="false">IFERROR(VLOOKUP($B497,ItemList_Full,3,0),"")</f>
        <v/>
      </c>
      <c r="E497" s="12"/>
      <c r="F497" s="13" t="str">
        <f aca="false">IFERROR(VLOOKUP($B497,ItemList_Full,4,0),"")</f>
        <v/>
      </c>
      <c r="G497" s="13" t="str">
        <f aca="false">IF(OR($E497="",$F497=""),"",$E497*$F497)</f>
        <v/>
      </c>
      <c r="H497" s="12"/>
      <c r="I497" s="12"/>
      <c r="J497" s="1" t="str">
        <f aca="false">IFERROR(VLOOKUP($B497,ItemList_Full,5,0),"")</f>
        <v/>
      </c>
    </row>
    <row r="498" customFormat="false" ht="15" hidden="false" customHeight="true" outlineLevel="0" collapsed="false">
      <c r="A498" s="19"/>
      <c r="B498" s="12"/>
      <c r="C498" s="12" t="str">
        <f aca="false">IFERROR(VLOOKUP($B498,ItemList_Full,2,0),"")</f>
        <v/>
      </c>
      <c r="D498" s="12" t="str">
        <f aca="false">IFERROR(VLOOKUP($B498,ItemList_Full,3,0),"")</f>
        <v/>
      </c>
      <c r="E498" s="12"/>
      <c r="F498" s="13" t="str">
        <f aca="false">IFERROR(VLOOKUP($B498,ItemList_Full,4,0),"")</f>
        <v/>
      </c>
      <c r="G498" s="13" t="str">
        <f aca="false">IF(OR($E498="",$F498=""),"",$E498*$F498)</f>
        <v/>
      </c>
      <c r="H498" s="12"/>
      <c r="I498" s="12"/>
      <c r="J498" s="1" t="str">
        <f aca="false">IFERROR(VLOOKUP($B498,ItemList_Full,5,0),"")</f>
        <v/>
      </c>
    </row>
    <row r="499" customFormat="false" ht="15" hidden="false" customHeight="true" outlineLevel="0" collapsed="false">
      <c r="A499" s="19"/>
      <c r="B499" s="12"/>
      <c r="C499" s="12" t="str">
        <f aca="false">IFERROR(VLOOKUP($B499,ItemList_Full,2,0),"")</f>
        <v/>
      </c>
      <c r="D499" s="12" t="str">
        <f aca="false">IFERROR(VLOOKUP($B499,ItemList_Full,3,0),"")</f>
        <v/>
      </c>
      <c r="E499" s="12"/>
      <c r="F499" s="13" t="str">
        <f aca="false">IFERROR(VLOOKUP($B499,ItemList_Full,4,0),"")</f>
        <v/>
      </c>
      <c r="G499" s="13" t="str">
        <f aca="false">IF(OR($E499="",$F499=""),"",$E499*$F499)</f>
        <v/>
      </c>
      <c r="H499" s="12"/>
      <c r="I499" s="12"/>
      <c r="J499" s="1" t="str">
        <f aca="false">IFERROR(VLOOKUP($B499,ItemList_Full,5,0),"")</f>
        <v/>
      </c>
    </row>
    <row r="500" customFormat="false" ht="15" hidden="false" customHeight="true" outlineLevel="0" collapsed="false">
      <c r="A500" s="19"/>
      <c r="B500" s="12"/>
      <c r="C500" s="12" t="str">
        <f aca="false">IFERROR(VLOOKUP($B500,ItemList_Full,2,0),"")</f>
        <v/>
      </c>
      <c r="D500" s="12" t="str">
        <f aca="false">IFERROR(VLOOKUP($B500,ItemList_Full,3,0),"")</f>
        <v/>
      </c>
      <c r="E500" s="12"/>
      <c r="F500" s="13" t="str">
        <f aca="false">IFERROR(VLOOKUP($B500,ItemList_Full,4,0),"")</f>
        <v/>
      </c>
      <c r="G500" s="13" t="str">
        <f aca="false">IF(OR($E500="",$F500=""),"",$E500*$F500)</f>
        <v/>
      </c>
      <c r="H500" s="12"/>
      <c r="I500" s="12"/>
      <c r="J500" s="1" t="str">
        <f aca="false">IFERROR(VLOOKUP($B500,ItemList_Full,5,0),"")</f>
        <v/>
      </c>
    </row>
    <row r="501" customFormat="false" ht="15" hidden="false" customHeight="true" outlineLevel="0" collapsed="false">
      <c r="A501" s="19"/>
      <c r="B501" s="12"/>
      <c r="C501" s="12" t="str">
        <f aca="false">IFERROR(VLOOKUP($B501,ItemList_Full,2,0),"")</f>
        <v/>
      </c>
      <c r="D501" s="12" t="str">
        <f aca="false">IFERROR(VLOOKUP($B501,ItemList_Full,3,0),"")</f>
        <v/>
      </c>
      <c r="E501" s="12"/>
      <c r="F501" s="13" t="str">
        <f aca="false">IFERROR(VLOOKUP($B501,ItemList_Full,4,0),"")</f>
        <v/>
      </c>
      <c r="G501" s="13" t="str">
        <f aca="false">IF(OR($E501="",$F501=""),"",$E501*$F501)</f>
        <v/>
      </c>
      <c r="H501" s="12"/>
      <c r="I501" s="12"/>
      <c r="J501" s="1" t="str">
        <f aca="false">IFERROR(VLOOKUP($B501,ItemList_Full,5,0),"")</f>
        <v/>
      </c>
    </row>
    <row r="502" customFormat="false" ht="15" hidden="false" customHeight="true" outlineLevel="0" collapsed="false">
      <c r="A502" s="19"/>
      <c r="B502" s="12"/>
      <c r="C502" s="12" t="str">
        <f aca="false">IFERROR(VLOOKUP($B502,ItemList_Full,2,0),"")</f>
        <v/>
      </c>
      <c r="D502" s="12" t="str">
        <f aca="false">IFERROR(VLOOKUP($B502,ItemList_Full,3,0),"")</f>
        <v/>
      </c>
      <c r="E502" s="12"/>
      <c r="F502" s="13" t="str">
        <f aca="false">IFERROR(VLOOKUP($B502,ItemList_Full,4,0),"")</f>
        <v/>
      </c>
      <c r="G502" s="13" t="str">
        <f aca="false">IF(OR($E502="",$F502=""),"",$E502*$F502)</f>
        <v/>
      </c>
      <c r="H502" s="12"/>
      <c r="I502" s="12"/>
      <c r="J502" s="1" t="str">
        <f aca="false">IFERROR(VLOOKUP($B502,ItemList_Full,5,0),"")</f>
        <v/>
      </c>
    </row>
    <row r="503" customFormat="false" ht="15" hidden="false" customHeight="true" outlineLevel="0" collapsed="false">
      <c r="A503" s="19"/>
      <c r="B503" s="12"/>
      <c r="C503" s="12" t="str">
        <f aca="false">IFERROR(VLOOKUP($B503,ItemList_Full,2,0),"")</f>
        <v/>
      </c>
      <c r="D503" s="12" t="str">
        <f aca="false">IFERROR(VLOOKUP($B503,ItemList_Full,3,0),"")</f>
        <v/>
      </c>
      <c r="E503" s="12"/>
      <c r="F503" s="13" t="str">
        <f aca="false">IFERROR(VLOOKUP($B503,ItemList_Full,4,0),"")</f>
        <v/>
      </c>
      <c r="G503" s="13" t="str">
        <f aca="false">IF(OR($E503="",$F503=""),"",$E503*$F503)</f>
        <v/>
      </c>
      <c r="H503" s="12"/>
      <c r="I503" s="12"/>
      <c r="J503" s="1" t="str">
        <f aca="false">IFERROR(VLOOKUP($B503,ItemList_Full,5,0),"")</f>
        <v/>
      </c>
    </row>
    <row r="504" customFormat="false" ht="15" hidden="false" customHeight="true" outlineLevel="0" collapsed="false">
      <c r="A504" s="19"/>
      <c r="B504" s="12"/>
      <c r="C504" s="12" t="str">
        <f aca="false">IFERROR(VLOOKUP($B504,ItemList_Full,2,0),"")</f>
        <v/>
      </c>
      <c r="D504" s="12" t="str">
        <f aca="false">IFERROR(VLOOKUP($B504,ItemList_Full,3,0),"")</f>
        <v/>
      </c>
      <c r="E504" s="12"/>
      <c r="F504" s="13" t="str">
        <f aca="false">IFERROR(VLOOKUP($B504,ItemList_Full,4,0),"")</f>
        <v/>
      </c>
      <c r="G504" s="13" t="str">
        <f aca="false">IF(OR($E504="",$F504=""),"",$E504*$F504)</f>
        <v/>
      </c>
      <c r="H504" s="12"/>
      <c r="I504" s="12"/>
      <c r="J504" s="1" t="str">
        <f aca="false">IFERROR(VLOOKUP($B504,ItemList_Full,5,0),"")</f>
        <v/>
      </c>
    </row>
    <row r="505" customFormat="false" ht="15" hidden="false" customHeight="true" outlineLevel="0" collapsed="false">
      <c r="A505" s="19"/>
      <c r="B505" s="12"/>
      <c r="C505" s="12" t="str">
        <f aca="false">IFERROR(VLOOKUP($B505,ItemList_Full,2,0),"")</f>
        <v/>
      </c>
      <c r="D505" s="12" t="str">
        <f aca="false">IFERROR(VLOOKUP($B505,ItemList_Full,3,0),"")</f>
        <v/>
      </c>
      <c r="E505" s="12"/>
      <c r="F505" s="13" t="str">
        <f aca="false">IFERROR(VLOOKUP($B505,ItemList_Full,4,0),"")</f>
        <v/>
      </c>
      <c r="G505" s="13" t="str">
        <f aca="false">IF(OR($E505="",$F505=""),"",$E505*$F505)</f>
        <v/>
      </c>
      <c r="H505" s="12"/>
      <c r="I505" s="12"/>
      <c r="J505" s="1" t="str">
        <f aca="false">IFERROR(VLOOKUP($B505,ItemList_Full,5,0),"")</f>
        <v/>
      </c>
    </row>
    <row r="506" customFormat="false" ht="15" hidden="false" customHeight="true" outlineLevel="0" collapsed="false">
      <c r="A506" s="19"/>
      <c r="B506" s="12"/>
      <c r="C506" s="12" t="str">
        <f aca="false">IFERROR(VLOOKUP($B506,ItemList_Full,2,0),"")</f>
        <v/>
      </c>
      <c r="D506" s="12" t="str">
        <f aca="false">IFERROR(VLOOKUP($B506,ItemList_Full,3,0),"")</f>
        <v/>
      </c>
      <c r="E506" s="12"/>
      <c r="F506" s="13" t="str">
        <f aca="false">IFERROR(VLOOKUP($B506,ItemList_Full,4,0),"")</f>
        <v/>
      </c>
      <c r="G506" s="13" t="str">
        <f aca="false">IF(OR($E506="",$F506=""),"",$E506*$F506)</f>
        <v/>
      </c>
      <c r="H506" s="12"/>
      <c r="I506" s="12"/>
      <c r="J506" s="1" t="str">
        <f aca="false">IFERROR(VLOOKUP($B506,ItemList_Full,5,0),"")</f>
        <v/>
      </c>
    </row>
    <row r="507" customFormat="false" ht="15" hidden="false" customHeight="true" outlineLevel="0" collapsed="false">
      <c r="A507" s="19"/>
      <c r="B507" s="12"/>
      <c r="C507" s="12" t="str">
        <f aca="false">IFERROR(VLOOKUP($B507,ItemList_Full,2,0),"")</f>
        <v/>
      </c>
      <c r="D507" s="12" t="str">
        <f aca="false">IFERROR(VLOOKUP($B507,ItemList_Full,3,0),"")</f>
        <v/>
      </c>
      <c r="E507" s="12"/>
      <c r="F507" s="13" t="str">
        <f aca="false">IFERROR(VLOOKUP($B507,ItemList_Full,4,0),"")</f>
        <v/>
      </c>
      <c r="G507" s="13" t="str">
        <f aca="false">IF(OR($E507="",$F507=""),"",$E507*$F507)</f>
        <v/>
      </c>
      <c r="H507" s="12"/>
      <c r="I507" s="12"/>
      <c r="J507" s="1" t="str">
        <f aca="false">IFERROR(VLOOKUP($B507,ItemList_Full,5,0),"")</f>
        <v/>
      </c>
    </row>
    <row r="508" customFormat="false" ht="15" hidden="false" customHeight="true" outlineLevel="0" collapsed="false">
      <c r="A508" s="19"/>
      <c r="B508" s="12"/>
      <c r="C508" s="12" t="str">
        <f aca="false">IFERROR(VLOOKUP($B508,ItemList_Full,2,0),"")</f>
        <v/>
      </c>
      <c r="D508" s="12" t="str">
        <f aca="false">IFERROR(VLOOKUP($B508,ItemList_Full,3,0),"")</f>
        <v/>
      </c>
      <c r="E508" s="12"/>
      <c r="F508" s="13" t="str">
        <f aca="false">IFERROR(VLOOKUP($B508,ItemList_Full,4,0),"")</f>
        <v/>
      </c>
      <c r="G508" s="13" t="str">
        <f aca="false">IF(OR($E508="",$F508=""),"",$E508*$F508)</f>
        <v/>
      </c>
      <c r="H508" s="12"/>
      <c r="I508" s="12"/>
      <c r="J508" s="1" t="str">
        <f aca="false">IFERROR(VLOOKUP($B508,ItemList_Full,5,0),"")</f>
        <v/>
      </c>
    </row>
    <row r="509" customFormat="false" ht="15" hidden="false" customHeight="true" outlineLevel="0" collapsed="false">
      <c r="A509" s="19"/>
      <c r="B509" s="12"/>
      <c r="C509" s="12" t="str">
        <f aca="false">IFERROR(VLOOKUP($B509,ItemList_Full,2,0),"")</f>
        <v/>
      </c>
      <c r="D509" s="12" t="str">
        <f aca="false">IFERROR(VLOOKUP($B509,ItemList_Full,3,0),"")</f>
        <v/>
      </c>
      <c r="E509" s="12"/>
      <c r="F509" s="13" t="str">
        <f aca="false">IFERROR(VLOOKUP($B509,ItemList_Full,4,0),"")</f>
        <v/>
      </c>
      <c r="G509" s="13" t="str">
        <f aca="false">IF(OR($E509="",$F509=""),"",$E509*$F509)</f>
        <v/>
      </c>
      <c r="H509" s="12"/>
      <c r="I509" s="12"/>
      <c r="J509" s="1" t="str">
        <f aca="false">IFERROR(VLOOKUP($B509,ItemList_Full,5,0),"")</f>
        <v/>
      </c>
    </row>
    <row r="510" customFormat="false" ht="15" hidden="false" customHeight="true" outlineLevel="0" collapsed="false">
      <c r="A510" s="19"/>
      <c r="B510" s="12"/>
      <c r="C510" s="12" t="str">
        <f aca="false">IFERROR(VLOOKUP($B510,ItemList_Full,2,0),"")</f>
        <v/>
      </c>
      <c r="D510" s="12" t="str">
        <f aca="false">IFERROR(VLOOKUP($B510,ItemList_Full,3,0),"")</f>
        <v/>
      </c>
      <c r="E510" s="12"/>
      <c r="F510" s="13" t="str">
        <f aca="false">IFERROR(VLOOKUP($B510,ItemList_Full,4,0),"")</f>
        <v/>
      </c>
      <c r="G510" s="13" t="str">
        <f aca="false">IF(OR($E510="",$F510=""),"",$E510*$F510)</f>
        <v/>
      </c>
      <c r="H510" s="12"/>
      <c r="I510" s="12"/>
      <c r="J510" s="1" t="str">
        <f aca="false">IFERROR(VLOOKUP($B510,ItemList_Full,5,0),"")</f>
        <v/>
      </c>
    </row>
    <row r="511" customFormat="false" ht="15" hidden="false" customHeight="true" outlineLevel="0" collapsed="false">
      <c r="A511" s="19"/>
      <c r="B511" s="12"/>
      <c r="C511" s="12" t="str">
        <f aca="false">IFERROR(VLOOKUP($B511,ItemList_Full,2,0),"")</f>
        <v/>
      </c>
      <c r="D511" s="12" t="str">
        <f aca="false">IFERROR(VLOOKUP($B511,ItemList_Full,3,0),"")</f>
        <v/>
      </c>
      <c r="E511" s="12"/>
      <c r="F511" s="13" t="str">
        <f aca="false">IFERROR(VLOOKUP($B511,ItemList_Full,4,0),"")</f>
        <v/>
      </c>
      <c r="G511" s="13" t="str">
        <f aca="false">IF(OR($E511="",$F511=""),"",$E511*$F511)</f>
        <v/>
      </c>
      <c r="H511" s="12"/>
      <c r="I511" s="12"/>
      <c r="J511" s="1" t="str">
        <f aca="false">IFERROR(VLOOKUP($B511,ItemList_Full,5,0),"")</f>
        <v/>
      </c>
    </row>
    <row r="512" customFormat="false" ht="15" hidden="false" customHeight="true" outlineLevel="0" collapsed="false">
      <c r="A512" s="19"/>
      <c r="B512" s="12"/>
      <c r="C512" s="12" t="str">
        <f aca="false">IFERROR(VLOOKUP($B512,ItemList_Full,2,0),"")</f>
        <v/>
      </c>
      <c r="D512" s="12" t="str">
        <f aca="false">IFERROR(VLOOKUP($B512,ItemList_Full,3,0),"")</f>
        <v/>
      </c>
      <c r="E512" s="12"/>
      <c r="F512" s="13" t="str">
        <f aca="false">IFERROR(VLOOKUP($B512,ItemList_Full,4,0),"")</f>
        <v/>
      </c>
      <c r="G512" s="13" t="str">
        <f aca="false">IF(OR($E512="",$F512=""),"",$E512*$F512)</f>
        <v/>
      </c>
      <c r="H512" s="12"/>
      <c r="I512" s="12"/>
      <c r="J512" s="1" t="str">
        <f aca="false">IFERROR(VLOOKUP($B512,ItemList_Full,5,0),"")</f>
        <v/>
      </c>
    </row>
    <row r="513" customFormat="false" ht="15" hidden="false" customHeight="true" outlineLevel="0" collapsed="false">
      <c r="A513" s="19"/>
      <c r="B513" s="12"/>
      <c r="C513" s="12" t="str">
        <f aca="false">IFERROR(VLOOKUP($B513,ItemList_Full,2,0),"")</f>
        <v/>
      </c>
      <c r="D513" s="12" t="str">
        <f aca="false">IFERROR(VLOOKUP($B513,ItemList_Full,3,0),"")</f>
        <v/>
      </c>
      <c r="E513" s="12"/>
      <c r="F513" s="13" t="str">
        <f aca="false">IFERROR(VLOOKUP($B513,ItemList_Full,4,0),"")</f>
        <v/>
      </c>
      <c r="G513" s="13" t="str">
        <f aca="false">IF(OR($E513="",$F513=""),"",$E513*$F513)</f>
        <v/>
      </c>
      <c r="H513" s="12"/>
      <c r="I513" s="12"/>
      <c r="J513" s="1" t="str">
        <f aca="false">IFERROR(VLOOKUP($B513,ItemList_Full,5,0),"")</f>
        <v/>
      </c>
    </row>
    <row r="514" customFormat="false" ht="15" hidden="false" customHeight="true" outlineLevel="0" collapsed="false">
      <c r="A514" s="19"/>
      <c r="B514" s="12"/>
      <c r="C514" s="12" t="str">
        <f aca="false">IFERROR(VLOOKUP($B514,ItemList_Full,2,0),"")</f>
        <v/>
      </c>
      <c r="D514" s="12" t="str">
        <f aca="false">IFERROR(VLOOKUP($B514,ItemList_Full,3,0),"")</f>
        <v/>
      </c>
      <c r="E514" s="12"/>
      <c r="F514" s="13" t="str">
        <f aca="false">IFERROR(VLOOKUP($B514,ItemList_Full,4,0),"")</f>
        <v/>
      </c>
      <c r="G514" s="13" t="str">
        <f aca="false">IF(OR($E514="",$F514=""),"",$E514*$F514)</f>
        <v/>
      </c>
      <c r="H514" s="12"/>
      <c r="I514" s="12"/>
      <c r="J514" s="1" t="str">
        <f aca="false">IFERROR(VLOOKUP($B514,ItemList_Full,5,0),"")</f>
        <v/>
      </c>
    </row>
    <row r="515" customFormat="false" ht="15" hidden="false" customHeight="true" outlineLevel="0" collapsed="false">
      <c r="A515" s="19"/>
      <c r="B515" s="12"/>
      <c r="C515" s="12" t="str">
        <f aca="false">IFERROR(VLOOKUP($B515,ItemList_Full,2,0),"")</f>
        <v/>
      </c>
      <c r="D515" s="12" t="str">
        <f aca="false">IFERROR(VLOOKUP($B515,ItemList_Full,3,0),"")</f>
        <v/>
      </c>
      <c r="E515" s="12"/>
      <c r="F515" s="13" t="str">
        <f aca="false">IFERROR(VLOOKUP($B515,ItemList_Full,4,0),"")</f>
        <v/>
      </c>
      <c r="G515" s="13" t="str">
        <f aca="false">IF(OR($E515="",$F515=""),"",$E515*$F515)</f>
        <v/>
      </c>
      <c r="H515" s="12"/>
      <c r="I515" s="12"/>
      <c r="J515" s="1" t="str">
        <f aca="false">IFERROR(VLOOKUP($B515,ItemList_Full,5,0),"")</f>
        <v/>
      </c>
    </row>
    <row r="516" customFormat="false" ht="15" hidden="false" customHeight="true" outlineLevel="0" collapsed="false">
      <c r="A516" s="19"/>
      <c r="B516" s="12"/>
      <c r="C516" s="12" t="str">
        <f aca="false">IFERROR(VLOOKUP($B516,ItemList_Full,2,0),"")</f>
        <v/>
      </c>
      <c r="D516" s="12" t="str">
        <f aca="false">IFERROR(VLOOKUP($B516,ItemList_Full,3,0),"")</f>
        <v/>
      </c>
      <c r="E516" s="12"/>
      <c r="F516" s="13" t="str">
        <f aca="false">IFERROR(VLOOKUP($B516,ItemList_Full,4,0),"")</f>
        <v/>
      </c>
      <c r="G516" s="13" t="str">
        <f aca="false">IF(OR($E516="",$F516=""),"",$E516*$F516)</f>
        <v/>
      </c>
      <c r="H516" s="12"/>
      <c r="I516" s="12"/>
      <c r="J516" s="1" t="str">
        <f aca="false">IFERROR(VLOOKUP($B516,ItemList_Full,5,0),"")</f>
        <v/>
      </c>
    </row>
    <row r="517" customFormat="false" ht="15" hidden="false" customHeight="true" outlineLevel="0" collapsed="false">
      <c r="A517" s="19"/>
      <c r="B517" s="12"/>
      <c r="C517" s="12" t="str">
        <f aca="false">IFERROR(VLOOKUP($B517,ItemList_Full,2,0),"")</f>
        <v/>
      </c>
      <c r="D517" s="12" t="str">
        <f aca="false">IFERROR(VLOOKUP($B517,ItemList_Full,3,0),"")</f>
        <v/>
      </c>
      <c r="E517" s="12"/>
      <c r="F517" s="13" t="str">
        <f aca="false">IFERROR(VLOOKUP($B517,ItemList_Full,4,0),"")</f>
        <v/>
      </c>
      <c r="G517" s="13" t="str">
        <f aca="false">IF(OR($E517="",$F517=""),"",$E517*$F517)</f>
        <v/>
      </c>
      <c r="H517" s="12"/>
      <c r="I517" s="12"/>
      <c r="J517" s="1" t="str">
        <f aca="false">IFERROR(VLOOKUP($B517,ItemList_Full,5,0),"")</f>
        <v/>
      </c>
    </row>
    <row r="518" customFormat="false" ht="15" hidden="false" customHeight="true" outlineLevel="0" collapsed="false">
      <c r="A518" s="19"/>
      <c r="B518" s="12"/>
      <c r="C518" s="12" t="str">
        <f aca="false">IFERROR(VLOOKUP($B518,ItemList_Full,2,0),"")</f>
        <v/>
      </c>
      <c r="D518" s="12" t="str">
        <f aca="false">IFERROR(VLOOKUP($B518,ItemList_Full,3,0),"")</f>
        <v/>
      </c>
      <c r="E518" s="12"/>
      <c r="F518" s="13" t="str">
        <f aca="false">IFERROR(VLOOKUP($B518,ItemList_Full,4,0),"")</f>
        <v/>
      </c>
      <c r="G518" s="13" t="str">
        <f aca="false">IF(OR($E518="",$F518=""),"",$E518*$F518)</f>
        <v/>
      </c>
      <c r="H518" s="12"/>
      <c r="I518" s="12"/>
      <c r="J518" s="1" t="str">
        <f aca="false">IFERROR(VLOOKUP($B518,ItemList_Full,5,0),"")</f>
        <v/>
      </c>
    </row>
    <row r="519" customFormat="false" ht="15" hidden="false" customHeight="true" outlineLevel="0" collapsed="false">
      <c r="A519" s="19"/>
      <c r="B519" s="12"/>
      <c r="C519" s="12" t="str">
        <f aca="false">IFERROR(VLOOKUP($B519,ItemList_Full,2,0),"")</f>
        <v/>
      </c>
      <c r="D519" s="12" t="str">
        <f aca="false">IFERROR(VLOOKUP($B519,ItemList_Full,3,0),"")</f>
        <v/>
      </c>
      <c r="E519" s="12"/>
      <c r="F519" s="13" t="str">
        <f aca="false">IFERROR(VLOOKUP($B519,ItemList_Full,4,0),"")</f>
        <v/>
      </c>
      <c r="G519" s="13" t="str">
        <f aca="false">IF(OR($E519="",$F519=""),"",$E519*$F519)</f>
        <v/>
      </c>
      <c r="H519" s="12"/>
      <c r="I519" s="12"/>
      <c r="J519" s="1" t="str">
        <f aca="false">IFERROR(VLOOKUP($B519,ItemList_Full,5,0),"")</f>
        <v/>
      </c>
    </row>
    <row r="520" customFormat="false" ht="15" hidden="false" customHeight="true" outlineLevel="0" collapsed="false">
      <c r="A520" s="19"/>
      <c r="B520" s="12"/>
      <c r="C520" s="12" t="str">
        <f aca="false">IFERROR(VLOOKUP($B520,ItemList_Full,2,0),"")</f>
        <v/>
      </c>
      <c r="D520" s="12" t="str">
        <f aca="false">IFERROR(VLOOKUP($B520,ItemList_Full,3,0),"")</f>
        <v/>
      </c>
      <c r="E520" s="12"/>
      <c r="F520" s="13" t="str">
        <f aca="false">IFERROR(VLOOKUP($B520,ItemList_Full,4,0),"")</f>
        <v/>
      </c>
      <c r="G520" s="13" t="str">
        <f aca="false">IF(OR($E520="",$F520=""),"",$E520*$F520)</f>
        <v/>
      </c>
      <c r="H520" s="12"/>
      <c r="I520" s="12"/>
      <c r="J520" s="1" t="str">
        <f aca="false">IFERROR(VLOOKUP($B520,ItemList_Full,5,0),"")</f>
        <v/>
      </c>
    </row>
    <row r="521" customFormat="false" ht="15" hidden="false" customHeight="true" outlineLevel="0" collapsed="false">
      <c r="A521" s="19"/>
      <c r="B521" s="12"/>
      <c r="C521" s="12" t="str">
        <f aca="false">IFERROR(VLOOKUP($B521,ItemList_Full,2,0),"")</f>
        <v/>
      </c>
      <c r="D521" s="12" t="str">
        <f aca="false">IFERROR(VLOOKUP($B521,ItemList_Full,3,0),"")</f>
        <v/>
      </c>
      <c r="E521" s="12"/>
      <c r="F521" s="13" t="str">
        <f aca="false">IFERROR(VLOOKUP($B521,ItemList_Full,4,0),"")</f>
        <v/>
      </c>
      <c r="G521" s="13" t="str">
        <f aca="false">IF(OR($E521="",$F521=""),"",$E521*$F521)</f>
        <v/>
      </c>
      <c r="H521" s="12"/>
      <c r="I521" s="12"/>
      <c r="J521" s="1" t="str">
        <f aca="false">IFERROR(VLOOKUP($B521,ItemList_Full,5,0),"")</f>
        <v/>
      </c>
    </row>
    <row r="522" customFormat="false" ht="15" hidden="false" customHeight="true" outlineLevel="0" collapsed="false">
      <c r="A522" s="19"/>
      <c r="B522" s="12"/>
      <c r="C522" s="12" t="str">
        <f aca="false">IFERROR(VLOOKUP($B522,ItemList_Full,2,0),"")</f>
        <v/>
      </c>
      <c r="D522" s="12" t="str">
        <f aca="false">IFERROR(VLOOKUP($B522,ItemList_Full,3,0),"")</f>
        <v/>
      </c>
      <c r="E522" s="12"/>
      <c r="F522" s="13" t="str">
        <f aca="false">IFERROR(VLOOKUP($B522,ItemList_Full,4,0),"")</f>
        <v/>
      </c>
      <c r="G522" s="13" t="str">
        <f aca="false">IF(OR($E522="",$F522=""),"",$E522*$F522)</f>
        <v/>
      </c>
      <c r="H522" s="12"/>
      <c r="I522" s="12"/>
      <c r="J522" s="1" t="str">
        <f aca="false">IFERROR(VLOOKUP($B522,ItemList_Full,5,0),"")</f>
        <v/>
      </c>
    </row>
    <row r="523" customFormat="false" ht="15" hidden="false" customHeight="true" outlineLevel="0" collapsed="false">
      <c r="A523" s="19"/>
      <c r="B523" s="12"/>
      <c r="C523" s="12" t="str">
        <f aca="false">IFERROR(VLOOKUP($B523,ItemList_Full,2,0),"")</f>
        <v/>
      </c>
      <c r="D523" s="12" t="str">
        <f aca="false">IFERROR(VLOOKUP($B523,ItemList_Full,3,0),"")</f>
        <v/>
      </c>
      <c r="E523" s="12"/>
      <c r="F523" s="13" t="str">
        <f aca="false">IFERROR(VLOOKUP($B523,ItemList_Full,4,0),"")</f>
        <v/>
      </c>
      <c r="G523" s="13" t="str">
        <f aca="false">IF(OR($E523="",$F523=""),"",$E523*$F523)</f>
        <v/>
      </c>
      <c r="H523" s="12"/>
      <c r="I523" s="12"/>
      <c r="J523" s="1" t="str">
        <f aca="false">IFERROR(VLOOKUP($B523,ItemList_Full,5,0),"")</f>
        <v/>
      </c>
    </row>
    <row r="524" customFormat="false" ht="15" hidden="false" customHeight="true" outlineLevel="0" collapsed="false">
      <c r="A524" s="19"/>
      <c r="B524" s="12"/>
      <c r="C524" s="12" t="str">
        <f aca="false">IFERROR(VLOOKUP($B524,ItemList_Full,2,0),"")</f>
        <v/>
      </c>
      <c r="D524" s="12" t="str">
        <f aca="false">IFERROR(VLOOKUP($B524,ItemList_Full,3,0),"")</f>
        <v/>
      </c>
      <c r="E524" s="12"/>
      <c r="F524" s="13" t="str">
        <f aca="false">IFERROR(VLOOKUP($B524,ItemList_Full,4,0),"")</f>
        <v/>
      </c>
      <c r="G524" s="13" t="str">
        <f aca="false">IF(OR($E524="",$F524=""),"",$E524*$F524)</f>
        <v/>
      </c>
      <c r="H524" s="12"/>
      <c r="I524" s="12"/>
      <c r="J524" s="1" t="str">
        <f aca="false">IFERROR(VLOOKUP($B524,ItemList_Full,5,0),"")</f>
        <v/>
      </c>
    </row>
    <row r="525" customFormat="false" ht="15" hidden="false" customHeight="true" outlineLevel="0" collapsed="false">
      <c r="A525" s="19"/>
      <c r="B525" s="12"/>
      <c r="C525" s="12" t="str">
        <f aca="false">IFERROR(VLOOKUP($B525,ItemList_Full,2,0),"")</f>
        <v/>
      </c>
      <c r="D525" s="12" t="str">
        <f aca="false">IFERROR(VLOOKUP($B525,ItemList_Full,3,0),"")</f>
        <v/>
      </c>
      <c r="E525" s="12"/>
      <c r="F525" s="13" t="str">
        <f aca="false">IFERROR(VLOOKUP($B525,ItemList_Full,4,0),"")</f>
        <v/>
      </c>
      <c r="G525" s="13" t="str">
        <f aca="false">IF(OR($E525="",$F525=""),"",$E525*$F525)</f>
        <v/>
      </c>
      <c r="H525" s="12"/>
      <c r="I525" s="12"/>
      <c r="J525" s="1" t="str">
        <f aca="false">IFERROR(VLOOKUP($B525,ItemList_Full,5,0),"")</f>
        <v/>
      </c>
    </row>
    <row r="526" customFormat="false" ht="15" hidden="false" customHeight="true" outlineLevel="0" collapsed="false">
      <c r="A526" s="19"/>
      <c r="B526" s="12"/>
      <c r="C526" s="12" t="str">
        <f aca="false">IFERROR(VLOOKUP($B526,ItemList_Full,2,0),"")</f>
        <v/>
      </c>
      <c r="D526" s="12" t="str">
        <f aca="false">IFERROR(VLOOKUP($B526,ItemList_Full,3,0),"")</f>
        <v/>
      </c>
      <c r="E526" s="12"/>
      <c r="F526" s="13" t="str">
        <f aca="false">IFERROR(VLOOKUP($B526,ItemList_Full,4,0),"")</f>
        <v/>
      </c>
      <c r="G526" s="13" t="str">
        <f aca="false">IF(OR($E526="",$F526=""),"",$E526*$F526)</f>
        <v/>
      </c>
      <c r="H526" s="12"/>
      <c r="I526" s="12"/>
      <c r="J526" s="1" t="str">
        <f aca="false">IFERROR(VLOOKUP($B526,ItemList_Full,5,0),"")</f>
        <v/>
      </c>
    </row>
    <row r="527" customFormat="false" ht="15" hidden="false" customHeight="true" outlineLevel="0" collapsed="false">
      <c r="A527" s="19"/>
      <c r="B527" s="12"/>
      <c r="C527" s="12" t="str">
        <f aca="false">IFERROR(VLOOKUP($B527,ItemList_Full,2,0),"")</f>
        <v/>
      </c>
      <c r="D527" s="12" t="str">
        <f aca="false">IFERROR(VLOOKUP($B527,ItemList_Full,3,0),"")</f>
        <v/>
      </c>
      <c r="E527" s="12"/>
      <c r="F527" s="13" t="str">
        <f aca="false">IFERROR(VLOOKUP($B527,ItemList_Full,4,0),"")</f>
        <v/>
      </c>
      <c r="G527" s="13" t="str">
        <f aca="false">IF(OR($E527="",$F527=""),"",$E527*$F527)</f>
        <v/>
      </c>
      <c r="H527" s="12"/>
      <c r="I527" s="12"/>
      <c r="J527" s="1" t="str">
        <f aca="false">IFERROR(VLOOKUP($B527,ItemList_Full,5,0),"")</f>
        <v/>
      </c>
    </row>
    <row r="528" customFormat="false" ht="15" hidden="false" customHeight="true" outlineLevel="0" collapsed="false">
      <c r="A528" s="19"/>
      <c r="B528" s="12"/>
      <c r="C528" s="12" t="str">
        <f aca="false">IFERROR(VLOOKUP($B528,ItemList_Full,2,0),"")</f>
        <v/>
      </c>
      <c r="D528" s="12" t="str">
        <f aca="false">IFERROR(VLOOKUP($B528,ItemList_Full,3,0),"")</f>
        <v/>
      </c>
      <c r="E528" s="12"/>
      <c r="F528" s="13" t="str">
        <f aca="false">IFERROR(VLOOKUP($B528,ItemList_Full,4,0),"")</f>
        <v/>
      </c>
      <c r="G528" s="13" t="str">
        <f aca="false">IF(OR($E528="",$F528=""),"",$E528*$F528)</f>
        <v/>
      </c>
      <c r="H528" s="12"/>
      <c r="I528" s="12"/>
      <c r="J528" s="1" t="str">
        <f aca="false">IFERROR(VLOOKUP($B528,ItemList_Full,5,0),"")</f>
        <v/>
      </c>
    </row>
    <row r="529" customFormat="false" ht="15" hidden="false" customHeight="true" outlineLevel="0" collapsed="false">
      <c r="A529" s="19"/>
      <c r="B529" s="12"/>
      <c r="C529" s="12" t="str">
        <f aca="false">IFERROR(VLOOKUP($B529,ItemList_Full,2,0),"")</f>
        <v/>
      </c>
      <c r="D529" s="12" t="str">
        <f aca="false">IFERROR(VLOOKUP($B529,ItemList_Full,3,0),"")</f>
        <v/>
      </c>
      <c r="E529" s="12"/>
      <c r="F529" s="13" t="str">
        <f aca="false">IFERROR(VLOOKUP($B529,ItemList_Full,4,0),"")</f>
        <v/>
      </c>
      <c r="G529" s="13" t="str">
        <f aca="false">IF(OR($E529="",$F529=""),"",$E529*$F529)</f>
        <v/>
      </c>
      <c r="H529" s="12"/>
      <c r="I529" s="12"/>
      <c r="J529" s="1" t="str">
        <f aca="false">IFERROR(VLOOKUP($B529,ItemList_Full,5,0),"")</f>
        <v/>
      </c>
    </row>
    <row r="530" customFormat="false" ht="15" hidden="false" customHeight="true" outlineLevel="0" collapsed="false">
      <c r="A530" s="19"/>
      <c r="B530" s="12"/>
      <c r="C530" s="12" t="str">
        <f aca="false">IFERROR(VLOOKUP($B530,ItemList_Full,2,0),"")</f>
        <v/>
      </c>
      <c r="D530" s="12" t="str">
        <f aca="false">IFERROR(VLOOKUP($B530,ItemList_Full,3,0),"")</f>
        <v/>
      </c>
      <c r="E530" s="12"/>
      <c r="F530" s="13" t="str">
        <f aca="false">IFERROR(VLOOKUP($B530,ItemList_Full,4,0),"")</f>
        <v/>
      </c>
      <c r="G530" s="13" t="str">
        <f aca="false">IF(OR($E530="",$F530=""),"",$E530*$F530)</f>
        <v/>
      </c>
      <c r="H530" s="12"/>
      <c r="I530" s="12"/>
      <c r="J530" s="1" t="str">
        <f aca="false">IFERROR(VLOOKUP($B530,ItemList_Full,5,0),"")</f>
        <v/>
      </c>
    </row>
    <row r="531" customFormat="false" ht="15" hidden="false" customHeight="true" outlineLevel="0" collapsed="false">
      <c r="A531" s="19"/>
      <c r="B531" s="12"/>
      <c r="C531" s="12" t="str">
        <f aca="false">IFERROR(VLOOKUP($B531,ItemList_Full,2,0),"")</f>
        <v/>
      </c>
      <c r="D531" s="12" t="str">
        <f aca="false">IFERROR(VLOOKUP($B531,ItemList_Full,3,0),"")</f>
        <v/>
      </c>
      <c r="E531" s="12"/>
      <c r="F531" s="13" t="str">
        <f aca="false">IFERROR(VLOOKUP($B531,ItemList_Full,4,0),"")</f>
        <v/>
      </c>
      <c r="G531" s="13" t="str">
        <f aca="false">IF(OR($E531="",$F531=""),"",$E531*$F531)</f>
        <v/>
      </c>
      <c r="H531" s="12"/>
      <c r="I531" s="12"/>
      <c r="J531" s="1" t="str">
        <f aca="false">IFERROR(VLOOKUP($B531,ItemList_Full,5,0),"")</f>
        <v/>
      </c>
    </row>
    <row r="532" customFormat="false" ht="15" hidden="false" customHeight="true" outlineLevel="0" collapsed="false">
      <c r="A532" s="19"/>
      <c r="B532" s="12"/>
      <c r="C532" s="12" t="str">
        <f aca="false">IFERROR(VLOOKUP($B532,ItemList_Full,2,0),"")</f>
        <v/>
      </c>
      <c r="D532" s="12" t="str">
        <f aca="false">IFERROR(VLOOKUP($B532,ItemList_Full,3,0),"")</f>
        <v/>
      </c>
      <c r="E532" s="12"/>
      <c r="F532" s="13" t="str">
        <f aca="false">IFERROR(VLOOKUP($B532,ItemList_Full,4,0),"")</f>
        <v/>
      </c>
      <c r="G532" s="13" t="str">
        <f aca="false">IF(OR($E532="",$F532=""),"",$E532*$F532)</f>
        <v/>
      </c>
      <c r="H532" s="12"/>
      <c r="I532" s="12"/>
      <c r="J532" s="1" t="str">
        <f aca="false">IFERROR(VLOOKUP($B532,ItemList_Full,5,0),"")</f>
        <v/>
      </c>
    </row>
    <row r="533" customFormat="false" ht="15" hidden="false" customHeight="true" outlineLevel="0" collapsed="false">
      <c r="A533" s="19"/>
      <c r="B533" s="12"/>
      <c r="C533" s="12" t="str">
        <f aca="false">IFERROR(VLOOKUP($B533,ItemList_Full,2,0),"")</f>
        <v/>
      </c>
      <c r="D533" s="12" t="str">
        <f aca="false">IFERROR(VLOOKUP($B533,ItemList_Full,3,0),"")</f>
        <v/>
      </c>
      <c r="E533" s="12"/>
      <c r="F533" s="13" t="str">
        <f aca="false">IFERROR(VLOOKUP($B533,ItemList_Full,4,0),"")</f>
        <v/>
      </c>
      <c r="G533" s="13" t="str">
        <f aca="false">IF(OR($E533="",$F533=""),"",$E533*$F533)</f>
        <v/>
      </c>
      <c r="H533" s="12"/>
      <c r="I533" s="12"/>
      <c r="J533" s="1" t="str">
        <f aca="false">IFERROR(VLOOKUP($B533,ItemList_Full,5,0),"")</f>
        <v/>
      </c>
    </row>
    <row r="534" customFormat="false" ht="15" hidden="false" customHeight="true" outlineLevel="0" collapsed="false">
      <c r="A534" s="19"/>
      <c r="B534" s="12"/>
      <c r="C534" s="12" t="str">
        <f aca="false">IFERROR(VLOOKUP($B534,ItemList_Full,2,0),"")</f>
        <v/>
      </c>
      <c r="D534" s="12" t="str">
        <f aca="false">IFERROR(VLOOKUP($B534,ItemList_Full,3,0),"")</f>
        <v/>
      </c>
      <c r="E534" s="12"/>
      <c r="F534" s="13" t="str">
        <f aca="false">IFERROR(VLOOKUP($B534,ItemList_Full,4,0),"")</f>
        <v/>
      </c>
      <c r="G534" s="13" t="str">
        <f aca="false">IF(OR($E534="",$F534=""),"",$E534*$F534)</f>
        <v/>
      </c>
      <c r="H534" s="12"/>
      <c r="I534" s="12"/>
      <c r="J534" s="1" t="str">
        <f aca="false">IFERROR(VLOOKUP($B534,ItemList_Full,5,0),"")</f>
        <v/>
      </c>
    </row>
    <row r="535" customFormat="false" ht="15" hidden="false" customHeight="true" outlineLevel="0" collapsed="false">
      <c r="A535" s="19"/>
      <c r="B535" s="12"/>
      <c r="C535" s="12" t="str">
        <f aca="false">IFERROR(VLOOKUP($B535,ItemList_Full,2,0),"")</f>
        <v/>
      </c>
      <c r="D535" s="12" t="str">
        <f aca="false">IFERROR(VLOOKUP($B535,ItemList_Full,3,0),"")</f>
        <v/>
      </c>
      <c r="E535" s="12"/>
      <c r="F535" s="13" t="str">
        <f aca="false">IFERROR(VLOOKUP($B535,ItemList_Full,4,0),"")</f>
        <v/>
      </c>
      <c r="G535" s="13" t="str">
        <f aca="false">IF(OR($E535="",$F535=""),"",$E535*$F535)</f>
        <v/>
      </c>
      <c r="H535" s="12"/>
      <c r="I535" s="12"/>
      <c r="J535" s="1" t="str">
        <f aca="false">IFERROR(VLOOKUP($B535,ItemList_Full,5,0),"")</f>
        <v/>
      </c>
    </row>
    <row r="536" customFormat="false" ht="15" hidden="false" customHeight="true" outlineLevel="0" collapsed="false">
      <c r="A536" s="19"/>
      <c r="B536" s="12"/>
      <c r="C536" s="12" t="str">
        <f aca="false">IFERROR(VLOOKUP($B536,ItemList_Full,2,0),"")</f>
        <v/>
      </c>
      <c r="D536" s="12" t="str">
        <f aca="false">IFERROR(VLOOKUP($B536,ItemList_Full,3,0),"")</f>
        <v/>
      </c>
      <c r="E536" s="12"/>
      <c r="F536" s="13" t="str">
        <f aca="false">IFERROR(VLOOKUP($B536,ItemList_Full,4,0),"")</f>
        <v/>
      </c>
      <c r="G536" s="13" t="str">
        <f aca="false">IF(OR($E536="",$F536=""),"",$E536*$F536)</f>
        <v/>
      </c>
      <c r="H536" s="12"/>
      <c r="I536" s="12"/>
      <c r="J536" s="1" t="str">
        <f aca="false">IFERROR(VLOOKUP($B536,ItemList_Full,5,0),"")</f>
        <v/>
      </c>
    </row>
    <row r="537" customFormat="false" ht="15" hidden="false" customHeight="true" outlineLevel="0" collapsed="false">
      <c r="A537" s="19"/>
      <c r="B537" s="12"/>
      <c r="C537" s="12" t="str">
        <f aca="false">IFERROR(VLOOKUP($B537,ItemList_Full,2,0),"")</f>
        <v/>
      </c>
      <c r="D537" s="12" t="str">
        <f aca="false">IFERROR(VLOOKUP($B537,ItemList_Full,3,0),"")</f>
        <v/>
      </c>
      <c r="E537" s="12"/>
      <c r="F537" s="13" t="str">
        <f aca="false">IFERROR(VLOOKUP($B537,ItemList_Full,4,0),"")</f>
        <v/>
      </c>
      <c r="G537" s="13" t="str">
        <f aca="false">IF(OR($E537="",$F537=""),"",$E537*$F537)</f>
        <v/>
      </c>
      <c r="H537" s="12"/>
      <c r="I537" s="12"/>
      <c r="J537" s="1" t="str">
        <f aca="false">IFERROR(VLOOKUP($B537,ItemList_Full,5,0),"")</f>
        <v/>
      </c>
    </row>
    <row r="538" customFormat="false" ht="15" hidden="false" customHeight="true" outlineLevel="0" collapsed="false">
      <c r="A538" s="19"/>
      <c r="B538" s="12"/>
      <c r="C538" s="12" t="str">
        <f aca="false">IFERROR(VLOOKUP($B538,ItemList_Full,2,0),"")</f>
        <v/>
      </c>
      <c r="D538" s="12" t="str">
        <f aca="false">IFERROR(VLOOKUP($B538,ItemList_Full,3,0),"")</f>
        <v/>
      </c>
      <c r="E538" s="12"/>
      <c r="F538" s="13" t="str">
        <f aca="false">IFERROR(VLOOKUP($B538,ItemList_Full,4,0),"")</f>
        <v/>
      </c>
      <c r="G538" s="13" t="str">
        <f aca="false">IF(OR($E538="",$F538=""),"",$E538*$F538)</f>
        <v/>
      </c>
      <c r="H538" s="12"/>
      <c r="I538" s="12"/>
      <c r="J538" s="1" t="str">
        <f aca="false">IFERROR(VLOOKUP($B538,ItemList_Full,5,0),"")</f>
        <v/>
      </c>
    </row>
    <row r="539" customFormat="false" ht="15" hidden="false" customHeight="true" outlineLevel="0" collapsed="false">
      <c r="A539" s="19"/>
      <c r="B539" s="12"/>
      <c r="C539" s="12" t="str">
        <f aca="false">IFERROR(VLOOKUP($B539,ItemList_Full,2,0),"")</f>
        <v/>
      </c>
      <c r="D539" s="12" t="str">
        <f aca="false">IFERROR(VLOOKUP($B539,ItemList_Full,3,0),"")</f>
        <v/>
      </c>
      <c r="E539" s="12"/>
      <c r="F539" s="13" t="str">
        <f aca="false">IFERROR(VLOOKUP($B539,ItemList_Full,4,0),"")</f>
        <v/>
      </c>
      <c r="G539" s="13" t="str">
        <f aca="false">IF(OR($E539="",$F539=""),"",$E539*$F539)</f>
        <v/>
      </c>
      <c r="H539" s="12"/>
      <c r="I539" s="12"/>
      <c r="J539" s="1" t="str">
        <f aca="false">IFERROR(VLOOKUP($B539,ItemList_Full,5,0),"")</f>
        <v/>
      </c>
    </row>
    <row r="540" customFormat="false" ht="15" hidden="false" customHeight="true" outlineLevel="0" collapsed="false">
      <c r="A540" s="19"/>
      <c r="B540" s="12"/>
      <c r="C540" s="12" t="str">
        <f aca="false">IFERROR(VLOOKUP($B540,ItemList_Full,2,0),"")</f>
        <v/>
      </c>
      <c r="D540" s="12" t="str">
        <f aca="false">IFERROR(VLOOKUP($B540,ItemList_Full,3,0),"")</f>
        <v/>
      </c>
      <c r="E540" s="12"/>
      <c r="F540" s="13" t="str">
        <f aca="false">IFERROR(VLOOKUP($B540,ItemList_Full,4,0),"")</f>
        <v/>
      </c>
      <c r="G540" s="13" t="str">
        <f aca="false">IF(OR($E540="",$F540=""),"",$E540*$F540)</f>
        <v/>
      </c>
      <c r="H540" s="12"/>
      <c r="I540" s="12"/>
      <c r="J540" s="1" t="str">
        <f aca="false">IFERROR(VLOOKUP($B540,ItemList_Full,5,0),"")</f>
        <v/>
      </c>
    </row>
    <row r="541" customFormat="false" ht="15" hidden="false" customHeight="true" outlineLevel="0" collapsed="false">
      <c r="A541" s="19"/>
      <c r="B541" s="12"/>
      <c r="C541" s="12" t="str">
        <f aca="false">IFERROR(VLOOKUP($B541,ItemList_Full,2,0),"")</f>
        <v/>
      </c>
      <c r="D541" s="12" t="str">
        <f aca="false">IFERROR(VLOOKUP($B541,ItemList_Full,3,0),"")</f>
        <v/>
      </c>
      <c r="E541" s="12"/>
      <c r="F541" s="13" t="str">
        <f aca="false">IFERROR(VLOOKUP($B541,ItemList_Full,4,0),"")</f>
        <v/>
      </c>
      <c r="G541" s="13" t="str">
        <f aca="false">IF(OR($E541="",$F541=""),"",$E541*$F541)</f>
        <v/>
      </c>
      <c r="H541" s="12"/>
      <c r="I541" s="12"/>
      <c r="J541" s="1" t="str">
        <f aca="false">IFERROR(VLOOKUP($B541,ItemList_Full,5,0),"")</f>
        <v/>
      </c>
    </row>
    <row r="542" customFormat="false" ht="15" hidden="false" customHeight="true" outlineLevel="0" collapsed="false">
      <c r="A542" s="19"/>
      <c r="B542" s="12"/>
      <c r="C542" s="12" t="str">
        <f aca="false">IFERROR(VLOOKUP($B542,ItemList_Full,2,0),"")</f>
        <v/>
      </c>
      <c r="D542" s="12" t="str">
        <f aca="false">IFERROR(VLOOKUP($B542,ItemList_Full,3,0),"")</f>
        <v/>
      </c>
      <c r="E542" s="12"/>
      <c r="F542" s="13" t="str">
        <f aca="false">IFERROR(VLOOKUP($B542,ItemList_Full,4,0),"")</f>
        <v/>
      </c>
      <c r="G542" s="13" t="str">
        <f aca="false">IF(OR($E542="",$F542=""),"",$E542*$F542)</f>
        <v/>
      </c>
      <c r="H542" s="12"/>
      <c r="I542" s="12"/>
      <c r="J542" s="1" t="str">
        <f aca="false">IFERROR(VLOOKUP($B542,ItemList_Full,5,0),"")</f>
        <v/>
      </c>
    </row>
    <row r="543" customFormat="false" ht="15" hidden="false" customHeight="true" outlineLevel="0" collapsed="false">
      <c r="A543" s="19"/>
      <c r="B543" s="12"/>
      <c r="C543" s="12" t="str">
        <f aca="false">IFERROR(VLOOKUP($B543,ItemList_Full,2,0),"")</f>
        <v/>
      </c>
      <c r="D543" s="12" t="str">
        <f aca="false">IFERROR(VLOOKUP($B543,ItemList_Full,3,0),"")</f>
        <v/>
      </c>
      <c r="E543" s="12"/>
      <c r="F543" s="13" t="str">
        <f aca="false">IFERROR(VLOOKUP($B543,ItemList_Full,4,0),"")</f>
        <v/>
      </c>
      <c r="G543" s="13" t="str">
        <f aca="false">IF(OR($E543="",$F543=""),"",$E543*$F543)</f>
        <v/>
      </c>
      <c r="H543" s="12"/>
      <c r="I543" s="12"/>
      <c r="J543" s="1" t="str">
        <f aca="false">IFERROR(VLOOKUP($B543,ItemList_Full,5,0),"")</f>
        <v/>
      </c>
    </row>
    <row r="544" customFormat="false" ht="15" hidden="false" customHeight="true" outlineLevel="0" collapsed="false">
      <c r="A544" s="19"/>
      <c r="B544" s="12"/>
      <c r="C544" s="12" t="str">
        <f aca="false">IFERROR(VLOOKUP($B544,ItemList_Full,2,0),"")</f>
        <v/>
      </c>
      <c r="D544" s="12" t="str">
        <f aca="false">IFERROR(VLOOKUP($B544,ItemList_Full,3,0),"")</f>
        <v/>
      </c>
      <c r="E544" s="12"/>
      <c r="F544" s="13" t="str">
        <f aca="false">IFERROR(VLOOKUP($B544,ItemList_Full,4,0),"")</f>
        <v/>
      </c>
      <c r="G544" s="13" t="str">
        <f aca="false">IF(OR($E544="",$F544=""),"",$E544*$F544)</f>
        <v/>
      </c>
      <c r="H544" s="12"/>
      <c r="I544" s="12"/>
      <c r="J544" s="1" t="str">
        <f aca="false">IFERROR(VLOOKUP($B544,ItemList_Full,5,0),"")</f>
        <v/>
      </c>
    </row>
    <row r="545" customFormat="false" ht="15" hidden="false" customHeight="true" outlineLevel="0" collapsed="false">
      <c r="A545" s="19"/>
      <c r="B545" s="12"/>
      <c r="C545" s="12" t="str">
        <f aca="false">IFERROR(VLOOKUP($B545,ItemList_Full,2,0),"")</f>
        <v/>
      </c>
      <c r="D545" s="12" t="str">
        <f aca="false">IFERROR(VLOOKUP($B545,ItemList_Full,3,0),"")</f>
        <v/>
      </c>
      <c r="E545" s="12"/>
      <c r="F545" s="13" t="str">
        <f aca="false">IFERROR(VLOOKUP($B545,ItemList_Full,4,0),"")</f>
        <v/>
      </c>
      <c r="G545" s="13" t="str">
        <f aca="false">IF(OR($E545="",$F545=""),"",$E545*$F545)</f>
        <v/>
      </c>
      <c r="H545" s="12"/>
      <c r="I545" s="12"/>
      <c r="J545" s="1" t="str">
        <f aca="false">IFERROR(VLOOKUP($B545,ItemList_Full,5,0),"")</f>
        <v/>
      </c>
    </row>
    <row r="546" customFormat="false" ht="15" hidden="false" customHeight="true" outlineLevel="0" collapsed="false">
      <c r="A546" s="19"/>
      <c r="B546" s="12"/>
      <c r="C546" s="12" t="str">
        <f aca="false">IFERROR(VLOOKUP($B546,ItemList_Full,2,0),"")</f>
        <v/>
      </c>
      <c r="D546" s="12" t="str">
        <f aca="false">IFERROR(VLOOKUP($B546,ItemList_Full,3,0),"")</f>
        <v/>
      </c>
      <c r="E546" s="12"/>
      <c r="F546" s="13" t="str">
        <f aca="false">IFERROR(VLOOKUP($B546,ItemList_Full,4,0),"")</f>
        <v/>
      </c>
      <c r="G546" s="13" t="str">
        <f aca="false">IF(OR($E546="",$F546=""),"",$E546*$F546)</f>
        <v/>
      </c>
      <c r="H546" s="12"/>
      <c r="I546" s="12"/>
      <c r="J546" s="1" t="str">
        <f aca="false">IFERROR(VLOOKUP($B546,ItemList_Full,5,0),"")</f>
        <v/>
      </c>
    </row>
    <row r="547" customFormat="false" ht="15" hidden="false" customHeight="true" outlineLevel="0" collapsed="false">
      <c r="A547" s="19"/>
      <c r="B547" s="12"/>
      <c r="C547" s="12" t="str">
        <f aca="false">IFERROR(VLOOKUP($B547,ItemList_Full,2,0),"")</f>
        <v/>
      </c>
      <c r="D547" s="12" t="str">
        <f aca="false">IFERROR(VLOOKUP($B547,ItemList_Full,3,0),"")</f>
        <v/>
      </c>
      <c r="E547" s="12"/>
      <c r="F547" s="13" t="str">
        <f aca="false">IFERROR(VLOOKUP($B547,ItemList_Full,4,0),"")</f>
        <v/>
      </c>
      <c r="G547" s="13" t="str">
        <f aca="false">IF(OR($E547="",$F547=""),"",$E547*$F547)</f>
        <v/>
      </c>
      <c r="H547" s="12"/>
      <c r="I547" s="12"/>
      <c r="J547" s="1" t="str">
        <f aca="false">IFERROR(VLOOKUP($B547,ItemList_Full,5,0),"")</f>
        <v/>
      </c>
    </row>
    <row r="548" customFormat="false" ht="15" hidden="false" customHeight="true" outlineLevel="0" collapsed="false">
      <c r="A548" s="19"/>
      <c r="B548" s="12"/>
      <c r="C548" s="12" t="str">
        <f aca="false">IFERROR(VLOOKUP($B548,ItemList_Full,2,0),"")</f>
        <v/>
      </c>
      <c r="D548" s="12" t="str">
        <f aca="false">IFERROR(VLOOKUP($B548,ItemList_Full,3,0),"")</f>
        <v/>
      </c>
      <c r="E548" s="12"/>
      <c r="F548" s="13" t="str">
        <f aca="false">IFERROR(VLOOKUP($B548,ItemList_Full,4,0),"")</f>
        <v/>
      </c>
      <c r="G548" s="13" t="str">
        <f aca="false">IF(OR($E548="",$F548=""),"",$E548*$F548)</f>
        <v/>
      </c>
      <c r="H548" s="12"/>
      <c r="I548" s="12"/>
      <c r="J548" s="1" t="str">
        <f aca="false">IFERROR(VLOOKUP($B548,ItemList_Full,5,0),"")</f>
        <v/>
      </c>
    </row>
    <row r="549" customFormat="false" ht="15" hidden="false" customHeight="true" outlineLevel="0" collapsed="false">
      <c r="A549" s="19"/>
      <c r="B549" s="12"/>
      <c r="C549" s="12" t="str">
        <f aca="false">IFERROR(VLOOKUP($B549,ItemList_Full,2,0),"")</f>
        <v/>
      </c>
      <c r="D549" s="12" t="str">
        <f aca="false">IFERROR(VLOOKUP($B549,ItemList_Full,3,0),"")</f>
        <v/>
      </c>
      <c r="E549" s="12"/>
      <c r="F549" s="13" t="str">
        <f aca="false">IFERROR(VLOOKUP($B549,ItemList_Full,4,0),"")</f>
        <v/>
      </c>
      <c r="G549" s="13" t="str">
        <f aca="false">IF(OR($E549="",$F549=""),"",$E549*$F549)</f>
        <v/>
      </c>
      <c r="H549" s="12"/>
      <c r="I549" s="12"/>
      <c r="J549" s="1" t="str">
        <f aca="false">IFERROR(VLOOKUP($B549,ItemList_Full,5,0),"")</f>
        <v/>
      </c>
    </row>
    <row r="550" customFormat="false" ht="15" hidden="false" customHeight="true" outlineLevel="0" collapsed="false">
      <c r="A550" s="19"/>
      <c r="B550" s="12"/>
      <c r="C550" s="12" t="str">
        <f aca="false">IFERROR(VLOOKUP($B550,ItemList_Full,2,0),"")</f>
        <v/>
      </c>
      <c r="D550" s="12" t="str">
        <f aca="false">IFERROR(VLOOKUP($B550,ItemList_Full,3,0),"")</f>
        <v/>
      </c>
      <c r="E550" s="12"/>
      <c r="F550" s="13" t="str">
        <f aca="false">IFERROR(VLOOKUP($B550,ItemList_Full,4,0),"")</f>
        <v/>
      </c>
      <c r="G550" s="13" t="str">
        <f aca="false">IF(OR($E550="",$F550=""),"",$E550*$F550)</f>
        <v/>
      </c>
      <c r="H550" s="12"/>
      <c r="I550" s="12"/>
      <c r="J550" s="1" t="str">
        <f aca="false">IFERROR(VLOOKUP($B550,ItemList_Full,5,0),"")</f>
        <v/>
      </c>
    </row>
    <row r="551" customFormat="false" ht="15" hidden="false" customHeight="true" outlineLevel="0" collapsed="false">
      <c r="A551" s="19"/>
      <c r="B551" s="12"/>
      <c r="C551" s="12" t="str">
        <f aca="false">IFERROR(VLOOKUP($B551,ItemList_Full,2,0),"")</f>
        <v/>
      </c>
      <c r="D551" s="12" t="str">
        <f aca="false">IFERROR(VLOOKUP($B551,ItemList_Full,3,0),"")</f>
        <v/>
      </c>
      <c r="E551" s="12"/>
      <c r="F551" s="13" t="str">
        <f aca="false">IFERROR(VLOOKUP($B551,ItemList_Full,4,0),"")</f>
        <v/>
      </c>
      <c r="G551" s="13" t="str">
        <f aca="false">IF(OR($E551="",$F551=""),"",$E551*$F551)</f>
        <v/>
      </c>
      <c r="H551" s="12"/>
      <c r="I551" s="12"/>
      <c r="J551" s="1" t="str">
        <f aca="false">IFERROR(VLOOKUP($B551,ItemList_Full,5,0),"")</f>
        <v/>
      </c>
    </row>
    <row r="552" customFormat="false" ht="15" hidden="false" customHeight="true" outlineLevel="0" collapsed="false">
      <c r="A552" s="19"/>
      <c r="B552" s="12"/>
      <c r="C552" s="12" t="str">
        <f aca="false">IFERROR(VLOOKUP($B552,ItemList_Full,2,0),"")</f>
        <v/>
      </c>
      <c r="D552" s="12" t="str">
        <f aca="false">IFERROR(VLOOKUP($B552,ItemList_Full,3,0),"")</f>
        <v/>
      </c>
      <c r="E552" s="12"/>
      <c r="F552" s="13" t="str">
        <f aca="false">IFERROR(VLOOKUP($B552,ItemList_Full,4,0),"")</f>
        <v/>
      </c>
      <c r="G552" s="13" t="str">
        <f aca="false">IF(OR($E552="",$F552=""),"",$E552*$F552)</f>
        <v/>
      </c>
      <c r="H552" s="12"/>
      <c r="I552" s="12"/>
      <c r="J552" s="1" t="str">
        <f aca="false">IFERROR(VLOOKUP($B552,ItemList_Full,5,0),"")</f>
        <v/>
      </c>
    </row>
    <row r="553" customFormat="false" ht="15" hidden="false" customHeight="true" outlineLevel="0" collapsed="false">
      <c r="A553" s="19"/>
      <c r="B553" s="12"/>
      <c r="C553" s="12" t="str">
        <f aca="false">IFERROR(VLOOKUP($B553,ItemList_Full,2,0),"")</f>
        <v/>
      </c>
      <c r="D553" s="12" t="str">
        <f aca="false">IFERROR(VLOOKUP($B553,ItemList_Full,3,0),"")</f>
        <v/>
      </c>
      <c r="E553" s="12"/>
      <c r="F553" s="13" t="str">
        <f aca="false">IFERROR(VLOOKUP($B553,ItemList_Full,4,0),"")</f>
        <v/>
      </c>
      <c r="G553" s="13" t="str">
        <f aca="false">IF(OR($E553="",$F553=""),"",$E553*$F553)</f>
        <v/>
      </c>
      <c r="H553" s="12"/>
      <c r="I553" s="12"/>
      <c r="J553" s="1" t="str">
        <f aca="false">IFERROR(VLOOKUP($B553,ItemList_Full,5,0),"")</f>
        <v/>
      </c>
    </row>
    <row r="554" customFormat="false" ht="15" hidden="false" customHeight="true" outlineLevel="0" collapsed="false">
      <c r="A554" s="19"/>
      <c r="B554" s="12"/>
      <c r="C554" s="12" t="str">
        <f aca="false">IFERROR(VLOOKUP($B554,ItemList_Full,2,0),"")</f>
        <v/>
      </c>
      <c r="D554" s="12" t="str">
        <f aca="false">IFERROR(VLOOKUP($B554,ItemList_Full,3,0),"")</f>
        <v/>
      </c>
      <c r="E554" s="12"/>
      <c r="F554" s="13" t="str">
        <f aca="false">IFERROR(VLOOKUP($B554,ItemList_Full,4,0),"")</f>
        <v/>
      </c>
      <c r="G554" s="13" t="str">
        <f aca="false">IF(OR($E554="",$F554=""),"",$E554*$F554)</f>
        <v/>
      </c>
      <c r="H554" s="12"/>
      <c r="I554" s="12"/>
      <c r="J554" s="1" t="str">
        <f aca="false">IFERROR(VLOOKUP($B554,ItemList_Full,5,0),"")</f>
        <v/>
      </c>
    </row>
    <row r="555" customFormat="false" ht="15" hidden="false" customHeight="true" outlineLevel="0" collapsed="false">
      <c r="A555" s="19"/>
      <c r="B555" s="12"/>
      <c r="C555" s="12" t="str">
        <f aca="false">IFERROR(VLOOKUP($B555,ItemList_Full,2,0),"")</f>
        <v/>
      </c>
      <c r="D555" s="12" t="str">
        <f aca="false">IFERROR(VLOOKUP($B555,ItemList_Full,3,0),"")</f>
        <v/>
      </c>
      <c r="E555" s="12"/>
      <c r="F555" s="13" t="str">
        <f aca="false">IFERROR(VLOOKUP($B555,ItemList_Full,4,0),"")</f>
        <v/>
      </c>
      <c r="G555" s="13" t="str">
        <f aca="false">IF(OR($E555="",$F555=""),"",$E555*$F555)</f>
        <v/>
      </c>
      <c r="H555" s="12"/>
      <c r="I555" s="12"/>
      <c r="J555" s="1" t="str">
        <f aca="false">IFERROR(VLOOKUP($B555,ItemList_Full,5,0),"")</f>
        <v/>
      </c>
    </row>
    <row r="556" customFormat="false" ht="15" hidden="false" customHeight="true" outlineLevel="0" collapsed="false">
      <c r="A556" s="19"/>
      <c r="B556" s="12"/>
      <c r="C556" s="12" t="str">
        <f aca="false">IFERROR(VLOOKUP($B556,ItemList_Full,2,0),"")</f>
        <v/>
      </c>
      <c r="D556" s="12" t="str">
        <f aca="false">IFERROR(VLOOKUP($B556,ItemList_Full,3,0),"")</f>
        <v/>
      </c>
      <c r="E556" s="12"/>
      <c r="F556" s="13" t="str">
        <f aca="false">IFERROR(VLOOKUP($B556,ItemList_Full,4,0),"")</f>
        <v/>
      </c>
      <c r="G556" s="13" t="str">
        <f aca="false">IF(OR($E556="",$F556=""),"",$E556*$F556)</f>
        <v/>
      </c>
      <c r="H556" s="12"/>
      <c r="I556" s="12"/>
      <c r="J556" s="1" t="str">
        <f aca="false">IFERROR(VLOOKUP($B556,ItemList_Full,5,0),"")</f>
        <v/>
      </c>
    </row>
    <row r="557" customFormat="false" ht="15" hidden="false" customHeight="true" outlineLevel="0" collapsed="false">
      <c r="A557" s="19"/>
      <c r="B557" s="12"/>
      <c r="C557" s="12" t="str">
        <f aca="false">IFERROR(VLOOKUP($B557,ItemList_Full,2,0),"")</f>
        <v/>
      </c>
      <c r="D557" s="12" t="str">
        <f aca="false">IFERROR(VLOOKUP($B557,ItemList_Full,3,0),"")</f>
        <v/>
      </c>
      <c r="E557" s="12"/>
      <c r="F557" s="13" t="str">
        <f aca="false">IFERROR(VLOOKUP($B557,ItemList_Full,4,0),"")</f>
        <v/>
      </c>
      <c r="G557" s="13" t="str">
        <f aca="false">IF(OR($E557="",$F557=""),"",$E557*$F557)</f>
        <v/>
      </c>
      <c r="H557" s="12"/>
      <c r="I557" s="12"/>
      <c r="J557" s="1" t="str">
        <f aca="false">IFERROR(VLOOKUP($B557,ItemList_Full,5,0),"")</f>
        <v/>
      </c>
    </row>
    <row r="558" customFormat="false" ht="15" hidden="false" customHeight="true" outlineLevel="0" collapsed="false">
      <c r="A558" s="19"/>
      <c r="B558" s="12"/>
      <c r="C558" s="12" t="str">
        <f aca="false">IFERROR(VLOOKUP($B558,ItemList_Full,2,0),"")</f>
        <v/>
      </c>
      <c r="D558" s="12" t="str">
        <f aca="false">IFERROR(VLOOKUP($B558,ItemList_Full,3,0),"")</f>
        <v/>
      </c>
      <c r="E558" s="12"/>
      <c r="F558" s="13" t="str">
        <f aca="false">IFERROR(VLOOKUP($B558,ItemList_Full,4,0),"")</f>
        <v/>
      </c>
      <c r="G558" s="13" t="str">
        <f aca="false">IF(OR($E558="",$F558=""),"",$E558*$F558)</f>
        <v/>
      </c>
      <c r="H558" s="12"/>
      <c r="I558" s="12"/>
      <c r="J558" s="1" t="str">
        <f aca="false">IFERROR(VLOOKUP($B558,ItemList_Full,5,0),"")</f>
        <v/>
      </c>
    </row>
    <row r="559" customFormat="false" ht="15" hidden="false" customHeight="true" outlineLevel="0" collapsed="false">
      <c r="A559" s="19"/>
      <c r="B559" s="12"/>
      <c r="C559" s="12" t="str">
        <f aca="false">IFERROR(VLOOKUP($B559,ItemList_Full,2,0),"")</f>
        <v/>
      </c>
      <c r="D559" s="12" t="str">
        <f aca="false">IFERROR(VLOOKUP($B559,ItemList_Full,3,0),"")</f>
        <v/>
      </c>
      <c r="E559" s="12"/>
      <c r="F559" s="13" t="str">
        <f aca="false">IFERROR(VLOOKUP($B559,ItemList_Full,4,0),"")</f>
        <v/>
      </c>
      <c r="G559" s="13" t="str">
        <f aca="false">IF(OR($E559="",$F559=""),"",$E559*$F559)</f>
        <v/>
      </c>
      <c r="H559" s="12"/>
      <c r="I559" s="12"/>
      <c r="J559" s="1" t="str">
        <f aca="false">IFERROR(VLOOKUP($B559,ItemList_Full,5,0),"")</f>
        <v/>
      </c>
    </row>
    <row r="560" customFormat="false" ht="15" hidden="false" customHeight="true" outlineLevel="0" collapsed="false">
      <c r="A560" s="19"/>
      <c r="B560" s="12"/>
      <c r="C560" s="12" t="str">
        <f aca="false">IFERROR(VLOOKUP($B560,ItemList_Full,2,0),"")</f>
        <v/>
      </c>
      <c r="D560" s="12" t="str">
        <f aca="false">IFERROR(VLOOKUP($B560,ItemList_Full,3,0),"")</f>
        <v/>
      </c>
      <c r="E560" s="12"/>
      <c r="F560" s="13" t="str">
        <f aca="false">IFERROR(VLOOKUP($B560,ItemList_Full,4,0),"")</f>
        <v/>
      </c>
      <c r="G560" s="13" t="str">
        <f aca="false">IF(OR($E560="",$F560=""),"",$E560*$F560)</f>
        <v/>
      </c>
      <c r="H560" s="12"/>
      <c r="I560" s="12"/>
      <c r="J560" s="1" t="str">
        <f aca="false">IFERROR(VLOOKUP($B560,ItemList_Full,5,0),"")</f>
        <v/>
      </c>
    </row>
    <row r="561" customFormat="false" ht="15" hidden="false" customHeight="true" outlineLevel="0" collapsed="false">
      <c r="A561" s="19"/>
      <c r="B561" s="12"/>
      <c r="C561" s="12" t="str">
        <f aca="false">IFERROR(VLOOKUP($B561,ItemList_Full,2,0),"")</f>
        <v/>
      </c>
      <c r="D561" s="12" t="str">
        <f aca="false">IFERROR(VLOOKUP($B561,ItemList_Full,3,0),"")</f>
        <v/>
      </c>
      <c r="E561" s="12"/>
      <c r="F561" s="13" t="str">
        <f aca="false">IFERROR(VLOOKUP($B561,ItemList_Full,4,0),"")</f>
        <v/>
      </c>
      <c r="G561" s="13" t="str">
        <f aca="false">IF(OR($E561="",$F561=""),"",$E561*$F561)</f>
        <v/>
      </c>
      <c r="H561" s="12"/>
      <c r="I561" s="12"/>
      <c r="J561" s="1" t="str">
        <f aca="false">IFERROR(VLOOKUP($B561,ItemList_Full,5,0),"")</f>
        <v/>
      </c>
    </row>
    <row r="562" customFormat="false" ht="15" hidden="false" customHeight="true" outlineLevel="0" collapsed="false">
      <c r="A562" s="19"/>
      <c r="B562" s="12"/>
      <c r="C562" s="12" t="str">
        <f aca="false">IFERROR(VLOOKUP($B562,ItemList_Full,2,0),"")</f>
        <v/>
      </c>
      <c r="D562" s="12" t="str">
        <f aca="false">IFERROR(VLOOKUP($B562,ItemList_Full,3,0),"")</f>
        <v/>
      </c>
      <c r="E562" s="12"/>
      <c r="F562" s="13" t="str">
        <f aca="false">IFERROR(VLOOKUP($B562,ItemList_Full,4,0),"")</f>
        <v/>
      </c>
      <c r="G562" s="13" t="str">
        <f aca="false">IF(OR($E562="",$F562=""),"",$E562*$F562)</f>
        <v/>
      </c>
      <c r="H562" s="12"/>
      <c r="I562" s="12"/>
      <c r="J562" s="1" t="str">
        <f aca="false">IFERROR(VLOOKUP($B562,ItemList_Full,5,0),"")</f>
        <v/>
      </c>
    </row>
    <row r="563" customFormat="false" ht="15" hidden="false" customHeight="true" outlineLevel="0" collapsed="false">
      <c r="A563" s="19"/>
      <c r="B563" s="12"/>
      <c r="C563" s="12" t="str">
        <f aca="false">IFERROR(VLOOKUP($B563,ItemList_Full,2,0),"")</f>
        <v/>
      </c>
      <c r="D563" s="12" t="str">
        <f aca="false">IFERROR(VLOOKUP($B563,ItemList_Full,3,0),"")</f>
        <v/>
      </c>
      <c r="E563" s="12"/>
      <c r="F563" s="13" t="str">
        <f aca="false">IFERROR(VLOOKUP($B563,ItemList_Full,4,0),"")</f>
        <v/>
      </c>
      <c r="G563" s="13" t="str">
        <f aca="false">IF(OR($E563="",$F563=""),"",$E563*$F563)</f>
        <v/>
      </c>
      <c r="H563" s="12"/>
      <c r="I563" s="12"/>
      <c r="J563" s="1" t="str">
        <f aca="false">IFERROR(VLOOKUP($B563,ItemList_Full,5,0),"")</f>
        <v/>
      </c>
    </row>
    <row r="564" customFormat="false" ht="15" hidden="false" customHeight="true" outlineLevel="0" collapsed="false">
      <c r="A564" s="19"/>
      <c r="B564" s="12"/>
      <c r="C564" s="12" t="str">
        <f aca="false">IFERROR(VLOOKUP($B564,ItemList_Full,2,0),"")</f>
        <v/>
      </c>
      <c r="D564" s="12" t="str">
        <f aca="false">IFERROR(VLOOKUP($B564,ItemList_Full,3,0),"")</f>
        <v/>
      </c>
      <c r="E564" s="12"/>
      <c r="F564" s="13" t="str">
        <f aca="false">IFERROR(VLOOKUP($B564,ItemList_Full,4,0),"")</f>
        <v/>
      </c>
      <c r="G564" s="13" t="str">
        <f aca="false">IF(OR($E564="",$F564=""),"",$E564*$F564)</f>
        <v/>
      </c>
      <c r="H564" s="12"/>
      <c r="I564" s="12"/>
      <c r="J564" s="1" t="str">
        <f aca="false">IFERROR(VLOOKUP($B564,ItemList_Full,5,0),"")</f>
        <v/>
      </c>
    </row>
    <row r="565" customFormat="false" ht="15" hidden="false" customHeight="true" outlineLevel="0" collapsed="false">
      <c r="A565" s="19"/>
      <c r="B565" s="12"/>
      <c r="C565" s="12" t="str">
        <f aca="false">IFERROR(VLOOKUP($B565,ItemList_Full,2,0),"")</f>
        <v/>
      </c>
      <c r="D565" s="12" t="str">
        <f aca="false">IFERROR(VLOOKUP($B565,ItemList_Full,3,0),"")</f>
        <v/>
      </c>
      <c r="E565" s="12"/>
      <c r="F565" s="13" t="str">
        <f aca="false">IFERROR(VLOOKUP($B565,ItemList_Full,4,0),"")</f>
        <v/>
      </c>
      <c r="G565" s="13" t="str">
        <f aca="false">IF(OR($E565="",$F565=""),"",$E565*$F565)</f>
        <v/>
      </c>
      <c r="H565" s="12"/>
      <c r="I565" s="12"/>
      <c r="J565" s="1" t="str">
        <f aca="false">IFERROR(VLOOKUP($B565,ItemList_Full,5,0),"")</f>
        <v/>
      </c>
    </row>
    <row r="566" customFormat="false" ht="15" hidden="false" customHeight="true" outlineLevel="0" collapsed="false">
      <c r="A566" s="19"/>
      <c r="B566" s="12"/>
      <c r="C566" s="12" t="str">
        <f aca="false">IFERROR(VLOOKUP($B566,ItemList_Full,2,0),"")</f>
        <v/>
      </c>
      <c r="D566" s="12" t="str">
        <f aca="false">IFERROR(VLOOKUP($B566,ItemList_Full,3,0),"")</f>
        <v/>
      </c>
      <c r="E566" s="12"/>
      <c r="F566" s="13" t="str">
        <f aca="false">IFERROR(VLOOKUP($B566,ItemList_Full,4,0),"")</f>
        <v/>
      </c>
      <c r="G566" s="13" t="str">
        <f aca="false">IF(OR($E566="",$F566=""),"",$E566*$F566)</f>
        <v/>
      </c>
      <c r="H566" s="12"/>
      <c r="I566" s="12"/>
      <c r="J566" s="1" t="str">
        <f aca="false">IFERROR(VLOOKUP($B566,ItemList_Full,5,0),"")</f>
        <v/>
      </c>
    </row>
    <row r="567" customFormat="false" ht="15" hidden="false" customHeight="true" outlineLevel="0" collapsed="false">
      <c r="A567" s="19"/>
      <c r="B567" s="12"/>
      <c r="C567" s="12" t="str">
        <f aca="false">IFERROR(VLOOKUP($B567,ItemList_Full,2,0),"")</f>
        <v/>
      </c>
      <c r="D567" s="12" t="str">
        <f aca="false">IFERROR(VLOOKUP($B567,ItemList_Full,3,0),"")</f>
        <v/>
      </c>
      <c r="E567" s="12"/>
      <c r="F567" s="13" t="str">
        <f aca="false">IFERROR(VLOOKUP($B567,ItemList_Full,4,0),"")</f>
        <v/>
      </c>
      <c r="G567" s="13" t="str">
        <f aca="false">IF(OR($E567="",$F567=""),"",$E567*$F567)</f>
        <v/>
      </c>
      <c r="H567" s="12"/>
      <c r="I567" s="12"/>
      <c r="J567" s="1" t="str">
        <f aca="false">IFERROR(VLOOKUP($B567,ItemList_Full,5,0),"")</f>
        <v/>
      </c>
    </row>
    <row r="568" customFormat="false" ht="15" hidden="false" customHeight="true" outlineLevel="0" collapsed="false">
      <c r="A568" s="19"/>
      <c r="B568" s="12"/>
      <c r="C568" s="12" t="str">
        <f aca="false">IFERROR(VLOOKUP($B568,ItemList_Full,2,0),"")</f>
        <v/>
      </c>
      <c r="D568" s="12" t="str">
        <f aca="false">IFERROR(VLOOKUP($B568,ItemList_Full,3,0),"")</f>
        <v/>
      </c>
      <c r="E568" s="12"/>
      <c r="F568" s="13" t="str">
        <f aca="false">IFERROR(VLOOKUP($B568,ItemList_Full,4,0),"")</f>
        <v/>
      </c>
      <c r="G568" s="13" t="str">
        <f aca="false">IF(OR($E568="",$F568=""),"",$E568*$F568)</f>
        <v/>
      </c>
      <c r="H568" s="12"/>
      <c r="I568" s="12"/>
      <c r="J568" s="1" t="str">
        <f aca="false">IFERROR(VLOOKUP($B568,ItemList_Full,5,0),"")</f>
        <v/>
      </c>
    </row>
    <row r="569" customFormat="false" ht="15" hidden="false" customHeight="true" outlineLevel="0" collapsed="false">
      <c r="A569" s="19"/>
      <c r="B569" s="12"/>
      <c r="C569" s="12" t="str">
        <f aca="false">IFERROR(VLOOKUP($B569,ItemList_Full,2,0),"")</f>
        <v/>
      </c>
      <c r="D569" s="12" t="str">
        <f aca="false">IFERROR(VLOOKUP($B569,ItemList_Full,3,0),"")</f>
        <v/>
      </c>
      <c r="E569" s="12"/>
      <c r="F569" s="13" t="str">
        <f aca="false">IFERROR(VLOOKUP($B569,ItemList_Full,4,0),"")</f>
        <v/>
      </c>
      <c r="G569" s="13" t="str">
        <f aca="false">IF(OR($E569="",$F569=""),"",$E569*$F569)</f>
        <v/>
      </c>
      <c r="H569" s="12"/>
      <c r="I569" s="12"/>
      <c r="J569" s="1" t="str">
        <f aca="false">IFERROR(VLOOKUP($B569,ItemList_Full,5,0),"")</f>
        <v/>
      </c>
    </row>
    <row r="570" customFormat="false" ht="15" hidden="false" customHeight="true" outlineLevel="0" collapsed="false">
      <c r="A570" s="19"/>
      <c r="B570" s="12"/>
      <c r="C570" s="12" t="str">
        <f aca="false">IFERROR(VLOOKUP($B570,ItemList_Full,2,0),"")</f>
        <v/>
      </c>
      <c r="D570" s="12" t="str">
        <f aca="false">IFERROR(VLOOKUP($B570,ItemList_Full,3,0),"")</f>
        <v/>
      </c>
      <c r="E570" s="12"/>
      <c r="F570" s="13" t="str">
        <f aca="false">IFERROR(VLOOKUP($B570,ItemList_Full,4,0),"")</f>
        <v/>
      </c>
      <c r="G570" s="13" t="str">
        <f aca="false">IF(OR($E570="",$F570=""),"",$E570*$F570)</f>
        <v/>
      </c>
      <c r="H570" s="12"/>
      <c r="I570" s="12"/>
      <c r="J570" s="1" t="str">
        <f aca="false">IFERROR(VLOOKUP($B570,ItemList_Full,5,0),"")</f>
        <v/>
      </c>
    </row>
    <row r="571" customFormat="false" ht="15" hidden="false" customHeight="true" outlineLevel="0" collapsed="false">
      <c r="A571" s="19"/>
      <c r="B571" s="12"/>
      <c r="C571" s="12" t="str">
        <f aca="false">IFERROR(VLOOKUP($B571,ItemList_Full,2,0),"")</f>
        <v/>
      </c>
      <c r="D571" s="12" t="str">
        <f aca="false">IFERROR(VLOOKUP($B571,ItemList_Full,3,0),"")</f>
        <v/>
      </c>
      <c r="E571" s="12"/>
      <c r="F571" s="13" t="str">
        <f aca="false">IFERROR(VLOOKUP($B571,ItemList_Full,4,0),"")</f>
        <v/>
      </c>
      <c r="G571" s="13" t="str">
        <f aca="false">IF(OR($E571="",$F571=""),"",$E571*$F571)</f>
        <v/>
      </c>
      <c r="H571" s="12"/>
      <c r="I571" s="12"/>
      <c r="J571" s="1" t="str">
        <f aca="false">IFERROR(VLOOKUP($B571,ItemList_Full,5,0),"")</f>
        <v/>
      </c>
    </row>
    <row r="572" customFormat="false" ht="15" hidden="false" customHeight="true" outlineLevel="0" collapsed="false">
      <c r="A572" s="19"/>
      <c r="B572" s="12"/>
      <c r="C572" s="12" t="str">
        <f aca="false">IFERROR(VLOOKUP($B572,ItemList_Full,2,0),"")</f>
        <v/>
      </c>
      <c r="D572" s="12" t="str">
        <f aca="false">IFERROR(VLOOKUP($B572,ItemList_Full,3,0),"")</f>
        <v/>
      </c>
      <c r="E572" s="12"/>
      <c r="F572" s="13" t="str">
        <f aca="false">IFERROR(VLOOKUP($B572,ItemList_Full,4,0),"")</f>
        <v/>
      </c>
      <c r="G572" s="13" t="str">
        <f aca="false">IF(OR($E572="",$F572=""),"",$E572*$F572)</f>
        <v/>
      </c>
      <c r="H572" s="12"/>
      <c r="I572" s="12"/>
      <c r="J572" s="1" t="str">
        <f aca="false">IFERROR(VLOOKUP($B572,ItemList_Full,5,0),"")</f>
        <v/>
      </c>
    </row>
    <row r="573" customFormat="false" ht="15" hidden="false" customHeight="true" outlineLevel="0" collapsed="false">
      <c r="A573" s="19"/>
      <c r="B573" s="12"/>
      <c r="C573" s="12" t="str">
        <f aca="false">IFERROR(VLOOKUP($B573,ItemList_Full,2,0),"")</f>
        <v/>
      </c>
      <c r="D573" s="12" t="str">
        <f aca="false">IFERROR(VLOOKUP($B573,ItemList_Full,3,0),"")</f>
        <v/>
      </c>
      <c r="E573" s="12"/>
      <c r="F573" s="13" t="str">
        <f aca="false">IFERROR(VLOOKUP($B573,ItemList_Full,4,0),"")</f>
        <v/>
      </c>
      <c r="G573" s="13" t="str">
        <f aca="false">IF(OR($E573="",$F573=""),"",$E573*$F573)</f>
        <v/>
      </c>
      <c r="H573" s="12"/>
      <c r="I573" s="12"/>
      <c r="J573" s="1" t="str">
        <f aca="false">IFERROR(VLOOKUP($B573,ItemList_Full,5,0),"")</f>
        <v/>
      </c>
    </row>
    <row r="574" customFormat="false" ht="15" hidden="false" customHeight="true" outlineLevel="0" collapsed="false">
      <c r="A574" s="19"/>
      <c r="B574" s="12"/>
      <c r="C574" s="12" t="str">
        <f aca="false">IFERROR(VLOOKUP($B574,ItemList_Full,2,0),"")</f>
        <v/>
      </c>
      <c r="D574" s="12" t="str">
        <f aca="false">IFERROR(VLOOKUP($B574,ItemList_Full,3,0),"")</f>
        <v/>
      </c>
      <c r="E574" s="12"/>
      <c r="F574" s="13" t="str">
        <f aca="false">IFERROR(VLOOKUP($B574,ItemList_Full,4,0),"")</f>
        <v/>
      </c>
      <c r="G574" s="13" t="str">
        <f aca="false">IF(OR($E574="",$F574=""),"",$E574*$F574)</f>
        <v/>
      </c>
      <c r="H574" s="12"/>
      <c r="I574" s="12"/>
      <c r="J574" s="1" t="str">
        <f aca="false">IFERROR(VLOOKUP($B574,ItemList_Full,5,0),"")</f>
        <v/>
      </c>
    </row>
    <row r="575" customFormat="false" ht="15" hidden="false" customHeight="true" outlineLevel="0" collapsed="false">
      <c r="A575" s="19"/>
      <c r="B575" s="12"/>
      <c r="C575" s="12" t="str">
        <f aca="false">IFERROR(VLOOKUP($B575,ItemList_Full,2,0),"")</f>
        <v/>
      </c>
      <c r="D575" s="12" t="str">
        <f aca="false">IFERROR(VLOOKUP($B575,ItemList_Full,3,0),"")</f>
        <v/>
      </c>
      <c r="E575" s="12"/>
      <c r="F575" s="13" t="str">
        <f aca="false">IFERROR(VLOOKUP($B575,ItemList_Full,4,0),"")</f>
        <v/>
      </c>
      <c r="G575" s="13" t="str">
        <f aca="false">IF(OR($E575="",$F575=""),"",$E575*$F575)</f>
        <v/>
      </c>
      <c r="H575" s="12"/>
      <c r="I575" s="12"/>
      <c r="J575" s="1" t="str">
        <f aca="false">IFERROR(VLOOKUP($B575,ItemList_Full,5,0),"")</f>
        <v/>
      </c>
    </row>
    <row r="576" customFormat="false" ht="15" hidden="false" customHeight="true" outlineLevel="0" collapsed="false">
      <c r="A576" s="19"/>
      <c r="B576" s="12"/>
      <c r="C576" s="12" t="str">
        <f aca="false">IFERROR(VLOOKUP($B576,ItemList_Full,2,0),"")</f>
        <v/>
      </c>
      <c r="D576" s="12" t="str">
        <f aca="false">IFERROR(VLOOKUP($B576,ItemList_Full,3,0),"")</f>
        <v/>
      </c>
      <c r="E576" s="12"/>
      <c r="F576" s="13" t="str">
        <f aca="false">IFERROR(VLOOKUP($B576,ItemList_Full,4,0),"")</f>
        <v/>
      </c>
      <c r="G576" s="13" t="str">
        <f aca="false">IF(OR($E576="",$F576=""),"",$E576*$F576)</f>
        <v/>
      </c>
      <c r="H576" s="12"/>
      <c r="I576" s="12"/>
      <c r="J576" s="1" t="str">
        <f aca="false">IFERROR(VLOOKUP($B576,ItemList_Full,5,0),"")</f>
        <v/>
      </c>
    </row>
    <row r="577" customFormat="false" ht="15" hidden="false" customHeight="true" outlineLevel="0" collapsed="false">
      <c r="A577" s="19"/>
      <c r="B577" s="12"/>
      <c r="C577" s="12" t="str">
        <f aca="false">IFERROR(VLOOKUP($B577,ItemList_Full,2,0),"")</f>
        <v/>
      </c>
      <c r="D577" s="12" t="str">
        <f aca="false">IFERROR(VLOOKUP($B577,ItemList_Full,3,0),"")</f>
        <v/>
      </c>
      <c r="E577" s="12"/>
      <c r="F577" s="13" t="str">
        <f aca="false">IFERROR(VLOOKUP($B577,ItemList_Full,4,0),"")</f>
        <v/>
      </c>
      <c r="G577" s="13" t="str">
        <f aca="false">IF(OR($E577="",$F577=""),"",$E577*$F577)</f>
        <v/>
      </c>
      <c r="H577" s="12"/>
      <c r="I577" s="12"/>
      <c r="J577" s="1" t="str">
        <f aca="false">IFERROR(VLOOKUP($B577,ItemList_Full,5,0),"")</f>
        <v/>
      </c>
    </row>
    <row r="578" customFormat="false" ht="15" hidden="false" customHeight="true" outlineLevel="0" collapsed="false">
      <c r="A578" s="19"/>
      <c r="B578" s="12"/>
      <c r="C578" s="12" t="str">
        <f aca="false">IFERROR(VLOOKUP($B578,ItemList_Full,2,0),"")</f>
        <v/>
      </c>
      <c r="D578" s="12" t="str">
        <f aca="false">IFERROR(VLOOKUP($B578,ItemList_Full,3,0),"")</f>
        <v/>
      </c>
      <c r="E578" s="12"/>
      <c r="F578" s="13" t="str">
        <f aca="false">IFERROR(VLOOKUP($B578,ItemList_Full,4,0),"")</f>
        <v/>
      </c>
      <c r="G578" s="13" t="str">
        <f aca="false">IF(OR($E578="",$F578=""),"",$E578*$F578)</f>
        <v/>
      </c>
      <c r="H578" s="12"/>
      <c r="I578" s="12"/>
      <c r="J578" s="1" t="str">
        <f aca="false">IFERROR(VLOOKUP($B578,ItemList_Full,5,0),"")</f>
        <v/>
      </c>
    </row>
    <row r="579" customFormat="false" ht="15" hidden="false" customHeight="true" outlineLevel="0" collapsed="false">
      <c r="A579" s="19"/>
      <c r="B579" s="12"/>
      <c r="C579" s="12" t="str">
        <f aca="false">IFERROR(VLOOKUP($B579,ItemList_Full,2,0),"")</f>
        <v/>
      </c>
      <c r="D579" s="12" t="str">
        <f aca="false">IFERROR(VLOOKUP($B579,ItemList_Full,3,0),"")</f>
        <v/>
      </c>
      <c r="E579" s="12"/>
      <c r="F579" s="13" t="str">
        <f aca="false">IFERROR(VLOOKUP($B579,ItemList_Full,4,0),"")</f>
        <v/>
      </c>
      <c r="G579" s="13" t="str">
        <f aca="false">IF(OR($E579="",$F579=""),"",$E579*$F579)</f>
        <v/>
      </c>
      <c r="H579" s="12"/>
      <c r="I579" s="12"/>
      <c r="J579" s="1" t="str">
        <f aca="false">IFERROR(VLOOKUP($B579,ItemList_Full,5,0),"")</f>
        <v/>
      </c>
    </row>
    <row r="580" customFormat="false" ht="15" hidden="false" customHeight="true" outlineLevel="0" collapsed="false">
      <c r="A580" s="19"/>
      <c r="B580" s="12"/>
      <c r="C580" s="12" t="str">
        <f aca="false">IFERROR(VLOOKUP($B580,ItemList_Full,2,0),"")</f>
        <v/>
      </c>
      <c r="D580" s="12" t="str">
        <f aca="false">IFERROR(VLOOKUP($B580,ItemList_Full,3,0),"")</f>
        <v/>
      </c>
      <c r="E580" s="12"/>
      <c r="F580" s="13" t="str">
        <f aca="false">IFERROR(VLOOKUP($B580,ItemList_Full,4,0),"")</f>
        <v/>
      </c>
      <c r="G580" s="13" t="str">
        <f aca="false">IF(OR($E580="",$F580=""),"",$E580*$F580)</f>
        <v/>
      </c>
      <c r="H580" s="12"/>
      <c r="I580" s="12"/>
      <c r="J580" s="1" t="str">
        <f aca="false">IFERROR(VLOOKUP($B580,ItemList_Full,5,0),"")</f>
        <v/>
      </c>
    </row>
    <row r="581" customFormat="false" ht="15" hidden="false" customHeight="true" outlineLevel="0" collapsed="false">
      <c r="A581" s="19"/>
      <c r="B581" s="12"/>
      <c r="C581" s="12" t="str">
        <f aca="false">IFERROR(VLOOKUP($B581,ItemList_Full,2,0),"")</f>
        <v/>
      </c>
      <c r="D581" s="12" t="str">
        <f aca="false">IFERROR(VLOOKUP($B581,ItemList_Full,3,0),"")</f>
        <v/>
      </c>
      <c r="E581" s="12"/>
      <c r="F581" s="13" t="str">
        <f aca="false">IFERROR(VLOOKUP($B581,ItemList_Full,4,0),"")</f>
        <v/>
      </c>
      <c r="G581" s="13" t="str">
        <f aca="false">IF(OR($E581="",$F581=""),"",$E581*$F581)</f>
        <v/>
      </c>
      <c r="H581" s="12"/>
      <c r="I581" s="12"/>
      <c r="J581" s="1" t="str">
        <f aca="false">IFERROR(VLOOKUP($B581,ItemList_Full,5,0),"")</f>
        <v/>
      </c>
    </row>
    <row r="582" customFormat="false" ht="15" hidden="false" customHeight="true" outlineLevel="0" collapsed="false">
      <c r="A582" s="19"/>
      <c r="B582" s="12"/>
      <c r="C582" s="12" t="str">
        <f aca="false">IFERROR(VLOOKUP($B582,ItemList_Full,2,0),"")</f>
        <v/>
      </c>
      <c r="D582" s="12" t="str">
        <f aca="false">IFERROR(VLOOKUP($B582,ItemList_Full,3,0),"")</f>
        <v/>
      </c>
      <c r="E582" s="12"/>
      <c r="F582" s="13" t="str">
        <f aca="false">IFERROR(VLOOKUP($B582,ItemList_Full,4,0),"")</f>
        <v/>
      </c>
      <c r="G582" s="13" t="str">
        <f aca="false">IF(OR($E582="",$F582=""),"",$E582*$F582)</f>
        <v/>
      </c>
      <c r="H582" s="12"/>
      <c r="I582" s="12"/>
      <c r="J582" s="1" t="str">
        <f aca="false">IFERROR(VLOOKUP($B582,ItemList_Full,5,0),"")</f>
        <v/>
      </c>
    </row>
    <row r="583" customFormat="false" ht="15" hidden="false" customHeight="true" outlineLevel="0" collapsed="false">
      <c r="A583" s="19"/>
      <c r="B583" s="12"/>
      <c r="C583" s="12" t="str">
        <f aca="false">IFERROR(VLOOKUP($B583,ItemList_Full,2,0),"")</f>
        <v/>
      </c>
      <c r="D583" s="12" t="str">
        <f aca="false">IFERROR(VLOOKUP($B583,ItemList_Full,3,0),"")</f>
        <v/>
      </c>
      <c r="E583" s="12"/>
      <c r="F583" s="13" t="str">
        <f aca="false">IFERROR(VLOOKUP($B583,ItemList_Full,4,0),"")</f>
        <v/>
      </c>
      <c r="G583" s="13" t="str">
        <f aca="false">IF(OR($E583="",$F583=""),"",$E583*$F583)</f>
        <v/>
      </c>
      <c r="H583" s="12"/>
      <c r="I583" s="12"/>
      <c r="J583" s="1" t="str">
        <f aca="false">IFERROR(VLOOKUP($B583,ItemList_Full,5,0),"")</f>
        <v/>
      </c>
    </row>
    <row r="584" customFormat="false" ht="15" hidden="false" customHeight="true" outlineLevel="0" collapsed="false">
      <c r="A584" s="19"/>
      <c r="B584" s="12"/>
      <c r="C584" s="12" t="str">
        <f aca="false">IFERROR(VLOOKUP($B584,ItemList_Full,2,0),"")</f>
        <v/>
      </c>
      <c r="D584" s="12" t="str">
        <f aca="false">IFERROR(VLOOKUP($B584,ItemList_Full,3,0),"")</f>
        <v/>
      </c>
      <c r="E584" s="12"/>
      <c r="F584" s="13" t="str">
        <f aca="false">IFERROR(VLOOKUP($B584,ItemList_Full,4,0),"")</f>
        <v/>
      </c>
      <c r="G584" s="13" t="str">
        <f aca="false">IF(OR($E584="",$F584=""),"",$E584*$F584)</f>
        <v/>
      </c>
      <c r="H584" s="12"/>
      <c r="I584" s="12"/>
      <c r="J584" s="1" t="str">
        <f aca="false">IFERROR(VLOOKUP($B584,ItemList_Full,5,0),"")</f>
        <v/>
      </c>
    </row>
    <row r="585" customFormat="false" ht="15" hidden="false" customHeight="true" outlineLevel="0" collapsed="false">
      <c r="A585" s="19"/>
      <c r="B585" s="12"/>
      <c r="C585" s="12" t="str">
        <f aca="false">IFERROR(VLOOKUP($B585,ItemList_Full,2,0),"")</f>
        <v/>
      </c>
      <c r="D585" s="12" t="str">
        <f aca="false">IFERROR(VLOOKUP($B585,ItemList_Full,3,0),"")</f>
        <v/>
      </c>
      <c r="E585" s="12"/>
      <c r="F585" s="13" t="str">
        <f aca="false">IFERROR(VLOOKUP($B585,ItemList_Full,4,0),"")</f>
        <v/>
      </c>
      <c r="G585" s="13" t="str">
        <f aca="false">IF(OR($E585="",$F585=""),"",$E585*$F585)</f>
        <v/>
      </c>
      <c r="H585" s="12"/>
      <c r="I585" s="12"/>
      <c r="J585" s="1" t="str">
        <f aca="false">IFERROR(VLOOKUP($B585,ItemList_Full,5,0),"")</f>
        <v/>
      </c>
    </row>
    <row r="586" customFormat="false" ht="15" hidden="false" customHeight="true" outlineLevel="0" collapsed="false">
      <c r="A586" s="19"/>
      <c r="B586" s="12"/>
      <c r="C586" s="12" t="str">
        <f aca="false">IFERROR(VLOOKUP($B586,ItemList_Full,2,0),"")</f>
        <v/>
      </c>
      <c r="D586" s="12" t="str">
        <f aca="false">IFERROR(VLOOKUP($B586,ItemList_Full,3,0),"")</f>
        <v/>
      </c>
      <c r="E586" s="12"/>
      <c r="F586" s="13" t="str">
        <f aca="false">IFERROR(VLOOKUP($B586,ItemList_Full,4,0),"")</f>
        <v/>
      </c>
      <c r="G586" s="13" t="str">
        <f aca="false">IF(OR($E586="",$F586=""),"",$E586*$F586)</f>
        <v/>
      </c>
      <c r="H586" s="12"/>
      <c r="I586" s="12"/>
      <c r="J586" s="1" t="str">
        <f aca="false">IFERROR(VLOOKUP($B586,ItemList_Full,5,0),"")</f>
        <v/>
      </c>
    </row>
    <row r="587" customFormat="false" ht="15" hidden="false" customHeight="true" outlineLevel="0" collapsed="false">
      <c r="A587" s="19"/>
      <c r="B587" s="12"/>
      <c r="C587" s="12" t="str">
        <f aca="false">IFERROR(VLOOKUP($B587,ItemList_Full,2,0),"")</f>
        <v/>
      </c>
      <c r="D587" s="12" t="str">
        <f aca="false">IFERROR(VLOOKUP($B587,ItemList_Full,3,0),"")</f>
        <v/>
      </c>
      <c r="E587" s="12"/>
      <c r="F587" s="13" t="str">
        <f aca="false">IFERROR(VLOOKUP($B587,ItemList_Full,4,0),"")</f>
        <v/>
      </c>
      <c r="G587" s="13" t="str">
        <f aca="false">IF(OR($E587="",$F587=""),"",$E587*$F587)</f>
        <v/>
      </c>
      <c r="H587" s="12"/>
      <c r="I587" s="12"/>
      <c r="J587" s="1" t="str">
        <f aca="false">IFERROR(VLOOKUP($B587,ItemList_Full,5,0),"")</f>
        <v/>
      </c>
    </row>
    <row r="588" customFormat="false" ht="15" hidden="false" customHeight="true" outlineLevel="0" collapsed="false">
      <c r="A588" s="19"/>
      <c r="B588" s="12"/>
      <c r="C588" s="12" t="str">
        <f aca="false">IFERROR(VLOOKUP($B588,ItemList_Full,2,0),"")</f>
        <v/>
      </c>
      <c r="D588" s="12" t="str">
        <f aca="false">IFERROR(VLOOKUP($B588,ItemList_Full,3,0),"")</f>
        <v/>
      </c>
      <c r="E588" s="12"/>
      <c r="F588" s="13" t="str">
        <f aca="false">IFERROR(VLOOKUP($B588,ItemList_Full,4,0),"")</f>
        <v/>
      </c>
      <c r="G588" s="13" t="str">
        <f aca="false">IF(OR($E588="",$F588=""),"",$E588*$F588)</f>
        <v/>
      </c>
      <c r="H588" s="12"/>
      <c r="I588" s="12"/>
      <c r="J588" s="1" t="str">
        <f aca="false">IFERROR(VLOOKUP($B588,ItemList_Full,5,0),"")</f>
        <v/>
      </c>
    </row>
    <row r="589" customFormat="false" ht="15" hidden="false" customHeight="true" outlineLevel="0" collapsed="false">
      <c r="A589" s="19"/>
      <c r="B589" s="12"/>
      <c r="C589" s="12" t="str">
        <f aca="false">IFERROR(VLOOKUP($B589,ItemList_Full,2,0),"")</f>
        <v/>
      </c>
      <c r="D589" s="12" t="str">
        <f aca="false">IFERROR(VLOOKUP($B589,ItemList_Full,3,0),"")</f>
        <v/>
      </c>
      <c r="E589" s="12"/>
      <c r="F589" s="13" t="str">
        <f aca="false">IFERROR(VLOOKUP($B589,ItemList_Full,4,0),"")</f>
        <v/>
      </c>
      <c r="G589" s="13" t="str">
        <f aca="false">IF(OR($E589="",$F589=""),"",$E589*$F589)</f>
        <v/>
      </c>
      <c r="H589" s="12"/>
      <c r="I589" s="12"/>
      <c r="J589" s="1" t="str">
        <f aca="false">IFERROR(VLOOKUP($B589,ItemList_Full,5,0),"")</f>
        <v/>
      </c>
    </row>
    <row r="590" customFormat="false" ht="15" hidden="false" customHeight="true" outlineLevel="0" collapsed="false">
      <c r="A590" s="19"/>
      <c r="B590" s="12"/>
      <c r="C590" s="12" t="str">
        <f aca="false">IFERROR(VLOOKUP($B590,ItemList_Full,2,0),"")</f>
        <v/>
      </c>
      <c r="D590" s="12" t="str">
        <f aca="false">IFERROR(VLOOKUP($B590,ItemList_Full,3,0),"")</f>
        <v/>
      </c>
      <c r="E590" s="12"/>
      <c r="F590" s="13" t="str">
        <f aca="false">IFERROR(VLOOKUP($B590,ItemList_Full,4,0),"")</f>
        <v/>
      </c>
      <c r="G590" s="13" t="str">
        <f aca="false">IF(OR($E590="",$F590=""),"",$E590*$F590)</f>
        <v/>
      </c>
      <c r="H590" s="12"/>
      <c r="I590" s="12"/>
      <c r="J590" s="1" t="str">
        <f aca="false">IFERROR(VLOOKUP($B590,ItemList_Full,5,0),"")</f>
        <v/>
      </c>
    </row>
    <row r="591" customFormat="false" ht="15" hidden="false" customHeight="true" outlineLevel="0" collapsed="false">
      <c r="A591" s="19"/>
      <c r="B591" s="12"/>
      <c r="C591" s="12" t="str">
        <f aca="false">IFERROR(VLOOKUP($B591,ItemList_Full,2,0),"")</f>
        <v/>
      </c>
      <c r="D591" s="12" t="str">
        <f aca="false">IFERROR(VLOOKUP($B591,ItemList_Full,3,0),"")</f>
        <v/>
      </c>
      <c r="E591" s="12"/>
      <c r="F591" s="13" t="str">
        <f aca="false">IFERROR(VLOOKUP($B591,ItemList_Full,4,0),"")</f>
        <v/>
      </c>
      <c r="G591" s="13" t="str">
        <f aca="false">IF(OR($E591="",$F591=""),"",$E591*$F591)</f>
        <v/>
      </c>
      <c r="H591" s="12"/>
      <c r="I591" s="12"/>
      <c r="J591" s="1" t="str">
        <f aca="false">IFERROR(VLOOKUP($B591,ItemList_Full,5,0),"")</f>
        <v/>
      </c>
    </row>
    <row r="592" customFormat="false" ht="15" hidden="false" customHeight="true" outlineLevel="0" collapsed="false">
      <c r="A592" s="19"/>
      <c r="B592" s="12"/>
      <c r="C592" s="12" t="str">
        <f aca="false">IFERROR(VLOOKUP($B592,ItemList_Full,2,0),"")</f>
        <v/>
      </c>
      <c r="D592" s="12" t="str">
        <f aca="false">IFERROR(VLOOKUP($B592,ItemList_Full,3,0),"")</f>
        <v/>
      </c>
      <c r="E592" s="12"/>
      <c r="F592" s="13" t="str">
        <f aca="false">IFERROR(VLOOKUP($B592,ItemList_Full,4,0),"")</f>
        <v/>
      </c>
      <c r="G592" s="13" t="str">
        <f aca="false">IF(OR($E592="",$F592=""),"",$E592*$F592)</f>
        <v/>
      </c>
      <c r="H592" s="12"/>
      <c r="I592" s="12"/>
      <c r="J592" s="1" t="str">
        <f aca="false">IFERROR(VLOOKUP($B592,ItemList_Full,5,0),"")</f>
        <v/>
      </c>
    </row>
    <row r="593" customFormat="false" ht="15" hidden="false" customHeight="true" outlineLevel="0" collapsed="false">
      <c r="A593" s="19"/>
      <c r="B593" s="12"/>
      <c r="C593" s="12" t="str">
        <f aca="false">IFERROR(VLOOKUP($B593,ItemList_Full,2,0),"")</f>
        <v/>
      </c>
      <c r="D593" s="12" t="str">
        <f aca="false">IFERROR(VLOOKUP($B593,ItemList_Full,3,0),"")</f>
        <v/>
      </c>
      <c r="E593" s="12"/>
      <c r="F593" s="13" t="str">
        <f aca="false">IFERROR(VLOOKUP($B593,ItemList_Full,4,0),"")</f>
        <v/>
      </c>
      <c r="G593" s="13" t="str">
        <f aca="false">IF(OR($E593="",$F593=""),"",$E593*$F593)</f>
        <v/>
      </c>
      <c r="H593" s="12"/>
      <c r="I593" s="12"/>
      <c r="J593" s="1" t="str">
        <f aca="false">IFERROR(VLOOKUP($B593,ItemList_Full,5,0),"")</f>
        <v/>
      </c>
    </row>
    <row r="594" customFormat="false" ht="15" hidden="false" customHeight="true" outlineLevel="0" collapsed="false">
      <c r="A594" s="19"/>
      <c r="B594" s="12"/>
      <c r="C594" s="12" t="str">
        <f aca="false">IFERROR(VLOOKUP($B594,ItemList_Full,2,0),"")</f>
        <v/>
      </c>
      <c r="D594" s="12" t="str">
        <f aca="false">IFERROR(VLOOKUP($B594,ItemList_Full,3,0),"")</f>
        <v/>
      </c>
      <c r="E594" s="12"/>
      <c r="F594" s="13" t="str">
        <f aca="false">IFERROR(VLOOKUP($B594,ItemList_Full,4,0),"")</f>
        <v/>
      </c>
      <c r="G594" s="13" t="str">
        <f aca="false">IF(OR($E594="",$F594=""),"",$E594*$F594)</f>
        <v/>
      </c>
      <c r="H594" s="12"/>
      <c r="I594" s="12"/>
      <c r="J594" s="1" t="str">
        <f aca="false">IFERROR(VLOOKUP($B594,ItemList_Full,5,0),"")</f>
        <v/>
      </c>
    </row>
    <row r="595" customFormat="false" ht="15" hidden="false" customHeight="true" outlineLevel="0" collapsed="false">
      <c r="A595" s="19"/>
      <c r="B595" s="12"/>
      <c r="C595" s="12" t="str">
        <f aca="false">IFERROR(VLOOKUP($B595,ItemList_Full,2,0),"")</f>
        <v/>
      </c>
      <c r="D595" s="12" t="str">
        <f aca="false">IFERROR(VLOOKUP($B595,ItemList_Full,3,0),"")</f>
        <v/>
      </c>
      <c r="E595" s="12"/>
      <c r="F595" s="13" t="str">
        <f aca="false">IFERROR(VLOOKUP($B595,ItemList_Full,4,0),"")</f>
        <v/>
      </c>
      <c r="G595" s="13" t="str">
        <f aca="false">IF(OR($E595="",$F595=""),"",$E595*$F595)</f>
        <v/>
      </c>
      <c r="H595" s="12"/>
      <c r="I595" s="12"/>
      <c r="J595" s="1" t="str">
        <f aca="false">IFERROR(VLOOKUP($B595,ItemList_Full,5,0),"")</f>
        <v/>
      </c>
    </row>
    <row r="596" customFormat="false" ht="15" hidden="false" customHeight="true" outlineLevel="0" collapsed="false">
      <c r="A596" s="19"/>
      <c r="B596" s="12"/>
      <c r="C596" s="12" t="str">
        <f aca="false">IFERROR(VLOOKUP($B596,ItemList_Full,2,0),"")</f>
        <v/>
      </c>
      <c r="D596" s="12" t="str">
        <f aca="false">IFERROR(VLOOKUP($B596,ItemList_Full,3,0),"")</f>
        <v/>
      </c>
      <c r="E596" s="12"/>
      <c r="F596" s="13" t="str">
        <f aca="false">IFERROR(VLOOKUP($B596,ItemList_Full,4,0),"")</f>
        <v/>
      </c>
      <c r="G596" s="13" t="str">
        <f aca="false">IF(OR($E596="",$F596=""),"",$E596*$F596)</f>
        <v/>
      </c>
      <c r="H596" s="12"/>
      <c r="I596" s="12"/>
      <c r="J596" s="1" t="str">
        <f aca="false">IFERROR(VLOOKUP($B596,ItemList_Full,5,0),"")</f>
        <v/>
      </c>
    </row>
    <row r="597" customFormat="false" ht="15" hidden="false" customHeight="true" outlineLevel="0" collapsed="false">
      <c r="A597" s="19"/>
      <c r="B597" s="12"/>
      <c r="C597" s="12" t="str">
        <f aca="false">IFERROR(VLOOKUP($B597,ItemList_Full,2,0),"")</f>
        <v/>
      </c>
      <c r="D597" s="12" t="str">
        <f aca="false">IFERROR(VLOOKUP($B597,ItemList_Full,3,0),"")</f>
        <v/>
      </c>
      <c r="E597" s="12"/>
      <c r="F597" s="13" t="str">
        <f aca="false">IFERROR(VLOOKUP($B597,ItemList_Full,4,0),"")</f>
        <v/>
      </c>
      <c r="G597" s="13" t="str">
        <f aca="false">IF(OR($E597="",$F597=""),"",$E597*$F597)</f>
        <v/>
      </c>
      <c r="H597" s="12"/>
      <c r="I597" s="12"/>
      <c r="J597" s="1" t="str">
        <f aca="false">IFERROR(VLOOKUP($B597,ItemList_Full,5,0),"")</f>
        <v/>
      </c>
    </row>
    <row r="598" customFormat="false" ht="15" hidden="false" customHeight="true" outlineLevel="0" collapsed="false">
      <c r="A598" s="19"/>
      <c r="B598" s="12"/>
      <c r="C598" s="12" t="str">
        <f aca="false">IFERROR(VLOOKUP($B598,ItemList_Full,2,0),"")</f>
        <v/>
      </c>
      <c r="D598" s="12" t="str">
        <f aca="false">IFERROR(VLOOKUP($B598,ItemList_Full,3,0),"")</f>
        <v/>
      </c>
      <c r="E598" s="12"/>
      <c r="F598" s="13" t="str">
        <f aca="false">IFERROR(VLOOKUP($B598,ItemList_Full,4,0),"")</f>
        <v/>
      </c>
      <c r="G598" s="13" t="str">
        <f aca="false">IF(OR($E598="",$F598=""),"",$E598*$F598)</f>
        <v/>
      </c>
      <c r="H598" s="12"/>
      <c r="I598" s="12"/>
      <c r="J598" s="1" t="str">
        <f aca="false">IFERROR(VLOOKUP($B598,ItemList_Full,5,0),"")</f>
        <v/>
      </c>
    </row>
    <row r="599" customFormat="false" ht="15" hidden="false" customHeight="true" outlineLevel="0" collapsed="false">
      <c r="A599" s="19"/>
      <c r="B599" s="12"/>
      <c r="C599" s="12" t="str">
        <f aca="false">IFERROR(VLOOKUP($B599,ItemList_Full,2,0),"")</f>
        <v/>
      </c>
      <c r="D599" s="12" t="str">
        <f aca="false">IFERROR(VLOOKUP($B599,ItemList_Full,3,0),"")</f>
        <v/>
      </c>
      <c r="E599" s="12"/>
      <c r="F599" s="13" t="str">
        <f aca="false">IFERROR(VLOOKUP($B599,ItemList_Full,4,0),"")</f>
        <v/>
      </c>
      <c r="G599" s="13" t="str">
        <f aca="false">IF(OR($E599="",$F599=""),"",$E599*$F599)</f>
        <v/>
      </c>
      <c r="H599" s="12"/>
      <c r="I599" s="12"/>
      <c r="J599" s="1" t="str">
        <f aca="false">IFERROR(VLOOKUP($B599,ItemList_Full,5,0),"")</f>
        <v/>
      </c>
    </row>
    <row r="600" customFormat="false" ht="15" hidden="false" customHeight="true" outlineLevel="0" collapsed="false">
      <c r="A600" s="19"/>
      <c r="B600" s="12"/>
      <c r="C600" s="12" t="str">
        <f aca="false">IFERROR(VLOOKUP($B600,ItemList_Full,2,0),"")</f>
        <v/>
      </c>
      <c r="D600" s="12" t="str">
        <f aca="false">IFERROR(VLOOKUP($B600,ItemList_Full,3,0),"")</f>
        <v/>
      </c>
      <c r="E600" s="12"/>
      <c r="F600" s="13" t="str">
        <f aca="false">IFERROR(VLOOKUP($B600,ItemList_Full,4,0),"")</f>
        <v/>
      </c>
      <c r="G600" s="13" t="str">
        <f aca="false">IF(OR($E600="",$F600=""),"",$E600*$F600)</f>
        <v/>
      </c>
      <c r="H600" s="12"/>
      <c r="I600" s="12"/>
      <c r="J600" s="1" t="str">
        <f aca="false">IFERROR(VLOOKUP($B600,ItemList_Full,5,0),"")</f>
        <v/>
      </c>
    </row>
    <row r="601" customFormat="false" ht="15" hidden="false" customHeight="true" outlineLevel="0" collapsed="false">
      <c r="A601" s="19"/>
      <c r="B601" s="12"/>
      <c r="C601" s="12" t="str">
        <f aca="false">IFERROR(VLOOKUP($B601,ItemList_Full,2,0),"")</f>
        <v/>
      </c>
      <c r="D601" s="12" t="str">
        <f aca="false">IFERROR(VLOOKUP($B601,ItemList_Full,3,0),"")</f>
        <v/>
      </c>
      <c r="E601" s="12"/>
      <c r="F601" s="13" t="str">
        <f aca="false">IFERROR(VLOOKUP($B601,ItemList_Full,4,0),"")</f>
        <v/>
      </c>
      <c r="G601" s="13" t="str">
        <f aca="false">IF(OR($E601="",$F601=""),"",$E601*$F601)</f>
        <v/>
      </c>
      <c r="H601" s="12"/>
      <c r="I601" s="12"/>
      <c r="J601" s="1" t="str">
        <f aca="false">IFERROR(VLOOKUP($B601,ItemList_Full,5,0),"")</f>
        <v/>
      </c>
    </row>
    <row r="602" customFormat="false" ht="15" hidden="false" customHeight="true" outlineLevel="0" collapsed="false">
      <c r="A602" s="19"/>
      <c r="B602" s="12"/>
      <c r="C602" s="12" t="str">
        <f aca="false">IFERROR(VLOOKUP($B602,ItemList_Full,2,0),"")</f>
        <v/>
      </c>
      <c r="D602" s="12" t="str">
        <f aca="false">IFERROR(VLOOKUP($B602,ItemList_Full,3,0),"")</f>
        <v/>
      </c>
      <c r="E602" s="12"/>
      <c r="F602" s="13" t="str">
        <f aca="false">IFERROR(VLOOKUP($B602,ItemList_Full,4,0),"")</f>
        <v/>
      </c>
      <c r="G602" s="13" t="str">
        <f aca="false">IF(OR($E602="",$F602=""),"",$E602*$F602)</f>
        <v/>
      </c>
      <c r="H602" s="12"/>
      <c r="I602" s="12"/>
      <c r="J602" s="1" t="str">
        <f aca="false">IFERROR(VLOOKUP($B602,ItemList_Full,5,0),"")</f>
        <v/>
      </c>
    </row>
    <row r="603" customFormat="false" ht="15" hidden="false" customHeight="true" outlineLevel="0" collapsed="false">
      <c r="A603" s="19"/>
      <c r="B603" s="12"/>
      <c r="C603" s="12" t="str">
        <f aca="false">IFERROR(VLOOKUP($B603,ItemList_Full,2,0),"")</f>
        <v/>
      </c>
      <c r="D603" s="12" t="str">
        <f aca="false">IFERROR(VLOOKUP($B603,ItemList_Full,3,0),"")</f>
        <v/>
      </c>
      <c r="E603" s="12"/>
      <c r="F603" s="13" t="str">
        <f aca="false">IFERROR(VLOOKUP($B603,ItemList_Full,4,0),"")</f>
        <v/>
      </c>
      <c r="G603" s="13" t="str">
        <f aca="false">IF(OR($E603="",$F603=""),"",$E603*$F603)</f>
        <v/>
      </c>
      <c r="H603" s="12"/>
      <c r="I603" s="12"/>
      <c r="J603" s="1" t="str">
        <f aca="false">IFERROR(VLOOKUP($B603,ItemList_Full,5,0),"")</f>
        <v/>
      </c>
    </row>
    <row r="604" customFormat="false" ht="15" hidden="false" customHeight="true" outlineLevel="0" collapsed="false">
      <c r="A604" s="19"/>
      <c r="B604" s="12"/>
      <c r="C604" s="12" t="str">
        <f aca="false">IFERROR(VLOOKUP($B604,ItemList_Full,2,0),"")</f>
        <v/>
      </c>
      <c r="D604" s="12" t="str">
        <f aca="false">IFERROR(VLOOKUP($B604,ItemList_Full,3,0),"")</f>
        <v/>
      </c>
      <c r="E604" s="12"/>
      <c r="F604" s="13" t="str">
        <f aca="false">IFERROR(VLOOKUP($B604,ItemList_Full,4,0),"")</f>
        <v/>
      </c>
      <c r="G604" s="13" t="str">
        <f aca="false">IF(OR($E604="",$F604=""),"",$E604*$F604)</f>
        <v/>
      </c>
      <c r="H604" s="12"/>
      <c r="I604" s="12"/>
      <c r="J604" s="1" t="str">
        <f aca="false">IFERROR(VLOOKUP($B604,ItemList_Full,5,0),"")</f>
        <v/>
      </c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B5:B604" type="list">
      <formula1>ItemCodeList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48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22"/>
    <col collapsed="false" customWidth="true" hidden="false" outlineLevel="0" max="4" min="4" style="1" width="8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9" min="8" style="1" width="14"/>
    <col collapsed="false" customWidth="true" hidden="false" outlineLevel="0" max="10" min="10" style="1" width="10"/>
    <col collapsed="false" customWidth="true" hidden="false" outlineLevel="0" max="11" min="11" style="1" width="12"/>
    <col collapsed="false" customWidth="true" hidden="false" outlineLevel="0" max="12" min="12" style="1" width="15"/>
  </cols>
  <sheetData>
    <row r="1" customFormat="false" ht="21.75" hidden="false" customHeight="true" outlineLevel="0" collapsed="false">
      <c r="A1" s="4" t="s">
        <v>1657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customFormat="false" ht="15" hidden="false" customHeight="true" outlineLevel="0" collapsed="false">
      <c r="A2" s="5" t="s">
        <v>1658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4" customFormat="false" ht="27.75" hidden="false" customHeight="true" outlineLevel="0" collapsed="false">
      <c r="A4" s="18" t="s">
        <v>213</v>
      </c>
      <c r="B4" s="18" t="s">
        <v>1647</v>
      </c>
      <c r="C4" s="18" t="s">
        <v>212</v>
      </c>
      <c r="D4" s="18" t="s">
        <v>216</v>
      </c>
      <c r="E4" s="18" t="s">
        <v>1659</v>
      </c>
      <c r="F4" s="18" t="s">
        <v>1660</v>
      </c>
      <c r="G4" s="18" t="s">
        <v>1661</v>
      </c>
      <c r="H4" s="18" t="s">
        <v>1662</v>
      </c>
      <c r="I4" s="18" t="s">
        <v>1663</v>
      </c>
      <c r="J4" s="18" t="s">
        <v>1664</v>
      </c>
      <c r="K4" s="18" t="s">
        <v>1665</v>
      </c>
      <c r="L4" s="18" t="s">
        <v>1666</v>
      </c>
    </row>
    <row r="5" customFormat="false" ht="15" hidden="false" customHeight="true" outlineLevel="0" collapsed="false">
      <c r="A5" s="12" t="s">
        <v>230</v>
      </c>
      <c r="B5" s="12" t="s">
        <v>231</v>
      </c>
      <c r="C5" s="12" t="s">
        <v>129</v>
      </c>
      <c r="D5" s="12" t="s">
        <v>232</v>
      </c>
      <c r="E5" s="13" t="n">
        <v>16900</v>
      </c>
      <c r="F5" s="13" t="n">
        <v>23</v>
      </c>
      <c r="G5" s="13" t="n">
        <f aca="false">SUMIFS('Expense Entry'!$H$5:$H$6000,'Expense Entry'!$E$5:$E$6000,"Inventory Purchase",'Expense Entry'!$F$5:$F$6000,$A5)</f>
        <v>0</v>
      </c>
      <c r="H5" s="13" t="n">
        <f aca="false">SUMIFS('Purchase Orders'!$F$5:$F$3000,'Purchase Orders'!$L$5:$L$3000,"Received",'Purchase Orders'!$D$5:$D$3000,$A5)</f>
        <v>0</v>
      </c>
      <c r="I5" s="13" t="n">
        <f aca="false">$G5+$H5</f>
        <v>0</v>
      </c>
      <c r="J5" s="13" t="n">
        <f aca="false">SUMIFS('Issue Log'!$E$5:$E$6000,'Issue Log'!$B$5:$B$6000,$A5)</f>
        <v>0</v>
      </c>
      <c r="K5" s="13" t="n">
        <f aca="false">$F5+$I5-$J5</f>
        <v>23</v>
      </c>
      <c r="L5" s="13" t="n">
        <f aca="false">$K5*$E5</f>
        <v>388700</v>
      </c>
    </row>
    <row r="6" customFormat="false" ht="15" hidden="false" customHeight="true" outlineLevel="0" collapsed="false">
      <c r="A6" s="12" t="s">
        <v>235</v>
      </c>
      <c r="B6" s="12" t="s">
        <v>236</v>
      </c>
      <c r="C6" s="12" t="s">
        <v>129</v>
      </c>
      <c r="D6" s="12" t="s">
        <v>232</v>
      </c>
      <c r="E6" s="13" t="n">
        <v>16900</v>
      </c>
      <c r="F6" s="13" t="n">
        <v>26</v>
      </c>
      <c r="G6" s="13" t="n">
        <f aca="false">SUMIFS('Expense Entry'!$H$5:$H$6000,'Expense Entry'!$E$5:$E$6000,"Inventory Purchase",'Expense Entry'!$F$5:$F$6000,$A6)</f>
        <v>0</v>
      </c>
      <c r="H6" s="13" t="n">
        <f aca="false">SUMIFS('Purchase Orders'!$F$5:$F$3000,'Purchase Orders'!$L$5:$L$3000,"Received",'Purchase Orders'!$D$5:$D$3000,$A6)</f>
        <v>0</v>
      </c>
      <c r="I6" s="13" t="n">
        <f aca="false">$G6+$H6</f>
        <v>0</v>
      </c>
      <c r="J6" s="13" t="n">
        <f aca="false">SUMIFS('Issue Log'!$E$5:$E$6000,'Issue Log'!$B$5:$B$6000,$A6)</f>
        <v>0</v>
      </c>
      <c r="K6" s="13" t="n">
        <f aca="false">$F6+$I6-$J6</f>
        <v>26</v>
      </c>
      <c r="L6" s="13" t="n">
        <f aca="false">$K6*$E6</f>
        <v>439400</v>
      </c>
    </row>
    <row r="7" customFormat="false" ht="15" hidden="false" customHeight="true" outlineLevel="0" collapsed="false">
      <c r="A7" s="12" t="s">
        <v>239</v>
      </c>
      <c r="B7" s="12" t="s">
        <v>240</v>
      </c>
      <c r="C7" s="12" t="s">
        <v>129</v>
      </c>
      <c r="D7" s="12" t="s">
        <v>241</v>
      </c>
      <c r="E7" s="13" t="n">
        <v>1400</v>
      </c>
      <c r="F7" s="13" t="n">
        <v>25</v>
      </c>
      <c r="G7" s="13" t="n">
        <f aca="false">SUMIFS('Expense Entry'!$H$5:$H$6000,'Expense Entry'!$E$5:$E$6000,"Inventory Purchase",'Expense Entry'!$F$5:$F$6000,$A7)</f>
        <v>0</v>
      </c>
      <c r="H7" s="13" t="n">
        <f aca="false">SUMIFS('Purchase Orders'!$F$5:$F$3000,'Purchase Orders'!$L$5:$L$3000,"Received",'Purchase Orders'!$D$5:$D$3000,$A7)</f>
        <v>0</v>
      </c>
      <c r="I7" s="13" t="n">
        <f aca="false">$G7+$H7</f>
        <v>0</v>
      </c>
      <c r="J7" s="13" t="n">
        <f aca="false">SUMIFS('Issue Log'!$E$5:$E$6000,'Issue Log'!$B$5:$B$6000,$A7)</f>
        <v>0</v>
      </c>
      <c r="K7" s="13" t="n">
        <f aca="false">$F7+$I7-$J7</f>
        <v>25</v>
      </c>
      <c r="L7" s="13" t="n">
        <f aca="false">$K7*$E7</f>
        <v>35000</v>
      </c>
    </row>
    <row r="8" customFormat="false" ht="15" hidden="false" customHeight="true" outlineLevel="0" collapsed="false">
      <c r="A8" s="12" t="s">
        <v>244</v>
      </c>
      <c r="B8" s="12" t="s">
        <v>245</v>
      </c>
      <c r="C8" s="12" t="s">
        <v>129</v>
      </c>
      <c r="D8" s="12" t="s">
        <v>246</v>
      </c>
      <c r="E8" s="13" t="n">
        <v>200</v>
      </c>
      <c r="F8" s="13" t="n">
        <v>45</v>
      </c>
      <c r="G8" s="13" t="n">
        <f aca="false">SUMIFS('Expense Entry'!$H$5:$H$6000,'Expense Entry'!$E$5:$E$6000,"Inventory Purchase",'Expense Entry'!$F$5:$F$6000,$A8)</f>
        <v>0</v>
      </c>
      <c r="H8" s="13" t="n">
        <f aca="false">SUMIFS('Purchase Orders'!$F$5:$F$3000,'Purchase Orders'!$L$5:$L$3000,"Received",'Purchase Orders'!$D$5:$D$3000,$A8)</f>
        <v>0</v>
      </c>
      <c r="I8" s="13" t="n">
        <f aca="false">$G8+$H8</f>
        <v>0</v>
      </c>
      <c r="J8" s="13" t="n">
        <f aca="false">SUMIFS('Issue Log'!$E$5:$E$6000,'Issue Log'!$B$5:$B$6000,$A8)</f>
        <v>0</v>
      </c>
      <c r="K8" s="13" t="n">
        <f aca="false">$F8+$I8-$J8</f>
        <v>45</v>
      </c>
      <c r="L8" s="13" t="n">
        <f aca="false">$K8*$E8</f>
        <v>9000</v>
      </c>
    </row>
    <row r="9" customFormat="false" ht="15" hidden="false" customHeight="true" outlineLevel="0" collapsed="false">
      <c r="A9" s="12" t="s">
        <v>249</v>
      </c>
      <c r="B9" s="12" t="s">
        <v>250</v>
      </c>
      <c r="C9" s="12" t="s">
        <v>129</v>
      </c>
      <c r="D9" s="12" t="s">
        <v>241</v>
      </c>
      <c r="E9" s="13" t="n">
        <v>1150</v>
      </c>
      <c r="F9" s="13" t="n">
        <v>0</v>
      </c>
      <c r="G9" s="13" t="n">
        <f aca="false">SUMIFS('Expense Entry'!$H$5:$H$6000,'Expense Entry'!$E$5:$E$6000,"Inventory Purchase",'Expense Entry'!$F$5:$F$6000,$A9)</f>
        <v>0</v>
      </c>
      <c r="H9" s="13" t="n">
        <f aca="false">SUMIFS('Purchase Orders'!$F$5:$F$3000,'Purchase Orders'!$L$5:$L$3000,"Received",'Purchase Orders'!$D$5:$D$3000,$A9)</f>
        <v>0</v>
      </c>
      <c r="I9" s="13" t="n">
        <f aca="false">$G9+$H9</f>
        <v>0</v>
      </c>
      <c r="J9" s="13" t="n">
        <f aca="false">SUMIFS('Issue Log'!$E$5:$E$6000,'Issue Log'!$B$5:$B$6000,$A9)</f>
        <v>0</v>
      </c>
      <c r="K9" s="13" t="n">
        <f aca="false">$F9+$I9-$J9</f>
        <v>0</v>
      </c>
      <c r="L9" s="13" t="n">
        <f aca="false">$K9*$E9</f>
        <v>0</v>
      </c>
    </row>
    <row r="10" customFormat="false" ht="15" hidden="false" customHeight="true" outlineLevel="0" collapsed="false">
      <c r="A10" s="12" t="s">
        <v>253</v>
      </c>
      <c r="B10" s="12" t="s">
        <v>254</v>
      </c>
      <c r="C10" s="12" t="s">
        <v>129</v>
      </c>
      <c r="D10" s="12" t="s">
        <v>241</v>
      </c>
      <c r="E10" s="13" t="n">
        <v>1150</v>
      </c>
      <c r="F10" s="13" t="n">
        <v>0</v>
      </c>
      <c r="G10" s="13" t="n">
        <f aca="false">SUMIFS('Expense Entry'!$H$5:$H$6000,'Expense Entry'!$E$5:$E$6000,"Inventory Purchase",'Expense Entry'!$F$5:$F$6000,$A10)</f>
        <v>0</v>
      </c>
      <c r="H10" s="13" t="n">
        <f aca="false">SUMIFS('Purchase Orders'!$F$5:$F$3000,'Purchase Orders'!$L$5:$L$3000,"Received",'Purchase Orders'!$D$5:$D$3000,$A10)</f>
        <v>0</v>
      </c>
      <c r="I10" s="13" t="n">
        <f aca="false">$G10+$H10</f>
        <v>0</v>
      </c>
      <c r="J10" s="13" t="n">
        <f aca="false">SUMIFS('Issue Log'!$E$5:$E$6000,'Issue Log'!$B$5:$B$6000,$A10)</f>
        <v>0</v>
      </c>
      <c r="K10" s="13" t="n">
        <f aca="false">$F10+$I10-$J10</f>
        <v>0</v>
      </c>
      <c r="L10" s="13" t="n">
        <f aca="false">$K10*$E10</f>
        <v>0</v>
      </c>
    </row>
    <row r="11" customFormat="false" ht="15" hidden="false" customHeight="true" outlineLevel="0" collapsed="false">
      <c r="A11" s="12" t="s">
        <v>257</v>
      </c>
      <c r="B11" s="12" t="s">
        <v>258</v>
      </c>
      <c r="C11" s="12" t="s">
        <v>129</v>
      </c>
      <c r="D11" s="12" t="s">
        <v>241</v>
      </c>
      <c r="E11" s="13" t="n">
        <v>1150</v>
      </c>
      <c r="F11" s="13" t="n">
        <v>0</v>
      </c>
      <c r="G11" s="13" t="n">
        <f aca="false">SUMIFS('Expense Entry'!$H$5:$H$6000,'Expense Entry'!$E$5:$E$6000,"Inventory Purchase",'Expense Entry'!$F$5:$F$6000,$A11)</f>
        <v>0</v>
      </c>
      <c r="H11" s="13" t="n">
        <f aca="false">SUMIFS('Purchase Orders'!$F$5:$F$3000,'Purchase Orders'!$L$5:$L$3000,"Received",'Purchase Orders'!$D$5:$D$3000,$A11)</f>
        <v>0</v>
      </c>
      <c r="I11" s="13" t="n">
        <f aca="false">$G11+$H11</f>
        <v>0</v>
      </c>
      <c r="J11" s="13" t="n">
        <f aca="false">SUMIFS('Issue Log'!$E$5:$E$6000,'Issue Log'!$B$5:$B$6000,$A11)</f>
        <v>0</v>
      </c>
      <c r="K11" s="13" t="n">
        <f aca="false">$F11+$I11-$J11</f>
        <v>0</v>
      </c>
      <c r="L11" s="13" t="n">
        <f aca="false">$K11*$E11</f>
        <v>0</v>
      </c>
    </row>
    <row r="12" customFormat="false" ht="15" hidden="false" customHeight="true" outlineLevel="0" collapsed="false">
      <c r="A12" s="12" t="s">
        <v>261</v>
      </c>
      <c r="B12" s="12" t="s">
        <v>262</v>
      </c>
      <c r="C12" s="12" t="s">
        <v>129</v>
      </c>
      <c r="D12" s="12" t="s">
        <v>241</v>
      </c>
      <c r="E12" s="13" t="n">
        <v>800</v>
      </c>
      <c r="F12" s="13" t="n">
        <v>0</v>
      </c>
      <c r="G12" s="13" t="n">
        <f aca="false">SUMIFS('Expense Entry'!$H$5:$H$6000,'Expense Entry'!$E$5:$E$6000,"Inventory Purchase",'Expense Entry'!$F$5:$F$6000,$A12)</f>
        <v>0</v>
      </c>
      <c r="H12" s="13" t="n">
        <f aca="false">SUMIFS('Purchase Orders'!$F$5:$F$3000,'Purchase Orders'!$L$5:$L$3000,"Received",'Purchase Orders'!$D$5:$D$3000,$A12)</f>
        <v>0</v>
      </c>
      <c r="I12" s="13" t="n">
        <f aca="false">$G12+$H12</f>
        <v>0</v>
      </c>
      <c r="J12" s="13" t="n">
        <f aca="false">SUMIFS('Issue Log'!$E$5:$E$6000,'Issue Log'!$B$5:$B$6000,$A12)</f>
        <v>0</v>
      </c>
      <c r="K12" s="13" t="n">
        <f aca="false">$F12+$I12-$J12</f>
        <v>0</v>
      </c>
      <c r="L12" s="13" t="n">
        <f aca="false">$K12*$E12</f>
        <v>0</v>
      </c>
    </row>
    <row r="13" customFormat="false" ht="15" hidden="false" customHeight="true" outlineLevel="0" collapsed="false">
      <c r="A13" s="12" t="s">
        <v>265</v>
      </c>
      <c r="B13" s="12" t="s">
        <v>266</v>
      </c>
      <c r="C13" s="12" t="s">
        <v>129</v>
      </c>
      <c r="D13" s="12" t="s">
        <v>267</v>
      </c>
      <c r="E13" s="13" t="n">
        <v>1260</v>
      </c>
      <c r="F13" s="13" t="n">
        <v>4</v>
      </c>
      <c r="G13" s="13" t="n">
        <f aca="false">SUMIFS('Expense Entry'!$H$5:$H$6000,'Expense Entry'!$E$5:$E$6000,"Inventory Purchase",'Expense Entry'!$F$5:$F$6000,$A13)</f>
        <v>0</v>
      </c>
      <c r="H13" s="13" t="n">
        <f aca="false">SUMIFS('Purchase Orders'!$F$5:$F$3000,'Purchase Orders'!$L$5:$L$3000,"Received",'Purchase Orders'!$D$5:$D$3000,$A13)</f>
        <v>0</v>
      </c>
      <c r="I13" s="13" t="n">
        <f aca="false">$G13+$H13</f>
        <v>0</v>
      </c>
      <c r="J13" s="13" t="n">
        <f aca="false">SUMIFS('Issue Log'!$E$5:$E$6000,'Issue Log'!$B$5:$B$6000,$A13)</f>
        <v>0</v>
      </c>
      <c r="K13" s="13" t="n">
        <f aca="false">$F13+$I13-$J13</f>
        <v>4</v>
      </c>
      <c r="L13" s="13" t="n">
        <f aca="false">$K13*$E13</f>
        <v>5040</v>
      </c>
    </row>
    <row r="14" customFormat="false" ht="15" hidden="false" customHeight="true" outlineLevel="0" collapsed="false">
      <c r="A14" s="12" t="s">
        <v>270</v>
      </c>
      <c r="B14" s="12" t="s">
        <v>271</v>
      </c>
      <c r="C14" s="12" t="s">
        <v>129</v>
      </c>
      <c r="D14" s="12" t="s">
        <v>267</v>
      </c>
      <c r="E14" s="13" t="n">
        <v>1301</v>
      </c>
      <c r="F14" s="13" t="n">
        <v>16</v>
      </c>
      <c r="G14" s="13" t="n">
        <f aca="false">SUMIFS('Expense Entry'!$H$5:$H$6000,'Expense Entry'!$E$5:$E$6000,"Inventory Purchase",'Expense Entry'!$F$5:$F$6000,$A14)</f>
        <v>0</v>
      </c>
      <c r="H14" s="13" t="n">
        <f aca="false">SUMIFS('Purchase Orders'!$F$5:$F$3000,'Purchase Orders'!$L$5:$L$3000,"Received",'Purchase Orders'!$D$5:$D$3000,$A14)</f>
        <v>0</v>
      </c>
      <c r="I14" s="13" t="n">
        <f aca="false">$G14+$H14</f>
        <v>0</v>
      </c>
      <c r="J14" s="13" t="n">
        <f aca="false">SUMIFS('Issue Log'!$E$5:$E$6000,'Issue Log'!$B$5:$B$6000,$A14)</f>
        <v>0</v>
      </c>
      <c r="K14" s="13" t="n">
        <f aca="false">$F14+$I14-$J14</f>
        <v>16</v>
      </c>
      <c r="L14" s="13" t="n">
        <f aca="false">$K14*$E14</f>
        <v>20816</v>
      </c>
    </row>
    <row r="15" customFormat="false" ht="15" hidden="false" customHeight="true" outlineLevel="0" collapsed="false">
      <c r="A15" s="12" t="s">
        <v>274</v>
      </c>
      <c r="B15" s="12" t="s">
        <v>275</v>
      </c>
      <c r="C15" s="12" t="s">
        <v>129</v>
      </c>
      <c r="D15" s="12" t="s">
        <v>241</v>
      </c>
      <c r="E15" s="13" t="n">
        <v>1344</v>
      </c>
      <c r="F15" s="13" t="n">
        <v>7</v>
      </c>
      <c r="G15" s="13" t="n">
        <f aca="false">SUMIFS('Expense Entry'!$H$5:$H$6000,'Expense Entry'!$E$5:$E$6000,"Inventory Purchase",'Expense Entry'!$F$5:$F$6000,$A15)</f>
        <v>0</v>
      </c>
      <c r="H15" s="13" t="n">
        <f aca="false">SUMIFS('Purchase Orders'!$F$5:$F$3000,'Purchase Orders'!$L$5:$L$3000,"Received",'Purchase Orders'!$D$5:$D$3000,$A15)</f>
        <v>0</v>
      </c>
      <c r="I15" s="13" t="n">
        <f aca="false">$G15+$H15</f>
        <v>0</v>
      </c>
      <c r="J15" s="13" t="n">
        <f aca="false">SUMIFS('Issue Log'!$E$5:$E$6000,'Issue Log'!$B$5:$B$6000,$A15)</f>
        <v>0</v>
      </c>
      <c r="K15" s="13" t="n">
        <f aca="false">$F15+$I15-$J15</f>
        <v>7</v>
      </c>
      <c r="L15" s="13" t="n">
        <f aca="false">$K15*$E15</f>
        <v>9408</v>
      </c>
    </row>
    <row r="16" customFormat="false" ht="15" hidden="false" customHeight="true" outlineLevel="0" collapsed="false">
      <c r="A16" s="12" t="s">
        <v>278</v>
      </c>
      <c r="B16" s="12" t="s">
        <v>279</v>
      </c>
      <c r="C16" s="12" t="s">
        <v>129</v>
      </c>
      <c r="D16" s="12" t="s">
        <v>241</v>
      </c>
      <c r="E16" s="13" t="n">
        <v>1088</v>
      </c>
      <c r="F16" s="13" t="n">
        <v>6</v>
      </c>
      <c r="G16" s="13" t="n">
        <f aca="false">SUMIFS('Expense Entry'!$H$5:$H$6000,'Expense Entry'!$E$5:$E$6000,"Inventory Purchase",'Expense Entry'!$F$5:$F$6000,$A16)</f>
        <v>0</v>
      </c>
      <c r="H16" s="13" t="n">
        <f aca="false">SUMIFS('Purchase Orders'!$F$5:$F$3000,'Purchase Orders'!$L$5:$L$3000,"Received",'Purchase Orders'!$D$5:$D$3000,$A16)</f>
        <v>0</v>
      </c>
      <c r="I16" s="13" t="n">
        <f aca="false">$G16+$H16</f>
        <v>0</v>
      </c>
      <c r="J16" s="13" t="n">
        <f aca="false">SUMIFS('Issue Log'!$E$5:$E$6000,'Issue Log'!$B$5:$B$6000,$A16)</f>
        <v>0</v>
      </c>
      <c r="K16" s="13" t="n">
        <f aca="false">$F16+$I16-$J16</f>
        <v>6</v>
      </c>
      <c r="L16" s="13" t="n">
        <f aca="false">$K16*$E16</f>
        <v>6528</v>
      </c>
    </row>
    <row r="17" customFormat="false" ht="15" hidden="false" customHeight="true" outlineLevel="0" collapsed="false">
      <c r="A17" s="12" t="s">
        <v>282</v>
      </c>
      <c r="B17" s="12" t="s">
        <v>283</v>
      </c>
      <c r="C17" s="12" t="s">
        <v>129</v>
      </c>
      <c r="D17" s="12" t="s">
        <v>241</v>
      </c>
      <c r="E17" s="13" t="n">
        <v>1122</v>
      </c>
      <c r="F17" s="13" t="n">
        <v>7</v>
      </c>
      <c r="G17" s="13" t="n">
        <f aca="false">SUMIFS('Expense Entry'!$H$5:$H$6000,'Expense Entry'!$E$5:$E$6000,"Inventory Purchase",'Expense Entry'!$F$5:$F$6000,$A17)</f>
        <v>0</v>
      </c>
      <c r="H17" s="13" t="n">
        <f aca="false">SUMIFS('Purchase Orders'!$F$5:$F$3000,'Purchase Orders'!$L$5:$L$3000,"Received",'Purchase Orders'!$D$5:$D$3000,$A17)</f>
        <v>0</v>
      </c>
      <c r="I17" s="13" t="n">
        <f aca="false">$G17+$H17</f>
        <v>0</v>
      </c>
      <c r="J17" s="13" t="n">
        <f aca="false">SUMIFS('Issue Log'!$E$5:$E$6000,'Issue Log'!$B$5:$B$6000,$A17)</f>
        <v>0</v>
      </c>
      <c r="K17" s="13" t="n">
        <f aca="false">$F17+$I17-$J17</f>
        <v>7</v>
      </c>
      <c r="L17" s="13" t="n">
        <f aca="false">$K17*$E17</f>
        <v>7854</v>
      </c>
    </row>
    <row r="18" customFormat="false" ht="15" hidden="false" customHeight="true" outlineLevel="0" collapsed="false">
      <c r="A18" s="12" t="s">
        <v>286</v>
      </c>
      <c r="B18" s="12" t="s">
        <v>287</v>
      </c>
      <c r="C18" s="12" t="s">
        <v>129</v>
      </c>
      <c r="D18" s="12" t="s">
        <v>267</v>
      </c>
      <c r="E18" s="13" t="n">
        <v>1400.6</v>
      </c>
      <c r="F18" s="13" t="n">
        <v>7</v>
      </c>
      <c r="G18" s="13" t="n">
        <f aca="false">SUMIFS('Expense Entry'!$H$5:$H$6000,'Expense Entry'!$E$5:$E$6000,"Inventory Purchase",'Expense Entry'!$F$5:$F$6000,$A18)</f>
        <v>0</v>
      </c>
      <c r="H18" s="13" t="n">
        <f aca="false">SUMIFS('Purchase Orders'!$F$5:$F$3000,'Purchase Orders'!$L$5:$L$3000,"Received",'Purchase Orders'!$D$5:$D$3000,$A18)</f>
        <v>0</v>
      </c>
      <c r="I18" s="13" t="n">
        <f aca="false">$G18+$H18</f>
        <v>0</v>
      </c>
      <c r="J18" s="13" t="n">
        <f aca="false">SUMIFS('Issue Log'!$E$5:$E$6000,'Issue Log'!$B$5:$B$6000,$A18)</f>
        <v>0</v>
      </c>
      <c r="K18" s="13" t="n">
        <f aca="false">$F18+$I18-$J18</f>
        <v>7</v>
      </c>
      <c r="L18" s="13" t="n">
        <f aca="false">$K18*$E18</f>
        <v>9804.2</v>
      </c>
    </row>
    <row r="19" customFormat="false" ht="15" hidden="false" customHeight="true" outlineLevel="0" collapsed="false">
      <c r="A19" s="12" t="s">
        <v>290</v>
      </c>
      <c r="B19" s="12" t="s">
        <v>291</v>
      </c>
      <c r="C19" s="12" t="s">
        <v>129</v>
      </c>
      <c r="D19" s="12" t="s">
        <v>267</v>
      </c>
      <c r="E19" s="13" t="n">
        <v>1800</v>
      </c>
      <c r="F19" s="13" t="n">
        <v>4</v>
      </c>
      <c r="G19" s="13" t="n">
        <f aca="false">SUMIFS('Expense Entry'!$H$5:$H$6000,'Expense Entry'!$E$5:$E$6000,"Inventory Purchase",'Expense Entry'!$F$5:$F$6000,$A19)</f>
        <v>0</v>
      </c>
      <c r="H19" s="13" t="n">
        <f aca="false">SUMIFS('Purchase Orders'!$F$5:$F$3000,'Purchase Orders'!$L$5:$L$3000,"Received",'Purchase Orders'!$D$5:$D$3000,$A19)</f>
        <v>0</v>
      </c>
      <c r="I19" s="13" t="n">
        <f aca="false">$G19+$H19</f>
        <v>0</v>
      </c>
      <c r="J19" s="13" t="n">
        <f aca="false">SUMIFS('Issue Log'!$E$5:$E$6000,'Issue Log'!$B$5:$B$6000,$A19)</f>
        <v>0</v>
      </c>
      <c r="K19" s="13" t="n">
        <f aca="false">$F19+$I19-$J19</f>
        <v>4</v>
      </c>
      <c r="L19" s="13" t="n">
        <f aca="false">$K19*$E19</f>
        <v>7200</v>
      </c>
    </row>
    <row r="20" customFormat="false" ht="15" hidden="false" customHeight="true" outlineLevel="0" collapsed="false">
      <c r="A20" s="12" t="s">
        <v>293</v>
      </c>
      <c r="B20" s="12" t="s">
        <v>294</v>
      </c>
      <c r="C20" s="12" t="s">
        <v>129</v>
      </c>
      <c r="D20" s="12" t="s">
        <v>267</v>
      </c>
      <c r="E20" s="13" t="n">
        <v>1150</v>
      </c>
      <c r="F20" s="13" t="n">
        <v>197</v>
      </c>
      <c r="G20" s="13" t="n">
        <f aca="false">SUMIFS('Expense Entry'!$H$5:$H$6000,'Expense Entry'!$E$5:$E$6000,"Inventory Purchase",'Expense Entry'!$F$5:$F$6000,$A20)</f>
        <v>0</v>
      </c>
      <c r="H20" s="13" t="n">
        <f aca="false">SUMIFS('Purchase Orders'!$F$5:$F$3000,'Purchase Orders'!$L$5:$L$3000,"Received",'Purchase Orders'!$D$5:$D$3000,$A20)</f>
        <v>0</v>
      </c>
      <c r="I20" s="13" t="n">
        <f aca="false">$G20+$H20</f>
        <v>0</v>
      </c>
      <c r="J20" s="13" t="n">
        <f aca="false">SUMIFS('Issue Log'!$E$5:$E$6000,'Issue Log'!$B$5:$B$6000,$A20)</f>
        <v>0</v>
      </c>
      <c r="K20" s="13" t="n">
        <f aca="false">$F20+$I20-$J20</f>
        <v>197</v>
      </c>
      <c r="L20" s="13" t="n">
        <f aca="false">$K20*$E20</f>
        <v>226550</v>
      </c>
    </row>
    <row r="21" customFormat="false" ht="15" hidden="false" customHeight="true" outlineLevel="0" collapsed="false">
      <c r="A21" s="12" t="s">
        <v>297</v>
      </c>
      <c r="B21" s="12" t="s">
        <v>298</v>
      </c>
      <c r="C21" s="12" t="s">
        <v>129</v>
      </c>
      <c r="D21" s="12" t="s">
        <v>267</v>
      </c>
      <c r="E21" s="13" t="n">
        <v>1150</v>
      </c>
      <c r="F21" s="13" t="n">
        <v>89</v>
      </c>
      <c r="G21" s="13" t="n">
        <f aca="false">SUMIFS('Expense Entry'!$H$5:$H$6000,'Expense Entry'!$E$5:$E$6000,"Inventory Purchase",'Expense Entry'!$F$5:$F$6000,$A21)</f>
        <v>0</v>
      </c>
      <c r="H21" s="13" t="n">
        <f aca="false">SUMIFS('Purchase Orders'!$F$5:$F$3000,'Purchase Orders'!$L$5:$L$3000,"Received",'Purchase Orders'!$D$5:$D$3000,$A21)</f>
        <v>0</v>
      </c>
      <c r="I21" s="13" t="n">
        <f aca="false">$G21+$H21</f>
        <v>0</v>
      </c>
      <c r="J21" s="13" t="n">
        <f aca="false">SUMIFS('Issue Log'!$E$5:$E$6000,'Issue Log'!$B$5:$B$6000,$A21)</f>
        <v>0</v>
      </c>
      <c r="K21" s="13" t="n">
        <f aca="false">$F21+$I21-$J21</f>
        <v>89</v>
      </c>
      <c r="L21" s="13" t="n">
        <f aca="false">$K21*$E21</f>
        <v>102350</v>
      </c>
    </row>
    <row r="22" customFormat="false" ht="15" hidden="false" customHeight="true" outlineLevel="0" collapsed="false">
      <c r="A22" s="12" t="s">
        <v>301</v>
      </c>
      <c r="B22" s="12" t="s">
        <v>302</v>
      </c>
      <c r="C22" s="12" t="s">
        <v>129</v>
      </c>
      <c r="D22" s="12" t="s">
        <v>267</v>
      </c>
      <c r="E22" s="13" t="n">
        <v>974</v>
      </c>
      <c r="F22" s="13" t="n">
        <v>6</v>
      </c>
      <c r="G22" s="13" t="n">
        <f aca="false">SUMIFS('Expense Entry'!$H$5:$H$6000,'Expense Entry'!$E$5:$E$6000,"Inventory Purchase",'Expense Entry'!$F$5:$F$6000,$A22)</f>
        <v>0</v>
      </c>
      <c r="H22" s="13" t="n">
        <f aca="false">SUMIFS('Purchase Orders'!$F$5:$F$3000,'Purchase Orders'!$L$5:$L$3000,"Received",'Purchase Orders'!$D$5:$D$3000,$A22)</f>
        <v>0</v>
      </c>
      <c r="I22" s="13" t="n">
        <f aca="false">$G22+$H22</f>
        <v>0</v>
      </c>
      <c r="J22" s="13" t="n">
        <f aca="false">SUMIFS('Issue Log'!$E$5:$E$6000,'Issue Log'!$B$5:$B$6000,$A22)</f>
        <v>0</v>
      </c>
      <c r="K22" s="13" t="n">
        <f aca="false">$F22+$I22-$J22</f>
        <v>6</v>
      </c>
      <c r="L22" s="13" t="n">
        <f aca="false">$K22*$E22</f>
        <v>5844</v>
      </c>
    </row>
    <row r="23" customFormat="false" ht="15" hidden="false" customHeight="true" outlineLevel="0" collapsed="false">
      <c r="A23" s="12" t="s">
        <v>303</v>
      </c>
      <c r="B23" s="12" t="s">
        <v>304</v>
      </c>
      <c r="C23" s="12" t="s">
        <v>129</v>
      </c>
      <c r="D23" s="12" t="s">
        <v>267</v>
      </c>
      <c r="E23" s="13" t="n">
        <v>1587</v>
      </c>
      <c r="F23" s="13" t="n">
        <v>2</v>
      </c>
      <c r="G23" s="13" t="n">
        <f aca="false">SUMIFS('Expense Entry'!$H$5:$H$6000,'Expense Entry'!$E$5:$E$6000,"Inventory Purchase",'Expense Entry'!$F$5:$F$6000,$A23)</f>
        <v>0</v>
      </c>
      <c r="H23" s="13" t="n">
        <f aca="false">SUMIFS('Purchase Orders'!$F$5:$F$3000,'Purchase Orders'!$L$5:$L$3000,"Received",'Purchase Orders'!$D$5:$D$3000,$A23)</f>
        <v>0</v>
      </c>
      <c r="I23" s="13" t="n">
        <f aca="false">$G23+$H23</f>
        <v>0</v>
      </c>
      <c r="J23" s="13" t="n">
        <f aca="false">SUMIFS('Issue Log'!$E$5:$E$6000,'Issue Log'!$B$5:$B$6000,$A23)</f>
        <v>0</v>
      </c>
      <c r="K23" s="13" t="n">
        <f aca="false">$F23+$I23-$J23</f>
        <v>2</v>
      </c>
      <c r="L23" s="13" t="n">
        <f aca="false">$K23*$E23</f>
        <v>3174</v>
      </c>
    </row>
    <row r="24" customFormat="false" ht="15" hidden="false" customHeight="true" outlineLevel="0" collapsed="false">
      <c r="A24" s="12" t="s">
        <v>306</v>
      </c>
      <c r="B24" s="12" t="s">
        <v>307</v>
      </c>
      <c r="C24" s="12" t="s">
        <v>129</v>
      </c>
      <c r="D24" s="12" t="s">
        <v>267</v>
      </c>
      <c r="E24" s="13" t="n">
        <v>2410</v>
      </c>
      <c r="F24" s="13" t="n">
        <v>4</v>
      </c>
      <c r="G24" s="13" t="n">
        <f aca="false">SUMIFS('Expense Entry'!$H$5:$H$6000,'Expense Entry'!$E$5:$E$6000,"Inventory Purchase",'Expense Entry'!$F$5:$F$6000,$A24)</f>
        <v>0</v>
      </c>
      <c r="H24" s="13" t="n">
        <f aca="false">SUMIFS('Purchase Orders'!$F$5:$F$3000,'Purchase Orders'!$L$5:$L$3000,"Received",'Purchase Orders'!$D$5:$D$3000,$A24)</f>
        <v>0</v>
      </c>
      <c r="I24" s="13" t="n">
        <f aca="false">$G24+$H24</f>
        <v>0</v>
      </c>
      <c r="J24" s="13" t="n">
        <f aca="false">SUMIFS('Issue Log'!$E$5:$E$6000,'Issue Log'!$B$5:$B$6000,$A24)</f>
        <v>0</v>
      </c>
      <c r="K24" s="13" t="n">
        <f aca="false">$F24+$I24-$J24</f>
        <v>4</v>
      </c>
      <c r="L24" s="13" t="n">
        <f aca="false">$K24*$E24</f>
        <v>9640</v>
      </c>
    </row>
    <row r="25" customFormat="false" ht="15" hidden="false" customHeight="true" outlineLevel="0" collapsed="false">
      <c r="A25" s="12" t="s">
        <v>309</v>
      </c>
      <c r="B25" s="12" t="s">
        <v>310</v>
      </c>
      <c r="C25" s="12" t="s">
        <v>129</v>
      </c>
      <c r="D25" s="12" t="s">
        <v>311</v>
      </c>
      <c r="E25" s="13" t="n">
        <v>720</v>
      </c>
      <c r="F25" s="13" t="n">
        <v>90</v>
      </c>
      <c r="G25" s="13" t="n">
        <f aca="false">SUMIFS('Expense Entry'!$H$5:$H$6000,'Expense Entry'!$E$5:$E$6000,"Inventory Purchase",'Expense Entry'!$F$5:$F$6000,$A25)</f>
        <v>0</v>
      </c>
      <c r="H25" s="13" t="n">
        <f aca="false">SUMIFS('Purchase Orders'!$F$5:$F$3000,'Purchase Orders'!$L$5:$L$3000,"Received",'Purchase Orders'!$D$5:$D$3000,$A25)</f>
        <v>0</v>
      </c>
      <c r="I25" s="13" t="n">
        <f aca="false">$G25+$H25</f>
        <v>0</v>
      </c>
      <c r="J25" s="13" t="n">
        <f aca="false">SUMIFS('Issue Log'!$E$5:$E$6000,'Issue Log'!$B$5:$B$6000,$A25)</f>
        <v>0</v>
      </c>
      <c r="K25" s="13" t="n">
        <f aca="false">$F25+$I25-$J25</f>
        <v>90</v>
      </c>
      <c r="L25" s="13" t="n">
        <f aca="false">$K25*$E25</f>
        <v>64800</v>
      </c>
    </row>
    <row r="26" customFormat="false" ht="15" hidden="false" customHeight="true" outlineLevel="0" collapsed="false">
      <c r="A26" s="12" t="s">
        <v>312</v>
      </c>
      <c r="B26" s="12" t="s">
        <v>313</v>
      </c>
      <c r="C26" s="12" t="s">
        <v>129</v>
      </c>
      <c r="D26" s="12" t="s">
        <v>311</v>
      </c>
      <c r="E26" s="13" t="n">
        <v>720</v>
      </c>
      <c r="F26" s="13" t="n">
        <v>23</v>
      </c>
      <c r="G26" s="13" t="n">
        <f aca="false">SUMIFS('Expense Entry'!$H$5:$H$6000,'Expense Entry'!$E$5:$E$6000,"Inventory Purchase",'Expense Entry'!$F$5:$F$6000,$A26)</f>
        <v>0</v>
      </c>
      <c r="H26" s="13" t="n">
        <f aca="false">SUMIFS('Purchase Orders'!$F$5:$F$3000,'Purchase Orders'!$L$5:$L$3000,"Received",'Purchase Orders'!$D$5:$D$3000,$A26)</f>
        <v>0</v>
      </c>
      <c r="I26" s="13" t="n">
        <f aca="false">$G26+$H26</f>
        <v>0</v>
      </c>
      <c r="J26" s="13" t="n">
        <f aca="false">SUMIFS('Issue Log'!$E$5:$E$6000,'Issue Log'!$B$5:$B$6000,$A26)</f>
        <v>0</v>
      </c>
      <c r="K26" s="13" t="n">
        <f aca="false">$F26+$I26-$J26</f>
        <v>23</v>
      </c>
      <c r="L26" s="13" t="n">
        <f aca="false">$K26*$E26</f>
        <v>16560</v>
      </c>
    </row>
    <row r="27" customFormat="false" ht="15" hidden="false" customHeight="true" outlineLevel="0" collapsed="false">
      <c r="A27" s="12" t="s">
        <v>315</v>
      </c>
      <c r="B27" s="12" t="s">
        <v>316</v>
      </c>
      <c r="C27" s="12" t="s">
        <v>129</v>
      </c>
      <c r="D27" s="12" t="s">
        <v>311</v>
      </c>
      <c r="E27" s="13" t="n">
        <v>720</v>
      </c>
      <c r="F27" s="13" t="n">
        <v>39</v>
      </c>
      <c r="G27" s="13" t="n">
        <f aca="false">SUMIFS('Expense Entry'!$H$5:$H$6000,'Expense Entry'!$E$5:$E$6000,"Inventory Purchase",'Expense Entry'!$F$5:$F$6000,$A27)</f>
        <v>0</v>
      </c>
      <c r="H27" s="13" t="n">
        <f aca="false">SUMIFS('Purchase Orders'!$F$5:$F$3000,'Purchase Orders'!$L$5:$L$3000,"Received",'Purchase Orders'!$D$5:$D$3000,$A27)</f>
        <v>0</v>
      </c>
      <c r="I27" s="13" t="n">
        <f aca="false">$G27+$H27</f>
        <v>0</v>
      </c>
      <c r="J27" s="13" t="n">
        <f aca="false">SUMIFS('Issue Log'!$E$5:$E$6000,'Issue Log'!$B$5:$B$6000,$A27)</f>
        <v>0</v>
      </c>
      <c r="K27" s="13" t="n">
        <f aca="false">$F27+$I27-$J27</f>
        <v>39</v>
      </c>
      <c r="L27" s="13" t="n">
        <f aca="false">$K27*$E27</f>
        <v>28080</v>
      </c>
    </row>
    <row r="28" customFormat="false" ht="15" hidden="false" customHeight="true" outlineLevel="0" collapsed="false">
      <c r="A28" s="12" t="s">
        <v>319</v>
      </c>
      <c r="B28" s="12" t="s">
        <v>320</v>
      </c>
      <c r="C28" s="12" t="s">
        <v>129</v>
      </c>
      <c r="D28" s="12" t="s">
        <v>311</v>
      </c>
      <c r="E28" s="13" t="n">
        <v>720</v>
      </c>
      <c r="F28" s="13" t="n">
        <v>7</v>
      </c>
      <c r="G28" s="13" t="n">
        <f aca="false">SUMIFS('Expense Entry'!$H$5:$H$6000,'Expense Entry'!$E$5:$E$6000,"Inventory Purchase",'Expense Entry'!$F$5:$F$6000,$A28)</f>
        <v>0</v>
      </c>
      <c r="H28" s="13" t="n">
        <f aca="false">SUMIFS('Purchase Orders'!$F$5:$F$3000,'Purchase Orders'!$L$5:$L$3000,"Received",'Purchase Orders'!$D$5:$D$3000,$A28)</f>
        <v>0</v>
      </c>
      <c r="I28" s="13" t="n">
        <f aca="false">$G28+$H28</f>
        <v>0</v>
      </c>
      <c r="J28" s="13" t="n">
        <f aca="false">SUMIFS('Issue Log'!$E$5:$E$6000,'Issue Log'!$B$5:$B$6000,$A28)</f>
        <v>0</v>
      </c>
      <c r="K28" s="13" t="n">
        <f aca="false">$F28+$I28-$J28</f>
        <v>7</v>
      </c>
      <c r="L28" s="13" t="n">
        <f aca="false">$K28*$E28</f>
        <v>5040</v>
      </c>
    </row>
    <row r="29" customFormat="false" ht="15" hidden="false" customHeight="true" outlineLevel="0" collapsed="false">
      <c r="A29" s="12" t="s">
        <v>321</v>
      </c>
      <c r="B29" s="12" t="s">
        <v>322</v>
      </c>
      <c r="C29" s="12" t="s">
        <v>129</v>
      </c>
      <c r="D29" s="12" t="s">
        <v>311</v>
      </c>
      <c r="E29" s="13" t="n">
        <v>600</v>
      </c>
      <c r="F29" s="13" t="n">
        <v>59</v>
      </c>
      <c r="G29" s="13" t="n">
        <f aca="false">SUMIFS('Expense Entry'!$H$5:$H$6000,'Expense Entry'!$E$5:$E$6000,"Inventory Purchase",'Expense Entry'!$F$5:$F$6000,$A29)</f>
        <v>0</v>
      </c>
      <c r="H29" s="13" t="n">
        <f aca="false">SUMIFS('Purchase Orders'!$F$5:$F$3000,'Purchase Orders'!$L$5:$L$3000,"Received",'Purchase Orders'!$D$5:$D$3000,$A29)</f>
        <v>0</v>
      </c>
      <c r="I29" s="13" t="n">
        <f aca="false">$G29+$H29</f>
        <v>0</v>
      </c>
      <c r="J29" s="13" t="n">
        <f aca="false">SUMIFS('Issue Log'!$E$5:$E$6000,'Issue Log'!$B$5:$B$6000,$A29)</f>
        <v>0</v>
      </c>
      <c r="K29" s="13" t="n">
        <f aca="false">$F29+$I29-$J29</f>
        <v>59</v>
      </c>
      <c r="L29" s="13" t="n">
        <f aca="false">$K29*$E29</f>
        <v>35400</v>
      </c>
    </row>
    <row r="30" customFormat="false" ht="15" hidden="false" customHeight="true" outlineLevel="0" collapsed="false">
      <c r="A30" s="12" t="s">
        <v>323</v>
      </c>
      <c r="B30" s="12" t="s">
        <v>324</v>
      </c>
      <c r="C30" s="12" t="s">
        <v>129</v>
      </c>
      <c r="D30" s="12" t="s">
        <v>311</v>
      </c>
      <c r="E30" s="13" t="n">
        <v>600</v>
      </c>
      <c r="F30" s="13" t="n">
        <v>2</v>
      </c>
      <c r="G30" s="13" t="n">
        <f aca="false">SUMIFS('Expense Entry'!$H$5:$H$6000,'Expense Entry'!$E$5:$E$6000,"Inventory Purchase",'Expense Entry'!$F$5:$F$6000,$A30)</f>
        <v>0</v>
      </c>
      <c r="H30" s="13" t="n">
        <f aca="false">SUMIFS('Purchase Orders'!$F$5:$F$3000,'Purchase Orders'!$L$5:$L$3000,"Received",'Purchase Orders'!$D$5:$D$3000,$A30)</f>
        <v>0</v>
      </c>
      <c r="I30" s="13" t="n">
        <f aca="false">$G30+$H30</f>
        <v>0</v>
      </c>
      <c r="J30" s="13" t="n">
        <f aca="false">SUMIFS('Issue Log'!$E$5:$E$6000,'Issue Log'!$B$5:$B$6000,$A30)</f>
        <v>0</v>
      </c>
      <c r="K30" s="13" t="n">
        <f aca="false">$F30+$I30-$J30</f>
        <v>2</v>
      </c>
      <c r="L30" s="13" t="n">
        <f aca="false">$K30*$E30</f>
        <v>1200</v>
      </c>
    </row>
    <row r="31" customFormat="false" ht="15" hidden="false" customHeight="true" outlineLevel="0" collapsed="false">
      <c r="A31" s="12" t="s">
        <v>327</v>
      </c>
      <c r="B31" s="12" t="s">
        <v>328</v>
      </c>
      <c r="C31" s="12" t="s">
        <v>129</v>
      </c>
      <c r="D31" s="12" t="s">
        <v>311</v>
      </c>
      <c r="E31" s="13" t="n">
        <v>770</v>
      </c>
      <c r="F31" s="13" t="n">
        <v>6</v>
      </c>
      <c r="G31" s="13" t="n">
        <f aca="false">SUMIFS('Expense Entry'!$H$5:$H$6000,'Expense Entry'!$E$5:$E$6000,"Inventory Purchase",'Expense Entry'!$F$5:$F$6000,$A31)</f>
        <v>0</v>
      </c>
      <c r="H31" s="13" t="n">
        <f aca="false">SUMIFS('Purchase Orders'!$F$5:$F$3000,'Purchase Orders'!$L$5:$L$3000,"Received",'Purchase Orders'!$D$5:$D$3000,$A31)</f>
        <v>0</v>
      </c>
      <c r="I31" s="13" t="n">
        <f aca="false">$G31+$H31</f>
        <v>0</v>
      </c>
      <c r="J31" s="13" t="n">
        <f aca="false">SUMIFS('Issue Log'!$E$5:$E$6000,'Issue Log'!$B$5:$B$6000,$A31)</f>
        <v>0</v>
      </c>
      <c r="K31" s="13" t="n">
        <f aca="false">$F31+$I31-$J31</f>
        <v>6</v>
      </c>
      <c r="L31" s="13" t="n">
        <f aca="false">$K31*$E31</f>
        <v>4620</v>
      </c>
    </row>
    <row r="32" customFormat="false" ht="15" hidden="false" customHeight="true" outlineLevel="0" collapsed="false">
      <c r="A32" s="12" t="s">
        <v>331</v>
      </c>
      <c r="B32" s="12" t="s">
        <v>332</v>
      </c>
      <c r="C32" s="12" t="s">
        <v>129</v>
      </c>
      <c r="D32" s="12" t="s">
        <v>311</v>
      </c>
      <c r="E32" s="13" t="n">
        <v>770</v>
      </c>
      <c r="F32" s="13" t="n">
        <v>0</v>
      </c>
      <c r="G32" s="13" t="n">
        <f aca="false">SUMIFS('Expense Entry'!$H$5:$H$6000,'Expense Entry'!$E$5:$E$6000,"Inventory Purchase",'Expense Entry'!$F$5:$F$6000,$A32)</f>
        <v>0</v>
      </c>
      <c r="H32" s="13" t="n">
        <f aca="false">SUMIFS('Purchase Orders'!$F$5:$F$3000,'Purchase Orders'!$L$5:$L$3000,"Received",'Purchase Orders'!$D$5:$D$3000,$A32)</f>
        <v>0</v>
      </c>
      <c r="I32" s="13" t="n">
        <f aca="false">$G32+$H32</f>
        <v>0</v>
      </c>
      <c r="J32" s="13" t="n">
        <f aca="false">SUMIFS('Issue Log'!$E$5:$E$6000,'Issue Log'!$B$5:$B$6000,$A32)</f>
        <v>0</v>
      </c>
      <c r="K32" s="13" t="n">
        <f aca="false">$F32+$I32-$J32</f>
        <v>0</v>
      </c>
      <c r="L32" s="13" t="n">
        <f aca="false">$K32*$E32</f>
        <v>0</v>
      </c>
    </row>
    <row r="33" customFormat="false" ht="15" hidden="false" customHeight="true" outlineLevel="0" collapsed="false">
      <c r="A33" s="12" t="s">
        <v>335</v>
      </c>
      <c r="B33" s="12" t="s">
        <v>336</v>
      </c>
      <c r="C33" s="12" t="s">
        <v>129</v>
      </c>
      <c r="D33" s="12" t="s">
        <v>311</v>
      </c>
      <c r="E33" s="13" t="n">
        <v>560</v>
      </c>
      <c r="F33" s="13" t="n">
        <v>26</v>
      </c>
      <c r="G33" s="13" t="n">
        <f aca="false">SUMIFS('Expense Entry'!$H$5:$H$6000,'Expense Entry'!$E$5:$E$6000,"Inventory Purchase",'Expense Entry'!$F$5:$F$6000,$A33)</f>
        <v>0</v>
      </c>
      <c r="H33" s="13" t="n">
        <f aca="false">SUMIFS('Purchase Orders'!$F$5:$F$3000,'Purchase Orders'!$L$5:$L$3000,"Received",'Purchase Orders'!$D$5:$D$3000,$A33)</f>
        <v>0</v>
      </c>
      <c r="I33" s="13" t="n">
        <f aca="false">$G33+$H33</f>
        <v>0</v>
      </c>
      <c r="J33" s="13" t="n">
        <f aca="false">SUMIFS('Issue Log'!$E$5:$E$6000,'Issue Log'!$B$5:$B$6000,$A33)</f>
        <v>0</v>
      </c>
      <c r="K33" s="13" t="n">
        <f aca="false">$F33+$I33-$J33</f>
        <v>26</v>
      </c>
      <c r="L33" s="13" t="n">
        <f aca="false">$K33*$E33</f>
        <v>14560</v>
      </c>
    </row>
    <row r="34" customFormat="false" ht="15" hidden="false" customHeight="true" outlineLevel="0" collapsed="false">
      <c r="A34" s="12" t="s">
        <v>339</v>
      </c>
      <c r="B34" s="12" t="s">
        <v>340</v>
      </c>
      <c r="C34" s="12" t="s">
        <v>129</v>
      </c>
      <c r="D34" s="12" t="s">
        <v>311</v>
      </c>
      <c r="E34" s="13" t="n">
        <v>560</v>
      </c>
      <c r="F34" s="13" t="n">
        <v>10</v>
      </c>
      <c r="G34" s="13" t="n">
        <f aca="false">SUMIFS('Expense Entry'!$H$5:$H$6000,'Expense Entry'!$E$5:$E$6000,"Inventory Purchase",'Expense Entry'!$F$5:$F$6000,$A34)</f>
        <v>0</v>
      </c>
      <c r="H34" s="13" t="n">
        <f aca="false">SUMIFS('Purchase Orders'!$F$5:$F$3000,'Purchase Orders'!$L$5:$L$3000,"Received",'Purchase Orders'!$D$5:$D$3000,$A34)</f>
        <v>0</v>
      </c>
      <c r="I34" s="13" t="n">
        <f aca="false">$G34+$H34</f>
        <v>0</v>
      </c>
      <c r="J34" s="13" t="n">
        <f aca="false">SUMIFS('Issue Log'!$E$5:$E$6000,'Issue Log'!$B$5:$B$6000,$A34)</f>
        <v>0</v>
      </c>
      <c r="K34" s="13" t="n">
        <f aca="false">$F34+$I34-$J34</f>
        <v>10</v>
      </c>
      <c r="L34" s="13" t="n">
        <f aca="false">$K34*$E34</f>
        <v>5600</v>
      </c>
    </row>
    <row r="35" customFormat="false" ht="15" hidden="false" customHeight="true" outlineLevel="0" collapsed="false">
      <c r="A35" s="12" t="s">
        <v>341</v>
      </c>
      <c r="B35" s="12" t="s">
        <v>342</v>
      </c>
      <c r="C35" s="12" t="s">
        <v>129</v>
      </c>
      <c r="D35" s="12" t="s">
        <v>311</v>
      </c>
      <c r="E35" s="13" t="n">
        <v>380</v>
      </c>
      <c r="F35" s="13" t="n">
        <v>30</v>
      </c>
      <c r="G35" s="13" t="n">
        <f aca="false">SUMIFS('Expense Entry'!$H$5:$H$6000,'Expense Entry'!$E$5:$E$6000,"Inventory Purchase",'Expense Entry'!$F$5:$F$6000,$A35)</f>
        <v>0</v>
      </c>
      <c r="H35" s="13" t="n">
        <f aca="false">SUMIFS('Purchase Orders'!$F$5:$F$3000,'Purchase Orders'!$L$5:$L$3000,"Received",'Purchase Orders'!$D$5:$D$3000,$A35)</f>
        <v>0</v>
      </c>
      <c r="I35" s="13" t="n">
        <f aca="false">$G35+$H35</f>
        <v>0</v>
      </c>
      <c r="J35" s="13" t="n">
        <f aca="false">SUMIFS('Issue Log'!$E$5:$E$6000,'Issue Log'!$B$5:$B$6000,$A35)</f>
        <v>0</v>
      </c>
      <c r="K35" s="13" t="n">
        <f aca="false">$F35+$I35-$J35</f>
        <v>30</v>
      </c>
      <c r="L35" s="13" t="n">
        <f aca="false">$K35*$E35</f>
        <v>11400</v>
      </c>
    </row>
    <row r="36" customFormat="false" ht="15" hidden="false" customHeight="true" outlineLevel="0" collapsed="false">
      <c r="A36" s="12" t="s">
        <v>345</v>
      </c>
      <c r="B36" s="12" t="s">
        <v>346</v>
      </c>
      <c r="C36" s="12" t="s">
        <v>129</v>
      </c>
      <c r="D36" s="12" t="s">
        <v>311</v>
      </c>
      <c r="E36" s="13" t="n">
        <v>380</v>
      </c>
      <c r="F36" s="13" t="n">
        <v>11</v>
      </c>
      <c r="G36" s="13" t="n">
        <f aca="false">SUMIFS('Expense Entry'!$H$5:$H$6000,'Expense Entry'!$E$5:$E$6000,"Inventory Purchase",'Expense Entry'!$F$5:$F$6000,$A36)</f>
        <v>0</v>
      </c>
      <c r="H36" s="13" t="n">
        <f aca="false">SUMIFS('Purchase Orders'!$F$5:$F$3000,'Purchase Orders'!$L$5:$L$3000,"Received",'Purchase Orders'!$D$5:$D$3000,$A36)</f>
        <v>0</v>
      </c>
      <c r="I36" s="13" t="n">
        <f aca="false">$G36+$H36</f>
        <v>0</v>
      </c>
      <c r="J36" s="13" t="n">
        <f aca="false">SUMIFS('Issue Log'!$E$5:$E$6000,'Issue Log'!$B$5:$B$6000,$A36)</f>
        <v>0</v>
      </c>
      <c r="K36" s="13" t="n">
        <f aca="false">$F36+$I36-$J36</f>
        <v>11</v>
      </c>
      <c r="L36" s="13" t="n">
        <f aca="false">$K36*$E36</f>
        <v>4180</v>
      </c>
    </row>
    <row r="37" customFormat="false" ht="15" hidden="false" customHeight="true" outlineLevel="0" collapsed="false">
      <c r="A37" s="12" t="s">
        <v>348</v>
      </c>
      <c r="B37" s="12" t="s">
        <v>349</v>
      </c>
      <c r="C37" s="12" t="s">
        <v>129</v>
      </c>
      <c r="D37" s="12" t="s">
        <v>350</v>
      </c>
      <c r="E37" s="13" t="n">
        <v>16000</v>
      </c>
      <c r="F37" s="13" t="n">
        <v>0</v>
      </c>
      <c r="G37" s="13" t="n">
        <f aca="false">SUMIFS('Expense Entry'!$H$5:$H$6000,'Expense Entry'!$E$5:$E$6000,"Inventory Purchase",'Expense Entry'!$F$5:$F$6000,$A37)</f>
        <v>0</v>
      </c>
      <c r="H37" s="13" t="n">
        <f aca="false">SUMIFS('Purchase Orders'!$F$5:$F$3000,'Purchase Orders'!$L$5:$L$3000,"Received",'Purchase Orders'!$D$5:$D$3000,$A37)</f>
        <v>0</v>
      </c>
      <c r="I37" s="13" t="n">
        <f aca="false">$G37+$H37</f>
        <v>0</v>
      </c>
      <c r="J37" s="13" t="n">
        <f aca="false">SUMIFS('Issue Log'!$E$5:$E$6000,'Issue Log'!$B$5:$B$6000,$A37)</f>
        <v>0</v>
      </c>
      <c r="K37" s="13" t="n">
        <f aca="false">$F37+$I37-$J37</f>
        <v>0</v>
      </c>
      <c r="L37" s="13" t="n">
        <f aca="false">$K37*$E37</f>
        <v>0</v>
      </c>
    </row>
    <row r="38" customFormat="false" ht="15" hidden="false" customHeight="true" outlineLevel="0" collapsed="false">
      <c r="A38" s="12" t="s">
        <v>352</v>
      </c>
      <c r="B38" s="12" t="s">
        <v>353</v>
      </c>
      <c r="C38" s="12" t="s">
        <v>129</v>
      </c>
      <c r="D38" s="12" t="s">
        <v>354</v>
      </c>
      <c r="E38" s="13" t="n">
        <v>8211</v>
      </c>
      <c r="F38" s="13" t="n">
        <v>0</v>
      </c>
      <c r="G38" s="13" t="n">
        <f aca="false">SUMIFS('Expense Entry'!$H$5:$H$6000,'Expense Entry'!$E$5:$E$6000,"Inventory Purchase",'Expense Entry'!$F$5:$F$6000,$A38)</f>
        <v>0</v>
      </c>
      <c r="H38" s="13" t="n">
        <f aca="false">SUMIFS('Purchase Orders'!$F$5:$F$3000,'Purchase Orders'!$L$5:$L$3000,"Received",'Purchase Orders'!$D$5:$D$3000,$A38)</f>
        <v>0</v>
      </c>
      <c r="I38" s="13" t="n">
        <f aca="false">$G38+$H38</f>
        <v>0</v>
      </c>
      <c r="J38" s="13" t="n">
        <f aca="false">SUMIFS('Issue Log'!$E$5:$E$6000,'Issue Log'!$B$5:$B$6000,$A38)</f>
        <v>0</v>
      </c>
      <c r="K38" s="13" t="n">
        <f aca="false">$F38+$I38-$J38</f>
        <v>0</v>
      </c>
      <c r="L38" s="13" t="n">
        <f aca="false">$K38*$E38</f>
        <v>0</v>
      </c>
    </row>
    <row r="39" customFormat="false" ht="15" hidden="false" customHeight="true" outlineLevel="0" collapsed="false">
      <c r="A39" s="12" t="s">
        <v>357</v>
      </c>
      <c r="B39" s="12" t="s">
        <v>358</v>
      </c>
      <c r="C39" s="12" t="s">
        <v>129</v>
      </c>
      <c r="D39" s="12" t="s">
        <v>311</v>
      </c>
      <c r="E39" s="13" t="n">
        <v>891</v>
      </c>
      <c r="F39" s="13" t="n">
        <v>0</v>
      </c>
      <c r="G39" s="13" t="n">
        <f aca="false">SUMIFS('Expense Entry'!$H$5:$H$6000,'Expense Entry'!$E$5:$E$6000,"Inventory Purchase",'Expense Entry'!$F$5:$F$6000,$A39)</f>
        <v>0</v>
      </c>
      <c r="H39" s="13" t="n">
        <f aca="false">SUMIFS('Purchase Orders'!$F$5:$F$3000,'Purchase Orders'!$L$5:$L$3000,"Received",'Purchase Orders'!$D$5:$D$3000,$A39)</f>
        <v>0</v>
      </c>
      <c r="I39" s="13" t="n">
        <f aca="false">$G39+$H39</f>
        <v>0</v>
      </c>
      <c r="J39" s="13" t="n">
        <f aca="false">SUMIFS('Issue Log'!$E$5:$E$6000,'Issue Log'!$B$5:$B$6000,$A39)</f>
        <v>0</v>
      </c>
      <c r="K39" s="13" t="n">
        <f aca="false">$F39+$I39-$J39</f>
        <v>0</v>
      </c>
      <c r="L39" s="13" t="n">
        <f aca="false">$K39*$E39</f>
        <v>0</v>
      </c>
    </row>
    <row r="40" customFormat="false" ht="15" hidden="false" customHeight="true" outlineLevel="0" collapsed="false">
      <c r="A40" s="12" t="s">
        <v>359</v>
      </c>
      <c r="B40" s="12" t="s">
        <v>360</v>
      </c>
      <c r="C40" s="12" t="s">
        <v>129</v>
      </c>
      <c r="D40" s="12" t="s">
        <v>311</v>
      </c>
      <c r="E40" s="13" t="n">
        <v>751.666666666667</v>
      </c>
      <c r="F40" s="13" t="n">
        <v>0</v>
      </c>
      <c r="G40" s="13" t="n">
        <f aca="false">SUMIFS('Expense Entry'!$H$5:$H$6000,'Expense Entry'!$E$5:$E$6000,"Inventory Purchase",'Expense Entry'!$F$5:$F$6000,$A40)</f>
        <v>0</v>
      </c>
      <c r="H40" s="13" t="n">
        <f aca="false">SUMIFS('Purchase Orders'!$F$5:$F$3000,'Purchase Orders'!$L$5:$L$3000,"Received",'Purchase Orders'!$D$5:$D$3000,$A40)</f>
        <v>0</v>
      </c>
      <c r="I40" s="13" t="n">
        <f aca="false">$G40+$H40</f>
        <v>0</v>
      </c>
      <c r="J40" s="13" t="n">
        <f aca="false">SUMIFS('Issue Log'!$E$5:$E$6000,'Issue Log'!$B$5:$B$6000,$A40)</f>
        <v>0</v>
      </c>
      <c r="K40" s="13" t="n">
        <f aca="false">$F40+$I40-$J40</f>
        <v>0</v>
      </c>
      <c r="L40" s="13" t="n">
        <f aca="false">$K40*$E40</f>
        <v>0</v>
      </c>
    </row>
    <row r="41" customFormat="false" ht="15" hidden="false" customHeight="true" outlineLevel="0" collapsed="false">
      <c r="A41" s="12" t="s">
        <v>363</v>
      </c>
      <c r="B41" s="12" t="s">
        <v>364</v>
      </c>
      <c r="C41" s="12" t="s">
        <v>129</v>
      </c>
      <c r="D41" s="12" t="s">
        <v>311</v>
      </c>
      <c r="E41" s="13" t="n">
        <v>990</v>
      </c>
      <c r="F41" s="13" t="n">
        <v>0</v>
      </c>
      <c r="G41" s="13" t="n">
        <f aca="false">SUMIFS('Expense Entry'!$H$5:$H$6000,'Expense Entry'!$E$5:$E$6000,"Inventory Purchase",'Expense Entry'!$F$5:$F$6000,$A41)</f>
        <v>0</v>
      </c>
      <c r="H41" s="13" t="n">
        <f aca="false">SUMIFS('Purchase Orders'!$F$5:$F$3000,'Purchase Orders'!$L$5:$L$3000,"Received",'Purchase Orders'!$D$5:$D$3000,$A41)</f>
        <v>0</v>
      </c>
      <c r="I41" s="13" t="n">
        <f aca="false">$G41+$H41</f>
        <v>0</v>
      </c>
      <c r="J41" s="13" t="n">
        <f aca="false">SUMIFS('Issue Log'!$E$5:$E$6000,'Issue Log'!$B$5:$B$6000,$A41)</f>
        <v>0</v>
      </c>
      <c r="K41" s="13" t="n">
        <f aca="false">$F41+$I41-$J41</f>
        <v>0</v>
      </c>
      <c r="L41" s="13" t="n">
        <f aca="false">$K41*$E41</f>
        <v>0</v>
      </c>
    </row>
    <row r="42" customFormat="false" ht="15" hidden="false" customHeight="true" outlineLevel="0" collapsed="false">
      <c r="A42" s="12" t="s">
        <v>367</v>
      </c>
      <c r="B42" s="12" t="s">
        <v>368</v>
      </c>
      <c r="C42" s="12" t="s">
        <v>129</v>
      </c>
      <c r="D42" s="12" t="s">
        <v>311</v>
      </c>
      <c r="E42" s="13" t="n">
        <v>610</v>
      </c>
      <c r="F42" s="13" t="n">
        <v>0</v>
      </c>
      <c r="G42" s="13" t="n">
        <f aca="false">SUMIFS('Expense Entry'!$H$5:$H$6000,'Expense Entry'!$E$5:$E$6000,"Inventory Purchase",'Expense Entry'!$F$5:$F$6000,$A42)</f>
        <v>0</v>
      </c>
      <c r="H42" s="13" t="n">
        <f aca="false">SUMIFS('Purchase Orders'!$F$5:$F$3000,'Purchase Orders'!$L$5:$L$3000,"Received",'Purchase Orders'!$D$5:$D$3000,$A42)</f>
        <v>0</v>
      </c>
      <c r="I42" s="13" t="n">
        <f aca="false">$G42+$H42</f>
        <v>0</v>
      </c>
      <c r="J42" s="13" t="n">
        <f aca="false">SUMIFS('Issue Log'!$E$5:$E$6000,'Issue Log'!$B$5:$B$6000,$A42)</f>
        <v>0</v>
      </c>
      <c r="K42" s="13" t="n">
        <f aca="false">$F42+$I42-$J42</f>
        <v>0</v>
      </c>
      <c r="L42" s="13" t="n">
        <f aca="false">$K42*$E42</f>
        <v>0</v>
      </c>
    </row>
    <row r="43" customFormat="false" ht="15" hidden="false" customHeight="true" outlineLevel="0" collapsed="false">
      <c r="A43" s="12" t="s">
        <v>369</v>
      </c>
      <c r="B43" s="12" t="s">
        <v>370</v>
      </c>
      <c r="C43" s="12" t="s">
        <v>129</v>
      </c>
      <c r="D43" s="12" t="s">
        <v>267</v>
      </c>
      <c r="E43" s="13" t="n">
        <v>975</v>
      </c>
      <c r="F43" s="13" t="n">
        <v>8</v>
      </c>
      <c r="G43" s="13" t="n">
        <f aca="false">SUMIFS('Expense Entry'!$H$5:$H$6000,'Expense Entry'!$E$5:$E$6000,"Inventory Purchase",'Expense Entry'!$F$5:$F$6000,$A43)</f>
        <v>0</v>
      </c>
      <c r="H43" s="13" t="n">
        <f aca="false">SUMIFS('Purchase Orders'!$F$5:$F$3000,'Purchase Orders'!$L$5:$L$3000,"Received",'Purchase Orders'!$D$5:$D$3000,$A43)</f>
        <v>0</v>
      </c>
      <c r="I43" s="13" t="n">
        <f aca="false">$G43+$H43</f>
        <v>0</v>
      </c>
      <c r="J43" s="13" t="n">
        <f aca="false">SUMIFS('Issue Log'!$E$5:$E$6000,'Issue Log'!$B$5:$B$6000,$A43)</f>
        <v>0</v>
      </c>
      <c r="K43" s="13" t="n">
        <f aca="false">$F43+$I43-$J43</f>
        <v>8</v>
      </c>
      <c r="L43" s="13" t="n">
        <f aca="false">$K43*$E43</f>
        <v>7800</v>
      </c>
    </row>
    <row r="44" customFormat="false" ht="15" hidden="false" customHeight="true" outlineLevel="0" collapsed="false">
      <c r="A44" s="12" t="s">
        <v>372</v>
      </c>
      <c r="B44" s="12" t="s">
        <v>373</v>
      </c>
      <c r="C44" s="12" t="s">
        <v>129</v>
      </c>
      <c r="D44" s="12" t="s">
        <v>241</v>
      </c>
      <c r="E44" s="13" t="n">
        <v>166.5</v>
      </c>
      <c r="F44" s="13" t="n">
        <v>50</v>
      </c>
      <c r="G44" s="13" t="n">
        <f aca="false">SUMIFS('Expense Entry'!$H$5:$H$6000,'Expense Entry'!$E$5:$E$6000,"Inventory Purchase",'Expense Entry'!$F$5:$F$6000,$A44)</f>
        <v>0</v>
      </c>
      <c r="H44" s="13" t="n">
        <f aca="false">SUMIFS('Purchase Orders'!$F$5:$F$3000,'Purchase Orders'!$L$5:$L$3000,"Received",'Purchase Orders'!$D$5:$D$3000,$A44)</f>
        <v>0</v>
      </c>
      <c r="I44" s="13" t="n">
        <f aca="false">$G44+$H44</f>
        <v>0</v>
      </c>
      <c r="J44" s="13" t="n">
        <f aca="false">SUMIFS('Issue Log'!$E$5:$E$6000,'Issue Log'!$B$5:$B$6000,$A44)</f>
        <v>0</v>
      </c>
      <c r="K44" s="13" t="n">
        <f aca="false">$F44+$I44-$J44</f>
        <v>50</v>
      </c>
      <c r="L44" s="13" t="n">
        <f aca="false">$K44*$E44</f>
        <v>8325</v>
      </c>
    </row>
    <row r="45" customFormat="false" ht="15" hidden="false" customHeight="true" outlineLevel="0" collapsed="false">
      <c r="A45" s="12" t="s">
        <v>374</v>
      </c>
      <c r="B45" s="12" t="s">
        <v>375</v>
      </c>
      <c r="C45" s="12" t="s">
        <v>129</v>
      </c>
      <c r="D45" s="12" t="s">
        <v>376</v>
      </c>
      <c r="E45" s="13" t="n">
        <v>2250</v>
      </c>
      <c r="F45" s="13" t="n">
        <v>0</v>
      </c>
      <c r="G45" s="13" t="n">
        <f aca="false">SUMIFS('Expense Entry'!$H$5:$H$6000,'Expense Entry'!$E$5:$E$6000,"Inventory Purchase",'Expense Entry'!$F$5:$F$6000,$A45)</f>
        <v>0</v>
      </c>
      <c r="H45" s="13" t="n">
        <f aca="false">SUMIFS('Purchase Orders'!$F$5:$F$3000,'Purchase Orders'!$L$5:$L$3000,"Received",'Purchase Orders'!$D$5:$D$3000,$A45)</f>
        <v>0</v>
      </c>
      <c r="I45" s="13" t="n">
        <f aca="false">$G45+$H45</f>
        <v>0</v>
      </c>
      <c r="J45" s="13" t="n">
        <f aca="false">SUMIFS('Issue Log'!$E$5:$E$6000,'Issue Log'!$B$5:$B$6000,$A45)</f>
        <v>0</v>
      </c>
      <c r="K45" s="13" t="n">
        <f aca="false">$F45+$I45-$J45</f>
        <v>0</v>
      </c>
      <c r="L45" s="13" t="n">
        <f aca="false">$K45*$E45</f>
        <v>0</v>
      </c>
    </row>
    <row r="46" customFormat="false" ht="15" hidden="false" customHeight="true" outlineLevel="0" collapsed="false">
      <c r="A46" s="12" t="s">
        <v>379</v>
      </c>
      <c r="B46" s="12" t="s">
        <v>380</v>
      </c>
      <c r="C46" s="12" t="s">
        <v>129</v>
      </c>
      <c r="D46" s="12" t="s">
        <v>381</v>
      </c>
      <c r="E46" s="13" t="n">
        <v>8000</v>
      </c>
      <c r="F46" s="13" t="n">
        <v>5</v>
      </c>
      <c r="G46" s="13" t="n">
        <f aca="false">SUMIFS('Expense Entry'!$H$5:$H$6000,'Expense Entry'!$E$5:$E$6000,"Inventory Purchase",'Expense Entry'!$F$5:$F$6000,$A46)</f>
        <v>0</v>
      </c>
      <c r="H46" s="13" t="n">
        <f aca="false">SUMIFS('Purchase Orders'!$F$5:$F$3000,'Purchase Orders'!$L$5:$L$3000,"Received",'Purchase Orders'!$D$5:$D$3000,$A46)</f>
        <v>0</v>
      </c>
      <c r="I46" s="13" t="n">
        <f aca="false">$G46+$H46</f>
        <v>0</v>
      </c>
      <c r="J46" s="13" t="n">
        <f aca="false">SUMIFS('Issue Log'!$E$5:$E$6000,'Issue Log'!$B$5:$B$6000,$A46)</f>
        <v>0</v>
      </c>
      <c r="K46" s="13" t="n">
        <f aca="false">$F46+$I46-$J46</f>
        <v>5</v>
      </c>
      <c r="L46" s="13" t="n">
        <f aca="false">$K46*$E46</f>
        <v>40000</v>
      </c>
    </row>
    <row r="47" customFormat="false" ht="15" hidden="false" customHeight="true" outlineLevel="0" collapsed="false">
      <c r="A47" s="12" t="s">
        <v>383</v>
      </c>
      <c r="B47" s="12" t="s">
        <v>384</v>
      </c>
      <c r="C47" s="12" t="s">
        <v>129</v>
      </c>
      <c r="D47" s="12" t="s">
        <v>267</v>
      </c>
      <c r="E47" s="13" t="n">
        <v>937.5</v>
      </c>
      <c r="F47" s="13" t="n">
        <v>0</v>
      </c>
      <c r="G47" s="13" t="n">
        <f aca="false">SUMIFS('Expense Entry'!$H$5:$H$6000,'Expense Entry'!$E$5:$E$6000,"Inventory Purchase",'Expense Entry'!$F$5:$F$6000,$A47)</f>
        <v>0</v>
      </c>
      <c r="H47" s="13" t="n">
        <f aca="false">SUMIFS('Purchase Orders'!$F$5:$F$3000,'Purchase Orders'!$L$5:$L$3000,"Received",'Purchase Orders'!$D$5:$D$3000,$A47)</f>
        <v>0</v>
      </c>
      <c r="I47" s="13" t="n">
        <f aca="false">$G47+$H47</f>
        <v>0</v>
      </c>
      <c r="J47" s="13" t="n">
        <f aca="false">SUMIFS('Issue Log'!$E$5:$E$6000,'Issue Log'!$B$5:$B$6000,$A47)</f>
        <v>0</v>
      </c>
      <c r="K47" s="13" t="n">
        <f aca="false">$F47+$I47-$J47</f>
        <v>0</v>
      </c>
      <c r="L47" s="13" t="n">
        <f aca="false">$K47*$E47</f>
        <v>0</v>
      </c>
    </row>
    <row r="48" customFormat="false" ht="15" hidden="false" customHeight="true" outlineLevel="0" collapsed="false">
      <c r="A48" s="12" t="s">
        <v>385</v>
      </c>
      <c r="B48" s="12" t="s">
        <v>386</v>
      </c>
      <c r="C48" s="12" t="s">
        <v>129</v>
      </c>
      <c r="D48" s="12" t="s">
        <v>267</v>
      </c>
      <c r="E48" s="13" t="n">
        <v>740</v>
      </c>
      <c r="F48" s="13" t="n">
        <v>0</v>
      </c>
      <c r="G48" s="13" t="n">
        <f aca="false">SUMIFS('Expense Entry'!$H$5:$H$6000,'Expense Entry'!$E$5:$E$6000,"Inventory Purchase",'Expense Entry'!$F$5:$F$6000,$A48)</f>
        <v>0</v>
      </c>
      <c r="H48" s="13" t="n">
        <f aca="false">SUMIFS('Purchase Orders'!$F$5:$F$3000,'Purchase Orders'!$L$5:$L$3000,"Received",'Purchase Orders'!$D$5:$D$3000,$A48)</f>
        <v>0</v>
      </c>
      <c r="I48" s="13" t="n">
        <f aca="false">$G48+$H48</f>
        <v>0</v>
      </c>
      <c r="J48" s="13" t="n">
        <f aca="false">SUMIFS('Issue Log'!$E$5:$E$6000,'Issue Log'!$B$5:$B$6000,$A48)</f>
        <v>0</v>
      </c>
      <c r="K48" s="13" t="n">
        <f aca="false">$F48+$I48-$J48</f>
        <v>0</v>
      </c>
      <c r="L48" s="13" t="n">
        <f aca="false">$K48*$E48</f>
        <v>0</v>
      </c>
    </row>
    <row r="49" customFormat="false" ht="15" hidden="false" customHeight="true" outlineLevel="0" collapsed="false">
      <c r="A49" s="12" t="s">
        <v>387</v>
      </c>
      <c r="B49" s="12" t="s">
        <v>388</v>
      </c>
      <c r="C49" s="12" t="s">
        <v>129</v>
      </c>
      <c r="D49" s="12" t="s">
        <v>267</v>
      </c>
      <c r="E49" s="13" t="n">
        <v>950</v>
      </c>
      <c r="F49" s="13" t="n">
        <v>14</v>
      </c>
      <c r="G49" s="13" t="n">
        <f aca="false">SUMIFS('Expense Entry'!$H$5:$H$6000,'Expense Entry'!$E$5:$E$6000,"Inventory Purchase",'Expense Entry'!$F$5:$F$6000,$A49)</f>
        <v>0</v>
      </c>
      <c r="H49" s="13" t="n">
        <f aca="false">SUMIFS('Purchase Orders'!$F$5:$F$3000,'Purchase Orders'!$L$5:$L$3000,"Received",'Purchase Orders'!$D$5:$D$3000,$A49)</f>
        <v>0</v>
      </c>
      <c r="I49" s="13" t="n">
        <f aca="false">$G49+$H49</f>
        <v>0</v>
      </c>
      <c r="J49" s="13" t="n">
        <f aca="false">SUMIFS('Issue Log'!$E$5:$E$6000,'Issue Log'!$B$5:$B$6000,$A49)</f>
        <v>0</v>
      </c>
      <c r="K49" s="13" t="n">
        <f aca="false">$F49+$I49-$J49</f>
        <v>14</v>
      </c>
      <c r="L49" s="13" t="n">
        <f aca="false">$K49*$E49</f>
        <v>13300</v>
      </c>
    </row>
    <row r="50" customFormat="false" ht="15" hidden="false" customHeight="true" outlineLevel="0" collapsed="false">
      <c r="A50" s="12" t="s">
        <v>389</v>
      </c>
      <c r="B50" s="12" t="s">
        <v>390</v>
      </c>
      <c r="C50" s="12" t="s">
        <v>129</v>
      </c>
      <c r="D50" s="12" t="s">
        <v>246</v>
      </c>
      <c r="E50" s="13" t="n">
        <v>1999</v>
      </c>
      <c r="F50" s="13" t="n">
        <v>0</v>
      </c>
      <c r="G50" s="13" t="n">
        <f aca="false">SUMIFS('Expense Entry'!$H$5:$H$6000,'Expense Entry'!$E$5:$E$6000,"Inventory Purchase",'Expense Entry'!$F$5:$F$6000,$A50)</f>
        <v>0</v>
      </c>
      <c r="H50" s="13" t="n">
        <f aca="false">SUMIFS('Purchase Orders'!$F$5:$F$3000,'Purchase Orders'!$L$5:$L$3000,"Received",'Purchase Orders'!$D$5:$D$3000,$A50)</f>
        <v>0</v>
      </c>
      <c r="I50" s="13" t="n">
        <f aca="false">$G50+$H50</f>
        <v>0</v>
      </c>
      <c r="J50" s="13" t="n">
        <f aca="false">SUMIFS('Issue Log'!$E$5:$E$6000,'Issue Log'!$B$5:$B$6000,$A50)</f>
        <v>0</v>
      </c>
      <c r="K50" s="13" t="n">
        <f aca="false">$F50+$I50-$J50</f>
        <v>0</v>
      </c>
      <c r="L50" s="13" t="n">
        <f aca="false">$K50*$E50</f>
        <v>0</v>
      </c>
    </row>
    <row r="51" customFormat="false" ht="15" hidden="false" customHeight="true" outlineLevel="0" collapsed="false">
      <c r="A51" s="12" t="s">
        <v>392</v>
      </c>
      <c r="B51" s="12" t="s">
        <v>393</v>
      </c>
      <c r="C51" s="12" t="s">
        <v>129</v>
      </c>
      <c r="D51" s="12" t="s">
        <v>246</v>
      </c>
      <c r="E51" s="13" t="n">
        <v>240</v>
      </c>
      <c r="F51" s="13" t="n">
        <v>0</v>
      </c>
      <c r="G51" s="13" t="n">
        <f aca="false">SUMIFS('Expense Entry'!$H$5:$H$6000,'Expense Entry'!$E$5:$E$6000,"Inventory Purchase",'Expense Entry'!$F$5:$F$6000,$A51)</f>
        <v>0</v>
      </c>
      <c r="H51" s="13" t="n">
        <f aca="false">SUMIFS('Purchase Orders'!$F$5:$F$3000,'Purchase Orders'!$L$5:$L$3000,"Received",'Purchase Orders'!$D$5:$D$3000,$A51)</f>
        <v>0</v>
      </c>
      <c r="I51" s="13" t="n">
        <f aca="false">$G51+$H51</f>
        <v>0</v>
      </c>
      <c r="J51" s="13" t="n">
        <f aca="false">SUMIFS('Issue Log'!$E$5:$E$6000,'Issue Log'!$B$5:$B$6000,$A51)</f>
        <v>0</v>
      </c>
      <c r="K51" s="13" t="n">
        <f aca="false">$F51+$I51-$J51</f>
        <v>0</v>
      </c>
      <c r="L51" s="13" t="n">
        <f aca="false">$K51*$E51</f>
        <v>0</v>
      </c>
    </row>
    <row r="52" customFormat="false" ht="15" hidden="false" customHeight="true" outlineLevel="0" collapsed="false">
      <c r="A52" s="12" t="s">
        <v>394</v>
      </c>
      <c r="B52" s="12" t="s">
        <v>395</v>
      </c>
      <c r="C52" s="12" t="s">
        <v>129</v>
      </c>
      <c r="D52" s="12" t="s">
        <v>246</v>
      </c>
      <c r="E52" s="13" t="n">
        <v>240</v>
      </c>
      <c r="F52" s="13" t="n">
        <v>0</v>
      </c>
      <c r="G52" s="13" t="n">
        <f aca="false">SUMIFS('Expense Entry'!$H$5:$H$6000,'Expense Entry'!$E$5:$E$6000,"Inventory Purchase",'Expense Entry'!$F$5:$F$6000,$A52)</f>
        <v>0</v>
      </c>
      <c r="H52" s="13" t="n">
        <f aca="false">SUMIFS('Purchase Orders'!$F$5:$F$3000,'Purchase Orders'!$L$5:$L$3000,"Received",'Purchase Orders'!$D$5:$D$3000,$A52)</f>
        <v>0</v>
      </c>
      <c r="I52" s="13" t="n">
        <f aca="false">$G52+$H52</f>
        <v>0</v>
      </c>
      <c r="J52" s="13" t="n">
        <f aca="false">SUMIFS('Issue Log'!$E$5:$E$6000,'Issue Log'!$B$5:$B$6000,$A52)</f>
        <v>0</v>
      </c>
      <c r="K52" s="13" t="n">
        <f aca="false">$F52+$I52-$J52</f>
        <v>0</v>
      </c>
      <c r="L52" s="13" t="n">
        <f aca="false">$K52*$E52</f>
        <v>0</v>
      </c>
    </row>
    <row r="53" customFormat="false" ht="15" hidden="false" customHeight="true" outlineLevel="0" collapsed="false">
      <c r="A53" s="12" t="s">
        <v>398</v>
      </c>
      <c r="B53" s="12" t="s">
        <v>399</v>
      </c>
      <c r="C53" s="12" t="s">
        <v>129</v>
      </c>
      <c r="D53" s="12" t="s">
        <v>246</v>
      </c>
      <c r="E53" s="13" t="n">
        <v>1999</v>
      </c>
      <c r="F53" s="13" t="n">
        <v>0</v>
      </c>
      <c r="G53" s="13" t="n">
        <f aca="false">SUMIFS('Expense Entry'!$H$5:$H$6000,'Expense Entry'!$E$5:$E$6000,"Inventory Purchase",'Expense Entry'!$F$5:$F$6000,$A53)</f>
        <v>0</v>
      </c>
      <c r="H53" s="13" t="n">
        <f aca="false">SUMIFS('Purchase Orders'!$F$5:$F$3000,'Purchase Orders'!$L$5:$L$3000,"Received",'Purchase Orders'!$D$5:$D$3000,$A53)</f>
        <v>0</v>
      </c>
      <c r="I53" s="13" t="n">
        <f aca="false">$G53+$H53</f>
        <v>0</v>
      </c>
      <c r="J53" s="13" t="n">
        <f aca="false">SUMIFS('Issue Log'!$E$5:$E$6000,'Issue Log'!$B$5:$B$6000,$A53)</f>
        <v>0</v>
      </c>
      <c r="K53" s="13" t="n">
        <f aca="false">$F53+$I53-$J53</f>
        <v>0</v>
      </c>
      <c r="L53" s="13" t="n">
        <f aca="false">$K53*$E53</f>
        <v>0</v>
      </c>
    </row>
    <row r="54" customFormat="false" ht="15" hidden="false" customHeight="true" outlineLevel="0" collapsed="false">
      <c r="A54" s="12" t="s">
        <v>400</v>
      </c>
      <c r="B54" s="12" t="s">
        <v>401</v>
      </c>
      <c r="C54" s="12" t="s">
        <v>129</v>
      </c>
      <c r="D54" s="12" t="s">
        <v>246</v>
      </c>
      <c r="E54" s="13" t="n">
        <v>1999</v>
      </c>
      <c r="F54" s="13" t="n">
        <v>0</v>
      </c>
      <c r="G54" s="13" t="n">
        <f aca="false">SUMIFS('Expense Entry'!$H$5:$H$6000,'Expense Entry'!$E$5:$E$6000,"Inventory Purchase",'Expense Entry'!$F$5:$F$6000,$A54)</f>
        <v>0</v>
      </c>
      <c r="H54" s="13" t="n">
        <f aca="false">SUMIFS('Purchase Orders'!$F$5:$F$3000,'Purchase Orders'!$L$5:$L$3000,"Received",'Purchase Orders'!$D$5:$D$3000,$A54)</f>
        <v>0</v>
      </c>
      <c r="I54" s="13" t="n">
        <f aca="false">$G54+$H54</f>
        <v>0</v>
      </c>
      <c r="J54" s="13" t="n">
        <f aca="false">SUMIFS('Issue Log'!$E$5:$E$6000,'Issue Log'!$B$5:$B$6000,$A54)</f>
        <v>0</v>
      </c>
      <c r="K54" s="13" t="n">
        <f aca="false">$F54+$I54-$J54</f>
        <v>0</v>
      </c>
      <c r="L54" s="13" t="n">
        <f aca="false">$K54*$E54</f>
        <v>0</v>
      </c>
    </row>
    <row r="55" customFormat="false" ht="15" hidden="false" customHeight="true" outlineLevel="0" collapsed="false">
      <c r="A55" s="12" t="s">
        <v>402</v>
      </c>
      <c r="B55" s="12" t="s">
        <v>403</v>
      </c>
      <c r="C55" s="12" t="s">
        <v>129</v>
      </c>
      <c r="D55" s="12" t="s">
        <v>246</v>
      </c>
      <c r="E55" s="13" t="n">
        <v>1999</v>
      </c>
      <c r="F55" s="13" t="n">
        <v>0</v>
      </c>
      <c r="G55" s="13" t="n">
        <f aca="false">SUMIFS('Expense Entry'!$H$5:$H$6000,'Expense Entry'!$E$5:$E$6000,"Inventory Purchase",'Expense Entry'!$F$5:$F$6000,$A55)</f>
        <v>0</v>
      </c>
      <c r="H55" s="13" t="n">
        <f aca="false">SUMIFS('Purchase Orders'!$F$5:$F$3000,'Purchase Orders'!$L$5:$L$3000,"Received",'Purchase Orders'!$D$5:$D$3000,$A55)</f>
        <v>0</v>
      </c>
      <c r="I55" s="13" t="n">
        <f aca="false">$G55+$H55</f>
        <v>0</v>
      </c>
      <c r="J55" s="13" t="n">
        <f aca="false">SUMIFS('Issue Log'!$E$5:$E$6000,'Issue Log'!$B$5:$B$6000,$A55)</f>
        <v>0</v>
      </c>
      <c r="K55" s="13" t="n">
        <f aca="false">$F55+$I55-$J55</f>
        <v>0</v>
      </c>
      <c r="L55" s="13" t="n">
        <f aca="false">$K55*$E55</f>
        <v>0</v>
      </c>
    </row>
    <row r="56" customFormat="false" ht="15" hidden="false" customHeight="true" outlineLevel="0" collapsed="false">
      <c r="A56" s="12" t="s">
        <v>405</v>
      </c>
      <c r="B56" s="12" t="s">
        <v>406</v>
      </c>
      <c r="C56" s="12" t="s">
        <v>129</v>
      </c>
      <c r="D56" s="12" t="s">
        <v>246</v>
      </c>
      <c r="E56" s="13" t="n">
        <v>1699</v>
      </c>
      <c r="F56" s="13" t="n">
        <v>0</v>
      </c>
      <c r="G56" s="13" t="n">
        <f aca="false">SUMIFS('Expense Entry'!$H$5:$H$6000,'Expense Entry'!$E$5:$E$6000,"Inventory Purchase",'Expense Entry'!$F$5:$F$6000,$A56)</f>
        <v>0</v>
      </c>
      <c r="H56" s="13" t="n">
        <f aca="false">SUMIFS('Purchase Orders'!$F$5:$F$3000,'Purchase Orders'!$L$5:$L$3000,"Received",'Purchase Orders'!$D$5:$D$3000,$A56)</f>
        <v>0</v>
      </c>
      <c r="I56" s="13" t="n">
        <f aca="false">$G56+$H56</f>
        <v>0</v>
      </c>
      <c r="J56" s="13" t="n">
        <f aca="false">SUMIFS('Issue Log'!$E$5:$E$6000,'Issue Log'!$B$5:$B$6000,$A56)</f>
        <v>0</v>
      </c>
      <c r="K56" s="13" t="n">
        <f aca="false">$F56+$I56-$J56</f>
        <v>0</v>
      </c>
      <c r="L56" s="13" t="n">
        <f aca="false">$K56*$E56</f>
        <v>0</v>
      </c>
    </row>
    <row r="57" customFormat="false" ht="15" hidden="false" customHeight="true" outlineLevel="0" collapsed="false">
      <c r="A57" s="12" t="s">
        <v>408</v>
      </c>
      <c r="B57" s="12" t="s">
        <v>409</v>
      </c>
      <c r="C57" s="12" t="s">
        <v>129</v>
      </c>
      <c r="D57" s="12" t="s">
        <v>241</v>
      </c>
      <c r="E57" s="13" t="n">
        <v>1899</v>
      </c>
      <c r="F57" s="13" t="n">
        <v>0</v>
      </c>
      <c r="G57" s="13" t="n">
        <f aca="false">SUMIFS('Expense Entry'!$H$5:$H$6000,'Expense Entry'!$E$5:$E$6000,"Inventory Purchase",'Expense Entry'!$F$5:$F$6000,$A57)</f>
        <v>0</v>
      </c>
      <c r="H57" s="13" t="n">
        <f aca="false">SUMIFS('Purchase Orders'!$F$5:$F$3000,'Purchase Orders'!$L$5:$L$3000,"Received",'Purchase Orders'!$D$5:$D$3000,$A57)</f>
        <v>0</v>
      </c>
      <c r="I57" s="13" t="n">
        <f aca="false">$G57+$H57</f>
        <v>0</v>
      </c>
      <c r="J57" s="13" t="n">
        <f aca="false">SUMIFS('Issue Log'!$E$5:$E$6000,'Issue Log'!$B$5:$B$6000,$A57)</f>
        <v>0</v>
      </c>
      <c r="K57" s="13" t="n">
        <f aca="false">$F57+$I57-$J57</f>
        <v>0</v>
      </c>
      <c r="L57" s="13" t="n">
        <f aca="false">$K57*$E57</f>
        <v>0</v>
      </c>
    </row>
    <row r="58" customFormat="false" ht="15" hidden="false" customHeight="true" outlineLevel="0" collapsed="false">
      <c r="A58" s="12" t="s">
        <v>412</v>
      </c>
      <c r="B58" s="12" t="s">
        <v>413</v>
      </c>
      <c r="C58" s="12" t="s">
        <v>129</v>
      </c>
      <c r="D58" s="12" t="s">
        <v>246</v>
      </c>
      <c r="E58" s="13" t="n">
        <v>1999</v>
      </c>
      <c r="F58" s="13" t="n">
        <v>0</v>
      </c>
      <c r="G58" s="13" t="n">
        <f aca="false">SUMIFS('Expense Entry'!$H$5:$H$6000,'Expense Entry'!$E$5:$E$6000,"Inventory Purchase",'Expense Entry'!$F$5:$F$6000,$A58)</f>
        <v>0</v>
      </c>
      <c r="H58" s="13" t="n">
        <f aca="false">SUMIFS('Purchase Orders'!$F$5:$F$3000,'Purchase Orders'!$L$5:$L$3000,"Received",'Purchase Orders'!$D$5:$D$3000,$A58)</f>
        <v>0</v>
      </c>
      <c r="I58" s="13" t="n">
        <f aca="false">$G58+$H58</f>
        <v>0</v>
      </c>
      <c r="J58" s="13" t="n">
        <f aca="false">SUMIFS('Issue Log'!$E$5:$E$6000,'Issue Log'!$B$5:$B$6000,$A58)</f>
        <v>0</v>
      </c>
      <c r="K58" s="13" t="n">
        <f aca="false">$F58+$I58-$J58</f>
        <v>0</v>
      </c>
      <c r="L58" s="13" t="n">
        <f aca="false">$K58*$E58</f>
        <v>0</v>
      </c>
    </row>
    <row r="59" customFormat="false" ht="15" hidden="false" customHeight="true" outlineLevel="0" collapsed="false">
      <c r="A59" s="12" t="s">
        <v>416</v>
      </c>
      <c r="B59" s="12" t="s">
        <v>417</v>
      </c>
      <c r="C59" s="12" t="s">
        <v>129</v>
      </c>
      <c r="D59" s="12" t="s">
        <v>246</v>
      </c>
      <c r="E59" s="13" t="n">
        <v>1999</v>
      </c>
      <c r="F59" s="13" t="n">
        <v>0</v>
      </c>
      <c r="G59" s="13" t="n">
        <f aca="false">SUMIFS('Expense Entry'!$H$5:$H$6000,'Expense Entry'!$E$5:$E$6000,"Inventory Purchase",'Expense Entry'!$F$5:$F$6000,$A59)</f>
        <v>0</v>
      </c>
      <c r="H59" s="13" t="n">
        <f aca="false">SUMIFS('Purchase Orders'!$F$5:$F$3000,'Purchase Orders'!$L$5:$L$3000,"Received",'Purchase Orders'!$D$5:$D$3000,$A59)</f>
        <v>0</v>
      </c>
      <c r="I59" s="13" t="n">
        <f aca="false">$G59+$H59</f>
        <v>0</v>
      </c>
      <c r="J59" s="13" t="n">
        <f aca="false">SUMIFS('Issue Log'!$E$5:$E$6000,'Issue Log'!$B$5:$B$6000,$A59)</f>
        <v>0</v>
      </c>
      <c r="K59" s="13" t="n">
        <f aca="false">$F59+$I59-$J59</f>
        <v>0</v>
      </c>
      <c r="L59" s="13" t="n">
        <f aca="false">$K59*$E59</f>
        <v>0</v>
      </c>
    </row>
    <row r="60" customFormat="false" ht="15" hidden="false" customHeight="true" outlineLevel="0" collapsed="false">
      <c r="A60" s="12" t="s">
        <v>419</v>
      </c>
      <c r="B60" s="12" t="s">
        <v>420</v>
      </c>
      <c r="C60" s="12" t="s">
        <v>129</v>
      </c>
      <c r="D60" s="12" t="s">
        <v>246</v>
      </c>
      <c r="E60" s="13" t="n">
        <v>1799</v>
      </c>
      <c r="F60" s="13" t="n">
        <v>0</v>
      </c>
      <c r="G60" s="13" t="n">
        <f aca="false">SUMIFS('Expense Entry'!$H$5:$H$6000,'Expense Entry'!$E$5:$E$6000,"Inventory Purchase",'Expense Entry'!$F$5:$F$6000,$A60)</f>
        <v>0</v>
      </c>
      <c r="H60" s="13" t="n">
        <f aca="false">SUMIFS('Purchase Orders'!$F$5:$F$3000,'Purchase Orders'!$L$5:$L$3000,"Received",'Purchase Orders'!$D$5:$D$3000,$A60)</f>
        <v>0</v>
      </c>
      <c r="I60" s="13" t="n">
        <f aca="false">$G60+$H60</f>
        <v>0</v>
      </c>
      <c r="J60" s="13" t="n">
        <f aca="false">SUMIFS('Issue Log'!$E$5:$E$6000,'Issue Log'!$B$5:$B$6000,$A60)</f>
        <v>0</v>
      </c>
      <c r="K60" s="13" t="n">
        <f aca="false">$F60+$I60-$J60</f>
        <v>0</v>
      </c>
      <c r="L60" s="13" t="n">
        <f aca="false">$K60*$E60</f>
        <v>0</v>
      </c>
    </row>
    <row r="61" customFormat="false" ht="15" hidden="false" customHeight="true" outlineLevel="0" collapsed="false">
      <c r="A61" s="12" t="s">
        <v>421</v>
      </c>
      <c r="B61" s="12" t="s">
        <v>422</v>
      </c>
      <c r="C61" s="12" t="s">
        <v>129</v>
      </c>
      <c r="D61" s="12" t="s">
        <v>246</v>
      </c>
      <c r="E61" s="13" t="n">
        <v>1999</v>
      </c>
      <c r="F61" s="13" t="n">
        <v>0</v>
      </c>
      <c r="G61" s="13" t="n">
        <f aca="false">SUMIFS('Expense Entry'!$H$5:$H$6000,'Expense Entry'!$E$5:$E$6000,"Inventory Purchase",'Expense Entry'!$F$5:$F$6000,$A61)</f>
        <v>0</v>
      </c>
      <c r="H61" s="13" t="n">
        <f aca="false">SUMIFS('Purchase Orders'!$F$5:$F$3000,'Purchase Orders'!$L$5:$L$3000,"Received",'Purchase Orders'!$D$5:$D$3000,$A61)</f>
        <v>0</v>
      </c>
      <c r="I61" s="13" t="n">
        <f aca="false">$G61+$H61</f>
        <v>0</v>
      </c>
      <c r="J61" s="13" t="n">
        <f aca="false">SUMIFS('Issue Log'!$E$5:$E$6000,'Issue Log'!$B$5:$B$6000,$A61)</f>
        <v>0</v>
      </c>
      <c r="K61" s="13" t="n">
        <f aca="false">$F61+$I61-$J61</f>
        <v>0</v>
      </c>
      <c r="L61" s="13" t="n">
        <f aca="false">$K61*$E61</f>
        <v>0</v>
      </c>
    </row>
    <row r="62" customFormat="false" ht="15" hidden="false" customHeight="true" outlineLevel="0" collapsed="false">
      <c r="A62" s="12" t="s">
        <v>424</v>
      </c>
      <c r="B62" s="12" t="s">
        <v>425</v>
      </c>
      <c r="C62" s="12" t="s">
        <v>129</v>
      </c>
      <c r="D62" s="12" t="s">
        <v>246</v>
      </c>
      <c r="E62" s="13" t="n">
        <v>1799</v>
      </c>
      <c r="F62" s="13" t="n">
        <v>0</v>
      </c>
      <c r="G62" s="13" t="n">
        <f aca="false">SUMIFS('Expense Entry'!$H$5:$H$6000,'Expense Entry'!$E$5:$E$6000,"Inventory Purchase",'Expense Entry'!$F$5:$F$6000,$A62)</f>
        <v>0</v>
      </c>
      <c r="H62" s="13" t="n">
        <f aca="false">SUMIFS('Purchase Orders'!$F$5:$F$3000,'Purchase Orders'!$L$5:$L$3000,"Received",'Purchase Orders'!$D$5:$D$3000,$A62)</f>
        <v>0</v>
      </c>
      <c r="I62" s="13" t="n">
        <f aca="false">$G62+$H62</f>
        <v>0</v>
      </c>
      <c r="J62" s="13" t="n">
        <f aca="false">SUMIFS('Issue Log'!$E$5:$E$6000,'Issue Log'!$B$5:$B$6000,$A62)</f>
        <v>0</v>
      </c>
      <c r="K62" s="13" t="n">
        <f aca="false">$F62+$I62-$J62</f>
        <v>0</v>
      </c>
      <c r="L62" s="13" t="n">
        <f aca="false">$K62*$E62</f>
        <v>0</v>
      </c>
    </row>
    <row r="63" customFormat="false" ht="15" hidden="false" customHeight="true" outlineLevel="0" collapsed="false">
      <c r="A63" s="12" t="s">
        <v>426</v>
      </c>
      <c r="B63" s="12" t="s">
        <v>427</v>
      </c>
      <c r="C63" s="12" t="s">
        <v>129</v>
      </c>
      <c r="D63" s="12" t="s">
        <v>246</v>
      </c>
      <c r="E63" s="13" t="n">
        <v>1999</v>
      </c>
      <c r="F63" s="13" t="n">
        <v>0</v>
      </c>
      <c r="G63" s="13" t="n">
        <f aca="false">SUMIFS('Expense Entry'!$H$5:$H$6000,'Expense Entry'!$E$5:$E$6000,"Inventory Purchase",'Expense Entry'!$F$5:$F$6000,$A63)</f>
        <v>0</v>
      </c>
      <c r="H63" s="13" t="n">
        <f aca="false">SUMIFS('Purchase Orders'!$F$5:$F$3000,'Purchase Orders'!$L$5:$L$3000,"Received",'Purchase Orders'!$D$5:$D$3000,$A63)</f>
        <v>0</v>
      </c>
      <c r="I63" s="13" t="n">
        <f aca="false">$G63+$H63</f>
        <v>0</v>
      </c>
      <c r="J63" s="13" t="n">
        <f aca="false">SUMIFS('Issue Log'!$E$5:$E$6000,'Issue Log'!$B$5:$B$6000,$A63)</f>
        <v>0</v>
      </c>
      <c r="K63" s="13" t="n">
        <f aca="false">$F63+$I63-$J63</f>
        <v>0</v>
      </c>
      <c r="L63" s="13" t="n">
        <f aca="false">$K63*$E63</f>
        <v>0</v>
      </c>
    </row>
    <row r="64" customFormat="false" ht="15" hidden="false" customHeight="true" outlineLevel="0" collapsed="false">
      <c r="A64" s="12" t="s">
        <v>429</v>
      </c>
      <c r="B64" s="12" t="s">
        <v>430</v>
      </c>
      <c r="C64" s="12" t="s">
        <v>129</v>
      </c>
      <c r="D64" s="12" t="s">
        <v>246</v>
      </c>
      <c r="E64" s="13" t="n">
        <v>1599</v>
      </c>
      <c r="F64" s="13" t="n">
        <v>0</v>
      </c>
      <c r="G64" s="13" t="n">
        <f aca="false">SUMIFS('Expense Entry'!$H$5:$H$6000,'Expense Entry'!$E$5:$E$6000,"Inventory Purchase",'Expense Entry'!$F$5:$F$6000,$A64)</f>
        <v>0</v>
      </c>
      <c r="H64" s="13" t="n">
        <f aca="false">SUMIFS('Purchase Orders'!$F$5:$F$3000,'Purchase Orders'!$L$5:$L$3000,"Received",'Purchase Orders'!$D$5:$D$3000,$A64)</f>
        <v>0</v>
      </c>
      <c r="I64" s="13" t="n">
        <f aca="false">$G64+$H64</f>
        <v>0</v>
      </c>
      <c r="J64" s="13" t="n">
        <f aca="false">SUMIFS('Issue Log'!$E$5:$E$6000,'Issue Log'!$B$5:$B$6000,$A64)</f>
        <v>0</v>
      </c>
      <c r="K64" s="13" t="n">
        <f aca="false">$F64+$I64-$J64</f>
        <v>0</v>
      </c>
      <c r="L64" s="13" t="n">
        <f aca="false">$K64*$E64</f>
        <v>0</v>
      </c>
    </row>
    <row r="65" customFormat="false" ht="15" hidden="false" customHeight="true" outlineLevel="0" collapsed="false">
      <c r="A65" s="12" t="s">
        <v>432</v>
      </c>
      <c r="B65" s="12" t="s">
        <v>433</v>
      </c>
      <c r="C65" s="12" t="s">
        <v>129</v>
      </c>
      <c r="D65" s="12" t="s">
        <v>246</v>
      </c>
      <c r="E65" s="13" t="n">
        <v>1599</v>
      </c>
      <c r="F65" s="13" t="n">
        <v>0</v>
      </c>
      <c r="G65" s="13" t="n">
        <f aca="false">SUMIFS('Expense Entry'!$H$5:$H$6000,'Expense Entry'!$E$5:$E$6000,"Inventory Purchase",'Expense Entry'!$F$5:$F$6000,$A65)</f>
        <v>0</v>
      </c>
      <c r="H65" s="13" t="n">
        <f aca="false">SUMIFS('Purchase Orders'!$F$5:$F$3000,'Purchase Orders'!$L$5:$L$3000,"Received",'Purchase Orders'!$D$5:$D$3000,$A65)</f>
        <v>0</v>
      </c>
      <c r="I65" s="13" t="n">
        <f aca="false">$G65+$H65</f>
        <v>0</v>
      </c>
      <c r="J65" s="13" t="n">
        <f aca="false">SUMIFS('Issue Log'!$E$5:$E$6000,'Issue Log'!$B$5:$B$6000,$A65)</f>
        <v>0</v>
      </c>
      <c r="K65" s="13" t="n">
        <f aca="false">$F65+$I65-$J65</f>
        <v>0</v>
      </c>
      <c r="L65" s="13" t="n">
        <f aca="false">$K65*$E65</f>
        <v>0</v>
      </c>
    </row>
    <row r="66" customFormat="false" ht="15" hidden="false" customHeight="true" outlineLevel="0" collapsed="false">
      <c r="A66" s="12" t="s">
        <v>435</v>
      </c>
      <c r="B66" s="12" t="s">
        <v>436</v>
      </c>
      <c r="C66" s="12" t="s">
        <v>129</v>
      </c>
      <c r="D66" s="12" t="s">
        <v>246</v>
      </c>
      <c r="E66" s="13" t="n">
        <v>1699</v>
      </c>
      <c r="F66" s="13" t="n">
        <v>0</v>
      </c>
      <c r="G66" s="13" t="n">
        <f aca="false">SUMIFS('Expense Entry'!$H$5:$H$6000,'Expense Entry'!$E$5:$E$6000,"Inventory Purchase",'Expense Entry'!$F$5:$F$6000,$A66)</f>
        <v>0</v>
      </c>
      <c r="H66" s="13" t="n">
        <f aca="false">SUMIFS('Purchase Orders'!$F$5:$F$3000,'Purchase Orders'!$L$5:$L$3000,"Received",'Purchase Orders'!$D$5:$D$3000,$A66)</f>
        <v>0</v>
      </c>
      <c r="I66" s="13" t="n">
        <f aca="false">$G66+$H66</f>
        <v>0</v>
      </c>
      <c r="J66" s="13" t="n">
        <f aca="false">SUMIFS('Issue Log'!$E$5:$E$6000,'Issue Log'!$B$5:$B$6000,$A66)</f>
        <v>0</v>
      </c>
      <c r="K66" s="13" t="n">
        <f aca="false">$F66+$I66-$J66</f>
        <v>0</v>
      </c>
      <c r="L66" s="13" t="n">
        <f aca="false">$K66*$E66</f>
        <v>0</v>
      </c>
    </row>
    <row r="67" customFormat="false" ht="15" hidden="false" customHeight="true" outlineLevel="0" collapsed="false">
      <c r="A67" s="12" t="s">
        <v>437</v>
      </c>
      <c r="B67" s="12" t="s">
        <v>438</v>
      </c>
      <c r="C67" s="12" t="s">
        <v>129</v>
      </c>
      <c r="D67" s="12" t="s">
        <v>246</v>
      </c>
      <c r="E67" s="13" t="n">
        <v>1200</v>
      </c>
      <c r="F67" s="13" t="n">
        <v>0</v>
      </c>
      <c r="G67" s="13" t="n">
        <f aca="false">SUMIFS('Expense Entry'!$H$5:$H$6000,'Expense Entry'!$E$5:$E$6000,"Inventory Purchase",'Expense Entry'!$F$5:$F$6000,$A67)</f>
        <v>0</v>
      </c>
      <c r="H67" s="13" t="n">
        <f aca="false">SUMIFS('Purchase Orders'!$F$5:$F$3000,'Purchase Orders'!$L$5:$L$3000,"Received",'Purchase Orders'!$D$5:$D$3000,$A67)</f>
        <v>0</v>
      </c>
      <c r="I67" s="13" t="n">
        <f aca="false">$G67+$H67</f>
        <v>0</v>
      </c>
      <c r="J67" s="13" t="n">
        <f aca="false">SUMIFS('Issue Log'!$E$5:$E$6000,'Issue Log'!$B$5:$B$6000,$A67)</f>
        <v>0</v>
      </c>
      <c r="K67" s="13" t="n">
        <f aca="false">$F67+$I67-$J67</f>
        <v>0</v>
      </c>
      <c r="L67" s="13" t="n">
        <f aca="false">$K67*$E67</f>
        <v>0</v>
      </c>
    </row>
    <row r="68" customFormat="false" ht="15" hidden="false" customHeight="true" outlineLevel="0" collapsed="false">
      <c r="A68" s="12" t="s">
        <v>441</v>
      </c>
      <c r="B68" s="12" t="s">
        <v>442</v>
      </c>
      <c r="C68" s="12" t="s">
        <v>129</v>
      </c>
      <c r="D68" s="12" t="s">
        <v>246</v>
      </c>
      <c r="E68" s="13" t="n">
        <v>320</v>
      </c>
      <c r="F68" s="13" t="n">
        <v>0</v>
      </c>
      <c r="G68" s="13" t="n">
        <f aca="false">SUMIFS('Expense Entry'!$H$5:$H$6000,'Expense Entry'!$E$5:$E$6000,"Inventory Purchase",'Expense Entry'!$F$5:$F$6000,$A68)</f>
        <v>0</v>
      </c>
      <c r="H68" s="13" t="n">
        <f aca="false">SUMIFS('Purchase Orders'!$F$5:$F$3000,'Purchase Orders'!$L$5:$L$3000,"Received",'Purchase Orders'!$D$5:$D$3000,$A68)</f>
        <v>0</v>
      </c>
      <c r="I68" s="13" t="n">
        <f aca="false">$G68+$H68</f>
        <v>0</v>
      </c>
      <c r="J68" s="13" t="n">
        <f aca="false">SUMIFS('Issue Log'!$E$5:$E$6000,'Issue Log'!$B$5:$B$6000,$A68)</f>
        <v>0</v>
      </c>
      <c r="K68" s="13" t="n">
        <f aca="false">$F68+$I68-$J68</f>
        <v>0</v>
      </c>
      <c r="L68" s="13" t="n">
        <f aca="false">$K68*$E68</f>
        <v>0</v>
      </c>
    </row>
    <row r="69" customFormat="false" ht="15" hidden="false" customHeight="true" outlineLevel="0" collapsed="false">
      <c r="A69" s="12" t="s">
        <v>443</v>
      </c>
      <c r="B69" s="12" t="s">
        <v>444</v>
      </c>
      <c r="C69" s="12" t="s">
        <v>129</v>
      </c>
      <c r="D69" s="12" t="s">
        <v>246</v>
      </c>
      <c r="E69" s="13" t="n">
        <v>120</v>
      </c>
      <c r="F69" s="13" t="n">
        <v>0</v>
      </c>
      <c r="G69" s="13" t="n">
        <f aca="false">SUMIFS('Expense Entry'!$H$5:$H$6000,'Expense Entry'!$E$5:$E$6000,"Inventory Purchase",'Expense Entry'!$F$5:$F$6000,$A69)</f>
        <v>0</v>
      </c>
      <c r="H69" s="13" t="n">
        <f aca="false">SUMIFS('Purchase Orders'!$F$5:$F$3000,'Purchase Orders'!$L$5:$L$3000,"Received",'Purchase Orders'!$D$5:$D$3000,$A69)</f>
        <v>0</v>
      </c>
      <c r="I69" s="13" t="n">
        <f aca="false">$G69+$H69</f>
        <v>0</v>
      </c>
      <c r="J69" s="13" t="n">
        <f aca="false">SUMIFS('Issue Log'!$E$5:$E$6000,'Issue Log'!$B$5:$B$6000,$A69)</f>
        <v>0</v>
      </c>
      <c r="K69" s="13" t="n">
        <f aca="false">$F69+$I69-$J69</f>
        <v>0</v>
      </c>
      <c r="L69" s="13" t="n">
        <f aca="false">$K69*$E69</f>
        <v>0</v>
      </c>
    </row>
    <row r="70" customFormat="false" ht="15" hidden="false" customHeight="true" outlineLevel="0" collapsed="false">
      <c r="A70" s="12" t="s">
        <v>447</v>
      </c>
      <c r="B70" s="12" t="s">
        <v>448</v>
      </c>
      <c r="C70" s="12" t="s">
        <v>129</v>
      </c>
      <c r="D70" s="12" t="s">
        <v>246</v>
      </c>
      <c r="E70" s="13" t="n">
        <v>300</v>
      </c>
      <c r="F70" s="13" t="n">
        <v>0</v>
      </c>
      <c r="G70" s="13" t="n">
        <f aca="false">SUMIFS('Expense Entry'!$H$5:$H$6000,'Expense Entry'!$E$5:$E$6000,"Inventory Purchase",'Expense Entry'!$F$5:$F$6000,$A70)</f>
        <v>0</v>
      </c>
      <c r="H70" s="13" t="n">
        <f aca="false">SUMIFS('Purchase Orders'!$F$5:$F$3000,'Purchase Orders'!$L$5:$L$3000,"Received",'Purchase Orders'!$D$5:$D$3000,$A70)</f>
        <v>0</v>
      </c>
      <c r="I70" s="13" t="n">
        <f aca="false">$G70+$H70</f>
        <v>0</v>
      </c>
      <c r="J70" s="13" t="n">
        <f aca="false">SUMIFS('Issue Log'!$E$5:$E$6000,'Issue Log'!$B$5:$B$6000,$A70)</f>
        <v>0</v>
      </c>
      <c r="K70" s="13" t="n">
        <f aca="false">$F70+$I70-$J70</f>
        <v>0</v>
      </c>
      <c r="L70" s="13" t="n">
        <f aca="false">$K70*$E70</f>
        <v>0</v>
      </c>
    </row>
    <row r="71" customFormat="false" ht="15" hidden="false" customHeight="true" outlineLevel="0" collapsed="false">
      <c r="A71" s="12" t="s">
        <v>451</v>
      </c>
      <c r="B71" s="12" t="s">
        <v>452</v>
      </c>
      <c r="C71" s="12" t="s">
        <v>129</v>
      </c>
      <c r="D71" s="12" t="s">
        <v>246</v>
      </c>
      <c r="E71" s="13" t="n">
        <v>2499</v>
      </c>
      <c r="F71" s="13" t="n">
        <v>0</v>
      </c>
      <c r="G71" s="13" t="n">
        <f aca="false">SUMIFS('Expense Entry'!$H$5:$H$6000,'Expense Entry'!$E$5:$E$6000,"Inventory Purchase",'Expense Entry'!$F$5:$F$6000,$A71)</f>
        <v>0</v>
      </c>
      <c r="H71" s="13" t="n">
        <f aca="false">SUMIFS('Purchase Orders'!$F$5:$F$3000,'Purchase Orders'!$L$5:$L$3000,"Received",'Purchase Orders'!$D$5:$D$3000,$A71)</f>
        <v>0</v>
      </c>
      <c r="I71" s="13" t="n">
        <f aca="false">$G71+$H71</f>
        <v>0</v>
      </c>
      <c r="J71" s="13" t="n">
        <f aca="false">SUMIFS('Issue Log'!$E$5:$E$6000,'Issue Log'!$B$5:$B$6000,$A71)</f>
        <v>0</v>
      </c>
      <c r="K71" s="13" t="n">
        <f aca="false">$F71+$I71-$J71</f>
        <v>0</v>
      </c>
      <c r="L71" s="13" t="n">
        <f aca="false">$K71*$E71</f>
        <v>0</v>
      </c>
    </row>
    <row r="72" customFormat="false" ht="15" hidden="false" customHeight="true" outlineLevel="0" collapsed="false">
      <c r="A72" s="12" t="s">
        <v>453</v>
      </c>
      <c r="B72" s="12" t="s">
        <v>454</v>
      </c>
      <c r="C72" s="12" t="s">
        <v>129</v>
      </c>
      <c r="D72" s="12" t="s">
        <v>246</v>
      </c>
      <c r="E72" s="13" t="n">
        <v>375</v>
      </c>
      <c r="F72" s="13" t="n">
        <v>0</v>
      </c>
      <c r="G72" s="13" t="n">
        <f aca="false">SUMIFS('Expense Entry'!$H$5:$H$6000,'Expense Entry'!$E$5:$E$6000,"Inventory Purchase",'Expense Entry'!$F$5:$F$6000,$A72)</f>
        <v>0</v>
      </c>
      <c r="H72" s="13" t="n">
        <f aca="false">SUMIFS('Purchase Orders'!$F$5:$F$3000,'Purchase Orders'!$L$5:$L$3000,"Received",'Purchase Orders'!$D$5:$D$3000,$A72)</f>
        <v>0</v>
      </c>
      <c r="I72" s="13" t="n">
        <f aca="false">$G72+$H72</f>
        <v>0</v>
      </c>
      <c r="J72" s="13" t="n">
        <f aca="false">SUMIFS('Issue Log'!$E$5:$E$6000,'Issue Log'!$B$5:$B$6000,$A72)</f>
        <v>0</v>
      </c>
      <c r="K72" s="13" t="n">
        <f aca="false">$F72+$I72-$J72</f>
        <v>0</v>
      </c>
      <c r="L72" s="13" t="n">
        <f aca="false">$K72*$E72</f>
        <v>0</v>
      </c>
    </row>
    <row r="73" customFormat="false" ht="15" hidden="false" customHeight="true" outlineLevel="0" collapsed="false">
      <c r="A73" s="12" t="s">
        <v>455</v>
      </c>
      <c r="B73" s="12" t="s">
        <v>456</v>
      </c>
      <c r="C73" s="12" t="s">
        <v>129</v>
      </c>
      <c r="D73" s="12" t="s">
        <v>246</v>
      </c>
      <c r="E73" s="13" t="n">
        <v>2000</v>
      </c>
      <c r="F73" s="13" t="n">
        <v>0</v>
      </c>
      <c r="G73" s="13" t="n">
        <f aca="false">SUMIFS('Expense Entry'!$H$5:$H$6000,'Expense Entry'!$E$5:$E$6000,"Inventory Purchase",'Expense Entry'!$F$5:$F$6000,$A73)</f>
        <v>0</v>
      </c>
      <c r="H73" s="13" t="n">
        <f aca="false">SUMIFS('Purchase Orders'!$F$5:$F$3000,'Purchase Orders'!$L$5:$L$3000,"Received",'Purchase Orders'!$D$5:$D$3000,$A73)</f>
        <v>0</v>
      </c>
      <c r="I73" s="13" t="n">
        <f aca="false">$G73+$H73</f>
        <v>0</v>
      </c>
      <c r="J73" s="13" t="n">
        <f aca="false">SUMIFS('Issue Log'!$E$5:$E$6000,'Issue Log'!$B$5:$B$6000,$A73)</f>
        <v>0</v>
      </c>
      <c r="K73" s="13" t="n">
        <f aca="false">$F73+$I73-$J73</f>
        <v>0</v>
      </c>
      <c r="L73" s="13" t="n">
        <f aca="false">$K73*$E73</f>
        <v>0</v>
      </c>
    </row>
    <row r="74" customFormat="false" ht="15" hidden="false" customHeight="true" outlineLevel="0" collapsed="false">
      <c r="A74" s="12" t="s">
        <v>457</v>
      </c>
      <c r="B74" s="12" t="s">
        <v>458</v>
      </c>
      <c r="C74" s="12" t="s">
        <v>129</v>
      </c>
      <c r="D74" s="12" t="s">
        <v>246</v>
      </c>
      <c r="E74" s="13" t="n">
        <v>1999</v>
      </c>
      <c r="F74" s="13" t="n">
        <v>0</v>
      </c>
      <c r="G74" s="13" t="n">
        <f aca="false">SUMIFS('Expense Entry'!$H$5:$H$6000,'Expense Entry'!$E$5:$E$6000,"Inventory Purchase",'Expense Entry'!$F$5:$F$6000,$A74)</f>
        <v>0</v>
      </c>
      <c r="H74" s="13" t="n">
        <f aca="false">SUMIFS('Purchase Orders'!$F$5:$F$3000,'Purchase Orders'!$L$5:$L$3000,"Received",'Purchase Orders'!$D$5:$D$3000,$A74)</f>
        <v>0</v>
      </c>
      <c r="I74" s="13" t="n">
        <f aca="false">$G74+$H74</f>
        <v>0</v>
      </c>
      <c r="J74" s="13" t="n">
        <f aca="false">SUMIFS('Issue Log'!$E$5:$E$6000,'Issue Log'!$B$5:$B$6000,$A74)</f>
        <v>0</v>
      </c>
      <c r="K74" s="13" t="n">
        <f aca="false">$F74+$I74-$J74</f>
        <v>0</v>
      </c>
      <c r="L74" s="13" t="n">
        <f aca="false">$K74*$E74</f>
        <v>0</v>
      </c>
    </row>
    <row r="75" customFormat="false" ht="15" hidden="false" customHeight="true" outlineLevel="0" collapsed="false">
      <c r="A75" s="12" t="s">
        <v>460</v>
      </c>
      <c r="B75" s="12" t="s">
        <v>461</v>
      </c>
      <c r="C75" s="12" t="s">
        <v>129</v>
      </c>
      <c r="D75" s="12" t="s">
        <v>246</v>
      </c>
      <c r="E75" s="13" t="n">
        <v>1999</v>
      </c>
      <c r="F75" s="13" t="n">
        <v>0</v>
      </c>
      <c r="G75" s="13" t="n">
        <f aca="false">SUMIFS('Expense Entry'!$H$5:$H$6000,'Expense Entry'!$E$5:$E$6000,"Inventory Purchase",'Expense Entry'!$F$5:$F$6000,$A75)</f>
        <v>0</v>
      </c>
      <c r="H75" s="13" t="n">
        <f aca="false">SUMIFS('Purchase Orders'!$F$5:$F$3000,'Purchase Orders'!$L$5:$L$3000,"Received",'Purchase Orders'!$D$5:$D$3000,$A75)</f>
        <v>0</v>
      </c>
      <c r="I75" s="13" t="n">
        <f aca="false">$G75+$H75</f>
        <v>0</v>
      </c>
      <c r="J75" s="13" t="n">
        <f aca="false">SUMIFS('Issue Log'!$E$5:$E$6000,'Issue Log'!$B$5:$B$6000,$A75)</f>
        <v>0</v>
      </c>
      <c r="K75" s="13" t="n">
        <f aca="false">$F75+$I75-$J75</f>
        <v>0</v>
      </c>
      <c r="L75" s="13" t="n">
        <f aca="false">$K75*$E75</f>
        <v>0</v>
      </c>
    </row>
    <row r="76" customFormat="false" ht="15" hidden="false" customHeight="true" outlineLevel="0" collapsed="false">
      <c r="A76" s="12" t="s">
        <v>463</v>
      </c>
      <c r="B76" s="12" t="s">
        <v>464</v>
      </c>
      <c r="C76" s="12" t="s">
        <v>129</v>
      </c>
      <c r="D76" s="12" t="s">
        <v>246</v>
      </c>
      <c r="E76" s="13" t="n">
        <v>500</v>
      </c>
      <c r="F76" s="13" t="n">
        <v>0</v>
      </c>
      <c r="G76" s="13" t="n">
        <f aca="false">SUMIFS('Expense Entry'!$H$5:$H$6000,'Expense Entry'!$E$5:$E$6000,"Inventory Purchase",'Expense Entry'!$F$5:$F$6000,$A76)</f>
        <v>0</v>
      </c>
      <c r="H76" s="13" t="n">
        <f aca="false">SUMIFS('Purchase Orders'!$F$5:$F$3000,'Purchase Orders'!$L$5:$L$3000,"Received",'Purchase Orders'!$D$5:$D$3000,$A76)</f>
        <v>0</v>
      </c>
      <c r="I76" s="13" t="n">
        <f aca="false">$G76+$H76</f>
        <v>0</v>
      </c>
      <c r="J76" s="13" t="n">
        <f aca="false">SUMIFS('Issue Log'!$E$5:$E$6000,'Issue Log'!$B$5:$B$6000,$A76)</f>
        <v>0</v>
      </c>
      <c r="K76" s="13" t="n">
        <f aca="false">$F76+$I76-$J76</f>
        <v>0</v>
      </c>
      <c r="L76" s="13" t="n">
        <f aca="false">$K76*$E76</f>
        <v>0</v>
      </c>
    </row>
    <row r="77" customFormat="false" ht="15" hidden="false" customHeight="true" outlineLevel="0" collapsed="false">
      <c r="A77" s="12" t="s">
        <v>466</v>
      </c>
      <c r="B77" s="12" t="s">
        <v>467</v>
      </c>
      <c r="C77" s="12" t="s">
        <v>129</v>
      </c>
      <c r="D77" s="12" t="s">
        <v>246</v>
      </c>
      <c r="E77" s="13" t="n">
        <v>1599</v>
      </c>
      <c r="F77" s="13" t="n">
        <v>0</v>
      </c>
      <c r="G77" s="13" t="n">
        <f aca="false">SUMIFS('Expense Entry'!$H$5:$H$6000,'Expense Entry'!$E$5:$E$6000,"Inventory Purchase",'Expense Entry'!$F$5:$F$6000,$A77)</f>
        <v>0</v>
      </c>
      <c r="H77" s="13" t="n">
        <f aca="false">SUMIFS('Purchase Orders'!$F$5:$F$3000,'Purchase Orders'!$L$5:$L$3000,"Received",'Purchase Orders'!$D$5:$D$3000,$A77)</f>
        <v>0</v>
      </c>
      <c r="I77" s="13" t="n">
        <f aca="false">$G77+$H77</f>
        <v>0</v>
      </c>
      <c r="J77" s="13" t="n">
        <f aca="false">SUMIFS('Issue Log'!$E$5:$E$6000,'Issue Log'!$B$5:$B$6000,$A77)</f>
        <v>0</v>
      </c>
      <c r="K77" s="13" t="n">
        <f aca="false">$F77+$I77-$J77</f>
        <v>0</v>
      </c>
      <c r="L77" s="13" t="n">
        <f aca="false">$K77*$E77</f>
        <v>0</v>
      </c>
    </row>
    <row r="78" customFormat="false" ht="15" hidden="false" customHeight="true" outlineLevel="0" collapsed="false">
      <c r="A78" s="12" t="s">
        <v>469</v>
      </c>
      <c r="B78" s="12" t="s">
        <v>470</v>
      </c>
      <c r="C78" s="12" t="s">
        <v>129</v>
      </c>
      <c r="D78" s="12" t="s">
        <v>246</v>
      </c>
      <c r="E78" s="13" t="n">
        <v>1599</v>
      </c>
      <c r="F78" s="13" t="n">
        <v>0</v>
      </c>
      <c r="G78" s="13" t="n">
        <f aca="false">SUMIFS('Expense Entry'!$H$5:$H$6000,'Expense Entry'!$E$5:$E$6000,"Inventory Purchase",'Expense Entry'!$F$5:$F$6000,$A78)</f>
        <v>0</v>
      </c>
      <c r="H78" s="13" t="n">
        <f aca="false">SUMIFS('Purchase Orders'!$F$5:$F$3000,'Purchase Orders'!$L$5:$L$3000,"Received",'Purchase Orders'!$D$5:$D$3000,$A78)</f>
        <v>0</v>
      </c>
      <c r="I78" s="13" t="n">
        <f aca="false">$G78+$H78</f>
        <v>0</v>
      </c>
      <c r="J78" s="13" t="n">
        <f aca="false">SUMIFS('Issue Log'!$E$5:$E$6000,'Issue Log'!$B$5:$B$6000,$A78)</f>
        <v>0</v>
      </c>
      <c r="K78" s="13" t="n">
        <f aca="false">$F78+$I78-$J78</f>
        <v>0</v>
      </c>
      <c r="L78" s="13" t="n">
        <f aca="false">$K78*$E78</f>
        <v>0</v>
      </c>
    </row>
    <row r="79" customFormat="false" ht="15" hidden="false" customHeight="true" outlineLevel="0" collapsed="false">
      <c r="A79" s="12" t="s">
        <v>471</v>
      </c>
      <c r="B79" s="12" t="s">
        <v>472</v>
      </c>
      <c r="C79" s="12" t="s">
        <v>129</v>
      </c>
      <c r="D79" s="12" t="s">
        <v>246</v>
      </c>
      <c r="E79" s="13" t="n">
        <v>300</v>
      </c>
      <c r="F79" s="13" t="n">
        <v>0</v>
      </c>
      <c r="G79" s="13" t="n">
        <f aca="false">SUMIFS('Expense Entry'!$H$5:$H$6000,'Expense Entry'!$E$5:$E$6000,"Inventory Purchase",'Expense Entry'!$F$5:$F$6000,$A79)</f>
        <v>0</v>
      </c>
      <c r="H79" s="13" t="n">
        <f aca="false">SUMIFS('Purchase Orders'!$F$5:$F$3000,'Purchase Orders'!$L$5:$L$3000,"Received",'Purchase Orders'!$D$5:$D$3000,$A79)</f>
        <v>0</v>
      </c>
      <c r="I79" s="13" t="n">
        <f aca="false">$G79+$H79</f>
        <v>0</v>
      </c>
      <c r="J79" s="13" t="n">
        <f aca="false">SUMIFS('Issue Log'!$E$5:$E$6000,'Issue Log'!$B$5:$B$6000,$A79)</f>
        <v>0</v>
      </c>
      <c r="K79" s="13" t="n">
        <f aca="false">$F79+$I79-$J79</f>
        <v>0</v>
      </c>
      <c r="L79" s="13" t="n">
        <f aca="false">$K79*$E79</f>
        <v>0</v>
      </c>
    </row>
    <row r="80" customFormat="false" ht="15" hidden="false" customHeight="true" outlineLevel="0" collapsed="false">
      <c r="A80" s="12" t="s">
        <v>474</v>
      </c>
      <c r="B80" s="12" t="s">
        <v>475</v>
      </c>
      <c r="C80" s="12" t="s">
        <v>129</v>
      </c>
      <c r="D80" s="12" t="s">
        <v>476</v>
      </c>
      <c r="E80" s="13" t="n">
        <v>2740</v>
      </c>
      <c r="F80" s="13" t="n">
        <v>23</v>
      </c>
      <c r="G80" s="13" t="n">
        <f aca="false">SUMIFS('Expense Entry'!$H$5:$H$6000,'Expense Entry'!$E$5:$E$6000,"Inventory Purchase",'Expense Entry'!$F$5:$F$6000,$A80)</f>
        <v>0</v>
      </c>
      <c r="H80" s="13" t="n">
        <f aca="false">SUMIFS('Purchase Orders'!$F$5:$F$3000,'Purchase Orders'!$L$5:$L$3000,"Received",'Purchase Orders'!$D$5:$D$3000,$A80)</f>
        <v>0</v>
      </c>
      <c r="I80" s="13" t="n">
        <f aca="false">$G80+$H80</f>
        <v>0</v>
      </c>
      <c r="J80" s="13" t="n">
        <f aca="false">SUMIFS('Issue Log'!$E$5:$E$6000,'Issue Log'!$B$5:$B$6000,$A80)</f>
        <v>0</v>
      </c>
      <c r="K80" s="13" t="n">
        <f aca="false">$F80+$I80-$J80</f>
        <v>23</v>
      </c>
      <c r="L80" s="13" t="n">
        <f aca="false">$K80*$E80</f>
        <v>63020</v>
      </c>
    </row>
    <row r="81" customFormat="false" ht="15" hidden="false" customHeight="true" outlineLevel="0" collapsed="false">
      <c r="A81" s="12" t="s">
        <v>478</v>
      </c>
      <c r="B81" s="12" t="s">
        <v>479</v>
      </c>
      <c r="C81" s="12" t="s">
        <v>129</v>
      </c>
      <c r="D81" s="12" t="s">
        <v>376</v>
      </c>
      <c r="E81" s="13" t="n">
        <v>8250</v>
      </c>
      <c r="F81" s="13" t="n">
        <v>23</v>
      </c>
      <c r="G81" s="13" t="n">
        <f aca="false">SUMIFS('Expense Entry'!$H$5:$H$6000,'Expense Entry'!$E$5:$E$6000,"Inventory Purchase",'Expense Entry'!$F$5:$F$6000,$A81)</f>
        <v>0</v>
      </c>
      <c r="H81" s="13" t="n">
        <f aca="false">SUMIFS('Purchase Orders'!$F$5:$F$3000,'Purchase Orders'!$L$5:$L$3000,"Received",'Purchase Orders'!$D$5:$D$3000,$A81)</f>
        <v>0</v>
      </c>
      <c r="I81" s="13" t="n">
        <f aca="false">$G81+$H81</f>
        <v>0</v>
      </c>
      <c r="J81" s="13" t="n">
        <f aca="false">SUMIFS('Issue Log'!$E$5:$E$6000,'Issue Log'!$B$5:$B$6000,$A81)</f>
        <v>0</v>
      </c>
      <c r="K81" s="13" t="n">
        <f aca="false">$F81+$I81-$J81</f>
        <v>23</v>
      </c>
      <c r="L81" s="13" t="n">
        <f aca="false">$K81*$E81</f>
        <v>189750</v>
      </c>
    </row>
    <row r="82" customFormat="false" ht="15" hidden="false" customHeight="true" outlineLevel="0" collapsed="false">
      <c r="A82" s="12" t="s">
        <v>482</v>
      </c>
      <c r="B82" s="12" t="s">
        <v>483</v>
      </c>
      <c r="C82" s="12" t="s">
        <v>129</v>
      </c>
      <c r="D82" s="12" t="s">
        <v>350</v>
      </c>
      <c r="E82" s="13" t="n">
        <v>2890.06451612903</v>
      </c>
      <c r="F82" s="13" t="n">
        <v>0</v>
      </c>
      <c r="G82" s="13" t="n">
        <f aca="false">SUMIFS('Expense Entry'!$H$5:$H$6000,'Expense Entry'!$E$5:$E$6000,"Inventory Purchase",'Expense Entry'!$F$5:$F$6000,$A82)</f>
        <v>0</v>
      </c>
      <c r="H82" s="13" t="n">
        <f aca="false">SUMIFS('Purchase Orders'!$F$5:$F$3000,'Purchase Orders'!$L$5:$L$3000,"Received",'Purchase Orders'!$D$5:$D$3000,$A82)</f>
        <v>0</v>
      </c>
      <c r="I82" s="13" t="n">
        <f aca="false">$G82+$H82</f>
        <v>0</v>
      </c>
      <c r="J82" s="13" t="n">
        <f aca="false">SUMIFS('Issue Log'!$E$5:$E$6000,'Issue Log'!$B$5:$B$6000,$A82)</f>
        <v>0</v>
      </c>
      <c r="K82" s="13" t="n">
        <f aca="false">$F82+$I82-$J82</f>
        <v>0</v>
      </c>
      <c r="L82" s="13" t="n">
        <f aca="false">$K82*$E82</f>
        <v>0</v>
      </c>
    </row>
    <row r="83" customFormat="false" ht="15" hidden="false" customHeight="true" outlineLevel="0" collapsed="false">
      <c r="A83" s="12" t="s">
        <v>485</v>
      </c>
      <c r="B83" s="12" t="s">
        <v>486</v>
      </c>
      <c r="C83" s="12" t="s">
        <v>129</v>
      </c>
      <c r="D83" s="12" t="s">
        <v>267</v>
      </c>
      <c r="E83" s="13" t="n">
        <v>2400</v>
      </c>
      <c r="F83" s="13" t="n">
        <v>2</v>
      </c>
      <c r="G83" s="13" t="n">
        <f aca="false">SUMIFS('Expense Entry'!$H$5:$H$6000,'Expense Entry'!$E$5:$E$6000,"Inventory Purchase",'Expense Entry'!$F$5:$F$6000,$A83)</f>
        <v>0</v>
      </c>
      <c r="H83" s="13" t="n">
        <f aca="false">SUMIFS('Purchase Orders'!$F$5:$F$3000,'Purchase Orders'!$L$5:$L$3000,"Received",'Purchase Orders'!$D$5:$D$3000,$A83)</f>
        <v>0</v>
      </c>
      <c r="I83" s="13" t="n">
        <f aca="false">$G83+$H83</f>
        <v>0</v>
      </c>
      <c r="J83" s="13" t="n">
        <f aca="false">SUMIFS('Issue Log'!$E$5:$E$6000,'Issue Log'!$B$5:$B$6000,$A83)</f>
        <v>0</v>
      </c>
      <c r="K83" s="13" t="n">
        <f aca="false">$F83+$I83-$J83</f>
        <v>2</v>
      </c>
      <c r="L83" s="13" t="n">
        <f aca="false">$K83*$E83</f>
        <v>4800</v>
      </c>
    </row>
    <row r="84" customFormat="false" ht="15" hidden="false" customHeight="true" outlineLevel="0" collapsed="false">
      <c r="A84" s="12" t="s">
        <v>488</v>
      </c>
      <c r="B84" s="12" t="s">
        <v>489</v>
      </c>
      <c r="C84" s="12" t="s">
        <v>129</v>
      </c>
      <c r="D84" s="12" t="s">
        <v>267</v>
      </c>
      <c r="E84" s="13" t="n">
        <v>900</v>
      </c>
      <c r="F84" s="13" t="n">
        <v>13</v>
      </c>
      <c r="G84" s="13" t="n">
        <f aca="false">SUMIFS('Expense Entry'!$H$5:$H$6000,'Expense Entry'!$E$5:$E$6000,"Inventory Purchase",'Expense Entry'!$F$5:$F$6000,$A84)</f>
        <v>0</v>
      </c>
      <c r="H84" s="13" t="n">
        <f aca="false">SUMIFS('Purchase Orders'!$F$5:$F$3000,'Purchase Orders'!$L$5:$L$3000,"Received",'Purchase Orders'!$D$5:$D$3000,$A84)</f>
        <v>0</v>
      </c>
      <c r="I84" s="13" t="n">
        <f aca="false">$G84+$H84</f>
        <v>0</v>
      </c>
      <c r="J84" s="13" t="n">
        <f aca="false">SUMIFS('Issue Log'!$E$5:$E$6000,'Issue Log'!$B$5:$B$6000,$A84)</f>
        <v>0</v>
      </c>
      <c r="K84" s="13" t="n">
        <f aca="false">$F84+$I84-$J84</f>
        <v>13</v>
      </c>
      <c r="L84" s="13" t="n">
        <f aca="false">$K84*$E84</f>
        <v>11700</v>
      </c>
    </row>
    <row r="85" customFormat="false" ht="15" hidden="false" customHeight="true" outlineLevel="0" collapsed="false">
      <c r="A85" s="12" t="s">
        <v>490</v>
      </c>
      <c r="B85" s="12" t="s">
        <v>491</v>
      </c>
      <c r="C85" s="12" t="s">
        <v>129</v>
      </c>
      <c r="D85" s="12" t="s">
        <v>476</v>
      </c>
      <c r="E85" s="13" t="n">
        <v>1800</v>
      </c>
      <c r="F85" s="13" t="n">
        <v>0</v>
      </c>
      <c r="G85" s="13" t="n">
        <f aca="false">SUMIFS('Expense Entry'!$H$5:$H$6000,'Expense Entry'!$E$5:$E$6000,"Inventory Purchase",'Expense Entry'!$F$5:$F$6000,$A85)</f>
        <v>0</v>
      </c>
      <c r="H85" s="13" t="n">
        <f aca="false">SUMIFS('Purchase Orders'!$F$5:$F$3000,'Purchase Orders'!$L$5:$L$3000,"Received",'Purchase Orders'!$D$5:$D$3000,$A85)</f>
        <v>0</v>
      </c>
      <c r="I85" s="13" t="n">
        <f aca="false">$G85+$H85</f>
        <v>0</v>
      </c>
      <c r="J85" s="13" t="n">
        <f aca="false">SUMIFS('Issue Log'!$E$5:$E$6000,'Issue Log'!$B$5:$B$6000,$A85)</f>
        <v>0</v>
      </c>
      <c r="K85" s="13" t="n">
        <f aca="false">$F85+$I85-$J85</f>
        <v>0</v>
      </c>
      <c r="L85" s="13" t="n">
        <f aca="false">$K85*$E85</f>
        <v>0</v>
      </c>
    </row>
    <row r="86" customFormat="false" ht="15" hidden="false" customHeight="true" outlineLevel="0" collapsed="false">
      <c r="A86" s="12" t="s">
        <v>492</v>
      </c>
      <c r="B86" s="12" t="s">
        <v>493</v>
      </c>
      <c r="C86" s="12" t="s">
        <v>129</v>
      </c>
      <c r="D86" s="12" t="s">
        <v>241</v>
      </c>
      <c r="E86" s="13" t="n">
        <v>200</v>
      </c>
      <c r="F86" s="13" t="n">
        <v>0</v>
      </c>
      <c r="G86" s="13" t="n">
        <f aca="false">SUMIFS('Expense Entry'!$H$5:$H$6000,'Expense Entry'!$E$5:$E$6000,"Inventory Purchase",'Expense Entry'!$F$5:$F$6000,$A86)</f>
        <v>0</v>
      </c>
      <c r="H86" s="13" t="n">
        <f aca="false">SUMIFS('Purchase Orders'!$F$5:$F$3000,'Purchase Orders'!$L$5:$L$3000,"Received",'Purchase Orders'!$D$5:$D$3000,$A86)</f>
        <v>0</v>
      </c>
      <c r="I86" s="13" t="n">
        <f aca="false">$G86+$H86</f>
        <v>0</v>
      </c>
      <c r="J86" s="13" t="n">
        <f aca="false">SUMIFS('Issue Log'!$E$5:$E$6000,'Issue Log'!$B$5:$B$6000,$A86)</f>
        <v>0</v>
      </c>
      <c r="K86" s="13" t="n">
        <f aca="false">$F86+$I86-$J86</f>
        <v>0</v>
      </c>
      <c r="L86" s="13" t="n">
        <f aca="false">$K86*$E86</f>
        <v>0</v>
      </c>
    </row>
    <row r="87" customFormat="false" ht="15" hidden="false" customHeight="true" outlineLevel="0" collapsed="false">
      <c r="A87" s="12" t="s">
        <v>495</v>
      </c>
      <c r="B87" s="12" t="s">
        <v>496</v>
      </c>
      <c r="C87" s="12" t="s">
        <v>129</v>
      </c>
      <c r="D87" s="12" t="s">
        <v>381</v>
      </c>
      <c r="E87" s="13" t="n">
        <v>2250</v>
      </c>
      <c r="F87" s="13" t="n">
        <v>82</v>
      </c>
      <c r="G87" s="13" t="n">
        <f aca="false">SUMIFS('Expense Entry'!$H$5:$H$6000,'Expense Entry'!$E$5:$E$6000,"Inventory Purchase",'Expense Entry'!$F$5:$F$6000,$A87)</f>
        <v>0</v>
      </c>
      <c r="H87" s="13" t="n">
        <f aca="false">SUMIFS('Purchase Orders'!$F$5:$F$3000,'Purchase Orders'!$L$5:$L$3000,"Received",'Purchase Orders'!$D$5:$D$3000,$A87)</f>
        <v>0</v>
      </c>
      <c r="I87" s="13" t="n">
        <f aca="false">$G87+$H87</f>
        <v>0</v>
      </c>
      <c r="J87" s="13" t="n">
        <f aca="false">SUMIFS('Issue Log'!$E$5:$E$6000,'Issue Log'!$B$5:$B$6000,$A87)</f>
        <v>0</v>
      </c>
      <c r="K87" s="13" t="n">
        <f aca="false">$F87+$I87-$J87</f>
        <v>82</v>
      </c>
      <c r="L87" s="13" t="n">
        <f aca="false">$K87*$E87</f>
        <v>184500</v>
      </c>
    </row>
    <row r="88" customFormat="false" ht="15" hidden="false" customHeight="true" outlineLevel="0" collapsed="false">
      <c r="A88" s="12" t="s">
        <v>497</v>
      </c>
      <c r="B88" s="12" t="s">
        <v>498</v>
      </c>
      <c r="C88" s="12" t="s">
        <v>129</v>
      </c>
      <c r="D88" s="12" t="s">
        <v>381</v>
      </c>
      <c r="E88" s="13" t="n">
        <v>2420</v>
      </c>
      <c r="F88" s="13" t="n">
        <v>53</v>
      </c>
      <c r="G88" s="13" t="n">
        <f aca="false">SUMIFS('Expense Entry'!$H$5:$H$6000,'Expense Entry'!$E$5:$E$6000,"Inventory Purchase",'Expense Entry'!$F$5:$F$6000,$A88)</f>
        <v>0</v>
      </c>
      <c r="H88" s="13" t="n">
        <f aca="false">SUMIFS('Purchase Orders'!$F$5:$F$3000,'Purchase Orders'!$L$5:$L$3000,"Received",'Purchase Orders'!$D$5:$D$3000,$A88)</f>
        <v>0</v>
      </c>
      <c r="I88" s="13" t="n">
        <f aca="false">$G88+$H88</f>
        <v>0</v>
      </c>
      <c r="J88" s="13" t="n">
        <f aca="false">SUMIFS('Issue Log'!$E$5:$E$6000,'Issue Log'!$B$5:$B$6000,$A88)</f>
        <v>0</v>
      </c>
      <c r="K88" s="13" t="n">
        <f aca="false">$F88+$I88-$J88</f>
        <v>53</v>
      </c>
      <c r="L88" s="13" t="n">
        <f aca="false">$K88*$E88</f>
        <v>128260</v>
      </c>
    </row>
    <row r="89" customFormat="false" ht="15" hidden="false" customHeight="true" outlineLevel="0" collapsed="false">
      <c r="A89" s="12" t="s">
        <v>500</v>
      </c>
      <c r="B89" s="12" t="s">
        <v>501</v>
      </c>
      <c r="C89" s="12" t="s">
        <v>129</v>
      </c>
      <c r="D89" s="12" t="s">
        <v>381</v>
      </c>
      <c r="E89" s="13" t="n">
        <v>1150</v>
      </c>
      <c r="F89" s="13" t="n">
        <v>0</v>
      </c>
      <c r="G89" s="13" t="n">
        <f aca="false">SUMIFS('Expense Entry'!$H$5:$H$6000,'Expense Entry'!$E$5:$E$6000,"Inventory Purchase",'Expense Entry'!$F$5:$F$6000,$A89)</f>
        <v>0</v>
      </c>
      <c r="H89" s="13" t="n">
        <f aca="false">SUMIFS('Purchase Orders'!$F$5:$F$3000,'Purchase Orders'!$L$5:$L$3000,"Received",'Purchase Orders'!$D$5:$D$3000,$A89)</f>
        <v>0</v>
      </c>
      <c r="I89" s="13" t="n">
        <f aca="false">$G89+$H89</f>
        <v>0</v>
      </c>
      <c r="J89" s="13" t="n">
        <f aca="false">SUMIFS('Issue Log'!$E$5:$E$6000,'Issue Log'!$B$5:$B$6000,$A89)</f>
        <v>0</v>
      </c>
      <c r="K89" s="13" t="n">
        <f aca="false">$F89+$I89-$J89</f>
        <v>0</v>
      </c>
      <c r="L89" s="13" t="n">
        <f aca="false">$K89*$E89</f>
        <v>0</v>
      </c>
    </row>
    <row r="90" customFormat="false" ht="15" hidden="false" customHeight="true" outlineLevel="0" collapsed="false">
      <c r="A90" s="12" t="s">
        <v>504</v>
      </c>
      <c r="B90" s="12" t="s">
        <v>505</v>
      </c>
      <c r="C90" s="12" t="s">
        <v>129</v>
      </c>
      <c r="D90" s="12" t="s">
        <v>381</v>
      </c>
      <c r="E90" s="13" t="n">
        <v>1075</v>
      </c>
      <c r="F90" s="13" t="n">
        <v>0</v>
      </c>
      <c r="G90" s="13" t="n">
        <f aca="false">SUMIFS('Expense Entry'!$H$5:$H$6000,'Expense Entry'!$E$5:$E$6000,"Inventory Purchase",'Expense Entry'!$F$5:$F$6000,$A90)</f>
        <v>0</v>
      </c>
      <c r="H90" s="13" t="n">
        <f aca="false">SUMIFS('Purchase Orders'!$F$5:$F$3000,'Purchase Orders'!$L$5:$L$3000,"Received",'Purchase Orders'!$D$5:$D$3000,$A90)</f>
        <v>0</v>
      </c>
      <c r="I90" s="13" t="n">
        <f aca="false">$G90+$H90</f>
        <v>0</v>
      </c>
      <c r="J90" s="13" t="n">
        <f aca="false">SUMIFS('Issue Log'!$E$5:$E$6000,'Issue Log'!$B$5:$B$6000,$A90)</f>
        <v>0</v>
      </c>
      <c r="K90" s="13" t="n">
        <f aca="false">$F90+$I90-$J90</f>
        <v>0</v>
      </c>
      <c r="L90" s="13" t="n">
        <f aca="false">$K90*$E90</f>
        <v>0</v>
      </c>
    </row>
    <row r="91" customFormat="false" ht="15" hidden="false" customHeight="true" outlineLevel="0" collapsed="false">
      <c r="A91" s="12" t="s">
        <v>508</v>
      </c>
      <c r="B91" s="12" t="s">
        <v>509</v>
      </c>
      <c r="C91" s="12" t="s">
        <v>129</v>
      </c>
      <c r="D91" s="12" t="s">
        <v>381</v>
      </c>
      <c r="E91" s="13" t="n">
        <v>1225</v>
      </c>
      <c r="F91" s="13" t="n">
        <v>20</v>
      </c>
      <c r="G91" s="13" t="n">
        <f aca="false">SUMIFS('Expense Entry'!$H$5:$H$6000,'Expense Entry'!$E$5:$E$6000,"Inventory Purchase",'Expense Entry'!$F$5:$F$6000,$A91)</f>
        <v>0</v>
      </c>
      <c r="H91" s="13" t="n">
        <f aca="false">SUMIFS('Purchase Orders'!$F$5:$F$3000,'Purchase Orders'!$L$5:$L$3000,"Received",'Purchase Orders'!$D$5:$D$3000,$A91)</f>
        <v>0</v>
      </c>
      <c r="I91" s="13" t="n">
        <f aca="false">$G91+$H91</f>
        <v>0</v>
      </c>
      <c r="J91" s="13" t="n">
        <f aca="false">SUMIFS('Issue Log'!$E$5:$E$6000,'Issue Log'!$B$5:$B$6000,$A91)</f>
        <v>0</v>
      </c>
      <c r="K91" s="13" t="n">
        <f aca="false">$F91+$I91-$J91</f>
        <v>20</v>
      </c>
      <c r="L91" s="13" t="n">
        <f aca="false">$K91*$E91</f>
        <v>24500</v>
      </c>
    </row>
    <row r="92" customFormat="false" ht="15" hidden="false" customHeight="true" outlineLevel="0" collapsed="false">
      <c r="A92" s="12" t="s">
        <v>511</v>
      </c>
      <c r="B92" s="12" t="s">
        <v>512</v>
      </c>
      <c r="C92" s="12" t="s">
        <v>129</v>
      </c>
      <c r="D92" s="12" t="s">
        <v>513</v>
      </c>
      <c r="E92" s="13" t="n">
        <v>340</v>
      </c>
      <c r="F92" s="13" t="n">
        <v>0</v>
      </c>
      <c r="G92" s="13" t="n">
        <f aca="false">SUMIFS('Expense Entry'!$H$5:$H$6000,'Expense Entry'!$E$5:$E$6000,"Inventory Purchase",'Expense Entry'!$F$5:$F$6000,$A92)</f>
        <v>0</v>
      </c>
      <c r="H92" s="13" t="n">
        <f aca="false">SUMIFS('Purchase Orders'!$F$5:$F$3000,'Purchase Orders'!$L$5:$L$3000,"Received",'Purchase Orders'!$D$5:$D$3000,$A92)</f>
        <v>0</v>
      </c>
      <c r="I92" s="13" t="n">
        <f aca="false">$G92+$H92</f>
        <v>0</v>
      </c>
      <c r="J92" s="13" t="n">
        <f aca="false">SUMIFS('Issue Log'!$E$5:$E$6000,'Issue Log'!$B$5:$B$6000,$A92)</f>
        <v>0</v>
      </c>
      <c r="K92" s="13" t="n">
        <f aca="false">$F92+$I92-$J92</f>
        <v>0</v>
      </c>
      <c r="L92" s="13" t="n">
        <f aca="false">$K92*$E92</f>
        <v>0</v>
      </c>
    </row>
    <row r="93" customFormat="false" ht="15" hidden="false" customHeight="true" outlineLevel="0" collapsed="false">
      <c r="A93" s="12" t="s">
        <v>516</v>
      </c>
      <c r="B93" s="12" t="s">
        <v>517</v>
      </c>
      <c r="C93" s="12" t="s">
        <v>129</v>
      </c>
      <c r="D93" s="12" t="s">
        <v>518</v>
      </c>
      <c r="E93" s="13" t="n">
        <v>1050</v>
      </c>
      <c r="F93" s="13" t="n">
        <v>49</v>
      </c>
      <c r="G93" s="13" t="n">
        <f aca="false">SUMIFS('Expense Entry'!$H$5:$H$6000,'Expense Entry'!$E$5:$E$6000,"Inventory Purchase",'Expense Entry'!$F$5:$F$6000,$A93)</f>
        <v>0</v>
      </c>
      <c r="H93" s="13" t="n">
        <f aca="false">SUMIFS('Purchase Orders'!$F$5:$F$3000,'Purchase Orders'!$L$5:$L$3000,"Received",'Purchase Orders'!$D$5:$D$3000,$A93)</f>
        <v>0</v>
      </c>
      <c r="I93" s="13" t="n">
        <f aca="false">$G93+$H93</f>
        <v>0</v>
      </c>
      <c r="J93" s="13" t="n">
        <f aca="false">SUMIFS('Issue Log'!$E$5:$E$6000,'Issue Log'!$B$5:$B$6000,$A93)</f>
        <v>0</v>
      </c>
      <c r="K93" s="13" t="n">
        <f aca="false">$F93+$I93-$J93</f>
        <v>49</v>
      </c>
      <c r="L93" s="13" t="n">
        <f aca="false">$K93*$E93</f>
        <v>51450</v>
      </c>
    </row>
    <row r="94" customFormat="false" ht="15" hidden="false" customHeight="true" outlineLevel="0" collapsed="false">
      <c r="A94" s="12" t="s">
        <v>521</v>
      </c>
      <c r="B94" s="12" t="s">
        <v>522</v>
      </c>
      <c r="C94" s="12" t="s">
        <v>129</v>
      </c>
      <c r="D94" s="12" t="s">
        <v>523</v>
      </c>
      <c r="E94" s="13" t="n">
        <v>1710</v>
      </c>
      <c r="F94" s="13" t="n">
        <v>12</v>
      </c>
      <c r="G94" s="13" t="n">
        <f aca="false">SUMIFS('Expense Entry'!$H$5:$H$6000,'Expense Entry'!$E$5:$E$6000,"Inventory Purchase",'Expense Entry'!$F$5:$F$6000,$A94)</f>
        <v>0</v>
      </c>
      <c r="H94" s="13" t="n">
        <f aca="false">SUMIFS('Purchase Orders'!$F$5:$F$3000,'Purchase Orders'!$L$5:$L$3000,"Received",'Purchase Orders'!$D$5:$D$3000,$A94)</f>
        <v>0</v>
      </c>
      <c r="I94" s="13" t="n">
        <f aca="false">$G94+$H94</f>
        <v>0</v>
      </c>
      <c r="J94" s="13" t="n">
        <f aca="false">SUMIFS('Issue Log'!$E$5:$E$6000,'Issue Log'!$B$5:$B$6000,$A94)</f>
        <v>0</v>
      </c>
      <c r="K94" s="13" t="n">
        <f aca="false">$F94+$I94-$J94</f>
        <v>12</v>
      </c>
      <c r="L94" s="13" t="n">
        <f aca="false">$K94*$E94</f>
        <v>20520</v>
      </c>
    </row>
    <row r="95" customFormat="false" ht="15" hidden="false" customHeight="true" outlineLevel="0" collapsed="false">
      <c r="A95" s="12" t="s">
        <v>524</v>
      </c>
      <c r="B95" s="12" t="s">
        <v>525</v>
      </c>
      <c r="C95" s="12" t="s">
        <v>129</v>
      </c>
      <c r="D95" s="12" t="s">
        <v>381</v>
      </c>
      <c r="E95" s="13" t="n">
        <v>1370</v>
      </c>
      <c r="F95" s="13" t="n">
        <v>0</v>
      </c>
      <c r="G95" s="13" t="n">
        <f aca="false">SUMIFS('Expense Entry'!$H$5:$H$6000,'Expense Entry'!$E$5:$E$6000,"Inventory Purchase",'Expense Entry'!$F$5:$F$6000,$A95)</f>
        <v>0</v>
      </c>
      <c r="H95" s="13" t="n">
        <f aca="false">SUMIFS('Purchase Orders'!$F$5:$F$3000,'Purchase Orders'!$L$5:$L$3000,"Received",'Purchase Orders'!$D$5:$D$3000,$A95)</f>
        <v>0</v>
      </c>
      <c r="I95" s="13" t="n">
        <f aca="false">$G95+$H95</f>
        <v>0</v>
      </c>
      <c r="J95" s="13" t="n">
        <f aca="false">SUMIFS('Issue Log'!$E$5:$E$6000,'Issue Log'!$B$5:$B$6000,$A95)</f>
        <v>0</v>
      </c>
      <c r="K95" s="13" t="n">
        <f aca="false">$F95+$I95-$J95</f>
        <v>0</v>
      </c>
      <c r="L95" s="13" t="n">
        <f aca="false">$K95*$E95</f>
        <v>0</v>
      </c>
    </row>
    <row r="96" customFormat="false" ht="15" hidden="false" customHeight="true" outlineLevel="0" collapsed="false">
      <c r="A96" s="12" t="s">
        <v>527</v>
      </c>
      <c r="B96" s="12" t="s">
        <v>528</v>
      </c>
      <c r="C96" s="12" t="s">
        <v>129</v>
      </c>
      <c r="D96" s="12" t="s">
        <v>518</v>
      </c>
      <c r="E96" s="13" t="n">
        <v>2512.5</v>
      </c>
      <c r="F96" s="13" t="n">
        <v>66</v>
      </c>
      <c r="G96" s="13" t="n">
        <f aca="false">SUMIFS('Expense Entry'!$H$5:$H$6000,'Expense Entry'!$E$5:$E$6000,"Inventory Purchase",'Expense Entry'!$F$5:$F$6000,$A96)</f>
        <v>0</v>
      </c>
      <c r="H96" s="13" t="n">
        <f aca="false">SUMIFS('Purchase Orders'!$F$5:$F$3000,'Purchase Orders'!$L$5:$L$3000,"Received",'Purchase Orders'!$D$5:$D$3000,$A96)</f>
        <v>0</v>
      </c>
      <c r="I96" s="13" t="n">
        <f aca="false">$G96+$H96</f>
        <v>0</v>
      </c>
      <c r="J96" s="13" t="n">
        <f aca="false">SUMIFS('Issue Log'!$E$5:$E$6000,'Issue Log'!$B$5:$B$6000,$A96)</f>
        <v>0</v>
      </c>
      <c r="K96" s="13" t="n">
        <f aca="false">$F96+$I96-$J96</f>
        <v>66</v>
      </c>
      <c r="L96" s="13" t="n">
        <f aca="false">$K96*$E96</f>
        <v>165825</v>
      </c>
    </row>
    <row r="97" customFormat="false" ht="15" hidden="false" customHeight="true" outlineLevel="0" collapsed="false">
      <c r="A97" s="12" t="s">
        <v>530</v>
      </c>
      <c r="B97" s="12" t="s">
        <v>531</v>
      </c>
      <c r="C97" s="12" t="s">
        <v>129</v>
      </c>
      <c r="D97" s="12" t="s">
        <v>532</v>
      </c>
      <c r="E97" s="13" t="n">
        <v>2842</v>
      </c>
      <c r="F97" s="13" t="n">
        <v>0</v>
      </c>
      <c r="G97" s="13" t="n">
        <f aca="false">SUMIFS('Expense Entry'!$H$5:$H$6000,'Expense Entry'!$E$5:$E$6000,"Inventory Purchase",'Expense Entry'!$F$5:$F$6000,$A97)</f>
        <v>0</v>
      </c>
      <c r="H97" s="13" t="n">
        <f aca="false">SUMIFS('Purchase Orders'!$F$5:$F$3000,'Purchase Orders'!$L$5:$L$3000,"Received",'Purchase Orders'!$D$5:$D$3000,$A97)</f>
        <v>0</v>
      </c>
      <c r="I97" s="13" t="n">
        <f aca="false">$G97+$H97</f>
        <v>0</v>
      </c>
      <c r="J97" s="13" t="n">
        <f aca="false">SUMIFS('Issue Log'!$E$5:$E$6000,'Issue Log'!$B$5:$B$6000,$A97)</f>
        <v>0</v>
      </c>
      <c r="K97" s="13" t="n">
        <f aca="false">$F97+$I97-$J97</f>
        <v>0</v>
      </c>
      <c r="L97" s="13" t="n">
        <f aca="false">$K97*$E97</f>
        <v>0</v>
      </c>
    </row>
    <row r="98" customFormat="false" ht="15" hidden="false" customHeight="true" outlineLevel="0" collapsed="false">
      <c r="A98" s="12" t="s">
        <v>534</v>
      </c>
      <c r="B98" s="12" t="s">
        <v>535</v>
      </c>
      <c r="C98" s="12" t="s">
        <v>129</v>
      </c>
      <c r="D98" s="12" t="s">
        <v>267</v>
      </c>
      <c r="E98" s="13" t="n">
        <v>1800</v>
      </c>
      <c r="F98" s="13" t="n">
        <v>14</v>
      </c>
      <c r="G98" s="13" t="n">
        <f aca="false">SUMIFS('Expense Entry'!$H$5:$H$6000,'Expense Entry'!$E$5:$E$6000,"Inventory Purchase",'Expense Entry'!$F$5:$F$6000,$A98)</f>
        <v>0</v>
      </c>
      <c r="H98" s="13" t="n">
        <f aca="false">SUMIFS('Purchase Orders'!$F$5:$F$3000,'Purchase Orders'!$L$5:$L$3000,"Received",'Purchase Orders'!$D$5:$D$3000,$A98)</f>
        <v>0</v>
      </c>
      <c r="I98" s="13" t="n">
        <f aca="false">$G98+$H98</f>
        <v>0</v>
      </c>
      <c r="J98" s="13" t="n">
        <f aca="false">SUMIFS('Issue Log'!$E$5:$E$6000,'Issue Log'!$B$5:$B$6000,$A98)</f>
        <v>0</v>
      </c>
      <c r="K98" s="13" t="n">
        <f aca="false">$F98+$I98-$J98</f>
        <v>14</v>
      </c>
      <c r="L98" s="13" t="n">
        <f aca="false">$K98*$E98</f>
        <v>25200</v>
      </c>
    </row>
    <row r="99" customFormat="false" ht="15" hidden="false" customHeight="true" outlineLevel="0" collapsed="false">
      <c r="A99" s="12" t="s">
        <v>536</v>
      </c>
      <c r="B99" s="12" t="s">
        <v>537</v>
      </c>
      <c r="C99" s="12" t="s">
        <v>129</v>
      </c>
      <c r="D99" s="12" t="s">
        <v>538</v>
      </c>
      <c r="E99" s="13" t="n">
        <v>518.75</v>
      </c>
      <c r="F99" s="13" t="n">
        <v>34</v>
      </c>
      <c r="G99" s="13" t="n">
        <f aca="false">SUMIFS('Expense Entry'!$H$5:$H$6000,'Expense Entry'!$E$5:$E$6000,"Inventory Purchase",'Expense Entry'!$F$5:$F$6000,$A99)</f>
        <v>0</v>
      </c>
      <c r="H99" s="13" t="n">
        <f aca="false">SUMIFS('Purchase Orders'!$F$5:$F$3000,'Purchase Orders'!$L$5:$L$3000,"Received",'Purchase Orders'!$D$5:$D$3000,$A99)</f>
        <v>0</v>
      </c>
      <c r="I99" s="13" t="n">
        <f aca="false">$G99+$H99</f>
        <v>0</v>
      </c>
      <c r="J99" s="13" t="n">
        <f aca="false">SUMIFS('Issue Log'!$E$5:$E$6000,'Issue Log'!$B$5:$B$6000,$A99)</f>
        <v>0</v>
      </c>
      <c r="K99" s="13" t="n">
        <f aca="false">$F99+$I99-$J99</f>
        <v>34</v>
      </c>
      <c r="L99" s="13" t="n">
        <f aca="false">$K99*$E99</f>
        <v>17637.5</v>
      </c>
    </row>
    <row r="100" customFormat="false" ht="15" hidden="false" customHeight="true" outlineLevel="0" collapsed="false">
      <c r="A100" s="12" t="s">
        <v>539</v>
      </c>
      <c r="B100" s="12" t="s">
        <v>540</v>
      </c>
      <c r="C100" s="12" t="s">
        <v>129</v>
      </c>
      <c r="D100" s="12" t="s">
        <v>541</v>
      </c>
      <c r="E100" s="13" t="n">
        <v>1000</v>
      </c>
      <c r="F100" s="13" t="n">
        <v>0</v>
      </c>
      <c r="G100" s="13" t="n">
        <f aca="false">SUMIFS('Expense Entry'!$H$5:$H$6000,'Expense Entry'!$E$5:$E$6000,"Inventory Purchase",'Expense Entry'!$F$5:$F$6000,$A100)</f>
        <v>0</v>
      </c>
      <c r="H100" s="13" t="n">
        <f aca="false">SUMIFS('Purchase Orders'!$F$5:$F$3000,'Purchase Orders'!$L$5:$L$3000,"Received",'Purchase Orders'!$D$5:$D$3000,$A100)</f>
        <v>0</v>
      </c>
      <c r="I100" s="13" t="n">
        <f aca="false">$G100+$H100</f>
        <v>0</v>
      </c>
      <c r="J100" s="13" t="n">
        <f aca="false">SUMIFS('Issue Log'!$E$5:$E$6000,'Issue Log'!$B$5:$B$6000,$A100)</f>
        <v>0</v>
      </c>
      <c r="K100" s="13" t="n">
        <f aca="false">$F100+$I100-$J100</f>
        <v>0</v>
      </c>
      <c r="L100" s="13" t="n">
        <f aca="false">$K100*$E100</f>
        <v>0</v>
      </c>
    </row>
    <row r="101" customFormat="false" ht="15" hidden="false" customHeight="true" outlineLevel="0" collapsed="false">
      <c r="A101" s="12" t="s">
        <v>543</v>
      </c>
      <c r="B101" s="12" t="s">
        <v>544</v>
      </c>
      <c r="C101" s="12" t="s">
        <v>129</v>
      </c>
      <c r="D101" s="12" t="s">
        <v>545</v>
      </c>
      <c r="E101" s="13" t="n">
        <v>212.5</v>
      </c>
      <c r="F101" s="13" t="n">
        <v>25</v>
      </c>
      <c r="G101" s="13" t="n">
        <f aca="false">SUMIFS('Expense Entry'!$H$5:$H$6000,'Expense Entry'!$E$5:$E$6000,"Inventory Purchase",'Expense Entry'!$F$5:$F$6000,$A101)</f>
        <v>0</v>
      </c>
      <c r="H101" s="13" t="n">
        <f aca="false">SUMIFS('Purchase Orders'!$F$5:$F$3000,'Purchase Orders'!$L$5:$L$3000,"Received",'Purchase Orders'!$D$5:$D$3000,$A101)</f>
        <v>0</v>
      </c>
      <c r="I101" s="13" t="n">
        <f aca="false">$G101+$H101</f>
        <v>0</v>
      </c>
      <c r="J101" s="13" t="n">
        <f aca="false">SUMIFS('Issue Log'!$E$5:$E$6000,'Issue Log'!$B$5:$B$6000,$A101)</f>
        <v>0</v>
      </c>
      <c r="K101" s="13" t="n">
        <f aca="false">$F101+$I101-$J101</f>
        <v>25</v>
      </c>
      <c r="L101" s="13" t="n">
        <f aca="false">$K101*$E101</f>
        <v>5312.5</v>
      </c>
    </row>
    <row r="102" customFormat="false" ht="15" hidden="false" customHeight="true" outlineLevel="0" collapsed="false">
      <c r="A102" s="12" t="s">
        <v>546</v>
      </c>
      <c r="B102" s="12" t="s">
        <v>547</v>
      </c>
      <c r="C102" s="12" t="s">
        <v>129</v>
      </c>
      <c r="D102" s="12" t="s">
        <v>350</v>
      </c>
      <c r="E102" s="13" t="n">
        <v>1465</v>
      </c>
      <c r="F102" s="13" t="n">
        <v>10</v>
      </c>
      <c r="G102" s="13" t="n">
        <f aca="false">SUMIFS('Expense Entry'!$H$5:$H$6000,'Expense Entry'!$E$5:$E$6000,"Inventory Purchase",'Expense Entry'!$F$5:$F$6000,$A102)</f>
        <v>0</v>
      </c>
      <c r="H102" s="13" t="n">
        <f aca="false">SUMIFS('Purchase Orders'!$F$5:$F$3000,'Purchase Orders'!$L$5:$L$3000,"Received",'Purchase Orders'!$D$5:$D$3000,$A102)</f>
        <v>0</v>
      </c>
      <c r="I102" s="13" t="n">
        <f aca="false">$G102+$H102</f>
        <v>0</v>
      </c>
      <c r="J102" s="13" t="n">
        <f aca="false">SUMIFS('Issue Log'!$E$5:$E$6000,'Issue Log'!$B$5:$B$6000,$A102)</f>
        <v>0</v>
      </c>
      <c r="K102" s="13" t="n">
        <f aca="false">$F102+$I102-$J102</f>
        <v>10</v>
      </c>
      <c r="L102" s="13" t="n">
        <f aca="false">$K102*$E102</f>
        <v>14650</v>
      </c>
    </row>
    <row r="103" customFormat="false" ht="15" hidden="false" customHeight="true" outlineLevel="0" collapsed="false">
      <c r="A103" s="12" t="s">
        <v>548</v>
      </c>
      <c r="B103" s="12" t="s">
        <v>549</v>
      </c>
      <c r="C103" s="12" t="s">
        <v>129</v>
      </c>
      <c r="D103" s="12" t="s">
        <v>350</v>
      </c>
      <c r="E103" s="13" t="n">
        <v>280</v>
      </c>
      <c r="F103" s="13" t="n">
        <v>0</v>
      </c>
      <c r="G103" s="13" t="n">
        <f aca="false">SUMIFS('Expense Entry'!$H$5:$H$6000,'Expense Entry'!$E$5:$E$6000,"Inventory Purchase",'Expense Entry'!$F$5:$F$6000,$A103)</f>
        <v>0</v>
      </c>
      <c r="H103" s="13" t="n">
        <f aca="false">SUMIFS('Purchase Orders'!$F$5:$F$3000,'Purchase Orders'!$L$5:$L$3000,"Received",'Purchase Orders'!$D$5:$D$3000,$A103)</f>
        <v>0</v>
      </c>
      <c r="I103" s="13" t="n">
        <f aca="false">$G103+$H103</f>
        <v>0</v>
      </c>
      <c r="J103" s="13" t="n">
        <f aca="false">SUMIFS('Issue Log'!$E$5:$E$6000,'Issue Log'!$B$5:$B$6000,$A103)</f>
        <v>0</v>
      </c>
      <c r="K103" s="13" t="n">
        <f aca="false">$F103+$I103-$J103</f>
        <v>0</v>
      </c>
      <c r="L103" s="13" t="n">
        <f aca="false">$K103*$E103</f>
        <v>0</v>
      </c>
    </row>
    <row r="104" customFormat="false" ht="15" hidden="false" customHeight="true" outlineLevel="0" collapsed="false">
      <c r="A104" s="12" t="s">
        <v>552</v>
      </c>
      <c r="B104" s="12" t="s">
        <v>553</v>
      </c>
      <c r="C104" s="12" t="s">
        <v>129</v>
      </c>
      <c r="D104" s="12" t="s">
        <v>518</v>
      </c>
      <c r="E104" s="13" t="n">
        <v>1330</v>
      </c>
      <c r="F104" s="13" t="n">
        <v>0</v>
      </c>
      <c r="G104" s="13" t="n">
        <f aca="false">SUMIFS('Expense Entry'!$H$5:$H$6000,'Expense Entry'!$E$5:$E$6000,"Inventory Purchase",'Expense Entry'!$F$5:$F$6000,$A104)</f>
        <v>0</v>
      </c>
      <c r="H104" s="13" t="n">
        <f aca="false">SUMIFS('Purchase Orders'!$F$5:$F$3000,'Purchase Orders'!$L$5:$L$3000,"Received",'Purchase Orders'!$D$5:$D$3000,$A104)</f>
        <v>0</v>
      </c>
      <c r="I104" s="13" t="n">
        <f aca="false">$G104+$H104</f>
        <v>0</v>
      </c>
      <c r="J104" s="13" t="n">
        <f aca="false">SUMIFS('Issue Log'!$E$5:$E$6000,'Issue Log'!$B$5:$B$6000,$A104)</f>
        <v>0</v>
      </c>
      <c r="K104" s="13" t="n">
        <f aca="false">$F104+$I104-$J104</f>
        <v>0</v>
      </c>
      <c r="L104" s="13" t="n">
        <f aca="false">$K104*$E104</f>
        <v>0</v>
      </c>
    </row>
    <row r="105" customFormat="false" ht="15" hidden="false" customHeight="true" outlineLevel="0" collapsed="false">
      <c r="A105" s="12" t="s">
        <v>556</v>
      </c>
      <c r="B105" s="12" t="s">
        <v>557</v>
      </c>
      <c r="C105" s="12" t="s">
        <v>129</v>
      </c>
      <c r="D105" s="12" t="s">
        <v>246</v>
      </c>
      <c r="E105" s="13" t="n">
        <v>25.3833333333333</v>
      </c>
      <c r="F105" s="13" t="n">
        <v>0</v>
      </c>
      <c r="G105" s="13" t="n">
        <f aca="false">SUMIFS('Expense Entry'!$H$5:$H$6000,'Expense Entry'!$E$5:$E$6000,"Inventory Purchase",'Expense Entry'!$F$5:$F$6000,$A105)</f>
        <v>0</v>
      </c>
      <c r="H105" s="13" t="n">
        <f aca="false">SUMIFS('Purchase Orders'!$F$5:$F$3000,'Purchase Orders'!$L$5:$L$3000,"Received",'Purchase Orders'!$D$5:$D$3000,$A105)</f>
        <v>0</v>
      </c>
      <c r="I105" s="13" t="n">
        <f aca="false">$G105+$H105</f>
        <v>0</v>
      </c>
      <c r="J105" s="13" t="n">
        <f aca="false">SUMIFS('Issue Log'!$E$5:$E$6000,'Issue Log'!$B$5:$B$6000,$A105)</f>
        <v>0</v>
      </c>
      <c r="K105" s="13" t="n">
        <f aca="false">$F105+$I105-$J105</f>
        <v>0</v>
      </c>
      <c r="L105" s="13" t="n">
        <f aca="false">$K105*$E105</f>
        <v>0</v>
      </c>
    </row>
    <row r="106" customFormat="false" ht="15" hidden="false" customHeight="true" outlineLevel="0" collapsed="false">
      <c r="A106" s="12" t="s">
        <v>559</v>
      </c>
      <c r="B106" s="12" t="s">
        <v>560</v>
      </c>
      <c r="C106" s="12" t="s">
        <v>129</v>
      </c>
      <c r="D106" s="12" t="s">
        <v>561</v>
      </c>
      <c r="E106" s="13" t="n">
        <v>4800</v>
      </c>
      <c r="F106" s="13" t="n">
        <v>0</v>
      </c>
      <c r="G106" s="13" t="n">
        <f aca="false">SUMIFS('Expense Entry'!$H$5:$H$6000,'Expense Entry'!$E$5:$E$6000,"Inventory Purchase",'Expense Entry'!$F$5:$F$6000,$A106)</f>
        <v>0</v>
      </c>
      <c r="H106" s="13" t="n">
        <f aca="false">SUMIFS('Purchase Orders'!$F$5:$F$3000,'Purchase Orders'!$L$5:$L$3000,"Received",'Purchase Orders'!$D$5:$D$3000,$A106)</f>
        <v>0</v>
      </c>
      <c r="I106" s="13" t="n">
        <f aca="false">$G106+$H106</f>
        <v>0</v>
      </c>
      <c r="J106" s="13" t="n">
        <f aca="false">SUMIFS('Issue Log'!$E$5:$E$6000,'Issue Log'!$B$5:$B$6000,$A106)</f>
        <v>0</v>
      </c>
      <c r="K106" s="13" t="n">
        <f aca="false">$F106+$I106-$J106</f>
        <v>0</v>
      </c>
      <c r="L106" s="13" t="n">
        <f aca="false">$K106*$E106</f>
        <v>0</v>
      </c>
    </row>
    <row r="107" customFormat="false" ht="15" hidden="false" customHeight="true" outlineLevel="0" collapsed="false">
      <c r="A107" s="12" t="s">
        <v>562</v>
      </c>
      <c r="B107" s="12" t="s">
        <v>563</v>
      </c>
      <c r="C107" s="12" t="s">
        <v>129</v>
      </c>
      <c r="D107" s="12" t="s">
        <v>350</v>
      </c>
      <c r="E107" s="13" t="n">
        <v>740</v>
      </c>
      <c r="F107" s="13" t="n">
        <v>0</v>
      </c>
      <c r="G107" s="13" t="n">
        <f aca="false">SUMIFS('Expense Entry'!$H$5:$H$6000,'Expense Entry'!$E$5:$E$6000,"Inventory Purchase",'Expense Entry'!$F$5:$F$6000,$A107)</f>
        <v>0</v>
      </c>
      <c r="H107" s="13" t="n">
        <f aca="false">SUMIFS('Purchase Orders'!$F$5:$F$3000,'Purchase Orders'!$L$5:$L$3000,"Received",'Purchase Orders'!$D$5:$D$3000,$A107)</f>
        <v>0</v>
      </c>
      <c r="I107" s="13" t="n">
        <f aca="false">$G107+$H107</f>
        <v>0</v>
      </c>
      <c r="J107" s="13" t="n">
        <f aca="false">SUMIFS('Issue Log'!$E$5:$E$6000,'Issue Log'!$B$5:$B$6000,$A107)</f>
        <v>0</v>
      </c>
      <c r="K107" s="13" t="n">
        <f aca="false">$F107+$I107-$J107</f>
        <v>0</v>
      </c>
      <c r="L107" s="13" t="n">
        <f aca="false">$K107*$E107</f>
        <v>0</v>
      </c>
    </row>
    <row r="108" customFormat="false" ht="15" hidden="false" customHeight="true" outlineLevel="0" collapsed="false">
      <c r="A108" s="12" t="s">
        <v>565</v>
      </c>
      <c r="B108" s="12" t="s">
        <v>566</v>
      </c>
      <c r="C108" s="12" t="s">
        <v>129</v>
      </c>
      <c r="D108" s="12" t="s">
        <v>241</v>
      </c>
      <c r="E108" s="13" t="n">
        <v>670</v>
      </c>
      <c r="F108" s="13" t="n">
        <v>0</v>
      </c>
      <c r="G108" s="13" t="n">
        <f aca="false">SUMIFS('Expense Entry'!$H$5:$H$6000,'Expense Entry'!$E$5:$E$6000,"Inventory Purchase",'Expense Entry'!$F$5:$F$6000,$A108)</f>
        <v>0</v>
      </c>
      <c r="H108" s="13" t="n">
        <f aca="false">SUMIFS('Purchase Orders'!$F$5:$F$3000,'Purchase Orders'!$L$5:$L$3000,"Received",'Purchase Orders'!$D$5:$D$3000,$A108)</f>
        <v>0</v>
      </c>
      <c r="I108" s="13" t="n">
        <f aca="false">$G108+$H108</f>
        <v>0</v>
      </c>
      <c r="J108" s="13" t="n">
        <f aca="false">SUMIFS('Issue Log'!$E$5:$E$6000,'Issue Log'!$B$5:$B$6000,$A108)</f>
        <v>0</v>
      </c>
      <c r="K108" s="13" t="n">
        <f aca="false">$F108+$I108-$J108</f>
        <v>0</v>
      </c>
      <c r="L108" s="13" t="n">
        <f aca="false">$K108*$E108</f>
        <v>0</v>
      </c>
    </row>
    <row r="109" customFormat="false" ht="15" hidden="false" customHeight="true" outlineLevel="0" collapsed="false">
      <c r="A109" s="12" t="s">
        <v>569</v>
      </c>
      <c r="B109" s="12" t="s">
        <v>570</v>
      </c>
      <c r="C109" s="12" t="s">
        <v>129</v>
      </c>
      <c r="D109" s="12" t="s">
        <v>241</v>
      </c>
      <c r="E109" s="13" t="n">
        <v>1160</v>
      </c>
      <c r="F109" s="13" t="n">
        <v>0</v>
      </c>
      <c r="G109" s="13" t="n">
        <f aca="false">SUMIFS('Expense Entry'!$H$5:$H$6000,'Expense Entry'!$E$5:$E$6000,"Inventory Purchase",'Expense Entry'!$F$5:$F$6000,$A109)</f>
        <v>0</v>
      </c>
      <c r="H109" s="13" t="n">
        <f aca="false">SUMIFS('Purchase Orders'!$F$5:$F$3000,'Purchase Orders'!$L$5:$L$3000,"Received",'Purchase Orders'!$D$5:$D$3000,$A109)</f>
        <v>0</v>
      </c>
      <c r="I109" s="13" t="n">
        <f aca="false">$G109+$H109</f>
        <v>0</v>
      </c>
      <c r="J109" s="13" t="n">
        <f aca="false">SUMIFS('Issue Log'!$E$5:$E$6000,'Issue Log'!$B$5:$B$6000,$A109)</f>
        <v>0</v>
      </c>
      <c r="K109" s="13" t="n">
        <f aca="false">$F109+$I109-$J109</f>
        <v>0</v>
      </c>
      <c r="L109" s="13" t="n">
        <f aca="false">$K109*$E109</f>
        <v>0</v>
      </c>
    </row>
    <row r="110" customFormat="false" ht="15" hidden="false" customHeight="true" outlineLevel="0" collapsed="false">
      <c r="A110" s="12" t="s">
        <v>573</v>
      </c>
      <c r="B110" s="12" t="s">
        <v>574</v>
      </c>
      <c r="C110" s="12" t="s">
        <v>129</v>
      </c>
      <c r="D110" s="12" t="s">
        <v>241</v>
      </c>
      <c r="E110" s="13" t="n">
        <v>1000</v>
      </c>
      <c r="F110" s="13" t="n">
        <v>6</v>
      </c>
      <c r="G110" s="13" t="n">
        <f aca="false">SUMIFS('Expense Entry'!$H$5:$H$6000,'Expense Entry'!$E$5:$E$6000,"Inventory Purchase",'Expense Entry'!$F$5:$F$6000,$A110)</f>
        <v>0</v>
      </c>
      <c r="H110" s="13" t="n">
        <f aca="false">SUMIFS('Purchase Orders'!$F$5:$F$3000,'Purchase Orders'!$L$5:$L$3000,"Received",'Purchase Orders'!$D$5:$D$3000,$A110)</f>
        <v>0</v>
      </c>
      <c r="I110" s="13" t="n">
        <f aca="false">$G110+$H110</f>
        <v>0</v>
      </c>
      <c r="J110" s="13" t="n">
        <f aca="false">SUMIFS('Issue Log'!$E$5:$E$6000,'Issue Log'!$B$5:$B$6000,$A110)</f>
        <v>0</v>
      </c>
      <c r="K110" s="13" t="n">
        <f aca="false">$F110+$I110-$J110</f>
        <v>6</v>
      </c>
      <c r="L110" s="13" t="n">
        <f aca="false">$K110*$E110</f>
        <v>6000</v>
      </c>
    </row>
    <row r="111" customFormat="false" ht="15" hidden="false" customHeight="true" outlineLevel="0" collapsed="false">
      <c r="A111" s="12" t="s">
        <v>577</v>
      </c>
      <c r="B111" s="12" t="s">
        <v>578</v>
      </c>
      <c r="C111" s="12" t="s">
        <v>129</v>
      </c>
      <c r="D111" s="12" t="s">
        <v>350</v>
      </c>
      <c r="E111" s="13" t="n">
        <v>1050</v>
      </c>
      <c r="F111" s="13" t="n">
        <v>0</v>
      </c>
      <c r="G111" s="13" t="n">
        <f aca="false">SUMIFS('Expense Entry'!$H$5:$H$6000,'Expense Entry'!$E$5:$E$6000,"Inventory Purchase",'Expense Entry'!$F$5:$F$6000,$A111)</f>
        <v>0</v>
      </c>
      <c r="H111" s="13" t="n">
        <f aca="false">SUMIFS('Purchase Orders'!$F$5:$F$3000,'Purchase Orders'!$L$5:$L$3000,"Received",'Purchase Orders'!$D$5:$D$3000,$A111)</f>
        <v>0</v>
      </c>
      <c r="I111" s="13" t="n">
        <f aca="false">$G111+$H111</f>
        <v>0</v>
      </c>
      <c r="J111" s="13" t="n">
        <f aca="false">SUMIFS('Issue Log'!$E$5:$E$6000,'Issue Log'!$B$5:$B$6000,$A111)</f>
        <v>0</v>
      </c>
      <c r="K111" s="13" t="n">
        <f aca="false">$F111+$I111-$J111</f>
        <v>0</v>
      </c>
      <c r="L111" s="13" t="n">
        <f aca="false">$K111*$E111</f>
        <v>0</v>
      </c>
    </row>
    <row r="112" customFormat="false" ht="15" hidden="false" customHeight="true" outlineLevel="0" collapsed="false">
      <c r="A112" s="12" t="s">
        <v>580</v>
      </c>
      <c r="B112" s="12" t="s">
        <v>581</v>
      </c>
      <c r="C112" s="12" t="s">
        <v>129</v>
      </c>
      <c r="D112" s="12" t="s">
        <v>241</v>
      </c>
      <c r="E112" s="13" t="n">
        <v>1000</v>
      </c>
      <c r="F112" s="13" t="n">
        <v>0</v>
      </c>
      <c r="G112" s="13" t="n">
        <f aca="false">SUMIFS('Expense Entry'!$H$5:$H$6000,'Expense Entry'!$E$5:$E$6000,"Inventory Purchase",'Expense Entry'!$F$5:$F$6000,$A112)</f>
        <v>0</v>
      </c>
      <c r="H112" s="13" t="n">
        <f aca="false">SUMIFS('Purchase Orders'!$F$5:$F$3000,'Purchase Orders'!$L$5:$L$3000,"Received",'Purchase Orders'!$D$5:$D$3000,$A112)</f>
        <v>0</v>
      </c>
      <c r="I112" s="13" t="n">
        <f aca="false">$G112+$H112</f>
        <v>0</v>
      </c>
      <c r="J112" s="13" t="n">
        <f aca="false">SUMIFS('Issue Log'!$E$5:$E$6000,'Issue Log'!$B$5:$B$6000,$A112)</f>
        <v>0</v>
      </c>
      <c r="K112" s="13" t="n">
        <f aca="false">$F112+$I112-$J112</f>
        <v>0</v>
      </c>
      <c r="L112" s="13" t="n">
        <f aca="false">$K112*$E112</f>
        <v>0</v>
      </c>
    </row>
    <row r="113" customFormat="false" ht="15" hidden="false" customHeight="true" outlineLevel="0" collapsed="false">
      <c r="A113" s="12" t="s">
        <v>583</v>
      </c>
      <c r="B113" s="12" t="s">
        <v>584</v>
      </c>
      <c r="C113" s="12" t="s">
        <v>129</v>
      </c>
      <c r="D113" s="12" t="s">
        <v>350</v>
      </c>
      <c r="E113" s="13" t="n">
        <v>531.333333333333</v>
      </c>
      <c r="F113" s="13" t="n">
        <v>8</v>
      </c>
      <c r="G113" s="13" t="n">
        <f aca="false">SUMIFS('Expense Entry'!$H$5:$H$6000,'Expense Entry'!$E$5:$E$6000,"Inventory Purchase",'Expense Entry'!$F$5:$F$6000,$A113)</f>
        <v>0</v>
      </c>
      <c r="H113" s="13" t="n">
        <f aca="false">SUMIFS('Purchase Orders'!$F$5:$F$3000,'Purchase Orders'!$L$5:$L$3000,"Received",'Purchase Orders'!$D$5:$D$3000,$A113)</f>
        <v>0</v>
      </c>
      <c r="I113" s="13" t="n">
        <f aca="false">$G113+$H113</f>
        <v>0</v>
      </c>
      <c r="J113" s="13" t="n">
        <f aca="false">SUMIFS('Issue Log'!$E$5:$E$6000,'Issue Log'!$B$5:$B$6000,$A113)</f>
        <v>0</v>
      </c>
      <c r="K113" s="13" t="n">
        <f aca="false">$F113+$I113-$J113</f>
        <v>8</v>
      </c>
      <c r="L113" s="13" t="n">
        <f aca="false">$K113*$E113</f>
        <v>4250.66666666666</v>
      </c>
    </row>
    <row r="114" customFormat="false" ht="15" hidden="false" customHeight="true" outlineLevel="0" collapsed="false">
      <c r="A114" s="12" t="s">
        <v>586</v>
      </c>
      <c r="B114" s="12" t="s">
        <v>587</v>
      </c>
      <c r="C114" s="12" t="s">
        <v>129</v>
      </c>
      <c r="D114" s="12" t="s">
        <v>241</v>
      </c>
      <c r="E114" s="13" t="n">
        <v>800</v>
      </c>
      <c r="F114" s="13" t="n">
        <v>3</v>
      </c>
      <c r="G114" s="13" t="n">
        <f aca="false">SUMIFS('Expense Entry'!$H$5:$H$6000,'Expense Entry'!$E$5:$E$6000,"Inventory Purchase",'Expense Entry'!$F$5:$F$6000,$A114)</f>
        <v>0</v>
      </c>
      <c r="H114" s="13" t="n">
        <f aca="false">SUMIFS('Purchase Orders'!$F$5:$F$3000,'Purchase Orders'!$L$5:$L$3000,"Received",'Purchase Orders'!$D$5:$D$3000,$A114)</f>
        <v>0</v>
      </c>
      <c r="I114" s="13" t="n">
        <f aca="false">$G114+$H114</f>
        <v>0</v>
      </c>
      <c r="J114" s="13" t="n">
        <f aca="false">SUMIFS('Issue Log'!$E$5:$E$6000,'Issue Log'!$B$5:$B$6000,$A114)</f>
        <v>0</v>
      </c>
      <c r="K114" s="13" t="n">
        <f aca="false">$F114+$I114-$J114</f>
        <v>3</v>
      </c>
      <c r="L114" s="13" t="n">
        <f aca="false">$K114*$E114</f>
        <v>2400</v>
      </c>
    </row>
    <row r="115" customFormat="false" ht="15" hidden="false" customHeight="true" outlineLevel="0" collapsed="false">
      <c r="A115" s="12" t="s">
        <v>590</v>
      </c>
      <c r="B115" s="12" t="s">
        <v>591</v>
      </c>
      <c r="C115" s="12" t="s">
        <v>129</v>
      </c>
      <c r="D115" s="12" t="s">
        <v>350</v>
      </c>
      <c r="E115" s="13" t="n">
        <v>489.666666666667</v>
      </c>
      <c r="F115" s="13" t="n">
        <v>4</v>
      </c>
      <c r="G115" s="13" t="n">
        <f aca="false">SUMIFS('Expense Entry'!$H$5:$H$6000,'Expense Entry'!$E$5:$E$6000,"Inventory Purchase",'Expense Entry'!$F$5:$F$6000,$A115)</f>
        <v>0</v>
      </c>
      <c r="H115" s="13" t="n">
        <f aca="false">SUMIFS('Purchase Orders'!$F$5:$F$3000,'Purchase Orders'!$L$5:$L$3000,"Received",'Purchase Orders'!$D$5:$D$3000,$A115)</f>
        <v>0</v>
      </c>
      <c r="I115" s="13" t="n">
        <f aca="false">$G115+$H115</f>
        <v>0</v>
      </c>
      <c r="J115" s="13" t="n">
        <f aca="false">SUMIFS('Issue Log'!$E$5:$E$6000,'Issue Log'!$B$5:$B$6000,$A115)</f>
        <v>0</v>
      </c>
      <c r="K115" s="13" t="n">
        <f aca="false">$F115+$I115-$J115</f>
        <v>4</v>
      </c>
      <c r="L115" s="13" t="n">
        <f aca="false">$K115*$E115</f>
        <v>1958.66666666667</v>
      </c>
    </row>
    <row r="116" customFormat="false" ht="15" hidden="false" customHeight="true" outlineLevel="0" collapsed="false">
      <c r="A116" s="12" t="s">
        <v>594</v>
      </c>
      <c r="B116" s="12" t="s">
        <v>595</v>
      </c>
      <c r="C116" s="12" t="s">
        <v>129</v>
      </c>
      <c r="D116" s="12" t="s">
        <v>241</v>
      </c>
      <c r="E116" s="13" t="n">
        <v>1200</v>
      </c>
      <c r="F116" s="13" t="n">
        <v>0</v>
      </c>
      <c r="G116" s="13" t="n">
        <f aca="false">SUMIFS('Expense Entry'!$H$5:$H$6000,'Expense Entry'!$E$5:$E$6000,"Inventory Purchase",'Expense Entry'!$F$5:$F$6000,$A116)</f>
        <v>0</v>
      </c>
      <c r="H116" s="13" t="n">
        <f aca="false">SUMIFS('Purchase Orders'!$F$5:$F$3000,'Purchase Orders'!$L$5:$L$3000,"Received",'Purchase Orders'!$D$5:$D$3000,$A116)</f>
        <v>0</v>
      </c>
      <c r="I116" s="13" t="n">
        <f aca="false">$G116+$H116</f>
        <v>0</v>
      </c>
      <c r="J116" s="13" t="n">
        <f aca="false">SUMIFS('Issue Log'!$E$5:$E$6000,'Issue Log'!$B$5:$B$6000,$A116)</f>
        <v>0</v>
      </c>
      <c r="K116" s="13" t="n">
        <f aca="false">$F116+$I116-$J116</f>
        <v>0</v>
      </c>
      <c r="L116" s="13" t="n">
        <f aca="false">$K116*$E116</f>
        <v>0</v>
      </c>
    </row>
    <row r="117" customFormat="false" ht="15" hidden="false" customHeight="true" outlineLevel="0" collapsed="false">
      <c r="A117" s="12" t="s">
        <v>596</v>
      </c>
      <c r="B117" s="12" t="s">
        <v>597</v>
      </c>
      <c r="C117" s="12" t="s">
        <v>129</v>
      </c>
      <c r="D117" s="12" t="s">
        <v>241</v>
      </c>
      <c r="E117" s="13" t="n">
        <v>1000</v>
      </c>
      <c r="F117" s="13" t="n">
        <v>0</v>
      </c>
      <c r="G117" s="13" t="n">
        <f aca="false">SUMIFS('Expense Entry'!$H$5:$H$6000,'Expense Entry'!$E$5:$E$6000,"Inventory Purchase",'Expense Entry'!$F$5:$F$6000,$A117)</f>
        <v>0</v>
      </c>
      <c r="H117" s="13" t="n">
        <f aca="false">SUMIFS('Purchase Orders'!$F$5:$F$3000,'Purchase Orders'!$L$5:$L$3000,"Received",'Purchase Orders'!$D$5:$D$3000,$A117)</f>
        <v>0</v>
      </c>
      <c r="I117" s="13" t="n">
        <f aca="false">$G117+$H117</f>
        <v>0</v>
      </c>
      <c r="J117" s="13" t="n">
        <f aca="false">SUMIFS('Issue Log'!$E$5:$E$6000,'Issue Log'!$B$5:$B$6000,$A117)</f>
        <v>0</v>
      </c>
      <c r="K117" s="13" t="n">
        <f aca="false">$F117+$I117-$J117</f>
        <v>0</v>
      </c>
      <c r="L117" s="13" t="n">
        <f aca="false">$K117*$E117</f>
        <v>0</v>
      </c>
    </row>
    <row r="118" customFormat="false" ht="15" hidden="false" customHeight="true" outlineLevel="0" collapsed="false">
      <c r="A118" s="12" t="s">
        <v>599</v>
      </c>
      <c r="B118" s="12" t="s">
        <v>600</v>
      </c>
      <c r="C118" s="12" t="s">
        <v>129</v>
      </c>
      <c r="D118" s="12" t="s">
        <v>601</v>
      </c>
      <c r="E118" s="13" t="n">
        <v>457.666666666667</v>
      </c>
      <c r="F118" s="13" t="n">
        <v>10</v>
      </c>
      <c r="G118" s="13" t="n">
        <f aca="false">SUMIFS('Expense Entry'!$H$5:$H$6000,'Expense Entry'!$E$5:$E$6000,"Inventory Purchase",'Expense Entry'!$F$5:$F$6000,$A118)</f>
        <v>0</v>
      </c>
      <c r="H118" s="13" t="n">
        <f aca="false">SUMIFS('Purchase Orders'!$F$5:$F$3000,'Purchase Orders'!$L$5:$L$3000,"Received",'Purchase Orders'!$D$5:$D$3000,$A118)</f>
        <v>0</v>
      </c>
      <c r="I118" s="13" t="n">
        <f aca="false">$G118+$H118</f>
        <v>0</v>
      </c>
      <c r="J118" s="13" t="n">
        <f aca="false">SUMIFS('Issue Log'!$E$5:$E$6000,'Issue Log'!$B$5:$B$6000,$A118)</f>
        <v>0</v>
      </c>
      <c r="K118" s="13" t="n">
        <f aca="false">$F118+$I118-$J118</f>
        <v>10</v>
      </c>
      <c r="L118" s="13" t="n">
        <f aca="false">$K118*$E118</f>
        <v>4576.66666666667</v>
      </c>
    </row>
    <row r="119" customFormat="false" ht="15" hidden="false" customHeight="true" outlineLevel="0" collapsed="false">
      <c r="A119" s="12" t="s">
        <v>602</v>
      </c>
      <c r="B119" s="12" t="s">
        <v>603</v>
      </c>
      <c r="C119" s="12" t="s">
        <v>129</v>
      </c>
      <c r="D119" s="12" t="s">
        <v>601</v>
      </c>
      <c r="E119" s="13" t="n">
        <v>275</v>
      </c>
      <c r="F119" s="13" t="n">
        <v>0</v>
      </c>
      <c r="G119" s="13" t="n">
        <f aca="false">SUMIFS('Expense Entry'!$H$5:$H$6000,'Expense Entry'!$E$5:$E$6000,"Inventory Purchase",'Expense Entry'!$F$5:$F$6000,$A119)</f>
        <v>0</v>
      </c>
      <c r="H119" s="13" t="n">
        <f aca="false">SUMIFS('Purchase Orders'!$F$5:$F$3000,'Purchase Orders'!$L$5:$L$3000,"Received",'Purchase Orders'!$D$5:$D$3000,$A119)</f>
        <v>0</v>
      </c>
      <c r="I119" s="13" t="n">
        <f aca="false">$G119+$H119</f>
        <v>0</v>
      </c>
      <c r="J119" s="13" t="n">
        <f aca="false">SUMIFS('Issue Log'!$E$5:$E$6000,'Issue Log'!$B$5:$B$6000,$A119)</f>
        <v>0</v>
      </c>
      <c r="K119" s="13" t="n">
        <f aca="false">$F119+$I119-$J119</f>
        <v>0</v>
      </c>
      <c r="L119" s="13" t="n">
        <f aca="false">$K119*$E119</f>
        <v>0</v>
      </c>
    </row>
    <row r="120" customFormat="false" ht="15" hidden="false" customHeight="true" outlineLevel="0" collapsed="false">
      <c r="A120" s="12" t="s">
        <v>604</v>
      </c>
      <c r="B120" s="12" t="s">
        <v>605</v>
      </c>
      <c r="C120" s="12" t="s">
        <v>129</v>
      </c>
      <c r="D120" s="12" t="s">
        <v>267</v>
      </c>
      <c r="E120" s="13" t="n">
        <v>124</v>
      </c>
      <c r="F120" s="13" t="n">
        <v>0</v>
      </c>
      <c r="G120" s="13" t="n">
        <f aca="false">SUMIFS('Expense Entry'!$H$5:$H$6000,'Expense Entry'!$E$5:$E$6000,"Inventory Purchase",'Expense Entry'!$F$5:$F$6000,$A120)</f>
        <v>0</v>
      </c>
      <c r="H120" s="13" t="n">
        <f aca="false">SUMIFS('Purchase Orders'!$F$5:$F$3000,'Purchase Orders'!$L$5:$L$3000,"Received",'Purchase Orders'!$D$5:$D$3000,$A120)</f>
        <v>0</v>
      </c>
      <c r="I120" s="13" t="n">
        <f aca="false">$G120+$H120</f>
        <v>0</v>
      </c>
      <c r="J120" s="13" t="n">
        <f aca="false">SUMIFS('Issue Log'!$E$5:$E$6000,'Issue Log'!$B$5:$B$6000,$A120)</f>
        <v>0</v>
      </c>
      <c r="K120" s="13" t="n">
        <f aca="false">$F120+$I120-$J120</f>
        <v>0</v>
      </c>
      <c r="L120" s="13" t="n">
        <f aca="false">$K120*$E120</f>
        <v>0</v>
      </c>
    </row>
    <row r="121" customFormat="false" ht="15" hidden="false" customHeight="true" outlineLevel="0" collapsed="false">
      <c r="A121" s="12" t="s">
        <v>606</v>
      </c>
      <c r="B121" s="12" t="s">
        <v>607</v>
      </c>
      <c r="C121" s="12" t="s">
        <v>129</v>
      </c>
      <c r="D121" s="12" t="s">
        <v>241</v>
      </c>
      <c r="E121" s="13" t="n">
        <v>299</v>
      </c>
      <c r="F121" s="13" t="n">
        <v>0</v>
      </c>
      <c r="G121" s="13" t="n">
        <f aca="false">SUMIFS('Expense Entry'!$H$5:$H$6000,'Expense Entry'!$E$5:$E$6000,"Inventory Purchase",'Expense Entry'!$F$5:$F$6000,$A121)</f>
        <v>0</v>
      </c>
      <c r="H121" s="13" t="n">
        <f aca="false">SUMIFS('Purchase Orders'!$F$5:$F$3000,'Purchase Orders'!$L$5:$L$3000,"Received",'Purchase Orders'!$D$5:$D$3000,$A121)</f>
        <v>0</v>
      </c>
      <c r="I121" s="13" t="n">
        <f aca="false">$G121+$H121</f>
        <v>0</v>
      </c>
      <c r="J121" s="13" t="n">
        <f aca="false">SUMIFS('Issue Log'!$E$5:$E$6000,'Issue Log'!$B$5:$B$6000,$A121)</f>
        <v>0</v>
      </c>
      <c r="K121" s="13" t="n">
        <f aca="false">$F121+$I121-$J121</f>
        <v>0</v>
      </c>
      <c r="L121" s="13" t="n">
        <f aca="false">$K121*$E121</f>
        <v>0</v>
      </c>
    </row>
    <row r="122" customFormat="false" ht="15" hidden="false" customHeight="true" outlineLevel="0" collapsed="false">
      <c r="A122" s="12" t="s">
        <v>610</v>
      </c>
      <c r="B122" s="12" t="s">
        <v>611</v>
      </c>
      <c r="C122" s="12" t="s">
        <v>129</v>
      </c>
      <c r="D122" s="12" t="s">
        <v>241</v>
      </c>
      <c r="E122" s="13" t="n">
        <v>190</v>
      </c>
      <c r="F122" s="13" t="n">
        <v>14</v>
      </c>
      <c r="G122" s="13" t="n">
        <f aca="false">SUMIFS('Expense Entry'!$H$5:$H$6000,'Expense Entry'!$E$5:$E$6000,"Inventory Purchase",'Expense Entry'!$F$5:$F$6000,$A122)</f>
        <v>0</v>
      </c>
      <c r="H122" s="13" t="n">
        <f aca="false">SUMIFS('Purchase Orders'!$F$5:$F$3000,'Purchase Orders'!$L$5:$L$3000,"Received",'Purchase Orders'!$D$5:$D$3000,$A122)</f>
        <v>0</v>
      </c>
      <c r="I122" s="13" t="n">
        <f aca="false">$G122+$H122</f>
        <v>0</v>
      </c>
      <c r="J122" s="13" t="n">
        <f aca="false">SUMIFS('Issue Log'!$E$5:$E$6000,'Issue Log'!$B$5:$B$6000,$A122)</f>
        <v>0</v>
      </c>
      <c r="K122" s="13" t="n">
        <f aca="false">$F122+$I122-$J122</f>
        <v>14</v>
      </c>
      <c r="L122" s="13" t="n">
        <f aca="false">$K122*$E122</f>
        <v>2660</v>
      </c>
    </row>
    <row r="123" customFormat="false" ht="15" hidden="false" customHeight="true" outlineLevel="0" collapsed="false">
      <c r="A123" s="12" t="s">
        <v>613</v>
      </c>
      <c r="B123" s="12" t="s">
        <v>614</v>
      </c>
      <c r="C123" s="12" t="s">
        <v>129</v>
      </c>
      <c r="D123" s="12" t="s">
        <v>241</v>
      </c>
      <c r="E123" s="13" t="n">
        <v>1330</v>
      </c>
      <c r="F123" s="13" t="n">
        <v>0</v>
      </c>
      <c r="G123" s="13" t="n">
        <f aca="false">SUMIFS('Expense Entry'!$H$5:$H$6000,'Expense Entry'!$E$5:$E$6000,"Inventory Purchase",'Expense Entry'!$F$5:$F$6000,$A123)</f>
        <v>0</v>
      </c>
      <c r="H123" s="13" t="n">
        <f aca="false">SUMIFS('Purchase Orders'!$F$5:$F$3000,'Purchase Orders'!$L$5:$L$3000,"Received",'Purchase Orders'!$D$5:$D$3000,$A123)</f>
        <v>0</v>
      </c>
      <c r="I123" s="13" t="n">
        <f aca="false">$G123+$H123</f>
        <v>0</v>
      </c>
      <c r="J123" s="13" t="n">
        <f aca="false">SUMIFS('Issue Log'!$E$5:$E$6000,'Issue Log'!$B$5:$B$6000,$A123)</f>
        <v>0</v>
      </c>
      <c r="K123" s="13" t="n">
        <f aca="false">$F123+$I123-$J123</f>
        <v>0</v>
      </c>
      <c r="L123" s="13" t="n">
        <f aca="false">$K123*$E123</f>
        <v>0</v>
      </c>
    </row>
    <row r="124" customFormat="false" ht="15" hidden="false" customHeight="true" outlineLevel="0" collapsed="false">
      <c r="A124" s="12" t="s">
        <v>615</v>
      </c>
      <c r="B124" s="12" t="s">
        <v>616</v>
      </c>
      <c r="C124" s="12" t="s">
        <v>129</v>
      </c>
      <c r="D124" s="12" t="s">
        <v>241</v>
      </c>
      <c r="E124" s="13" t="n">
        <v>650</v>
      </c>
      <c r="F124" s="13" t="n">
        <v>0</v>
      </c>
      <c r="G124" s="13" t="n">
        <f aca="false">SUMIFS('Expense Entry'!$H$5:$H$6000,'Expense Entry'!$E$5:$E$6000,"Inventory Purchase",'Expense Entry'!$F$5:$F$6000,$A124)</f>
        <v>0</v>
      </c>
      <c r="H124" s="13" t="n">
        <f aca="false">SUMIFS('Purchase Orders'!$F$5:$F$3000,'Purchase Orders'!$L$5:$L$3000,"Received",'Purchase Orders'!$D$5:$D$3000,$A124)</f>
        <v>0</v>
      </c>
      <c r="I124" s="13" t="n">
        <f aca="false">$G124+$H124</f>
        <v>0</v>
      </c>
      <c r="J124" s="13" t="n">
        <f aca="false">SUMIFS('Issue Log'!$E$5:$E$6000,'Issue Log'!$B$5:$B$6000,$A124)</f>
        <v>0</v>
      </c>
      <c r="K124" s="13" t="n">
        <f aca="false">$F124+$I124-$J124</f>
        <v>0</v>
      </c>
      <c r="L124" s="13" t="n">
        <f aca="false">$K124*$E124</f>
        <v>0</v>
      </c>
    </row>
    <row r="125" customFormat="false" ht="15" hidden="false" customHeight="true" outlineLevel="0" collapsed="false">
      <c r="A125" s="12" t="s">
        <v>619</v>
      </c>
      <c r="B125" s="12" t="s">
        <v>620</v>
      </c>
      <c r="C125" s="12" t="s">
        <v>129</v>
      </c>
      <c r="D125" s="12" t="s">
        <v>267</v>
      </c>
      <c r="E125" s="13" t="n">
        <v>2250</v>
      </c>
      <c r="F125" s="13" t="n">
        <v>7</v>
      </c>
      <c r="G125" s="13" t="n">
        <f aca="false">SUMIFS('Expense Entry'!$H$5:$H$6000,'Expense Entry'!$E$5:$E$6000,"Inventory Purchase",'Expense Entry'!$F$5:$F$6000,$A125)</f>
        <v>0</v>
      </c>
      <c r="H125" s="13" t="n">
        <f aca="false">SUMIFS('Purchase Orders'!$F$5:$F$3000,'Purchase Orders'!$L$5:$L$3000,"Received",'Purchase Orders'!$D$5:$D$3000,$A125)</f>
        <v>0</v>
      </c>
      <c r="I125" s="13" t="n">
        <f aca="false">$G125+$H125</f>
        <v>0</v>
      </c>
      <c r="J125" s="13" t="n">
        <f aca="false">SUMIFS('Issue Log'!$E$5:$E$6000,'Issue Log'!$B$5:$B$6000,$A125)</f>
        <v>0</v>
      </c>
      <c r="K125" s="13" t="n">
        <f aca="false">$F125+$I125-$J125</f>
        <v>7</v>
      </c>
      <c r="L125" s="13" t="n">
        <f aca="false">$K125*$E125</f>
        <v>15750</v>
      </c>
    </row>
    <row r="126" customFormat="false" ht="15" hidden="false" customHeight="true" outlineLevel="0" collapsed="false">
      <c r="A126" s="12" t="s">
        <v>621</v>
      </c>
      <c r="B126" s="12" t="s">
        <v>622</v>
      </c>
      <c r="C126" s="12" t="s">
        <v>129</v>
      </c>
      <c r="D126" s="12" t="s">
        <v>267</v>
      </c>
      <c r="E126" s="13" t="n">
        <v>1800</v>
      </c>
      <c r="F126" s="13" t="n">
        <v>10</v>
      </c>
      <c r="G126" s="13" t="n">
        <f aca="false">SUMIFS('Expense Entry'!$H$5:$H$6000,'Expense Entry'!$E$5:$E$6000,"Inventory Purchase",'Expense Entry'!$F$5:$F$6000,$A126)</f>
        <v>0</v>
      </c>
      <c r="H126" s="13" t="n">
        <f aca="false">SUMIFS('Purchase Orders'!$F$5:$F$3000,'Purchase Orders'!$L$5:$L$3000,"Received",'Purchase Orders'!$D$5:$D$3000,$A126)</f>
        <v>0</v>
      </c>
      <c r="I126" s="13" t="n">
        <f aca="false">$G126+$H126</f>
        <v>0</v>
      </c>
      <c r="J126" s="13" t="n">
        <f aca="false">SUMIFS('Issue Log'!$E$5:$E$6000,'Issue Log'!$B$5:$B$6000,$A126)</f>
        <v>0</v>
      </c>
      <c r="K126" s="13" t="n">
        <f aca="false">$F126+$I126-$J126</f>
        <v>10</v>
      </c>
      <c r="L126" s="13" t="n">
        <f aca="false">$K126*$E126</f>
        <v>18000</v>
      </c>
    </row>
    <row r="127" customFormat="false" ht="15" hidden="false" customHeight="true" outlineLevel="0" collapsed="false">
      <c r="A127" s="12" t="s">
        <v>624</v>
      </c>
      <c r="B127" s="12" t="s">
        <v>625</v>
      </c>
      <c r="C127" s="12" t="s">
        <v>129</v>
      </c>
      <c r="D127" s="12" t="s">
        <v>350</v>
      </c>
      <c r="E127" s="13" t="n">
        <v>500</v>
      </c>
      <c r="F127" s="13" t="n">
        <v>4</v>
      </c>
      <c r="G127" s="13" t="n">
        <f aca="false">SUMIFS('Expense Entry'!$H$5:$H$6000,'Expense Entry'!$E$5:$E$6000,"Inventory Purchase",'Expense Entry'!$F$5:$F$6000,$A127)</f>
        <v>0</v>
      </c>
      <c r="H127" s="13" t="n">
        <f aca="false">SUMIFS('Purchase Orders'!$F$5:$F$3000,'Purchase Orders'!$L$5:$L$3000,"Received",'Purchase Orders'!$D$5:$D$3000,$A127)</f>
        <v>0</v>
      </c>
      <c r="I127" s="13" t="n">
        <f aca="false">$G127+$H127</f>
        <v>0</v>
      </c>
      <c r="J127" s="13" t="n">
        <f aca="false">SUMIFS('Issue Log'!$E$5:$E$6000,'Issue Log'!$B$5:$B$6000,$A127)</f>
        <v>0</v>
      </c>
      <c r="K127" s="13" t="n">
        <f aca="false">$F127+$I127-$J127</f>
        <v>4</v>
      </c>
      <c r="L127" s="13" t="n">
        <f aca="false">$K127*$E127</f>
        <v>2000</v>
      </c>
    </row>
    <row r="128" customFormat="false" ht="15" hidden="false" customHeight="true" outlineLevel="0" collapsed="false">
      <c r="A128" s="12" t="s">
        <v>626</v>
      </c>
      <c r="B128" s="12" t="s">
        <v>627</v>
      </c>
      <c r="C128" s="12" t="s">
        <v>129</v>
      </c>
      <c r="D128" s="12" t="s">
        <v>241</v>
      </c>
      <c r="E128" s="13" t="n">
        <v>850</v>
      </c>
      <c r="F128" s="13" t="n">
        <v>0</v>
      </c>
      <c r="G128" s="13" t="n">
        <f aca="false">SUMIFS('Expense Entry'!$H$5:$H$6000,'Expense Entry'!$E$5:$E$6000,"Inventory Purchase",'Expense Entry'!$F$5:$F$6000,$A128)</f>
        <v>0</v>
      </c>
      <c r="H128" s="13" t="n">
        <f aca="false">SUMIFS('Purchase Orders'!$F$5:$F$3000,'Purchase Orders'!$L$5:$L$3000,"Received",'Purchase Orders'!$D$5:$D$3000,$A128)</f>
        <v>0</v>
      </c>
      <c r="I128" s="13" t="n">
        <f aca="false">$G128+$H128</f>
        <v>0</v>
      </c>
      <c r="J128" s="13" t="n">
        <f aca="false">SUMIFS('Issue Log'!$E$5:$E$6000,'Issue Log'!$B$5:$B$6000,$A128)</f>
        <v>0</v>
      </c>
      <c r="K128" s="13" t="n">
        <f aca="false">$F128+$I128-$J128</f>
        <v>0</v>
      </c>
      <c r="L128" s="13" t="n">
        <f aca="false">$K128*$E128</f>
        <v>0</v>
      </c>
    </row>
    <row r="129" customFormat="false" ht="15" hidden="false" customHeight="true" outlineLevel="0" collapsed="false">
      <c r="A129" s="12" t="s">
        <v>628</v>
      </c>
      <c r="B129" s="12" t="s">
        <v>629</v>
      </c>
      <c r="C129" s="12" t="s">
        <v>129</v>
      </c>
      <c r="D129" s="12" t="s">
        <v>241</v>
      </c>
      <c r="E129" s="13" t="n">
        <v>120</v>
      </c>
      <c r="F129" s="13" t="n">
        <v>0</v>
      </c>
      <c r="G129" s="13" t="n">
        <f aca="false">SUMIFS('Expense Entry'!$H$5:$H$6000,'Expense Entry'!$E$5:$E$6000,"Inventory Purchase",'Expense Entry'!$F$5:$F$6000,$A129)</f>
        <v>0</v>
      </c>
      <c r="H129" s="13" t="n">
        <f aca="false">SUMIFS('Purchase Orders'!$F$5:$F$3000,'Purchase Orders'!$L$5:$L$3000,"Received",'Purchase Orders'!$D$5:$D$3000,$A129)</f>
        <v>0</v>
      </c>
      <c r="I129" s="13" t="n">
        <f aca="false">$G129+$H129</f>
        <v>0</v>
      </c>
      <c r="J129" s="13" t="n">
        <f aca="false">SUMIFS('Issue Log'!$E$5:$E$6000,'Issue Log'!$B$5:$B$6000,$A129)</f>
        <v>0</v>
      </c>
      <c r="K129" s="13" t="n">
        <f aca="false">$F129+$I129-$J129</f>
        <v>0</v>
      </c>
      <c r="L129" s="13" t="n">
        <f aca="false">$K129*$E129</f>
        <v>0</v>
      </c>
    </row>
    <row r="130" customFormat="false" ht="15" hidden="false" customHeight="true" outlineLevel="0" collapsed="false">
      <c r="A130" s="12" t="s">
        <v>631</v>
      </c>
      <c r="B130" s="12" t="s">
        <v>632</v>
      </c>
      <c r="C130" s="12" t="s">
        <v>129</v>
      </c>
      <c r="D130" s="12" t="s">
        <v>241</v>
      </c>
      <c r="E130" s="13" t="n">
        <v>2900</v>
      </c>
      <c r="F130" s="13" t="n">
        <v>0</v>
      </c>
      <c r="G130" s="13" t="n">
        <f aca="false">SUMIFS('Expense Entry'!$H$5:$H$6000,'Expense Entry'!$E$5:$E$6000,"Inventory Purchase",'Expense Entry'!$F$5:$F$6000,$A130)</f>
        <v>0</v>
      </c>
      <c r="H130" s="13" t="n">
        <f aca="false">SUMIFS('Purchase Orders'!$F$5:$F$3000,'Purchase Orders'!$L$5:$L$3000,"Received",'Purchase Orders'!$D$5:$D$3000,$A130)</f>
        <v>0</v>
      </c>
      <c r="I130" s="13" t="n">
        <f aca="false">$G130+$H130</f>
        <v>0</v>
      </c>
      <c r="J130" s="13" t="n">
        <f aca="false">SUMIFS('Issue Log'!$E$5:$E$6000,'Issue Log'!$B$5:$B$6000,$A130)</f>
        <v>0</v>
      </c>
      <c r="K130" s="13" t="n">
        <f aca="false">$F130+$I130-$J130</f>
        <v>0</v>
      </c>
      <c r="L130" s="13" t="n">
        <f aca="false">$K130*$E130</f>
        <v>0</v>
      </c>
    </row>
    <row r="131" customFormat="false" ht="15" hidden="false" customHeight="true" outlineLevel="0" collapsed="false">
      <c r="A131" s="12" t="s">
        <v>633</v>
      </c>
      <c r="B131" s="12" t="s">
        <v>634</v>
      </c>
      <c r="C131" s="12" t="s">
        <v>129</v>
      </c>
      <c r="D131" s="12" t="s">
        <v>241</v>
      </c>
      <c r="E131" s="13" t="n">
        <v>1590</v>
      </c>
      <c r="F131" s="13" t="n">
        <v>0</v>
      </c>
      <c r="G131" s="13" t="n">
        <f aca="false">SUMIFS('Expense Entry'!$H$5:$H$6000,'Expense Entry'!$E$5:$E$6000,"Inventory Purchase",'Expense Entry'!$F$5:$F$6000,$A131)</f>
        <v>0</v>
      </c>
      <c r="H131" s="13" t="n">
        <f aca="false">SUMIFS('Purchase Orders'!$F$5:$F$3000,'Purchase Orders'!$L$5:$L$3000,"Received",'Purchase Orders'!$D$5:$D$3000,$A131)</f>
        <v>0</v>
      </c>
      <c r="I131" s="13" t="n">
        <f aca="false">$G131+$H131</f>
        <v>0</v>
      </c>
      <c r="J131" s="13" t="n">
        <f aca="false">SUMIFS('Issue Log'!$E$5:$E$6000,'Issue Log'!$B$5:$B$6000,$A131)</f>
        <v>0</v>
      </c>
      <c r="K131" s="13" t="n">
        <f aca="false">$F131+$I131-$J131</f>
        <v>0</v>
      </c>
      <c r="L131" s="13" t="n">
        <f aca="false">$K131*$E131</f>
        <v>0</v>
      </c>
    </row>
    <row r="132" customFormat="false" ht="15" hidden="false" customHeight="true" outlineLevel="0" collapsed="false">
      <c r="A132" s="12" t="s">
        <v>635</v>
      </c>
      <c r="B132" s="12" t="s">
        <v>636</v>
      </c>
      <c r="C132" s="12" t="s">
        <v>129</v>
      </c>
      <c r="D132" s="12" t="s">
        <v>267</v>
      </c>
      <c r="E132" s="13" t="n">
        <v>865</v>
      </c>
      <c r="F132" s="13" t="n">
        <v>0</v>
      </c>
      <c r="G132" s="13" t="n">
        <f aca="false">SUMIFS('Expense Entry'!$H$5:$H$6000,'Expense Entry'!$E$5:$E$6000,"Inventory Purchase",'Expense Entry'!$F$5:$F$6000,$A132)</f>
        <v>0</v>
      </c>
      <c r="H132" s="13" t="n">
        <f aca="false">SUMIFS('Purchase Orders'!$F$5:$F$3000,'Purchase Orders'!$L$5:$L$3000,"Received",'Purchase Orders'!$D$5:$D$3000,$A132)</f>
        <v>0</v>
      </c>
      <c r="I132" s="13" t="n">
        <f aca="false">$G132+$H132</f>
        <v>0</v>
      </c>
      <c r="J132" s="13" t="n">
        <f aca="false">SUMIFS('Issue Log'!$E$5:$E$6000,'Issue Log'!$B$5:$B$6000,$A132)</f>
        <v>0</v>
      </c>
      <c r="K132" s="13" t="n">
        <f aca="false">$F132+$I132-$J132</f>
        <v>0</v>
      </c>
      <c r="L132" s="13" t="n">
        <f aca="false">$K132*$E132</f>
        <v>0</v>
      </c>
    </row>
    <row r="133" customFormat="false" ht="15" hidden="false" customHeight="true" outlineLevel="0" collapsed="false">
      <c r="A133" s="12" t="s">
        <v>638</v>
      </c>
      <c r="B133" s="12" t="s">
        <v>639</v>
      </c>
      <c r="C133" s="12" t="s">
        <v>129</v>
      </c>
      <c r="D133" s="12" t="s">
        <v>267</v>
      </c>
      <c r="E133" s="13" t="n">
        <v>1000</v>
      </c>
      <c r="F133" s="13" t="n">
        <v>0</v>
      </c>
      <c r="G133" s="13" t="n">
        <f aca="false">SUMIFS('Expense Entry'!$H$5:$H$6000,'Expense Entry'!$E$5:$E$6000,"Inventory Purchase",'Expense Entry'!$F$5:$F$6000,$A133)</f>
        <v>0</v>
      </c>
      <c r="H133" s="13" t="n">
        <f aca="false">SUMIFS('Purchase Orders'!$F$5:$F$3000,'Purchase Orders'!$L$5:$L$3000,"Received",'Purchase Orders'!$D$5:$D$3000,$A133)</f>
        <v>0</v>
      </c>
      <c r="I133" s="13" t="n">
        <f aca="false">$G133+$H133</f>
        <v>0</v>
      </c>
      <c r="J133" s="13" t="n">
        <f aca="false">SUMIFS('Issue Log'!$E$5:$E$6000,'Issue Log'!$B$5:$B$6000,$A133)</f>
        <v>0</v>
      </c>
      <c r="K133" s="13" t="n">
        <f aca="false">$F133+$I133-$J133</f>
        <v>0</v>
      </c>
      <c r="L133" s="13" t="n">
        <f aca="false">$K133*$E133</f>
        <v>0</v>
      </c>
    </row>
    <row r="134" customFormat="false" ht="15" hidden="false" customHeight="true" outlineLevel="0" collapsed="false">
      <c r="A134" s="12" t="s">
        <v>641</v>
      </c>
      <c r="B134" s="12" t="s">
        <v>642</v>
      </c>
      <c r="C134" s="12" t="s">
        <v>129</v>
      </c>
      <c r="D134" s="12" t="s">
        <v>241</v>
      </c>
      <c r="E134" s="13" t="n">
        <v>2520</v>
      </c>
      <c r="F134" s="13" t="n">
        <v>0</v>
      </c>
      <c r="G134" s="13" t="n">
        <f aca="false">SUMIFS('Expense Entry'!$H$5:$H$6000,'Expense Entry'!$E$5:$E$6000,"Inventory Purchase",'Expense Entry'!$F$5:$F$6000,$A134)</f>
        <v>0</v>
      </c>
      <c r="H134" s="13" t="n">
        <f aca="false">SUMIFS('Purchase Orders'!$F$5:$F$3000,'Purchase Orders'!$L$5:$L$3000,"Received",'Purchase Orders'!$D$5:$D$3000,$A134)</f>
        <v>0</v>
      </c>
      <c r="I134" s="13" t="n">
        <f aca="false">$G134+$H134</f>
        <v>0</v>
      </c>
      <c r="J134" s="13" t="n">
        <f aca="false">SUMIFS('Issue Log'!$E$5:$E$6000,'Issue Log'!$B$5:$B$6000,$A134)</f>
        <v>0</v>
      </c>
      <c r="K134" s="13" t="n">
        <f aca="false">$F134+$I134-$J134</f>
        <v>0</v>
      </c>
      <c r="L134" s="13" t="n">
        <f aca="false">$K134*$E134</f>
        <v>0</v>
      </c>
    </row>
    <row r="135" customFormat="false" ht="15" hidden="false" customHeight="true" outlineLevel="0" collapsed="false">
      <c r="A135" s="12" t="s">
        <v>644</v>
      </c>
      <c r="B135" s="12" t="s">
        <v>645</v>
      </c>
      <c r="C135" s="12" t="s">
        <v>129</v>
      </c>
      <c r="D135" s="12" t="s">
        <v>267</v>
      </c>
      <c r="E135" s="13" t="n">
        <v>3200</v>
      </c>
      <c r="F135" s="13" t="n">
        <v>0</v>
      </c>
      <c r="G135" s="13" t="n">
        <f aca="false">SUMIFS('Expense Entry'!$H$5:$H$6000,'Expense Entry'!$E$5:$E$6000,"Inventory Purchase",'Expense Entry'!$F$5:$F$6000,$A135)</f>
        <v>0</v>
      </c>
      <c r="H135" s="13" t="n">
        <f aca="false">SUMIFS('Purchase Orders'!$F$5:$F$3000,'Purchase Orders'!$L$5:$L$3000,"Received",'Purchase Orders'!$D$5:$D$3000,$A135)</f>
        <v>0</v>
      </c>
      <c r="I135" s="13" t="n">
        <f aca="false">$G135+$H135</f>
        <v>0</v>
      </c>
      <c r="J135" s="13" t="n">
        <f aca="false">SUMIFS('Issue Log'!$E$5:$E$6000,'Issue Log'!$B$5:$B$6000,$A135)</f>
        <v>0</v>
      </c>
      <c r="K135" s="13" t="n">
        <f aca="false">$F135+$I135-$J135</f>
        <v>0</v>
      </c>
      <c r="L135" s="13" t="n">
        <f aca="false">$K135*$E135</f>
        <v>0</v>
      </c>
    </row>
    <row r="136" customFormat="false" ht="15" hidden="false" customHeight="true" outlineLevel="0" collapsed="false">
      <c r="A136" s="12" t="s">
        <v>648</v>
      </c>
      <c r="B136" s="12" t="s">
        <v>649</v>
      </c>
      <c r="C136" s="12" t="s">
        <v>129</v>
      </c>
      <c r="D136" s="12" t="s">
        <v>267</v>
      </c>
      <c r="E136" s="13" t="n">
        <v>55</v>
      </c>
      <c r="F136" s="13" t="n">
        <v>0</v>
      </c>
      <c r="G136" s="13" t="n">
        <f aca="false">SUMIFS('Expense Entry'!$H$5:$H$6000,'Expense Entry'!$E$5:$E$6000,"Inventory Purchase",'Expense Entry'!$F$5:$F$6000,$A136)</f>
        <v>0</v>
      </c>
      <c r="H136" s="13" t="n">
        <f aca="false">SUMIFS('Purchase Orders'!$F$5:$F$3000,'Purchase Orders'!$L$5:$L$3000,"Received",'Purchase Orders'!$D$5:$D$3000,$A136)</f>
        <v>0</v>
      </c>
      <c r="I136" s="13" t="n">
        <f aca="false">$G136+$H136</f>
        <v>0</v>
      </c>
      <c r="J136" s="13" t="n">
        <f aca="false">SUMIFS('Issue Log'!$E$5:$E$6000,'Issue Log'!$B$5:$B$6000,$A136)</f>
        <v>0</v>
      </c>
      <c r="K136" s="13" t="n">
        <f aca="false">$F136+$I136-$J136</f>
        <v>0</v>
      </c>
      <c r="L136" s="13" t="n">
        <f aca="false">$K136*$E136</f>
        <v>0</v>
      </c>
    </row>
    <row r="137" customFormat="false" ht="15" hidden="false" customHeight="true" outlineLevel="0" collapsed="false">
      <c r="A137" s="12" t="s">
        <v>652</v>
      </c>
      <c r="B137" s="12" t="s">
        <v>653</v>
      </c>
      <c r="C137" s="12" t="s">
        <v>129</v>
      </c>
      <c r="D137" s="12" t="s">
        <v>267</v>
      </c>
      <c r="E137" s="13" t="n">
        <v>1188</v>
      </c>
      <c r="F137" s="13" t="n">
        <v>0</v>
      </c>
      <c r="G137" s="13" t="n">
        <f aca="false">SUMIFS('Expense Entry'!$H$5:$H$6000,'Expense Entry'!$E$5:$E$6000,"Inventory Purchase",'Expense Entry'!$F$5:$F$6000,$A137)</f>
        <v>0</v>
      </c>
      <c r="H137" s="13" t="n">
        <f aca="false">SUMIFS('Purchase Orders'!$F$5:$F$3000,'Purchase Orders'!$L$5:$L$3000,"Received",'Purchase Orders'!$D$5:$D$3000,$A137)</f>
        <v>0</v>
      </c>
      <c r="I137" s="13" t="n">
        <f aca="false">$G137+$H137</f>
        <v>0</v>
      </c>
      <c r="J137" s="13" t="n">
        <f aca="false">SUMIFS('Issue Log'!$E$5:$E$6000,'Issue Log'!$B$5:$B$6000,$A137)</f>
        <v>0</v>
      </c>
      <c r="K137" s="13" t="n">
        <f aca="false">$F137+$I137-$J137</f>
        <v>0</v>
      </c>
      <c r="L137" s="13" t="n">
        <f aca="false">$K137*$E137</f>
        <v>0</v>
      </c>
    </row>
    <row r="138" customFormat="false" ht="15" hidden="false" customHeight="true" outlineLevel="0" collapsed="false">
      <c r="A138" s="12" t="s">
        <v>656</v>
      </c>
      <c r="B138" s="12" t="s">
        <v>657</v>
      </c>
      <c r="C138" s="12" t="s">
        <v>129</v>
      </c>
      <c r="D138" s="12" t="s">
        <v>267</v>
      </c>
      <c r="E138" s="13" t="n">
        <v>500</v>
      </c>
      <c r="F138" s="13" t="n">
        <v>1</v>
      </c>
      <c r="G138" s="13" t="n">
        <f aca="false">SUMIFS('Expense Entry'!$H$5:$H$6000,'Expense Entry'!$E$5:$E$6000,"Inventory Purchase",'Expense Entry'!$F$5:$F$6000,$A138)</f>
        <v>0</v>
      </c>
      <c r="H138" s="13" t="n">
        <f aca="false">SUMIFS('Purchase Orders'!$F$5:$F$3000,'Purchase Orders'!$L$5:$L$3000,"Received",'Purchase Orders'!$D$5:$D$3000,$A138)</f>
        <v>0</v>
      </c>
      <c r="I138" s="13" t="n">
        <f aca="false">$G138+$H138</f>
        <v>0</v>
      </c>
      <c r="J138" s="13" t="n">
        <f aca="false">SUMIFS('Issue Log'!$E$5:$E$6000,'Issue Log'!$B$5:$B$6000,$A138)</f>
        <v>0</v>
      </c>
      <c r="K138" s="13" t="n">
        <f aca="false">$F138+$I138-$J138</f>
        <v>1</v>
      </c>
      <c r="L138" s="13" t="n">
        <f aca="false">$K138*$E138</f>
        <v>500</v>
      </c>
    </row>
    <row r="139" customFormat="false" ht="15" hidden="false" customHeight="true" outlineLevel="0" collapsed="false">
      <c r="A139" s="12" t="s">
        <v>659</v>
      </c>
      <c r="B139" s="12" t="s">
        <v>660</v>
      </c>
      <c r="C139" s="12" t="s">
        <v>129</v>
      </c>
      <c r="D139" s="12" t="s">
        <v>561</v>
      </c>
      <c r="E139" s="13" t="n">
        <v>1550</v>
      </c>
      <c r="F139" s="13" t="n">
        <v>0</v>
      </c>
      <c r="G139" s="13" t="n">
        <f aca="false">SUMIFS('Expense Entry'!$H$5:$H$6000,'Expense Entry'!$E$5:$E$6000,"Inventory Purchase",'Expense Entry'!$F$5:$F$6000,$A139)</f>
        <v>0</v>
      </c>
      <c r="H139" s="13" t="n">
        <f aca="false">SUMIFS('Purchase Orders'!$F$5:$F$3000,'Purchase Orders'!$L$5:$L$3000,"Received",'Purchase Orders'!$D$5:$D$3000,$A139)</f>
        <v>0</v>
      </c>
      <c r="I139" s="13" t="n">
        <f aca="false">$G139+$H139</f>
        <v>0</v>
      </c>
      <c r="J139" s="13" t="n">
        <f aca="false">SUMIFS('Issue Log'!$E$5:$E$6000,'Issue Log'!$B$5:$B$6000,$A139)</f>
        <v>0</v>
      </c>
      <c r="K139" s="13" t="n">
        <f aca="false">$F139+$I139-$J139</f>
        <v>0</v>
      </c>
      <c r="L139" s="13" t="n">
        <f aca="false">$K139*$E139</f>
        <v>0</v>
      </c>
    </row>
    <row r="140" customFormat="false" ht="15" hidden="false" customHeight="true" outlineLevel="0" collapsed="false">
      <c r="A140" s="12" t="s">
        <v>662</v>
      </c>
      <c r="B140" s="12" t="s">
        <v>663</v>
      </c>
      <c r="C140" s="12" t="s">
        <v>129</v>
      </c>
      <c r="D140" s="12" t="s">
        <v>267</v>
      </c>
      <c r="E140" s="13" t="n">
        <v>1050</v>
      </c>
      <c r="F140" s="13" t="n">
        <v>0</v>
      </c>
      <c r="G140" s="13" t="n">
        <f aca="false">SUMIFS('Expense Entry'!$H$5:$H$6000,'Expense Entry'!$E$5:$E$6000,"Inventory Purchase",'Expense Entry'!$F$5:$F$6000,$A140)</f>
        <v>0</v>
      </c>
      <c r="H140" s="13" t="n">
        <f aca="false">SUMIFS('Purchase Orders'!$F$5:$F$3000,'Purchase Orders'!$L$5:$L$3000,"Received",'Purchase Orders'!$D$5:$D$3000,$A140)</f>
        <v>0</v>
      </c>
      <c r="I140" s="13" t="n">
        <f aca="false">$G140+$H140</f>
        <v>0</v>
      </c>
      <c r="J140" s="13" t="n">
        <f aca="false">SUMIFS('Issue Log'!$E$5:$E$6000,'Issue Log'!$B$5:$B$6000,$A140)</f>
        <v>0</v>
      </c>
      <c r="K140" s="13" t="n">
        <f aca="false">$F140+$I140-$J140</f>
        <v>0</v>
      </c>
      <c r="L140" s="13" t="n">
        <f aca="false">$K140*$E140</f>
        <v>0</v>
      </c>
    </row>
    <row r="141" customFormat="false" ht="15" hidden="false" customHeight="true" outlineLevel="0" collapsed="false">
      <c r="A141" s="12" t="s">
        <v>664</v>
      </c>
      <c r="B141" s="12" t="s">
        <v>665</v>
      </c>
      <c r="C141" s="12" t="s">
        <v>129</v>
      </c>
      <c r="D141" s="12" t="s">
        <v>267</v>
      </c>
      <c r="E141" s="13" t="n">
        <v>850</v>
      </c>
      <c r="F141" s="13" t="n">
        <v>0</v>
      </c>
      <c r="G141" s="13" t="n">
        <f aca="false">SUMIFS('Expense Entry'!$H$5:$H$6000,'Expense Entry'!$E$5:$E$6000,"Inventory Purchase",'Expense Entry'!$F$5:$F$6000,$A141)</f>
        <v>0</v>
      </c>
      <c r="H141" s="13" t="n">
        <f aca="false">SUMIFS('Purchase Orders'!$F$5:$F$3000,'Purchase Orders'!$L$5:$L$3000,"Received",'Purchase Orders'!$D$5:$D$3000,$A141)</f>
        <v>0</v>
      </c>
      <c r="I141" s="13" t="n">
        <f aca="false">$G141+$H141</f>
        <v>0</v>
      </c>
      <c r="J141" s="13" t="n">
        <f aca="false">SUMIFS('Issue Log'!$E$5:$E$6000,'Issue Log'!$B$5:$B$6000,$A141)</f>
        <v>0</v>
      </c>
      <c r="K141" s="13" t="n">
        <f aca="false">$F141+$I141-$J141</f>
        <v>0</v>
      </c>
      <c r="L141" s="13" t="n">
        <f aca="false">$K141*$E141</f>
        <v>0</v>
      </c>
    </row>
    <row r="142" customFormat="false" ht="15" hidden="false" customHeight="true" outlineLevel="0" collapsed="false">
      <c r="A142" s="12" t="s">
        <v>667</v>
      </c>
      <c r="B142" s="12" t="s">
        <v>668</v>
      </c>
      <c r="C142" s="12" t="s">
        <v>129</v>
      </c>
      <c r="D142" s="12" t="s">
        <v>267</v>
      </c>
      <c r="E142" s="13" t="n">
        <v>750</v>
      </c>
      <c r="F142" s="13" t="n">
        <v>0</v>
      </c>
      <c r="G142" s="13" t="n">
        <f aca="false">SUMIFS('Expense Entry'!$H$5:$H$6000,'Expense Entry'!$E$5:$E$6000,"Inventory Purchase",'Expense Entry'!$F$5:$F$6000,$A142)</f>
        <v>0</v>
      </c>
      <c r="H142" s="13" t="n">
        <f aca="false">SUMIFS('Purchase Orders'!$F$5:$F$3000,'Purchase Orders'!$L$5:$L$3000,"Received",'Purchase Orders'!$D$5:$D$3000,$A142)</f>
        <v>0</v>
      </c>
      <c r="I142" s="13" t="n">
        <f aca="false">$G142+$H142</f>
        <v>0</v>
      </c>
      <c r="J142" s="13" t="n">
        <f aca="false">SUMIFS('Issue Log'!$E$5:$E$6000,'Issue Log'!$B$5:$B$6000,$A142)</f>
        <v>0</v>
      </c>
      <c r="K142" s="13" t="n">
        <f aca="false">$F142+$I142-$J142</f>
        <v>0</v>
      </c>
      <c r="L142" s="13" t="n">
        <f aca="false">$K142*$E142</f>
        <v>0</v>
      </c>
    </row>
    <row r="143" customFormat="false" ht="15" hidden="false" customHeight="true" outlineLevel="0" collapsed="false">
      <c r="A143" s="12" t="s">
        <v>669</v>
      </c>
      <c r="B143" s="12" t="s">
        <v>670</v>
      </c>
      <c r="C143" s="12" t="s">
        <v>129</v>
      </c>
      <c r="D143" s="12" t="s">
        <v>267</v>
      </c>
      <c r="E143" s="13" t="n">
        <v>1330</v>
      </c>
      <c r="F143" s="13" t="n">
        <v>0</v>
      </c>
      <c r="G143" s="13" t="n">
        <f aca="false">SUMIFS('Expense Entry'!$H$5:$H$6000,'Expense Entry'!$E$5:$E$6000,"Inventory Purchase",'Expense Entry'!$F$5:$F$6000,$A143)</f>
        <v>0</v>
      </c>
      <c r="H143" s="13" t="n">
        <f aca="false">SUMIFS('Purchase Orders'!$F$5:$F$3000,'Purchase Orders'!$L$5:$L$3000,"Received",'Purchase Orders'!$D$5:$D$3000,$A143)</f>
        <v>0</v>
      </c>
      <c r="I143" s="13" t="n">
        <f aca="false">$G143+$H143</f>
        <v>0</v>
      </c>
      <c r="J143" s="13" t="n">
        <f aca="false">SUMIFS('Issue Log'!$E$5:$E$6000,'Issue Log'!$B$5:$B$6000,$A143)</f>
        <v>0</v>
      </c>
      <c r="K143" s="13" t="n">
        <f aca="false">$F143+$I143-$J143</f>
        <v>0</v>
      </c>
      <c r="L143" s="13" t="n">
        <f aca="false">$K143*$E143</f>
        <v>0</v>
      </c>
    </row>
    <row r="144" customFormat="false" ht="15" hidden="false" customHeight="true" outlineLevel="0" collapsed="false">
      <c r="A144" s="12" t="s">
        <v>672</v>
      </c>
      <c r="B144" s="12" t="s">
        <v>673</v>
      </c>
      <c r="C144" s="12" t="s">
        <v>129</v>
      </c>
      <c r="D144" s="12" t="s">
        <v>267</v>
      </c>
      <c r="E144" s="13" t="n">
        <v>1300</v>
      </c>
      <c r="F144" s="13" t="n">
        <v>13</v>
      </c>
      <c r="G144" s="13" t="n">
        <f aca="false">SUMIFS('Expense Entry'!$H$5:$H$6000,'Expense Entry'!$E$5:$E$6000,"Inventory Purchase",'Expense Entry'!$F$5:$F$6000,$A144)</f>
        <v>0</v>
      </c>
      <c r="H144" s="13" t="n">
        <f aca="false">SUMIFS('Purchase Orders'!$F$5:$F$3000,'Purchase Orders'!$L$5:$L$3000,"Received",'Purchase Orders'!$D$5:$D$3000,$A144)</f>
        <v>0</v>
      </c>
      <c r="I144" s="13" t="n">
        <f aca="false">$G144+$H144</f>
        <v>0</v>
      </c>
      <c r="J144" s="13" t="n">
        <f aca="false">SUMIFS('Issue Log'!$E$5:$E$6000,'Issue Log'!$B$5:$B$6000,$A144)</f>
        <v>0</v>
      </c>
      <c r="K144" s="13" t="n">
        <f aca="false">$F144+$I144-$J144</f>
        <v>13</v>
      </c>
      <c r="L144" s="13" t="n">
        <f aca="false">$K144*$E144</f>
        <v>16900</v>
      </c>
    </row>
    <row r="145" customFormat="false" ht="15" hidden="false" customHeight="true" outlineLevel="0" collapsed="false">
      <c r="A145" s="12" t="s">
        <v>676</v>
      </c>
      <c r="B145" s="12" t="s">
        <v>677</v>
      </c>
      <c r="C145" s="12" t="s">
        <v>129</v>
      </c>
      <c r="D145" s="12" t="s">
        <v>267</v>
      </c>
      <c r="E145" s="13" t="n">
        <v>800</v>
      </c>
      <c r="F145" s="13" t="n">
        <v>5</v>
      </c>
      <c r="G145" s="13" t="n">
        <f aca="false">SUMIFS('Expense Entry'!$H$5:$H$6000,'Expense Entry'!$E$5:$E$6000,"Inventory Purchase",'Expense Entry'!$F$5:$F$6000,$A145)</f>
        <v>0</v>
      </c>
      <c r="H145" s="13" t="n">
        <f aca="false">SUMIFS('Purchase Orders'!$F$5:$F$3000,'Purchase Orders'!$L$5:$L$3000,"Received",'Purchase Orders'!$D$5:$D$3000,$A145)</f>
        <v>0</v>
      </c>
      <c r="I145" s="13" t="n">
        <f aca="false">$G145+$H145</f>
        <v>0</v>
      </c>
      <c r="J145" s="13" t="n">
        <f aca="false">SUMIFS('Issue Log'!$E$5:$E$6000,'Issue Log'!$B$5:$B$6000,$A145)</f>
        <v>0</v>
      </c>
      <c r="K145" s="13" t="n">
        <f aca="false">$F145+$I145-$J145</f>
        <v>5</v>
      </c>
      <c r="L145" s="13" t="n">
        <f aca="false">$K145*$E145</f>
        <v>4000</v>
      </c>
    </row>
    <row r="146" customFormat="false" ht="15" hidden="false" customHeight="true" outlineLevel="0" collapsed="false">
      <c r="A146" s="12" t="s">
        <v>678</v>
      </c>
      <c r="B146" s="12" t="s">
        <v>679</v>
      </c>
      <c r="C146" s="12" t="s">
        <v>129</v>
      </c>
      <c r="D146" s="12" t="s">
        <v>267</v>
      </c>
      <c r="E146" s="13" t="n">
        <v>700</v>
      </c>
      <c r="F146" s="13" t="n">
        <v>5</v>
      </c>
      <c r="G146" s="13" t="n">
        <f aca="false">SUMIFS('Expense Entry'!$H$5:$H$6000,'Expense Entry'!$E$5:$E$6000,"Inventory Purchase",'Expense Entry'!$F$5:$F$6000,$A146)</f>
        <v>0</v>
      </c>
      <c r="H146" s="13" t="n">
        <f aca="false">SUMIFS('Purchase Orders'!$F$5:$F$3000,'Purchase Orders'!$L$5:$L$3000,"Received",'Purchase Orders'!$D$5:$D$3000,$A146)</f>
        <v>0</v>
      </c>
      <c r="I146" s="13" t="n">
        <f aca="false">$G146+$H146</f>
        <v>0</v>
      </c>
      <c r="J146" s="13" t="n">
        <f aca="false">SUMIFS('Issue Log'!$E$5:$E$6000,'Issue Log'!$B$5:$B$6000,$A146)</f>
        <v>0</v>
      </c>
      <c r="K146" s="13" t="n">
        <f aca="false">$F146+$I146-$J146</f>
        <v>5</v>
      </c>
      <c r="L146" s="13" t="n">
        <f aca="false">$K146*$E146</f>
        <v>3500</v>
      </c>
    </row>
    <row r="147" customFormat="false" ht="15" hidden="false" customHeight="true" outlineLevel="0" collapsed="false">
      <c r="A147" s="12" t="s">
        <v>681</v>
      </c>
      <c r="B147" s="12" t="s">
        <v>682</v>
      </c>
      <c r="C147" s="12" t="s">
        <v>129</v>
      </c>
      <c r="D147" s="12" t="s">
        <v>267</v>
      </c>
      <c r="E147" s="13" t="n">
        <v>2</v>
      </c>
      <c r="F147" s="13" t="n">
        <v>0</v>
      </c>
      <c r="G147" s="13" t="n">
        <f aca="false">SUMIFS('Expense Entry'!$H$5:$H$6000,'Expense Entry'!$E$5:$E$6000,"Inventory Purchase",'Expense Entry'!$F$5:$F$6000,$A147)</f>
        <v>0</v>
      </c>
      <c r="H147" s="13" t="n">
        <f aca="false">SUMIFS('Purchase Orders'!$F$5:$F$3000,'Purchase Orders'!$L$5:$L$3000,"Received",'Purchase Orders'!$D$5:$D$3000,$A147)</f>
        <v>0</v>
      </c>
      <c r="I147" s="13" t="n">
        <f aca="false">$G147+$H147</f>
        <v>0</v>
      </c>
      <c r="J147" s="13" t="n">
        <f aca="false">SUMIFS('Issue Log'!$E$5:$E$6000,'Issue Log'!$B$5:$B$6000,$A147)</f>
        <v>0</v>
      </c>
      <c r="K147" s="13" t="n">
        <f aca="false">$F147+$I147-$J147</f>
        <v>0</v>
      </c>
      <c r="L147" s="13" t="n">
        <f aca="false">$K147*$E147</f>
        <v>0</v>
      </c>
    </row>
    <row r="148" customFormat="false" ht="15" hidden="false" customHeight="true" outlineLevel="0" collapsed="false">
      <c r="A148" s="12" t="s">
        <v>683</v>
      </c>
      <c r="B148" s="12" t="s">
        <v>684</v>
      </c>
      <c r="C148" s="12" t="s">
        <v>129</v>
      </c>
      <c r="D148" s="12" t="s">
        <v>267</v>
      </c>
      <c r="E148" s="13" t="n">
        <v>2</v>
      </c>
      <c r="F148" s="13" t="n">
        <v>0</v>
      </c>
      <c r="G148" s="13" t="n">
        <f aca="false">SUMIFS('Expense Entry'!$H$5:$H$6000,'Expense Entry'!$E$5:$E$6000,"Inventory Purchase",'Expense Entry'!$F$5:$F$6000,$A148)</f>
        <v>0</v>
      </c>
      <c r="H148" s="13" t="n">
        <f aca="false">SUMIFS('Purchase Orders'!$F$5:$F$3000,'Purchase Orders'!$L$5:$L$3000,"Received",'Purchase Orders'!$D$5:$D$3000,$A148)</f>
        <v>0</v>
      </c>
      <c r="I148" s="13" t="n">
        <f aca="false">$G148+$H148</f>
        <v>0</v>
      </c>
      <c r="J148" s="13" t="n">
        <f aca="false">SUMIFS('Issue Log'!$E$5:$E$6000,'Issue Log'!$B$5:$B$6000,$A148)</f>
        <v>0</v>
      </c>
      <c r="K148" s="13" t="n">
        <f aca="false">$F148+$I148-$J148</f>
        <v>0</v>
      </c>
      <c r="L148" s="13" t="n">
        <f aca="false">$K148*$E148</f>
        <v>0</v>
      </c>
    </row>
    <row r="149" customFormat="false" ht="15" hidden="false" customHeight="true" outlineLevel="0" collapsed="false">
      <c r="A149" s="12" t="s">
        <v>685</v>
      </c>
      <c r="B149" s="12" t="s">
        <v>686</v>
      </c>
      <c r="C149" s="12" t="s">
        <v>129</v>
      </c>
      <c r="D149" s="12" t="s">
        <v>267</v>
      </c>
      <c r="E149" s="13" t="n">
        <v>420</v>
      </c>
      <c r="F149" s="13" t="n">
        <v>80</v>
      </c>
      <c r="G149" s="13" t="n">
        <f aca="false">SUMIFS('Expense Entry'!$H$5:$H$6000,'Expense Entry'!$E$5:$E$6000,"Inventory Purchase",'Expense Entry'!$F$5:$F$6000,$A149)</f>
        <v>0</v>
      </c>
      <c r="H149" s="13" t="n">
        <f aca="false">SUMIFS('Purchase Orders'!$F$5:$F$3000,'Purchase Orders'!$L$5:$L$3000,"Received",'Purchase Orders'!$D$5:$D$3000,$A149)</f>
        <v>0</v>
      </c>
      <c r="I149" s="13" t="n">
        <f aca="false">$G149+$H149</f>
        <v>0</v>
      </c>
      <c r="J149" s="13" t="n">
        <f aca="false">SUMIFS('Issue Log'!$E$5:$E$6000,'Issue Log'!$B$5:$B$6000,$A149)</f>
        <v>0</v>
      </c>
      <c r="K149" s="13" t="n">
        <f aca="false">$F149+$I149-$J149</f>
        <v>80</v>
      </c>
      <c r="L149" s="13" t="n">
        <f aca="false">$K149*$E149</f>
        <v>33600</v>
      </c>
    </row>
    <row r="150" customFormat="false" ht="15" hidden="false" customHeight="true" outlineLevel="0" collapsed="false">
      <c r="A150" s="12" t="s">
        <v>688</v>
      </c>
      <c r="B150" s="12" t="s">
        <v>689</v>
      </c>
      <c r="C150" s="12" t="s">
        <v>129</v>
      </c>
      <c r="D150" s="12" t="s">
        <v>518</v>
      </c>
      <c r="E150" s="13" t="n">
        <v>1357</v>
      </c>
      <c r="F150" s="13" t="n">
        <v>0</v>
      </c>
      <c r="G150" s="13" t="n">
        <f aca="false">SUMIFS('Expense Entry'!$H$5:$H$6000,'Expense Entry'!$E$5:$E$6000,"Inventory Purchase",'Expense Entry'!$F$5:$F$6000,$A150)</f>
        <v>0</v>
      </c>
      <c r="H150" s="13" t="n">
        <f aca="false">SUMIFS('Purchase Orders'!$F$5:$F$3000,'Purchase Orders'!$L$5:$L$3000,"Received",'Purchase Orders'!$D$5:$D$3000,$A150)</f>
        <v>0</v>
      </c>
      <c r="I150" s="13" t="n">
        <f aca="false">$G150+$H150</f>
        <v>0</v>
      </c>
      <c r="J150" s="13" t="n">
        <f aca="false">SUMIFS('Issue Log'!$E$5:$E$6000,'Issue Log'!$B$5:$B$6000,$A150)</f>
        <v>0</v>
      </c>
      <c r="K150" s="13" t="n">
        <f aca="false">$F150+$I150-$J150</f>
        <v>0</v>
      </c>
      <c r="L150" s="13" t="n">
        <f aca="false">$K150*$E150</f>
        <v>0</v>
      </c>
    </row>
    <row r="151" customFormat="false" ht="15" hidden="false" customHeight="true" outlineLevel="0" collapsed="false">
      <c r="A151" s="12" t="s">
        <v>692</v>
      </c>
      <c r="B151" s="12" t="s">
        <v>693</v>
      </c>
      <c r="C151" s="12" t="s">
        <v>129</v>
      </c>
      <c r="D151" s="12" t="s">
        <v>694</v>
      </c>
      <c r="E151" s="13" t="n">
        <v>2414.75</v>
      </c>
      <c r="F151" s="13" t="n">
        <v>3</v>
      </c>
      <c r="G151" s="13" t="n">
        <f aca="false">SUMIFS('Expense Entry'!$H$5:$H$6000,'Expense Entry'!$E$5:$E$6000,"Inventory Purchase",'Expense Entry'!$F$5:$F$6000,$A151)</f>
        <v>0</v>
      </c>
      <c r="H151" s="13" t="n">
        <f aca="false">SUMIFS('Purchase Orders'!$F$5:$F$3000,'Purchase Orders'!$L$5:$L$3000,"Received",'Purchase Orders'!$D$5:$D$3000,$A151)</f>
        <v>0</v>
      </c>
      <c r="I151" s="13" t="n">
        <f aca="false">$G151+$H151</f>
        <v>0</v>
      </c>
      <c r="J151" s="13" t="n">
        <f aca="false">SUMIFS('Issue Log'!$E$5:$E$6000,'Issue Log'!$B$5:$B$6000,$A151)</f>
        <v>0</v>
      </c>
      <c r="K151" s="13" t="n">
        <f aca="false">$F151+$I151-$J151</f>
        <v>3</v>
      </c>
      <c r="L151" s="13" t="n">
        <f aca="false">$K151*$E151</f>
        <v>7244.25</v>
      </c>
    </row>
    <row r="152" customFormat="false" ht="15" hidden="false" customHeight="true" outlineLevel="0" collapsed="false">
      <c r="A152" s="12" t="s">
        <v>697</v>
      </c>
      <c r="B152" s="12" t="s">
        <v>698</v>
      </c>
      <c r="C152" s="12" t="s">
        <v>129</v>
      </c>
      <c r="D152" s="12" t="s">
        <v>518</v>
      </c>
      <c r="E152" s="13" t="n">
        <v>900</v>
      </c>
      <c r="F152" s="13" t="n">
        <v>57</v>
      </c>
      <c r="G152" s="13" t="n">
        <f aca="false">SUMIFS('Expense Entry'!$H$5:$H$6000,'Expense Entry'!$E$5:$E$6000,"Inventory Purchase",'Expense Entry'!$F$5:$F$6000,$A152)</f>
        <v>0</v>
      </c>
      <c r="H152" s="13" t="n">
        <f aca="false">SUMIFS('Purchase Orders'!$F$5:$F$3000,'Purchase Orders'!$L$5:$L$3000,"Received",'Purchase Orders'!$D$5:$D$3000,$A152)</f>
        <v>0</v>
      </c>
      <c r="I152" s="13" t="n">
        <f aca="false">$G152+$H152</f>
        <v>0</v>
      </c>
      <c r="J152" s="13" t="n">
        <f aca="false">SUMIFS('Issue Log'!$E$5:$E$6000,'Issue Log'!$B$5:$B$6000,$A152)</f>
        <v>0</v>
      </c>
      <c r="K152" s="13" t="n">
        <f aca="false">$F152+$I152-$J152</f>
        <v>57</v>
      </c>
      <c r="L152" s="13" t="n">
        <f aca="false">$K152*$E152</f>
        <v>51300</v>
      </c>
    </row>
    <row r="153" customFormat="false" ht="15" hidden="false" customHeight="true" outlineLevel="0" collapsed="false">
      <c r="A153" s="12" t="s">
        <v>699</v>
      </c>
      <c r="B153" s="12" t="s">
        <v>700</v>
      </c>
      <c r="C153" s="12" t="s">
        <v>129</v>
      </c>
      <c r="D153" s="12" t="s">
        <v>350</v>
      </c>
      <c r="E153" s="13" t="n">
        <v>197.5</v>
      </c>
      <c r="F153" s="13" t="n">
        <v>20</v>
      </c>
      <c r="G153" s="13" t="n">
        <f aca="false">SUMIFS('Expense Entry'!$H$5:$H$6000,'Expense Entry'!$E$5:$E$6000,"Inventory Purchase",'Expense Entry'!$F$5:$F$6000,$A153)</f>
        <v>0</v>
      </c>
      <c r="H153" s="13" t="n">
        <f aca="false">SUMIFS('Purchase Orders'!$F$5:$F$3000,'Purchase Orders'!$L$5:$L$3000,"Received",'Purchase Orders'!$D$5:$D$3000,$A153)</f>
        <v>0</v>
      </c>
      <c r="I153" s="13" t="n">
        <f aca="false">$G153+$H153</f>
        <v>0</v>
      </c>
      <c r="J153" s="13" t="n">
        <f aca="false">SUMIFS('Issue Log'!$E$5:$E$6000,'Issue Log'!$B$5:$B$6000,$A153)</f>
        <v>0</v>
      </c>
      <c r="K153" s="13" t="n">
        <f aca="false">$F153+$I153-$J153</f>
        <v>20</v>
      </c>
      <c r="L153" s="13" t="n">
        <f aca="false">$K153*$E153</f>
        <v>3950</v>
      </c>
    </row>
    <row r="154" customFormat="false" ht="15" hidden="false" customHeight="true" outlineLevel="0" collapsed="false">
      <c r="A154" s="12" t="s">
        <v>702</v>
      </c>
      <c r="B154" s="12" t="s">
        <v>703</v>
      </c>
      <c r="C154" s="12" t="s">
        <v>129</v>
      </c>
      <c r="D154" s="12" t="s">
        <v>267</v>
      </c>
      <c r="E154" s="13" t="n">
        <v>1085</v>
      </c>
      <c r="F154" s="13" t="n">
        <v>0</v>
      </c>
      <c r="G154" s="13" t="n">
        <f aca="false">SUMIFS('Expense Entry'!$H$5:$H$6000,'Expense Entry'!$E$5:$E$6000,"Inventory Purchase",'Expense Entry'!$F$5:$F$6000,$A154)</f>
        <v>0</v>
      </c>
      <c r="H154" s="13" t="n">
        <f aca="false">SUMIFS('Purchase Orders'!$F$5:$F$3000,'Purchase Orders'!$L$5:$L$3000,"Received",'Purchase Orders'!$D$5:$D$3000,$A154)</f>
        <v>0</v>
      </c>
      <c r="I154" s="13" t="n">
        <f aca="false">$G154+$H154</f>
        <v>0</v>
      </c>
      <c r="J154" s="13" t="n">
        <f aca="false">SUMIFS('Issue Log'!$E$5:$E$6000,'Issue Log'!$B$5:$B$6000,$A154)</f>
        <v>0</v>
      </c>
      <c r="K154" s="13" t="n">
        <f aca="false">$F154+$I154-$J154</f>
        <v>0</v>
      </c>
      <c r="L154" s="13" t="n">
        <f aca="false">$K154*$E154</f>
        <v>0</v>
      </c>
    </row>
    <row r="155" customFormat="false" ht="15" hidden="false" customHeight="true" outlineLevel="0" collapsed="false">
      <c r="A155" s="12" t="s">
        <v>705</v>
      </c>
      <c r="B155" s="12" t="s">
        <v>706</v>
      </c>
      <c r="C155" s="12" t="s">
        <v>129</v>
      </c>
      <c r="D155" s="12" t="s">
        <v>267</v>
      </c>
      <c r="E155" s="13" t="n">
        <v>0</v>
      </c>
      <c r="F155" s="13" t="n">
        <v>0</v>
      </c>
      <c r="G155" s="13" t="n">
        <f aca="false">SUMIFS('Expense Entry'!$H$5:$H$6000,'Expense Entry'!$E$5:$E$6000,"Inventory Purchase",'Expense Entry'!$F$5:$F$6000,$A155)</f>
        <v>0</v>
      </c>
      <c r="H155" s="13" t="n">
        <f aca="false">SUMIFS('Purchase Orders'!$F$5:$F$3000,'Purchase Orders'!$L$5:$L$3000,"Received",'Purchase Orders'!$D$5:$D$3000,$A155)</f>
        <v>0</v>
      </c>
      <c r="I155" s="13" t="n">
        <f aca="false">$G155+$H155</f>
        <v>0</v>
      </c>
      <c r="J155" s="13" t="n">
        <f aca="false">SUMIFS('Issue Log'!$E$5:$E$6000,'Issue Log'!$B$5:$B$6000,$A155)</f>
        <v>0</v>
      </c>
      <c r="K155" s="13" t="n">
        <f aca="false">$F155+$I155-$J155</f>
        <v>0</v>
      </c>
      <c r="L155" s="13" t="n">
        <f aca="false">$K155*$E155</f>
        <v>0</v>
      </c>
    </row>
    <row r="156" customFormat="false" ht="15" hidden="false" customHeight="true" outlineLevel="0" collapsed="false">
      <c r="A156" s="12" t="s">
        <v>709</v>
      </c>
      <c r="B156" s="12" t="s">
        <v>710</v>
      </c>
      <c r="C156" s="12" t="s">
        <v>129</v>
      </c>
      <c r="D156" s="12" t="s">
        <v>267</v>
      </c>
      <c r="E156" s="13" t="n">
        <v>0</v>
      </c>
      <c r="F156" s="13" t="n">
        <v>0</v>
      </c>
      <c r="G156" s="13" t="n">
        <f aca="false">SUMIFS('Expense Entry'!$H$5:$H$6000,'Expense Entry'!$E$5:$E$6000,"Inventory Purchase",'Expense Entry'!$F$5:$F$6000,$A156)</f>
        <v>0</v>
      </c>
      <c r="H156" s="13" t="n">
        <f aca="false">SUMIFS('Purchase Orders'!$F$5:$F$3000,'Purchase Orders'!$L$5:$L$3000,"Received",'Purchase Orders'!$D$5:$D$3000,$A156)</f>
        <v>0</v>
      </c>
      <c r="I156" s="13" t="n">
        <f aca="false">$G156+$H156</f>
        <v>0</v>
      </c>
      <c r="J156" s="13" t="n">
        <f aca="false">SUMIFS('Issue Log'!$E$5:$E$6000,'Issue Log'!$B$5:$B$6000,$A156)</f>
        <v>0</v>
      </c>
      <c r="K156" s="13" t="n">
        <f aca="false">$F156+$I156-$J156</f>
        <v>0</v>
      </c>
      <c r="L156" s="13" t="n">
        <f aca="false">$K156*$E156</f>
        <v>0</v>
      </c>
    </row>
    <row r="157" customFormat="false" ht="15" hidden="false" customHeight="true" outlineLevel="0" collapsed="false">
      <c r="A157" s="12" t="s">
        <v>712</v>
      </c>
      <c r="B157" s="12" t="s">
        <v>713</v>
      </c>
      <c r="C157" s="12" t="s">
        <v>129</v>
      </c>
      <c r="D157" s="12" t="s">
        <v>541</v>
      </c>
      <c r="E157" s="13" t="n">
        <v>362</v>
      </c>
      <c r="F157" s="13" t="n">
        <v>0</v>
      </c>
      <c r="G157" s="13" t="n">
        <f aca="false">SUMIFS('Expense Entry'!$H$5:$H$6000,'Expense Entry'!$E$5:$E$6000,"Inventory Purchase",'Expense Entry'!$F$5:$F$6000,$A157)</f>
        <v>0</v>
      </c>
      <c r="H157" s="13" t="n">
        <f aca="false">SUMIFS('Purchase Orders'!$F$5:$F$3000,'Purchase Orders'!$L$5:$L$3000,"Received",'Purchase Orders'!$D$5:$D$3000,$A157)</f>
        <v>0</v>
      </c>
      <c r="I157" s="13" t="n">
        <f aca="false">$G157+$H157</f>
        <v>0</v>
      </c>
      <c r="J157" s="13" t="n">
        <f aca="false">SUMIFS('Issue Log'!$E$5:$E$6000,'Issue Log'!$B$5:$B$6000,$A157)</f>
        <v>0</v>
      </c>
      <c r="K157" s="13" t="n">
        <f aca="false">$F157+$I157-$J157</f>
        <v>0</v>
      </c>
      <c r="L157" s="13" t="n">
        <f aca="false">$K157*$E157</f>
        <v>0</v>
      </c>
    </row>
    <row r="158" customFormat="false" ht="15" hidden="false" customHeight="true" outlineLevel="0" collapsed="false">
      <c r="A158" s="12" t="s">
        <v>715</v>
      </c>
      <c r="B158" s="12" t="s">
        <v>716</v>
      </c>
      <c r="C158" s="12" t="s">
        <v>129</v>
      </c>
      <c r="D158" s="12" t="s">
        <v>541</v>
      </c>
      <c r="E158" s="13" t="n">
        <v>362</v>
      </c>
      <c r="F158" s="13" t="n">
        <v>0</v>
      </c>
      <c r="G158" s="13" t="n">
        <f aca="false">SUMIFS('Expense Entry'!$H$5:$H$6000,'Expense Entry'!$E$5:$E$6000,"Inventory Purchase",'Expense Entry'!$F$5:$F$6000,$A158)</f>
        <v>0</v>
      </c>
      <c r="H158" s="13" t="n">
        <f aca="false">SUMIFS('Purchase Orders'!$F$5:$F$3000,'Purchase Orders'!$L$5:$L$3000,"Received",'Purchase Orders'!$D$5:$D$3000,$A158)</f>
        <v>0</v>
      </c>
      <c r="I158" s="13" t="n">
        <f aca="false">$G158+$H158</f>
        <v>0</v>
      </c>
      <c r="J158" s="13" t="n">
        <f aca="false">SUMIFS('Issue Log'!$E$5:$E$6000,'Issue Log'!$B$5:$B$6000,$A158)</f>
        <v>0</v>
      </c>
      <c r="K158" s="13" t="n">
        <f aca="false">$F158+$I158-$J158</f>
        <v>0</v>
      </c>
      <c r="L158" s="13" t="n">
        <f aca="false">$K158*$E158</f>
        <v>0</v>
      </c>
    </row>
    <row r="159" customFormat="false" ht="15" hidden="false" customHeight="true" outlineLevel="0" collapsed="false">
      <c r="A159" s="12" t="s">
        <v>718</v>
      </c>
      <c r="B159" s="12" t="s">
        <v>719</v>
      </c>
      <c r="C159" s="12" t="s">
        <v>129</v>
      </c>
      <c r="D159" s="12" t="s">
        <v>541</v>
      </c>
      <c r="E159" s="13" t="n">
        <v>362</v>
      </c>
      <c r="F159" s="13" t="n">
        <v>0</v>
      </c>
      <c r="G159" s="13" t="n">
        <f aca="false">SUMIFS('Expense Entry'!$H$5:$H$6000,'Expense Entry'!$E$5:$E$6000,"Inventory Purchase",'Expense Entry'!$F$5:$F$6000,$A159)</f>
        <v>0</v>
      </c>
      <c r="H159" s="13" t="n">
        <f aca="false">SUMIFS('Purchase Orders'!$F$5:$F$3000,'Purchase Orders'!$L$5:$L$3000,"Received",'Purchase Orders'!$D$5:$D$3000,$A159)</f>
        <v>0</v>
      </c>
      <c r="I159" s="13" t="n">
        <f aca="false">$G159+$H159</f>
        <v>0</v>
      </c>
      <c r="J159" s="13" t="n">
        <f aca="false">SUMIFS('Issue Log'!$E$5:$E$6000,'Issue Log'!$B$5:$B$6000,$A159)</f>
        <v>0</v>
      </c>
      <c r="K159" s="13" t="n">
        <f aca="false">$F159+$I159-$J159</f>
        <v>0</v>
      </c>
      <c r="L159" s="13" t="n">
        <f aca="false">$K159*$E159</f>
        <v>0</v>
      </c>
    </row>
    <row r="160" customFormat="false" ht="15" hidden="false" customHeight="true" outlineLevel="0" collapsed="false">
      <c r="A160" s="12" t="s">
        <v>721</v>
      </c>
      <c r="B160" s="12" t="s">
        <v>722</v>
      </c>
      <c r="C160" s="12" t="s">
        <v>129</v>
      </c>
      <c r="D160" s="12" t="s">
        <v>541</v>
      </c>
      <c r="E160" s="13" t="n">
        <v>362</v>
      </c>
      <c r="F160" s="13" t="n">
        <v>0</v>
      </c>
      <c r="G160" s="13" t="n">
        <f aca="false">SUMIFS('Expense Entry'!$H$5:$H$6000,'Expense Entry'!$E$5:$E$6000,"Inventory Purchase",'Expense Entry'!$F$5:$F$6000,$A160)</f>
        <v>0</v>
      </c>
      <c r="H160" s="13" t="n">
        <f aca="false">SUMIFS('Purchase Orders'!$F$5:$F$3000,'Purchase Orders'!$L$5:$L$3000,"Received",'Purchase Orders'!$D$5:$D$3000,$A160)</f>
        <v>0</v>
      </c>
      <c r="I160" s="13" t="n">
        <f aca="false">$G160+$H160</f>
        <v>0</v>
      </c>
      <c r="J160" s="13" t="n">
        <f aca="false">SUMIFS('Issue Log'!$E$5:$E$6000,'Issue Log'!$B$5:$B$6000,$A160)</f>
        <v>0</v>
      </c>
      <c r="K160" s="13" t="n">
        <f aca="false">$F160+$I160-$J160</f>
        <v>0</v>
      </c>
      <c r="L160" s="13" t="n">
        <f aca="false">$K160*$E160</f>
        <v>0</v>
      </c>
    </row>
    <row r="161" customFormat="false" ht="15" hidden="false" customHeight="true" outlineLevel="0" collapsed="false">
      <c r="A161" s="12" t="s">
        <v>724</v>
      </c>
      <c r="B161" s="12" t="s">
        <v>725</v>
      </c>
      <c r="C161" s="12" t="s">
        <v>129</v>
      </c>
      <c r="D161" s="12" t="s">
        <v>541</v>
      </c>
      <c r="E161" s="13" t="n">
        <v>362</v>
      </c>
      <c r="F161" s="13" t="n">
        <v>0</v>
      </c>
      <c r="G161" s="13" t="n">
        <f aca="false">SUMIFS('Expense Entry'!$H$5:$H$6000,'Expense Entry'!$E$5:$E$6000,"Inventory Purchase",'Expense Entry'!$F$5:$F$6000,$A161)</f>
        <v>0</v>
      </c>
      <c r="H161" s="13" t="n">
        <f aca="false">SUMIFS('Purchase Orders'!$F$5:$F$3000,'Purchase Orders'!$L$5:$L$3000,"Received",'Purchase Orders'!$D$5:$D$3000,$A161)</f>
        <v>0</v>
      </c>
      <c r="I161" s="13" t="n">
        <f aca="false">$G161+$H161</f>
        <v>0</v>
      </c>
      <c r="J161" s="13" t="n">
        <f aca="false">SUMIFS('Issue Log'!$E$5:$E$6000,'Issue Log'!$B$5:$B$6000,$A161)</f>
        <v>0</v>
      </c>
      <c r="K161" s="13" t="n">
        <f aca="false">$F161+$I161-$J161</f>
        <v>0</v>
      </c>
      <c r="L161" s="13" t="n">
        <f aca="false">$K161*$E161</f>
        <v>0</v>
      </c>
    </row>
    <row r="162" customFormat="false" ht="15" hidden="false" customHeight="true" outlineLevel="0" collapsed="false">
      <c r="A162" s="12" t="s">
        <v>727</v>
      </c>
      <c r="B162" s="12" t="s">
        <v>728</v>
      </c>
      <c r="C162" s="12" t="s">
        <v>129</v>
      </c>
      <c r="D162" s="12" t="s">
        <v>350</v>
      </c>
      <c r="E162" s="13" t="n">
        <v>605</v>
      </c>
      <c r="F162" s="13" t="n">
        <v>0</v>
      </c>
      <c r="G162" s="13" t="n">
        <f aca="false">SUMIFS('Expense Entry'!$H$5:$H$6000,'Expense Entry'!$E$5:$E$6000,"Inventory Purchase",'Expense Entry'!$F$5:$F$6000,$A162)</f>
        <v>0</v>
      </c>
      <c r="H162" s="13" t="n">
        <f aca="false">SUMIFS('Purchase Orders'!$F$5:$F$3000,'Purchase Orders'!$L$5:$L$3000,"Received",'Purchase Orders'!$D$5:$D$3000,$A162)</f>
        <v>0</v>
      </c>
      <c r="I162" s="13" t="n">
        <f aca="false">$G162+$H162</f>
        <v>0</v>
      </c>
      <c r="J162" s="13" t="n">
        <f aca="false">SUMIFS('Issue Log'!$E$5:$E$6000,'Issue Log'!$B$5:$B$6000,$A162)</f>
        <v>0</v>
      </c>
      <c r="K162" s="13" t="n">
        <f aca="false">$F162+$I162-$J162</f>
        <v>0</v>
      </c>
      <c r="L162" s="13" t="n">
        <f aca="false">$K162*$E162</f>
        <v>0</v>
      </c>
    </row>
    <row r="163" customFormat="false" ht="15" hidden="false" customHeight="true" outlineLevel="0" collapsed="false">
      <c r="A163" s="12" t="s">
        <v>730</v>
      </c>
      <c r="B163" s="12" t="s">
        <v>731</v>
      </c>
      <c r="C163" s="12" t="s">
        <v>129</v>
      </c>
      <c r="D163" s="12" t="s">
        <v>350</v>
      </c>
      <c r="E163" s="13" t="n">
        <v>605</v>
      </c>
      <c r="F163" s="13" t="n">
        <v>0</v>
      </c>
      <c r="G163" s="13" t="n">
        <f aca="false">SUMIFS('Expense Entry'!$H$5:$H$6000,'Expense Entry'!$E$5:$E$6000,"Inventory Purchase",'Expense Entry'!$F$5:$F$6000,$A163)</f>
        <v>0</v>
      </c>
      <c r="H163" s="13" t="n">
        <f aca="false">SUMIFS('Purchase Orders'!$F$5:$F$3000,'Purchase Orders'!$L$5:$L$3000,"Received",'Purchase Orders'!$D$5:$D$3000,$A163)</f>
        <v>0</v>
      </c>
      <c r="I163" s="13" t="n">
        <f aca="false">$G163+$H163</f>
        <v>0</v>
      </c>
      <c r="J163" s="13" t="n">
        <f aca="false">SUMIFS('Issue Log'!$E$5:$E$6000,'Issue Log'!$B$5:$B$6000,$A163)</f>
        <v>0</v>
      </c>
      <c r="K163" s="13" t="n">
        <f aca="false">$F163+$I163-$J163</f>
        <v>0</v>
      </c>
      <c r="L163" s="13" t="n">
        <f aca="false">$K163*$E163</f>
        <v>0</v>
      </c>
    </row>
    <row r="164" customFormat="false" ht="15" hidden="false" customHeight="true" outlineLevel="0" collapsed="false">
      <c r="A164" s="12" t="s">
        <v>732</v>
      </c>
      <c r="B164" s="12" t="s">
        <v>733</v>
      </c>
      <c r="C164" s="12" t="s">
        <v>129</v>
      </c>
      <c r="D164" s="12" t="s">
        <v>734</v>
      </c>
      <c r="E164" s="13" t="n">
        <v>1366</v>
      </c>
      <c r="F164" s="13" t="n">
        <v>0</v>
      </c>
      <c r="G164" s="13" t="n">
        <f aca="false">SUMIFS('Expense Entry'!$H$5:$H$6000,'Expense Entry'!$E$5:$E$6000,"Inventory Purchase",'Expense Entry'!$F$5:$F$6000,$A164)</f>
        <v>0</v>
      </c>
      <c r="H164" s="13" t="n">
        <f aca="false">SUMIFS('Purchase Orders'!$F$5:$F$3000,'Purchase Orders'!$L$5:$L$3000,"Received",'Purchase Orders'!$D$5:$D$3000,$A164)</f>
        <v>0</v>
      </c>
      <c r="I164" s="13" t="n">
        <f aca="false">$G164+$H164</f>
        <v>0</v>
      </c>
      <c r="J164" s="13" t="n">
        <f aca="false">SUMIFS('Issue Log'!$E$5:$E$6000,'Issue Log'!$B$5:$B$6000,$A164)</f>
        <v>0</v>
      </c>
      <c r="K164" s="13" t="n">
        <f aca="false">$F164+$I164-$J164</f>
        <v>0</v>
      </c>
      <c r="L164" s="13" t="n">
        <f aca="false">$K164*$E164</f>
        <v>0</v>
      </c>
    </row>
    <row r="165" customFormat="false" ht="15" hidden="false" customHeight="true" outlineLevel="0" collapsed="false">
      <c r="A165" s="12" t="s">
        <v>735</v>
      </c>
      <c r="B165" s="12" t="s">
        <v>736</v>
      </c>
      <c r="C165" s="12" t="s">
        <v>129</v>
      </c>
      <c r="D165" s="12" t="s">
        <v>267</v>
      </c>
      <c r="E165" s="13" t="n">
        <v>870</v>
      </c>
      <c r="F165" s="13" t="n">
        <v>0</v>
      </c>
      <c r="G165" s="13" t="n">
        <f aca="false">SUMIFS('Expense Entry'!$H$5:$H$6000,'Expense Entry'!$E$5:$E$6000,"Inventory Purchase",'Expense Entry'!$F$5:$F$6000,$A165)</f>
        <v>0</v>
      </c>
      <c r="H165" s="13" t="n">
        <f aca="false">SUMIFS('Purchase Orders'!$F$5:$F$3000,'Purchase Orders'!$L$5:$L$3000,"Received",'Purchase Orders'!$D$5:$D$3000,$A165)</f>
        <v>0</v>
      </c>
      <c r="I165" s="13" t="n">
        <f aca="false">$G165+$H165</f>
        <v>0</v>
      </c>
      <c r="J165" s="13" t="n">
        <f aca="false">SUMIFS('Issue Log'!$E$5:$E$6000,'Issue Log'!$B$5:$B$6000,$A165)</f>
        <v>0</v>
      </c>
      <c r="K165" s="13" t="n">
        <f aca="false">$F165+$I165-$J165</f>
        <v>0</v>
      </c>
      <c r="L165" s="13" t="n">
        <f aca="false">$K165*$E165</f>
        <v>0</v>
      </c>
    </row>
    <row r="166" customFormat="false" ht="15" hidden="false" customHeight="true" outlineLevel="0" collapsed="false">
      <c r="A166" s="12" t="s">
        <v>737</v>
      </c>
      <c r="B166" s="12" t="s">
        <v>738</v>
      </c>
      <c r="C166" s="12" t="s">
        <v>129</v>
      </c>
      <c r="D166" s="12" t="s">
        <v>241</v>
      </c>
      <c r="E166" s="13" t="n">
        <v>0</v>
      </c>
      <c r="F166" s="13" t="n">
        <v>0</v>
      </c>
      <c r="G166" s="13" t="n">
        <f aca="false">SUMIFS('Expense Entry'!$H$5:$H$6000,'Expense Entry'!$E$5:$E$6000,"Inventory Purchase",'Expense Entry'!$F$5:$F$6000,$A166)</f>
        <v>0</v>
      </c>
      <c r="H166" s="13" t="n">
        <f aca="false">SUMIFS('Purchase Orders'!$F$5:$F$3000,'Purchase Orders'!$L$5:$L$3000,"Received",'Purchase Orders'!$D$5:$D$3000,$A166)</f>
        <v>0</v>
      </c>
      <c r="I166" s="13" t="n">
        <f aca="false">$G166+$H166</f>
        <v>0</v>
      </c>
      <c r="J166" s="13" t="n">
        <f aca="false">SUMIFS('Issue Log'!$E$5:$E$6000,'Issue Log'!$B$5:$B$6000,$A166)</f>
        <v>0</v>
      </c>
      <c r="K166" s="13" t="n">
        <f aca="false">$F166+$I166-$J166</f>
        <v>0</v>
      </c>
      <c r="L166" s="13" t="n">
        <f aca="false">$K166*$E166</f>
        <v>0</v>
      </c>
    </row>
    <row r="167" customFormat="false" ht="15" hidden="false" customHeight="true" outlineLevel="0" collapsed="false">
      <c r="A167" s="12" t="s">
        <v>740</v>
      </c>
      <c r="B167" s="12" t="s">
        <v>741</v>
      </c>
      <c r="C167" s="12" t="s">
        <v>129</v>
      </c>
      <c r="D167" s="12" t="s">
        <v>734</v>
      </c>
      <c r="E167" s="13" t="n">
        <v>3510</v>
      </c>
      <c r="F167" s="13" t="n">
        <v>0</v>
      </c>
      <c r="G167" s="13" t="n">
        <f aca="false">SUMIFS('Expense Entry'!$H$5:$H$6000,'Expense Entry'!$E$5:$E$6000,"Inventory Purchase",'Expense Entry'!$F$5:$F$6000,$A167)</f>
        <v>0</v>
      </c>
      <c r="H167" s="13" t="n">
        <f aca="false">SUMIFS('Purchase Orders'!$F$5:$F$3000,'Purchase Orders'!$L$5:$L$3000,"Received",'Purchase Orders'!$D$5:$D$3000,$A167)</f>
        <v>0</v>
      </c>
      <c r="I167" s="13" t="n">
        <f aca="false">$G167+$H167</f>
        <v>0</v>
      </c>
      <c r="J167" s="13" t="n">
        <f aca="false">SUMIFS('Issue Log'!$E$5:$E$6000,'Issue Log'!$B$5:$B$6000,$A167)</f>
        <v>0</v>
      </c>
      <c r="K167" s="13" t="n">
        <f aca="false">$F167+$I167-$J167</f>
        <v>0</v>
      </c>
      <c r="L167" s="13" t="n">
        <f aca="false">$K167*$E167</f>
        <v>0</v>
      </c>
    </row>
    <row r="168" customFormat="false" ht="15" hidden="false" customHeight="true" outlineLevel="0" collapsed="false">
      <c r="A168" s="12" t="s">
        <v>742</v>
      </c>
      <c r="B168" s="12" t="s">
        <v>743</v>
      </c>
      <c r="C168" s="12" t="s">
        <v>129</v>
      </c>
      <c r="D168" s="12" t="s">
        <v>561</v>
      </c>
      <c r="E168" s="13" t="n">
        <v>1030</v>
      </c>
      <c r="F168" s="13" t="n">
        <v>0</v>
      </c>
      <c r="G168" s="13" t="n">
        <f aca="false">SUMIFS('Expense Entry'!$H$5:$H$6000,'Expense Entry'!$E$5:$E$6000,"Inventory Purchase",'Expense Entry'!$F$5:$F$6000,$A168)</f>
        <v>0</v>
      </c>
      <c r="H168" s="13" t="n">
        <f aca="false">SUMIFS('Purchase Orders'!$F$5:$F$3000,'Purchase Orders'!$L$5:$L$3000,"Received",'Purchase Orders'!$D$5:$D$3000,$A168)</f>
        <v>0</v>
      </c>
      <c r="I168" s="13" t="n">
        <f aca="false">$G168+$H168</f>
        <v>0</v>
      </c>
      <c r="J168" s="13" t="n">
        <f aca="false">SUMIFS('Issue Log'!$E$5:$E$6000,'Issue Log'!$B$5:$B$6000,$A168)</f>
        <v>0</v>
      </c>
      <c r="K168" s="13" t="n">
        <f aca="false">$F168+$I168-$J168</f>
        <v>0</v>
      </c>
      <c r="L168" s="13" t="n">
        <f aca="false">$K168*$E168</f>
        <v>0</v>
      </c>
    </row>
    <row r="169" customFormat="false" ht="15" hidden="false" customHeight="true" outlineLevel="0" collapsed="false">
      <c r="A169" s="12" t="s">
        <v>744</v>
      </c>
      <c r="B169" s="12" t="s">
        <v>542</v>
      </c>
      <c r="C169" s="12" t="s">
        <v>129</v>
      </c>
      <c r="D169" s="12" t="s">
        <v>745</v>
      </c>
      <c r="E169" s="13" t="n">
        <v>180</v>
      </c>
      <c r="F169" s="13" t="n">
        <v>0</v>
      </c>
      <c r="G169" s="13" t="n">
        <f aca="false">SUMIFS('Expense Entry'!$H$5:$H$6000,'Expense Entry'!$E$5:$E$6000,"Inventory Purchase",'Expense Entry'!$F$5:$F$6000,$A169)</f>
        <v>0</v>
      </c>
      <c r="H169" s="13" t="n">
        <f aca="false">SUMIFS('Purchase Orders'!$F$5:$F$3000,'Purchase Orders'!$L$5:$L$3000,"Received",'Purchase Orders'!$D$5:$D$3000,$A169)</f>
        <v>0</v>
      </c>
      <c r="I169" s="13" t="n">
        <f aca="false">$G169+$H169</f>
        <v>0</v>
      </c>
      <c r="J169" s="13" t="n">
        <f aca="false">SUMIFS('Issue Log'!$E$5:$E$6000,'Issue Log'!$B$5:$B$6000,$A169)</f>
        <v>0</v>
      </c>
      <c r="K169" s="13" t="n">
        <f aca="false">$F169+$I169-$J169</f>
        <v>0</v>
      </c>
      <c r="L169" s="13" t="n">
        <f aca="false">$K169*$E169</f>
        <v>0</v>
      </c>
    </row>
    <row r="170" customFormat="false" ht="15" hidden="false" customHeight="true" outlineLevel="0" collapsed="false">
      <c r="A170" s="12" t="s">
        <v>746</v>
      </c>
      <c r="B170" s="12" t="s">
        <v>701</v>
      </c>
      <c r="C170" s="12" t="s">
        <v>129</v>
      </c>
      <c r="D170" s="12" t="s">
        <v>267</v>
      </c>
      <c r="E170" s="13" t="n">
        <v>1150</v>
      </c>
      <c r="F170" s="13" t="n">
        <v>1</v>
      </c>
      <c r="G170" s="13" t="n">
        <f aca="false">SUMIFS('Expense Entry'!$H$5:$H$6000,'Expense Entry'!$E$5:$E$6000,"Inventory Purchase",'Expense Entry'!$F$5:$F$6000,$A170)</f>
        <v>0</v>
      </c>
      <c r="H170" s="13" t="n">
        <f aca="false">SUMIFS('Purchase Orders'!$F$5:$F$3000,'Purchase Orders'!$L$5:$L$3000,"Received",'Purchase Orders'!$D$5:$D$3000,$A170)</f>
        <v>0</v>
      </c>
      <c r="I170" s="13" t="n">
        <f aca="false">$G170+$H170</f>
        <v>0</v>
      </c>
      <c r="J170" s="13" t="n">
        <f aca="false">SUMIFS('Issue Log'!$E$5:$E$6000,'Issue Log'!$B$5:$B$6000,$A170)</f>
        <v>0</v>
      </c>
      <c r="K170" s="13" t="n">
        <f aca="false">$F170+$I170-$J170</f>
        <v>1</v>
      </c>
      <c r="L170" s="13" t="n">
        <f aca="false">$K170*$E170</f>
        <v>1150</v>
      </c>
    </row>
    <row r="171" customFormat="false" ht="15" hidden="false" customHeight="true" outlineLevel="0" collapsed="false">
      <c r="A171" s="12" t="s">
        <v>747</v>
      </c>
      <c r="B171" s="12" t="s">
        <v>748</v>
      </c>
      <c r="C171" s="12" t="s">
        <v>129</v>
      </c>
      <c r="D171" s="12" t="s">
        <v>350</v>
      </c>
      <c r="E171" s="13" t="n">
        <v>1295</v>
      </c>
      <c r="F171" s="13" t="n">
        <v>9</v>
      </c>
      <c r="G171" s="13" t="n">
        <f aca="false">SUMIFS('Expense Entry'!$H$5:$H$6000,'Expense Entry'!$E$5:$E$6000,"Inventory Purchase",'Expense Entry'!$F$5:$F$6000,$A171)</f>
        <v>0</v>
      </c>
      <c r="H171" s="13" t="n">
        <f aca="false">SUMIFS('Purchase Orders'!$F$5:$F$3000,'Purchase Orders'!$L$5:$L$3000,"Received",'Purchase Orders'!$D$5:$D$3000,$A171)</f>
        <v>0</v>
      </c>
      <c r="I171" s="13" t="n">
        <f aca="false">$G171+$H171</f>
        <v>0</v>
      </c>
      <c r="J171" s="13" t="n">
        <f aca="false">SUMIFS('Issue Log'!$E$5:$E$6000,'Issue Log'!$B$5:$B$6000,$A171)</f>
        <v>0</v>
      </c>
      <c r="K171" s="13" t="n">
        <f aca="false">$F171+$I171-$J171</f>
        <v>9</v>
      </c>
      <c r="L171" s="13" t="n">
        <f aca="false">$K171*$E171</f>
        <v>11655</v>
      </c>
    </row>
    <row r="172" customFormat="false" ht="15" hidden="false" customHeight="true" outlineLevel="0" collapsed="false">
      <c r="A172" s="12" t="s">
        <v>750</v>
      </c>
      <c r="B172" s="12" t="s">
        <v>751</v>
      </c>
      <c r="C172" s="12" t="s">
        <v>129</v>
      </c>
      <c r="D172" s="12" t="s">
        <v>752</v>
      </c>
      <c r="E172" s="13" t="n">
        <v>320</v>
      </c>
      <c r="F172" s="13" t="n">
        <v>0</v>
      </c>
      <c r="G172" s="13" t="n">
        <f aca="false">SUMIFS('Expense Entry'!$H$5:$H$6000,'Expense Entry'!$E$5:$E$6000,"Inventory Purchase",'Expense Entry'!$F$5:$F$6000,$A172)</f>
        <v>0</v>
      </c>
      <c r="H172" s="13" t="n">
        <f aca="false">SUMIFS('Purchase Orders'!$F$5:$F$3000,'Purchase Orders'!$L$5:$L$3000,"Received",'Purchase Orders'!$D$5:$D$3000,$A172)</f>
        <v>0</v>
      </c>
      <c r="I172" s="13" t="n">
        <f aca="false">$G172+$H172</f>
        <v>0</v>
      </c>
      <c r="J172" s="13" t="n">
        <f aca="false">SUMIFS('Issue Log'!$E$5:$E$6000,'Issue Log'!$B$5:$B$6000,$A172)</f>
        <v>0</v>
      </c>
      <c r="K172" s="13" t="n">
        <f aca="false">$F172+$I172-$J172</f>
        <v>0</v>
      </c>
      <c r="L172" s="13" t="n">
        <f aca="false">$K172*$E172</f>
        <v>0</v>
      </c>
    </row>
    <row r="173" customFormat="false" ht="15" hidden="false" customHeight="true" outlineLevel="0" collapsed="false">
      <c r="A173" s="12" t="s">
        <v>753</v>
      </c>
      <c r="B173" s="12" t="s">
        <v>754</v>
      </c>
      <c r="C173" s="12" t="s">
        <v>129</v>
      </c>
      <c r="D173" s="12" t="s">
        <v>541</v>
      </c>
      <c r="E173" s="13" t="n">
        <v>213</v>
      </c>
      <c r="F173" s="13" t="n">
        <v>0</v>
      </c>
      <c r="G173" s="13" t="n">
        <f aca="false">SUMIFS('Expense Entry'!$H$5:$H$6000,'Expense Entry'!$E$5:$E$6000,"Inventory Purchase",'Expense Entry'!$F$5:$F$6000,$A173)</f>
        <v>0</v>
      </c>
      <c r="H173" s="13" t="n">
        <f aca="false">SUMIFS('Purchase Orders'!$F$5:$F$3000,'Purchase Orders'!$L$5:$L$3000,"Received",'Purchase Orders'!$D$5:$D$3000,$A173)</f>
        <v>0</v>
      </c>
      <c r="I173" s="13" t="n">
        <f aca="false">$G173+$H173</f>
        <v>0</v>
      </c>
      <c r="J173" s="13" t="n">
        <f aca="false">SUMIFS('Issue Log'!$E$5:$E$6000,'Issue Log'!$B$5:$B$6000,$A173)</f>
        <v>0</v>
      </c>
      <c r="K173" s="13" t="n">
        <f aca="false">$F173+$I173-$J173</f>
        <v>0</v>
      </c>
      <c r="L173" s="13" t="n">
        <f aca="false">$K173*$E173</f>
        <v>0</v>
      </c>
    </row>
    <row r="174" customFormat="false" ht="15" hidden="false" customHeight="true" outlineLevel="0" collapsed="false">
      <c r="A174" s="12" t="s">
        <v>755</v>
      </c>
      <c r="B174" s="12" t="s">
        <v>756</v>
      </c>
      <c r="C174" s="12" t="s">
        <v>129</v>
      </c>
      <c r="D174" s="12" t="s">
        <v>734</v>
      </c>
      <c r="E174" s="13" t="n">
        <v>3510</v>
      </c>
      <c r="F174" s="13" t="n">
        <v>0</v>
      </c>
      <c r="G174" s="13" t="n">
        <f aca="false">SUMIFS('Expense Entry'!$H$5:$H$6000,'Expense Entry'!$E$5:$E$6000,"Inventory Purchase",'Expense Entry'!$F$5:$F$6000,$A174)</f>
        <v>0</v>
      </c>
      <c r="H174" s="13" t="n">
        <f aca="false">SUMIFS('Purchase Orders'!$F$5:$F$3000,'Purchase Orders'!$L$5:$L$3000,"Received",'Purchase Orders'!$D$5:$D$3000,$A174)</f>
        <v>0</v>
      </c>
      <c r="I174" s="13" t="n">
        <f aca="false">$G174+$H174</f>
        <v>0</v>
      </c>
      <c r="J174" s="13" t="n">
        <f aca="false">SUMIFS('Issue Log'!$E$5:$E$6000,'Issue Log'!$B$5:$B$6000,$A174)</f>
        <v>0</v>
      </c>
      <c r="K174" s="13" t="n">
        <f aca="false">$F174+$I174-$J174</f>
        <v>0</v>
      </c>
      <c r="L174" s="13" t="n">
        <f aca="false">$K174*$E174</f>
        <v>0</v>
      </c>
    </row>
    <row r="175" customFormat="false" ht="15" hidden="false" customHeight="true" outlineLevel="0" collapsed="false">
      <c r="A175" s="12" t="s">
        <v>757</v>
      </c>
      <c r="B175" s="12" t="s">
        <v>758</v>
      </c>
      <c r="C175" s="12" t="s">
        <v>129</v>
      </c>
      <c r="D175" s="12" t="s">
        <v>734</v>
      </c>
      <c r="E175" s="13" t="n">
        <v>3540</v>
      </c>
      <c r="F175" s="13" t="n">
        <v>0</v>
      </c>
      <c r="G175" s="13" t="n">
        <f aca="false">SUMIFS('Expense Entry'!$H$5:$H$6000,'Expense Entry'!$E$5:$E$6000,"Inventory Purchase",'Expense Entry'!$F$5:$F$6000,$A175)</f>
        <v>0</v>
      </c>
      <c r="H175" s="13" t="n">
        <f aca="false">SUMIFS('Purchase Orders'!$F$5:$F$3000,'Purchase Orders'!$L$5:$L$3000,"Received",'Purchase Orders'!$D$5:$D$3000,$A175)</f>
        <v>0</v>
      </c>
      <c r="I175" s="13" t="n">
        <f aca="false">$G175+$H175</f>
        <v>0</v>
      </c>
      <c r="J175" s="13" t="n">
        <f aca="false">SUMIFS('Issue Log'!$E$5:$E$6000,'Issue Log'!$B$5:$B$6000,$A175)</f>
        <v>0</v>
      </c>
      <c r="K175" s="13" t="n">
        <f aca="false">$F175+$I175-$J175</f>
        <v>0</v>
      </c>
      <c r="L175" s="13" t="n">
        <f aca="false">$K175*$E175</f>
        <v>0</v>
      </c>
    </row>
    <row r="176" customFormat="false" ht="15" hidden="false" customHeight="true" outlineLevel="0" collapsed="false">
      <c r="A176" s="12" t="s">
        <v>760</v>
      </c>
      <c r="B176" s="12" t="s">
        <v>761</v>
      </c>
      <c r="C176" s="12" t="s">
        <v>129</v>
      </c>
      <c r="D176" s="12" t="s">
        <v>734</v>
      </c>
      <c r="E176" s="13" t="n">
        <v>3510</v>
      </c>
      <c r="F176" s="13" t="n">
        <v>0</v>
      </c>
      <c r="G176" s="13" t="n">
        <f aca="false">SUMIFS('Expense Entry'!$H$5:$H$6000,'Expense Entry'!$E$5:$E$6000,"Inventory Purchase",'Expense Entry'!$F$5:$F$6000,$A176)</f>
        <v>0</v>
      </c>
      <c r="H176" s="13" t="n">
        <f aca="false">SUMIFS('Purchase Orders'!$F$5:$F$3000,'Purchase Orders'!$L$5:$L$3000,"Received",'Purchase Orders'!$D$5:$D$3000,$A176)</f>
        <v>0</v>
      </c>
      <c r="I176" s="13" t="n">
        <f aca="false">$G176+$H176</f>
        <v>0</v>
      </c>
      <c r="J176" s="13" t="n">
        <f aca="false">SUMIFS('Issue Log'!$E$5:$E$6000,'Issue Log'!$B$5:$B$6000,$A176)</f>
        <v>0</v>
      </c>
      <c r="K176" s="13" t="n">
        <f aca="false">$F176+$I176-$J176</f>
        <v>0</v>
      </c>
      <c r="L176" s="13" t="n">
        <f aca="false">$K176*$E176</f>
        <v>0</v>
      </c>
    </row>
    <row r="177" customFormat="false" ht="15" hidden="false" customHeight="true" outlineLevel="0" collapsed="false">
      <c r="A177" s="12" t="s">
        <v>764</v>
      </c>
      <c r="B177" s="12" t="s">
        <v>765</v>
      </c>
      <c r="C177" s="12" t="s">
        <v>129</v>
      </c>
      <c r="D177" s="12" t="s">
        <v>734</v>
      </c>
      <c r="E177" s="13" t="n">
        <v>3510</v>
      </c>
      <c r="F177" s="13" t="n">
        <v>0</v>
      </c>
      <c r="G177" s="13" t="n">
        <f aca="false">SUMIFS('Expense Entry'!$H$5:$H$6000,'Expense Entry'!$E$5:$E$6000,"Inventory Purchase",'Expense Entry'!$F$5:$F$6000,$A177)</f>
        <v>0</v>
      </c>
      <c r="H177" s="13" t="n">
        <f aca="false">SUMIFS('Purchase Orders'!$F$5:$F$3000,'Purchase Orders'!$L$5:$L$3000,"Received",'Purchase Orders'!$D$5:$D$3000,$A177)</f>
        <v>0</v>
      </c>
      <c r="I177" s="13" t="n">
        <f aca="false">$G177+$H177</f>
        <v>0</v>
      </c>
      <c r="J177" s="13" t="n">
        <f aca="false">SUMIFS('Issue Log'!$E$5:$E$6000,'Issue Log'!$B$5:$B$6000,$A177)</f>
        <v>0</v>
      </c>
      <c r="K177" s="13" t="n">
        <f aca="false">$F177+$I177-$J177</f>
        <v>0</v>
      </c>
      <c r="L177" s="13" t="n">
        <f aca="false">$K177*$E177</f>
        <v>0</v>
      </c>
    </row>
    <row r="178" customFormat="false" ht="15" hidden="false" customHeight="true" outlineLevel="0" collapsed="false">
      <c r="A178" s="12" t="s">
        <v>766</v>
      </c>
      <c r="B178" s="12" t="s">
        <v>767</v>
      </c>
      <c r="C178" s="12" t="s">
        <v>129</v>
      </c>
      <c r="D178" s="12" t="s">
        <v>734</v>
      </c>
      <c r="E178" s="13" t="n">
        <v>3510</v>
      </c>
      <c r="F178" s="13" t="n">
        <v>0</v>
      </c>
      <c r="G178" s="13" t="n">
        <f aca="false">SUMIFS('Expense Entry'!$H$5:$H$6000,'Expense Entry'!$E$5:$E$6000,"Inventory Purchase",'Expense Entry'!$F$5:$F$6000,$A178)</f>
        <v>0</v>
      </c>
      <c r="H178" s="13" t="n">
        <f aca="false">SUMIFS('Purchase Orders'!$F$5:$F$3000,'Purchase Orders'!$L$5:$L$3000,"Received",'Purchase Orders'!$D$5:$D$3000,$A178)</f>
        <v>0</v>
      </c>
      <c r="I178" s="13" t="n">
        <f aca="false">$G178+$H178</f>
        <v>0</v>
      </c>
      <c r="J178" s="13" t="n">
        <f aca="false">SUMIFS('Issue Log'!$E$5:$E$6000,'Issue Log'!$B$5:$B$6000,$A178)</f>
        <v>0</v>
      </c>
      <c r="K178" s="13" t="n">
        <f aca="false">$F178+$I178-$J178</f>
        <v>0</v>
      </c>
      <c r="L178" s="13" t="n">
        <f aca="false">$K178*$E178</f>
        <v>0</v>
      </c>
    </row>
    <row r="179" customFormat="false" ht="15" hidden="false" customHeight="true" outlineLevel="0" collapsed="false">
      <c r="A179" s="12" t="s">
        <v>770</v>
      </c>
      <c r="B179" s="12" t="s">
        <v>771</v>
      </c>
      <c r="C179" s="12" t="s">
        <v>129</v>
      </c>
      <c r="D179" s="12" t="s">
        <v>734</v>
      </c>
      <c r="E179" s="13" t="n">
        <v>3510</v>
      </c>
      <c r="F179" s="13" t="n">
        <v>0</v>
      </c>
      <c r="G179" s="13" t="n">
        <f aca="false">SUMIFS('Expense Entry'!$H$5:$H$6000,'Expense Entry'!$E$5:$E$6000,"Inventory Purchase",'Expense Entry'!$F$5:$F$6000,$A179)</f>
        <v>0</v>
      </c>
      <c r="H179" s="13" t="n">
        <f aca="false">SUMIFS('Purchase Orders'!$F$5:$F$3000,'Purchase Orders'!$L$5:$L$3000,"Received",'Purchase Orders'!$D$5:$D$3000,$A179)</f>
        <v>0</v>
      </c>
      <c r="I179" s="13" t="n">
        <f aca="false">$G179+$H179</f>
        <v>0</v>
      </c>
      <c r="J179" s="13" t="n">
        <f aca="false">SUMIFS('Issue Log'!$E$5:$E$6000,'Issue Log'!$B$5:$B$6000,$A179)</f>
        <v>0</v>
      </c>
      <c r="K179" s="13" t="n">
        <f aca="false">$F179+$I179-$J179</f>
        <v>0</v>
      </c>
      <c r="L179" s="13" t="n">
        <f aca="false">$K179*$E179</f>
        <v>0</v>
      </c>
    </row>
    <row r="180" customFormat="false" ht="15" hidden="false" customHeight="true" outlineLevel="0" collapsed="false">
      <c r="A180" s="12" t="s">
        <v>773</v>
      </c>
      <c r="B180" s="12" t="s">
        <v>774</v>
      </c>
      <c r="C180" s="12" t="s">
        <v>129</v>
      </c>
      <c r="D180" s="12" t="s">
        <v>734</v>
      </c>
      <c r="E180" s="13" t="n">
        <v>3510</v>
      </c>
      <c r="F180" s="13" t="n">
        <v>0</v>
      </c>
      <c r="G180" s="13" t="n">
        <f aca="false">SUMIFS('Expense Entry'!$H$5:$H$6000,'Expense Entry'!$E$5:$E$6000,"Inventory Purchase",'Expense Entry'!$F$5:$F$6000,$A180)</f>
        <v>0</v>
      </c>
      <c r="H180" s="13" t="n">
        <f aca="false">SUMIFS('Purchase Orders'!$F$5:$F$3000,'Purchase Orders'!$L$5:$L$3000,"Received",'Purchase Orders'!$D$5:$D$3000,$A180)</f>
        <v>0</v>
      </c>
      <c r="I180" s="13" t="n">
        <f aca="false">$G180+$H180</f>
        <v>0</v>
      </c>
      <c r="J180" s="13" t="n">
        <f aca="false">SUMIFS('Issue Log'!$E$5:$E$6000,'Issue Log'!$B$5:$B$6000,$A180)</f>
        <v>0</v>
      </c>
      <c r="K180" s="13" t="n">
        <f aca="false">$F180+$I180-$J180</f>
        <v>0</v>
      </c>
      <c r="L180" s="13" t="n">
        <f aca="false">$K180*$E180</f>
        <v>0</v>
      </c>
    </row>
    <row r="181" customFormat="false" ht="15" hidden="false" customHeight="true" outlineLevel="0" collapsed="false">
      <c r="A181" s="12" t="s">
        <v>776</v>
      </c>
      <c r="B181" s="12" t="s">
        <v>777</v>
      </c>
      <c r="C181" s="12" t="s">
        <v>129</v>
      </c>
      <c r="D181" s="12" t="s">
        <v>734</v>
      </c>
      <c r="E181" s="13" t="n">
        <v>3540</v>
      </c>
      <c r="F181" s="13" t="n">
        <v>0</v>
      </c>
      <c r="G181" s="13" t="n">
        <f aca="false">SUMIFS('Expense Entry'!$H$5:$H$6000,'Expense Entry'!$E$5:$E$6000,"Inventory Purchase",'Expense Entry'!$F$5:$F$6000,$A181)</f>
        <v>0</v>
      </c>
      <c r="H181" s="13" t="n">
        <f aca="false">SUMIFS('Purchase Orders'!$F$5:$F$3000,'Purchase Orders'!$L$5:$L$3000,"Received",'Purchase Orders'!$D$5:$D$3000,$A181)</f>
        <v>0</v>
      </c>
      <c r="I181" s="13" t="n">
        <f aca="false">$G181+$H181</f>
        <v>0</v>
      </c>
      <c r="J181" s="13" t="n">
        <f aca="false">SUMIFS('Issue Log'!$E$5:$E$6000,'Issue Log'!$B$5:$B$6000,$A181)</f>
        <v>0</v>
      </c>
      <c r="K181" s="13" t="n">
        <f aca="false">$F181+$I181-$J181</f>
        <v>0</v>
      </c>
      <c r="L181" s="13" t="n">
        <f aca="false">$K181*$E181</f>
        <v>0</v>
      </c>
    </row>
    <row r="182" customFormat="false" ht="15" hidden="false" customHeight="true" outlineLevel="0" collapsed="false">
      <c r="A182" s="12" t="s">
        <v>779</v>
      </c>
      <c r="B182" s="12" t="s">
        <v>780</v>
      </c>
      <c r="C182" s="12" t="s">
        <v>129</v>
      </c>
      <c r="D182" s="12" t="s">
        <v>734</v>
      </c>
      <c r="E182" s="13" t="n">
        <v>3540</v>
      </c>
      <c r="F182" s="13" t="n">
        <v>0</v>
      </c>
      <c r="G182" s="13" t="n">
        <f aca="false">SUMIFS('Expense Entry'!$H$5:$H$6000,'Expense Entry'!$E$5:$E$6000,"Inventory Purchase",'Expense Entry'!$F$5:$F$6000,$A182)</f>
        <v>0</v>
      </c>
      <c r="H182" s="13" t="n">
        <f aca="false">SUMIFS('Purchase Orders'!$F$5:$F$3000,'Purchase Orders'!$L$5:$L$3000,"Received",'Purchase Orders'!$D$5:$D$3000,$A182)</f>
        <v>0</v>
      </c>
      <c r="I182" s="13" t="n">
        <f aca="false">$G182+$H182</f>
        <v>0</v>
      </c>
      <c r="J182" s="13" t="n">
        <f aca="false">SUMIFS('Issue Log'!$E$5:$E$6000,'Issue Log'!$B$5:$B$6000,$A182)</f>
        <v>0</v>
      </c>
      <c r="K182" s="13" t="n">
        <f aca="false">$F182+$I182-$J182</f>
        <v>0</v>
      </c>
      <c r="L182" s="13" t="n">
        <f aca="false">$K182*$E182</f>
        <v>0</v>
      </c>
    </row>
    <row r="183" customFormat="false" ht="15" hidden="false" customHeight="true" outlineLevel="0" collapsed="false">
      <c r="A183" s="12" t="s">
        <v>783</v>
      </c>
      <c r="B183" s="12" t="s">
        <v>784</v>
      </c>
      <c r="C183" s="12" t="s">
        <v>129</v>
      </c>
      <c r="D183" s="12" t="s">
        <v>734</v>
      </c>
      <c r="E183" s="13" t="n">
        <v>3510</v>
      </c>
      <c r="F183" s="13" t="n">
        <v>0</v>
      </c>
      <c r="G183" s="13" t="n">
        <f aca="false">SUMIFS('Expense Entry'!$H$5:$H$6000,'Expense Entry'!$E$5:$E$6000,"Inventory Purchase",'Expense Entry'!$F$5:$F$6000,$A183)</f>
        <v>0</v>
      </c>
      <c r="H183" s="13" t="n">
        <f aca="false">SUMIFS('Purchase Orders'!$F$5:$F$3000,'Purchase Orders'!$L$5:$L$3000,"Received",'Purchase Orders'!$D$5:$D$3000,$A183)</f>
        <v>0</v>
      </c>
      <c r="I183" s="13" t="n">
        <f aca="false">$G183+$H183</f>
        <v>0</v>
      </c>
      <c r="J183" s="13" t="n">
        <f aca="false">SUMIFS('Issue Log'!$E$5:$E$6000,'Issue Log'!$B$5:$B$6000,$A183)</f>
        <v>0</v>
      </c>
      <c r="K183" s="13" t="n">
        <f aca="false">$F183+$I183-$J183</f>
        <v>0</v>
      </c>
      <c r="L183" s="13" t="n">
        <f aca="false">$K183*$E183</f>
        <v>0</v>
      </c>
    </row>
    <row r="184" customFormat="false" ht="15" hidden="false" customHeight="true" outlineLevel="0" collapsed="false">
      <c r="A184" s="12" t="s">
        <v>787</v>
      </c>
      <c r="B184" s="12" t="s">
        <v>788</v>
      </c>
      <c r="C184" s="12" t="s">
        <v>129</v>
      </c>
      <c r="D184" s="12" t="s">
        <v>734</v>
      </c>
      <c r="E184" s="13" t="n">
        <v>3510</v>
      </c>
      <c r="F184" s="13" t="n">
        <v>0</v>
      </c>
      <c r="G184" s="13" t="n">
        <f aca="false">SUMIFS('Expense Entry'!$H$5:$H$6000,'Expense Entry'!$E$5:$E$6000,"Inventory Purchase",'Expense Entry'!$F$5:$F$6000,$A184)</f>
        <v>0</v>
      </c>
      <c r="H184" s="13" t="n">
        <f aca="false">SUMIFS('Purchase Orders'!$F$5:$F$3000,'Purchase Orders'!$L$5:$L$3000,"Received",'Purchase Orders'!$D$5:$D$3000,$A184)</f>
        <v>0</v>
      </c>
      <c r="I184" s="13" t="n">
        <f aca="false">$G184+$H184</f>
        <v>0</v>
      </c>
      <c r="J184" s="13" t="n">
        <f aca="false">SUMIFS('Issue Log'!$E$5:$E$6000,'Issue Log'!$B$5:$B$6000,$A184)</f>
        <v>0</v>
      </c>
      <c r="K184" s="13" t="n">
        <f aca="false">$F184+$I184-$J184</f>
        <v>0</v>
      </c>
      <c r="L184" s="13" t="n">
        <f aca="false">$K184*$E184</f>
        <v>0</v>
      </c>
    </row>
    <row r="185" customFormat="false" ht="15" hidden="false" customHeight="true" outlineLevel="0" collapsed="false">
      <c r="A185" s="12" t="s">
        <v>790</v>
      </c>
      <c r="B185" s="12" t="s">
        <v>791</v>
      </c>
      <c r="C185" s="12" t="s">
        <v>129</v>
      </c>
      <c r="D185" s="12" t="s">
        <v>734</v>
      </c>
      <c r="E185" s="13" t="n">
        <v>3510</v>
      </c>
      <c r="F185" s="13" t="n">
        <v>0</v>
      </c>
      <c r="G185" s="13" t="n">
        <f aca="false">SUMIFS('Expense Entry'!$H$5:$H$6000,'Expense Entry'!$E$5:$E$6000,"Inventory Purchase",'Expense Entry'!$F$5:$F$6000,$A185)</f>
        <v>0</v>
      </c>
      <c r="H185" s="13" t="n">
        <f aca="false">SUMIFS('Purchase Orders'!$F$5:$F$3000,'Purchase Orders'!$L$5:$L$3000,"Received",'Purchase Orders'!$D$5:$D$3000,$A185)</f>
        <v>0</v>
      </c>
      <c r="I185" s="13" t="n">
        <f aca="false">$G185+$H185</f>
        <v>0</v>
      </c>
      <c r="J185" s="13" t="n">
        <f aca="false">SUMIFS('Issue Log'!$E$5:$E$6000,'Issue Log'!$B$5:$B$6000,$A185)</f>
        <v>0</v>
      </c>
      <c r="K185" s="13" t="n">
        <f aca="false">$F185+$I185-$J185</f>
        <v>0</v>
      </c>
      <c r="L185" s="13" t="n">
        <f aca="false">$K185*$E185</f>
        <v>0</v>
      </c>
    </row>
    <row r="186" customFormat="false" ht="15" hidden="false" customHeight="true" outlineLevel="0" collapsed="false">
      <c r="A186" s="12" t="s">
        <v>793</v>
      </c>
      <c r="B186" s="12" t="s">
        <v>794</v>
      </c>
      <c r="C186" s="12" t="s">
        <v>129</v>
      </c>
      <c r="D186" s="12" t="s">
        <v>752</v>
      </c>
      <c r="E186" s="13" t="n">
        <v>250</v>
      </c>
      <c r="F186" s="13" t="n">
        <v>0</v>
      </c>
      <c r="G186" s="13" t="n">
        <f aca="false">SUMIFS('Expense Entry'!$H$5:$H$6000,'Expense Entry'!$E$5:$E$6000,"Inventory Purchase",'Expense Entry'!$F$5:$F$6000,$A186)</f>
        <v>0</v>
      </c>
      <c r="H186" s="13" t="n">
        <f aca="false">SUMIFS('Purchase Orders'!$F$5:$F$3000,'Purchase Orders'!$L$5:$L$3000,"Received",'Purchase Orders'!$D$5:$D$3000,$A186)</f>
        <v>0</v>
      </c>
      <c r="I186" s="13" t="n">
        <f aca="false">$G186+$H186</f>
        <v>0</v>
      </c>
      <c r="J186" s="13" t="n">
        <f aca="false">SUMIFS('Issue Log'!$E$5:$E$6000,'Issue Log'!$B$5:$B$6000,$A186)</f>
        <v>0</v>
      </c>
      <c r="K186" s="13" t="n">
        <f aca="false">$F186+$I186-$J186</f>
        <v>0</v>
      </c>
      <c r="L186" s="13" t="n">
        <f aca="false">$K186*$E186</f>
        <v>0</v>
      </c>
    </row>
    <row r="187" customFormat="false" ht="15" hidden="false" customHeight="true" outlineLevel="0" collapsed="false">
      <c r="A187" s="12" t="s">
        <v>795</v>
      </c>
      <c r="B187" s="12" t="s">
        <v>796</v>
      </c>
      <c r="C187" s="12" t="s">
        <v>129</v>
      </c>
      <c r="D187" s="12" t="s">
        <v>267</v>
      </c>
      <c r="E187" s="13" t="n">
        <v>3680</v>
      </c>
      <c r="F187" s="13" t="n">
        <v>3</v>
      </c>
      <c r="G187" s="13" t="n">
        <f aca="false">SUMIFS('Expense Entry'!$H$5:$H$6000,'Expense Entry'!$E$5:$E$6000,"Inventory Purchase",'Expense Entry'!$F$5:$F$6000,$A187)</f>
        <v>0</v>
      </c>
      <c r="H187" s="13" t="n">
        <f aca="false">SUMIFS('Purchase Orders'!$F$5:$F$3000,'Purchase Orders'!$L$5:$L$3000,"Received",'Purchase Orders'!$D$5:$D$3000,$A187)</f>
        <v>0</v>
      </c>
      <c r="I187" s="13" t="n">
        <f aca="false">$G187+$H187</f>
        <v>0</v>
      </c>
      <c r="J187" s="13" t="n">
        <f aca="false">SUMIFS('Issue Log'!$E$5:$E$6000,'Issue Log'!$B$5:$B$6000,$A187)</f>
        <v>0</v>
      </c>
      <c r="K187" s="13" t="n">
        <f aca="false">$F187+$I187-$J187</f>
        <v>3</v>
      </c>
      <c r="L187" s="13" t="n">
        <f aca="false">$K187*$E187</f>
        <v>11040</v>
      </c>
    </row>
    <row r="188" customFormat="false" ht="15" hidden="false" customHeight="true" outlineLevel="0" collapsed="false">
      <c r="A188" s="12" t="s">
        <v>798</v>
      </c>
      <c r="B188" s="12" t="s">
        <v>799</v>
      </c>
      <c r="C188" s="12" t="s">
        <v>129</v>
      </c>
      <c r="D188" s="12" t="s">
        <v>381</v>
      </c>
      <c r="E188" s="13" t="n">
        <v>8000</v>
      </c>
      <c r="F188" s="13" t="n">
        <v>2</v>
      </c>
      <c r="G188" s="13" t="n">
        <f aca="false">SUMIFS('Expense Entry'!$H$5:$H$6000,'Expense Entry'!$E$5:$E$6000,"Inventory Purchase",'Expense Entry'!$F$5:$F$6000,$A188)</f>
        <v>0</v>
      </c>
      <c r="H188" s="13" t="n">
        <f aca="false">SUMIFS('Purchase Orders'!$F$5:$F$3000,'Purchase Orders'!$L$5:$L$3000,"Received",'Purchase Orders'!$D$5:$D$3000,$A188)</f>
        <v>0</v>
      </c>
      <c r="I188" s="13" t="n">
        <f aca="false">$G188+$H188</f>
        <v>0</v>
      </c>
      <c r="J188" s="13" t="n">
        <f aca="false">SUMIFS('Issue Log'!$E$5:$E$6000,'Issue Log'!$B$5:$B$6000,$A188)</f>
        <v>0</v>
      </c>
      <c r="K188" s="13" t="n">
        <f aca="false">$F188+$I188-$J188</f>
        <v>2</v>
      </c>
      <c r="L188" s="13" t="n">
        <f aca="false">$K188*$E188</f>
        <v>16000</v>
      </c>
    </row>
    <row r="189" customFormat="false" ht="15" hidden="false" customHeight="true" outlineLevel="0" collapsed="false">
      <c r="A189" s="12" t="s">
        <v>800</v>
      </c>
      <c r="B189" s="12" t="s">
        <v>801</v>
      </c>
      <c r="C189" s="12" t="s">
        <v>129</v>
      </c>
      <c r="D189" s="12" t="s">
        <v>267</v>
      </c>
      <c r="E189" s="13" t="n">
        <v>1135</v>
      </c>
      <c r="F189" s="13" t="n">
        <v>10</v>
      </c>
      <c r="G189" s="13" t="n">
        <f aca="false">SUMIFS('Expense Entry'!$H$5:$H$6000,'Expense Entry'!$E$5:$E$6000,"Inventory Purchase",'Expense Entry'!$F$5:$F$6000,$A189)</f>
        <v>0</v>
      </c>
      <c r="H189" s="13" t="n">
        <f aca="false">SUMIFS('Purchase Orders'!$F$5:$F$3000,'Purchase Orders'!$L$5:$L$3000,"Received",'Purchase Orders'!$D$5:$D$3000,$A189)</f>
        <v>0</v>
      </c>
      <c r="I189" s="13" t="n">
        <f aca="false">$G189+$H189</f>
        <v>0</v>
      </c>
      <c r="J189" s="13" t="n">
        <f aca="false">SUMIFS('Issue Log'!$E$5:$E$6000,'Issue Log'!$B$5:$B$6000,$A189)</f>
        <v>0</v>
      </c>
      <c r="K189" s="13" t="n">
        <f aca="false">$F189+$I189-$J189</f>
        <v>10</v>
      </c>
      <c r="L189" s="13" t="n">
        <f aca="false">$K189*$E189</f>
        <v>11350</v>
      </c>
    </row>
    <row r="190" customFormat="false" ht="15" hidden="false" customHeight="true" outlineLevel="0" collapsed="false">
      <c r="A190" s="12" t="s">
        <v>802</v>
      </c>
      <c r="B190" s="12" t="s">
        <v>803</v>
      </c>
      <c r="C190" s="12" t="s">
        <v>129</v>
      </c>
      <c r="D190" s="12" t="s">
        <v>267</v>
      </c>
      <c r="E190" s="13" t="n">
        <v>1200</v>
      </c>
      <c r="F190" s="13" t="n">
        <v>0</v>
      </c>
      <c r="G190" s="13" t="n">
        <f aca="false">SUMIFS('Expense Entry'!$H$5:$H$6000,'Expense Entry'!$E$5:$E$6000,"Inventory Purchase",'Expense Entry'!$F$5:$F$6000,$A190)</f>
        <v>0</v>
      </c>
      <c r="H190" s="13" t="n">
        <f aca="false">SUMIFS('Purchase Orders'!$F$5:$F$3000,'Purchase Orders'!$L$5:$L$3000,"Received",'Purchase Orders'!$D$5:$D$3000,$A190)</f>
        <v>0</v>
      </c>
      <c r="I190" s="13" t="n">
        <f aca="false">$G190+$H190</f>
        <v>0</v>
      </c>
      <c r="J190" s="13" t="n">
        <f aca="false">SUMIFS('Issue Log'!$E$5:$E$6000,'Issue Log'!$B$5:$B$6000,$A190)</f>
        <v>0</v>
      </c>
      <c r="K190" s="13" t="n">
        <f aca="false">$F190+$I190-$J190</f>
        <v>0</v>
      </c>
      <c r="L190" s="13" t="n">
        <f aca="false">$K190*$E190</f>
        <v>0</v>
      </c>
    </row>
    <row r="191" customFormat="false" ht="15" hidden="false" customHeight="true" outlineLevel="0" collapsed="false">
      <c r="A191" s="12" t="s">
        <v>804</v>
      </c>
      <c r="B191" s="12" t="s">
        <v>805</v>
      </c>
      <c r="C191" s="12" t="s">
        <v>129</v>
      </c>
      <c r="D191" s="12" t="s">
        <v>267</v>
      </c>
      <c r="E191" s="13" t="n">
        <v>2050</v>
      </c>
      <c r="F191" s="13" t="n">
        <v>0</v>
      </c>
      <c r="G191" s="13" t="n">
        <f aca="false">SUMIFS('Expense Entry'!$H$5:$H$6000,'Expense Entry'!$E$5:$E$6000,"Inventory Purchase",'Expense Entry'!$F$5:$F$6000,$A191)</f>
        <v>0</v>
      </c>
      <c r="H191" s="13" t="n">
        <f aca="false">SUMIFS('Purchase Orders'!$F$5:$F$3000,'Purchase Orders'!$L$5:$L$3000,"Received",'Purchase Orders'!$D$5:$D$3000,$A191)</f>
        <v>0</v>
      </c>
      <c r="I191" s="13" t="n">
        <f aca="false">$G191+$H191</f>
        <v>0</v>
      </c>
      <c r="J191" s="13" t="n">
        <f aca="false">SUMIFS('Issue Log'!$E$5:$E$6000,'Issue Log'!$B$5:$B$6000,$A191)</f>
        <v>0</v>
      </c>
      <c r="K191" s="13" t="n">
        <f aca="false">$F191+$I191-$J191</f>
        <v>0</v>
      </c>
      <c r="L191" s="13" t="n">
        <f aca="false">$K191*$E191</f>
        <v>0</v>
      </c>
    </row>
    <row r="192" customFormat="false" ht="15" hidden="false" customHeight="true" outlineLevel="0" collapsed="false">
      <c r="A192" s="12" t="s">
        <v>808</v>
      </c>
      <c r="B192" s="12" t="s">
        <v>809</v>
      </c>
      <c r="C192" s="12" t="s">
        <v>129</v>
      </c>
      <c r="D192" s="12" t="s">
        <v>752</v>
      </c>
      <c r="E192" s="13" t="n">
        <v>138</v>
      </c>
      <c r="F192" s="13" t="n">
        <v>0</v>
      </c>
      <c r="G192" s="13" t="n">
        <f aca="false">SUMIFS('Expense Entry'!$H$5:$H$6000,'Expense Entry'!$E$5:$E$6000,"Inventory Purchase",'Expense Entry'!$F$5:$F$6000,$A192)</f>
        <v>0</v>
      </c>
      <c r="H192" s="13" t="n">
        <f aca="false">SUMIFS('Purchase Orders'!$F$5:$F$3000,'Purchase Orders'!$L$5:$L$3000,"Received",'Purchase Orders'!$D$5:$D$3000,$A192)</f>
        <v>0</v>
      </c>
      <c r="I192" s="13" t="n">
        <f aca="false">$G192+$H192</f>
        <v>0</v>
      </c>
      <c r="J192" s="13" t="n">
        <f aca="false">SUMIFS('Issue Log'!$E$5:$E$6000,'Issue Log'!$B$5:$B$6000,$A192)</f>
        <v>0</v>
      </c>
      <c r="K192" s="13" t="n">
        <f aca="false">$F192+$I192-$J192</f>
        <v>0</v>
      </c>
      <c r="L192" s="13" t="n">
        <f aca="false">$K192*$E192</f>
        <v>0</v>
      </c>
    </row>
    <row r="193" customFormat="false" ht="15" hidden="false" customHeight="true" outlineLevel="0" collapsed="false">
      <c r="A193" s="12" t="s">
        <v>811</v>
      </c>
      <c r="B193" s="12" t="s">
        <v>812</v>
      </c>
      <c r="C193" s="12" t="s">
        <v>129</v>
      </c>
      <c r="D193" s="12" t="s">
        <v>267</v>
      </c>
      <c r="E193" s="13" t="n">
        <v>188</v>
      </c>
      <c r="F193" s="13" t="n">
        <v>0</v>
      </c>
      <c r="G193" s="13" t="n">
        <f aca="false">SUMIFS('Expense Entry'!$H$5:$H$6000,'Expense Entry'!$E$5:$E$6000,"Inventory Purchase",'Expense Entry'!$F$5:$F$6000,$A193)</f>
        <v>0</v>
      </c>
      <c r="H193" s="13" t="n">
        <f aca="false">SUMIFS('Purchase Orders'!$F$5:$F$3000,'Purchase Orders'!$L$5:$L$3000,"Received",'Purchase Orders'!$D$5:$D$3000,$A193)</f>
        <v>0</v>
      </c>
      <c r="I193" s="13" t="n">
        <f aca="false">$G193+$H193</f>
        <v>0</v>
      </c>
      <c r="J193" s="13" t="n">
        <f aca="false">SUMIFS('Issue Log'!$E$5:$E$6000,'Issue Log'!$B$5:$B$6000,$A193)</f>
        <v>0</v>
      </c>
      <c r="K193" s="13" t="n">
        <f aca="false">$F193+$I193-$J193</f>
        <v>0</v>
      </c>
      <c r="L193" s="13" t="n">
        <f aca="false">$K193*$E193</f>
        <v>0</v>
      </c>
    </row>
    <row r="194" customFormat="false" ht="15" hidden="false" customHeight="true" outlineLevel="0" collapsed="false">
      <c r="A194" s="12" t="s">
        <v>813</v>
      </c>
      <c r="B194" s="12" t="s">
        <v>814</v>
      </c>
      <c r="C194" s="12" t="s">
        <v>129</v>
      </c>
      <c r="D194" s="12" t="s">
        <v>815</v>
      </c>
      <c r="E194" s="13" t="n">
        <v>342</v>
      </c>
      <c r="F194" s="13" t="n">
        <v>0</v>
      </c>
      <c r="G194" s="13" t="n">
        <f aca="false">SUMIFS('Expense Entry'!$H$5:$H$6000,'Expense Entry'!$E$5:$E$6000,"Inventory Purchase",'Expense Entry'!$F$5:$F$6000,$A194)</f>
        <v>0</v>
      </c>
      <c r="H194" s="13" t="n">
        <f aca="false">SUMIFS('Purchase Orders'!$F$5:$F$3000,'Purchase Orders'!$L$5:$L$3000,"Received",'Purchase Orders'!$D$5:$D$3000,$A194)</f>
        <v>0</v>
      </c>
      <c r="I194" s="13" t="n">
        <f aca="false">$G194+$H194</f>
        <v>0</v>
      </c>
      <c r="J194" s="13" t="n">
        <f aca="false">SUMIFS('Issue Log'!$E$5:$E$6000,'Issue Log'!$B$5:$B$6000,$A194)</f>
        <v>0</v>
      </c>
      <c r="K194" s="13" t="n">
        <f aca="false">$F194+$I194-$J194</f>
        <v>0</v>
      </c>
      <c r="L194" s="13" t="n">
        <f aca="false">$K194*$E194</f>
        <v>0</v>
      </c>
    </row>
    <row r="195" customFormat="false" ht="15" hidden="false" customHeight="true" outlineLevel="0" collapsed="false">
      <c r="A195" s="12" t="s">
        <v>816</v>
      </c>
      <c r="B195" s="12" t="s">
        <v>817</v>
      </c>
      <c r="C195" s="12" t="s">
        <v>129</v>
      </c>
      <c r="D195" s="12" t="s">
        <v>818</v>
      </c>
      <c r="E195" s="13" t="n">
        <v>50</v>
      </c>
      <c r="F195" s="13" t="n">
        <v>0</v>
      </c>
      <c r="G195" s="13" t="n">
        <f aca="false">SUMIFS('Expense Entry'!$H$5:$H$6000,'Expense Entry'!$E$5:$E$6000,"Inventory Purchase",'Expense Entry'!$F$5:$F$6000,$A195)</f>
        <v>0</v>
      </c>
      <c r="H195" s="13" t="n">
        <f aca="false">SUMIFS('Purchase Orders'!$F$5:$F$3000,'Purchase Orders'!$L$5:$L$3000,"Received",'Purchase Orders'!$D$5:$D$3000,$A195)</f>
        <v>0</v>
      </c>
      <c r="I195" s="13" t="n">
        <f aca="false">$G195+$H195</f>
        <v>0</v>
      </c>
      <c r="J195" s="13" t="n">
        <f aca="false">SUMIFS('Issue Log'!$E$5:$E$6000,'Issue Log'!$B$5:$B$6000,$A195)</f>
        <v>0</v>
      </c>
      <c r="K195" s="13" t="n">
        <f aca="false">$F195+$I195-$J195</f>
        <v>0</v>
      </c>
      <c r="L195" s="13" t="n">
        <f aca="false">$K195*$E195</f>
        <v>0</v>
      </c>
    </row>
    <row r="196" customFormat="false" ht="15" hidden="false" customHeight="true" outlineLevel="0" collapsed="false">
      <c r="A196" s="12" t="s">
        <v>820</v>
      </c>
      <c r="B196" s="12" t="s">
        <v>821</v>
      </c>
      <c r="C196" s="12" t="s">
        <v>129</v>
      </c>
      <c r="D196" s="12" t="s">
        <v>241</v>
      </c>
      <c r="E196" s="13" t="n">
        <v>311.428571428571</v>
      </c>
      <c r="F196" s="13" t="n">
        <v>0</v>
      </c>
      <c r="G196" s="13" t="n">
        <f aca="false">SUMIFS('Expense Entry'!$H$5:$H$6000,'Expense Entry'!$E$5:$E$6000,"Inventory Purchase",'Expense Entry'!$F$5:$F$6000,$A196)</f>
        <v>0</v>
      </c>
      <c r="H196" s="13" t="n">
        <f aca="false">SUMIFS('Purchase Orders'!$F$5:$F$3000,'Purchase Orders'!$L$5:$L$3000,"Received",'Purchase Orders'!$D$5:$D$3000,$A196)</f>
        <v>0</v>
      </c>
      <c r="I196" s="13" t="n">
        <f aca="false">$G196+$H196</f>
        <v>0</v>
      </c>
      <c r="J196" s="13" t="n">
        <f aca="false">SUMIFS('Issue Log'!$E$5:$E$6000,'Issue Log'!$B$5:$B$6000,$A196)</f>
        <v>0</v>
      </c>
      <c r="K196" s="13" t="n">
        <f aca="false">$F196+$I196-$J196</f>
        <v>0</v>
      </c>
      <c r="L196" s="13" t="n">
        <f aca="false">$K196*$E196</f>
        <v>0</v>
      </c>
    </row>
    <row r="197" customFormat="false" ht="15" hidden="false" customHeight="true" outlineLevel="0" collapsed="false">
      <c r="A197" s="12" t="s">
        <v>823</v>
      </c>
      <c r="B197" s="12" t="s">
        <v>824</v>
      </c>
      <c r="C197" s="12" t="s">
        <v>129</v>
      </c>
      <c r="D197" s="12" t="s">
        <v>815</v>
      </c>
      <c r="E197" s="13" t="n">
        <v>342</v>
      </c>
      <c r="F197" s="13" t="n">
        <v>0</v>
      </c>
      <c r="G197" s="13" t="n">
        <f aca="false">SUMIFS('Expense Entry'!$H$5:$H$6000,'Expense Entry'!$E$5:$E$6000,"Inventory Purchase",'Expense Entry'!$F$5:$F$6000,$A197)</f>
        <v>0</v>
      </c>
      <c r="H197" s="13" t="n">
        <f aca="false">SUMIFS('Purchase Orders'!$F$5:$F$3000,'Purchase Orders'!$L$5:$L$3000,"Received",'Purchase Orders'!$D$5:$D$3000,$A197)</f>
        <v>0</v>
      </c>
      <c r="I197" s="13" t="n">
        <f aca="false">$G197+$H197</f>
        <v>0</v>
      </c>
      <c r="J197" s="13" t="n">
        <f aca="false">SUMIFS('Issue Log'!$E$5:$E$6000,'Issue Log'!$B$5:$B$6000,$A197)</f>
        <v>0</v>
      </c>
      <c r="K197" s="13" t="n">
        <f aca="false">$F197+$I197-$J197</f>
        <v>0</v>
      </c>
      <c r="L197" s="13" t="n">
        <f aca="false">$K197*$E197</f>
        <v>0</v>
      </c>
    </row>
    <row r="198" customFormat="false" ht="15" hidden="false" customHeight="true" outlineLevel="0" collapsed="false">
      <c r="A198" s="12" t="s">
        <v>825</v>
      </c>
      <c r="B198" s="12" t="s">
        <v>826</v>
      </c>
      <c r="C198" s="12" t="s">
        <v>129</v>
      </c>
      <c r="D198" s="12" t="s">
        <v>752</v>
      </c>
      <c r="E198" s="13" t="n">
        <v>400</v>
      </c>
      <c r="F198" s="13" t="n">
        <v>0</v>
      </c>
      <c r="G198" s="13" t="n">
        <f aca="false">SUMIFS('Expense Entry'!$H$5:$H$6000,'Expense Entry'!$E$5:$E$6000,"Inventory Purchase",'Expense Entry'!$F$5:$F$6000,$A198)</f>
        <v>0</v>
      </c>
      <c r="H198" s="13" t="n">
        <f aca="false">SUMIFS('Purchase Orders'!$F$5:$F$3000,'Purchase Orders'!$L$5:$L$3000,"Received",'Purchase Orders'!$D$5:$D$3000,$A198)</f>
        <v>0</v>
      </c>
      <c r="I198" s="13" t="n">
        <f aca="false">$G198+$H198</f>
        <v>0</v>
      </c>
      <c r="J198" s="13" t="n">
        <f aca="false">SUMIFS('Issue Log'!$E$5:$E$6000,'Issue Log'!$B$5:$B$6000,$A198)</f>
        <v>0</v>
      </c>
      <c r="K198" s="13" t="n">
        <f aca="false">$F198+$I198-$J198</f>
        <v>0</v>
      </c>
      <c r="L198" s="13" t="n">
        <f aca="false">$K198*$E198</f>
        <v>0</v>
      </c>
    </row>
    <row r="199" customFormat="false" ht="15" hidden="false" customHeight="true" outlineLevel="0" collapsed="false">
      <c r="A199" s="12" t="s">
        <v>827</v>
      </c>
      <c r="B199" s="12" t="s">
        <v>828</v>
      </c>
      <c r="C199" s="12" t="s">
        <v>129</v>
      </c>
      <c r="D199" s="12" t="s">
        <v>601</v>
      </c>
      <c r="E199" s="13" t="n">
        <v>10620</v>
      </c>
      <c r="F199" s="13" t="n">
        <v>0</v>
      </c>
      <c r="G199" s="13" t="n">
        <f aca="false">SUMIFS('Expense Entry'!$H$5:$H$6000,'Expense Entry'!$E$5:$E$6000,"Inventory Purchase",'Expense Entry'!$F$5:$F$6000,$A199)</f>
        <v>0</v>
      </c>
      <c r="H199" s="13" t="n">
        <f aca="false">SUMIFS('Purchase Orders'!$F$5:$F$3000,'Purchase Orders'!$L$5:$L$3000,"Received",'Purchase Orders'!$D$5:$D$3000,$A199)</f>
        <v>0</v>
      </c>
      <c r="I199" s="13" t="n">
        <f aca="false">$G199+$H199</f>
        <v>0</v>
      </c>
      <c r="J199" s="13" t="n">
        <f aca="false">SUMIFS('Issue Log'!$E$5:$E$6000,'Issue Log'!$B$5:$B$6000,$A199)</f>
        <v>0</v>
      </c>
      <c r="K199" s="13" t="n">
        <f aca="false">$F199+$I199-$J199</f>
        <v>0</v>
      </c>
      <c r="L199" s="13" t="n">
        <f aca="false">$K199*$E199</f>
        <v>0</v>
      </c>
    </row>
    <row r="200" customFormat="false" ht="15" hidden="false" customHeight="true" outlineLevel="0" collapsed="false">
      <c r="A200" s="12" t="s">
        <v>830</v>
      </c>
      <c r="B200" s="12" t="s">
        <v>831</v>
      </c>
      <c r="C200" s="12" t="s">
        <v>129</v>
      </c>
      <c r="D200" s="12" t="s">
        <v>267</v>
      </c>
      <c r="E200" s="13" t="n">
        <v>495</v>
      </c>
      <c r="F200" s="13" t="n">
        <v>25</v>
      </c>
      <c r="G200" s="13" t="n">
        <f aca="false">SUMIFS('Expense Entry'!$H$5:$H$6000,'Expense Entry'!$E$5:$E$6000,"Inventory Purchase",'Expense Entry'!$F$5:$F$6000,$A200)</f>
        <v>0</v>
      </c>
      <c r="H200" s="13" t="n">
        <f aca="false">SUMIFS('Purchase Orders'!$F$5:$F$3000,'Purchase Orders'!$L$5:$L$3000,"Received",'Purchase Orders'!$D$5:$D$3000,$A200)</f>
        <v>0</v>
      </c>
      <c r="I200" s="13" t="n">
        <f aca="false">$G200+$H200</f>
        <v>0</v>
      </c>
      <c r="J200" s="13" t="n">
        <f aca="false">SUMIFS('Issue Log'!$E$5:$E$6000,'Issue Log'!$B$5:$B$6000,$A200)</f>
        <v>0</v>
      </c>
      <c r="K200" s="13" t="n">
        <f aca="false">$F200+$I200-$J200</f>
        <v>25</v>
      </c>
      <c r="L200" s="13" t="n">
        <f aca="false">$K200*$E200</f>
        <v>12375</v>
      </c>
    </row>
    <row r="201" customFormat="false" ht="15" hidden="false" customHeight="true" outlineLevel="0" collapsed="false">
      <c r="A201" s="12" t="s">
        <v>833</v>
      </c>
      <c r="B201" s="12" t="s">
        <v>834</v>
      </c>
      <c r="C201" s="12" t="s">
        <v>129</v>
      </c>
      <c r="D201" s="12" t="s">
        <v>267</v>
      </c>
      <c r="E201" s="13" t="n">
        <v>375</v>
      </c>
      <c r="F201" s="13" t="n">
        <v>19</v>
      </c>
      <c r="G201" s="13" t="n">
        <f aca="false">SUMIFS('Expense Entry'!$H$5:$H$6000,'Expense Entry'!$E$5:$E$6000,"Inventory Purchase",'Expense Entry'!$F$5:$F$6000,$A201)</f>
        <v>0</v>
      </c>
      <c r="H201" s="13" t="n">
        <f aca="false">SUMIFS('Purchase Orders'!$F$5:$F$3000,'Purchase Orders'!$L$5:$L$3000,"Received",'Purchase Orders'!$D$5:$D$3000,$A201)</f>
        <v>0</v>
      </c>
      <c r="I201" s="13" t="n">
        <f aca="false">$G201+$H201</f>
        <v>0</v>
      </c>
      <c r="J201" s="13" t="n">
        <f aca="false">SUMIFS('Issue Log'!$E$5:$E$6000,'Issue Log'!$B$5:$B$6000,$A201)</f>
        <v>0</v>
      </c>
      <c r="K201" s="13" t="n">
        <f aca="false">$F201+$I201-$J201</f>
        <v>19</v>
      </c>
      <c r="L201" s="13" t="n">
        <f aca="false">$K201*$E201</f>
        <v>7125</v>
      </c>
    </row>
    <row r="202" customFormat="false" ht="15" hidden="false" customHeight="true" outlineLevel="0" collapsed="false">
      <c r="A202" s="12" t="s">
        <v>837</v>
      </c>
      <c r="B202" s="12" t="s">
        <v>838</v>
      </c>
      <c r="C202" s="12" t="s">
        <v>129</v>
      </c>
      <c r="D202" s="12" t="s">
        <v>267</v>
      </c>
      <c r="E202" s="13" t="n">
        <v>240</v>
      </c>
      <c r="F202" s="13" t="n">
        <v>0</v>
      </c>
      <c r="G202" s="13" t="n">
        <f aca="false">SUMIFS('Expense Entry'!$H$5:$H$6000,'Expense Entry'!$E$5:$E$6000,"Inventory Purchase",'Expense Entry'!$F$5:$F$6000,$A202)</f>
        <v>0</v>
      </c>
      <c r="H202" s="13" t="n">
        <f aca="false">SUMIFS('Purchase Orders'!$F$5:$F$3000,'Purchase Orders'!$L$5:$L$3000,"Received",'Purchase Orders'!$D$5:$D$3000,$A202)</f>
        <v>0</v>
      </c>
      <c r="I202" s="13" t="n">
        <f aca="false">$G202+$H202</f>
        <v>0</v>
      </c>
      <c r="J202" s="13" t="n">
        <f aca="false">SUMIFS('Issue Log'!$E$5:$E$6000,'Issue Log'!$B$5:$B$6000,$A202)</f>
        <v>0</v>
      </c>
      <c r="K202" s="13" t="n">
        <f aca="false">$F202+$I202-$J202</f>
        <v>0</v>
      </c>
      <c r="L202" s="13" t="n">
        <f aca="false">$K202*$E202</f>
        <v>0</v>
      </c>
    </row>
    <row r="203" customFormat="false" ht="15" hidden="false" customHeight="true" outlineLevel="0" collapsed="false">
      <c r="A203" s="12" t="s">
        <v>840</v>
      </c>
      <c r="B203" s="12" t="s">
        <v>841</v>
      </c>
      <c r="C203" s="12" t="s">
        <v>129</v>
      </c>
      <c r="D203" s="12" t="s">
        <v>241</v>
      </c>
      <c r="E203" s="13" t="n">
        <v>220</v>
      </c>
      <c r="F203" s="13" t="n">
        <v>37</v>
      </c>
      <c r="G203" s="13" t="n">
        <f aca="false">SUMIFS('Expense Entry'!$H$5:$H$6000,'Expense Entry'!$E$5:$E$6000,"Inventory Purchase",'Expense Entry'!$F$5:$F$6000,$A203)</f>
        <v>0</v>
      </c>
      <c r="H203" s="13" t="n">
        <f aca="false">SUMIFS('Purchase Orders'!$F$5:$F$3000,'Purchase Orders'!$L$5:$L$3000,"Received",'Purchase Orders'!$D$5:$D$3000,$A203)</f>
        <v>0</v>
      </c>
      <c r="I203" s="13" t="n">
        <f aca="false">$G203+$H203</f>
        <v>0</v>
      </c>
      <c r="J203" s="13" t="n">
        <f aca="false">SUMIFS('Issue Log'!$E$5:$E$6000,'Issue Log'!$B$5:$B$6000,$A203)</f>
        <v>0</v>
      </c>
      <c r="K203" s="13" t="n">
        <f aca="false">$F203+$I203-$J203</f>
        <v>37</v>
      </c>
      <c r="L203" s="13" t="n">
        <f aca="false">$K203*$E203</f>
        <v>8140</v>
      </c>
    </row>
    <row r="204" customFormat="false" ht="15" hidden="false" customHeight="true" outlineLevel="0" collapsed="false">
      <c r="A204" s="12" t="s">
        <v>843</v>
      </c>
      <c r="B204" s="12" t="s">
        <v>844</v>
      </c>
      <c r="C204" s="12" t="s">
        <v>129</v>
      </c>
      <c r="D204" s="12" t="s">
        <v>267</v>
      </c>
      <c r="E204" s="13" t="n">
        <v>264.285714285714</v>
      </c>
      <c r="F204" s="13" t="n">
        <v>0</v>
      </c>
      <c r="G204" s="13" t="n">
        <f aca="false">SUMIFS('Expense Entry'!$H$5:$H$6000,'Expense Entry'!$E$5:$E$6000,"Inventory Purchase",'Expense Entry'!$F$5:$F$6000,$A204)</f>
        <v>0</v>
      </c>
      <c r="H204" s="13" t="n">
        <f aca="false">SUMIFS('Purchase Orders'!$F$5:$F$3000,'Purchase Orders'!$L$5:$L$3000,"Received",'Purchase Orders'!$D$5:$D$3000,$A204)</f>
        <v>0</v>
      </c>
      <c r="I204" s="13" t="n">
        <f aca="false">$G204+$H204</f>
        <v>0</v>
      </c>
      <c r="J204" s="13" t="n">
        <f aca="false">SUMIFS('Issue Log'!$E$5:$E$6000,'Issue Log'!$B$5:$B$6000,$A204)</f>
        <v>0</v>
      </c>
      <c r="K204" s="13" t="n">
        <f aca="false">$F204+$I204-$J204</f>
        <v>0</v>
      </c>
      <c r="L204" s="13" t="n">
        <f aca="false">$K204*$E204</f>
        <v>0</v>
      </c>
    </row>
    <row r="205" customFormat="false" ht="15" hidden="false" customHeight="true" outlineLevel="0" collapsed="false">
      <c r="A205" s="12" t="s">
        <v>845</v>
      </c>
      <c r="B205" s="12" t="s">
        <v>846</v>
      </c>
      <c r="C205" s="12" t="s">
        <v>129</v>
      </c>
      <c r="D205" s="12" t="s">
        <v>267</v>
      </c>
      <c r="E205" s="13" t="n">
        <v>170</v>
      </c>
      <c r="F205" s="13" t="n">
        <v>0</v>
      </c>
      <c r="G205" s="13" t="n">
        <f aca="false">SUMIFS('Expense Entry'!$H$5:$H$6000,'Expense Entry'!$E$5:$E$6000,"Inventory Purchase",'Expense Entry'!$F$5:$F$6000,$A205)</f>
        <v>0</v>
      </c>
      <c r="H205" s="13" t="n">
        <f aca="false">SUMIFS('Purchase Orders'!$F$5:$F$3000,'Purchase Orders'!$L$5:$L$3000,"Received",'Purchase Orders'!$D$5:$D$3000,$A205)</f>
        <v>0</v>
      </c>
      <c r="I205" s="13" t="n">
        <f aca="false">$G205+$H205</f>
        <v>0</v>
      </c>
      <c r="J205" s="13" t="n">
        <f aca="false">SUMIFS('Issue Log'!$E$5:$E$6000,'Issue Log'!$B$5:$B$6000,$A205)</f>
        <v>0</v>
      </c>
      <c r="K205" s="13" t="n">
        <f aca="false">$F205+$I205-$J205</f>
        <v>0</v>
      </c>
      <c r="L205" s="13" t="n">
        <f aca="false">$K205*$E205</f>
        <v>0</v>
      </c>
    </row>
    <row r="206" customFormat="false" ht="15" hidden="false" customHeight="true" outlineLevel="0" collapsed="false">
      <c r="A206" s="12" t="s">
        <v>848</v>
      </c>
      <c r="B206" s="12" t="s">
        <v>260</v>
      </c>
      <c r="C206" s="12" t="s">
        <v>129</v>
      </c>
      <c r="D206" s="12" t="s">
        <v>246</v>
      </c>
      <c r="E206" s="13" t="n">
        <v>109</v>
      </c>
      <c r="F206" s="13" t="n">
        <v>0</v>
      </c>
      <c r="G206" s="13" t="n">
        <f aca="false">SUMIFS('Expense Entry'!$H$5:$H$6000,'Expense Entry'!$E$5:$E$6000,"Inventory Purchase",'Expense Entry'!$F$5:$F$6000,$A206)</f>
        <v>0</v>
      </c>
      <c r="H206" s="13" t="n">
        <f aca="false">SUMIFS('Purchase Orders'!$F$5:$F$3000,'Purchase Orders'!$L$5:$L$3000,"Received",'Purchase Orders'!$D$5:$D$3000,$A206)</f>
        <v>0</v>
      </c>
      <c r="I206" s="13" t="n">
        <f aca="false">$G206+$H206</f>
        <v>0</v>
      </c>
      <c r="J206" s="13" t="n">
        <f aca="false">SUMIFS('Issue Log'!$E$5:$E$6000,'Issue Log'!$B$5:$B$6000,$A206)</f>
        <v>0</v>
      </c>
      <c r="K206" s="13" t="n">
        <f aca="false">$F206+$I206-$J206</f>
        <v>0</v>
      </c>
      <c r="L206" s="13" t="n">
        <f aca="false">$K206*$E206</f>
        <v>0</v>
      </c>
    </row>
    <row r="207" customFormat="false" ht="15" hidden="false" customHeight="true" outlineLevel="0" collapsed="false">
      <c r="A207" s="12" t="s">
        <v>850</v>
      </c>
      <c r="B207" s="12" t="s">
        <v>749</v>
      </c>
      <c r="C207" s="12" t="s">
        <v>129</v>
      </c>
      <c r="D207" s="12" t="s">
        <v>267</v>
      </c>
      <c r="E207" s="13" t="n">
        <v>320</v>
      </c>
      <c r="F207" s="13" t="n">
        <v>0</v>
      </c>
      <c r="G207" s="13" t="n">
        <f aca="false">SUMIFS('Expense Entry'!$H$5:$H$6000,'Expense Entry'!$E$5:$E$6000,"Inventory Purchase",'Expense Entry'!$F$5:$F$6000,$A207)</f>
        <v>0</v>
      </c>
      <c r="H207" s="13" t="n">
        <f aca="false">SUMIFS('Purchase Orders'!$F$5:$F$3000,'Purchase Orders'!$L$5:$L$3000,"Received",'Purchase Orders'!$D$5:$D$3000,$A207)</f>
        <v>0</v>
      </c>
      <c r="I207" s="13" t="n">
        <f aca="false">$G207+$H207</f>
        <v>0</v>
      </c>
      <c r="J207" s="13" t="n">
        <f aca="false">SUMIFS('Issue Log'!$E$5:$E$6000,'Issue Log'!$B$5:$B$6000,$A207)</f>
        <v>0</v>
      </c>
      <c r="K207" s="13" t="n">
        <f aca="false">$F207+$I207-$J207</f>
        <v>0</v>
      </c>
      <c r="L207" s="13" t="n">
        <f aca="false">$K207*$E207</f>
        <v>0</v>
      </c>
    </row>
    <row r="208" customFormat="false" ht="15" hidden="false" customHeight="true" outlineLevel="0" collapsed="false">
      <c r="A208" s="12" t="s">
        <v>852</v>
      </c>
      <c r="B208" s="12" t="s">
        <v>853</v>
      </c>
      <c r="C208" s="12" t="s">
        <v>129</v>
      </c>
      <c r="D208" s="12" t="s">
        <v>241</v>
      </c>
      <c r="E208" s="13" t="n">
        <v>273.333333333333</v>
      </c>
      <c r="F208" s="13" t="n">
        <v>0</v>
      </c>
      <c r="G208" s="13" t="n">
        <f aca="false">SUMIFS('Expense Entry'!$H$5:$H$6000,'Expense Entry'!$E$5:$E$6000,"Inventory Purchase",'Expense Entry'!$F$5:$F$6000,$A208)</f>
        <v>0</v>
      </c>
      <c r="H208" s="13" t="n">
        <f aca="false">SUMIFS('Purchase Orders'!$F$5:$F$3000,'Purchase Orders'!$L$5:$L$3000,"Received",'Purchase Orders'!$D$5:$D$3000,$A208)</f>
        <v>0</v>
      </c>
      <c r="I208" s="13" t="n">
        <f aca="false">$G208+$H208</f>
        <v>0</v>
      </c>
      <c r="J208" s="13" t="n">
        <f aca="false">SUMIFS('Issue Log'!$E$5:$E$6000,'Issue Log'!$B$5:$B$6000,$A208)</f>
        <v>0</v>
      </c>
      <c r="K208" s="13" t="n">
        <f aca="false">$F208+$I208-$J208</f>
        <v>0</v>
      </c>
      <c r="L208" s="13" t="n">
        <f aca="false">$K208*$E208</f>
        <v>0</v>
      </c>
    </row>
    <row r="209" customFormat="false" ht="15" hidden="false" customHeight="true" outlineLevel="0" collapsed="false">
      <c r="A209" s="12" t="s">
        <v>854</v>
      </c>
      <c r="B209" s="12" t="s">
        <v>855</v>
      </c>
      <c r="C209" s="12" t="s">
        <v>129</v>
      </c>
      <c r="D209" s="12" t="s">
        <v>241</v>
      </c>
      <c r="E209" s="13" t="n">
        <v>150</v>
      </c>
      <c r="F209" s="13" t="n">
        <v>0</v>
      </c>
      <c r="G209" s="13" t="n">
        <f aca="false">SUMIFS('Expense Entry'!$H$5:$H$6000,'Expense Entry'!$E$5:$E$6000,"Inventory Purchase",'Expense Entry'!$F$5:$F$6000,$A209)</f>
        <v>0</v>
      </c>
      <c r="H209" s="13" t="n">
        <f aca="false">SUMIFS('Purchase Orders'!$F$5:$F$3000,'Purchase Orders'!$L$5:$L$3000,"Received",'Purchase Orders'!$D$5:$D$3000,$A209)</f>
        <v>0</v>
      </c>
      <c r="I209" s="13" t="n">
        <f aca="false">$G209+$H209</f>
        <v>0</v>
      </c>
      <c r="J209" s="13" t="n">
        <f aca="false">SUMIFS('Issue Log'!$E$5:$E$6000,'Issue Log'!$B$5:$B$6000,$A209)</f>
        <v>0</v>
      </c>
      <c r="K209" s="13" t="n">
        <f aca="false">$F209+$I209-$J209</f>
        <v>0</v>
      </c>
      <c r="L209" s="13" t="n">
        <f aca="false">$K209*$E209</f>
        <v>0</v>
      </c>
    </row>
    <row r="210" customFormat="false" ht="15" hidden="false" customHeight="true" outlineLevel="0" collapsed="false">
      <c r="A210" s="12" t="s">
        <v>856</v>
      </c>
      <c r="B210" s="12" t="s">
        <v>857</v>
      </c>
      <c r="C210" s="12" t="s">
        <v>129</v>
      </c>
      <c r="D210" s="12" t="s">
        <v>241</v>
      </c>
      <c r="E210" s="13" t="n">
        <v>110</v>
      </c>
      <c r="F210" s="13" t="n">
        <v>0</v>
      </c>
      <c r="G210" s="13" t="n">
        <f aca="false">SUMIFS('Expense Entry'!$H$5:$H$6000,'Expense Entry'!$E$5:$E$6000,"Inventory Purchase",'Expense Entry'!$F$5:$F$6000,$A210)</f>
        <v>0</v>
      </c>
      <c r="H210" s="13" t="n">
        <f aca="false">SUMIFS('Purchase Orders'!$F$5:$F$3000,'Purchase Orders'!$L$5:$L$3000,"Received",'Purchase Orders'!$D$5:$D$3000,$A210)</f>
        <v>0</v>
      </c>
      <c r="I210" s="13" t="n">
        <f aca="false">$G210+$H210</f>
        <v>0</v>
      </c>
      <c r="J210" s="13" t="n">
        <f aca="false">SUMIFS('Issue Log'!$E$5:$E$6000,'Issue Log'!$B$5:$B$6000,$A210)</f>
        <v>0</v>
      </c>
      <c r="K210" s="13" t="n">
        <f aca="false">$F210+$I210-$J210</f>
        <v>0</v>
      </c>
      <c r="L210" s="13" t="n">
        <f aca="false">$K210*$E210</f>
        <v>0</v>
      </c>
    </row>
    <row r="211" customFormat="false" ht="15" hidden="false" customHeight="true" outlineLevel="0" collapsed="false">
      <c r="A211" s="12" t="s">
        <v>858</v>
      </c>
      <c r="B211" s="12" t="s">
        <v>859</v>
      </c>
      <c r="C211" s="12" t="s">
        <v>129</v>
      </c>
      <c r="D211" s="12" t="s">
        <v>241</v>
      </c>
      <c r="E211" s="13" t="n">
        <v>0</v>
      </c>
      <c r="F211" s="13" t="n">
        <v>0</v>
      </c>
      <c r="G211" s="13" t="n">
        <f aca="false">SUMIFS('Expense Entry'!$H$5:$H$6000,'Expense Entry'!$E$5:$E$6000,"Inventory Purchase",'Expense Entry'!$F$5:$F$6000,$A211)</f>
        <v>0</v>
      </c>
      <c r="H211" s="13" t="n">
        <f aca="false">SUMIFS('Purchase Orders'!$F$5:$F$3000,'Purchase Orders'!$L$5:$L$3000,"Received",'Purchase Orders'!$D$5:$D$3000,$A211)</f>
        <v>0</v>
      </c>
      <c r="I211" s="13" t="n">
        <f aca="false">$G211+$H211</f>
        <v>0</v>
      </c>
      <c r="J211" s="13" t="n">
        <f aca="false">SUMIFS('Issue Log'!$E$5:$E$6000,'Issue Log'!$B$5:$B$6000,$A211)</f>
        <v>0</v>
      </c>
      <c r="K211" s="13" t="n">
        <f aca="false">$F211+$I211-$J211</f>
        <v>0</v>
      </c>
      <c r="L211" s="13" t="n">
        <f aca="false">$K211*$E211</f>
        <v>0</v>
      </c>
    </row>
    <row r="212" customFormat="false" ht="15" hidden="false" customHeight="true" outlineLevel="0" collapsed="false">
      <c r="A212" s="12" t="s">
        <v>861</v>
      </c>
      <c r="B212" s="12" t="s">
        <v>862</v>
      </c>
      <c r="C212" s="12" t="s">
        <v>129</v>
      </c>
      <c r="D212" s="12" t="s">
        <v>241</v>
      </c>
      <c r="E212" s="13" t="n">
        <v>0</v>
      </c>
      <c r="F212" s="13" t="n">
        <v>0</v>
      </c>
      <c r="G212" s="13" t="n">
        <f aca="false">SUMIFS('Expense Entry'!$H$5:$H$6000,'Expense Entry'!$E$5:$E$6000,"Inventory Purchase",'Expense Entry'!$F$5:$F$6000,$A212)</f>
        <v>0</v>
      </c>
      <c r="H212" s="13" t="n">
        <f aca="false">SUMIFS('Purchase Orders'!$F$5:$F$3000,'Purchase Orders'!$L$5:$L$3000,"Received",'Purchase Orders'!$D$5:$D$3000,$A212)</f>
        <v>0</v>
      </c>
      <c r="I212" s="13" t="n">
        <f aca="false">$G212+$H212</f>
        <v>0</v>
      </c>
      <c r="J212" s="13" t="n">
        <f aca="false">SUMIFS('Issue Log'!$E$5:$E$6000,'Issue Log'!$B$5:$B$6000,$A212)</f>
        <v>0</v>
      </c>
      <c r="K212" s="13" t="n">
        <f aca="false">$F212+$I212-$J212</f>
        <v>0</v>
      </c>
      <c r="L212" s="13" t="n">
        <f aca="false">$K212*$E212</f>
        <v>0</v>
      </c>
    </row>
    <row r="213" customFormat="false" ht="15" hidden="false" customHeight="true" outlineLevel="0" collapsed="false">
      <c r="A213" s="12" t="s">
        <v>863</v>
      </c>
      <c r="B213" s="12" t="s">
        <v>864</v>
      </c>
      <c r="C213" s="12" t="s">
        <v>129</v>
      </c>
      <c r="D213" s="12" t="s">
        <v>241</v>
      </c>
      <c r="E213" s="13" t="n">
        <v>0</v>
      </c>
      <c r="F213" s="13" t="n">
        <v>0</v>
      </c>
      <c r="G213" s="13" t="n">
        <f aca="false">SUMIFS('Expense Entry'!$H$5:$H$6000,'Expense Entry'!$E$5:$E$6000,"Inventory Purchase",'Expense Entry'!$F$5:$F$6000,$A213)</f>
        <v>0</v>
      </c>
      <c r="H213" s="13" t="n">
        <f aca="false">SUMIFS('Purchase Orders'!$F$5:$F$3000,'Purchase Orders'!$L$5:$L$3000,"Received",'Purchase Orders'!$D$5:$D$3000,$A213)</f>
        <v>0</v>
      </c>
      <c r="I213" s="13" t="n">
        <f aca="false">$G213+$H213</f>
        <v>0</v>
      </c>
      <c r="J213" s="13" t="n">
        <f aca="false">SUMIFS('Issue Log'!$E$5:$E$6000,'Issue Log'!$B$5:$B$6000,$A213)</f>
        <v>0</v>
      </c>
      <c r="K213" s="13" t="n">
        <f aca="false">$F213+$I213-$J213</f>
        <v>0</v>
      </c>
      <c r="L213" s="13" t="n">
        <f aca="false">$K213*$E213</f>
        <v>0</v>
      </c>
    </row>
    <row r="214" customFormat="false" ht="15" hidden="false" customHeight="true" outlineLevel="0" collapsed="false">
      <c r="A214" s="12" t="s">
        <v>866</v>
      </c>
      <c r="B214" s="12" t="s">
        <v>867</v>
      </c>
      <c r="C214" s="12" t="s">
        <v>129</v>
      </c>
      <c r="D214" s="12" t="s">
        <v>241</v>
      </c>
      <c r="E214" s="13" t="n">
        <v>0</v>
      </c>
      <c r="F214" s="13" t="n">
        <v>0</v>
      </c>
      <c r="G214" s="13" t="n">
        <f aca="false">SUMIFS('Expense Entry'!$H$5:$H$6000,'Expense Entry'!$E$5:$E$6000,"Inventory Purchase",'Expense Entry'!$F$5:$F$6000,$A214)</f>
        <v>0</v>
      </c>
      <c r="H214" s="13" t="n">
        <f aca="false">SUMIFS('Purchase Orders'!$F$5:$F$3000,'Purchase Orders'!$L$5:$L$3000,"Received",'Purchase Orders'!$D$5:$D$3000,$A214)</f>
        <v>0</v>
      </c>
      <c r="I214" s="13" t="n">
        <f aca="false">$G214+$H214</f>
        <v>0</v>
      </c>
      <c r="J214" s="13" t="n">
        <f aca="false">SUMIFS('Issue Log'!$E$5:$E$6000,'Issue Log'!$B$5:$B$6000,$A214)</f>
        <v>0</v>
      </c>
      <c r="K214" s="13" t="n">
        <f aca="false">$F214+$I214-$J214</f>
        <v>0</v>
      </c>
      <c r="L214" s="13" t="n">
        <f aca="false">$K214*$E214</f>
        <v>0</v>
      </c>
    </row>
    <row r="215" customFormat="false" ht="15" hidden="false" customHeight="true" outlineLevel="0" collapsed="false">
      <c r="A215" s="12" t="s">
        <v>870</v>
      </c>
      <c r="B215" s="12" t="s">
        <v>871</v>
      </c>
      <c r="C215" s="12" t="s">
        <v>129</v>
      </c>
      <c r="D215" s="12" t="s">
        <v>241</v>
      </c>
      <c r="E215" s="13" t="n">
        <v>0</v>
      </c>
      <c r="F215" s="13" t="n">
        <v>0</v>
      </c>
      <c r="G215" s="13" t="n">
        <f aca="false">SUMIFS('Expense Entry'!$H$5:$H$6000,'Expense Entry'!$E$5:$E$6000,"Inventory Purchase",'Expense Entry'!$F$5:$F$6000,$A215)</f>
        <v>0</v>
      </c>
      <c r="H215" s="13" t="n">
        <f aca="false">SUMIFS('Purchase Orders'!$F$5:$F$3000,'Purchase Orders'!$L$5:$L$3000,"Received",'Purchase Orders'!$D$5:$D$3000,$A215)</f>
        <v>0</v>
      </c>
      <c r="I215" s="13" t="n">
        <f aca="false">$G215+$H215</f>
        <v>0</v>
      </c>
      <c r="J215" s="13" t="n">
        <f aca="false">SUMIFS('Issue Log'!$E$5:$E$6000,'Issue Log'!$B$5:$B$6000,$A215)</f>
        <v>0</v>
      </c>
      <c r="K215" s="13" t="n">
        <f aca="false">$F215+$I215-$J215</f>
        <v>0</v>
      </c>
      <c r="L215" s="13" t="n">
        <f aca="false">$K215*$E215</f>
        <v>0</v>
      </c>
    </row>
    <row r="216" customFormat="false" ht="15" hidden="false" customHeight="true" outlineLevel="0" collapsed="false">
      <c r="A216" s="12" t="s">
        <v>872</v>
      </c>
      <c r="B216" s="12" t="s">
        <v>873</v>
      </c>
      <c r="C216" s="12" t="s">
        <v>129</v>
      </c>
      <c r="D216" s="12" t="s">
        <v>241</v>
      </c>
      <c r="E216" s="13" t="n">
        <v>0</v>
      </c>
      <c r="F216" s="13" t="n">
        <v>0</v>
      </c>
      <c r="G216" s="13" t="n">
        <f aca="false">SUMIFS('Expense Entry'!$H$5:$H$6000,'Expense Entry'!$E$5:$E$6000,"Inventory Purchase",'Expense Entry'!$F$5:$F$6000,$A216)</f>
        <v>0</v>
      </c>
      <c r="H216" s="13" t="n">
        <f aca="false">SUMIFS('Purchase Orders'!$F$5:$F$3000,'Purchase Orders'!$L$5:$L$3000,"Received",'Purchase Orders'!$D$5:$D$3000,$A216)</f>
        <v>0</v>
      </c>
      <c r="I216" s="13" t="n">
        <f aca="false">$G216+$H216</f>
        <v>0</v>
      </c>
      <c r="J216" s="13" t="n">
        <f aca="false">SUMIFS('Issue Log'!$E$5:$E$6000,'Issue Log'!$B$5:$B$6000,$A216)</f>
        <v>0</v>
      </c>
      <c r="K216" s="13" t="n">
        <f aca="false">$F216+$I216-$J216</f>
        <v>0</v>
      </c>
      <c r="L216" s="13" t="n">
        <f aca="false">$K216*$E216</f>
        <v>0</v>
      </c>
    </row>
    <row r="217" customFormat="false" ht="15" hidden="false" customHeight="true" outlineLevel="0" collapsed="false">
      <c r="A217" s="12" t="s">
        <v>874</v>
      </c>
      <c r="B217" s="12" t="s">
        <v>875</v>
      </c>
      <c r="C217" s="12" t="s">
        <v>129</v>
      </c>
      <c r="D217" s="12" t="s">
        <v>241</v>
      </c>
      <c r="E217" s="13" t="n">
        <v>0</v>
      </c>
      <c r="F217" s="13" t="n">
        <v>0</v>
      </c>
      <c r="G217" s="13" t="n">
        <f aca="false">SUMIFS('Expense Entry'!$H$5:$H$6000,'Expense Entry'!$E$5:$E$6000,"Inventory Purchase",'Expense Entry'!$F$5:$F$6000,$A217)</f>
        <v>0</v>
      </c>
      <c r="H217" s="13" t="n">
        <f aca="false">SUMIFS('Purchase Orders'!$F$5:$F$3000,'Purchase Orders'!$L$5:$L$3000,"Received",'Purchase Orders'!$D$5:$D$3000,$A217)</f>
        <v>0</v>
      </c>
      <c r="I217" s="13" t="n">
        <f aca="false">$G217+$H217</f>
        <v>0</v>
      </c>
      <c r="J217" s="13" t="n">
        <f aca="false">SUMIFS('Issue Log'!$E$5:$E$6000,'Issue Log'!$B$5:$B$6000,$A217)</f>
        <v>0</v>
      </c>
      <c r="K217" s="13" t="n">
        <f aca="false">$F217+$I217-$J217</f>
        <v>0</v>
      </c>
      <c r="L217" s="13" t="n">
        <f aca="false">$K217*$E217</f>
        <v>0</v>
      </c>
    </row>
    <row r="218" customFormat="false" ht="15" hidden="false" customHeight="true" outlineLevel="0" collapsed="false">
      <c r="A218" s="12" t="s">
        <v>878</v>
      </c>
      <c r="B218" s="12" t="s">
        <v>879</v>
      </c>
      <c r="C218" s="12" t="s">
        <v>129</v>
      </c>
      <c r="D218" s="12" t="s">
        <v>241</v>
      </c>
      <c r="E218" s="13" t="n">
        <v>0</v>
      </c>
      <c r="F218" s="13" t="n">
        <v>0</v>
      </c>
      <c r="G218" s="13" t="n">
        <f aca="false">SUMIFS('Expense Entry'!$H$5:$H$6000,'Expense Entry'!$E$5:$E$6000,"Inventory Purchase",'Expense Entry'!$F$5:$F$6000,$A218)</f>
        <v>0</v>
      </c>
      <c r="H218" s="13" t="n">
        <f aca="false">SUMIFS('Purchase Orders'!$F$5:$F$3000,'Purchase Orders'!$L$5:$L$3000,"Received",'Purchase Orders'!$D$5:$D$3000,$A218)</f>
        <v>0</v>
      </c>
      <c r="I218" s="13" t="n">
        <f aca="false">$G218+$H218</f>
        <v>0</v>
      </c>
      <c r="J218" s="13" t="n">
        <f aca="false">SUMIFS('Issue Log'!$E$5:$E$6000,'Issue Log'!$B$5:$B$6000,$A218)</f>
        <v>0</v>
      </c>
      <c r="K218" s="13" t="n">
        <f aca="false">$F218+$I218-$J218</f>
        <v>0</v>
      </c>
      <c r="L218" s="13" t="n">
        <f aca="false">$K218*$E218</f>
        <v>0</v>
      </c>
    </row>
    <row r="219" customFormat="false" ht="15" hidden="false" customHeight="true" outlineLevel="0" collapsed="false">
      <c r="A219" s="12" t="s">
        <v>880</v>
      </c>
      <c r="B219" s="12" t="s">
        <v>881</v>
      </c>
      <c r="C219" s="12" t="s">
        <v>129</v>
      </c>
      <c r="D219" s="12" t="s">
        <v>241</v>
      </c>
      <c r="E219" s="13" t="n">
        <v>0</v>
      </c>
      <c r="F219" s="13" t="n">
        <v>0</v>
      </c>
      <c r="G219" s="13" t="n">
        <f aca="false">SUMIFS('Expense Entry'!$H$5:$H$6000,'Expense Entry'!$E$5:$E$6000,"Inventory Purchase",'Expense Entry'!$F$5:$F$6000,$A219)</f>
        <v>0</v>
      </c>
      <c r="H219" s="13" t="n">
        <f aca="false">SUMIFS('Purchase Orders'!$F$5:$F$3000,'Purchase Orders'!$L$5:$L$3000,"Received",'Purchase Orders'!$D$5:$D$3000,$A219)</f>
        <v>0</v>
      </c>
      <c r="I219" s="13" t="n">
        <f aca="false">$G219+$H219</f>
        <v>0</v>
      </c>
      <c r="J219" s="13" t="n">
        <f aca="false">SUMIFS('Issue Log'!$E$5:$E$6000,'Issue Log'!$B$5:$B$6000,$A219)</f>
        <v>0</v>
      </c>
      <c r="K219" s="13" t="n">
        <f aca="false">$F219+$I219-$J219</f>
        <v>0</v>
      </c>
      <c r="L219" s="13" t="n">
        <f aca="false">$K219*$E219</f>
        <v>0</v>
      </c>
    </row>
    <row r="220" customFormat="false" ht="15" hidden="false" customHeight="true" outlineLevel="0" collapsed="false">
      <c r="A220" s="12" t="s">
        <v>882</v>
      </c>
      <c r="B220" s="12" t="s">
        <v>883</v>
      </c>
      <c r="C220" s="12" t="s">
        <v>129</v>
      </c>
      <c r="D220" s="12" t="s">
        <v>241</v>
      </c>
      <c r="E220" s="13" t="n">
        <v>0</v>
      </c>
      <c r="F220" s="13" t="n">
        <v>0</v>
      </c>
      <c r="G220" s="13" t="n">
        <f aca="false">SUMIFS('Expense Entry'!$H$5:$H$6000,'Expense Entry'!$E$5:$E$6000,"Inventory Purchase",'Expense Entry'!$F$5:$F$6000,$A220)</f>
        <v>0</v>
      </c>
      <c r="H220" s="13" t="n">
        <f aca="false">SUMIFS('Purchase Orders'!$F$5:$F$3000,'Purchase Orders'!$L$5:$L$3000,"Received",'Purchase Orders'!$D$5:$D$3000,$A220)</f>
        <v>0</v>
      </c>
      <c r="I220" s="13" t="n">
        <f aca="false">$G220+$H220</f>
        <v>0</v>
      </c>
      <c r="J220" s="13" t="n">
        <f aca="false">SUMIFS('Issue Log'!$E$5:$E$6000,'Issue Log'!$B$5:$B$6000,$A220)</f>
        <v>0</v>
      </c>
      <c r="K220" s="13" t="n">
        <f aca="false">$F220+$I220-$J220</f>
        <v>0</v>
      </c>
      <c r="L220" s="13" t="n">
        <f aca="false">$K220*$E220</f>
        <v>0</v>
      </c>
    </row>
    <row r="221" customFormat="false" ht="15" hidden="false" customHeight="true" outlineLevel="0" collapsed="false">
      <c r="A221" s="12" t="s">
        <v>884</v>
      </c>
      <c r="B221" s="12" t="s">
        <v>885</v>
      </c>
      <c r="C221" s="12" t="s">
        <v>129</v>
      </c>
      <c r="D221" s="12" t="s">
        <v>886</v>
      </c>
      <c r="E221" s="13" t="n">
        <v>0</v>
      </c>
      <c r="F221" s="13" t="n">
        <v>0</v>
      </c>
      <c r="G221" s="13" t="n">
        <f aca="false">SUMIFS('Expense Entry'!$H$5:$H$6000,'Expense Entry'!$E$5:$E$6000,"Inventory Purchase",'Expense Entry'!$F$5:$F$6000,$A221)</f>
        <v>0</v>
      </c>
      <c r="H221" s="13" t="n">
        <f aca="false">SUMIFS('Purchase Orders'!$F$5:$F$3000,'Purchase Orders'!$L$5:$L$3000,"Received",'Purchase Orders'!$D$5:$D$3000,$A221)</f>
        <v>0</v>
      </c>
      <c r="I221" s="13" t="n">
        <f aca="false">$G221+$H221</f>
        <v>0</v>
      </c>
      <c r="J221" s="13" t="n">
        <f aca="false">SUMIFS('Issue Log'!$E$5:$E$6000,'Issue Log'!$B$5:$B$6000,$A221)</f>
        <v>0</v>
      </c>
      <c r="K221" s="13" t="n">
        <f aca="false">$F221+$I221-$J221</f>
        <v>0</v>
      </c>
      <c r="L221" s="13" t="n">
        <f aca="false">$K221*$E221</f>
        <v>0</v>
      </c>
    </row>
    <row r="222" customFormat="false" ht="15" hidden="false" customHeight="true" outlineLevel="0" collapsed="false">
      <c r="A222" s="12" t="s">
        <v>887</v>
      </c>
      <c r="B222" s="12" t="s">
        <v>888</v>
      </c>
      <c r="C222" s="12" t="s">
        <v>129</v>
      </c>
      <c r="D222" s="12" t="s">
        <v>241</v>
      </c>
      <c r="E222" s="13" t="n">
        <v>0</v>
      </c>
      <c r="F222" s="13" t="n">
        <v>0</v>
      </c>
      <c r="G222" s="13" t="n">
        <f aca="false">SUMIFS('Expense Entry'!$H$5:$H$6000,'Expense Entry'!$E$5:$E$6000,"Inventory Purchase",'Expense Entry'!$F$5:$F$6000,$A222)</f>
        <v>0</v>
      </c>
      <c r="H222" s="13" t="n">
        <f aca="false">SUMIFS('Purchase Orders'!$F$5:$F$3000,'Purchase Orders'!$L$5:$L$3000,"Received",'Purchase Orders'!$D$5:$D$3000,$A222)</f>
        <v>0</v>
      </c>
      <c r="I222" s="13" t="n">
        <f aca="false">$G222+$H222</f>
        <v>0</v>
      </c>
      <c r="J222" s="13" t="n">
        <f aca="false">SUMIFS('Issue Log'!$E$5:$E$6000,'Issue Log'!$B$5:$B$6000,$A222)</f>
        <v>0</v>
      </c>
      <c r="K222" s="13" t="n">
        <f aca="false">$F222+$I222-$J222</f>
        <v>0</v>
      </c>
      <c r="L222" s="13" t="n">
        <f aca="false">$K222*$E222</f>
        <v>0</v>
      </c>
    </row>
    <row r="223" customFormat="false" ht="15" hidden="false" customHeight="true" outlineLevel="0" collapsed="false">
      <c r="A223" s="12" t="s">
        <v>889</v>
      </c>
      <c r="B223" s="12" t="s">
        <v>890</v>
      </c>
      <c r="C223" s="12" t="s">
        <v>132</v>
      </c>
      <c r="D223" s="12" t="s">
        <v>246</v>
      </c>
      <c r="E223" s="13" t="n">
        <v>55</v>
      </c>
      <c r="F223" s="13" t="n">
        <v>425</v>
      </c>
      <c r="G223" s="13" t="n">
        <f aca="false">SUMIFS('Expense Entry'!$H$5:$H$6000,'Expense Entry'!$E$5:$E$6000,"Inventory Purchase",'Expense Entry'!$F$5:$F$6000,$A223)</f>
        <v>0</v>
      </c>
      <c r="H223" s="13" t="n">
        <f aca="false">SUMIFS('Purchase Orders'!$F$5:$F$3000,'Purchase Orders'!$L$5:$L$3000,"Received",'Purchase Orders'!$D$5:$D$3000,$A223)</f>
        <v>0</v>
      </c>
      <c r="I223" s="13" t="n">
        <f aca="false">$G223+$H223</f>
        <v>0</v>
      </c>
      <c r="J223" s="13" t="n">
        <f aca="false">SUMIFS('Issue Log'!$E$5:$E$6000,'Issue Log'!$B$5:$B$6000,$A223)</f>
        <v>0</v>
      </c>
      <c r="K223" s="13" t="n">
        <f aca="false">$F223+$I223-$J223</f>
        <v>425</v>
      </c>
      <c r="L223" s="13" t="n">
        <f aca="false">$K223*$E223</f>
        <v>23375</v>
      </c>
    </row>
    <row r="224" customFormat="false" ht="15" hidden="false" customHeight="true" outlineLevel="0" collapsed="false">
      <c r="A224" s="12" t="s">
        <v>892</v>
      </c>
      <c r="B224" s="12" t="s">
        <v>893</v>
      </c>
      <c r="C224" s="12" t="s">
        <v>132</v>
      </c>
      <c r="D224" s="12" t="s">
        <v>246</v>
      </c>
      <c r="E224" s="13" t="n">
        <v>7</v>
      </c>
      <c r="F224" s="13" t="n">
        <v>0</v>
      </c>
      <c r="G224" s="13" t="n">
        <f aca="false">SUMIFS('Expense Entry'!$H$5:$H$6000,'Expense Entry'!$E$5:$E$6000,"Inventory Purchase",'Expense Entry'!$F$5:$F$6000,$A224)</f>
        <v>0</v>
      </c>
      <c r="H224" s="13" t="n">
        <f aca="false">SUMIFS('Purchase Orders'!$F$5:$F$3000,'Purchase Orders'!$L$5:$L$3000,"Received",'Purchase Orders'!$D$5:$D$3000,$A224)</f>
        <v>0</v>
      </c>
      <c r="I224" s="13" t="n">
        <f aca="false">$G224+$H224</f>
        <v>0</v>
      </c>
      <c r="J224" s="13" t="n">
        <f aca="false">SUMIFS('Issue Log'!$E$5:$E$6000,'Issue Log'!$B$5:$B$6000,$A224)</f>
        <v>0</v>
      </c>
      <c r="K224" s="13" t="n">
        <f aca="false">$F224+$I224-$J224</f>
        <v>0</v>
      </c>
      <c r="L224" s="13" t="n">
        <f aca="false">$K224*$E224</f>
        <v>0</v>
      </c>
    </row>
    <row r="225" customFormat="false" ht="15" hidden="false" customHeight="true" outlineLevel="0" collapsed="false">
      <c r="A225" s="12" t="s">
        <v>895</v>
      </c>
      <c r="B225" s="12" t="s">
        <v>896</v>
      </c>
      <c r="C225" s="12" t="s">
        <v>132</v>
      </c>
      <c r="D225" s="12" t="s">
        <v>246</v>
      </c>
      <c r="E225" s="13" t="n">
        <v>41</v>
      </c>
      <c r="F225" s="13" t="n">
        <v>2500</v>
      </c>
      <c r="G225" s="13" t="n">
        <f aca="false">SUMIFS('Expense Entry'!$H$5:$H$6000,'Expense Entry'!$E$5:$E$6000,"Inventory Purchase",'Expense Entry'!$F$5:$F$6000,$A225)</f>
        <v>0</v>
      </c>
      <c r="H225" s="13" t="n">
        <f aca="false">SUMIFS('Purchase Orders'!$F$5:$F$3000,'Purchase Orders'!$L$5:$L$3000,"Received",'Purchase Orders'!$D$5:$D$3000,$A225)</f>
        <v>0</v>
      </c>
      <c r="I225" s="13" t="n">
        <f aca="false">$G225+$H225</f>
        <v>0</v>
      </c>
      <c r="J225" s="13" t="n">
        <f aca="false">SUMIFS('Issue Log'!$E$5:$E$6000,'Issue Log'!$B$5:$B$6000,$A225)</f>
        <v>0</v>
      </c>
      <c r="K225" s="13" t="n">
        <f aca="false">$F225+$I225-$J225</f>
        <v>2500</v>
      </c>
      <c r="L225" s="13" t="n">
        <f aca="false">$K225*$E225</f>
        <v>102500</v>
      </c>
    </row>
    <row r="226" customFormat="false" ht="15" hidden="false" customHeight="true" outlineLevel="0" collapsed="false">
      <c r="A226" s="12" t="s">
        <v>897</v>
      </c>
      <c r="B226" s="12" t="s">
        <v>898</v>
      </c>
      <c r="C226" s="12" t="s">
        <v>132</v>
      </c>
      <c r="D226" s="12" t="s">
        <v>246</v>
      </c>
      <c r="E226" s="13" t="n">
        <v>6</v>
      </c>
      <c r="F226" s="13" t="n">
        <v>3200</v>
      </c>
      <c r="G226" s="13" t="n">
        <f aca="false">SUMIFS('Expense Entry'!$H$5:$H$6000,'Expense Entry'!$E$5:$E$6000,"Inventory Purchase",'Expense Entry'!$F$5:$F$6000,$A226)</f>
        <v>0</v>
      </c>
      <c r="H226" s="13" t="n">
        <f aca="false">SUMIFS('Purchase Orders'!$F$5:$F$3000,'Purchase Orders'!$L$5:$L$3000,"Received",'Purchase Orders'!$D$5:$D$3000,$A226)</f>
        <v>0</v>
      </c>
      <c r="I226" s="13" t="n">
        <f aca="false">$G226+$H226</f>
        <v>0</v>
      </c>
      <c r="J226" s="13" t="n">
        <f aca="false">SUMIFS('Issue Log'!$E$5:$E$6000,'Issue Log'!$B$5:$B$6000,$A226)</f>
        <v>0</v>
      </c>
      <c r="K226" s="13" t="n">
        <f aca="false">$F226+$I226-$J226</f>
        <v>3200</v>
      </c>
      <c r="L226" s="13" t="n">
        <f aca="false">$K226*$E226</f>
        <v>19200</v>
      </c>
    </row>
    <row r="227" customFormat="false" ht="15" hidden="false" customHeight="true" outlineLevel="0" collapsed="false">
      <c r="A227" s="12" t="s">
        <v>899</v>
      </c>
      <c r="B227" s="12" t="s">
        <v>900</v>
      </c>
      <c r="C227" s="12" t="s">
        <v>132</v>
      </c>
      <c r="D227" s="12" t="s">
        <v>246</v>
      </c>
      <c r="E227" s="13" t="n">
        <v>26</v>
      </c>
      <c r="F227" s="13" t="n">
        <v>3300</v>
      </c>
      <c r="G227" s="13" t="n">
        <f aca="false">SUMIFS('Expense Entry'!$H$5:$H$6000,'Expense Entry'!$E$5:$E$6000,"Inventory Purchase",'Expense Entry'!$F$5:$F$6000,$A227)</f>
        <v>0</v>
      </c>
      <c r="H227" s="13" t="n">
        <f aca="false">SUMIFS('Purchase Orders'!$F$5:$F$3000,'Purchase Orders'!$L$5:$L$3000,"Received",'Purchase Orders'!$D$5:$D$3000,$A227)</f>
        <v>0</v>
      </c>
      <c r="I227" s="13" t="n">
        <f aca="false">$G227+$H227</f>
        <v>0</v>
      </c>
      <c r="J227" s="13" t="n">
        <f aca="false">SUMIFS('Issue Log'!$E$5:$E$6000,'Issue Log'!$B$5:$B$6000,$A227)</f>
        <v>0</v>
      </c>
      <c r="K227" s="13" t="n">
        <f aca="false">$F227+$I227-$J227</f>
        <v>3300</v>
      </c>
      <c r="L227" s="13" t="n">
        <f aca="false">$K227*$E227</f>
        <v>85800</v>
      </c>
    </row>
    <row r="228" customFormat="false" ht="15" hidden="false" customHeight="true" outlineLevel="0" collapsed="false">
      <c r="A228" s="12" t="s">
        <v>902</v>
      </c>
      <c r="B228" s="12" t="s">
        <v>903</v>
      </c>
      <c r="C228" s="12" t="s">
        <v>132</v>
      </c>
      <c r="D228" s="12" t="s">
        <v>246</v>
      </c>
      <c r="E228" s="13" t="n">
        <v>17</v>
      </c>
      <c r="F228" s="13" t="n">
        <v>0</v>
      </c>
      <c r="G228" s="13" t="n">
        <f aca="false">SUMIFS('Expense Entry'!$H$5:$H$6000,'Expense Entry'!$E$5:$E$6000,"Inventory Purchase",'Expense Entry'!$F$5:$F$6000,$A228)</f>
        <v>0</v>
      </c>
      <c r="H228" s="13" t="n">
        <f aca="false">SUMIFS('Purchase Orders'!$F$5:$F$3000,'Purchase Orders'!$L$5:$L$3000,"Received",'Purchase Orders'!$D$5:$D$3000,$A228)</f>
        <v>0</v>
      </c>
      <c r="I228" s="13" t="n">
        <f aca="false">$G228+$H228</f>
        <v>0</v>
      </c>
      <c r="J228" s="13" t="n">
        <f aca="false">SUMIFS('Issue Log'!$E$5:$E$6000,'Issue Log'!$B$5:$B$6000,$A228)</f>
        <v>0</v>
      </c>
      <c r="K228" s="13" t="n">
        <f aca="false">$F228+$I228-$J228</f>
        <v>0</v>
      </c>
      <c r="L228" s="13" t="n">
        <f aca="false">$K228*$E228</f>
        <v>0</v>
      </c>
    </row>
    <row r="229" customFormat="false" ht="15" hidden="false" customHeight="true" outlineLevel="0" collapsed="false">
      <c r="A229" s="12" t="s">
        <v>905</v>
      </c>
      <c r="B229" s="12" t="s">
        <v>906</v>
      </c>
      <c r="C229" s="12" t="s">
        <v>132</v>
      </c>
      <c r="D229" s="12" t="s">
        <v>246</v>
      </c>
      <c r="E229" s="13" t="n">
        <v>25</v>
      </c>
      <c r="F229" s="13" t="n">
        <v>2300</v>
      </c>
      <c r="G229" s="13" t="n">
        <f aca="false">SUMIFS('Expense Entry'!$H$5:$H$6000,'Expense Entry'!$E$5:$E$6000,"Inventory Purchase",'Expense Entry'!$F$5:$F$6000,$A229)</f>
        <v>0</v>
      </c>
      <c r="H229" s="13" t="n">
        <f aca="false">SUMIFS('Purchase Orders'!$F$5:$F$3000,'Purchase Orders'!$L$5:$L$3000,"Received",'Purchase Orders'!$D$5:$D$3000,$A229)</f>
        <v>0</v>
      </c>
      <c r="I229" s="13" t="n">
        <f aca="false">$G229+$H229</f>
        <v>0</v>
      </c>
      <c r="J229" s="13" t="n">
        <f aca="false">SUMIFS('Issue Log'!$E$5:$E$6000,'Issue Log'!$B$5:$B$6000,$A229)</f>
        <v>0</v>
      </c>
      <c r="K229" s="13" t="n">
        <f aca="false">$F229+$I229-$J229</f>
        <v>2300</v>
      </c>
      <c r="L229" s="13" t="n">
        <f aca="false">$K229*$E229</f>
        <v>57500</v>
      </c>
    </row>
    <row r="230" customFormat="false" ht="15" hidden="false" customHeight="true" outlineLevel="0" collapsed="false">
      <c r="A230" s="12" t="s">
        <v>908</v>
      </c>
      <c r="B230" s="12" t="s">
        <v>909</v>
      </c>
      <c r="C230" s="12" t="s">
        <v>132</v>
      </c>
      <c r="D230" s="12" t="s">
        <v>246</v>
      </c>
      <c r="E230" s="13" t="n">
        <v>0</v>
      </c>
      <c r="F230" s="13" t="n">
        <v>0</v>
      </c>
      <c r="G230" s="13" t="n">
        <f aca="false">SUMIFS('Expense Entry'!$H$5:$H$6000,'Expense Entry'!$E$5:$E$6000,"Inventory Purchase",'Expense Entry'!$F$5:$F$6000,$A230)</f>
        <v>0</v>
      </c>
      <c r="H230" s="13" t="n">
        <f aca="false">SUMIFS('Purchase Orders'!$F$5:$F$3000,'Purchase Orders'!$L$5:$L$3000,"Received",'Purchase Orders'!$D$5:$D$3000,$A230)</f>
        <v>0</v>
      </c>
      <c r="I230" s="13" t="n">
        <f aca="false">$G230+$H230</f>
        <v>0</v>
      </c>
      <c r="J230" s="13" t="n">
        <f aca="false">SUMIFS('Issue Log'!$E$5:$E$6000,'Issue Log'!$B$5:$B$6000,$A230)</f>
        <v>0</v>
      </c>
      <c r="K230" s="13" t="n">
        <f aca="false">$F230+$I230-$J230</f>
        <v>0</v>
      </c>
      <c r="L230" s="13" t="n">
        <f aca="false">$K230*$E230</f>
        <v>0</v>
      </c>
    </row>
    <row r="231" customFormat="false" ht="15" hidden="false" customHeight="true" outlineLevel="0" collapsed="false">
      <c r="A231" s="12" t="s">
        <v>911</v>
      </c>
      <c r="B231" s="12" t="s">
        <v>912</v>
      </c>
      <c r="C231" s="12" t="s">
        <v>132</v>
      </c>
      <c r="D231" s="12" t="s">
        <v>246</v>
      </c>
      <c r="E231" s="13" t="n">
        <v>24.5</v>
      </c>
      <c r="F231" s="13" t="n">
        <v>0</v>
      </c>
      <c r="G231" s="13" t="n">
        <f aca="false">SUMIFS('Expense Entry'!$H$5:$H$6000,'Expense Entry'!$E$5:$E$6000,"Inventory Purchase",'Expense Entry'!$F$5:$F$6000,$A231)</f>
        <v>0</v>
      </c>
      <c r="H231" s="13" t="n">
        <f aca="false">SUMIFS('Purchase Orders'!$F$5:$F$3000,'Purchase Orders'!$L$5:$L$3000,"Received",'Purchase Orders'!$D$5:$D$3000,$A231)</f>
        <v>0</v>
      </c>
      <c r="I231" s="13" t="n">
        <f aca="false">$G231+$H231</f>
        <v>0</v>
      </c>
      <c r="J231" s="13" t="n">
        <f aca="false">SUMIFS('Issue Log'!$E$5:$E$6000,'Issue Log'!$B$5:$B$6000,$A231)</f>
        <v>0</v>
      </c>
      <c r="K231" s="13" t="n">
        <f aca="false">$F231+$I231-$J231</f>
        <v>0</v>
      </c>
      <c r="L231" s="13" t="n">
        <f aca="false">$K231*$E231</f>
        <v>0</v>
      </c>
    </row>
    <row r="232" customFormat="false" ht="15" hidden="false" customHeight="true" outlineLevel="0" collapsed="false">
      <c r="A232" s="12" t="s">
        <v>913</v>
      </c>
      <c r="B232" s="12" t="s">
        <v>914</v>
      </c>
      <c r="C232" s="12" t="s">
        <v>132</v>
      </c>
      <c r="D232" s="12" t="s">
        <v>267</v>
      </c>
      <c r="E232" s="13" t="n">
        <v>333</v>
      </c>
      <c r="F232" s="13" t="n">
        <v>0</v>
      </c>
      <c r="G232" s="13" t="n">
        <f aca="false">SUMIFS('Expense Entry'!$H$5:$H$6000,'Expense Entry'!$E$5:$E$6000,"Inventory Purchase",'Expense Entry'!$F$5:$F$6000,$A232)</f>
        <v>0</v>
      </c>
      <c r="H232" s="13" t="n">
        <f aca="false">SUMIFS('Purchase Orders'!$F$5:$F$3000,'Purchase Orders'!$L$5:$L$3000,"Received",'Purchase Orders'!$D$5:$D$3000,$A232)</f>
        <v>0</v>
      </c>
      <c r="I232" s="13" t="n">
        <f aca="false">$G232+$H232</f>
        <v>0</v>
      </c>
      <c r="J232" s="13" t="n">
        <f aca="false">SUMIFS('Issue Log'!$E$5:$E$6000,'Issue Log'!$B$5:$B$6000,$A232)</f>
        <v>0</v>
      </c>
      <c r="K232" s="13" t="n">
        <f aca="false">$F232+$I232-$J232</f>
        <v>0</v>
      </c>
      <c r="L232" s="13" t="n">
        <f aca="false">$K232*$E232</f>
        <v>0</v>
      </c>
    </row>
    <row r="233" customFormat="false" ht="15" hidden="false" customHeight="true" outlineLevel="0" collapsed="false">
      <c r="A233" s="12" t="s">
        <v>915</v>
      </c>
      <c r="B233" s="12" t="s">
        <v>916</v>
      </c>
      <c r="C233" s="12" t="s">
        <v>132</v>
      </c>
      <c r="D233" s="12" t="s">
        <v>752</v>
      </c>
      <c r="E233" s="13" t="n">
        <v>115</v>
      </c>
      <c r="F233" s="13" t="n">
        <v>128</v>
      </c>
      <c r="G233" s="13" t="n">
        <f aca="false">SUMIFS('Expense Entry'!$H$5:$H$6000,'Expense Entry'!$E$5:$E$6000,"Inventory Purchase",'Expense Entry'!$F$5:$F$6000,$A233)</f>
        <v>0</v>
      </c>
      <c r="H233" s="13" t="n">
        <f aca="false">SUMIFS('Purchase Orders'!$F$5:$F$3000,'Purchase Orders'!$L$5:$L$3000,"Received",'Purchase Orders'!$D$5:$D$3000,$A233)</f>
        <v>0</v>
      </c>
      <c r="I233" s="13" t="n">
        <f aca="false">$G233+$H233</f>
        <v>0</v>
      </c>
      <c r="J233" s="13" t="n">
        <f aca="false">SUMIFS('Issue Log'!$E$5:$E$6000,'Issue Log'!$B$5:$B$6000,$A233)</f>
        <v>0</v>
      </c>
      <c r="K233" s="13" t="n">
        <f aca="false">$F233+$I233-$J233</f>
        <v>128</v>
      </c>
      <c r="L233" s="13" t="n">
        <f aca="false">$K233*$E233</f>
        <v>14720</v>
      </c>
    </row>
    <row r="234" customFormat="false" ht="15" hidden="false" customHeight="true" outlineLevel="0" collapsed="false">
      <c r="A234" s="12" t="s">
        <v>917</v>
      </c>
      <c r="B234" s="12" t="s">
        <v>918</v>
      </c>
      <c r="C234" s="12" t="s">
        <v>132</v>
      </c>
      <c r="D234" s="12" t="s">
        <v>267</v>
      </c>
      <c r="E234" s="13" t="n">
        <v>275</v>
      </c>
      <c r="F234" s="13" t="n">
        <v>26</v>
      </c>
      <c r="G234" s="13" t="n">
        <f aca="false">SUMIFS('Expense Entry'!$H$5:$H$6000,'Expense Entry'!$E$5:$E$6000,"Inventory Purchase",'Expense Entry'!$F$5:$F$6000,$A234)</f>
        <v>0</v>
      </c>
      <c r="H234" s="13" t="n">
        <f aca="false">SUMIFS('Purchase Orders'!$F$5:$F$3000,'Purchase Orders'!$L$5:$L$3000,"Received",'Purchase Orders'!$D$5:$D$3000,$A234)</f>
        <v>0</v>
      </c>
      <c r="I234" s="13" t="n">
        <f aca="false">$G234+$H234</f>
        <v>0</v>
      </c>
      <c r="J234" s="13" t="n">
        <f aca="false">SUMIFS('Issue Log'!$E$5:$E$6000,'Issue Log'!$B$5:$B$6000,$A234)</f>
        <v>0</v>
      </c>
      <c r="K234" s="13" t="n">
        <f aca="false">$F234+$I234-$J234</f>
        <v>26</v>
      </c>
      <c r="L234" s="13" t="n">
        <f aca="false">$K234*$E234</f>
        <v>7150</v>
      </c>
    </row>
    <row r="235" customFormat="false" ht="15" hidden="false" customHeight="true" outlineLevel="0" collapsed="false">
      <c r="A235" s="12" t="s">
        <v>919</v>
      </c>
      <c r="B235" s="12" t="s">
        <v>920</v>
      </c>
      <c r="C235" s="12" t="s">
        <v>132</v>
      </c>
      <c r="D235" s="12" t="s">
        <v>267</v>
      </c>
      <c r="E235" s="13" t="n">
        <v>75</v>
      </c>
      <c r="F235" s="13" t="n">
        <v>24</v>
      </c>
      <c r="G235" s="13" t="n">
        <f aca="false">SUMIFS('Expense Entry'!$H$5:$H$6000,'Expense Entry'!$E$5:$E$6000,"Inventory Purchase",'Expense Entry'!$F$5:$F$6000,$A235)</f>
        <v>0</v>
      </c>
      <c r="H235" s="13" t="n">
        <f aca="false">SUMIFS('Purchase Orders'!$F$5:$F$3000,'Purchase Orders'!$L$5:$L$3000,"Received",'Purchase Orders'!$D$5:$D$3000,$A235)</f>
        <v>0</v>
      </c>
      <c r="I235" s="13" t="n">
        <f aca="false">$G235+$H235</f>
        <v>0</v>
      </c>
      <c r="J235" s="13" t="n">
        <f aca="false">SUMIFS('Issue Log'!$E$5:$E$6000,'Issue Log'!$B$5:$B$6000,$A235)</f>
        <v>0</v>
      </c>
      <c r="K235" s="13" t="n">
        <f aca="false">$F235+$I235-$J235</f>
        <v>24</v>
      </c>
      <c r="L235" s="13" t="n">
        <f aca="false">$K235*$E235</f>
        <v>1800</v>
      </c>
    </row>
    <row r="236" customFormat="false" ht="15" hidden="false" customHeight="true" outlineLevel="0" collapsed="false">
      <c r="A236" s="12" t="s">
        <v>921</v>
      </c>
      <c r="B236" s="12" t="s">
        <v>922</v>
      </c>
      <c r="C236" s="12" t="s">
        <v>132</v>
      </c>
      <c r="D236" s="12" t="s">
        <v>267</v>
      </c>
      <c r="E236" s="13" t="n">
        <v>150</v>
      </c>
      <c r="F236" s="13" t="n">
        <v>40</v>
      </c>
      <c r="G236" s="13" t="n">
        <f aca="false">SUMIFS('Expense Entry'!$H$5:$H$6000,'Expense Entry'!$E$5:$E$6000,"Inventory Purchase",'Expense Entry'!$F$5:$F$6000,$A236)</f>
        <v>0</v>
      </c>
      <c r="H236" s="13" t="n">
        <f aca="false">SUMIFS('Purchase Orders'!$F$5:$F$3000,'Purchase Orders'!$L$5:$L$3000,"Received",'Purchase Orders'!$D$5:$D$3000,$A236)</f>
        <v>0</v>
      </c>
      <c r="I236" s="13" t="n">
        <f aca="false">$G236+$H236</f>
        <v>0</v>
      </c>
      <c r="J236" s="13" t="n">
        <f aca="false">SUMIFS('Issue Log'!$E$5:$E$6000,'Issue Log'!$B$5:$B$6000,$A236)</f>
        <v>0</v>
      </c>
      <c r="K236" s="13" t="n">
        <f aca="false">$F236+$I236-$J236</f>
        <v>40</v>
      </c>
      <c r="L236" s="13" t="n">
        <f aca="false">$K236*$E236</f>
        <v>6000</v>
      </c>
    </row>
    <row r="237" customFormat="false" ht="15" hidden="false" customHeight="true" outlineLevel="0" collapsed="false">
      <c r="A237" s="12" t="s">
        <v>923</v>
      </c>
      <c r="B237" s="12" t="s">
        <v>924</v>
      </c>
      <c r="C237" s="12" t="s">
        <v>132</v>
      </c>
      <c r="D237" s="12" t="s">
        <v>267</v>
      </c>
      <c r="E237" s="13" t="n">
        <v>115</v>
      </c>
      <c r="F237" s="13" t="n">
        <v>74</v>
      </c>
      <c r="G237" s="13" t="n">
        <f aca="false">SUMIFS('Expense Entry'!$H$5:$H$6000,'Expense Entry'!$E$5:$E$6000,"Inventory Purchase",'Expense Entry'!$F$5:$F$6000,$A237)</f>
        <v>0</v>
      </c>
      <c r="H237" s="13" t="n">
        <f aca="false">SUMIFS('Purchase Orders'!$F$5:$F$3000,'Purchase Orders'!$L$5:$L$3000,"Received",'Purchase Orders'!$D$5:$D$3000,$A237)</f>
        <v>0</v>
      </c>
      <c r="I237" s="13" t="n">
        <f aca="false">$G237+$H237</f>
        <v>0</v>
      </c>
      <c r="J237" s="13" t="n">
        <f aca="false">SUMIFS('Issue Log'!$E$5:$E$6000,'Issue Log'!$B$5:$B$6000,$A237)</f>
        <v>0</v>
      </c>
      <c r="K237" s="13" t="n">
        <f aca="false">$F237+$I237-$J237</f>
        <v>74</v>
      </c>
      <c r="L237" s="13" t="n">
        <f aca="false">$K237*$E237</f>
        <v>8510</v>
      </c>
    </row>
    <row r="238" customFormat="false" ht="15" hidden="false" customHeight="true" outlineLevel="0" collapsed="false">
      <c r="A238" s="12" t="s">
        <v>925</v>
      </c>
      <c r="B238" s="12" t="s">
        <v>926</v>
      </c>
      <c r="C238" s="12" t="s">
        <v>132</v>
      </c>
      <c r="D238" s="12" t="s">
        <v>246</v>
      </c>
      <c r="E238" s="13" t="n">
        <v>15.06</v>
      </c>
      <c r="F238" s="13" t="n">
        <v>0</v>
      </c>
      <c r="G238" s="13" t="n">
        <f aca="false">SUMIFS('Expense Entry'!$H$5:$H$6000,'Expense Entry'!$E$5:$E$6000,"Inventory Purchase",'Expense Entry'!$F$5:$F$6000,$A238)</f>
        <v>0</v>
      </c>
      <c r="H238" s="13" t="n">
        <f aca="false">SUMIFS('Purchase Orders'!$F$5:$F$3000,'Purchase Orders'!$L$5:$L$3000,"Received",'Purchase Orders'!$D$5:$D$3000,$A238)</f>
        <v>0</v>
      </c>
      <c r="I238" s="13" t="n">
        <f aca="false">$G238+$H238</f>
        <v>0</v>
      </c>
      <c r="J238" s="13" t="n">
        <f aca="false">SUMIFS('Issue Log'!$E$5:$E$6000,'Issue Log'!$B$5:$B$6000,$A238)</f>
        <v>0</v>
      </c>
      <c r="K238" s="13" t="n">
        <f aca="false">$F238+$I238-$J238</f>
        <v>0</v>
      </c>
      <c r="L238" s="13" t="n">
        <f aca="false">$K238*$E238</f>
        <v>0</v>
      </c>
    </row>
    <row r="239" customFormat="false" ht="15" hidden="false" customHeight="true" outlineLevel="0" collapsed="false">
      <c r="A239" s="12" t="s">
        <v>927</v>
      </c>
      <c r="B239" s="12" t="s">
        <v>928</v>
      </c>
      <c r="C239" s="12" t="s">
        <v>132</v>
      </c>
      <c r="D239" s="12" t="s">
        <v>267</v>
      </c>
      <c r="E239" s="13" t="n">
        <v>45</v>
      </c>
      <c r="F239" s="13" t="n">
        <v>50</v>
      </c>
      <c r="G239" s="13" t="n">
        <f aca="false">SUMIFS('Expense Entry'!$H$5:$H$6000,'Expense Entry'!$E$5:$E$6000,"Inventory Purchase",'Expense Entry'!$F$5:$F$6000,$A239)</f>
        <v>0</v>
      </c>
      <c r="H239" s="13" t="n">
        <f aca="false">SUMIFS('Purchase Orders'!$F$5:$F$3000,'Purchase Orders'!$L$5:$L$3000,"Received",'Purchase Orders'!$D$5:$D$3000,$A239)</f>
        <v>0</v>
      </c>
      <c r="I239" s="13" t="n">
        <f aca="false">$G239+$H239</f>
        <v>0</v>
      </c>
      <c r="J239" s="13" t="n">
        <f aca="false">SUMIFS('Issue Log'!$E$5:$E$6000,'Issue Log'!$B$5:$B$6000,$A239)</f>
        <v>0</v>
      </c>
      <c r="K239" s="13" t="n">
        <f aca="false">$F239+$I239-$J239</f>
        <v>50</v>
      </c>
      <c r="L239" s="13" t="n">
        <f aca="false">$K239*$E239</f>
        <v>2250</v>
      </c>
    </row>
    <row r="240" customFormat="false" ht="15" hidden="false" customHeight="true" outlineLevel="0" collapsed="false">
      <c r="A240" s="12" t="s">
        <v>929</v>
      </c>
      <c r="B240" s="12" t="s">
        <v>930</v>
      </c>
      <c r="C240" s="12" t="s">
        <v>132</v>
      </c>
      <c r="D240" s="12" t="s">
        <v>267</v>
      </c>
      <c r="E240" s="13" t="n">
        <v>110</v>
      </c>
      <c r="F240" s="13" t="n">
        <v>0</v>
      </c>
      <c r="G240" s="13" t="n">
        <f aca="false">SUMIFS('Expense Entry'!$H$5:$H$6000,'Expense Entry'!$E$5:$E$6000,"Inventory Purchase",'Expense Entry'!$F$5:$F$6000,$A240)</f>
        <v>0</v>
      </c>
      <c r="H240" s="13" t="n">
        <f aca="false">SUMIFS('Purchase Orders'!$F$5:$F$3000,'Purchase Orders'!$L$5:$L$3000,"Received",'Purchase Orders'!$D$5:$D$3000,$A240)</f>
        <v>0</v>
      </c>
      <c r="I240" s="13" t="n">
        <f aca="false">$G240+$H240</f>
        <v>0</v>
      </c>
      <c r="J240" s="13" t="n">
        <f aca="false">SUMIFS('Issue Log'!$E$5:$E$6000,'Issue Log'!$B$5:$B$6000,$A240)</f>
        <v>0</v>
      </c>
      <c r="K240" s="13" t="n">
        <f aca="false">$F240+$I240-$J240</f>
        <v>0</v>
      </c>
      <c r="L240" s="13" t="n">
        <f aca="false">$K240*$E240</f>
        <v>0</v>
      </c>
    </row>
    <row r="241" customFormat="false" ht="15" hidden="false" customHeight="true" outlineLevel="0" collapsed="false">
      <c r="A241" s="12" t="s">
        <v>931</v>
      </c>
      <c r="B241" s="12" t="s">
        <v>932</v>
      </c>
      <c r="C241" s="12" t="s">
        <v>132</v>
      </c>
      <c r="D241" s="12" t="s">
        <v>267</v>
      </c>
      <c r="E241" s="13" t="n">
        <v>110</v>
      </c>
      <c r="F241" s="13" t="n">
        <v>24</v>
      </c>
      <c r="G241" s="13" t="n">
        <f aca="false">SUMIFS('Expense Entry'!$H$5:$H$6000,'Expense Entry'!$E$5:$E$6000,"Inventory Purchase",'Expense Entry'!$F$5:$F$6000,$A241)</f>
        <v>0</v>
      </c>
      <c r="H241" s="13" t="n">
        <f aca="false">SUMIFS('Purchase Orders'!$F$5:$F$3000,'Purchase Orders'!$L$5:$L$3000,"Received",'Purchase Orders'!$D$5:$D$3000,$A241)</f>
        <v>0</v>
      </c>
      <c r="I241" s="13" t="n">
        <f aca="false">$G241+$H241</f>
        <v>0</v>
      </c>
      <c r="J241" s="13" t="n">
        <f aca="false">SUMIFS('Issue Log'!$E$5:$E$6000,'Issue Log'!$B$5:$B$6000,$A241)</f>
        <v>0</v>
      </c>
      <c r="K241" s="13" t="n">
        <f aca="false">$F241+$I241-$J241</f>
        <v>24</v>
      </c>
      <c r="L241" s="13" t="n">
        <f aca="false">$K241*$E241</f>
        <v>2640</v>
      </c>
    </row>
    <row r="242" customFormat="false" ht="15" hidden="false" customHeight="true" outlineLevel="0" collapsed="false">
      <c r="A242" s="12" t="s">
        <v>933</v>
      </c>
      <c r="B242" s="12" t="s">
        <v>934</v>
      </c>
      <c r="C242" s="12" t="s">
        <v>132</v>
      </c>
      <c r="D242" s="12" t="s">
        <v>267</v>
      </c>
      <c r="E242" s="13" t="n">
        <v>850</v>
      </c>
      <c r="F242" s="13" t="n">
        <v>0</v>
      </c>
      <c r="G242" s="13" t="n">
        <f aca="false">SUMIFS('Expense Entry'!$H$5:$H$6000,'Expense Entry'!$E$5:$E$6000,"Inventory Purchase",'Expense Entry'!$F$5:$F$6000,$A242)</f>
        <v>0</v>
      </c>
      <c r="H242" s="13" t="n">
        <f aca="false">SUMIFS('Purchase Orders'!$F$5:$F$3000,'Purchase Orders'!$L$5:$L$3000,"Received",'Purchase Orders'!$D$5:$D$3000,$A242)</f>
        <v>0</v>
      </c>
      <c r="I242" s="13" t="n">
        <f aca="false">$G242+$H242</f>
        <v>0</v>
      </c>
      <c r="J242" s="13" t="n">
        <f aca="false">SUMIFS('Issue Log'!$E$5:$E$6000,'Issue Log'!$B$5:$B$6000,$A242)</f>
        <v>0</v>
      </c>
      <c r="K242" s="13" t="n">
        <f aca="false">$F242+$I242-$J242</f>
        <v>0</v>
      </c>
      <c r="L242" s="13" t="n">
        <f aca="false">$K242*$E242</f>
        <v>0</v>
      </c>
    </row>
    <row r="243" customFormat="false" ht="15" hidden="false" customHeight="true" outlineLevel="0" collapsed="false">
      <c r="A243" s="12" t="s">
        <v>937</v>
      </c>
      <c r="B243" s="12" t="s">
        <v>938</v>
      </c>
      <c r="C243" s="12" t="s">
        <v>132</v>
      </c>
      <c r="D243" s="12" t="s">
        <v>267</v>
      </c>
      <c r="E243" s="13" t="n">
        <v>600</v>
      </c>
      <c r="F243" s="13" t="n">
        <v>0</v>
      </c>
      <c r="G243" s="13" t="n">
        <f aca="false">SUMIFS('Expense Entry'!$H$5:$H$6000,'Expense Entry'!$E$5:$E$6000,"Inventory Purchase",'Expense Entry'!$F$5:$F$6000,$A243)</f>
        <v>0</v>
      </c>
      <c r="H243" s="13" t="n">
        <f aca="false">SUMIFS('Purchase Orders'!$F$5:$F$3000,'Purchase Orders'!$L$5:$L$3000,"Received",'Purchase Orders'!$D$5:$D$3000,$A243)</f>
        <v>0</v>
      </c>
      <c r="I243" s="13" t="n">
        <f aca="false">$G243+$H243</f>
        <v>0</v>
      </c>
      <c r="J243" s="13" t="n">
        <f aca="false">SUMIFS('Issue Log'!$E$5:$E$6000,'Issue Log'!$B$5:$B$6000,$A243)</f>
        <v>0</v>
      </c>
      <c r="K243" s="13" t="n">
        <f aca="false">$F243+$I243-$J243</f>
        <v>0</v>
      </c>
      <c r="L243" s="13" t="n">
        <f aca="false">$K243*$E243</f>
        <v>0</v>
      </c>
    </row>
    <row r="244" customFormat="false" ht="15" hidden="false" customHeight="true" outlineLevel="0" collapsed="false">
      <c r="A244" s="12" t="s">
        <v>940</v>
      </c>
      <c r="B244" s="12" t="s">
        <v>941</v>
      </c>
      <c r="C244" s="12" t="s">
        <v>132</v>
      </c>
      <c r="D244" s="12" t="s">
        <v>246</v>
      </c>
      <c r="E244" s="13" t="n">
        <v>60</v>
      </c>
      <c r="F244" s="13" t="n">
        <v>100</v>
      </c>
      <c r="G244" s="13" t="n">
        <f aca="false">SUMIFS('Expense Entry'!$H$5:$H$6000,'Expense Entry'!$E$5:$E$6000,"Inventory Purchase",'Expense Entry'!$F$5:$F$6000,$A244)</f>
        <v>0</v>
      </c>
      <c r="H244" s="13" t="n">
        <f aca="false">SUMIFS('Purchase Orders'!$F$5:$F$3000,'Purchase Orders'!$L$5:$L$3000,"Received",'Purchase Orders'!$D$5:$D$3000,$A244)</f>
        <v>0</v>
      </c>
      <c r="I244" s="13" t="n">
        <f aca="false">$G244+$H244</f>
        <v>0</v>
      </c>
      <c r="J244" s="13" t="n">
        <f aca="false">SUMIFS('Issue Log'!$E$5:$E$6000,'Issue Log'!$B$5:$B$6000,$A244)</f>
        <v>0</v>
      </c>
      <c r="K244" s="13" t="n">
        <f aca="false">$F244+$I244-$J244</f>
        <v>100</v>
      </c>
      <c r="L244" s="13" t="n">
        <f aca="false">$K244*$E244</f>
        <v>6000</v>
      </c>
    </row>
    <row r="245" customFormat="false" ht="15" hidden="false" customHeight="true" outlineLevel="0" collapsed="false">
      <c r="A245" s="12" t="s">
        <v>943</v>
      </c>
      <c r="B245" s="12" t="s">
        <v>944</v>
      </c>
      <c r="C245" s="12" t="s">
        <v>132</v>
      </c>
      <c r="D245" s="12" t="s">
        <v>246</v>
      </c>
      <c r="E245" s="13" t="n">
        <v>2</v>
      </c>
      <c r="F245" s="13" t="n">
        <v>0</v>
      </c>
      <c r="G245" s="13" t="n">
        <f aca="false">SUMIFS('Expense Entry'!$H$5:$H$6000,'Expense Entry'!$E$5:$E$6000,"Inventory Purchase",'Expense Entry'!$F$5:$F$6000,$A245)</f>
        <v>0</v>
      </c>
      <c r="H245" s="13" t="n">
        <f aca="false">SUMIFS('Purchase Orders'!$F$5:$F$3000,'Purchase Orders'!$L$5:$L$3000,"Received",'Purchase Orders'!$D$5:$D$3000,$A245)</f>
        <v>0</v>
      </c>
      <c r="I245" s="13" t="n">
        <f aca="false">$G245+$H245</f>
        <v>0</v>
      </c>
      <c r="J245" s="13" t="n">
        <f aca="false">SUMIFS('Issue Log'!$E$5:$E$6000,'Issue Log'!$B$5:$B$6000,$A245)</f>
        <v>0</v>
      </c>
      <c r="K245" s="13" t="n">
        <f aca="false">$F245+$I245-$J245</f>
        <v>0</v>
      </c>
      <c r="L245" s="13" t="n">
        <f aca="false">$K245*$E245</f>
        <v>0</v>
      </c>
    </row>
    <row r="246" customFormat="false" ht="15" hidden="false" customHeight="true" outlineLevel="0" collapsed="false">
      <c r="A246" s="12" t="s">
        <v>947</v>
      </c>
      <c r="B246" s="12" t="s">
        <v>948</v>
      </c>
      <c r="C246" s="12" t="s">
        <v>132</v>
      </c>
      <c r="D246" s="12" t="s">
        <v>241</v>
      </c>
      <c r="E246" s="13" t="n">
        <v>360</v>
      </c>
      <c r="F246" s="13" t="n">
        <v>4</v>
      </c>
      <c r="G246" s="13" t="n">
        <f aca="false">SUMIFS('Expense Entry'!$H$5:$H$6000,'Expense Entry'!$E$5:$E$6000,"Inventory Purchase",'Expense Entry'!$F$5:$F$6000,$A246)</f>
        <v>0</v>
      </c>
      <c r="H246" s="13" t="n">
        <f aca="false">SUMIFS('Purchase Orders'!$F$5:$F$3000,'Purchase Orders'!$L$5:$L$3000,"Received",'Purchase Orders'!$D$5:$D$3000,$A246)</f>
        <v>0</v>
      </c>
      <c r="I246" s="13" t="n">
        <f aca="false">$G246+$H246</f>
        <v>0</v>
      </c>
      <c r="J246" s="13" t="n">
        <f aca="false">SUMIFS('Issue Log'!$E$5:$E$6000,'Issue Log'!$B$5:$B$6000,$A246)</f>
        <v>0</v>
      </c>
      <c r="K246" s="13" t="n">
        <f aca="false">$F246+$I246-$J246</f>
        <v>4</v>
      </c>
      <c r="L246" s="13" t="n">
        <f aca="false">$K246*$E246</f>
        <v>1440</v>
      </c>
    </row>
    <row r="247" customFormat="false" ht="15" hidden="false" customHeight="true" outlineLevel="0" collapsed="false">
      <c r="A247" s="12" t="s">
        <v>950</v>
      </c>
      <c r="B247" s="12" t="s">
        <v>951</v>
      </c>
      <c r="C247" s="12" t="s">
        <v>132</v>
      </c>
      <c r="D247" s="12" t="s">
        <v>267</v>
      </c>
      <c r="E247" s="13" t="n">
        <v>400</v>
      </c>
      <c r="F247" s="13" t="n">
        <v>0</v>
      </c>
      <c r="G247" s="13" t="n">
        <f aca="false">SUMIFS('Expense Entry'!$H$5:$H$6000,'Expense Entry'!$E$5:$E$6000,"Inventory Purchase",'Expense Entry'!$F$5:$F$6000,$A247)</f>
        <v>0</v>
      </c>
      <c r="H247" s="13" t="n">
        <f aca="false">SUMIFS('Purchase Orders'!$F$5:$F$3000,'Purchase Orders'!$L$5:$L$3000,"Received",'Purchase Orders'!$D$5:$D$3000,$A247)</f>
        <v>0</v>
      </c>
      <c r="I247" s="13" t="n">
        <f aca="false">$G247+$H247</f>
        <v>0</v>
      </c>
      <c r="J247" s="13" t="n">
        <f aca="false">SUMIFS('Issue Log'!$E$5:$E$6000,'Issue Log'!$B$5:$B$6000,$A247)</f>
        <v>0</v>
      </c>
      <c r="K247" s="13" t="n">
        <f aca="false">$F247+$I247-$J247</f>
        <v>0</v>
      </c>
      <c r="L247" s="13" t="n">
        <f aca="false">$K247*$E247</f>
        <v>0</v>
      </c>
    </row>
    <row r="248" customFormat="false" ht="15" hidden="false" customHeight="true" outlineLevel="0" collapsed="false">
      <c r="A248" s="12" t="s">
        <v>954</v>
      </c>
      <c r="B248" s="12" t="s">
        <v>955</v>
      </c>
      <c r="C248" s="12" t="s">
        <v>132</v>
      </c>
      <c r="D248" s="12" t="s">
        <v>241</v>
      </c>
      <c r="E248" s="13" t="n">
        <v>1130</v>
      </c>
      <c r="F248" s="13" t="n">
        <v>7</v>
      </c>
      <c r="G248" s="13" t="n">
        <f aca="false">SUMIFS('Expense Entry'!$H$5:$H$6000,'Expense Entry'!$E$5:$E$6000,"Inventory Purchase",'Expense Entry'!$F$5:$F$6000,$A248)</f>
        <v>0</v>
      </c>
      <c r="H248" s="13" t="n">
        <f aca="false">SUMIFS('Purchase Orders'!$F$5:$F$3000,'Purchase Orders'!$L$5:$L$3000,"Received",'Purchase Orders'!$D$5:$D$3000,$A248)</f>
        <v>0</v>
      </c>
      <c r="I248" s="13" t="n">
        <f aca="false">$G248+$H248</f>
        <v>0</v>
      </c>
      <c r="J248" s="13" t="n">
        <f aca="false">SUMIFS('Issue Log'!$E$5:$E$6000,'Issue Log'!$B$5:$B$6000,$A248)</f>
        <v>0</v>
      </c>
      <c r="K248" s="13" t="n">
        <f aca="false">$F248+$I248-$J248</f>
        <v>7</v>
      </c>
      <c r="L248" s="13" t="n">
        <f aca="false">$K248*$E248</f>
        <v>7910</v>
      </c>
    </row>
    <row r="249" customFormat="false" ht="15" hidden="false" customHeight="true" outlineLevel="0" collapsed="false">
      <c r="A249" s="12" t="s">
        <v>956</v>
      </c>
      <c r="B249" s="12" t="s">
        <v>957</v>
      </c>
      <c r="C249" s="12" t="s">
        <v>132</v>
      </c>
      <c r="D249" s="12" t="s">
        <v>241</v>
      </c>
      <c r="E249" s="13" t="n">
        <v>530</v>
      </c>
      <c r="F249" s="13" t="n">
        <v>0</v>
      </c>
      <c r="G249" s="13" t="n">
        <f aca="false">SUMIFS('Expense Entry'!$H$5:$H$6000,'Expense Entry'!$E$5:$E$6000,"Inventory Purchase",'Expense Entry'!$F$5:$F$6000,$A249)</f>
        <v>0</v>
      </c>
      <c r="H249" s="13" t="n">
        <f aca="false">SUMIFS('Purchase Orders'!$F$5:$F$3000,'Purchase Orders'!$L$5:$L$3000,"Received",'Purchase Orders'!$D$5:$D$3000,$A249)</f>
        <v>0</v>
      </c>
      <c r="I249" s="13" t="n">
        <f aca="false">$G249+$H249</f>
        <v>0</v>
      </c>
      <c r="J249" s="13" t="n">
        <f aca="false">SUMIFS('Issue Log'!$E$5:$E$6000,'Issue Log'!$B$5:$B$6000,$A249)</f>
        <v>0</v>
      </c>
      <c r="K249" s="13" t="n">
        <f aca="false">$F249+$I249-$J249</f>
        <v>0</v>
      </c>
      <c r="L249" s="13" t="n">
        <f aca="false">$K249*$E249</f>
        <v>0</v>
      </c>
    </row>
    <row r="250" customFormat="false" ht="15" hidden="false" customHeight="true" outlineLevel="0" collapsed="false">
      <c r="A250" s="12" t="s">
        <v>958</v>
      </c>
      <c r="B250" s="12" t="s">
        <v>959</v>
      </c>
      <c r="C250" s="12" t="s">
        <v>132</v>
      </c>
      <c r="D250" s="12" t="s">
        <v>241</v>
      </c>
      <c r="E250" s="13" t="n">
        <v>700</v>
      </c>
      <c r="F250" s="13" t="n">
        <v>4</v>
      </c>
      <c r="G250" s="13" t="n">
        <f aca="false">SUMIFS('Expense Entry'!$H$5:$H$6000,'Expense Entry'!$E$5:$E$6000,"Inventory Purchase",'Expense Entry'!$F$5:$F$6000,$A250)</f>
        <v>0</v>
      </c>
      <c r="H250" s="13" t="n">
        <f aca="false">SUMIFS('Purchase Orders'!$F$5:$F$3000,'Purchase Orders'!$L$5:$L$3000,"Received",'Purchase Orders'!$D$5:$D$3000,$A250)</f>
        <v>0</v>
      </c>
      <c r="I250" s="13" t="n">
        <f aca="false">$G250+$H250</f>
        <v>0</v>
      </c>
      <c r="J250" s="13" t="n">
        <f aca="false">SUMIFS('Issue Log'!$E$5:$E$6000,'Issue Log'!$B$5:$B$6000,$A250)</f>
        <v>0</v>
      </c>
      <c r="K250" s="13" t="n">
        <f aca="false">$F250+$I250-$J250</f>
        <v>4</v>
      </c>
      <c r="L250" s="13" t="n">
        <f aca="false">$K250*$E250</f>
        <v>2800</v>
      </c>
    </row>
    <row r="251" customFormat="false" ht="15" hidden="false" customHeight="true" outlineLevel="0" collapsed="false">
      <c r="A251" s="12" t="s">
        <v>960</v>
      </c>
      <c r="B251" s="12" t="s">
        <v>961</v>
      </c>
      <c r="C251" s="12" t="s">
        <v>132</v>
      </c>
      <c r="D251" s="12" t="s">
        <v>267</v>
      </c>
      <c r="E251" s="13" t="n">
        <v>275</v>
      </c>
      <c r="F251" s="13" t="n">
        <v>3</v>
      </c>
      <c r="G251" s="13" t="n">
        <f aca="false">SUMIFS('Expense Entry'!$H$5:$H$6000,'Expense Entry'!$E$5:$E$6000,"Inventory Purchase",'Expense Entry'!$F$5:$F$6000,$A251)</f>
        <v>0</v>
      </c>
      <c r="H251" s="13" t="n">
        <f aca="false">SUMIFS('Purchase Orders'!$F$5:$F$3000,'Purchase Orders'!$L$5:$L$3000,"Received",'Purchase Orders'!$D$5:$D$3000,$A251)</f>
        <v>0</v>
      </c>
      <c r="I251" s="13" t="n">
        <f aca="false">$G251+$H251</f>
        <v>0</v>
      </c>
      <c r="J251" s="13" t="n">
        <f aca="false">SUMIFS('Issue Log'!$E$5:$E$6000,'Issue Log'!$B$5:$B$6000,$A251)</f>
        <v>0</v>
      </c>
      <c r="K251" s="13" t="n">
        <f aca="false">$F251+$I251-$J251</f>
        <v>3</v>
      </c>
      <c r="L251" s="13" t="n">
        <f aca="false">$K251*$E251</f>
        <v>825</v>
      </c>
    </row>
    <row r="252" customFormat="false" ht="15" hidden="false" customHeight="true" outlineLevel="0" collapsed="false">
      <c r="A252" s="12" t="s">
        <v>962</v>
      </c>
      <c r="B252" s="12" t="s">
        <v>963</v>
      </c>
      <c r="C252" s="12" t="s">
        <v>132</v>
      </c>
      <c r="D252" s="12" t="s">
        <v>267</v>
      </c>
      <c r="E252" s="13" t="n">
        <v>475</v>
      </c>
      <c r="F252" s="13" t="n">
        <v>10</v>
      </c>
      <c r="G252" s="13" t="n">
        <f aca="false">SUMIFS('Expense Entry'!$H$5:$H$6000,'Expense Entry'!$E$5:$E$6000,"Inventory Purchase",'Expense Entry'!$F$5:$F$6000,$A252)</f>
        <v>0</v>
      </c>
      <c r="H252" s="13" t="n">
        <f aca="false">SUMIFS('Purchase Orders'!$F$5:$F$3000,'Purchase Orders'!$L$5:$L$3000,"Received",'Purchase Orders'!$D$5:$D$3000,$A252)</f>
        <v>0</v>
      </c>
      <c r="I252" s="13" t="n">
        <f aca="false">$G252+$H252</f>
        <v>0</v>
      </c>
      <c r="J252" s="13" t="n">
        <f aca="false">SUMIFS('Issue Log'!$E$5:$E$6000,'Issue Log'!$B$5:$B$6000,$A252)</f>
        <v>0</v>
      </c>
      <c r="K252" s="13" t="n">
        <f aca="false">$F252+$I252-$J252</f>
        <v>10</v>
      </c>
      <c r="L252" s="13" t="n">
        <f aca="false">$K252*$E252</f>
        <v>4750</v>
      </c>
    </row>
    <row r="253" customFormat="false" ht="15" hidden="false" customHeight="true" outlineLevel="0" collapsed="false">
      <c r="A253" s="12" t="s">
        <v>965</v>
      </c>
      <c r="B253" s="12" t="s">
        <v>966</v>
      </c>
      <c r="C253" s="12" t="s">
        <v>132</v>
      </c>
      <c r="D253" s="12" t="s">
        <v>246</v>
      </c>
      <c r="E253" s="13" t="n">
        <v>7</v>
      </c>
      <c r="F253" s="13" t="n">
        <v>3300</v>
      </c>
      <c r="G253" s="13" t="n">
        <f aca="false">SUMIFS('Expense Entry'!$H$5:$H$6000,'Expense Entry'!$E$5:$E$6000,"Inventory Purchase",'Expense Entry'!$F$5:$F$6000,$A253)</f>
        <v>0</v>
      </c>
      <c r="H253" s="13" t="n">
        <f aca="false">SUMIFS('Purchase Orders'!$F$5:$F$3000,'Purchase Orders'!$L$5:$L$3000,"Received",'Purchase Orders'!$D$5:$D$3000,$A253)</f>
        <v>0</v>
      </c>
      <c r="I253" s="13" t="n">
        <f aca="false">$G253+$H253</f>
        <v>0</v>
      </c>
      <c r="J253" s="13" t="n">
        <f aca="false">SUMIFS('Issue Log'!$E$5:$E$6000,'Issue Log'!$B$5:$B$6000,$A253)</f>
        <v>0</v>
      </c>
      <c r="K253" s="13" t="n">
        <f aca="false">$F253+$I253-$J253</f>
        <v>3300</v>
      </c>
      <c r="L253" s="13" t="n">
        <f aca="false">$K253*$E253</f>
        <v>23100</v>
      </c>
    </row>
    <row r="254" customFormat="false" ht="15" hidden="false" customHeight="true" outlineLevel="0" collapsed="false">
      <c r="A254" s="12" t="s">
        <v>968</v>
      </c>
      <c r="B254" s="12" t="s">
        <v>969</v>
      </c>
      <c r="C254" s="12" t="s">
        <v>132</v>
      </c>
      <c r="D254" s="12" t="s">
        <v>267</v>
      </c>
      <c r="E254" s="13" t="n">
        <v>26</v>
      </c>
      <c r="F254" s="13" t="n">
        <v>680</v>
      </c>
      <c r="G254" s="13" t="n">
        <f aca="false">SUMIFS('Expense Entry'!$H$5:$H$6000,'Expense Entry'!$E$5:$E$6000,"Inventory Purchase",'Expense Entry'!$F$5:$F$6000,$A254)</f>
        <v>0</v>
      </c>
      <c r="H254" s="13" t="n">
        <f aca="false">SUMIFS('Purchase Orders'!$F$5:$F$3000,'Purchase Orders'!$L$5:$L$3000,"Received",'Purchase Orders'!$D$5:$D$3000,$A254)</f>
        <v>0</v>
      </c>
      <c r="I254" s="13" t="n">
        <f aca="false">$G254+$H254</f>
        <v>0</v>
      </c>
      <c r="J254" s="13" t="n">
        <f aca="false">SUMIFS('Issue Log'!$E$5:$E$6000,'Issue Log'!$B$5:$B$6000,$A254)</f>
        <v>0</v>
      </c>
      <c r="K254" s="13" t="n">
        <f aca="false">$F254+$I254-$J254</f>
        <v>680</v>
      </c>
      <c r="L254" s="13" t="n">
        <f aca="false">$K254*$E254</f>
        <v>17680</v>
      </c>
    </row>
    <row r="255" customFormat="false" ht="15" hidden="false" customHeight="true" outlineLevel="0" collapsed="false">
      <c r="A255" s="12" t="s">
        <v>970</v>
      </c>
      <c r="B255" s="12" t="s">
        <v>971</v>
      </c>
      <c r="C255" s="12" t="s">
        <v>132</v>
      </c>
      <c r="D255" s="12" t="s">
        <v>267</v>
      </c>
      <c r="E255" s="13" t="n">
        <v>16</v>
      </c>
      <c r="F255" s="13" t="n">
        <v>500</v>
      </c>
      <c r="G255" s="13" t="n">
        <f aca="false">SUMIFS('Expense Entry'!$H$5:$H$6000,'Expense Entry'!$E$5:$E$6000,"Inventory Purchase",'Expense Entry'!$F$5:$F$6000,$A255)</f>
        <v>0</v>
      </c>
      <c r="H255" s="13" t="n">
        <f aca="false">SUMIFS('Purchase Orders'!$F$5:$F$3000,'Purchase Orders'!$L$5:$L$3000,"Received",'Purchase Orders'!$D$5:$D$3000,$A255)</f>
        <v>0</v>
      </c>
      <c r="I255" s="13" t="n">
        <f aca="false">$G255+$H255</f>
        <v>0</v>
      </c>
      <c r="J255" s="13" t="n">
        <f aca="false">SUMIFS('Issue Log'!$E$5:$E$6000,'Issue Log'!$B$5:$B$6000,$A255)</f>
        <v>0</v>
      </c>
      <c r="K255" s="13" t="n">
        <f aca="false">$F255+$I255-$J255</f>
        <v>500</v>
      </c>
      <c r="L255" s="13" t="n">
        <f aca="false">$K255*$E255</f>
        <v>8000</v>
      </c>
    </row>
    <row r="256" customFormat="false" ht="15" hidden="false" customHeight="true" outlineLevel="0" collapsed="false">
      <c r="A256" s="12" t="s">
        <v>972</v>
      </c>
      <c r="B256" s="12" t="s">
        <v>973</v>
      </c>
      <c r="C256" s="12" t="s">
        <v>132</v>
      </c>
      <c r="D256" s="12" t="s">
        <v>267</v>
      </c>
      <c r="E256" s="13" t="n">
        <v>80</v>
      </c>
      <c r="F256" s="13" t="n">
        <v>0</v>
      </c>
      <c r="G256" s="13" t="n">
        <f aca="false">SUMIFS('Expense Entry'!$H$5:$H$6000,'Expense Entry'!$E$5:$E$6000,"Inventory Purchase",'Expense Entry'!$F$5:$F$6000,$A256)</f>
        <v>0</v>
      </c>
      <c r="H256" s="13" t="n">
        <f aca="false">SUMIFS('Purchase Orders'!$F$5:$F$3000,'Purchase Orders'!$L$5:$L$3000,"Received",'Purchase Orders'!$D$5:$D$3000,$A256)</f>
        <v>0</v>
      </c>
      <c r="I256" s="13" t="n">
        <f aca="false">$G256+$H256</f>
        <v>0</v>
      </c>
      <c r="J256" s="13" t="n">
        <f aca="false">SUMIFS('Issue Log'!$E$5:$E$6000,'Issue Log'!$B$5:$B$6000,$A256)</f>
        <v>0</v>
      </c>
      <c r="K256" s="13" t="n">
        <f aca="false">$F256+$I256-$J256</f>
        <v>0</v>
      </c>
      <c r="L256" s="13" t="n">
        <f aca="false">$K256*$E256</f>
        <v>0</v>
      </c>
    </row>
    <row r="257" customFormat="false" ht="15" hidden="false" customHeight="true" outlineLevel="0" collapsed="false">
      <c r="A257" s="12" t="s">
        <v>975</v>
      </c>
      <c r="B257" s="12" t="s">
        <v>976</v>
      </c>
      <c r="C257" s="12" t="s">
        <v>132</v>
      </c>
      <c r="D257" s="12" t="s">
        <v>267</v>
      </c>
      <c r="E257" s="13" t="n">
        <v>1250</v>
      </c>
      <c r="F257" s="13" t="n">
        <v>2</v>
      </c>
      <c r="G257" s="13" t="n">
        <f aca="false">SUMIFS('Expense Entry'!$H$5:$H$6000,'Expense Entry'!$E$5:$E$6000,"Inventory Purchase",'Expense Entry'!$F$5:$F$6000,$A257)</f>
        <v>0</v>
      </c>
      <c r="H257" s="13" t="n">
        <f aca="false">SUMIFS('Purchase Orders'!$F$5:$F$3000,'Purchase Orders'!$L$5:$L$3000,"Received",'Purchase Orders'!$D$5:$D$3000,$A257)</f>
        <v>0</v>
      </c>
      <c r="I257" s="13" t="n">
        <f aca="false">$G257+$H257</f>
        <v>0</v>
      </c>
      <c r="J257" s="13" t="n">
        <f aca="false">SUMIFS('Issue Log'!$E$5:$E$6000,'Issue Log'!$B$5:$B$6000,$A257)</f>
        <v>0</v>
      </c>
      <c r="K257" s="13" t="n">
        <f aca="false">$F257+$I257-$J257</f>
        <v>2</v>
      </c>
      <c r="L257" s="13" t="n">
        <f aca="false">$K257*$E257</f>
        <v>2500</v>
      </c>
    </row>
    <row r="258" customFormat="false" ht="15" hidden="false" customHeight="true" outlineLevel="0" collapsed="false">
      <c r="A258" s="12" t="s">
        <v>978</v>
      </c>
      <c r="B258" s="12" t="s">
        <v>979</v>
      </c>
      <c r="C258" s="12" t="s">
        <v>132</v>
      </c>
      <c r="D258" s="12" t="s">
        <v>267</v>
      </c>
      <c r="E258" s="13" t="n">
        <v>250</v>
      </c>
      <c r="F258" s="13" t="n">
        <v>57</v>
      </c>
      <c r="G258" s="13" t="n">
        <f aca="false">SUMIFS('Expense Entry'!$H$5:$H$6000,'Expense Entry'!$E$5:$E$6000,"Inventory Purchase",'Expense Entry'!$F$5:$F$6000,$A258)</f>
        <v>0</v>
      </c>
      <c r="H258" s="13" t="n">
        <f aca="false">SUMIFS('Purchase Orders'!$F$5:$F$3000,'Purchase Orders'!$L$5:$L$3000,"Received",'Purchase Orders'!$D$5:$D$3000,$A258)</f>
        <v>0</v>
      </c>
      <c r="I258" s="13" t="n">
        <f aca="false">$G258+$H258</f>
        <v>0</v>
      </c>
      <c r="J258" s="13" t="n">
        <f aca="false">SUMIFS('Issue Log'!$E$5:$E$6000,'Issue Log'!$B$5:$B$6000,$A258)</f>
        <v>0</v>
      </c>
      <c r="K258" s="13" t="n">
        <f aca="false">$F258+$I258-$J258</f>
        <v>57</v>
      </c>
      <c r="L258" s="13" t="n">
        <f aca="false">$K258*$E258</f>
        <v>14250</v>
      </c>
    </row>
    <row r="259" customFormat="false" ht="15" hidden="false" customHeight="true" outlineLevel="0" collapsed="false">
      <c r="A259" s="12" t="s">
        <v>981</v>
      </c>
      <c r="B259" s="12" t="s">
        <v>982</v>
      </c>
      <c r="C259" s="12" t="s">
        <v>132</v>
      </c>
      <c r="D259" s="12" t="s">
        <v>267</v>
      </c>
      <c r="E259" s="13" t="n">
        <v>1900</v>
      </c>
      <c r="F259" s="13" t="n">
        <v>1</v>
      </c>
      <c r="G259" s="13" t="n">
        <f aca="false">SUMIFS('Expense Entry'!$H$5:$H$6000,'Expense Entry'!$E$5:$E$6000,"Inventory Purchase",'Expense Entry'!$F$5:$F$6000,$A259)</f>
        <v>0</v>
      </c>
      <c r="H259" s="13" t="n">
        <f aca="false">SUMIFS('Purchase Orders'!$F$5:$F$3000,'Purchase Orders'!$L$5:$L$3000,"Received",'Purchase Orders'!$D$5:$D$3000,$A259)</f>
        <v>0</v>
      </c>
      <c r="I259" s="13" t="n">
        <f aca="false">$G259+$H259</f>
        <v>0</v>
      </c>
      <c r="J259" s="13" t="n">
        <f aca="false">SUMIFS('Issue Log'!$E$5:$E$6000,'Issue Log'!$B$5:$B$6000,$A259)</f>
        <v>0</v>
      </c>
      <c r="K259" s="13" t="n">
        <f aca="false">$F259+$I259-$J259</f>
        <v>1</v>
      </c>
      <c r="L259" s="13" t="n">
        <f aca="false">$K259*$E259</f>
        <v>1900</v>
      </c>
    </row>
    <row r="260" customFormat="false" ht="15" hidden="false" customHeight="true" outlineLevel="0" collapsed="false">
      <c r="A260" s="12" t="s">
        <v>984</v>
      </c>
      <c r="B260" s="12" t="s">
        <v>985</v>
      </c>
      <c r="C260" s="12" t="s">
        <v>132</v>
      </c>
      <c r="D260" s="12" t="s">
        <v>267</v>
      </c>
      <c r="E260" s="13" t="n">
        <v>500</v>
      </c>
      <c r="F260" s="13" t="n">
        <v>13</v>
      </c>
      <c r="G260" s="13" t="n">
        <f aca="false">SUMIFS('Expense Entry'!$H$5:$H$6000,'Expense Entry'!$E$5:$E$6000,"Inventory Purchase",'Expense Entry'!$F$5:$F$6000,$A260)</f>
        <v>0</v>
      </c>
      <c r="H260" s="13" t="n">
        <f aca="false">SUMIFS('Purchase Orders'!$F$5:$F$3000,'Purchase Orders'!$L$5:$L$3000,"Received",'Purchase Orders'!$D$5:$D$3000,$A260)</f>
        <v>0</v>
      </c>
      <c r="I260" s="13" t="n">
        <f aca="false">$G260+$H260</f>
        <v>0</v>
      </c>
      <c r="J260" s="13" t="n">
        <f aca="false">SUMIFS('Issue Log'!$E$5:$E$6000,'Issue Log'!$B$5:$B$6000,$A260)</f>
        <v>0</v>
      </c>
      <c r="K260" s="13" t="n">
        <f aca="false">$F260+$I260-$J260</f>
        <v>13</v>
      </c>
      <c r="L260" s="13" t="n">
        <f aca="false">$K260*$E260</f>
        <v>6500</v>
      </c>
    </row>
    <row r="261" customFormat="false" ht="15" hidden="false" customHeight="true" outlineLevel="0" collapsed="false">
      <c r="A261" s="12" t="s">
        <v>987</v>
      </c>
      <c r="B261" s="12" t="s">
        <v>988</v>
      </c>
      <c r="C261" s="12" t="s">
        <v>132</v>
      </c>
      <c r="D261" s="12" t="s">
        <v>267</v>
      </c>
      <c r="E261" s="13" t="n">
        <v>195</v>
      </c>
      <c r="F261" s="13" t="n">
        <v>47</v>
      </c>
      <c r="G261" s="13" t="n">
        <f aca="false">SUMIFS('Expense Entry'!$H$5:$H$6000,'Expense Entry'!$E$5:$E$6000,"Inventory Purchase",'Expense Entry'!$F$5:$F$6000,$A261)</f>
        <v>0</v>
      </c>
      <c r="H261" s="13" t="n">
        <f aca="false">SUMIFS('Purchase Orders'!$F$5:$F$3000,'Purchase Orders'!$L$5:$L$3000,"Received",'Purchase Orders'!$D$5:$D$3000,$A261)</f>
        <v>0</v>
      </c>
      <c r="I261" s="13" t="n">
        <f aca="false">$G261+$H261</f>
        <v>0</v>
      </c>
      <c r="J261" s="13" t="n">
        <f aca="false">SUMIFS('Issue Log'!$E$5:$E$6000,'Issue Log'!$B$5:$B$6000,$A261)</f>
        <v>0</v>
      </c>
      <c r="K261" s="13" t="n">
        <f aca="false">$F261+$I261-$J261</f>
        <v>47</v>
      </c>
      <c r="L261" s="13" t="n">
        <f aca="false">$K261*$E261</f>
        <v>9165</v>
      </c>
    </row>
    <row r="262" customFormat="false" ht="15" hidden="false" customHeight="true" outlineLevel="0" collapsed="false">
      <c r="A262" s="12" t="s">
        <v>990</v>
      </c>
      <c r="B262" s="12" t="s">
        <v>991</v>
      </c>
      <c r="C262" s="12" t="s">
        <v>132</v>
      </c>
      <c r="D262" s="12" t="s">
        <v>267</v>
      </c>
      <c r="E262" s="13" t="n">
        <v>550</v>
      </c>
      <c r="F262" s="13" t="n">
        <v>15</v>
      </c>
      <c r="G262" s="13" t="n">
        <f aca="false">SUMIFS('Expense Entry'!$H$5:$H$6000,'Expense Entry'!$E$5:$E$6000,"Inventory Purchase",'Expense Entry'!$F$5:$F$6000,$A262)</f>
        <v>0</v>
      </c>
      <c r="H262" s="13" t="n">
        <f aca="false">SUMIFS('Purchase Orders'!$F$5:$F$3000,'Purchase Orders'!$L$5:$L$3000,"Received",'Purchase Orders'!$D$5:$D$3000,$A262)</f>
        <v>0</v>
      </c>
      <c r="I262" s="13" t="n">
        <f aca="false">$G262+$H262</f>
        <v>0</v>
      </c>
      <c r="J262" s="13" t="n">
        <f aca="false">SUMIFS('Issue Log'!$E$5:$E$6000,'Issue Log'!$B$5:$B$6000,$A262)</f>
        <v>0</v>
      </c>
      <c r="K262" s="13" t="n">
        <f aca="false">$F262+$I262-$J262</f>
        <v>15</v>
      </c>
      <c r="L262" s="13" t="n">
        <f aca="false">$K262*$E262</f>
        <v>8250</v>
      </c>
    </row>
    <row r="263" customFormat="false" ht="15" hidden="false" customHeight="true" outlineLevel="0" collapsed="false">
      <c r="A263" s="12" t="s">
        <v>993</v>
      </c>
      <c r="B263" s="12" t="s">
        <v>994</v>
      </c>
      <c r="C263" s="12" t="s">
        <v>132</v>
      </c>
      <c r="D263" s="12" t="s">
        <v>267</v>
      </c>
      <c r="E263" s="13" t="n">
        <v>390</v>
      </c>
      <c r="F263" s="13" t="n">
        <v>14</v>
      </c>
      <c r="G263" s="13" t="n">
        <f aca="false">SUMIFS('Expense Entry'!$H$5:$H$6000,'Expense Entry'!$E$5:$E$6000,"Inventory Purchase",'Expense Entry'!$F$5:$F$6000,$A263)</f>
        <v>0</v>
      </c>
      <c r="H263" s="13" t="n">
        <f aca="false">SUMIFS('Purchase Orders'!$F$5:$F$3000,'Purchase Orders'!$L$5:$L$3000,"Received",'Purchase Orders'!$D$5:$D$3000,$A263)</f>
        <v>0</v>
      </c>
      <c r="I263" s="13" t="n">
        <f aca="false">$G263+$H263</f>
        <v>0</v>
      </c>
      <c r="J263" s="13" t="n">
        <f aca="false">SUMIFS('Issue Log'!$E$5:$E$6000,'Issue Log'!$B$5:$B$6000,$A263)</f>
        <v>0</v>
      </c>
      <c r="K263" s="13" t="n">
        <f aca="false">$F263+$I263-$J263</f>
        <v>14</v>
      </c>
      <c r="L263" s="13" t="n">
        <f aca="false">$K263*$E263</f>
        <v>5460</v>
      </c>
    </row>
    <row r="264" customFormat="false" ht="15" hidden="false" customHeight="true" outlineLevel="0" collapsed="false">
      <c r="A264" s="12" t="s">
        <v>995</v>
      </c>
      <c r="B264" s="12" t="s">
        <v>996</v>
      </c>
      <c r="C264" s="12" t="s">
        <v>132</v>
      </c>
      <c r="D264" s="12" t="s">
        <v>267</v>
      </c>
      <c r="E264" s="13" t="n">
        <v>16.5</v>
      </c>
      <c r="F264" s="13" t="n">
        <v>650</v>
      </c>
      <c r="G264" s="13" t="n">
        <f aca="false">SUMIFS('Expense Entry'!$H$5:$H$6000,'Expense Entry'!$E$5:$E$6000,"Inventory Purchase",'Expense Entry'!$F$5:$F$6000,$A264)</f>
        <v>0</v>
      </c>
      <c r="H264" s="13" t="n">
        <f aca="false">SUMIFS('Purchase Orders'!$F$5:$F$3000,'Purchase Orders'!$L$5:$L$3000,"Received",'Purchase Orders'!$D$5:$D$3000,$A264)</f>
        <v>0</v>
      </c>
      <c r="I264" s="13" t="n">
        <f aca="false">$G264+$H264</f>
        <v>0</v>
      </c>
      <c r="J264" s="13" t="n">
        <f aca="false">SUMIFS('Issue Log'!$E$5:$E$6000,'Issue Log'!$B$5:$B$6000,$A264)</f>
        <v>0</v>
      </c>
      <c r="K264" s="13" t="n">
        <f aca="false">$F264+$I264-$J264</f>
        <v>650</v>
      </c>
      <c r="L264" s="13" t="n">
        <f aca="false">$K264*$E264</f>
        <v>10725</v>
      </c>
    </row>
    <row r="265" customFormat="false" ht="15" hidden="false" customHeight="true" outlineLevel="0" collapsed="false">
      <c r="A265" s="12" t="s">
        <v>998</v>
      </c>
      <c r="B265" s="12" t="s">
        <v>999</v>
      </c>
      <c r="C265" s="12" t="s">
        <v>132</v>
      </c>
      <c r="D265" s="12" t="s">
        <v>246</v>
      </c>
      <c r="E265" s="13" t="n">
        <v>13</v>
      </c>
      <c r="F265" s="13" t="n">
        <v>1320</v>
      </c>
      <c r="G265" s="13" t="n">
        <f aca="false">SUMIFS('Expense Entry'!$H$5:$H$6000,'Expense Entry'!$E$5:$E$6000,"Inventory Purchase",'Expense Entry'!$F$5:$F$6000,$A265)</f>
        <v>0</v>
      </c>
      <c r="H265" s="13" t="n">
        <f aca="false">SUMIFS('Purchase Orders'!$F$5:$F$3000,'Purchase Orders'!$L$5:$L$3000,"Received",'Purchase Orders'!$D$5:$D$3000,$A265)</f>
        <v>0</v>
      </c>
      <c r="I265" s="13" t="n">
        <f aca="false">$G265+$H265</f>
        <v>0</v>
      </c>
      <c r="J265" s="13" t="n">
        <f aca="false">SUMIFS('Issue Log'!$E$5:$E$6000,'Issue Log'!$B$5:$B$6000,$A265)</f>
        <v>0</v>
      </c>
      <c r="K265" s="13" t="n">
        <f aca="false">$F265+$I265-$J265</f>
        <v>1320</v>
      </c>
      <c r="L265" s="13" t="n">
        <f aca="false">$K265*$E265</f>
        <v>17160</v>
      </c>
    </row>
    <row r="266" customFormat="false" ht="15" hidden="false" customHeight="true" outlineLevel="0" collapsed="false">
      <c r="A266" s="12" t="s">
        <v>1000</v>
      </c>
      <c r="B266" s="12" t="s">
        <v>1001</v>
      </c>
      <c r="C266" s="12" t="s">
        <v>132</v>
      </c>
      <c r="D266" s="12" t="s">
        <v>246</v>
      </c>
      <c r="E266" s="13" t="n">
        <v>21</v>
      </c>
      <c r="F266" s="13" t="n">
        <v>300</v>
      </c>
      <c r="G266" s="13" t="n">
        <f aca="false">SUMIFS('Expense Entry'!$H$5:$H$6000,'Expense Entry'!$E$5:$E$6000,"Inventory Purchase",'Expense Entry'!$F$5:$F$6000,$A266)</f>
        <v>0</v>
      </c>
      <c r="H266" s="13" t="n">
        <f aca="false">SUMIFS('Purchase Orders'!$F$5:$F$3000,'Purchase Orders'!$L$5:$L$3000,"Received",'Purchase Orders'!$D$5:$D$3000,$A266)</f>
        <v>0</v>
      </c>
      <c r="I266" s="13" t="n">
        <f aca="false">$G266+$H266</f>
        <v>0</v>
      </c>
      <c r="J266" s="13" t="n">
        <f aca="false">SUMIFS('Issue Log'!$E$5:$E$6000,'Issue Log'!$B$5:$B$6000,$A266)</f>
        <v>0</v>
      </c>
      <c r="K266" s="13" t="n">
        <f aca="false">$F266+$I266-$J266</f>
        <v>300</v>
      </c>
      <c r="L266" s="13" t="n">
        <f aca="false">$K266*$E266</f>
        <v>6300</v>
      </c>
    </row>
    <row r="267" customFormat="false" ht="15" hidden="false" customHeight="true" outlineLevel="0" collapsed="false">
      <c r="A267" s="12" t="s">
        <v>1003</v>
      </c>
      <c r="B267" s="12" t="s">
        <v>1004</v>
      </c>
      <c r="C267" s="12" t="s">
        <v>132</v>
      </c>
      <c r="D267" s="12" t="s">
        <v>246</v>
      </c>
      <c r="E267" s="13" t="n">
        <v>65</v>
      </c>
      <c r="F267" s="13" t="n">
        <v>180</v>
      </c>
      <c r="G267" s="13" t="n">
        <f aca="false">SUMIFS('Expense Entry'!$H$5:$H$6000,'Expense Entry'!$E$5:$E$6000,"Inventory Purchase",'Expense Entry'!$F$5:$F$6000,$A267)</f>
        <v>0</v>
      </c>
      <c r="H267" s="13" t="n">
        <f aca="false">SUMIFS('Purchase Orders'!$F$5:$F$3000,'Purchase Orders'!$L$5:$L$3000,"Received",'Purchase Orders'!$D$5:$D$3000,$A267)</f>
        <v>0</v>
      </c>
      <c r="I267" s="13" t="n">
        <f aca="false">$G267+$H267</f>
        <v>0</v>
      </c>
      <c r="J267" s="13" t="n">
        <f aca="false">SUMIFS('Issue Log'!$E$5:$E$6000,'Issue Log'!$B$5:$B$6000,$A267)</f>
        <v>0</v>
      </c>
      <c r="K267" s="13" t="n">
        <f aca="false">$F267+$I267-$J267</f>
        <v>180</v>
      </c>
      <c r="L267" s="13" t="n">
        <f aca="false">$K267*$E267</f>
        <v>11700</v>
      </c>
    </row>
    <row r="268" customFormat="false" ht="15" hidden="false" customHeight="true" outlineLevel="0" collapsed="false">
      <c r="A268" s="12" t="s">
        <v>1005</v>
      </c>
      <c r="B268" s="12" t="s">
        <v>1006</v>
      </c>
      <c r="C268" s="12" t="s">
        <v>132</v>
      </c>
      <c r="D268" s="12" t="s">
        <v>246</v>
      </c>
      <c r="E268" s="13" t="n">
        <v>11.5</v>
      </c>
      <c r="F268" s="13" t="n">
        <v>500</v>
      </c>
      <c r="G268" s="13" t="n">
        <f aca="false">SUMIFS('Expense Entry'!$H$5:$H$6000,'Expense Entry'!$E$5:$E$6000,"Inventory Purchase",'Expense Entry'!$F$5:$F$6000,$A268)</f>
        <v>0</v>
      </c>
      <c r="H268" s="13" t="n">
        <f aca="false">SUMIFS('Purchase Orders'!$F$5:$F$3000,'Purchase Orders'!$L$5:$L$3000,"Received",'Purchase Orders'!$D$5:$D$3000,$A268)</f>
        <v>0</v>
      </c>
      <c r="I268" s="13" t="n">
        <f aca="false">$G268+$H268</f>
        <v>0</v>
      </c>
      <c r="J268" s="13" t="n">
        <f aca="false">SUMIFS('Issue Log'!$E$5:$E$6000,'Issue Log'!$B$5:$B$6000,$A268)</f>
        <v>0</v>
      </c>
      <c r="K268" s="13" t="n">
        <f aca="false">$F268+$I268-$J268</f>
        <v>500</v>
      </c>
      <c r="L268" s="13" t="n">
        <f aca="false">$K268*$E268</f>
        <v>5750</v>
      </c>
    </row>
    <row r="269" customFormat="false" ht="15" hidden="false" customHeight="true" outlineLevel="0" collapsed="false">
      <c r="A269" s="12" t="s">
        <v>1007</v>
      </c>
      <c r="B269" s="12" t="s">
        <v>1008</v>
      </c>
      <c r="C269" s="12" t="s">
        <v>132</v>
      </c>
      <c r="D269" s="12" t="s">
        <v>246</v>
      </c>
      <c r="E269" s="13" t="n">
        <v>16.5</v>
      </c>
      <c r="F269" s="13" t="n">
        <v>700</v>
      </c>
      <c r="G269" s="13" t="n">
        <f aca="false">SUMIFS('Expense Entry'!$H$5:$H$6000,'Expense Entry'!$E$5:$E$6000,"Inventory Purchase",'Expense Entry'!$F$5:$F$6000,$A269)</f>
        <v>0</v>
      </c>
      <c r="H269" s="13" t="n">
        <f aca="false">SUMIFS('Purchase Orders'!$F$5:$F$3000,'Purchase Orders'!$L$5:$L$3000,"Received",'Purchase Orders'!$D$5:$D$3000,$A269)</f>
        <v>0</v>
      </c>
      <c r="I269" s="13" t="n">
        <f aca="false">$G269+$H269</f>
        <v>0</v>
      </c>
      <c r="J269" s="13" t="n">
        <f aca="false">SUMIFS('Issue Log'!$E$5:$E$6000,'Issue Log'!$B$5:$B$6000,$A269)</f>
        <v>0</v>
      </c>
      <c r="K269" s="13" t="n">
        <f aca="false">$F269+$I269-$J269</f>
        <v>700</v>
      </c>
      <c r="L269" s="13" t="n">
        <f aca="false">$K269*$E269</f>
        <v>11550</v>
      </c>
    </row>
    <row r="270" customFormat="false" ht="15" hidden="false" customHeight="true" outlineLevel="0" collapsed="false">
      <c r="A270" s="12" t="s">
        <v>1009</v>
      </c>
      <c r="B270" s="12" t="s">
        <v>1010</v>
      </c>
      <c r="C270" s="12" t="s">
        <v>132</v>
      </c>
      <c r="D270" s="12" t="s">
        <v>246</v>
      </c>
      <c r="E270" s="13" t="n">
        <v>33</v>
      </c>
      <c r="F270" s="13" t="n">
        <v>250</v>
      </c>
      <c r="G270" s="13" t="n">
        <f aca="false">SUMIFS('Expense Entry'!$H$5:$H$6000,'Expense Entry'!$E$5:$E$6000,"Inventory Purchase",'Expense Entry'!$F$5:$F$6000,$A270)</f>
        <v>0</v>
      </c>
      <c r="H270" s="13" t="n">
        <f aca="false">SUMIFS('Purchase Orders'!$F$5:$F$3000,'Purchase Orders'!$L$5:$L$3000,"Received",'Purchase Orders'!$D$5:$D$3000,$A270)</f>
        <v>0</v>
      </c>
      <c r="I270" s="13" t="n">
        <f aca="false">$G270+$H270</f>
        <v>0</v>
      </c>
      <c r="J270" s="13" t="n">
        <f aca="false">SUMIFS('Issue Log'!$E$5:$E$6000,'Issue Log'!$B$5:$B$6000,$A270)</f>
        <v>0</v>
      </c>
      <c r="K270" s="13" t="n">
        <f aca="false">$F270+$I270-$J270</f>
        <v>250</v>
      </c>
      <c r="L270" s="13" t="n">
        <f aca="false">$K270*$E270</f>
        <v>8250</v>
      </c>
    </row>
    <row r="271" customFormat="false" ht="15" hidden="false" customHeight="true" outlineLevel="0" collapsed="false">
      <c r="A271" s="12" t="s">
        <v>1011</v>
      </c>
      <c r="B271" s="12" t="s">
        <v>1012</v>
      </c>
      <c r="C271" s="12" t="s">
        <v>132</v>
      </c>
      <c r="D271" s="12" t="s">
        <v>246</v>
      </c>
      <c r="E271" s="13" t="n">
        <v>75</v>
      </c>
      <c r="F271" s="13" t="n">
        <v>150</v>
      </c>
      <c r="G271" s="13" t="n">
        <f aca="false">SUMIFS('Expense Entry'!$H$5:$H$6000,'Expense Entry'!$E$5:$E$6000,"Inventory Purchase",'Expense Entry'!$F$5:$F$6000,$A271)</f>
        <v>0</v>
      </c>
      <c r="H271" s="13" t="n">
        <f aca="false">SUMIFS('Purchase Orders'!$F$5:$F$3000,'Purchase Orders'!$L$5:$L$3000,"Received",'Purchase Orders'!$D$5:$D$3000,$A271)</f>
        <v>0</v>
      </c>
      <c r="I271" s="13" t="n">
        <f aca="false">$G271+$H271</f>
        <v>0</v>
      </c>
      <c r="J271" s="13" t="n">
        <f aca="false">SUMIFS('Issue Log'!$E$5:$E$6000,'Issue Log'!$B$5:$B$6000,$A271)</f>
        <v>0</v>
      </c>
      <c r="K271" s="13" t="n">
        <f aca="false">$F271+$I271-$J271</f>
        <v>150</v>
      </c>
      <c r="L271" s="13" t="n">
        <f aca="false">$K271*$E271</f>
        <v>11250</v>
      </c>
    </row>
    <row r="272" customFormat="false" ht="15" hidden="false" customHeight="true" outlineLevel="0" collapsed="false">
      <c r="A272" s="12" t="s">
        <v>1013</v>
      </c>
      <c r="B272" s="12" t="s">
        <v>1014</v>
      </c>
      <c r="C272" s="12" t="s">
        <v>132</v>
      </c>
      <c r="D272" s="12" t="s">
        <v>246</v>
      </c>
      <c r="E272" s="13" t="n">
        <v>8</v>
      </c>
      <c r="F272" s="13" t="n">
        <v>1800</v>
      </c>
      <c r="G272" s="13" t="n">
        <f aca="false">SUMIFS('Expense Entry'!$H$5:$H$6000,'Expense Entry'!$E$5:$E$6000,"Inventory Purchase",'Expense Entry'!$F$5:$F$6000,$A272)</f>
        <v>0</v>
      </c>
      <c r="H272" s="13" t="n">
        <f aca="false">SUMIFS('Purchase Orders'!$F$5:$F$3000,'Purchase Orders'!$L$5:$L$3000,"Received",'Purchase Orders'!$D$5:$D$3000,$A272)</f>
        <v>0</v>
      </c>
      <c r="I272" s="13" t="n">
        <f aca="false">$G272+$H272</f>
        <v>0</v>
      </c>
      <c r="J272" s="13" t="n">
        <f aca="false">SUMIFS('Issue Log'!$E$5:$E$6000,'Issue Log'!$B$5:$B$6000,$A272)</f>
        <v>0</v>
      </c>
      <c r="K272" s="13" t="n">
        <f aca="false">$F272+$I272-$J272</f>
        <v>1800</v>
      </c>
      <c r="L272" s="13" t="n">
        <f aca="false">$K272*$E272</f>
        <v>14400</v>
      </c>
    </row>
    <row r="273" customFormat="false" ht="15" hidden="false" customHeight="true" outlineLevel="0" collapsed="false">
      <c r="A273" s="12" t="s">
        <v>1015</v>
      </c>
      <c r="B273" s="12" t="s">
        <v>1016</v>
      </c>
      <c r="C273" s="12" t="s">
        <v>132</v>
      </c>
      <c r="D273" s="12" t="s">
        <v>246</v>
      </c>
      <c r="E273" s="13" t="n">
        <v>2</v>
      </c>
      <c r="F273" s="13" t="n">
        <v>200</v>
      </c>
      <c r="G273" s="13" t="n">
        <f aca="false">SUMIFS('Expense Entry'!$H$5:$H$6000,'Expense Entry'!$E$5:$E$6000,"Inventory Purchase",'Expense Entry'!$F$5:$F$6000,$A273)</f>
        <v>0</v>
      </c>
      <c r="H273" s="13" t="n">
        <f aca="false">SUMIFS('Purchase Orders'!$F$5:$F$3000,'Purchase Orders'!$L$5:$L$3000,"Received",'Purchase Orders'!$D$5:$D$3000,$A273)</f>
        <v>0</v>
      </c>
      <c r="I273" s="13" t="n">
        <f aca="false">$G273+$H273</f>
        <v>0</v>
      </c>
      <c r="J273" s="13" t="n">
        <f aca="false">SUMIFS('Issue Log'!$E$5:$E$6000,'Issue Log'!$B$5:$B$6000,$A273)</f>
        <v>0</v>
      </c>
      <c r="K273" s="13" t="n">
        <f aca="false">$F273+$I273-$J273</f>
        <v>200</v>
      </c>
      <c r="L273" s="13" t="n">
        <f aca="false">$K273*$E273</f>
        <v>400</v>
      </c>
    </row>
    <row r="274" customFormat="false" ht="15" hidden="false" customHeight="true" outlineLevel="0" collapsed="false">
      <c r="A274" s="12" t="s">
        <v>1017</v>
      </c>
      <c r="B274" s="12" t="s">
        <v>1018</v>
      </c>
      <c r="C274" s="12" t="s">
        <v>132</v>
      </c>
      <c r="D274" s="12" t="s">
        <v>246</v>
      </c>
      <c r="E274" s="13" t="n">
        <v>20.2775</v>
      </c>
      <c r="F274" s="13" t="n">
        <v>400</v>
      </c>
      <c r="G274" s="13" t="n">
        <f aca="false">SUMIFS('Expense Entry'!$H$5:$H$6000,'Expense Entry'!$E$5:$E$6000,"Inventory Purchase",'Expense Entry'!$F$5:$F$6000,$A274)</f>
        <v>0</v>
      </c>
      <c r="H274" s="13" t="n">
        <f aca="false">SUMIFS('Purchase Orders'!$F$5:$F$3000,'Purchase Orders'!$L$5:$L$3000,"Received",'Purchase Orders'!$D$5:$D$3000,$A274)</f>
        <v>0</v>
      </c>
      <c r="I274" s="13" t="n">
        <f aca="false">$G274+$H274</f>
        <v>0</v>
      </c>
      <c r="J274" s="13" t="n">
        <f aca="false">SUMIFS('Issue Log'!$E$5:$E$6000,'Issue Log'!$B$5:$B$6000,$A274)</f>
        <v>0</v>
      </c>
      <c r="K274" s="13" t="n">
        <f aca="false">$F274+$I274-$J274</f>
        <v>400</v>
      </c>
      <c r="L274" s="13" t="n">
        <f aca="false">$K274*$E274</f>
        <v>8111</v>
      </c>
    </row>
    <row r="275" customFormat="false" ht="15" hidden="false" customHeight="true" outlineLevel="0" collapsed="false">
      <c r="A275" s="12" t="s">
        <v>1019</v>
      </c>
      <c r="B275" s="12" t="s">
        <v>1020</v>
      </c>
      <c r="C275" s="12" t="s">
        <v>132</v>
      </c>
      <c r="D275" s="12" t="s">
        <v>246</v>
      </c>
      <c r="E275" s="13" t="n">
        <v>11.7</v>
      </c>
      <c r="F275" s="13" t="n">
        <v>150</v>
      </c>
      <c r="G275" s="13" t="n">
        <f aca="false">SUMIFS('Expense Entry'!$H$5:$H$6000,'Expense Entry'!$E$5:$E$6000,"Inventory Purchase",'Expense Entry'!$F$5:$F$6000,$A275)</f>
        <v>0</v>
      </c>
      <c r="H275" s="13" t="n">
        <f aca="false">SUMIFS('Purchase Orders'!$F$5:$F$3000,'Purchase Orders'!$L$5:$L$3000,"Received",'Purchase Orders'!$D$5:$D$3000,$A275)</f>
        <v>0</v>
      </c>
      <c r="I275" s="13" t="n">
        <f aca="false">$G275+$H275</f>
        <v>0</v>
      </c>
      <c r="J275" s="13" t="n">
        <f aca="false">SUMIFS('Issue Log'!$E$5:$E$6000,'Issue Log'!$B$5:$B$6000,$A275)</f>
        <v>0</v>
      </c>
      <c r="K275" s="13" t="n">
        <f aca="false">$F275+$I275-$J275</f>
        <v>150</v>
      </c>
      <c r="L275" s="13" t="n">
        <f aca="false">$K275*$E275</f>
        <v>1755</v>
      </c>
    </row>
    <row r="276" customFormat="false" ht="15" hidden="false" customHeight="true" outlineLevel="0" collapsed="false">
      <c r="A276" s="12" t="s">
        <v>1021</v>
      </c>
      <c r="B276" s="12" t="s">
        <v>1022</v>
      </c>
      <c r="C276" s="12" t="s">
        <v>132</v>
      </c>
      <c r="D276" s="12" t="s">
        <v>246</v>
      </c>
      <c r="E276" s="13" t="n">
        <v>25</v>
      </c>
      <c r="F276" s="13" t="n">
        <v>250</v>
      </c>
      <c r="G276" s="13" t="n">
        <f aca="false">SUMIFS('Expense Entry'!$H$5:$H$6000,'Expense Entry'!$E$5:$E$6000,"Inventory Purchase",'Expense Entry'!$F$5:$F$6000,$A276)</f>
        <v>0</v>
      </c>
      <c r="H276" s="13" t="n">
        <f aca="false">SUMIFS('Purchase Orders'!$F$5:$F$3000,'Purchase Orders'!$L$5:$L$3000,"Received",'Purchase Orders'!$D$5:$D$3000,$A276)</f>
        <v>0</v>
      </c>
      <c r="I276" s="13" t="n">
        <f aca="false">$G276+$H276</f>
        <v>0</v>
      </c>
      <c r="J276" s="13" t="n">
        <f aca="false">SUMIFS('Issue Log'!$E$5:$E$6000,'Issue Log'!$B$5:$B$6000,$A276)</f>
        <v>0</v>
      </c>
      <c r="K276" s="13" t="n">
        <f aca="false">$F276+$I276-$J276</f>
        <v>250</v>
      </c>
      <c r="L276" s="13" t="n">
        <f aca="false">$K276*$E276</f>
        <v>6250</v>
      </c>
    </row>
    <row r="277" customFormat="false" ht="15" hidden="false" customHeight="true" outlineLevel="0" collapsed="false">
      <c r="A277" s="12" t="s">
        <v>1024</v>
      </c>
      <c r="B277" s="12" t="s">
        <v>1025</v>
      </c>
      <c r="C277" s="12" t="s">
        <v>132</v>
      </c>
      <c r="D277" s="12" t="s">
        <v>246</v>
      </c>
      <c r="E277" s="13" t="n">
        <v>150</v>
      </c>
      <c r="F277" s="13" t="n">
        <v>25</v>
      </c>
      <c r="G277" s="13" t="n">
        <f aca="false">SUMIFS('Expense Entry'!$H$5:$H$6000,'Expense Entry'!$E$5:$E$6000,"Inventory Purchase",'Expense Entry'!$F$5:$F$6000,$A277)</f>
        <v>0</v>
      </c>
      <c r="H277" s="13" t="n">
        <f aca="false">SUMIFS('Purchase Orders'!$F$5:$F$3000,'Purchase Orders'!$L$5:$L$3000,"Received",'Purchase Orders'!$D$5:$D$3000,$A277)</f>
        <v>0</v>
      </c>
      <c r="I277" s="13" t="n">
        <f aca="false">$G277+$H277</f>
        <v>0</v>
      </c>
      <c r="J277" s="13" t="n">
        <f aca="false">SUMIFS('Issue Log'!$E$5:$E$6000,'Issue Log'!$B$5:$B$6000,$A277)</f>
        <v>0</v>
      </c>
      <c r="K277" s="13" t="n">
        <f aca="false">$F277+$I277-$J277</f>
        <v>25</v>
      </c>
      <c r="L277" s="13" t="n">
        <f aca="false">$K277*$E277</f>
        <v>3750</v>
      </c>
    </row>
    <row r="278" customFormat="false" ht="15" hidden="false" customHeight="true" outlineLevel="0" collapsed="false">
      <c r="A278" s="12" t="s">
        <v>1027</v>
      </c>
      <c r="B278" s="12" t="s">
        <v>1028</v>
      </c>
      <c r="C278" s="12" t="s">
        <v>127</v>
      </c>
      <c r="D278" s="12" t="s">
        <v>241</v>
      </c>
      <c r="E278" s="13" t="n">
        <v>100</v>
      </c>
      <c r="F278" s="13" t="n">
        <v>120</v>
      </c>
      <c r="G278" s="13" t="n">
        <f aca="false">SUMIFS('Expense Entry'!$H$5:$H$6000,'Expense Entry'!$E$5:$E$6000,"Inventory Purchase",'Expense Entry'!$F$5:$F$6000,$A278)</f>
        <v>0</v>
      </c>
      <c r="H278" s="13" t="n">
        <f aca="false">SUMIFS('Purchase Orders'!$F$5:$F$3000,'Purchase Orders'!$L$5:$L$3000,"Received",'Purchase Orders'!$D$5:$D$3000,$A278)</f>
        <v>0</v>
      </c>
      <c r="I278" s="13" t="n">
        <f aca="false">$G278+$H278</f>
        <v>0</v>
      </c>
      <c r="J278" s="13" t="n">
        <f aca="false">SUMIFS('Issue Log'!$E$5:$E$6000,'Issue Log'!$B$5:$B$6000,$A278)</f>
        <v>0</v>
      </c>
      <c r="K278" s="13" t="n">
        <f aca="false">$F278+$I278-$J278</f>
        <v>120</v>
      </c>
      <c r="L278" s="13" t="n">
        <f aca="false">$K278*$E278</f>
        <v>12000</v>
      </c>
    </row>
    <row r="279" customFormat="false" ht="15" hidden="false" customHeight="true" outlineLevel="0" collapsed="false">
      <c r="A279" s="12" t="s">
        <v>1030</v>
      </c>
      <c r="B279" s="12" t="s">
        <v>704</v>
      </c>
      <c r="C279" s="12" t="s">
        <v>127</v>
      </c>
      <c r="D279" s="12" t="s">
        <v>241</v>
      </c>
      <c r="E279" s="13" t="n">
        <v>120</v>
      </c>
      <c r="F279" s="13" t="n">
        <v>6</v>
      </c>
      <c r="G279" s="13" t="n">
        <f aca="false">SUMIFS('Expense Entry'!$H$5:$H$6000,'Expense Entry'!$E$5:$E$6000,"Inventory Purchase",'Expense Entry'!$F$5:$F$6000,$A279)</f>
        <v>0</v>
      </c>
      <c r="H279" s="13" t="n">
        <f aca="false">SUMIFS('Purchase Orders'!$F$5:$F$3000,'Purchase Orders'!$L$5:$L$3000,"Received",'Purchase Orders'!$D$5:$D$3000,$A279)</f>
        <v>0</v>
      </c>
      <c r="I279" s="13" t="n">
        <f aca="false">$G279+$H279</f>
        <v>0</v>
      </c>
      <c r="J279" s="13" t="n">
        <f aca="false">SUMIFS('Issue Log'!$E$5:$E$6000,'Issue Log'!$B$5:$B$6000,$A279)</f>
        <v>0</v>
      </c>
      <c r="K279" s="13" t="n">
        <f aca="false">$F279+$I279-$J279</f>
        <v>6</v>
      </c>
      <c r="L279" s="13" t="n">
        <f aca="false">$K279*$E279</f>
        <v>720</v>
      </c>
    </row>
    <row r="280" customFormat="false" ht="15" hidden="false" customHeight="true" outlineLevel="0" collapsed="false">
      <c r="A280" s="12" t="s">
        <v>1032</v>
      </c>
      <c r="B280" s="12" t="s">
        <v>1033</v>
      </c>
      <c r="C280" s="12" t="s">
        <v>127</v>
      </c>
      <c r="D280" s="12" t="s">
        <v>241</v>
      </c>
      <c r="E280" s="13" t="n">
        <v>2300</v>
      </c>
      <c r="F280" s="13" t="n">
        <v>0</v>
      </c>
      <c r="G280" s="13" t="n">
        <f aca="false">SUMIFS('Expense Entry'!$H$5:$H$6000,'Expense Entry'!$E$5:$E$6000,"Inventory Purchase",'Expense Entry'!$F$5:$F$6000,$A280)</f>
        <v>0</v>
      </c>
      <c r="H280" s="13" t="n">
        <f aca="false">SUMIFS('Purchase Orders'!$F$5:$F$3000,'Purchase Orders'!$L$5:$L$3000,"Received",'Purchase Orders'!$D$5:$D$3000,$A280)</f>
        <v>0</v>
      </c>
      <c r="I280" s="13" t="n">
        <f aca="false">$G280+$H280</f>
        <v>0</v>
      </c>
      <c r="J280" s="13" t="n">
        <f aca="false">SUMIFS('Issue Log'!$E$5:$E$6000,'Issue Log'!$B$5:$B$6000,$A280)</f>
        <v>0</v>
      </c>
      <c r="K280" s="13" t="n">
        <f aca="false">$F280+$I280-$J280</f>
        <v>0</v>
      </c>
      <c r="L280" s="13" t="n">
        <f aca="false">$K280*$E280</f>
        <v>0</v>
      </c>
    </row>
    <row r="281" customFormat="false" ht="15" hidden="false" customHeight="true" outlineLevel="0" collapsed="false">
      <c r="A281" s="12" t="s">
        <v>1035</v>
      </c>
      <c r="B281" s="12" t="s">
        <v>1036</v>
      </c>
      <c r="C281" s="12" t="s">
        <v>127</v>
      </c>
      <c r="D281" s="12" t="s">
        <v>350</v>
      </c>
      <c r="E281" s="13" t="n">
        <v>165</v>
      </c>
      <c r="F281" s="13" t="n">
        <v>0</v>
      </c>
      <c r="G281" s="13" t="n">
        <f aca="false">SUMIFS('Expense Entry'!$H$5:$H$6000,'Expense Entry'!$E$5:$E$6000,"Inventory Purchase",'Expense Entry'!$F$5:$F$6000,$A281)</f>
        <v>0</v>
      </c>
      <c r="H281" s="13" t="n">
        <f aca="false">SUMIFS('Purchase Orders'!$F$5:$F$3000,'Purchase Orders'!$L$5:$L$3000,"Received",'Purchase Orders'!$D$5:$D$3000,$A281)</f>
        <v>0</v>
      </c>
      <c r="I281" s="13" t="n">
        <f aca="false">$G281+$H281</f>
        <v>0</v>
      </c>
      <c r="J281" s="13" t="n">
        <f aca="false">SUMIFS('Issue Log'!$E$5:$E$6000,'Issue Log'!$B$5:$B$6000,$A281)</f>
        <v>0</v>
      </c>
      <c r="K281" s="13" t="n">
        <f aca="false">$F281+$I281-$J281</f>
        <v>0</v>
      </c>
      <c r="L281" s="13" t="n">
        <f aca="false">$K281*$E281</f>
        <v>0</v>
      </c>
    </row>
    <row r="282" customFormat="false" ht="15" hidden="false" customHeight="true" outlineLevel="0" collapsed="false">
      <c r="A282" s="12" t="s">
        <v>1037</v>
      </c>
      <c r="B282" s="12" t="s">
        <v>1038</v>
      </c>
      <c r="C282" s="12" t="s">
        <v>127</v>
      </c>
      <c r="D282" s="12" t="s">
        <v>350</v>
      </c>
      <c r="E282" s="13" t="n">
        <v>165</v>
      </c>
      <c r="F282" s="13" t="n">
        <v>0</v>
      </c>
      <c r="G282" s="13" t="n">
        <f aca="false">SUMIFS('Expense Entry'!$H$5:$H$6000,'Expense Entry'!$E$5:$E$6000,"Inventory Purchase",'Expense Entry'!$F$5:$F$6000,$A282)</f>
        <v>0</v>
      </c>
      <c r="H282" s="13" t="n">
        <f aca="false">SUMIFS('Purchase Orders'!$F$5:$F$3000,'Purchase Orders'!$L$5:$L$3000,"Received",'Purchase Orders'!$D$5:$D$3000,$A282)</f>
        <v>0</v>
      </c>
      <c r="I282" s="13" t="n">
        <f aca="false">$G282+$H282</f>
        <v>0</v>
      </c>
      <c r="J282" s="13" t="n">
        <f aca="false">SUMIFS('Issue Log'!$E$5:$E$6000,'Issue Log'!$B$5:$B$6000,$A282)</f>
        <v>0</v>
      </c>
      <c r="K282" s="13" t="n">
        <f aca="false">$F282+$I282-$J282</f>
        <v>0</v>
      </c>
      <c r="L282" s="13" t="n">
        <f aca="false">$K282*$E282</f>
        <v>0</v>
      </c>
    </row>
    <row r="283" customFormat="false" ht="15" hidden="false" customHeight="true" outlineLevel="0" collapsed="false">
      <c r="A283" s="12" t="s">
        <v>1039</v>
      </c>
      <c r="B283" s="12" t="s">
        <v>1040</v>
      </c>
      <c r="C283" s="12" t="s">
        <v>127</v>
      </c>
      <c r="D283" s="12" t="s">
        <v>350</v>
      </c>
      <c r="E283" s="13" t="n">
        <v>60</v>
      </c>
      <c r="F283" s="13" t="n">
        <v>35</v>
      </c>
      <c r="G283" s="13" t="n">
        <f aca="false">SUMIFS('Expense Entry'!$H$5:$H$6000,'Expense Entry'!$E$5:$E$6000,"Inventory Purchase",'Expense Entry'!$F$5:$F$6000,$A283)</f>
        <v>0</v>
      </c>
      <c r="H283" s="13" t="n">
        <f aca="false">SUMIFS('Purchase Orders'!$F$5:$F$3000,'Purchase Orders'!$L$5:$L$3000,"Received",'Purchase Orders'!$D$5:$D$3000,$A283)</f>
        <v>0</v>
      </c>
      <c r="I283" s="13" t="n">
        <f aca="false">$G283+$H283</f>
        <v>0</v>
      </c>
      <c r="J283" s="13" t="n">
        <f aca="false">SUMIFS('Issue Log'!$E$5:$E$6000,'Issue Log'!$B$5:$B$6000,$A283)</f>
        <v>0</v>
      </c>
      <c r="K283" s="13" t="n">
        <f aca="false">$F283+$I283-$J283</f>
        <v>35</v>
      </c>
      <c r="L283" s="13" t="n">
        <f aca="false">$K283*$E283</f>
        <v>2100</v>
      </c>
    </row>
    <row r="284" customFormat="false" ht="15" hidden="false" customHeight="true" outlineLevel="0" collapsed="false">
      <c r="A284" s="12" t="s">
        <v>1042</v>
      </c>
      <c r="B284" s="12" t="s">
        <v>1043</v>
      </c>
      <c r="C284" s="12" t="s">
        <v>127</v>
      </c>
      <c r="D284" s="12" t="s">
        <v>350</v>
      </c>
      <c r="E284" s="13" t="n">
        <v>200</v>
      </c>
      <c r="F284" s="13" t="n">
        <v>0</v>
      </c>
      <c r="G284" s="13" t="n">
        <f aca="false">SUMIFS('Expense Entry'!$H$5:$H$6000,'Expense Entry'!$E$5:$E$6000,"Inventory Purchase",'Expense Entry'!$F$5:$F$6000,$A284)</f>
        <v>0</v>
      </c>
      <c r="H284" s="13" t="n">
        <f aca="false">SUMIFS('Purchase Orders'!$F$5:$F$3000,'Purchase Orders'!$L$5:$L$3000,"Received",'Purchase Orders'!$D$5:$D$3000,$A284)</f>
        <v>0</v>
      </c>
      <c r="I284" s="13" t="n">
        <f aca="false">$G284+$H284</f>
        <v>0</v>
      </c>
      <c r="J284" s="13" t="n">
        <f aca="false">SUMIFS('Issue Log'!$E$5:$E$6000,'Issue Log'!$B$5:$B$6000,$A284)</f>
        <v>0</v>
      </c>
      <c r="K284" s="13" t="n">
        <f aca="false">$F284+$I284-$J284</f>
        <v>0</v>
      </c>
      <c r="L284" s="13" t="n">
        <f aca="false">$K284*$E284</f>
        <v>0</v>
      </c>
    </row>
    <row r="285" customFormat="false" ht="15" hidden="false" customHeight="true" outlineLevel="0" collapsed="false">
      <c r="A285" s="12" t="s">
        <v>1045</v>
      </c>
      <c r="B285" s="12" t="s">
        <v>1046</v>
      </c>
      <c r="C285" s="12" t="s">
        <v>127</v>
      </c>
      <c r="D285" s="12" t="s">
        <v>246</v>
      </c>
      <c r="E285" s="13" t="n">
        <v>200</v>
      </c>
      <c r="F285" s="13" t="n">
        <v>6</v>
      </c>
      <c r="G285" s="13" t="n">
        <f aca="false">SUMIFS('Expense Entry'!$H$5:$H$6000,'Expense Entry'!$E$5:$E$6000,"Inventory Purchase",'Expense Entry'!$F$5:$F$6000,$A285)</f>
        <v>0</v>
      </c>
      <c r="H285" s="13" t="n">
        <f aca="false">SUMIFS('Purchase Orders'!$F$5:$F$3000,'Purchase Orders'!$L$5:$L$3000,"Received",'Purchase Orders'!$D$5:$D$3000,$A285)</f>
        <v>0</v>
      </c>
      <c r="I285" s="13" t="n">
        <f aca="false">$G285+$H285</f>
        <v>0</v>
      </c>
      <c r="J285" s="13" t="n">
        <f aca="false">SUMIFS('Issue Log'!$E$5:$E$6000,'Issue Log'!$B$5:$B$6000,$A285)</f>
        <v>0</v>
      </c>
      <c r="K285" s="13" t="n">
        <f aca="false">$F285+$I285-$J285</f>
        <v>6</v>
      </c>
      <c r="L285" s="13" t="n">
        <f aca="false">$K285*$E285</f>
        <v>1200</v>
      </c>
    </row>
    <row r="286" customFormat="false" ht="15" hidden="false" customHeight="true" outlineLevel="0" collapsed="false">
      <c r="A286" s="12" t="s">
        <v>1047</v>
      </c>
      <c r="B286" s="12" t="s">
        <v>1048</v>
      </c>
      <c r="C286" s="12" t="s">
        <v>127</v>
      </c>
      <c r="D286" s="12" t="s">
        <v>246</v>
      </c>
      <c r="E286" s="13" t="n">
        <v>250</v>
      </c>
      <c r="F286" s="13" t="n">
        <v>4</v>
      </c>
      <c r="G286" s="13" t="n">
        <f aca="false">SUMIFS('Expense Entry'!$H$5:$H$6000,'Expense Entry'!$E$5:$E$6000,"Inventory Purchase",'Expense Entry'!$F$5:$F$6000,$A286)</f>
        <v>0</v>
      </c>
      <c r="H286" s="13" t="n">
        <f aca="false">SUMIFS('Purchase Orders'!$F$5:$F$3000,'Purchase Orders'!$L$5:$L$3000,"Received",'Purchase Orders'!$D$5:$D$3000,$A286)</f>
        <v>0</v>
      </c>
      <c r="I286" s="13" t="n">
        <f aca="false">$G286+$H286</f>
        <v>0</v>
      </c>
      <c r="J286" s="13" t="n">
        <f aca="false">SUMIFS('Issue Log'!$E$5:$E$6000,'Issue Log'!$B$5:$B$6000,$A286)</f>
        <v>0</v>
      </c>
      <c r="K286" s="13" t="n">
        <f aca="false">$F286+$I286-$J286</f>
        <v>4</v>
      </c>
      <c r="L286" s="13" t="n">
        <f aca="false">$K286*$E286</f>
        <v>1000</v>
      </c>
    </row>
    <row r="287" customFormat="false" ht="15" hidden="false" customHeight="true" outlineLevel="0" collapsed="false">
      <c r="A287" s="12" t="s">
        <v>1051</v>
      </c>
      <c r="B287" s="12" t="s">
        <v>1052</v>
      </c>
      <c r="C287" s="12" t="s">
        <v>127</v>
      </c>
      <c r="D287" s="12" t="s">
        <v>246</v>
      </c>
      <c r="E287" s="13" t="n">
        <v>260</v>
      </c>
      <c r="F287" s="13" t="n">
        <v>0</v>
      </c>
      <c r="G287" s="13" t="n">
        <f aca="false">SUMIFS('Expense Entry'!$H$5:$H$6000,'Expense Entry'!$E$5:$E$6000,"Inventory Purchase",'Expense Entry'!$F$5:$F$6000,$A287)</f>
        <v>0</v>
      </c>
      <c r="H287" s="13" t="n">
        <f aca="false">SUMIFS('Purchase Orders'!$F$5:$F$3000,'Purchase Orders'!$L$5:$L$3000,"Received",'Purchase Orders'!$D$5:$D$3000,$A287)</f>
        <v>0</v>
      </c>
      <c r="I287" s="13" t="n">
        <f aca="false">$G287+$H287</f>
        <v>0</v>
      </c>
      <c r="J287" s="13" t="n">
        <f aca="false">SUMIFS('Issue Log'!$E$5:$E$6000,'Issue Log'!$B$5:$B$6000,$A287)</f>
        <v>0</v>
      </c>
      <c r="K287" s="13" t="n">
        <f aca="false">$F287+$I287-$J287</f>
        <v>0</v>
      </c>
      <c r="L287" s="13" t="n">
        <f aca="false">$K287*$E287</f>
        <v>0</v>
      </c>
    </row>
    <row r="288" customFormat="false" ht="15" hidden="false" customHeight="true" outlineLevel="0" collapsed="false">
      <c r="A288" s="12" t="s">
        <v>1055</v>
      </c>
      <c r="B288" s="12" t="s">
        <v>1056</v>
      </c>
      <c r="C288" s="12" t="s">
        <v>127</v>
      </c>
      <c r="D288" s="12" t="s">
        <v>246</v>
      </c>
      <c r="E288" s="13" t="n">
        <v>310</v>
      </c>
      <c r="F288" s="13" t="n">
        <v>0</v>
      </c>
      <c r="G288" s="13" t="n">
        <f aca="false">SUMIFS('Expense Entry'!$H$5:$H$6000,'Expense Entry'!$E$5:$E$6000,"Inventory Purchase",'Expense Entry'!$F$5:$F$6000,$A288)</f>
        <v>0</v>
      </c>
      <c r="H288" s="13" t="n">
        <f aca="false">SUMIFS('Purchase Orders'!$F$5:$F$3000,'Purchase Orders'!$L$5:$L$3000,"Received",'Purchase Orders'!$D$5:$D$3000,$A288)</f>
        <v>0</v>
      </c>
      <c r="I288" s="13" t="n">
        <f aca="false">$G288+$H288</f>
        <v>0</v>
      </c>
      <c r="J288" s="13" t="n">
        <f aca="false">SUMIFS('Issue Log'!$E$5:$E$6000,'Issue Log'!$B$5:$B$6000,$A288)</f>
        <v>0</v>
      </c>
      <c r="K288" s="13" t="n">
        <f aca="false">$F288+$I288-$J288</f>
        <v>0</v>
      </c>
      <c r="L288" s="13" t="n">
        <f aca="false">$K288*$E288</f>
        <v>0</v>
      </c>
    </row>
    <row r="289" customFormat="false" ht="15" hidden="false" customHeight="true" outlineLevel="0" collapsed="false">
      <c r="A289" s="12" t="s">
        <v>1058</v>
      </c>
      <c r="B289" s="12" t="s">
        <v>1059</v>
      </c>
      <c r="C289" s="12" t="s">
        <v>127</v>
      </c>
      <c r="D289" s="12" t="s">
        <v>241</v>
      </c>
      <c r="E289" s="13" t="n">
        <v>380</v>
      </c>
      <c r="F289" s="13" t="n">
        <v>0</v>
      </c>
      <c r="G289" s="13" t="n">
        <f aca="false">SUMIFS('Expense Entry'!$H$5:$H$6000,'Expense Entry'!$E$5:$E$6000,"Inventory Purchase",'Expense Entry'!$F$5:$F$6000,$A289)</f>
        <v>0</v>
      </c>
      <c r="H289" s="13" t="n">
        <f aca="false">SUMIFS('Purchase Orders'!$F$5:$F$3000,'Purchase Orders'!$L$5:$L$3000,"Received",'Purchase Orders'!$D$5:$D$3000,$A289)</f>
        <v>0</v>
      </c>
      <c r="I289" s="13" t="n">
        <f aca="false">$G289+$H289</f>
        <v>0</v>
      </c>
      <c r="J289" s="13" t="n">
        <f aca="false">SUMIFS('Issue Log'!$E$5:$E$6000,'Issue Log'!$B$5:$B$6000,$A289)</f>
        <v>0</v>
      </c>
      <c r="K289" s="13" t="n">
        <f aca="false">$F289+$I289-$J289</f>
        <v>0</v>
      </c>
      <c r="L289" s="13" t="n">
        <f aca="false">$K289*$E289</f>
        <v>0</v>
      </c>
    </row>
    <row r="290" customFormat="false" ht="15" hidden="false" customHeight="true" outlineLevel="0" collapsed="false">
      <c r="A290" s="12" t="s">
        <v>1060</v>
      </c>
      <c r="B290" s="12" t="s">
        <v>1061</v>
      </c>
      <c r="C290" s="12" t="s">
        <v>127</v>
      </c>
      <c r="D290" s="12" t="s">
        <v>246</v>
      </c>
      <c r="E290" s="13" t="n">
        <v>5</v>
      </c>
      <c r="F290" s="13" t="n">
        <v>0</v>
      </c>
      <c r="G290" s="13" t="n">
        <f aca="false">SUMIFS('Expense Entry'!$H$5:$H$6000,'Expense Entry'!$E$5:$E$6000,"Inventory Purchase",'Expense Entry'!$F$5:$F$6000,$A290)</f>
        <v>0</v>
      </c>
      <c r="H290" s="13" t="n">
        <f aca="false">SUMIFS('Purchase Orders'!$F$5:$F$3000,'Purchase Orders'!$L$5:$L$3000,"Received",'Purchase Orders'!$D$5:$D$3000,$A290)</f>
        <v>0</v>
      </c>
      <c r="I290" s="13" t="n">
        <f aca="false">$G290+$H290</f>
        <v>0</v>
      </c>
      <c r="J290" s="13" t="n">
        <f aca="false">SUMIFS('Issue Log'!$E$5:$E$6000,'Issue Log'!$B$5:$B$6000,$A290)</f>
        <v>0</v>
      </c>
      <c r="K290" s="13" t="n">
        <f aca="false">$F290+$I290-$J290</f>
        <v>0</v>
      </c>
      <c r="L290" s="13" t="n">
        <f aca="false">$K290*$E290</f>
        <v>0</v>
      </c>
    </row>
    <row r="291" customFormat="false" ht="15" hidden="false" customHeight="true" outlineLevel="0" collapsed="false">
      <c r="A291" s="12" t="s">
        <v>1063</v>
      </c>
      <c r="B291" s="12" t="s">
        <v>1064</v>
      </c>
      <c r="C291" s="12" t="s">
        <v>127</v>
      </c>
      <c r="D291" s="12" t="s">
        <v>246</v>
      </c>
      <c r="E291" s="13" t="n">
        <v>125</v>
      </c>
      <c r="F291" s="13" t="n">
        <v>0</v>
      </c>
      <c r="G291" s="13" t="n">
        <f aca="false">SUMIFS('Expense Entry'!$H$5:$H$6000,'Expense Entry'!$E$5:$E$6000,"Inventory Purchase",'Expense Entry'!$F$5:$F$6000,$A291)</f>
        <v>0</v>
      </c>
      <c r="H291" s="13" t="n">
        <f aca="false">SUMIFS('Purchase Orders'!$F$5:$F$3000,'Purchase Orders'!$L$5:$L$3000,"Received",'Purchase Orders'!$D$5:$D$3000,$A291)</f>
        <v>0</v>
      </c>
      <c r="I291" s="13" t="n">
        <f aca="false">$G291+$H291</f>
        <v>0</v>
      </c>
      <c r="J291" s="13" t="n">
        <f aca="false">SUMIFS('Issue Log'!$E$5:$E$6000,'Issue Log'!$B$5:$B$6000,$A291)</f>
        <v>0</v>
      </c>
      <c r="K291" s="13" t="n">
        <f aca="false">$F291+$I291-$J291</f>
        <v>0</v>
      </c>
      <c r="L291" s="13" t="n">
        <f aca="false">$K291*$E291</f>
        <v>0</v>
      </c>
    </row>
    <row r="292" customFormat="false" ht="15" hidden="false" customHeight="true" outlineLevel="0" collapsed="false">
      <c r="A292" s="12" t="s">
        <v>1066</v>
      </c>
      <c r="B292" s="12" t="s">
        <v>1067</v>
      </c>
      <c r="C292" s="12" t="s">
        <v>127</v>
      </c>
      <c r="D292" s="12" t="s">
        <v>246</v>
      </c>
      <c r="E292" s="13" t="n">
        <v>270</v>
      </c>
      <c r="F292" s="13" t="n">
        <v>0</v>
      </c>
      <c r="G292" s="13" t="n">
        <f aca="false">SUMIFS('Expense Entry'!$H$5:$H$6000,'Expense Entry'!$E$5:$E$6000,"Inventory Purchase",'Expense Entry'!$F$5:$F$6000,$A292)</f>
        <v>0</v>
      </c>
      <c r="H292" s="13" t="n">
        <f aca="false">SUMIFS('Purchase Orders'!$F$5:$F$3000,'Purchase Orders'!$L$5:$L$3000,"Received",'Purchase Orders'!$D$5:$D$3000,$A292)</f>
        <v>0</v>
      </c>
      <c r="I292" s="13" t="n">
        <f aca="false">$G292+$H292</f>
        <v>0</v>
      </c>
      <c r="J292" s="13" t="n">
        <f aca="false">SUMIFS('Issue Log'!$E$5:$E$6000,'Issue Log'!$B$5:$B$6000,$A292)</f>
        <v>0</v>
      </c>
      <c r="K292" s="13" t="n">
        <f aca="false">$F292+$I292-$J292</f>
        <v>0</v>
      </c>
      <c r="L292" s="13" t="n">
        <f aca="false">$K292*$E292</f>
        <v>0</v>
      </c>
    </row>
    <row r="293" customFormat="false" ht="15" hidden="false" customHeight="true" outlineLevel="0" collapsed="false">
      <c r="A293" s="12" t="s">
        <v>1069</v>
      </c>
      <c r="B293" s="12" t="s">
        <v>1070</v>
      </c>
      <c r="C293" s="12" t="s">
        <v>127</v>
      </c>
      <c r="D293" s="12" t="s">
        <v>241</v>
      </c>
      <c r="E293" s="13" t="n">
        <v>740</v>
      </c>
      <c r="F293" s="13" t="n">
        <v>7</v>
      </c>
      <c r="G293" s="13" t="n">
        <f aca="false">SUMIFS('Expense Entry'!$H$5:$H$6000,'Expense Entry'!$E$5:$E$6000,"Inventory Purchase",'Expense Entry'!$F$5:$F$6000,$A293)</f>
        <v>0</v>
      </c>
      <c r="H293" s="13" t="n">
        <f aca="false">SUMIFS('Purchase Orders'!$F$5:$F$3000,'Purchase Orders'!$L$5:$L$3000,"Received",'Purchase Orders'!$D$5:$D$3000,$A293)</f>
        <v>0</v>
      </c>
      <c r="I293" s="13" t="n">
        <f aca="false">$G293+$H293</f>
        <v>0</v>
      </c>
      <c r="J293" s="13" t="n">
        <f aca="false">SUMIFS('Issue Log'!$E$5:$E$6000,'Issue Log'!$B$5:$B$6000,$A293)</f>
        <v>0</v>
      </c>
      <c r="K293" s="13" t="n">
        <f aca="false">$F293+$I293-$J293</f>
        <v>7</v>
      </c>
      <c r="L293" s="13" t="n">
        <f aca="false">$K293*$E293</f>
        <v>5180</v>
      </c>
    </row>
    <row r="294" customFormat="false" ht="15" hidden="false" customHeight="true" outlineLevel="0" collapsed="false">
      <c r="A294" s="12" t="s">
        <v>1072</v>
      </c>
      <c r="B294" s="12" t="s">
        <v>1073</v>
      </c>
      <c r="C294" s="12" t="s">
        <v>127</v>
      </c>
      <c r="D294" s="12" t="s">
        <v>241</v>
      </c>
      <c r="E294" s="13" t="n">
        <v>740</v>
      </c>
      <c r="F294" s="13" t="n">
        <v>9</v>
      </c>
      <c r="G294" s="13" t="n">
        <f aca="false">SUMIFS('Expense Entry'!$H$5:$H$6000,'Expense Entry'!$E$5:$E$6000,"Inventory Purchase",'Expense Entry'!$F$5:$F$6000,$A294)</f>
        <v>0</v>
      </c>
      <c r="H294" s="13" t="n">
        <f aca="false">SUMIFS('Purchase Orders'!$F$5:$F$3000,'Purchase Orders'!$L$5:$L$3000,"Received",'Purchase Orders'!$D$5:$D$3000,$A294)</f>
        <v>0</v>
      </c>
      <c r="I294" s="13" t="n">
        <f aca="false">$G294+$H294</f>
        <v>0</v>
      </c>
      <c r="J294" s="13" t="n">
        <f aca="false">SUMIFS('Issue Log'!$E$5:$E$6000,'Issue Log'!$B$5:$B$6000,$A294)</f>
        <v>0</v>
      </c>
      <c r="K294" s="13" t="n">
        <f aca="false">$F294+$I294-$J294</f>
        <v>9</v>
      </c>
      <c r="L294" s="13" t="n">
        <f aca="false">$K294*$E294</f>
        <v>6660</v>
      </c>
    </row>
    <row r="295" customFormat="false" ht="15" hidden="false" customHeight="true" outlineLevel="0" collapsed="false">
      <c r="A295" s="12" t="s">
        <v>1075</v>
      </c>
      <c r="B295" s="12" t="s">
        <v>1076</v>
      </c>
      <c r="C295" s="12" t="s">
        <v>127</v>
      </c>
      <c r="D295" s="12" t="s">
        <v>241</v>
      </c>
      <c r="E295" s="13" t="n">
        <v>480</v>
      </c>
      <c r="F295" s="13" t="n">
        <v>4</v>
      </c>
      <c r="G295" s="13" t="n">
        <f aca="false">SUMIFS('Expense Entry'!$H$5:$H$6000,'Expense Entry'!$E$5:$E$6000,"Inventory Purchase",'Expense Entry'!$F$5:$F$6000,$A295)</f>
        <v>0</v>
      </c>
      <c r="H295" s="13" t="n">
        <f aca="false">SUMIFS('Purchase Orders'!$F$5:$F$3000,'Purchase Orders'!$L$5:$L$3000,"Received",'Purchase Orders'!$D$5:$D$3000,$A295)</f>
        <v>0</v>
      </c>
      <c r="I295" s="13" t="n">
        <f aca="false">$G295+$H295</f>
        <v>0</v>
      </c>
      <c r="J295" s="13" t="n">
        <f aca="false">SUMIFS('Issue Log'!$E$5:$E$6000,'Issue Log'!$B$5:$B$6000,$A295)</f>
        <v>0</v>
      </c>
      <c r="K295" s="13" t="n">
        <f aca="false">$F295+$I295-$J295</f>
        <v>4</v>
      </c>
      <c r="L295" s="13" t="n">
        <f aca="false">$K295*$E295</f>
        <v>1920</v>
      </c>
    </row>
    <row r="296" customFormat="false" ht="15" hidden="false" customHeight="true" outlineLevel="0" collapsed="false">
      <c r="A296" s="12" t="s">
        <v>1077</v>
      </c>
      <c r="B296" s="12" t="s">
        <v>1078</v>
      </c>
      <c r="C296" s="12" t="s">
        <v>127</v>
      </c>
      <c r="D296" s="12" t="s">
        <v>241</v>
      </c>
      <c r="E296" s="13" t="n">
        <v>610</v>
      </c>
      <c r="F296" s="13" t="n">
        <v>8</v>
      </c>
      <c r="G296" s="13" t="n">
        <f aca="false">SUMIFS('Expense Entry'!$H$5:$H$6000,'Expense Entry'!$E$5:$E$6000,"Inventory Purchase",'Expense Entry'!$F$5:$F$6000,$A296)</f>
        <v>0</v>
      </c>
      <c r="H296" s="13" t="n">
        <f aca="false">SUMIFS('Purchase Orders'!$F$5:$F$3000,'Purchase Orders'!$L$5:$L$3000,"Received",'Purchase Orders'!$D$5:$D$3000,$A296)</f>
        <v>0</v>
      </c>
      <c r="I296" s="13" t="n">
        <f aca="false">$G296+$H296</f>
        <v>0</v>
      </c>
      <c r="J296" s="13" t="n">
        <f aca="false">SUMIFS('Issue Log'!$E$5:$E$6000,'Issue Log'!$B$5:$B$6000,$A296)</f>
        <v>0</v>
      </c>
      <c r="K296" s="13" t="n">
        <f aca="false">$F296+$I296-$J296</f>
        <v>8</v>
      </c>
      <c r="L296" s="13" t="n">
        <f aca="false">$K296*$E296</f>
        <v>4880</v>
      </c>
    </row>
    <row r="297" customFormat="false" ht="15" hidden="false" customHeight="true" outlineLevel="0" collapsed="false">
      <c r="A297" s="12" t="s">
        <v>1079</v>
      </c>
      <c r="B297" s="12" t="s">
        <v>1080</v>
      </c>
      <c r="C297" s="12" t="s">
        <v>127</v>
      </c>
      <c r="D297" s="12" t="s">
        <v>1081</v>
      </c>
      <c r="E297" s="13" t="n">
        <v>600</v>
      </c>
      <c r="F297" s="13" t="n">
        <v>0</v>
      </c>
      <c r="G297" s="13" t="n">
        <f aca="false">SUMIFS('Expense Entry'!$H$5:$H$6000,'Expense Entry'!$E$5:$E$6000,"Inventory Purchase",'Expense Entry'!$F$5:$F$6000,$A297)</f>
        <v>0</v>
      </c>
      <c r="H297" s="13" t="n">
        <f aca="false">SUMIFS('Purchase Orders'!$F$5:$F$3000,'Purchase Orders'!$L$5:$L$3000,"Received",'Purchase Orders'!$D$5:$D$3000,$A297)</f>
        <v>0</v>
      </c>
      <c r="I297" s="13" t="n">
        <f aca="false">$G297+$H297</f>
        <v>0</v>
      </c>
      <c r="J297" s="13" t="n">
        <f aca="false">SUMIFS('Issue Log'!$E$5:$E$6000,'Issue Log'!$B$5:$B$6000,$A297)</f>
        <v>0</v>
      </c>
      <c r="K297" s="13" t="n">
        <f aca="false">$F297+$I297-$J297</f>
        <v>0</v>
      </c>
      <c r="L297" s="13" t="n">
        <f aca="false">$K297*$E297</f>
        <v>0</v>
      </c>
    </row>
    <row r="298" customFormat="false" ht="15" hidden="false" customHeight="true" outlineLevel="0" collapsed="false">
      <c r="A298" s="12" t="s">
        <v>1083</v>
      </c>
      <c r="B298" s="12" t="s">
        <v>1084</v>
      </c>
      <c r="C298" s="12" t="s">
        <v>127</v>
      </c>
      <c r="D298" s="12" t="s">
        <v>1085</v>
      </c>
      <c r="E298" s="13" t="n">
        <v>2000</v>
      </c>
      <c r="F298" s="13" t="n">
        <v>2</v>
      </c>
      <c r="G298" s="13" t="n">
        <f aca="false">SUMIFS('Expense Entry'!$H$5:$H$6000,'Expense Entry'!$E$5:$E$6000,"Inventory Purchase",'Expense Entry'!$F$5:$F$6000,$A298)</f>
        <v>0</v>
      </c>
      <c r="H298" s="13" t="n">
        <f aca="false">SUMIFS('Purchase Orders'!$F$5:$F$3000,'Purchase Orders'!$L$5:$L$3000,"Received",'Purchase Orders'!$D$5:$D$3000,$A298)</f>
        <v>0</v>
      </c>
      <c r="I298" s="13" t="n">
        <f aca="false">$G298+$H298</f>
        <v>0</v>
      </c>
      <c r="J298" s="13" t="n">
        <f aca="false">SUMIFS('Issue Log'!$E$5:$E$6000,'Issue Log'!$B$5:$B$6000,$A298)</f>
        <v>0</v>
      </c>
      <c r="K298" s="13" t="n">
        <f aca="false">$F298+$I298-$J298</f>
        <v>2</v>
      </c>
      <c r="L298" s="13" t="n">
        <f aca="false">$K298*$E298</f>
        <v>4000</v>
      </c>
    </row>
    <row r="299" customFormat="false" ht="15" hidden="false" customHeight="true" outlineLevel="0" collapsed="false">
      <c r="A299" s="12" t="s">
        <v>1086</v>
      </c>
      <c r="B299" s="12" t="s">
        <v>1087</v>
      </c>
      <c r="C299" s="12" t="s">
        <v>133</v>
      </c>
      <c r="D299" s="12" t="s">
        <v>246</v>
      </c>
      <c r="E299" s="13" t="n">
        <v>97</v>
      </c>
      <c r="F299" s="13" t="n">
        <v>0</v>
      </c>
      <c r="G299" s="13" t="n">
        <f aca="false">SUMIFS('Expense Entry'!$H$5:$H$6000,'Expense Entry'!$E$5:$E$6000,"Inventory Purchase",'Expense Entry'!$F$5:$F$6000,$A299)</f>
        <v>0</v>
      </c>
      <c r="H299" s="13" t="n">
        <f aca="false">SUMIFS('Purchase Orders'!$F$5:$F$3000,'Purchase Orders'!$L$5:$L$3000,"Received",'Purchase Orders'!$D$5:$D$3000,$A299)</f>
        <v>0</v>
      </c>
      <c r="I299" s="13" t="n">
        <f aca="false">$G299+$H299</f>
        <v>0</v>
      </c>
      <c r="J299" s="13" t="n">
        <f aca="false">SUMIFS('Issue Log'!$E$5:$E$6000,'Issue Log'!$B$5:$B$6000,$A299)</f>
        <v>0</v>
      </c>
      <c r="K299" s="13" t="n">
        <f aca="false">$F299+$I299-$J299</f>
        <v>0</v>
      </c>
      <c r="L299" s="13" t="n">
        <f aca="false">$K299*$E299</f>
        <v>0</v>
      </c>
    </row>
    <row r="300" customFormat="false" ht="15" hidden="false" customHeight="true" outlineLevel="0" collapsed="false">
      <c r="A300" s="12" t="s">
        <v>1088</v>
      </c>
      <c r="B300" s="12" t="s">
        <v>1089</v>
      </c>
      <c r="C300" s="12" t="s">
        <v>127</v>
      </c>
      <c r="D300" s="12" t="s">
        <v>246</v>
      </c>
      <c r="E300" s="13" t="n">
        <v>43</v>
      </c>
      <c r="F300" s="13" t="n">
        <v>30</v>
      </c>
      <c r="G300" s="13" t="n">
        <f aca="false">SUMIFS('Expense Entry'!$H$5:$H$6000,'Expense Entry'!$E$5:$E$6000,"Inventory Purchase",'Expense Entry'!$F$5:$F$6000,$A300)</f>
        <v>0</v>
      </c>
      <c r="H300" s="13" t="n">
        <f aca="false">SUMIFS('Purchase Orders'!$F$5:$F$3000,'Purchase Orders'!$L$5:$L$3000,"Received",'Purchase Orders'!$D$5:$D$3000,$A300)</f>
        <v>0</v>
      </c>
      <c r="I300" s="13" t="n">
        <f aca="false">$G300+$H300</f>
        <v>0</v>
      </c>
      <c r="J300" s="13" t="n">
        <f aca="false">SUMIFS('Issue Log'!$E$5:$E$6000,'Issue Log'!$B$5:$B$6000,$A300)</f>
        <v>0</v>
      </c>
      <c r="K300" s="13" t="n">
        <f aca="false">$F300+$I300-$J300</f>
        <v>30</v>
      </c>
      <c r="L300" s="13" t="n">
        <f aca="false">$K300*$E300</f>
        <v>1290</v>
      </c>
    </row>
    <row r="301" customFormat="false" ht="15" hidden="false" customHeight="true" outlineLevel="0" collapsed="false">
      <c r="A301" s="12" t="s">
        <v>1090</v>
      </c>
      <c r="B301" s="12" t="s">
        <v>942</v>
      </c>
      <c r="C301" s="12" t="s">
        <v>127</v>
      </c>
      <c r="D301" s="12" t="s">
        <v>241</v>
      </c>
      <c r="E301" s="13" t="n">
        <v>440</v>
      </c>
      <c r="F301" s="13" t="n">
        <v>36.7</v>
      </c>
      <c r="G301" s="13" t="n">
        <f aca="false">SUMIFS('Expense Entry'!$H$5:$H$6000,'Expense Entry'!$E$5:$E$6000,"Inventory Purchase",'Expense Entry'!$F$5:$F$6000,$A301)</f>
        <v>0</v>
      </c>
      <c r="H301" s="13" t="n">
        <f aca="false">SUMIFS('Purchase Orders'!$F$5:$F$3000,'Purchase Orders'!$L$5:$L$3000,"Received",'Purchase Orders'!$D$5:$D$3000,$A301)</f>
        <v>0</v>
      </c>
      <c r="I301" s="13" t="n">
        <f aca="false">$G301+$H301</f>
        <v>0</v>
      </c>
      <c r="J301" s="13" t="n">
        <f aca="false">SUMIFS('Issue Log'!$E$5:$E$6000,'Issue Log'!$B$5:$B$6000,$A301)</f>
        <v>0</v>
      </c>
      <c r="K301" s="13" t="n">
        <f aca="false">$F301+$I301-$J301</f>
        <v>36.7</v>
      </c>
      <c r="L301" s="13" t="n">
        <f aca="false">$K301*$E301</f>
        <v>16148</v>
      </c>
    </row>
    <row r="302" customFormat="false" ht="15" hidden="false" customHeight="true" outlineLevel="0" collapsed="false">
      <c r="A302" s="12" t="s">
        <v>1091</v>
      </c>
      <c r="B302" s="12" t="s">
        <v>1092</v>
      </c>
      <c r="C302" s="12" t="s">
        <v>127</v>
      </c>
      <c r="D302" s="12" t="s">
        <v>246</v>
      </c>
      <c r="E302" s="13" t="n">
        <v>70</v>
      </c>
      <c r="F302" s="13" t="n">
        <v>0</v>
      </c>
      <c r="G302" s="13" t="n">
        <f aca="false">SUMIFS('Expense Entry'!$H$5:$H$6000,'Expense Entry'!$E$5:$E$6000,"Inventory Purchase",'Expense Entry'!$F$5:$F$6000,$A302)</f>
        <v>0</v>
      </c>
      <c r="H302" s="13" t="n">
        <f aca="false">SUMIFS('Purchase Orders'!$F$5:$F$3000,'Purchase Orders'!$L$5:$L$3000,"Received",'Purchase Orders'!$D$5:$D$3000,$A302)</f>
        <v>0</v>
      </c>
      <c r="I302" s="13" t="n">
        <f aca="false">$G302+$H302</f>
        <v>0</v>
      </c>
      <c r="J302" s="13" t="n">
        <f aca="false">SUMIFS('Issue Log'!$E$5:$E$6000,'Issue Log'!$B$5:$B$6000,$A302)</f>
        <v>0</v>
      </c>
      <c r="K302" s="13" t="n">
        <f aca="false">$F302+$I302-$J302</f>
        <v>0</v>
      </c>
      <c r="L302" s="13" t="n">
        <f aca="false">$K302*$E302</f>
        <v>0</v>
      </c>
    </row>
    <row r="303" customFormat="false" ht="15" hidden="false" customHeight="true" outlineLevel="0" collapsed="false">
      <c r="A303" s="12" t="s">
        <v>1094</v>
      </c>
      <c r="B303" s="12" t="s">
        <v>1095</v>
      </c>
      <c r="C303" s="12" t="s">
        <v>127</v>
      </c>
      <c r="D303" s="12" t="s">
        <v>267</v>
      </c>
      <c r="E303" s="13" t="n">
        <v>180</v>
      </c>
      <c r="F303" s="13" t="n">
        <v>10</v>
      </c>
      <c r="G303" s="13" t="n">
        <f aca="false">SUMIFS('Expense Entry'!$H$5:$H$6000,'Expense Entry'!$E$5:$E$6000,"Inventory Purchase",'Expense Entry'!$F$5:$F$6000,$A303)</f>
        <v>0</v>
      </c>
      <c r="H303" s="13" t="n">
        <f aca="false">SUMIFS('Purchase Orders'!$F$5:$F$3000,'Purchase Orders'!$L$5:$L$3000,"Received",'Purchase Orders'!$D$5:$D$3000,$A303)</f>
        <v>0</v>
      </c>
      <c r="I303" s="13" t="n">
        <f aca="false">$G303+$H303</f>
        <v>0</v>
      </c>
      <c r="J303" s="13" t="n">
        <f aca="false">SUMIFS('Issue Log'!$E$5:$E$6000,'Issue Log'!$B$5:$B$6000,$A303)</f>
        <v>0</v>
      </c>
      <c r="K303" s="13" t="n">
        <f aca="false">$F303+$I303-$J303</f>
        <v>10</v>
      </c>
      <c r="L303" s="13" t="n">
        <f aca="false">$K303*$E303</f>
        <v>1800</v>
      </c>
    </row>
    <row r="304" customFormat="false" ht="15" hidden="false" customHeight="true" outlineLevel="0" collapsed="false">
      <c r="A304" s="12" t="s">
        <v>1096</v>
      </c>
      <c r="B304" s="12" t="s">
        <v>1097</v>
      </c>
      <c r="C304" s="12" t="s">
        <v>127</v>
      </c>
      <c r="D304" s="12" t="s">
        <v>267</v>
      </c>
      <c r="E304" s="13" t="n">
        <v>42</v>
      </c>
      <c r="F304" s="13" t="n">
        <v>1</v>
      </c>
      <c r="G304" s="13" t="n">
        <f aca="false">SUMIFS('Expense Entry'!$H$5:$H$6000,'Expense Entry'!$E$5:$E$6000,"Inventory Purchase",'Expense Entry'!$F$5:$F$6000,$A304)</f>
        <v>0</v>
      </c>
      <c r="H304" s="13" t="n">
        <f aca="false">SUMIFS('Purchase Orders'!$F$5:$F$3000,'Purchase Orders'!$L$5:$L$3000,"Received",'Purchase Orders'!$D$5:$D$3000,$A304)</f>
        <v>0</v>
      </c>
      <c r="I304" s="13" t="n">
        <f aca="false">$G304+$H304</f>
        <v>0</v>
      </c>
      <c r="J304" s="13" t="n">
        <f aca="false">SUMIFS('Issue Log'!$E$5:$E$6000,'Issue Log'!$B$5:$B$6000,$A304)</f>
        <v>0</v>
      </c>
      <c r="K304" s="13" t="n">
        <f aca="false">$F304+$I304-$J304</f>
        <v>1</v>
      </c>
      <c r="L304" s="13" t="n">
        <f aca="false">$K304*$E304</f>
        <v>42</v>
      </c>
    </row>
    <row r="305" customFormat="false" ht="15" hidden="false" customHeight="true" outlineLevel="0" collapsed="false">
      <c r="A305" s="12" t="s">
        <v>1099</v>
      </c>
      <c r="B305" s="12" t="s">
        <v>1002</v>
      </c>
      <c r="C305" s="12" t="s">
        <v>127</v>
      </c>
      <c r="D305" s="12" t="s">
        <v>267</v>
      </c>
      <c r="E305" s="13" t="n">
        <v>140</v>
      </c>
      <c r="F305" s="13" t="n">
        <v>0</v>
      </c>
      <c r="G305" s="13" t="n">
        <f aca="false">SUMIFS('Expense Entry'!$H$5:$H$6000,'Expense Entry'!$E$5:$E$6000,"Inventory Purchase",'Expense Entry'!$F$5:$F$6000,$A305)</f>
        <v>0</v>
      </c>
      <c r="H305" s="13" t="n">
        <f aca="false">SUMIFS('Purchase Orders'!$F$5:$F$3000,'Purchase Orders'!$L$5:$L$3000,"Received",'Purchase Orders'!$D$5:$D$3000,$A305)</f>
        <v>0</v>
      </c>
      <c r="I305" s="13" t="n">
        <f aca="false">$G305+$H305</f>
        <v>0</v>
      </c>
      <c r="J305" s="13" t="n">
        <f aca="false">SUMIFS('Issue Log'!$E$5:$E$6000,'Issue Log'!$B$5:$B$6000,$A305)</f>
        <v>0</v>
      </c>
      <c r="K305" s="13" t="n">
        <f aca="false">$F305+$I305-$J305</f>
        <v>0</v>
      </c>
      <c r="L305" s="13" t="n">
        <f aca="false">$K305*$E305</f>
        <v>0</v>
      </c>
    </row>
    <row r="306" customFormat="false" ht="15" hidden="false" customHeight="true" outlineLevel="0" collapsed="false">
      <c r="A306" s="12" t="s">
        <v>1100</v>
      </c>
      <c r="B306" s="12" t="s">
        <v>1101</v>
      </c>
      <c r="C306" s="12" t="s">
        <v>127</v>
      </c>
      <c r="D306" s="12" t="s">
        <v>752</v>
      </c>
      <c r="E306" s="13" t="n">
        <v>750</v>
      </c>
      <c r="F306" s="13" t="n">
        <v>0</v>
      </c>
      <c r="G306" s="13" t="n">
        <f aca="false">SUMIFS('Expense Entry'!$H$5:$H$6000,'Expense Entry'!$E$5:$E$6000,"Inventory Purchase",'Expense Entry'!$F$5:$F$6000,$A306)</f>
        <v>0</v>
      </c>
      <c r="H306" s="13" t="n">
        <f aca="false">SUMIFS('Purchase Orders'!$F$5:$F$3000,'Purchase Orders'!$L$5:$L$3000,"Received",'Purchase Orders'!$D$5:$D$3000,$A306)</f>
        <v>0</v>
      </c>
      <c r="I306" s="13" t="n">
        <f aca="false">$G306+$H306</f>
        <v>0</v>
      </c>
      <c r="J306" s="13" t="n">
        <f aca="false">SUMIFS('Issue Log'!$E$5:$E$6000,'Issue Log'!$B$5:$B$6000,$A306)</f>
        <v>0</v>
      </c>
      <c r="K306" s="13" t="n">
        <f aca="false">$F306+$I306-$J306</f>
        <v>0</v>
      </c>
      <c r="L306" s="13" t="n">
        <f aca="false">$K306*$E306</f>
        <v>0</v>
      </c>
    </row>
    <row r="307" customFormat="false" ht="15" hidden="false" customHeight="true" outlineLevel="0" collapsed="false">
      <c r="A307" s="12" t="s">
        <v>1104</v>
      </c>
      <c r="B307" s="12" t="s">
        <v>1105</v>
      </c>
      <c r="C307" s="12" t="s">
        <v>127</v>
      </c>
      <c r="D307" s="12" t="s">
        <v>241</v>
      </c>
      <c r="E307" s="13" t="n">
        <v>150</v>
      </c>
      <c r="F307" s="13" t="n">
        <v>0</v>
      </c>
      <c r="G307" s="13" t="n">
        <f aca="false">SUMIFS('Expense Entry'!$H$5:$H$6000,'Expense Entry'!$E$5:$E$6000,"Inventory Purchase",'Expense Entry'!$F$5:$F$6000,$A307)</f>
        <v>0</v>
      </c>
      <c r="H307" s="13" t="n">
        <f aca="false">SUMIFS('Purchase Orders'!$F$5:$F$3000,'Purchase Orders'!$L$5:$L$3000,"Received",'Purchase Orders'!$D$5:$D$3000,$A307)</f>
        <v>0</v>
      </c>
      <c r="I307" s="13" t="n">
        <f aca="false">$G307+$H307</f>
        <v>0</v>
      </c>
      <c r="J307" s="13" t="n">
        <f aca="false">SUMIFS('Issue Log'!$E$5:$E$6000,'Issue Log'!$B$5:$B$6000,$A307)</f>
        <v>0</v>
      </c>
      <c r="K307" s="13" t="n">
        <f aca="false">$F307+$I307-$J307</f>
        <v>0</v>
      </c>
      <c r="L307" s="13" t="n">
        <f aca="false">$K307*$E307</f>
        <v>0</v>
      </c>
    </row>
    <row r="308" customFormat="false" ht="15" hidden="false" customHeight="true" outlineLevel="0" collapsed="false">
      <c r="A308" s="12" t="s">
        <v>1107</v>
      </c>
      <c r="B308" s="12" t="s">
        <v>1108</v>
      </c>
      <c r="C308" s="12" t="s">
        <v>127</v>
      </c>
      <c r="D308" s="12" t="s">
        <v>267</v>
      </c>
      <c r="E308" s="13" t="n">
        <v>300</v>
      </c>
      <c r="F308" s="13" t="n">
        <v>2</v>
      </c>
      <c r="G308" s="13" t="n">
        <f aca="false">SUMIFS('Expense Entry'!$H$5:$H$6000,'Expense Entry'!$E$5:$E$6000,"Inventory Purchase",'Expense Entry'!$F$5:$F$6000,$A308)</f>
        <v>0</v>
      </c>
      <c r="H308" s="13" t="n">
        <f aca="false">SUMIFS('Purchase Orders'!$F$5:$F$3000,'Purchase Orders'!$L$5:$L$3000,"Received",'Purchase Orders'!$D$5:$D$3000,$A308)</f>
        <v>0</v>
      </c>
      <c r="I308" s="13" t="n">
        <f aca="false">$G308+$H308</f>
        <v>0</v>
      </c>
      <c r="J308" s="13" t="n">
        <f aca="false">SUMIFS('Issue Log'!$E$5:$E$6000,'Issue Log'!$B$5:$B$6000,$A308)</f>
        <v>0</v>
      </c>
      <c r="K308" s="13" t="n">
        <f aca="false">$F308+$I308-$J308</f>
        <v>2</v>
      </c>
      <c r="L308" s="13" t="n">
        <f aca="false">$K308*$E308</f>
        <v>600</v>
      </c>
    </row>
    <row r="309" customFormat="false" ht="15" hidden="false" customHeight="true" outlineLevel="0" collapsed="false">
      <c r="A309" s="12" t="s">
        <v>1109</v>
      </c>
      <c r="B309" s="12" t="s">
        <v>1110</v>
      </c>
      <c r="C309" s="12" t="s">
        <v>127</v>
      </c>
      <c r="D309" s="12" t="s">
        <v>1111</v>
      </c>
      <c r="E309" s="13" t="n">
        <v>275</v>
      </c>
      <c r="F309" s="13" t="n">
        <v>0</v>
      </c>
      <c r="G309" s="13" t="n">
        <f aca="false">SUMIFS('Expense Entry'!$H$5:$H$6000,'Expense Entry'!$E$5:$E$6000,"Inventory Purchase",'Expense Entry'!$F$5:$F$6000,$A309)</f>
        <v>0</v>
      </c>
      <c r="H309" s="13" t="n">
        <f aca="false">SUMIFS('Purchase Orders'!$F$5:$F$3000,'Purchase Orders'!$L$5:$L$3000,"Received",'Purchase Orders'!$D$5:$D$3000,$A309)</f>
        <v>0</v>
      </c>
      <c r="I309" s="13" t="n">
        <f aca="false">$G309+$H309</f>
        <v>0</v>
      </c>
      <c r="J309" s="13" t="n">
        <f aca="false">SUMIFS('Issue Log'!$E$5:$E$6000,'Issue Log'!$B$5:$B$6000,$A309)</f>
        <v>0</v>
      </c>
      <c r="K309" s="13" t="n">
        <f aca="false">$F309+$I309-$J309</f>
        <v>0</v>
      </c>
      <c r="L309" s="13" t="n">
        <f aca="false">$K309*$E309</f>
        <v>0</v>
      </c>
    </row>
    <row r="310" customFormat="false" ht="15" hidden="false" customHeight="true" outlineLevel="0" collapsed="false">
      <c r="A310" s="12" t="s">
        <v>1114</v>
      </c>
      <c r="B310" s="12" t="s">
        <v>564</v>
      </c>
      <c r="C310" s="12" t="s">
        <v>127</v>
      </c>
      <c r="D310" s="12" t="s">
        <v>246</v>
      </c>
      <c r="E310" s="13" t="n">
        <v>18</v>
      </c>
      <c r="F310" s="13" t="n">
        <v>7</v>
      </c>
      <c r="G310" s="13" t="n">
        <f aca="false">SUMIFS('Expense Entry'!$H$5:$H$6000,'Expense Entry'!$E$5:$E$6000,"Inventory Purchase",'Expense Entry'!$F$5:$F$6000,$A310)</f>
        <v>0</v>
      </c>
      <c r="H310" s="13" t="n">
        <f aca="false">SUMIFS('Purchase Orders'!$F$5:$F$3000,'Purchase Orders'!$L$5:$L$3000,"Received",'Purchase Orders'!$D$5:$D$3000,$A310)</f>
        <v>0</v>
      </c>
      <c r="I310" s="13" t="n">
        <f aca="false">$G310+$H310</f>
        <v>0</v>
      </c>
      <c r="J310" s="13" t="n">
        <f aca="false">SUMIFS('Issue Log'!$E$5:$E$6000,'Issue Log'!$B$5:$B$6000,$A310)</f>
        <v>0</v>
      </c>
      <c r="K310" s="13" t="n">
        <f aca="false">$F310+$I310-$J310</f>
        <v>7</v>
      </c>
      <c r="L310" s="13" t="n">
        <f aca="false">$K310*$E310</f>
        <v>126</v>
      </c>
    </row>
    <row r="311" customFormat="false" ht="15" hidden="false" customHeight="true" outlineLevel="0" collapsed="false">
      <c r="A311" s="12" t="s">
        <v>1115</v>
      </c>
      <c r="B311" s="12" t="s">
        <v>1116</v>
      </c>
      <c r="C311" s="12" t="s">
        <v>127</v>
      </c>
      <c r="D311" s="12" t="s">
        <v>246</v>
      </c>
      <c r="E311" s="13" t="n">
        <v>20.8333333333333</v>
      </c>
      <c r="F311" s="13" t="n">
        <v>466</v>
      </c>
      <c r="G311" s="13" t="n">
        <f aca="false">SUMIFS('Expense Entry'!$H$5:$H$6000,'Expense Entry'!$E$5:$E$6000,"Inventory Purchase",'Expense Entry'!$F$5:$F$6000,$A311)</f>
        <v>0</v>
      </c>
      <c r="H311" s="13" t="n">
        <f aca="false">SUMIFS('Purchase Orders'!$F$5:$F$3000,'Purchase Orders'!$L$5:$L$3000,"Received",'Purchase Orders'!$D$5:$D$3000,$A311)</f>
        <v>0</v>
      </c>
      <c r="I311" s="13" t="n">
        <f aca="false">$G311+$H311</f>
        <v>0</v>
      </c>
      <c r="J311" s="13" t="n">
        <f aca="false">SUMIFS('Issue Log'!$E$5:$E$6000,'Issue Log'!$B$5:$B$6000,$A311)</f>
        <v>0</v>
      </c>
      <c r="K311" s="13" t="n">
        <f aca="false">$F311+$I311-$J311</f>
        <v>466</v>
      </c>
      <c r="L311" s="13" t="n">
        <f aca="false">$K311*$E311</f>
        <v>9708.33333333332</v>
      </c>
    </row>
    <row r="312" customFormat="false" ht="15" hidden="false" customHeight="true" outlineLevel="0" collapsed="false">
      <c r="A312" s="12" t="s">
        <v>1117</v>
      </c>
      <c r="B312" s="12" t="s">
        <v>1118</v>
      </c>
      <c r="C312" s="12" t="s">
        <v>127</v>
      </c>
      <c r="D312" s="12" t="s">
        <v>246</v>
      </c>
      <c r="E312" s="13" t="n">
        <v>100</v>
      </c>
      <c r="F312" s="13" t="n">
        <v>0</v>
      </c>
      <c r="G312" s="13" t="n">
        <f aca="false">SUMIFS('Expense Entry'!$H$5:$H$6000,'Expense Entry'!$E$5:$E$6000,"Inventory Purchase",'Expense Entry'!$F$5:$F$6000,$A312)</f>
        <v>0</v>
      </c>
      <c r="H312" s="13" t="n">
        <f aca="false">SUMIFS('Purchase Orders'!$F$5:$F$3000,'Purchase Orders'!$L$5:$L$3000,"Received",'Purchase Orders'!$D$5:$D$3000,$A312)</f>
        <v>0</v>
      </c>
      <c r="I312" s="13" t="n">
        <f aca="false">$G312+$H312</f>
        <v>0</v>
      </c>
      <c r="J312" s="13" t="n">
        <f aca="false">SUMIFS('Issue Log'!$E$5:$E$6000,'Issue Log'!$B$5:$B$6000,$A312)</f>
        <v>0</v>
      </c>
      <c r="K312" s="13" t="n">
        <f aca="false">$F312+$I312-$J312</f>
        <v>0</v>
      </c>
      <c r="L312" s="13" t="n">
        <f aca="false">$K312*$E312</f>
        <v>0</v>
      </c>
    </row>
    <row r="313" customFormat="false" ht="15" hidden="false" customHeight="true" outlineLevel="0" collapsed="false">
      <c r="A313" s="12" t="s">
        <v>1121</v>
      </c>
      <c r="B313" s="12" t="s">
        <v>1122</v>
      </c>
      <c r="C313" s="12" t="s">
        <v>127</v>
      </c>
      <c r="D313" s="12" t="s">
        <v>246</v>
      </c>
      <c r="E313" s="13" t="n">
        <v>300</v>
      </c>
      <c r="F313" s="13" t="n">
        <v>0</v>
      </c>
      <c r="G313" s="13" t="n">
        <f aca="false">SUMIFS('Expense Entry'!$H$5:$H$6000,'Expense Entry'!$E$5:$E$6000,"Inventory Purchase",'Expense Entry'!$F$5:$F$6000,$A313)</f>
        <v>0</v>
      </c>
      <c r="H313" s="13" t="n">
        <f aca="false">SUMIFS('Purchase Orders'!$F$5:$F$3000,'Purchase Orders'!$L$5:$L$3000,"Received",'Purchase Orders'!$D$5:$D$3000,$A313)</f>
        <v>0</v>
      </c>
      <c r="I313" s="13" t="n">
        <f aca="false">$G313+$H313</f>
        <v>0</v>
      </c>
      <c r="J313" s="13" t="n">
        <f aca="false">SUMIFS('Issue Log'!$E$5:$E$6000,'Issue Log'!$B$5:$B$6000,$A313)</f>
        <v>0</v>
      </c>
      <c r="K313" s="13" t="n">
        <f aca="false">$F313+$I313-$J313</f>
        <v>0</v>
      </c>
      <c r="L313" s="13" t="n">
        <f aca="false">$K313*$E313</f>
        <v>0</v>
      </c>
    </row>
    <row r="314" customFormat="false" ht="15" hidden="false" customHeight="true" outlineLevel="0" collapsed="false">
      <c r="A314" s="12" t="s">
        <v>1123</v>
      </c>
      <c r="B314" s="12" t="s">
        <v>1124</v>
      </c>
      <c r="C314" s="12" t="s">
        <v>127</v>
      </c>
      <c r="D314" s="12" t="s">
        <v>246</v>
      </c>
      <c r="E314" s="13" t="n">
        <v>310</v>
      </c>
      <c r="F314" s="13" t="n">
        <v>0</v>
      </c>
      <c r="G314" s="13" t="n">
        <f aca="false">SUMIFS('Expense Entry'!$H$5:$H$6000,'Expense Entry'!$E$5:$E$6000,"Inventory Purchase",'Expense Entry'!$F$5:$F$6000,$A314)</f>
        <v>0</v>
      </c>
      <c r="H314" s="13" t="n">
        <f aca="false">SUMIFS('Purchase Orders'!$F$5:$F$3000,'Purchase Orders'!$L$5:$L$3000,"Received",'Purchase Orders'!$D$5:$D$3000,$A314)</f>
        <v>0</v>
      </c>
      <c r="I314" s="13" t="n">
        <f aca="false">$G314+$H314</f>
        <v>0</v>
      </c>
      <c r="J314" s="13" t="n">
        <f aca="false">SUMIFS('Issue Log'!$E$5:$E$6000,'Issue Log'!$B$5:$B$6000,$A314)</f>
        <v>0</v>
      </c>
      <c r="K314" s="13" t="n">
        <f aca="false">$F314+$I314-$J314</f>
        <v>0</v>
      </c>
      <c r="L314" s="13" t="n">
        <f aca="false">$K314*$E314</f>
        <v>0</v>
      </c>
    </row>
    <row r="315" customFormat="false" ht="15" hidden="false" customHeight="true" outlineLevel="0" collapsed="false">
      <c r="A315" s="12" t="s">
        <v>1126</v>
      </c>
      <c r="B315" s="12" t="s">
        <v>1127</v>
      </c>
      <c r="C315" s="12" t="s">
        <v>127</v>
      </c>
      <c r="D315" s="12" t="s">
        <v>246</v>
      </c>
      <c r="E315" s="13" t="n">
        <v>100</v>
      </c>
      <c r="F315" s="13" t="n">
        <v>2</v>
      </c>
      <c r="G315" s="13" t="n">
        <f aca="false">SUMIFS('Expense Entry'!$H$5:$H$6000,'Expense Entry'!$E$5:$E$6000,"Inventory Purchase",'Expense Entry'!$F$5:$F$6000,$A315)</f>
        <v>0</v>
      </c>
      <c r="H315" s="13" t="n">
        <f aca="false">SUMIFS('Purchase Orders'!$F$5:$F$3000,'Purchase Orders'!$L$5:$L$3000,"Received",'Purchase Orders'!$D$5:$D$3000,$A315)</f>
        <v>0</v>
      </c>
      <c r="I315" s="13" t="n">
        <f aca="false">$G315+$H315</f>
        <v>0</v>
      </c>
      <c r="J315" s="13" t="n">
        <f aca="false">SUMIFS('Issue Log'!$E$5:$E$6000,'Issue Log'!$B$5:$B$6000,$A315)</f>
        <v>0</v>
      </c>
      <c r="K315" s="13" t="n">
        <f aca="false">$F315+$I315-$J315</f>
        <v>2</v>
      </c>
      <c r="L315" s="13" t="n">
        <f aca="false">$K315*$E315</f>
        <v>200</v>
      </c>
    </row>
    <row r="316" customFormat="false" ht="15" hidden="false" customHeight="true" outlineLevel="0" collapsed="false">
      <c r="A316" s="12" t="s">
        <v>1128</v>
      </c>
      <c r="B316" s="12" t="s">
        <v>1129</v>
      </c>
      <c r="C316" s="12" t="s">
        <v>127</v>
      </c>
      <c r="D316" s="12" t="s">
        <v>246</v>
      </c>
      <c r="E316" s="13" t="n">
        <v>60</v>
      </c>
      <c r="F316" s="13" t="n">
        <v>54</v>
      </c>
      <c r="G316" s="13" t="n">
        <f aca="false">SUMIFS('Expense Entry'!$H$5:$H$6000,'Expense Entry'!$E$5:$E$6000,"Inventory Purchase",'Expense Entry'!$F$5:$F$6000,$A316)</f>
        <v>0</v>
      </c>
      <c r="H316" s="13" t="n">
        <f aca="false">SUMIFS('Purchase Orders'!$F$5:$F$3000,'Purchase Orders'!$L$5:$L$3000,"Received",'Purchase Orders'!$D$5:$D$3000,$A316)</f>
        <v>0</v>
      </c>
      <c r="I316" s="13" t="n">
        <f aca="false">$G316+$H316</f>
        <v>0</v>
      </c>
      <c r="J316" s="13" t="n">
        <f aca="false">SUMIFS('Issue Log'!$E$5:$E$6000,'Issue Log'!$B$5:$B$6000,$A316)</f>
        <v>0</v>
      </c>
      <c r="K316" s="13" t="n">
        <f aca="false">$F316+$I316-$J316</f>
        <v>54</v>
      </c>
      <c r="L316" s="13" t="n">
        <f aca="false">$K316*$E316</f>
        <v>3240</v>
      </c>
    </row>
    <row r="317" customFormat="false" ht="15" hidden="false" customHeight="true" outlineLevel="0" collapsed="false">
      <c r="A317" s="12" t="s">
        <v>1131</v>
      </c>
      <c r="B317" s="12" t="s">
        <v>1132</v>
      </c>
      <c r="C317" s="12" t="s">
        <v>127</v>
      </c>
      <c r="D317" s="12" t="s">
        <v>246</v>
      </c>
      <c r="E317" s="13" t="n">
        <v>70</v>
      </c>
      <c r="F317" s="13" t="n">
        <v>0</v>
      </c>
      <c r="G317" s="13" t="n">
        <f aca="false">SUMIFS('Expense Entry'!$H$5:$H$6000,'Expense Entry'!$E$5:$E$6000,"Inventory Purchase",'Expense Entry'!$F$5:$F$6000,$A317)</f>
        <v>0</v>
      </c>
      <c r="H317" s="13" t="n">
        <f aca="false">SUMIFS('Purchase Orders'!$F$5:$F$3000,'Purchase Orders'!$L$5:$L$3000,"Received",'Purchase Orders'!$D$5:$D$3000,$A317)</f>
        <v>0</v>
      </c>
      <c r="I317" s="13" t="n">
        <f aca="false">$G317+$H317</f>
        <v>0</v>
      </c>
      <c r="J317" s="13" t="n">
        <f aca="false">SUMIFS('Issue Log'!$E$5:$E$6000,'Issue Log'!$B$5:$B$6000,$A317)</f>
        <v>0</v>
      </c>
      <c r="K317" s="13" t="n">
        <f aca="false">$F317+$I317-$J317</f>
        <v>0</v>
      </c>
      <c r="L317" s="13" t="n">
        <f aca="false">$K317*$E317</f>
        <v>0</v>
      </c>
    </row>
    <row r="318" customFormat="false" ht="15" hidden="false" customHeight="true" outlineLevel="0" collapsed="false">
      <c r="A318" s="12" t="s">
        <v>1134</v>
      </c>
      <c r="B318" s="12" t="s">
        <v>1135</v>
      </c>
      <c r="C318" s="12" t="s">
        <v>127</v>
      </c>
      <c r="D318" s="12" t="s">
        <v>246</v>
      </c>
      <c r="E318" s="13" t="n">
        <v>130</v>
      </c>
      <c r="F318" s="13" t="n">
        <v>0</v>
      </c>
      <c r="G318" s="13" t="n">
        <f aca="false">SUMIFS('Expense Entry'!$H$5:$H$6000,'Expense Entry'!$E$5:$E$6000,"Inventory Purchase",'Expense Entry'!$F$5:$F$6000,$A318)</f>
        <v>0</v>
      </c>
      <c r="H318" s="13" t="n">
        <f aca="false">SUMIFS('Purchase Orders'!$F$5:$F$3000,'Purchase Orders'!$L$5:$L$3000,"Received",'Purchase Orders'!$D$5:$D$3000,$A318)</f>
        <v>0</v>
      </c>
      <c r="I318" s="13" t="n">
        <f aca="false">$G318+$H318</f>
        <v>0</v>
      </c>
      <c r="J318" s="13" t="n">
        <f aca="false">SUMIFS('Issue Log'!$E$5:$E$6000,'Issue Log'!$B$5:$B$6000,$A318)</f>
        <v>0</v>
      </c>
      <c r="K318" s="13" t="n">
        <f aca="false">$F318+$I318-$J318</f>
        <v>0</v>
      </c>
      <c r="L318" s="13" t="n">
        <f aca="false">$K318*$E318</f>
        <v>0</v>
      </c>
    </row>
    <row r="319" customFormat="false" ht="15" hidden="false" customHeight="true" outlineLevel="0" collapsed="false">
      <c r="A319" s="12" t="s">
        <v>1137</v>
      </c>
      <c r="B319" s="12" t="s">
        <v>1138</v>
      </c>
      <c r="C319" s="12" t="s">
        <v>127</v>
      </c>
      <c r="D319" s="12" t="s">
        <v>246</v>
      </c>
      <c r="E319" s="13" t="n">
        <v>500</v>
      </c>
      <c r="F319" s="13" t="n">
        <v>2</v>
      </c>
      <c r="G319" s="13" t="n">
        <f aca="false">SUMIFS('Expense Entry'!$H$5:$H$6000,'Expense Entry'!$E$5:$E$6000,"Inventory Purchase",'Expense Entry'!$F$5:$F$6000,$A319)</f>
        <v>0</v>
      </c>
      <c r="H319" s="13" t="n">
        <f aca="false">SUMIFS('Purchase Orders'!$F$5:$F$3000,'Purchase Orders'!$L$5:$L$3000,"Received",'Purchase Orders'!$D$5:$D$3000,$A319)</f>
        <v>0</v>
      </c>
      <c r="I319" s="13" t="n">
        <f aca="false">$G319+$H319</f>
        <v>0</v>
      </c>
      <c r="J319" s="13" t="n">
        <f aca="false">SUMIFS('Issue Log'!$E$5:$E$6000,'Issue Log'!$B$5:$B$6000,$A319)</f>
        <v>0</v>
      </c>
      <c r="K319" s="13" t="n">
        <f aca="false">$F319+$I319-$J319</f>
        <v>2</v>
      </c>
      <c r="L319" s="13" t="n">
        <f aca="false">$K319*$E319</f>
        <v>1000</v>
      </c>
    </row>
    <row r="320" customFormat="false" ht="15" hidden="false" customHeight="true" outlineLevel="0" collapsed="false">
      <c r="A320" s="12" t="s">
        <v>1140</v>
      </c>
      <c r="B320" s="12" t="s">
        <v>1141</v>
      </c>
      <c r="C320" s="12" t="s">
        <v>127</v>
      </c>
      <c r="D320" s="12" t="s">
        <v>246</v>
      </c>
      <c r="E320" s="13" t="n">
        <v>470</v>
      </c>
      <c r="F320" s="13" t="n">
        <v>0</v>
      </c>
      <c r="G320" s="13" t="n">
        <f aca="false">SUMIFS('Expense Entry'!$H$5:$H$6000,'Expense Entry'!$E$5:$E$6000,"Inventory Purchase",'Expense Entry'!$F$5:$F$6000,$A320)</f>
        <v>0</v>
      </c>
      <c r="H320" s="13" t="n">
        <f aca="false">SUMIFS('Purchase Orders'!$F$5:$F$3000,'Purchase Orders'!$L$5:$L$3000,"Received",'Purchase Orders'!$D$5:$D$3000,$A320)</f>
        <v>0</v>
      </c>
      <c r="I320" s="13" t="n">
        <f aca="false">$G320+$H320</f>
        <v>0</v>
      </c>
      <c r="J320" s="13" t="n">
        <f aca="false">SUMIFS('Issue Log'!$E$5:$E$6000,'Issue Log'!$B$5:$B$6000,$A320)</f>
        <v>0</v>
      </c>
      <c r="K320" s="13" t="n">
        <f aca="false">$F320+$I320-$J320</f>
        <v>0</v>
      </c>
      <c r="L320" s="13" t="n">
        <f aca="false">$K320*$E320</f>
        <v>0</v>
      </c>
    </row>
    <row r="321" customFormat="false" ht="15" hidden="false" customHeight="true" outlineLevel="0" collapsed="false">
      <c r="A321" s="12" t="s">
        <v>1143</v>
      </c>
      <c r="B321" s="12" t="s">
        <v>1144</v>
      </c>
      <c r="C321" s="12" t="s">
        <v>127</v>
      </c>
      <c r="D321" s="12" t="s">
        <v>267</v>
      </c>
      <c r="E321" s="13" t="n">
        <v>400</v>
      </c>
      <c r="F321" s="13" t="n">
        <v>0</v>
      </c>
      <c r="G321" s="13" t="n">
        <f aca="false">SUMIFS('Expense Entry'!$H$5:$H$6000,'Expense Entry'!$E$5:$E$6000,"Inventory Purchase",'Expense Entry'!$F$5:$F$6000,$A321)</f>
        <v>0</v>
      </c>
      <c r="H321" s="13" t="n">
        <f aca="false">SUMIFS('Purchase Orders'!$F$5:$F$3000,'Purchase Orders'!$L$5:$L$3000,"Received",'Purchase Orders'!$D$5:$D$3000,$A321)</f>
        <v>0</v>
      </c>
      <c r="I321" s="13" t="n">
        <f aca="false">$G321+$H321</f>
        <v>0</v>
      </c>
      <c r="J321" s="13" t="n">
        <f aca="false">SUMIFS('Issue Log'!$E$5:$E$6000,'Issue Log'!$B$5:$B$6000,$A321)</f>
        <v>0</v>
      </c>
      <c r="K321" s="13" t="n">
        <f aca="false">$F321+$I321-$J321</f>
        <v>0</v>
      </c>
      <c r="L321" s="13" t="n">
        <f aca="false">$K321*$E321</f>
        <v>0</v>
      </c>
    </row>
    <row r="322" customFormat="false" ht="15" hidden="false" customHeight="true" outlineLevel="0" collapsed="false">
      <c r="A322" s="12" t="s">
        <v>1145</v>
      </c>
      <c r="B322" s="12" t="s">
        <v>1146</v>
      </c>
      <c r="C322" s="12" t="s">
        <v>127</v>
      </c>
      <c r="D322" s="12" t="s">
        <v>246</v>
      </c>
      <c r="E322" s="13" t="n">
        <v>220</v>
      </c>
      <c r="F322" s="13" t="n">
        <v>0</v>
      </c>
      <c r="G322" s="13" t="n">
        <f aca="false">SUMIFS('Expense Entry'!$H$5:$H$6000,'Expense Entry'!$E$5:$E$6000,"Inventory Purchase",'Expense Entry'!$F$5:$F$6000,$A322)</f>
        <v>0</v>
      </c>
      <c r="H322" s="13" t="n">
        <f aca="false">SUMIFS('Purchase Orders'!$F$5:$F$3000,'Purchase Orders'!$L$5:$L$3000,"Received",'Purchase Orders'!$D$5:$D$3000,$A322)</f>
        <v>0</v>
      </c>
      <c r="I322" s="13" t="n">
        <f aca="false">$G322+$H322</f>
        <v>0</v>
      </c>
      <c r="J322" s="13" t="n">
        <f aca="false">SUMIFS('Issue Log'!$E$5:$E$6000,'Issue Log'!$B$5:$B$6000,$A322)</f>
        <v>0</v>
      </c>
      <c r="K322" s="13" t="n">
        <f aca="false">$F322+$I322-$J322</f>
        <v>0</v>
      </c>
      <c r="L322" s="13" t="n">
        <f aca="false">$K322*$E322</f>
        <v>0</v>
      </c>
    </row>
    <row r="323" customFormat="false" ht="15" hidden="false" customHeight="true" outlineLevel="0" collapsed="false">
      <c r="A323" s="12" t="s">
        <v>1148</v>
      </c>
      <c r="B323" s="12" t="s">
        <v>1149</v>
      </c>
      <c r="C323" s="12" t="s">
        <v>127</v>
      </c>
      <c r="D323" s="12" t="s">
        <v>350</v>
      </c>
      <c r="E323" s="13" t="n">
        <v>100</v>
      </c>
      <c r="F323" s="13" t="n">
        <v>0</v>
      </c>
      <c r="G323" s="13" t="n">
        <f aca="false">SUMIFS('Expense Entry'!$H$5:$H$6000,'Expense Entry'!$E$5:$E$6000,"Inventory Purchase",'Expense Entry'!$F$5:$F$6000,$A323)</f>
        <v>0</v>
      </c>
      <c r="H323" s="13" t="n">
        <f aca="false">SUMIFS('Purchase Orders'!$F$5:$F$3000,'Purchase Orders'!$L$5:$L$3000,"Received",'Purchase Orders'!$D$5:$D$3000,$A323)</f>
        <v>0</v>
      </c>
      <c r="I323" s="13" t="n">
        <f aca="false">$G323+$H323</f>
        <v>0</v>
      </c>
      <c r="J323" s="13" t="n">
        <f aca="false">SUMIFS('Issue Log'!$E$5:$E$6000,'Issue Log'!$B$5:$B$6000,$A323)</f>
        <v>0</v>
      </c>
      <c r="K323" s="13" t="n">
        <f aca="false">$F323+$I323-$J323</f>
        <v>0</v>
      </c>
      <c r="L323" s="13" t="n">
        <f aca="false">$K323*$E323</f>
        <v>0</v>
      </c>
    </row>
    <row r="324" customFormat="false" ht="15" hidden="false" customHeight="true" outlineLevel="0" collapsed="false">
      <c r="A324" s="12" t="s">
        <v>1151</v>
      </c>
      <c r="B324" s="12" t="s">
        <v>1152</v>
      </c>
      <c r="C324" s="12" t="s">
        <v>127</v>
      </c>
      <c r="D324" s="12" t="s">
        <v>267</v>
      </c>
      <c r="E324" s="13" t="n">
        <v>375</v>
      </c>
      <c r="F324" s="13" t="n">
        <v>0</v>
      </c>
      <c r="G324" s="13" t="n">
        <f aca="false">SUMIFS('Expense Entry'!$H$5:$H$6000,'Expense Entry'!$E$5:$E$6000,"Inventory Purchase",'Expense Entry'!$F$5:$F$6000,$A324)</f>
        <v>0</v>
      </c>
      <c r="H324" s="13" t="n">
        <f aca="false">SUMIFS('Purchase Orders'!$F$5:$F$3000,'Purchase Orders'!$L$5:$L$3000,"Received",'Purchase Orders'!$D$5:$D$3000,$A324)</f>
        <v>0</v>
      </c>
      <c r="I324" s="13" t="n">
        <f aca="false">$G324+$H324</f>
        <v>0</v>
      </c>
      <c r="J324" s="13" t="n">
        <f aca="false">SUMIFS('Issue Log'!$E$5:$E$6000,'Issue Log'!$B$5:$B$6000,$A324)</f>
        <v>0</v>
      </c>
      <c r="K324" s="13" t="n">
        <f aca="false">$F324+$I324-$J324</f>
        <v>0</v>
      </c>
      <c r="L324" s="13" t="n">
        <f aca="false">$K324*$E324</f>
        <v>0</v>
      </c>
    </row>
    <row r="325" customFormat="false" ht="15" hidden="false" customHeight="true" outlineLevel="0" collapsed="false">
      <c r="A325" s="12" t="s">
        <v>1153</v>
      </c>
      <c r="B325" s="12" t="s">
        <v>1154</v>
      </c>
      <c r="C325" s="12" t="s">
        <v>127</v>
      </c>
      <c r="D325" s="12" t="s">
        <v>246</v>
      </c>
      <c r="E325" s="13" t="n">
        <v>600</v>
      </c>
      <c r="F325" s="13" t="n">
        <v>0</v>
      </c>
      <c r="G325" s="13" t="n">
        <f aca="false">SUMIFS('Expense Entry'!$H$5:$H$6000,'Expense Entry'!$E$5:$E$6000,"Inventory Purchase",'Expense Entry'!$F$5:$F$6000,$A325)</f>
        <v>0</v>
      </c>
      <c r="H325" s="13" t="n">
        <f aca="false">SUMIFS('Purchase Orders'!$F$5:$F$3000,'Purchase Orders'!$L$5:$L$3000,"Received",'Purchase Orders'!$D$5:$D$3000,$A325)</f>
        <v>0</v>
      </c>
      <c r="I325" s="13" t="n">
        <f aca="false">$G325+$H325</f>
        <v>0</v>
      </c>
      <c r="J325" s="13" t="n">
        <f aca="false">SUMIFS('Issue Log'!$E$5:$E$6000,'Issue Log'!$B$5:$B$6000,$A325)</f>
        <v>0</v>
      </c>
      <c r="K325" s="13" t="n">
        <f aca="false">$F325+$I325-$J325</f>
        <v>0</v>
      </c>
      <c r="L325" s="13" t="n">
        <f aca="false">$K325*$E325</f>
        <v>0</v>
      </c>
    </row>
    <row r="326" customFormat="false" ht="15" hidden="false" customHeight="true" outlineLevel="0" collapsed="false">
      <c r="A326" s="12" t="s">
        <v>1155</v>
      </c>
      <c r="B326" s="12" t="s">
        <v>1156</v>
      </c>
      <c r="C326" s="12" t="s">
        <v>132</v>
      </c>
      <c r="D326" s="12" t="s">
        <v>1157</v>
      </c>
      <c r="E326" s="13" t="n">
        <v>2800</v>
      </c>
      <c r="F326" s="13" t="n">
        <v>1</v>
      </c>
      <c r="G326" s="13" t="n">
        <f aca="false">SUMIFS('Expense Entry'!$H$5:$H$6000,'Expense Entry'!$E$5:$E$6000,"Inventory Purchase",'Expense Entry'!$F$5:$F$6000,$A326)</f>
        <v>0</v>
      </c>
      <c r="H326" s="13" t="n">
        <f aca="false">SUMIFS('Purchase Orders'!$F$5:$F$3000,'Purchase Orders'!$L$5:$L$3000,"Received",'Purchase Orders'!$D$5:$D$3000,$A326)</f>
        <v>0</v>
      </c>
      <c r="I326" s="13" t="n">
        <f aca="false">$G326+$H326</f>
        <v>0</v>
      </c>
      <c r="J326" s="13" t="n">
        <f aca="false">SUMIFS('Issue Log'!$E$5:$E$6000,'Issue Log'!$B$5:$B$6000,$A326)</f>
        <v>0</v>
      </c>
      <c r="K326" s="13" t="n">
        <f aca="false">$F326+$I326-$J326</f>
        <v>1</v>
      </c>
      <c r="L326" s="13" t="n">
        <f aca="false">$K326*$E326</f>
        <v>2800</v>
      </c>
    </row>
    <row r="327" customFormat="false" ht="15" hidden="false" customHeight="true" outlineLevel="0" collapsed="false">
      <c r="A327" s="12" t="s">
        <v>1158</v>
      </c>
      <c r="B327" s="12" t="s">
        <v>1159</v>
      </c>
      <c r="C327" s="12" t="s">
        <v>132</v>
      </c>
      <c r="D327" s="12" t="s">
        <v>246</v>
      </c>
      <c r="E327" s="13" t="n">
        <v>5</v>
      </c>
      <c r="F327" s="13" t="n">
        <v>300</v>
      </c>
      <c r="G327" s="13" t="n">
        <f aca="false">SUMIFS('Expense Entry'!$H$5:$H$6000,'Expense Entry'!$E$5:$E$6000,"Inventory Purchase",'Expense Entry'!$F$5:$F$6000,$A327)</f>
        <v>0</v>
      </c>
      <c r="H327" s="13" t="n">
        <f aca="false">SUMIFS('Purchase Orders'!$F$5:$F$3000,'Purchase Orders'!$L$5:$L$3000,"Received",'Purchase Orders'!$D$5:$D$3000,$A327)</f>
        <v>0</v>
      </c>
      <c r="I327" s="13" t="n">
        <f aca="false">$G327+$H327</f>
        <v>0</v>
      </c>
      <c r="J327" s="13" t="n">
        <f aca="false">SUMIFS('Issue Log'!$E$5:$E$6000,'Issue Log'!$B$5:$B$6000,$A327)</f>
        <v>0</v>
      </c>
      <c r="K327" s="13" t="n">
        <f aca="false">$F327+$I327-$J327</f>
        <v>300</v>
      </c>
      <c r="L327" s="13" t="n">
        <f aca="false">$K327*$E327</f>
        <v>1500</v>
      </c>
    </row>
    <row r="328" customFormat="false" ht="15" hidden="false" customHeight="true" outlineLevel="0" collapsed="false">
      <c r="A328" s="12" t="s">
        <v>1161</v>
      </c>
      <c r="B328" s="12" t="s">
        <v>1162</v>
      </c>
      <c r="C328" s="12" t="s">
        <v>127</v>
      </c>
      <c r="D328" s="12" t="s">
        <v>246</v>
      </c>
      <c r="E328" s="13" t="n">
        <v>280</v>
      </c>
      <c r="F328" s="13" t="n">
        <v>0</v>
      </c>
      <c r="G328" s="13" t="n">
        <f aca="false">SUMIFS('Expense Entry'!$H$5:$H$6000,'Expense Entry'!$E$5:$E$6000,"Inventory Purchase",'Expense Entry'!$F$5:$F$6000,$A328)</f>
        <v>0</v>
      </c>
      <c r="H328" s="13" t="n">
        <f aca="false">SUMIFS('Purchase Orders'!$F$5:$F$3000,'Purchase Orders'!$L$5:$L$3000,"Received",'Purchase Orders'!$D$5:$D$3000,$A328)</f>
        <v>0</v>
      </c>
      <c r="I328" s="13" t="n">
        <f aca="false">$G328+$H328</f>
        <v>0</v>
      </c>
      <c r="J328" s="13" t="n">
        <f aca="false">SUMIFS('Issue Log'!$E$5:$E$6000,'Issue Log'!$B$5:$B$6000,$A328)</f>
        <v>0</v>
      </c>
      <c r="K328" s="13" t="n">
        <f aca="false">$F328+$I328-$J328</f>
        <v>0</v>
      </c>
      <c r="L328" s="13" t="n">
        <f aca="false">$K328*$E328</f>
        <v>0</v>
      </c>
    </row>
    <row r="329" customFormat="false" ht="15" hidden="false" customHeight="true" outlineLevel="0" collapsed="false">
      <c r="A329" s="12" t="s">
        <v>1165</v>
      </c>
      <c r="B329" s="12" t="s">
        <v>1166</v>
      </c>
      <c r="C329" s="12" t="s">
        <v>128</v>
      </c>
      <c r="D329" s="12" t="s">
        <v>246</v>
      </c>
      <c r="E329" s="13" t="n">
        <v>350</v>
      </c>
      <c r="F329" s="13" t="n">
        <v>0</v>
      </c>
      <c r="G329" s="13" t="n">
        <f aca="false">SUMIFS('Expense Entry'!$H$5:$H$6000,'Expense Entry'!$E$5:$E$6000,"Inventory Purchase",'Expense Entry'!$F$5:$F$6000,$A329)</f>
        <v>0</v>
      </c>
      <c r="H329" s="13" t="n">
        <f aca="false">SUMIFS('Purchase Orders'!$F$5:$F$3000,'Purchase Orders'!$L$5:$L$3000,"Received",'Purchase Orders'!$D$5:$D$3000,$A329)</f>
        <v>0</v>
      </c>
      <c r="I329" s="13" t="n">
        <f aca="false">$G329+$H329</f>
        <v>0</v>
      </c>
      <c r="J329" s="13" t="n">
        <f aca="false">SUMIFS('Issue Log'!$E$5:$E$6000,'Issue Log'!$B$5:$B$6000,$A329)</f>
        <v>0</v>
      </c>
      <c r="K329" s="13" t="n">
        <f aca="false">$F329+$I329-$J329</f>
        <v>0</v>
      </c>
      <c r="L329" s="13" t="n">
        <f aca="false">$K329*$E329</f>
        <v>0</v>
      </c>
    </row>
    <row r="330" customFormat="false" ht="15" hidden="false" customHeight="true" outlineLevel="0" collapsed="false">
      <c r="A330" s="12" t="s">
        <v>1168</v>
      </c>
      <c r="B330" s="12" t="s">
        <v>640</v>
      </c>
      <c r="C330" s="12" t="s">
        <v>133</v>
      </c>
      <c r="D330" s="12" t="s">
        <v>267</v>
      </c>
      <c r="E330" s="13" t="n">
        <v>220</v>
      </c>
      <c r="F330" s="13" t="n">
        <v>20</v>
      </c>
      <c r="G330" s="13" t="n">
        <f aca="false">SUMIFS('Expense Entry'!$H$5:$H$6000,'Expense Entry'!$E$5:$E$6000,"Inventory Purchase",'Expense Entry'!$F$5:$F$6000,$A330)</f>
        <v>0</v>
      </c>
      <c r="H330" s="13" t="n">
        <f aca="false">SUMIFS('Purchase Orders'!$F$5:$F$3000,'Purchase Orders'!$L$5:$L$3000,"Received",'Purchase Orders'!$D$5:$D$3000,$A330)</f>
        <v>0</v>
      </c>
      <c r="I330" s="13" t="n">
        <f aca="false">$G330+$H330</f>
        <v>0</v>
      </c>
      <c r="J330" s="13" t="n">
        <f aca="false">SUMIFS('Issue Log'!$E$5:$E$6000,'Issue Log'!$B$5:$B$6000,$A330)</f>
        <v>0</v>
      </c>
      <c r="K330" s="13" t="n">
        <f aca="false">$F330+$I330-$J330</f>
        <v>20</v>
      </c>
      <c r="L330" s="13" t="n">
        <f aca="false">$K330*$E330</f>
        <v>4400</v>
      </c>
    </row>
    <row r="331" customFormat="false" ht="15" hidden="false" customHeight="true" outlineLevel="0" collapsed="false">
      <c r="A331" s="12" t="s">
        <v>1171</v>
      </c>
      <c r="B331" s="12" t="s">
        <v>579</v>
      </c>
      <c r="C331" s="12" t="s">
        <v>133</v>
      </c>
      <c r="D331" s="12" t="s">
        <v>246</v>
      </c>
      <c r="E331" s="13" t="n">
        <v>95</v>
      </c>
      <c r="F331" s="13" t="n">
        <v>0</v>
      </c>
      <c r="G331" s="13" t="n">
        <f aca="false">SUMIFS('Expense Entry'!$H$5:$H$6000,'Expense Entry'!$E$5:$E$6000,"Inventory Purchase",'Expense Entry'!$F$5:$F$6000,$A331)</f>
        <v>0</v>
      </c>
      <c r="H331" s="13" t="n">
        <f aca="false">SUMIFS('Purchase Orders'!$F$5:$F$3000,'Purchase Orders'!$L$5:$L$3000,"Received",'Purchase Orders'!$D$5:$D$3000,$A331)</f>
        <v>0</v>
      </c>
      <c r="I331" s="13" t="n">
        <f aca="false">$G331+$H331</f>
        <v>0</v>
      </c>
      <c r="J331" s="13" t="n">
        <f aca="false">SUMIFS('Issue Log'!$E$5:$E$6000,'Issue Log'!$B$5:$B$6000,$A331)</f>
        <v>0</v>
      </c>
      <c r="K331" s="13" t="n">
        <f aca="false">$F331+$I331-$J331</f>
        <v>0</v>
      </c>
      <c r="L331" s="13" t="n">
        <f aca="false">$K331*$E331</f>
        <v>0</v>
      </c>
    </row>
    <row r="332" customFormat="false" ht="15" hidden="false" customHeight="true" outlineLevel="0" collapsed="false">
      <c r="A332" s="12" t="s">
        <v>1173</v>
      </c>
      <c r="B332" s="12" t="s">
        <v>1174</v>
      </c>
      <c r="C332" s="12" t="s">
        <v>133</v>
      </c>
      <c r="D332" s="12" t="s">
        <v>267</v>
      </c>
      <c r="E332" s="13" t="n">
        <v>180</v>
      </c>
      <c r="F332" s="13" t="n">
        <v>0</v>
      </c>
      <c r="G332" s="13" t="n">
        <f aca="false">SUMIFS('Expense Entry'!$H$5:$H$6000,'Expense Entry'!$E$5:$E$6000,"Inventory Purchase",'Expense Entry'!$F$5:$F$6000,$A332)</f>
        <v>0</v>
      </c>
      <c r="H332" s="13" t="n">
        <f aca="false">SUMIFS('Purchase Orders'!$F$5:$F$3000,'Purchase Orders'!$L$5:$L$3000,"Received",'Purchase Orders'!$D$5:$D$3000,$A332)</f>
        <v>0</v>
      </c>
      <c r="I332" s="13" t="n">
        <f aca="false">$G332+$H332</f>
        <v>0</v>
      </c>
      <c r="J332" s="13" t="n">
        <f aca="false">SUMIFS('Issue Log'!$E$5:$E$6000,'Issue Log'!$B$5:$B$6000,$A332)</f>
        <v>0</v>
      </c>
      <c r="K332" s="13" t="n">
        <f aca="false">$F332+$I332-$J332</f>
        <v>0</v>
      </c>
      <c r="L332" s="13" t="n">
        <f aca="false">$K332*$E332</f>
        <v>0</v>
      </c>
    </row>
    <row r="333" customFormat="false" ht="15" hidden="false" customHeight="true" outlineLevel="0" collapsed="false">
      <c r="A333" s="12" t="s">
        <v>1176</v>
      </c>
      <c r="B333" s="12" t="s">
        <v>1177</v>
      </c>
      <c r="C333" s="12" t="s">
        <v>133</v>
      </c>
      <c r="D333" s="12" t="s">
        <v>267</v>
      </c>
      <c r="E333" s="13" t="n">
        <v>250</v>
      </c>
      <c r="F333" s="13" t="n">
        <v>6</v>
      </c>
      <c r="G333" s="13" t="n">
        <f aca="false">SUMIFS('Expense Entry'!$H$5:$H$6000,'Expense Entry'!$E$5:$E$6000,"Inventory Purchase",'Expense Entry'!$F$5:$F$6000,$A333)</f>
        <v>0</v>
      </c>
      <c r="H333" s="13" t="n">
        <f aca="false">SUMIFS('Purchase Orders'!$F$5:$F$3000,'Purchase Orders'!$L$5:$L$3000,"Received",'Purchase Orders'!$D$5:$D$3000,$A333)</f>
        <v>0</v>
      </c>
      <c r="I333" s="13" t="n">
        <f aca="false">$G333+$H333</f>
        <v>0</v>
      </c>
      <c r="J333" s="13" t="n">
        <f aca="false">SUMIFS('Issue Log'!$E$5:$E$6000,'Issue Log'!$B$5:$B$6000,$A333)</f>
        <v>0</v>
      </c>
      <c r="K333" s="13" t="n">
        <f aca="false">$F333+$I333-$J333</f>
        <v>6</v>
      </c>
      <c r="L333" s="13" t="n">
        <f aca="false">$K333*$E333</f>
        <v>1500</v>
      </c>
    </row>
    <row r="334" customFormat="false" ht="15" hidden="false" customHeight="true" outlineLevel="0" collapsed="false">
      <c r="A334" s="12" t="s">
        <v>1180</v>
      </c>
      <c r="B334" s="12" t="s">
        <v>1181</v>
      </c>
      <c r="C334" s="12" t="s">
        <v>133</v>
      </c>
      <c r="D334" s="12" t="s">
        <v>267</v>
      </c>
      <c r="E334" s="13" t="n">
        <v>0</v>
      </c>
      <c r="F334" s="13" t="n">
        <v>0</v>
      </c>
      <c r="G334" s="13" t="n">
        <f aca="false">SUMIFS('Expense Entry'!$H$5:$H$6000,'Expense Entry'!$E$5:$E$6000,"Inventory Purchase",'Expense Entry'!$F$5:$F$6000,$A334)</f>
        <v>0</v>
      </c>
      <c r="H334" s="13" t="n">
        <f aca="false">SUMIFS('Purchase Orders'!$F$5:$F$3000,'Purchase Orders'!$L$5:$L$3000,"Received",'Purchase Orders'!$D$5:$D$3000,$A334)</f>
        <v>0</v>
      </c>
      <c r="I334" s="13" t="n">
        <f aca="false">$G334+$H334</f>
        <v>0</v>
      </c>
      <c r="J334" s="13" t="n">
        <f aca="false">SUMIFS('Issue Log'!$E$5:$E$6000,'Issue Log'!$B$5:$B$6000,$A334)</f>
        <v>0</v>
      </c>
      <c r="K334" s="13" t="n">
        <f aca="false">$F334+$I334-$J334</f>
        <v>0</v>
      </c>
      <c r="L334" s="13" t="n">
        <f aca="false">$K334*$E334</f>
        <v>0</v>
      </c>
    </row>
    <row r="335" customFormat="false" ht="15" hidden="false" customHeight="true" outlineLevel="0" collapsed="false">
      <c r="A335" s="12" t="s">
        <v>1183</v>
      </c>
      <c r="B335" s="12" t="s">
        <v>1184</v>
      </c>
      <c r="C335" s="12" t="s">
        <v>133</v>
      </c>
      <c r="D335" s="12" t="s">
        <v>267</v>
      </c>
      <c r="E335" s="13" t="n">
        <v>330</v>
      </c>
      <c r="F335" s="13" t="n">
        <v>13</v>
      </c>
      <c r="G335" s="13" t="n">
        <f aca="false">SUMIFS('Expense Entry'!$H$5:$H$6000,'Expense Entry'!$E$5:$E$6000,"Inventory Purchase",'Expense Entry'!$F$5:$F$6000,$A335)</f>
        <v>0</v>
      </c>
      <c r="H335" s="13" t="n">
        <f aca="false">SUMIFS('Purchase Orders'!$F$5:$F$3000,'Purchase Orders'!$L$5:$L$3000,"Received",'Purchase Orders'!$D$5:$D$3000,$A335)</f>
        <v>0</v>
      </c>
      <c r="I335" s="13" t="n">
        <f aca="false">$G335+$H335</f>
        <v>0</v>
      </c>
      <c r="J335" s="13" t="n">
        <f aca="false">SUMIFS('Issue Log'!$E$5:$E$6000,'Issue Log'!$B$5:$B$6000,$A335)</f>
        <v>0</v>
      </c>
      <c r="K335" s="13" t="n">
        <f aca="false">$F335+$I335-$J335</f>
        <v>13</v>
      </c>
      <c r="L335" s="13" t="n">
        <f aca="false">$K335*$E335</f>
        <v>4290</v>
      </c>
    </row>
    <row r="336" customFormat="false" ht="15" hidden="false" customHeight="true" outlineLevel="0" collapsed="false">
      <c r="A336" s="12" t="s">
        <v>1185</v>
      </c>
      <c r="B336" s="12" t="s">
        <v>1186</v>
      </c>
      <c r="C336" s="12" t="s">
        <v>133</v>
      </c>
      <c r="D336" s="12" t="s">
        <v>241</v>
      </c>
      <c r="E336" s="13" t="n">
        <v>200</v>
      </c>
      <c r="F336" s="13" t="n">
        <v>0</v>
      </c>
      <c r="G336" s="13" t="n">
        <f aca="false">SUMIFS('Expense Entry'!$H$5:$H$6000,'Expense Entry'!$E$5:$E$6000,"Inventory Purchase",'Expense Entry'!$F$5:$F$6000,$A336)</f>
        <v>0</v>
      </c>
      <c r="H336" s="13" t="n">
        <f aca="false">SUMIFS('Purchase Orders'!$F$5:$F$3000,'Purchase Orders'!$L$5:$L$3000,"Received",'Purchase Orders'!$D$5:$D$3000,$A336)</f>
        <v>0</v>
      </c>
      <c r="I336" s="13" t="n">
        <f aca="false">$G336+$H336</f>
        <v>0</v>
      </c>
      <c r="J336" s="13" t="n">
        <f aca="false">SUMIFS('Issue Log'!$E$5:$E$6000,'Issue Log'!$B$5:$B$6000,$A336)</f>
        <v>0</v>
      </c>
      <c r="K336" s="13" t="n">
        <f aca="false">$F336+$I336-$J336</f>
        <v>0</v>
      </c>
      <c r="L336" s="13" t="n">
        <f aca="false">$K336*$E336</f>
        <v>0</v>
      </c>
    </row>
    <row r="337" customFormat="false" ht="15" hidden="false" customHeight="true" outlineLevel="0" collapsed="false">
      <c r="A337" s="12" t="s">
        <v>1188</v>
      </c>
      <c r="B337" s="12" t="s">
        <v>1189</v>
      </c>
      <c r="C337" s="12" t="s">
        <v>133</v>
      </c>
      <c r="D337" s="12" t="s">
        <v>246</v>
      </c>
      <c r="E337" s="13" t="n">
        <v>50</v>
      </c>
      <c r="F337" s="13" t="n">
        <v>0</v>
      </c>
      <c r="G337" s="13" t="n">
        <f aca="false">SUMIFS('Expense Entry'!$H$5:$H$6000,'Expense Entry'!$E$5:$E$6000,"Inventory Purchase",'Expense Entry'!$F$5:$F$6000,$A337)</f>
        <v>0</v>
      </c>
      <c r="H337" s="13" t="n">
        <f aca="false">SUMIFS('Purchase Orders'!$F$5:$F$3000,'Purchase Orders'!$L$5:$L$3000,"Received",'Purchase Orders'!$D$5:$D$3000,$A337)</f>
        <v>0</v>
      </c>
      <c r="I337" s="13" t="n">
        <f aca="false">$G337+$H337</f>
        <v>0</v>
      </c>
      <c r="J337" s="13" t="n">
        <f aca="false">SUMIFS('Issue Log'!$E$5:$E$6000,'Issue Log'!$B$5:$B$6000,$A337)</f>
        <v>0</v>
      </c>
      <c r="K337" s="13" t="n">
        <f aca="false">$F337+$I337-$J337</f>
        <v>0</v>
      </c>
      <c r="L337" s="13" t="n">
        <f aca="false">$K337*$E337</f>
        <v>0</v>
      </c>
    </row>
    <row r="338" customFormat="false" ht="15" hidden="false" customHeight="true" outlineLevel="0" collapsed="false">
      <c r="A338" s="12" t="s">
        <v>1191</v>
      </c>
      <c r="B338" s="12" t="s">
        <v>1192</v>
      </c>
      <c r="C338" s="12" t="s">
        <v>133</v>
      </c>
      <c r="D338" s="12" t="s">
        <v>246</v>
      </c>
      <c r="E338" s="13" t="n">
        <v>350</v>
      </c>
      <c r="F338" s="13" t="n">
        <v>0</v>
      </c>
      <c r="G338" s="13" t="n">
        <f aca="false">SUMIFS('Expense Entry'!$H$5:$H$6000,'Expense Entry'!$E$5:$E$6000,"Inventory Purchase",'Expense Entry'!$F$5:$F$6000,$A338)</f>
        <v>0</v>
      </c>
      <c r="H338" s="13" t="n">
        <f aca="false">SUMIFS('Purchase Orders'!$F$5:$F$3000,'Purchase Orders'!$L$5:$L$3000,"Received",'Purchase Orders'!$D$5:$D$3000,$A338)</f>
        <v>0</v>
      </c>
      <c r="I338" s="13" t="n">
        <f aca="false">$G338+$H338</f>
        <v>0</v>
      </c>
      <c r="J338" s="13" t="n">
        <f aca="false">SUMIFS('Issue Log'!$E$5:$E$6000,'Issue Log'!$B$5:$B$6000,$A338)</f>
        <v>0</v>
      </c>
      <c r="K338" s="13" t="n">
        <f aca="false">$F338+$I338-$J338</f>
        <v>0</v>
      </c>
      <c r="L338" s="13" t="n">
        <f aca="false">$K338*$E338</f>
        <v>0</v>
      </c>
    </row>
    <row r="339" customFormat="false" ht="15" hidden="false" customHeight="true" outlineLevel="0" collapsed="false">
      <c r="A339" s="12" t="s">
        <v>1195</v>
      </c>
      <c r="B339" s="12" t="s">
        <v>1196</v>
      </c>
      <c r="C339" s="12" t="s">
        <v>133</v>
      </c>
      <c r="D339" s="12" t="s">
        <v>246</v>
      </c>
      <c r="E339" s="13" t="n">
        <v>80</v>
      </c>
      <c r="F339" s="13" t="n">
        <v>0</v>
      </c>
      <c r="G339" s="13" t="n">
        <f aca="false">SUMIFS('Expense Entry'!$H$5:$H$6000,'Expense Entry'!$E$5:$E$6000,"Inventory Purchase",'Expense Entry'!$F$5:$F$6000,$A339)</f>
        <v>0</v>
      </c>
      <c r="H339" s="13" t="n">
        <f aca="false">SUMIFS('Purchase Orders'!$F$5:$F$3000,'Purchase Orders'!$L$5:$L$3000,"Received",'Purchase Orders'!$D$5:$D$3000,$A339)</f>
        <v>0</v>
      </c>
      <c r="I339" s="13" t="n">
        <f aca="false">$G339+$H339</f>
        <v>0</v>
      </c>
      <c r="J339" s="13" t="n">
        <f aca="false">SUMIFS('Issue Log'!$E$5:$E$6000,'Issue Log'!$B$5:$B$6000,$A339)</f>
        <v>0</v>
      </c>
      <c r="K339" s="13" t="n">
        <f aca="false">$F339+$I339-$J339</f>
        <v>0</v>
      </c>
      <c r="L339" s="13" t="n">
        <f aca="false">$K339*$E339</f>
        <v>0</v>
      </c>
    </row>
    <row r="340" customFormat="false" ht="15" hidden="false" customHeight="true" outlineLevel="0" collapsed="false">
      <c r="A340" s="12" t="s">
        <v>1198</v>
      </c>
      <c r="B340" s="12" t="s">
        <v>1199</v>
      </c>
      <c r="C340" s="12" t="s">
        <v>133</v>
      </c>
      <c r="D340" s="12" t="s">
        <v>246</v>
      </c>
      <c r="E340" s="13" t="n">
        <v>5500</v>
      </c>
      <c r="F340" s="13" t="n">
        <v>0</v>
      </c>
      <c r="G340" s="13" t="n">
        <f aca="false">SUMIFS('Expense Entry'!$H$5:$H$6000,'Expense Entry'!$E$5:$E$6000,"Inventory Purchase",'Expense Entry'!$F$5:$F$6000,$A340)</f>
        <v>0</v>
      </c>
      <c r="H340" s="13" t="n">
        <f aca="false">SUMIFS('Purchase Orders'!$F$5:$F$3000,'Purchase Orders'!$L$5:$L$3000,"Received",'Purchase Orders'!$D$5:$D$3000,$A340)</f>
        <v>0</v>
      </c>
      <c r="I340" s="13" t="n">
        <f aca="false">$G340+$H340</f>
        <v>0</v>
      </c>
      <c r="J340" s="13" t="n">
        <f aca="false">SUMIFS('Issue Log'!$E$5:$E$6000,'Issue Log'!$B$5:$B$6000,$A340)</f>
        <v>0</v>
      </c>
      <c r="K340" s="13" t="n">
        <f aca="false">$F340+$I340-$J340</f>
        <v>0</v>
      </c>
      <c r="L340" s="13" t="n">
        <f aca="false">$K340*$E340</f>
        <v>0</v>
      </c>
    </row>
    <row r="341" customFormat="false" ht="15" hidden="false" customHeight="true" outlineLevel="0" collapsed="false">
      <c r="A341" s="12" t="s">
        <v>1201</v>
      </c>
      <c r="B341" s="12" t="s">
        <v>1202</v>
      </c>
      <c r="C341" s="12" t="s">
        <v>133</v>
      </c>
      <c r="D341" s="12" t="s">
        <v>246</v>
      </c>
      <c r="E341" s="13" t="n">
        <v>7500</v>
      </c>
      <c r="F341" s="13" t="n">
        <v>0</v>
      </c>
      <c r="G341" s="13" t="n">
        <f aca="false">SUMIFS('Expense Entry'!$H$5:$H$6000,'Expense Entry'!$E$5:$E$6000,"Inventory Purchase",'Expense Entry'!$F$5:$F$6000,$A341)</f>
        <v>0</v>
      </c>
      <c r="H341" s="13" t="n">
        <f aca="false">SUMIFS('Purchase Orders'!$F$5:$F$3000,'Purchase Orders'!$L$5:$L$3000,"Received",'Purchase Orders'!$D$5:$D$3000,$A341)</f>
        <v>0</v>
      </c>
      <c r="I341" s="13" t="n">
        <f aca="false">$G341+$H341</f>
        <v>0</v>
      </c>
      <c r="J341" s="13" t="n">
        <f aca="false">SUMIFS('Issue Log'!$E$5:$E$6000,'Issue Log'!$B$5:$B$6000,$A341)</f>
        <v>0</v>
      </c>
      <c r="K341" s="13" t="n">
        <f aca="false">$F341+$I341-$J341</f>
        <v>0</v>
      </c>
      <c r="L341" s="13" t="n">
        <f aca="false">$K341*$E341</f>
        <v>0</v>
      </c>
    </row>
    <row r="342" customFormat="false" ht="15" hidden="false" customHeight="true" outlineLevel="0" collapsed="false">
      <c r="A342" s="12" t="s">
        <v>1203</v>
      </c>
      <c r="B342" s="12" t="s">
        <v>1204</v>
      </c>
      <c r="C342" s="12" t="s">
        <v>133</v>
      </c>
      <c r="D342" s="12" t="s">
        <v>246</v>
      </c>
      <c r="E342" s="13" t="n">
        <v>6000</v>
      </c>
      <c r="F342" s="13" t="n">
        <v>0</v>
      </c>
      <c r="G342" s="13" t="n">
        <f aca="false">SUMIFS('Expense Entry'!$H$5:$H$6000,'Expense Entry'!$E$5:$E$6000,"Inventory Purchase",'Expense Entry'!$F$5:$F$6000,$A342)</f>
        <v>0</v>
      </c>
      <c r="H342" s="13" t="n">
        <f aca="false">SUMIFS('Purchase Orders'!$F$5:$F$3000,'Purchase Orders'!$L$5:$L$3000,"Received",'Purchase Orders'!$D$5:$D$3000,$A342)</f>
        <v>0</v>
      </c>
      <c r="I342" s="13" t="n">
        <f aca="false">$G342+$H342</f>
        <v>0</v>
      </c>
      <c r="J342" s="13" t="n">
        <f aca="false">SUMIFS('Issue Log'!$E$5:$E$6000,'Issue Log'!$B$5:$B$6000,$A342)</f>
        <v>0</v>
      </c>
      <c r="K342" s="13" t="n">
        <f aca="false">$F342+$I342-$J342</f>
        <v>0</v>
      </c>
      <c r="L342" s="13" t="n">
        <f aca="false">$K342*$E342</f>
        <v>0</v>
      </c>
    </row>
    <row r="343" customFormat="false" ht="15" hidden="false" customHeight="true" outlineLevel="0" collapsed="false">
      <c r="A343" s="12" t="s">
        <v>1205</v>
      </c>
      <c r="B343" s="12" t="s">
        <v>1206</v>
      </c>
      <c r="C343" s="12" t="s">
        <v>133</v>
      </c>
      <c r="D343" s="12" t="s">
        <v>246</v>
      </c>
      <c r="E343" s="13" t="n">
        <v>2500</v>
      </c>
      <c r="F343" s="13" t="n">
        <v>0</v>
      </c>
      <c r="G343" s="13" t="n">
        <f aca="false">SUMIFS('Expense Entry'!$H$5:$H$6000,'Expense Entry'!$E$5:$E$6000,"Inventory Purchase",'Expense Entry'!$F$5:$F$6000,$A343)</f>
        <v>0</v>
      </c>
      <c r="H343" s="13" t="n">
        <f aca="false">SUMIFS('Purchase Orders'!$F$5:$F$3000,'Purchase Orders'!$L$5:$L$3000,"Received",'Purchase Orders'!$D$5:$D$3000,$A343)</f>
        <v>0</v>
      </c>
      <c r="I343" s="13" t="n">
        <f aca="false">$G343+$H343</f>
        <v>0</v>
      </c>
      <c r="J343" s="13" t="n">
        <f aca="false">SUMIFS('Issue Log'!$E$5:$E$6000,'Issue Log'!$B$5:$B$6000,$A343)</f>
        <v>0</v>
      </c>
      <c r="K343" s="13" t="n">
        <f aca="false">$F343+$I343-$J343</f>
        <v>0</v>
      </c>
      <c r="L343" s="13" t="n">
        <f aca="false">$K343*$E343</f>
        <v>0</v>
      </c>
    </row>
    <row r="344" customFormat="false" ht="15" hidden="false" customHeight="true" outlineLevel="0" collapsed="false">
      <c r="A344" s="12" t="s">
        <v>1207</v>
      </c>
      <c r="B344" s="12" t="s">
        <v>1208</v>
      </c>
      <c r="C344" s="12" t="s">
        <v>133</v>
      </c>
      <c r="D344" s="12" t="s">
        <v>246</v>
      </c>
      <c r="E344" s="13" t="n">
        <v>3800</v>
      </c>
      <c r="F344" s="13" t="n">
        <v>0</v>
      </c>
      <c r="G344" s="13" t="n">
        <f aca="false">SUMIFS('Expense Entry'!$H$5:$H$6000,'Expense Entry'!$E$5:$E$6000,"Inventory Purchase",'Expense Entry'!$F$5:$F$6000,$A344)</f>
        <v>0</v>
      </c>
      <c r="H344" s="13" t="n">
        <f aca="false">SUMIFS('Purchase Orders'!$F$5:$F$3000,'Purchase Orders'!$L$5:$L$3000,"Received",'Purchase Orders'!$D$5:$D$3000,$A344)</f>
        <v>0</v>
      </c>
      <c r="I344" s="13" t="n">
        <f aca="false">$G344+$H344</f>
        <v>0</v>
      </c>
      <c r="J344" s="13" t="n">
        <f aca="false">SUMIFS('Issue Log'!$E$5:$E$6000,'Issue Log'!$B$5:$B$6000,$A344)</f>
        <v>0</v>
      </c>
      <c r="K344" s="13" t="n">
        <f aca="false">$F344+$I344-$J344</f>
        <v>0</v>
      </c>
      <c r="L344" s="13" t="n">
        <f aca="false">$K344*$E344</f>
        <v>0</v>
      </c>
    </row>
    <row r="345" customFormat="false" ht="15" hidden="false" customHeight="true" outlineLevel="0" collapsed="false">
      <c r="A345" s="12" t="s">
        <v>1209</v>
      </c>
      <c r="B345" s="12" t="s">
        <v>1210</v>
      </c>
      <c r="C345" s="12" t="s">
        <v>133</v>
      </c>
      <c r="D345" s="12" t="s">
        <v>246</v>
      </c>
      <c r="E345" s="13" t="n">
        <v>10000</v>
      </c>
      <c r="F345" s="13" t="n">
        <v>0</v>
      </c>
      <c r="G345" s="13" t="n">
        <f aca="false">SUMIFS('Expense Entry'!$H$5:$H$6000,'Expense Entry'!$E$5:$E$6000,"Inventory Purchase",'Expense Entry'!$F$5:$F$6000,$A345)</f>
        <v>0</v>
      </c>
      <c r="H345" s="13" t="n">
        <f aca="false">SUMIFS('Purchase Orders'!$F$5:$F$3000,'Purchase Orders'!$L$5:$L$3000,"Received",'Purchase Orders'!$D$5:$D$3000,$A345)</f>
        <v>0</v>
      </c>
      <c r="I345" s="13" t="n">
        <f aca="false">$G345+$H345</f>
        <v>0</v>
      </c>
      <c r="J345" s="13" t="n">
        <f aca="false">SUMIFS('Issue Log'!$E$5:$E$6000,'Issue Log'!$B$5:$B$6000,$A345)</f>
        <v>0</v>
      </c>
      <c r="K345" s="13" t="n">
        <f aca="false">$F345+$I345-$J345</f>
        <v>0</v>
      </c>
      <c r="L345" s="13" t="n">
        <f aca="false">$K345*$E345</f>
        <v>0</v>
      </c>
    </row>
    <row r="346" customFormat="false" ht="15" hidden="false" customHeight="true" outlineLevel="0" collapsed="false">
      <c r="A346" s="12" t="s">
        <v>1211</v>
      </c>
      <c r="B346" s="12" t="s">
        <v>1212</v>
      </c>
      <c r="C346" s="12" t="s">
        <v>133</v>
      </c>
      <c r="D346" s="12" t="s">
        <v>246</v>
      </c>
      <c r="E346" s="13" t="n">
        <v>120</v>
      </c>
      <c r="F346" s="13" t="n">
        <v>0</v>
      </c>
      <c r="G346" s="13" t="n">
        <f aca="false">SUMIFS('Expense Entry'!$H$5:$H$6000,'Expense Entry'!$E$5:$E$6000,"Inventory Purchase",'Expense Entry'!$F$5:$F$6000,$A346)</f>
        <v>0</v>
      </c>
      <c r="H346" s="13" t="n">
        <f aca="false">SUMIFS('Purchase Orders'!$F$5:$F$3000,'Purchase Orders'!$L$5:$L$3000,"Received",'Purchase Orders'!$D$5:$D$3000,$A346)</f>
        <v>0</v>
      </c>
      <c r="I346" s="13" t="n">
        <f aca="false">$G346+$H346</f>
        <v>0</v>
      </c>
      <c r="J346" s="13" t="n">
        <f aca="false">SUMIFS('Issue Log'!$E$5:$E$6000,'Issue Log'!$B$5:$B$6000,$A346)</f>
        <v>0</v>
      </c>
      <c r="K346" s="13" t="n">
        <f aca="false">$F346+$I346-$J346</f>
        <v>0</v>
      </c>
      <c r="L346" s="13" t="n">
        <f aca="false">$K346*$E346</f>
        <v>0</v>
      </c>
    </row>
    <row r="347" customFormat="false" ht="15" hidden="false" customHeight="true" outlineLevel="0" collapsed="false">
      <c r="A347" s="12" t="s">
        <v>1213</v>
      </c>
      <c r="B347" s="12" t="s">
        <v>1214</v>
      </c>
      <c r="C347" s="12" t="s">
        <v>133</v>
      </c>
      <c r="D347" s="12" t="s">
        <v>246</v>
      </c>
      <c r="E347" s="13" t="n">
        <v>80</v>
      </c>
      <c r="F347" s="13" t="n">
        <v>0</v>
      </c>
      <c r="G347" s="13" t="n">
        <f aca="false">SUMIFS('Expense Entry'!$H$5:$H$6000,'Expense Entry'!$E$5:$E$6000,"Inventory Purchase",'Expense Entry'!$F$5:$F$6000,$A347)</f>
        <v>0</v>
      </c>
      <c r="H347" s="13" t="n">
        <f aca="false">SUMIFS('Purchase Orders'!$F$5:$F$3000,'Purchase Orders'!$L$5:$L$3000,"Received",'Purchase Orders'!$D$5:$D$3000,$A347)</f>
        <v>0</v>
      </c>
      <c r="I347" s="13" t="n">
        <f aca="false">$G347+$H347</f>
        <v>0</v>
      </c>
      <c r="J347" s="13" t="n">
        <f aca="false">SUMIFS('Issue Log'!$E$5:$E$6000,'Issue Log'!$B$5:$B$6000,$A347)</f>
        <v>0</v>
      </c>
      <c r="K347" s="13" t="n">
        <f aca="false">$F347+$I347-$J347</f>
        <v>0</v>
      </c>
      <c r="L347" s="13" t="n">
        <f aca="false">$K347*$E347</f>
        <v>0</v>
      </c>
    </row>
    <row r="348" customFormat="false" ht="15" hidden="false" customHeight="true" outlineLevel="0" collapsed="false">
      <c r="A348" s="12" t="s">
        <v>1216</v>
      </c>
      <c r="B348" s="12" t="s">
        <v>1217</v>
      </c>
      <c r="C348" s="12" t="s">
        <v>133</v>
      </c>
      <c r="D348" s="12" t="s">
        <v>246</v>
      </c>
      <c r="E348" s="13" t="n">
        <v>170</v>
      </c>
      <c r="F348" s="13" t="n">
        <v>0</v>
      </c>
      <c r="G348" s="13" t="n">
        <f aca="false">SUMIFS('Expense Entry'!$H$5:$H$6000,'Expense Entry'!$E$5:$E$6000,"Inventory Purchase",'Expense Entry'!$F$5:$F$6000,$A348)</f>
        <v>0</v>
      </c>
      <c r="H348" s="13" t="n">
        <f aca="false">SUMIFS('Purchase Orders'!$F$5:$F$3000,'Purchase Orders'!$L$5:$L$3000,"Received",'Purchase Orders'!$D$5:$D$3000,$A348)</f>
        <v>0</v>
      </c>
      <c r="I348" s="13" t="n">
        <f aca="false">$G348+$H348</f>
        <v>0</v>
      </c>
      <c r="J348" s="13" t="n">
        <f aca="false">SUMIFS('Issue Log'!$E$5:$E$6000,'Issue Log'!$B$5:$B$6000,$A348)</f>
        <v>0</v>
      </c>
      <c r="K348" s="13" t="n">
        <f aca="false">$F348+$I348-$J348</f>
        <v>0</v>
      </c>
      <c r="L348" s="13" t="n">
        <f aca="false">$K348*$E348</f>
        <v>0</v>
      </c>
    </row>
    <row r="349" customFormat="false" ht="15" hidden="false" customHeight="true" outlineLevel="0" collapsed="false">
      <c r="A349" s="12" t="s">
        <v>1218</v>
      </c>
      <c r="B349" s="12" t="s">
        <v>1219</v>
      </c>
      <c r="C349" s="12" t="s">
        <v>133</v>
      </c>
      <c r="D349" s="12" t="s">
        <v>246</v>
      </c>
      <c r="E349" s="13" t="n">
        <v>250</v>
      </c>
      <c r="F349" s="13" t="n">
        <v>0</v>
      </c>
      <c r="G349" s="13" t="n">
        <f aca="false">SUMIFS('Expense Entry'!$H$5:$H$6000,'Expense Entry'!$E$5:$E$6000,"Inventory Purchase",'Expense Entry'!$F$5:$F$6000,$A349)</f>
        <v>0</v>
      </c>
      <c r="H349" s="13" t="n">
        <f aca="false">SUMIFS('Purchase Orders'!$F$5:$F$3000,'Purchase Orders'!$L$5:$L$3000,"Received",'Purchase Orders'!$D$5:$D$3000,$A349)</f>
        <v>0</v>
      </c>
      <c r="I349" s="13" t="n">
        <f aca="false">$G349+$H349</f>
        <v>0</v>
      </c>
      <c r="J349" s="13" t="n">
        <f aca="false">SUMIFS('Issue Log'!$E$5:$E$6000,'Issue Log'!$B$5:$B$6000,$A349)</f>
        <v>0</v>
      </c>
      <c r="K349" s="13" t="n">
        <f aca="false">$F349+$I349-$J349</f>
        <v>0</v>
      </c>
      <c r="L349" s="13" t="n">
        <f aca="false">$K349*$E349</f>
        <v>0</v>
      </c>
    </row>
    <row r="350" customFormat="false" ht="15" hidden="false" customHeight="true" outlineLevel="0" collapsed="false">
      <c r="A350" s="12" t="s">
        <v>1220</v>
      </c>
      <c r="B350" s="12" t="s">
        <v>1221</v>
      </c>
      <c r="C350" s="12" t="s">
        <v>134</v>
      </c>
      <c r="D350" s="12" t="s">
        <v>1085</v>
      </c>
      <c r="E350" s="13" t="n">
        <v>130</v>
      </c>
      <c r="F350" s="13" t="n">
        <v>84</v>
      </c>
      <c r="G350" s="13" t="n">
        <f aca="false">SUMIFS('Expense Entry'!$H$5:$H$6000,'Expense Entry'!$E$5:$E$6000,"Inventory Purchase",'Expense Entry'!$F$5:$F$6000,$A350)</f>
        <v>0</v>
      </c>
      <c r="H350" s="13" t="n">
        <f aca="false">SUMIFS('Purchase Orders'!$F$5:$F$3000,'Purchase Orders'!$L$5:$L$3000,"Received",'Purchase Orders'!$D$5:$D$3000,$A350)</f>
        <v>0</v>
      </c>
      <c r="I350" s="13" t="n">
        <f aca="false">$G350+$H350</f>
        <v>0</v>
      </c>
      <c r="J350" s="13" t="n">
        <f aca="false">SUMIFS('Issue Log'!$E$5:$E$6000,'Issue Log'!$B$5:$B$6000,$A350)</f>
        <v>0</v>
      </c>
      <c r="K350" s="13" t="n">
        <f aca="false">$F350+$I350-$J350</f>
        <v>84</v>
      </c>
      <c r="L350" s="13" t="n">
        <f aca="false">$K350*$E350</f>
        <v>10920</v>
      </c>
    </row>
    <row r="351" customFormat="false" ht="15" hidden="false" customHeight="true" outlineLevel="0" collapsed="false">
      <c r="A351" s="12" t="s">
        <v>1223</v>
      </c>
      <c r="B351" s="12" t="s">
        <v>1224</v>
      </c>
      <c r="C351" s="12" t="s">
        <v>134</v>
      </c>
      <c r="D351" s="12" t="s">
        <v>1085</v>
      </c>
      <c r="E351" s="13" t="n">
        <v>123</v>
      </c>
      <c r="F351" s="13" t="n">
        <v>0</v>
      </c>
      <c r="G351" s="13" t="n">
        <f aca="false">SUMIFS('Expense Entry'!$H$5:$H$6000,'Expense Entry'!$E$5:$E$6000,"Inventory Purchase",'Expense Entry'!$F$5:$F$6000,$A351)</f>
        <v>0</v>
      </c>
      <c r="H351" s="13" t="n">
        <f aca="false">SUMIFS('Purchase Orders'!$F$5:$F$3000,'Purchase Orders'!$L$5:$L$3000,"Received",'Purchase Orders'!$D$5:$D$3000,$A351)</f>
        <v>0</v>
      </c>
      <c r="I351" s="13" t="n">
        <f aca="false">$G351+$H351</f>
        <v>0</v>
      </c>
      <c r="J351" s="13" t="n">
        <f aca="false">SUMIFS('Issue Log'!$E$5:$E$6000,'Issue Log'!$B$5:$B$6000,$A351)</f>
        <v>0</v>
      </c>
      <c r="K351" s="13" t="n">
        <f aca="false">$F351+$I351-$J351</f>
        <v>0</v>
      </c>
      <c r="L351" s="13" t="n">
        <f aca="false">$K351*$E351</f>
        <v>0</v>
      </c>
    </row>
    <row r="352" customFormat="false" ht="15" hidden="false" customHeight="true" outlineLevel="0" collapsed="false">
      <c r="A352" s="12" t="s">
        <v>1226</v>
      </c>
      <c r="B352" s="12" t="s">
        <v>1227</v>
      </c>
      <c r="C352" s="12" t="s">
        <v>134</v>
      </c>
      <c r="D352" s="12" t="s">
        <v>1085</v>
      </c>
      <c r="E352" s="13" t="n">
        <v>0</v>
      </c>
      <c r="F352" s="13" t="n">
        <v>0</v>
      </c>
      <c r="G352" s="13" t="n">
        <f aca="false">SUMIFS('Expense Entry'!$H$5:$H$6000,'Expense Entry'!$E$5:$E$6000,"Inventory Purchase",'Expense Entry'!$F$5:$F$6000,$A352)</f>
        <v>0</v>
      </c>
      <c r="H352" s="13" t="n">
        <f aca="false">SUMIFS('Purchase Orders'!$F$5:$F$3000,'Purchase Orders'!$L$5:$L$3000,"Received",'Purchase Orders'!$D$5:$D$3000,$A352)</f>
        <v>0</v>
      </c>
      <c r="I352" s="13" t="n">
        <f aca="false">$G352+$H352</f>
        <v>0</v>
      </c>
      <c r="J352" s="13" t="n">
        <f aca="false">SUMIFS('Issue Log'!$E$5:$E$6000,'Issue Log'!$B$5:$B$6000,$A352)</f>
        <v>0</v>
      </c>
      <c r="K352" s="13" t="n">
        <f aca="false">$F352+$I352-$J352</f>
        <v>0</v>
      </c>
      <c r="L352" s="13" t="n">
        <f aca="false">$K352*$E352</f>
        <v>0</v>
      </c>
    </row>
    <row r="353" customFormat="false" ht="15" hidden="false" customHeight="true" outlineLevel="0" collapsed="false">
      <c r="A353" s="12" t="s">
        <v>1229</v>
      </c>
      <c r="B353" s="12" t="s">
        <v>1230</v>
      </c>
      <c r="C353" s="12" t="s">
        <v>134</v>
      </c>
      <c r="D353" s="12" t="s">
        <v>1231</v>
      </c>
      <c r="E353" s="13" t="n">
        <v>1.1</v>
      </c>
      <c r="F353" s="13" t="n">
        <v>14000</v>
      </c>
      <c r="G353" s="13" t="n">
        <f aca="false">SUMIFS('Expense Entry'!$H$5:$H$6000,'Expense Entry'!$E$5:$E$6000,"Inventory Purchase",'Expense Entry'!$F$5:$F$6000,$A353)</f>
        <v>0</v>
      </c>
      <c r="H353" s="13" t="n">
        <f aca="false">SUMIFS('Purchase Orders'!$F$5:$F$3000,'Purchase Orders'!$L$5:$L$3000,"Received",'Purchase Orders'!$D$5:$D$3000,$A353)</f>
        <v>0</v>
      </c>
      <c r="I353" s="13" t="n">
        <f aca="false">$G353+$H353</f>
        <v>0</v>
      </c>
      <c r="J353" s="13" t="n">
        <f aca="false">SUMIFS('Issue Log'!$E$5:$E$6000,'Issue Log'!$B$5:$B$6000,$A353)</f>
        <v>0</v>
      </c>
      <c r="K353" s="13" t="n">
        <f aca="false">$F353+$I353-$J353</f>
        <v>14000</v>
      </c>
      <c r="L353" s="13" t="n">
        <f aca="false">$K353*$E353</f>
        <v>15400</v>
      </c>
    </row>
    <row r="354" customFormat="false" ht="15" hidden="false" customHeight="true" outlineLevel="0" collapsed="false">
      <c r="A354" s="12" t="s">
        <v>1233</v>
      </c>
      <c r="B354" s="12" t="s">
        <v>1234</v>
      </c>
      <c r="C354" s="12" t="s">
        <v>134</v>
      </c>
      <c r="D354" s="12" t="s">
        <v>267</v>
      </c>
      <c r="E354" s="13" t="n">
        <v>0.275</v>
      </c>
      <c r="F354" s="13" t="n">
        <v>25000</v>
      </c>
      <c r="G354" s="13" t="n">
        <f aca="false">SUMIFS('Expense Entry'!$H$5:$H$6000,'Expense Entry'!$E$5:$E$6000,"Inventory Purchase",'Expense Entry'!$F$5:$F$6000,$A354)</f>
        <v>0</v>
      </c>
      <c r="H354" s="13" t="n">
        <f aca="false">SUMIFS('Purchase Orders'!$F$5:$F$3000,'Purchase Orders'!$L$5:$L$3000,"Received",'Purchase Orders'!$D$5:$D$3000,$A354)</f>
        <v>0</v>
      </c>
      <c r="I354" s="13" t="n">
        <f aca="false">$G354+$H354</f>
        <v>0</v>
      </c>
      <c r="J354" s="13" t="n">
        <f aca="false">SUMIFS('Issue Log'!$E$5:$E$6000,'Issue Log'!$B$5:$B$6000,$A354)</f>
        <v>0</v>
      </c>
      <c r="K354" s="13" t="n">
        <f aca="false">$F354+$I354-$J354</f>
        <v>25000</v>
      </c>
      <c r="L354" s="13" t="n">
        <f aca="false">$K354*$E354</f>
        <v>6875</v>
      </c>
    </row>
    <row r="355" customFormat="false" ht="15" hidden="false" customHeight="true" outlineLevel="0" collapsed="false">
      <c r="A355" s="12" t="s">
        <v>1235</v>
      </c>
      <c r="B355" s="12" t="s">
        <v>1236</v>
      </c>
      <c r="C355" s="12" t="s">
        <v>134</v>
      </c>
      <c r="D355" s="12" t="s">
        <v>246</v>
      </c>
      <c r="E355" s="13" t="n">
        <v>50</v>
      </c>
      <c r="F355" s="13" t="n">
        <v>346</v>
      </c>
      <c r="G355" s="13" t="n">
        <f aca="false">SUMIFS('Expense Entry'!$H$5:$H$6000,'Expense Entry'!$E$5:$E$6000,"Inventory Purchase",'Expense Entry'!$F$5:$F$6000,$A355)</f>
        <v>0</v>
      </c>
      <c r="H355" s="13" t="n">
        <f aca="false">SUMIFS('Purchase Orders'!$F$5:$F$3000,'Purchase Orders'!$L$5:$L$3000,"Received",'Purchase Orders'!$D$5:$D$3000,$A355)</f>
        <v>0</v>
      </c>
      <c r="I355" s="13" t="n">
        <f aca="false">$G355+$H355</f>
        <v>0</v>
      </c>
      <c r="J355" s="13" t="n">
        <f aca="false">SUMIFS('Issue Log'!$E$5:$E$6000,'Issue Log'!$B$5:$B$6000,$A355)</f>
        <v>0</v>
      </c>
      <c r="K355" s="13" t="n">
        <f aca="false">$F355+$I355-$J355</f>
        <v>346</v>
      </c>
      <c r="L355" s="13" t="n">
        <f aca="false">$K355*$E355</f>
        <v>17300</v>
      </c>
    </row>
    <row r="356" customFormat="false" ht="15" hidden="false" customHeight="true" outlineLevel="0" collapsed="false">
      <c r="A356" s="12" t="s">
        <v>1237</v>
      </c>
      <c r="B356" s="12" t="s">
        <v>1238</v>
      </c>
      <c r="C356" s="12" t="s">
        <v>134</v>
      </c>
      <c r="D356" s="12" t="s">
        <v>246</v>
      </c>
      <c r="E356" s="13" t="n">
        <v>240</v>
      </c>
      <c r="F356" s="13" t="n">
        <v>10</v>
      </c>
      <c r="G356" s="13" t="n">
        <f aca="false">SUMIFS('Expense Entry'!$H$5:$H$6000,'Expense Entry'!$E$5:$E$6000,"Inventory Purchase",'Expense Entry'!$F$5:$F$6000,$A356)</f>
        <v>0</v>
      </c>
      <c r="H356" s="13" t="n">
        <f aca="false">SUMIFS('Purchase Orders'!$F$5:$F$3000,'Purchase Orders'!$L$5:$L$3000,"Received",'Purchase Orders'!$D$5:$D$3000,$A356)</f>
        <v>0</v>
      </c>
      <c r="I356" s="13" t="n">
        <f aca="false">$G356+$H356</f>
        <v>0</v>
      </c>
      <c r="J356" s="13" t="n">
        <f aca="false">SUMIFS('Issue Log'!$E$5:$E$6000,'Issue Log'!$B$5:$B$6000,$A356)</f>
        <v>0</v>
      </c>
      <c r="K356" s="13" t="n">
        <f aca="false">$F356+$I356-$J356</f>
        <v>10</v>
      </c>
      <c r="L356" s="13" t="n">
        <f aca="false">$K356*$E356</f>
        <v>2400</v>
      </c>
    </row>
    <row r="357" customFormat="false" ht="15" hidden="false" customHeight="true" outlineLevel="0" collapsed="false">
      <c r="A357" s="12" t="s">
        <v>1240</v>
      </c>
      <c r="B357" s="12" t="s">
        <v>1241</v>
      </c>
      <c r="C357" s="12" t="s">
        <v>134</v>
      </c>
      <c r="D357" s="12" t="s">
        <v>246</v>
      </c>
      <c r="E357" s="13" t="n">
        <v>168.926829268293</v>
      </c>
      <c r="F357" s="13" t="n">
        <v>40</v>
      </c>
      <c r="G357" s="13" t="n">
        <f aca="false">SUMIFS('Expense Entry'!$H$5:$H$6000,'Expense Entry'!$E$5:$E$6000,"Inventory Purchase",'Expense Entry'!$F$5:$F$6000,$A357)</f>
        <v>0</v>
      </c>
      <c r="H357" s="13" t="n">
        <f aca="false">SUMIFS('Purchase Orders'!$F$5:$F$3000,'Purchase Orders'!$L$5:$L$3000,"Received",'Purchase Orders'!$D$5:$D$3000,$A357)</f>
        <v>0</v>
      </c>
      <c r="I357" s="13" t="n">
        <f aca="false">$G357+$H357</f>
        <v>0</v>
      </c>
      <c r="J357" s="13" t="n">
        <f aca="false">SUMIFS('Issue Log'!$E$5:$E$6000,'Issue Log'!$B$5:$B$6000,$A357)</f>
        <v>0</v>
      </c>
      <c r="K357" s="13" t="n">
        <f aca="false">$F357+$I357-$J357</f>
        <v>40</v>
      </c>
      <c r="L357" s="13" t="n">
        <f aca="false">$K357*$E357</f>
        <v>6757.07317073172</v>
      </c>
    </row>
    <row r="358" customFormat="false" ht="15" hidden="false" customHeight="true" outlineLevel="0" collapsed="false">
      <c r="A358" s="12" t="s">
        <v>1243</v>
      </c>
      <c r="B358" s="12" t="s">
        <v>1244</v>
      </c>
      <c r="C358" s="12" t="s">
        <v>134</v>
      </c>
      <c r="D358" s="12" t="s">
        <v>246</v>
      </c>
      <c r="E358" s="13" t="n">
        <v>150</v>
      </c>
      <c r="F358" s="13" t="n">
        <v>5</v>
      </c>
      <c r="G358" s="13" t="n">
        <f aca="false">SUMIFS('Expense Entry'!$H$5:$H$6000,'Expense Entry'!$E$5:$E$6000,"Inventory Purchase",'Expense Entry'!$F$5:$F$6000,$A358)</f>
        <v>0</v>
      </c>
      <c r="H358" s="13" t="n">
        <f aca="false">SUMIFS('Purchase Orders'!$F$5:$F$3000,'Purchase Orders'!$L$5:$L$3000,"Received",'Purchase Orders'!$D$5:$D$3000,$A358)</f>
        <v>0</v>
      </c>
      <c r="I358" s="13" t="n">
        <f aca="false">$G358+$H358</f>
        <v>0</v>
      </c>
      <c r="J358" s="13" t="n">
        <f aca="false">SUMIFS('Issue Log'!$E$5:$E$6000,'Issue Log'!$B$5:$B$6000,$A358)</f>
        <v>0</v>
      </c>
      <c r="K358" s="13" t="n">
        <f aca="false">$F358+$I358-$J358</f>
        <v>5</v>
      </c>
      <c r="L358" s="13" t="n">
        <f aca="false">$K358*$E358</f>
        <v>750</v>
      </c>
    </row>
    <row r="359" customFormat="false" ht="15" hidden="false" customHeight="true" outlineLevel="0" collapsed="false">
      <c r="A359" s="12" t="s">
        <v>1246</v>
      </c>
      <c r="B359" s="12" t="s">
        <v>1247</v>
      </c>
      <c r="C359" s="12" t="s">
        <v>134</v>
      </c>
      <c r="D359" s="12" t="s">
        <v>246</v>
      </c>
      <c r="E359" s="13" t="n">
        <v>250</v>
      </c>
      <c r="F359" s="13" t="n">
        <v>0</v>
      </c>
      <c r="G359" s="13" t="n">
        <f aca="false">SUMIFS('Expense Entry'!$H$5:$H$6000,'Expense Entry'!$E$5:$E$6000,"Inventory Purchase",'Expense Entry'!$F$5:$F$6000,$A359)</f>
        <v>0</v>
      </c>
      <c r="H359" s="13" t="n">
        <f aca="false">SUMIFS('Purchase Orders'!$F$5:$F$3000,'Purchase Orders'!$L$5:$L$3000,"Received",'Purchase Orders'!$D$5:$D$3000,$A359)</f>
        <v>0</v>
      </c>
      <c r="I359" s="13" t="n">
        <f aca="false">$G359+$H359</f>
        <v>0</v>
      </c>
      <c r="J359" s="13" t="n">
        <f aca="false">SUMIFS('Issue Log'!$E$5:$E$6000,'Issue Log'!$B$5:$B$6000,$A359)</f>
        <v>0</v>
      </c>
      <c r="K359" s="13" t="n">
        <f aca="false">$F359+$I359-$J359</f>
        <v>0</v>
      </c>
      <c r="L359" s="13" t="n">
        <f aca="false">$K359*$E359</f>
        <v>0</v>
      </c>
    </row>
    <row r="360" customFormat="false" ht="15" hidden="false" customHeight="true" outlineLevel="0" collapsed="false">
      <c r="A360" s="12" t="s">
        <v>1248</v>
      </c>
      <c r="B360" s="12" t="s">
        <v>1249</v>
      </c>
      <c r="C360" s="12" t="s">
        <v>134</v>
      </c>
      <c r="D360" s="12" t="s">
        <v>246</v>
      </c>
      <c r="E360" s="13" t="n">
        <v>155</v>
      </c>
      <c r="F360" s="13" t="n">
        <v>19</v>
      </c>
      <c r="G360" s="13" t="n">
        <f aca="false">SUMIFS('Expense Entry'!$H$5:$H$6000,'Expense Entry'!$E$5:$E$6000,"Inventory Purchase",'Expense Entry'!$F$5:$F$6000,$A360)</f>
        <v>0</v>
      </c>
      <c r="H360" s="13" t="n">
        <f aca="false">SUMIFS('Purchase Orders'!$F$5:$F$3000,'Purchase Orders'!$L$5:$L$3000,"Received",'Purchase Orders'!$D$5:$D$3000,$A360)</f>
        <v>0</v>
      </c>
      <c r="I360" s="13" t="n">
        <f aca="false">$G360+$H360</f>
        <v>0</v>
      </c>
      <c r="J360" s="13" t="n">
        <f aca="false">SUMIFS('Issue Log'!$E$5:$E$6000,'Issue Log'!$B$5:$B$6000,$A360)</f>
        <v>0</v>
      </c>
      <c r="K360" s="13" t="n">
        <f aca="false">$F360+$I360-$J360</f>
        <v>19</v>
      </c>
      <c r="L360" s="13" t="n">
        <f aca="false">$K360*$E360</f>
        <v>2945</v>
      </c>
    </row>
    <row r="361" customFormat="false" ht="15" hidden="false" customHeight="true" outlineLevel="0" collapsed="false">
      <c r="A361" s="12" t="s">
        <v>1252</v>
      </c>
      <c r="B361" s="12" t="s">
        <v>1253</v>
      </c>
      <c r="C361" s="12" t="s">
        <v>134</v>
      </c>
      <c r="D361" s="12" t="s">
        <v>246</v>
      </c>
      <c r="E361" s="13" t="n">
        <v>1100</v>
      </c>
      <c r="F361" s="13" t="n">
        <v>0</v>
      </c>
      <c r="G361" s="13" t="n">
        <f aca="false">SUMIFS('Expense Entry'!$H$5:$H$6000,'Expense Entry'!$E$5:$E$6000,"Inventory Purchase",'Expense Entry'!$F$5:$F$6000,$A361)</f>
        <v>0</v>
      </c>
      <c r="H361" s="13" t="n">
        <f aca="false">SUMIFS('Purchase Orders'!$F$5:$F$3000,'Purchase Orders'!$L$5:$L$3000,"Received",'Purchase Orders'!$D$5:$D$3000,$A361)</f>
        <v>0</v>
      </c>
      <c r="I361" s="13" t="n">
        <f aca="false">$G361+$H361</f>
        <v>0</v>
      </c>
      <c r="J361" s="13" t="n">
        <f aca="false">SUMIFS('Issue Log'!$E$5:$E$6000,'Issue Log'!$B$5:$B$6000,$A361)</f>
        <v>0</v>
      </c>
      <c r="K361" s="13" t="n">
        <f aca="false">$F361+$I361-$J361</f>
        <v>0</v>
      </c>
      <c r="L361" s="13" t="n">
        <f aca="false">$K361*$E361</f>
        <v>0</v>
      </c>
    </row>
    <row r="362" customFormat="false" ht="15" hidden="false" customHeight="true" outlineLevel="0" collapsed="false">
      <c r="A362" s="12" t="s">
        <v>1254</v>
      </c>
      <c r="B362" s="12" t="s">
        <v>1255</v>
      </c>
      <c r="C362" s="12" t="s">
        <v>134</v>
      </c>
      <c r="D362" s="12" t="s">
        <v>267</v>
      </c>
      <c r="E362" s="13" t="n">
        <v>800</v>
      </c>
      <c r="F362" s="13" t="n">
        <v>0</v>
      </c>
      <c r="G362" s="13" t="n">
        <f aca="false">SUMIFS('Expense Entry'!$H$5:$H$6000,'Expense Entry'!$E$5:$E$6000,"Inventory Purchase",'Expense Entry'!$F$5:$F$6000,$A362)</f>
        <v>0</v>
      </c>
      <c r="H362" s="13" t="n">
        <f aca="false">SUMIFS('Purchase Orders'!$F$5:$F$3000,'Purchase Orders'!$L$5:$L$3000,"Received",'Purchase Orders'!$D$5:$D$3000,$A362)</f>
        <v>0</v>
      </c>
      <c r="I362" s="13" t="n">
        <f aca="false">$G362+$H362</f>
        <v>0</v>
      </c>
      <c r="J362" s="13" t="n">
        <f aca="false">SUMIFS('Issue Log'!$E$5:$E$6000,'Issue Log'!$B$5:$B$6000,$A362)</f>
        <v>0</v>
      </c>
      <c r="K362" s="13" t="n">
        <f aca="false">$F362+$I362-$J362</f>
        <v>0</v>
      </c>
      <c r="L362" s="13" t="n">
        <f aca="false">$K362*$E362</f>
        <v>0</v>
      </c>
    </row>
    <row r="363" customFormat="false" ht="15" hidden="false" customHeight="true" outlineLevel="0" collapsed="false">
      <c r="A363" s="12" t="s">
        <v>1256</v>
      </c>
      <c r="B363" s="12" t="s">
        <v>1257</v>
      </c>
      <c r="C363" s="12" t="s">
        <v>134</v>
      </c>
      <c r="D363" s="12" t="s">
        <v>267</v>
      </c>
      <c r="E363" s="13" t="n">
        <v>64.5</v>
      </c>
      <c r="F363" s="13" t="n">
        <v>0</v>
      </c>
      <c r="G363" s="13" t="n">
        <f aca="false">SUMIFS('Expense Entry'!$H$5:$H$6000,'Expense Entry'!$E$5:$E$6000,"Inventory Purchase",'Expense Entry'!$F$5:$F$6000,$A363)</f>
        <v>0</v>
      </c>
      <c r="H363" s="13" t="n">
        <f aca="false">SUMIFS('Purchase Orders'!$F$5:$F$3000,'Purchase Orders'!$L$5:$L$3000,"Received",'Purchase Orders'!$D$5:$D$3000,$A363)</f>
        <v>0</v>
      </c>
      <c r="I363" s="13" t="n">
        <f aca="false">$G363+$H363</f>
        <v>0</v>
      </c>
      <c r="J363" s="13" t="n">
        <f aca="false">SUMIFS('Issue Log'!$E$5:$E$6000,'Issue Log'!$B$5:$B$6000,$A363)</f>
        <v>0</v>
      </c>
      <c r="K363" s="13" t="n">
        <f aca="false">$F363+$I363-$J363</f>
        <v>0</v>
      </c>
      <c r="L363" s="13" t="n">
        <f aca="false">$K363*$E363</f>
        <v>0</v>
      </c>
    </row>
    <row r="364" customFormat="false" ht="15" hidden="false" customHeight="true" outlineLevel="0" collapsed="false">
      <c r="A364" s="12" t="s">
        <v>1260</v>
      </c>
      <c r="B364" s="12" t="s">
        <v>1261</v>
      </c>
      <c r="C364" s="12" t="s">
        <v>134</v>
      </c>
      <c r="D364" s="12" t="s">
        <v>267</v>
      </c>
      <c r="E364" s="13" t="n">
        <v>260</v>
      </c>
      <c r="F364" s="13" t="n">
        <v>0</v>
      </c>
      <c r="G364" s="13" t="n">
        <f aca="false">SUMIFS('Expense Entry'!$H$5:$H$6000,'Expense Entry'!$E$5:$E$6000,"Inventory Purchase",'Expense Entry'!$F$5:$F$6000,$A364)</f>
        <v>0</v>
      </c>
      <c r="H364" s="13" t="n">
        <f aca="false">SUMIFS('Purchase Orders'!$F$5:$F$3000,'Purchase Orders'!$L$5:$L$3000,"Received",'Purchase Orders'!$D$5:$D$3000,$A364)</f>
        <v>0</v>
      </c>
      <c r="I364" s="13" t="n">
        <f aca="false">$G364+$H364</f>
        <v>0</v>
      </c>
      <c r="J364" s="13" t="n">
        <f aca="false">SUMIFS('Issue Log'!$E$5:$E$6000,'Issue Log'!$B$5:$B$6000,$A364)</f>
        <v>0</v>
      </c>
      <c r="K364" s="13" t="n">
        <f aca="false">$F364+$I364-$J364</f>
        <v>0</v>
      </c>
      <c r="L364" s="13" t="n">
        <f aca="false">$K364*$E364</f>
        <v>0</v>
      </c>
    </row>
    <row r="365" customFormat="false" ht="15" hidden="false" customHeight="true" outlineLevel="0" collapsed="false">
      <c r="A365" s="12" t="s">
        <v>1264</v>
      </c>
      <c r="B365" s="12" t="s">
        <v>1265</v>
      </c>
      <c r="C365" s="12" t="s">
        <v>134</v>
      </c>
      <c r="D365" s="12" t="s">
        <v>267</v>
      </c>
      <c r="E365" s="13" t="n">
        <v>220</v>
      </c>
      <c r="F365" s="13" t="n">
        <v>0</v>
      </c>
      <c r="G365" s="13" t="n">
        <f aca="false">SUMIFS('Expense Entry'!$H$5:$H$6000,'Expense Entry'!$E$5:$E$6000,"Inventory Purchase",'Expense Entry'!$F$5:$F$6000,$A365)</f>
        <v>0</v>
      </c>
      <c r="H365" s="13" t="n">
        <f aca="false">SUMIFS('Purchase Orders'!$F$5:$F$3000,'Purchase Orders'!$L$5:$L$3000,"Received",'Purchase Orders'!$D$5:$D$3000,$A365)</f>
        <v>0</v>
      </c>
      <c r="I365" s="13" t="n">
        <f aca="false">$G365+$H365</f>
        <v>0</v>
      </c>
      <c r="J365" s="13" t="n">
        <f aca="false">SUMIFS('Issue Log'!$E$5:$E$6000,'Issue Log'!$B$5:$B$6000,$A365)</f>
        <v>0</v>
      </c>
      <c r="K365" s="13" t="n">
        <f aca="false">$F365+$I365-$J365</f>
        <v>0</v>
      </c>
      <c r="L365" s="13" t="n">
        <f aca="false">$K365*$E365</f>
        <v>0</v>
      </c>
    </row>
    <row r="366" customFormat="false" ht="15" hidden="false" customHeight="true" outlineLevel="0" collapsed="false">
      <c r="A366" s="12" t="s">
        <v>1268</v>
      </c>
      <c r="B366" s="12" t="s">
        <v>1269</v>
      </c>
      <c r="C366" s="12" t="s">
        <v>134</v>
      </c>
      <c r="D366" s="12" t="s">
        <v>246</v>
      </c>
      <c r="E366" s="13" t="n">
        <v>60</v>
      </c>
      <c r="F366" s="13" t="n">
        <v>0</v>
      </c>
      <c r="G366" s="13" t="n">
        <f aca="false">SUMIFS('Expense Entry'!$H$5:$H$6000,'Expense Entry'!$E$5:$E$6000,"Inventory Purchase",'Expense Entry'!$F$5:$F$6000,$A366)</f>
        <v>0</v>
      </c>
      <c r="H366" s="13" t="n">
        <f aca="false">SUMIFS('Purchase Orders'!$F$5:$F$3000,'Purchase Orders'!$L$5:$L$3000,"Received",'Purchase Orders'!$D$5:$D$3000,$A366)</f>
        <v>0</v>
      </c>
      <c r="I366" s="13" t="n">
        <f aca="false">$G366+$H366</f>
        <v>0</v>
      </c>
      <c r="J366" s="13" t="n">
        <f aca="false">SUMIFS('Issue Log'!$E$5:$E$6000,'Issue Log'!$B$5:$B$6000,$A366)</f>
        <v>0</v>
      </c>
      <c r="K366" s="13" t="n">
        <f aca="false">$F366+$I366-$J366</f>
        <v>0</v>
      </c>
      <c r="L366" s="13" t="n">
        <f aca="false">$K366*$E366</f>
        <v>0</v>
      </c>
    </row>
    <row r="367" customFormat="false" ht="15" hidden="false" customHeight="true" outlineLevel="0" collapsed="false">
      <c r="A367" s="12" t="s">
        <v>1270</v>
      </c>
      <c r="B367" s="12" t="s">
        <v>1271</v>
      </c>
      <c r="C367" s="12" t="s">
        <v>134</v>
      </c>
      <c r="D367" s="12" t="s">
        <v>246</v>
      </c>
      <c r="E367" s="13" t="n">
        <v>300</v>
      </c>
      <c r="F367" s="13" t="n">
        <v>0</v>
      </c>
      <c r="G367" s="13" t="n">
        <f aca="false">SUMIFS('Expense Entry'!$H$5:$H$6000,'Expense Entry'!$E$5:$E$6000,"Inventory Purchase",'Expense Entry'!$F$5:$F$6000,$A367)</f>
        <v>0</v>
      </c>
      <c r="H367" s="13" t="n">
        <f aca="false">SUMIFS('Purchase Orders'!$F$5:$F$3000,'Purchase Orders'!$L$5:$L$3000,"Received",'Purchase Orders'!$D$5:$D$3000,$A367)</f>
        <v>0</v>
      </c>
      <c r="I367" s="13" t="n">
        <f aca="false">$G367+$H367</f>
        <v>0</v>
      </c>
      <c r="J367" s="13" t="n">
        <f aca="false">SUMIFS('Issue Log'!$E$5:$E$6000,'Issue Log'!$B$5:$B$6000,$A367)</f>
        <v>0</v>
      </c>
      <c r="K367" s="13" t="n">
        <f aca="false">$F367+$I367-$J367</f>
        <v>0</v>
      </c>
      <c r="L367" s="13" t="n">
        <f aca="false">$K367*$E367</f>
        <v>0</v>
      </c>
    </row>
    <row r="368" customFormat="false" ht="15" hidden="false" customHeight="true" outlineLevel="0" collapsed="false">
      <c r="A368" s="12" t="s">
        <v>1273</v>
      </c>
      <c r="B368" s="12" t="s">
        <v>1274</v>
      </c>
      <c r="C368" s="12" t="s">
        <v>134</v>
      </c>
      <c r="D368" s="12" t="s">
        <v>246</v>
      </c>
      <c r="E368" s="13" t="n">
        <v>250</v>
      </c>
      <c r="F368" s="13" t="n">
        <v>0</v>
      </c>
      <c r="G368" s="13" t="n">
        <f aca="false">SUMIFS('Expense Entry'!$H$5:$H$6000,'Expense Entry'!$E$5:$E$6000,"Inventory Purchase",'Expense Entry'!$F$5:$F$6000,$A368)</f>
        <v>0</v>
      </c>
      <c r="H368" s="13" t="n">
        <f aca="false">SUMIFS('Purchase Orders'!$F$5:$F$3000,'Purchase Orders'!$L$5:$L$3000,"Received",'Purchase Orders'!$D$5:$D$3000,$A368)</f>
        <v>0</v>
      </c>
      <c r="I368" s="13" t="n">
        <f aca="false">$G368+$H368</f>
        <v>0</v>
      </c>
      <c r="J368" s="13" t="n">
        <f aca="false">SUMIFS('Issue Log'!$E$5:$E$6000,'Issue Log'!$B$5:$B$6000,$A368)</f>
        <v>0</v>
      </c>
      <c r="K368" s="13" t="n">
        <f aca="false">$F368+$I368-$J368</f>
        <v>0</v>
      </c>
      <c r="L368" s="13" t="n">
        <f aca="false">$K368*$E368</f>
        <v>0</v>
      </c>
    </row>
    <row r="369" customFormat="false" ht="15" hidden="false" customHeight="true" outlineLevel="0" collapsed="false">
      <c r="A369" s="12" t="s">
        <v>1276</v>
      </c>
      <c r="B369" s="12" t="s">
        <v>1277</v>
      </c>
      <c r="C369" s="12" t="s">
        <v>134</v>
      </c>
      <c r="D369" s="12" t="s">
        <v>246</v>
      </c>
      <c r="E369" s="13" t="n">
        <v>100</v>
      </c>
      <c r="F369" s="13" t="n">
        <v>0</v>
      </c>
      <c r="G369" s="13" t="n">
        <f aca="false">SUMIFS('Expense Entry'!$H$5:$H$6000,'Expense Entry'!$E$5:$E$6000,"Inventory Purchase",'Expense Entry'!$F$5:$F$6000,$A369)</f>
        <v>0</v>
      </c>
      <c r="H369" s="13" t="n">
        <f aca="false">SUMIFS('Purchase Orders'!$F$5:$F$3000,'Purchase Orders'!$L$5:$L$3000,"Received",'Purchase Orders'!$D$5:$D$3000,$A369)</f>
        <v>0</v>
      </c>
      <c r="I369" s="13" t="n">
        <f aca="false">$G369+$H369</f>
        <v>0</v>
      </c>
      <c r="J369" s="13" t="n">
        <f aca="false">SUMIFS('Issue Log'!$E$5:$E$6000,'Issue Log'!$B$5:$B$6000,$A369)</f>
        <v>0</v>
      </c>
      <c r="K369" s="13" t="n">
        <f aca="false">$F369+$I369-$J369</f>
        <v>0</v>
      </c>
      <c r="L369" s="13" t="n">
        <f aca="false">$K369*$E369</f>
        <v>0</v>
      </c>
    </row>
    <row r="370" customFormat="false" ht="15" hidden="false" customHeight="true" outlineLevel="0" collapsed="false">
      <c r="A370" s="12" t="s">
        <v>1278</v>
      </c>
      <c r="B370" s="12" t="s">
        <v>1279</v>
      </c>
      <c r="C370" s="12" t="s">
        <v>134</v>
      </c>
      <c r="D370" s="12" t="s">
        <v>246</v>
      </c>
      <c r="E370" s="13" t="n">
        <v>90</v>
      </c>
      <c r="F370" s="13" t="n">
        <v>0</v>
      </c>
      <c r="G370" s="13" t="n">
        <f aca="false">SUMIFS('Expense Entry'!$H$5:$H$6000,'Expense Entry'!$E$5:$E$6000,"Inventory Purchase",'Expense Entry'!$F$5:$F$6000,$A370)</f>
        <v>0</v>
      </c>
      <c r="H370" s="13" t="n">
        <f aca="false">SUMIFS('Purchase Orders'!$F$5:$F$3000,'Purchase Orders'!$L$5:$L$3000,"Received",'Purchase Orders'!$D$5:$D$3000,$A370)</f>
        <v>0</v>
      </c>
      <c r="I370" s="13" t="n">
        <f aca="false">$G370+$H370</f>
        <v>0</v>
      </c>
      <c r="J370" s="13" t="n">
        <f aca="false">SUMIFS('Issue Log'!$E$5:$E$6000,'Issue Log'!$B$5:$B$6000,$A370)</f>
        <v>0</v>
      </c>
      <c r="K370" s="13" t="n">
        <f aca="false">$F370+$I370-$J370</f>
        <v>0</v>
      </c>
      <c r="L370" s="13" t="n">
        <f aca="false">$K370*$E370</f>
        <v>0</v>
      </c>
    </row>
    <row r="371" customFormat="false" ht="15" hidden="false" customHeight="true" outlineLevel="0" collapsed="false">
      <c r="A371" s="12" t="s">
        <v>1281</v>
      </c>
      <c r="B371" s="12" t="s">
        <v>1282</v>
      </c>
      <c r="C371" s="12" t="s">
        <v>134</v>
      </c>
      <c r="D371" s="12" t="s">
        <v>246</v>
      </c>
      <c r="E371" s="13" t="n">
        <v>300</v>
      </c>
      <c r="F371" s="13" t="n">
        <v>0</v>
      </c>
      <c r="G371" s="13" t="n">
        <f aca="false">SUMIFS('Expense Entry'!$H$5:$H$6000,'Expense Entry'!$E$5:$E$6000,"Inventory Purchase",'Expense Entry'!$F$5:$F$6000,$A371)</f>
        <v>0</v>
      </c>
      <c r="H371" s="13" t="n">
        <f aca="false">SUMIFS('Purchase Orders'!$F$5:$F$3000,'Purchase Orders'!$L$5:$L$3000,"Received",'Purchase Orders'!$D$5:$D$3000,$A371)</f>
        <v>0</v>
      </c>
      <c r="I371" s="13" t="n">
        <f aca="false">$G371+$H371</f>
        <v>0</v>
      </c>
      <c r="J371" s="13" t="n">
        <f aca="false">SUMIFS('Issue Log'!$E$5:$E$6000,'Issue Log'!$B$5:$B$6000,$A371)</f>
        <v>0</v>
      </c>
      <c r="K371" s="13" t="n">
        <f aca="false">$F371+$I371-$J371</f>
        <v>0</v>
      </c>
      <c r="L371" s="13" t="n">
        <f aca="false">$K371*$E371</f>
        <v>0</v>
      </c>
    </row>
    <row r="372" customFormat="false" ht="15" hidden="false" customHeight="true" outlineLevel="0" collapsed="false">
      <c r="A372" s="12" t="s">
        <v>1283</v>
      </c>
      <c r="B372" s="12" t="s">
        <v>1284</v>
      </c>
      <c r="C372" s="12" t="s">
        <v>134</v>
      </c>
      <c r="D372" s="12" t="s">
        <v>267</v>
      </c>
      <c r="E372" s="13" t="n">
        <v>250</v>
      </c>
      <c r="F372" s="13" t="n">
        <v>0</v>
      </c>
      <c r="G372" s="13" t="n">
        <f aca="false">SUMIFS('Expense Entry'!$H$5:$H$6000,'Expense Entry'!$E$5:$E$6000,"Inventory Purchase",'Expense Entry'!$F$5:$F$6000,$A372)</f>
        <v>0</v>
      </c>
      <c r="H372" s="13" t="n">
        <f aca="false">SUMIFS('Purchase Orders'!$F$5:$F$3000,'Purchase Orders'!$L$5:$L$3000,"Received",'Purchase Orders'!$D$5:$D$3000,$A372)</f>
        <v>0</v>
      </c>
      <c r="I372" s="13" t="n">
        <f aca="false">$G372+$H372</f>
        <v>0</v>
      </c>
      <c r="J372" s="13" t="n">
        <f aca="false">SUMIFS('Issue Log'!$E$5:$E$6000,'Issue Log'!$B$5:$B$6000,$A372)</f>
        <v>0</v>
      </c>
      <c r="K372" s="13" t="n">
        <f aca="false">$F372+$I372-$J372</f>
        <v>0</v>
      </c>
      <c r="L372" s="13" t="n">
        <f aca="false">$K372*$E372</f>
        <v>0</v>
      </c>
    </row>
    <row r="373" customFormat="false" ht="15" hidden="false" customHeight="true" outlineLevel="0" collapsed="false">
      <c r="A373" s="12" t="s">
        <v>1286</v>
      </c>
      <c r="B373" s="12" t="s">
        <v>1287</v>
      </c>
      <c r="C373" s="12" t="s">
        <v>134</v>
      </c>
      <c r="D373" s="12" t="s">
        <v>246</v>
      </c>
      <c r="E373" s="13" t="n">
        <v>5</v>
      </c>
      <c r="F373" s="13" t="n">
        <v>0</v>
      </c>
      <c r="G373" s="13" t="n">
        <f aca="false">SUMIFS('Expense Entry'!$H$5:$H$6000,'Expense Entry'!$E$5:$E$6000,"Inventory Purchase",'Expense Entry'!$F$5:$F$6000,$A373)</f>
        <v>0</v>
      </c>
      <c r="H373" s="13" t="n">
        <f aca="false">SUMIFS('Purchase Orders'!$F$5:$F$3000,'Purchase Orders'!$L$5:$L$3000,"Received",'Purchase Orders'!$D$5:$D$3000,$A373)</f>
        <v>0</v>
      </c>
      <c r="I373" s="13" t="n">
        <f aca="false">$G373+$H373</f>
        <v>0</v>
      </c>
      <c r="J373" s="13" t="n">
        <f aca="false">SUMIFS('Issue Log'!$E$5:$E$6000,'Issue Log'!$B$5:$B$6000,$A373)</f>
        <v>0</v>
      </c>
      <c r="K373" s="13" t="n">
        <f aca="false">$F373+$I373-$J373</f>
        <v>0</v>
      </c>
      <c r="L373" s="13" t="n">
        <f aca="false">$K373*$E373</f>
        <v>0</v>
      </c>
    </row>
    <row r="374" customFormat="false" ht="15" hidden="false" customHeight="true" outlineLevel="0" collapsed="false">
      <c r="A374" s="12" t="s">
        <v>1289</v>
      </c>
      <c r="B374" s="12" t="s">
        <v>1290</v>
      </c>
      <c r="C374" s="12" t="s">
        <v>134</v>
      </c>
      <c r="D374" s="12" t="s">
        <v>246</v>
      </c>
      <c r="E374" s="13" t="n">
        <v>350</v>
      </c>
      <c r="F374" s="13" t="n">
        <v>0</v>
      </c>
      <c r="G374" s="13" t="n">
        <f aca="false">SUMIFS('Expense Entry'!$H$5:$H$6000,'Expense Entry'!$E$5:$E$6000,"Inventory Purchase",'Expense Entry'!$F$5:$F$6000,$A374)</f>
        <v>0</v>
      </c>
      <c r="H374" s="13" t="n">
        <f aca="false">SUMIFS('Purchase Orders'!$F$5:$F$3000,'Purchase Orders'!$L$5:$L$3000,"Received",'Purchase Orders'!$D$5:$D$3000,$A374)</f>
        <v>0</v>
      </c>
      <c r="I374" s="13" t="n">
        <f aca="false">$G374+$H374</f>
        <v>0</v>
      </c>
      <c r="J374" s="13" t="n">
        <f aca="false">SUMIFS('Issue Log'!$E$5:$E$6000,'Issue Log'!$B$5:$B$6000,$A374)</f>
        <v>0</v>
      </c>
      <c r="K374" s="13" t="n">
        <f aca="false">$F374+$I374-$J374</f>
        <v>0</v>
      </c>
      <c r="L374" s="13" t="n">
        <f aca="false">$K374*$E374</f>
        <v>0</v>
      </c>
    </row>
    <row r="375" customFormat="false" ht="15" hidden="false" customHeight="true" outlineLevel="0" collapsed="false">
      <c r="A375" s="12" t="s">
        <v>1292</v>
      </c>
      <c r="B375" s="12" t="s">
        <v>1293</v>
      </c>
      <c r="C375" s="12" t="s">
        <v>134</v>
      </c>
      <c r="D375" s="12" t="s">
        <v>246</v>
      </c>
      <c r="E375" s="13" t="n">
        <v>0</v>
      </c>
      <c r="F375" s="13" t="n">
        <v>0</v>
      </c>
      <c r="G375" s="13" t="n">
        <f aca="false">SUMIFS('Expense Entry'!$H$5:$H$6000,'Expense Entry'!$E$5:$E$6000,"Inventory Purchase",'Expense Entry'!$F$5:$F$6000,$A375)</f>
        <v>0</v>
      </c>
      <c r="H375" s="13" t="n">
        <f aca="false">SUMIFS('Purchase Orders'!$F$5:$F$3000,'Purchase Orders'!$L$5:$L$3000,"Received",'Purchase Orders'!$D$5:$D$3000,$A375)</f>
        <v>0</v>
      </c>
      <c r="I375" s="13" t="n">
        <f aca="false">$G375+$H375</f>
        <v>0</v>
      </c>
      <c r="J375" s="13" t="n">
        <f aca="false">SUMIFS('Issue Log'!$E$5:$E$6000,'Issue Log'!$B$5:$B$6000,$A375)</f>
        <v>0</v>
      </c>
      <c r="K375" s="13" t="n">
        <f aca="false">$F375+$I375-$J375</f>
        <v>0</v>
      </c>
      <c r="L375" s="13" t="n">
        <f aca="false">$K375*$E375</f>
        <v>0</v>
      </c>
    </row>
    <row r="376" customFormat="false" ht="15" hidden="false" customHeight="true" outlineLevel="0" collapsed="false">
      <c r="A376" s="12" t="s">
        <v>1294</v>
      </c>
      <c r="B376" s="12" t="s">
        <v>1295</v>
      </c>
      <c r="C376" s="12" t="s">
        <v>134</v>
      </c>
      <c r="D376" s="12" t="s">
        <v>246</v>
      </c>
      <c r="E376" s="13" t="n">
        <v>300</v>
      </c>
      <c r="F376" s="13" t="n">
        <v>4</v>
      </c>
      <c r="G376" s="13" t="n">
        <f aca="false">SUMIFS('Expense Entry'!$H$5:$H$6000,'Expense Entry'!$E$5:$E$6000,"Inventory Purchase",'Expense Entry'!$F$5:$F$6000,$A376)</f>
        <v>0</v>
      </c>
      <c r="H376" s="13" t="n">
        <f aca="false">SUMIFS('Purchase Orders'!$F$5:$F$3000,'Purchase Orders'!$L$5:$L$3000,"Received",'Purchase Orders'!$D$5:$D$3000,$A376)</f>
        <v>0</v>
      </c>
      <c r="I376" s="13" t="n">
        <f aca="false">$G376+$H376</f>
        <v>0</v>
      </c>
      <c r="J376" s="13" t="n">
        <f aca="false">SUMIFS('Issue Log'!$E$5:$E$6000,'Issue Log'!$B$5:$B$6000,$A376)</f>
        <v>0</v>
      </c>
      <c r="K376" s="13" t="n">
        <f aca="false">$F376+$I376-$J376</f>
        <v>4</v>
      </c>
      <c r="L376" s="13" t="n">
        <f aca="false">$K376*$E376</f>
        <v>1200</v>
      </c>
    </row>
    <row r="377" customFormat="false" ht="15" hidden="false" customHeight="true" outlineLevel="0" collapsed="false">
      <c r="A377" s="12" t="s">
        <v>1296</v>
      </c>
      <c r="B377" s="12" t="s">
        <v>1297</v>
      </c>
      <c r="C377" s="12" t="s">
        <v>134</v>
      </c>
      <c r="D377" s="12" t="s">
        <v>246</v>
      </c>
      <c r="E377" s="13" t="n">
        <v>2900</v>
      </c>
      <c r="F377" s="13" t="n">
        <v>0</v>
      </c>
      <c r="G377" s="13" t="n">
        <f aca="false">SUMIFS('Expense Entry'!$H$5:$H$6000,'Expense Entry'!$E$5:$E$6000,"Inventory Purchase",'Expense Entry'!$F$5:$F$6000,$A377)</f>
        <v>0</v>
      </c>
      <c r="H377" s="13" t="n">
        <f aca="false">SUMIFS('Purchase Orders'!$F$5:$F$3000,'Purchase Orders'!$L$5:$L$3000,"Received",'Purchase Orders'!$D$5:$D$3000,$A377)</f>
        <v>0</v>
      </c>
      <c r="I377" s="13" t="n">
        <f aca="false">$G377+$H377</f>
        <v>0</v>
      </c>
      <c r="J377" s="13" t="n">
        <f aca="false">SUMIFS('Issue Log'!$E$5:$E$6000,'Issue Log'!$B$5:$B$6000,$A377)</f>
        <v>0</v>
      </c>
      <c r="K377" s="13" t="n">
        <f aca="false">$F377+$I377-$J377</f>
        <v>0</v>
      </c>
      <c r="L377" s="13" t="n">
        <f aca="false">$K377*$E377</f>
        <v>0</v>
      </c>
    </row>
    <row r="378" customFormat="false" ht="15" hidden="false" customHeight="true" outlineLevel="0" collapsed="false">
      <c r="A378" s="12" t="s">
        <v>1298</v>
      </c>
      <c r="B378" s="12" t="s">
        <v>1299</v>
      </c>
      <c r="C378" s="12" t="s">
        <v>134</v>
      </c>
      <c r="D378" s="12" t="s">
        <v>246</v>
      </c>
      <c r="E378" s="13" t="n">
        <v>150</v>
      </c>
      <c r="F378" s="13" t="n">
        <v>0</v>
      </c>
      <c r="G378" s="13" t="n">
        <f aca="false">SUMIFS('Expense Entry'!$H$5:$H$6000,'Expense Entry'!$E$5:$E$6000,"Inventory Purchase",'Expense Entry'!$F$5:$F$6000,$A378)</f>
        <v>0</v>
      </c>
      <c r="H378" s="13" t="n">
        <f aca="false">SUMIFS('Purchase Orders'!$F$5:$F$3000,'Purchase Orders'!$L$5:$L$3000,"Received",'Purchase Orders'!$D$5:$D$3000,$A378)</f>
        <v>0</v>
      </c>
      <c r="I378" s="13" t="n">
        <f aca="false">$G378+$H378</f>
        <v>0</v>
      </c>
      <c r="J378" s="13" t="n">
        <f aca="false">SUMIFS('Issue Log'!$E$5:$E$6000,'Issue Log'!$B$5:$B$6000,$A378)</f>
        <v>0</v>
      </c>
      <c r="K378" s="13" t="n">
        <f aca="false">$F378+$I378-$J378</f>
        <v>0</v>
      </c>
      <c r="L378" s="13" t="n">
        <f aca="false">$K378*$E378</f>
        <v>0</v>
      </c>
    </row>
    <row r="379" customFormat="false" ht="15" hidden="false" customHeight="true" outlineLevel="0" collapsed="false">
      <c r="A379" s="12" t="s">
        <v>1300</v>
      </c>
      <c r="B379" s="12" t="s">
        <v>1301</v>
      </c>
      <c r="C379" s="12" t="s">
        <v>134</v>
      </c>
      <c r="D379" s="12" t="s">
        <v>246</v>
      </c>
      <c r="E379" s="13" t="n">
        <v>240</v>
      </c>
      <c r="F379" s="13" t="n">
        <v>0</v>
      </c>
      <c r="G379" s="13" t="n">
        <f aca="false">SUMIFS('Expense Entry'!$H$5:$H$6000,'Expense Entry'!$E$5:$E$6000,"Inventory Purchase",'Expense Entry'!$F$5:$F$6000,$A379)</f>
        <v>0</v>
      </c>
      <c r="H379" s="13" t="n">
        <f aca="false">SUMIFS('Purchase Orders'!$F$5:$F$3000,'Purchase Orders'!$L$5:$L$3000,"Received",'Purchase Orders'!$D$5:$D$3000,$A379)</f>
        <v>0</v>
      </c>
      <c r="I379" s="13" t="n">
        <f aca="false">$G379+$H379</f>
        <v>0</v>
      </c>
      <c r="J379" s="13" t="n">
        <f aca="false">SUMIFS('Issue Log'!$E$5:$E$6000,'Issue Log'!$B$5:$B$6000,$A379)</f>
        <v>0</v>
      </c>
      <c r="K379" s="13" t="n">
        <f aca="false">$F379+$I379-$J379</f>
        <v>0</v>
      </c>
      <c r="L379" s="13" t="n">
        <f aca="false">$K379*$E379</f>
        <v>0</v>
      </c>
    </row>
    <row r="380" customFormat="false" ht="15" hidden="false" customHeight="true" outlineLevel="0" collapsed="false">
      <c r="A380" s="12" t="s">
        <v>1303</v>
      </c>
      <c r="B380" s="12" t="s">
        <v>1304</v>
      </c>
      <c r="C380" s="12" t="s">
        <v>134</v>
      </c>
      <c r="D380" s="12" t="s">
        <v>246</v>
      </c>
      <c r="E380" s="13" t="n">
        <v>170</v>
      </c>
      <c r="F380" s="13" t="n">
        <v>0</v>
      </c>
      <c r="G380" s="13" t="n">
        <f aca="false">SUMIFS('Expense Entry'!$H$5:$H$6000,'Expense Entry'!$E$5:$E$6000,"Inventory Purchase",'Expense Entry'!$F$5:$F$6000,$A380)</f>
        <v>0</v>
      </c>
      <c r="H380" s="13" t="n">
        <f aca="false">SUMIFS('Purchase Orders'!$F$5:$F$3000,'Purchase Orders'!$L$5:$L$3000,"Received",'Purchase Orders'!$D$5:$D$3000,$A380)</f>
        <v>0</v>
      </c>
      <c r="I380" s="13" t="n">
        <f aca="false">$G380+$H380</f>
        <v>0</v>
      </c>
      <c r="J380" s="13" t="n">
        <f aca="false">SUMIFS('Issue Log'!$E$5:$E$6000,'Issue Log'!$B$5:$B$6000,$A380)</f>
        <v>0</v>
      </c>
      <c r="K380" s="13" t="n">
        <f aca="false">$F380+$I380-$J380</f>
        <v>0</v>
      </c>
      <c r="L380" s="13" t="n">
        <f aca="false">$K380*$E380</f>
        <v>0</v>
      </c>
    </row>
    <row r="381" customFormat="false" ht="15" hidden="false" customHeight="true" outlineLevel="0" collapsed="false">
      <c r="A381" s="12" t="s">
        <v>1305</v>
      </c>
      <c r="B381" s="12" t="s">
        <v>1306</v>
      </c>
      <c r="C381" s="12" t="s">
        <v>134</v>
      </c>
      <c r="D381" s="12" t="s">
        <v>267</v>
      </c>
      <c r="E381" s="13" t="n">
        <v>200</v>
      </c>
      <c r="F381" s="13" t="n">
        <v>0</v>
      </c>
      <c r="G381" s="13" t="n">
        <f aca="false">SUMIFS('Expense Entry'!$H$5:$H$6000,'Expense Entry'!$E$5:$E$6000,"Inventory Purchase",'Expense Entry'!$F$5:$F$6000,$A381)</f>
        <v>0</v>
      </c>
      <c r="H381" s="13" t="n">
        <f aca="false">SUMIFS('Purchase Orders'!$F$5:$F$3000,'Purchase Orders'!$L$5:$L$3000,"Received",'Purchase Orders'!$D$5:$D$3000,$A381)</f>
        <v>0</v>
      </c>
      <c r="I381" s="13" t="n">
        <f aca="false">$G381+$H381</f>
        <v>0</v>
      </c>
      <c r="J381" s="13" t="n">
        <f aca="false">SUMIFS('Issue Log'!$E$5:$E$6000,'Issue Log'!$B$5:$B$6000,$A381)</f>
        <v>0</v>
      </c>
      <c r="K381" s="13" t="n">
        <f aca="false">$F381+$I381-$J381</f>
        <v>0</v>
      </c>
      <c r="L381" s="13" t="n">
        <f aca="false">$K381*$E381</f>
        <v>0</v>
      </c>
    </row>
    <row r="382" customFormat="false" ht="15" hidden="false" customHeight="true" outlineLevel="0" collapsed="false">
      <c r="A382" s="12" t="s">
        <v>1308</v>
      </c>
      <c r="B382" s="12" t="s">
        <v>1309</v>
      </c>
      <c r="C382" s="12" t="s">
        <v>134</v>
      </c>
      <c r="D382" s="12" t="s">
        <v>246</v>
      </c>
      <c r="E382" s="13" t="n">
        <v>350</v>
      </c>
      <c r="F382" s="13" t="n">
        <v>0</v>
      </c>
      <c r="G382" s="13" t="n">
        <f aca="false">SUMIFS('Expense Entry'!$H$5:$H$6000,'Expense Entry'!$E$5:$E$6000,"Inventory Purchase",'Expense Entry'!$F$5:$F$6000,$A382)</f>
        <v>0</v>
      </c>
      <c r="H382" s="13" t="n">
        <f aca="false">SUMIFS('Purchase Orders'!$F$5:$F$3000,'Purchase Orders'!$L$5:$L$3000,"Received",'Purchase Orders'!$D$5:$D$3000,$A382)</f>
        <v>0</v>
      </c>
      <c r="I382" s="13" t="n">
        <f aca="false">$G382+$H382</f>
        <v>0</v>
      </c>
      <c r="J382" s="13" t="n">
        <f aca="false">SUMIFS('Issue Log'!$E$5:$E$6000,'Issue Log'!$B$5:$B$6000,$A382)</f>
        <v>0</v>
      </c>
      <c r="K382" s="13" t="n">
        <f aca="false">$F382+$I382-$J382</f>
        <v>0</v>
      </c>
      <c r="L382" s="13" t="n">
        <f aca="false">$K382*$E382</f>
        <v>0</v>
      </c>
    </row>
    <row r="383" customFormat="false" ht="15" hidden="false" customHeight="true" outlineLevel="0" collapsed="false">
      <c r="A383" s="12" t="s">
        <v>1310</v>
      </c>
      <c r="B383" s="12" t="s">
        <v>1311</v>
      </c>
      <c r="C383" s="12" t="s">
        <v>134</v>
      </c>
      <c r="D383" s="12" t="s">
        <v>267</v>
      </c>
      <c r="E383" s="13" t="n">
        <v>400</v>
      </c>
      <c r="F383" s="13" t="n">
        <v>0</v>
      </c>
      <c r="G383" s="13" t="n">
        <f aca="false">SUMIFS('Expense Entry'!$H$5:$H$6000,'Expense Entry'!$E$5:$E$6000,"Inventory Purchase",'Expense Entry'!$F$5:$F$6000,$A383)</f>
        <v>0</v>
      </c>
      <c r="H383" s="13" t="n">
        <f aca="false">SUMIFS('Purchase Orders'!$F$5:$F$3000,'Purchase Orders'!$L$5:$L$3000,"Received",'Purchase Orders'!$D$5:$D$3000,$A383)</f>
        <v>0</v>
      </c>
      <c r="I383" s="13" t="n">
        <f aca="false">$G383+$H383</f>
        <v>0</v>
      </c>
      <c r="J383" s="13" t="n">
        <f aca="false">SUMIFS('Issue Log'!$E$5:$E$6000,'Issue Log'!$B$5:$B$6000,$A383)</f>
        <v>0</v>
      </c>
      <c r="K383" s="13" t="n">
        <f aca="false">$F383+$I383-$J383</f>
        <v>0</v>
      </c>
      <c r="L383" s="13" t="n">
        <f aca="false">$K383*$E383</f>
        <v>0</v>
      </c>
    </row>
    <row r="384" customFormat="false" ht="15" hidden="false" customHeight="true" outlineLevel="0" collapsed="false">
      <c r="A384" s="12" t="s">
        <v>1312</v>
      </c>
      <c r="B384" s="12" t="s">
        <v>1313</v>
      </c>
      <c r="C384" s="12" t="s">
        <v>134</v>
      </c>
      <c r="D384" s="12" t="s">
        <v>246</v>
      </c>
      <c r="E384" s="13" t="n">
        <v>380</v>
      </c>
      <c r="F384" s="13" t="n">
        <v>0</v>
      </c>
      <c r="G384" s="13" t="n">
        <f aca="false">SUMIFS('Expense Entry'!$H$5:$H$6000,'Expense Entry'!$E$5:$E$6000,"Inventory Purchase",'Expense Entry'!$F$5:$F$6000,$A384)</f>
        <v>0</v>
      </c>
      <c r="H384" s="13" t="n">
        <f aca="false">SUMIFS('Purchase Orders'!$F$5:$F$3000,'Purchase Orders'!$L$5:$L$3000,"Received",'Purchase Orders'!$D$5:$D$3000,$A384)</f>
        <v>0</v>
      </c>
      <c r="I384" s="13" t="n">
        <f aca="false">$G384+$H384</f>
        <v>0</v>
      </c>
      <c r="J384" s="13" t="n">
        <f aca="false">SUMIFS('Issue Log'!$E$5:$E$6000,'Issue Log'!$B$5:$B$6000,$A384)</f>
        <v>0</v>
      </c>
      <c r="K384" s="13" t="n">
        <f aca="false">$F384+$I384-$J384</f>
        <v>0</v>
      </c>
      <c r="L384" s="13" t="n">
        <f aca="false">$K384*$E384</f>
        <v>0</v>
      </c>
    </row>
    <row r="385" customFormat="false" ht="15" hidden="false" customHeight="true" outlineLevel="0" collapsed="false">
      <c r="A385" s="12" t="s">
        <v>1315</v>
      </c>
      <c r="B385" s="12" t="s">
        <v>1316</v>
      </c>
      <c r="C385" s="12" t="s">
        <v>131</v>
      </c>
      <c r="D385" s="12" t="s">
        <v>246</v>
      </c>
      <c r="E385" s="13" t="n">
        <v>44</v>
      </c>
      <c r="F385" s="13" t="n">
        <v>0</v>
      </c>
      <c r="G385" s="13" t="n">
        <f aca="false">SUMIFS('Expense Entry'!$H$5:$H$6000,'Expense Entry'!$E$5:$E$6000,"Inventory Purchase",'Expense Entry'!$F$5:$F$6000,$A385)</f>
        <v>0</v>
      </c>
      <c r="H385" s="13" t="n">
        <f aca="false">SUMIFS('Purchase Orders'!$F$5:$F$3000,'Purchase Orders'!$L$5:$L$3000,"Received",'Purchase Orders'!$D$5:$D$3000,$A385)</f>
        <v>0</v>
      </c>
      <c r="I385" s="13" t="n">
        <f aca="false">$G385+$H385</f>
        <v>0</v>
      </c>
      <c r="J385" s="13" t="n">
        <f aca="false">SUMIFS('Issue Log'!$E$5:$E$6000,'Issue Log'!$B$5:$B$6000,$A385)</f>
        <v>0</v>
      </c>
      <c r="K385" s="13" t="n">
        <f aca="false">$F385+$I385-$J385</f>
        <v>0</v>
      </c>
      <c r="L385" s="13" t="n">
        <f aca="false">$K385*$E385</f>
        <v>0</v>
      </c>
    </row>
    <row r="386" customFormat="false" ht="15" hidden="false" customHeight="true" outlineLevel="0" collapsed="false">
      <c r="A386" s="12" t="s">
        <v>1318</v>
      </c>
      <c r="B386" s="12" t="s">
        <v>1319</v>
      </c>
      <c r="C386" s="12" t="s">
        <v>131</v>
      </c>
      <c r="D386" s="12" t="s">
        <v>246</v>
      </c>
      <c r="E386" s="13" t="n">
        <v>30</v>
      </c>
      <c r="F386" s="13" t="n">
        <v>0</v>
      </c>
      <c r="G386" s="13" t="n">
        <f aca="false">SUMIFS('Expense Entry'!$H$5:$H$6000,'Expense Entry'!$E$5:$E$6000,"Inventory Purchase",'Expense Entry'!$F$5:$F$6000,$A386)</f>
        <v>0</v>
      </c>
      <c r="H386" s="13" t="n">
        <f aca="false">SUMIFS('Purchase Orders'!$F$5:$F$3000,'Purchase Orders'!$L$5:$L$3000,"Received",'Purchase Orders'!$D$5:$D$3000,$A386)</f>
        <v>0</v>
      </c>
      <c r="I386" s="13" t="n">
        <f aca="false">$G386+$H386</f>
        <v>0</v>
      </c>
      <c r="J386" s="13" t="n">
        <f aca="false">SUMIFS('Issue Log'!$E$5:$E$6000,'Issue Log'!$B$5:$B$6000,$A386)</f>
        <v>0</v>
      </c>
      <c r="K386" s="13" t="n">
        <f aca="false">$F386+$I386-$J386</f>
        <v>0</v>
      </c>
      <c r="L386" s="13" t="n">
        <f aca="false">$K386*$E386</f>
        <v>0</v>
      </c>
    </row>
    <row r="387" customFormat="false" ht="15" hidden="false" customHeight="true" outlineLevel="0" collapsed="false">
      <c r="A387" s="12" t="s">
        <v>1321</v>
      </c>
      <c r="B387" s="12" t="s">
        <v>1322</v>
      </c>
      <c r="C387" s="12" t="s">
        <v>131</v>
      </c>
      <c r="D387" s="12" t="s">
        <v>246</v>
      </c>
      <c r="E387" s="13" t="n">
        <v>30</v>
      </c>
      <c r="F387" s="13" t="n">
        <v>0</v>
      </c>
      <c r="G387" s="13" t="n">
        <f aca="false">SUMIFS('Expense Entry'!$H$5:$H$6000,'Expense Entry'!$E$5:$E$6000,"Inventory Purchase",'Expense Entry'!$F$5:$F$6000,$A387)</f>
        <v>0</v>
      </c>
      <c r="H387" s="13" t="n">
        <f aca="false">SUMIFS('Purchase Orders'!$F$5:$F$3000,'Purchase Orders'!$L$5:$L$3000,"Received",'Purchase Orders'!$D$5:$D$3000,$A387)</f>
        <v>0</v>
      </c>
      <c r="I387" s="13" t="n">
        <f aca="false">$G387+$H387</f>
        <v>0</v>
      </c>
      <c r="J387" s="13" t="n">
        <f aca="false">SUMIFS('Issue Log'!$E$5:$E$6000,'Issue Log'!$B$5:$B$6000,$A387)</f>
        <v>0</v>
      </c>
      <c r="K387" s="13" t="n">
        <f aca="false">$F387+$I387-$J387</f>
        <v>0</v>
      </c>
      <c r="L387" s="13" t="n">
        <f aca="false">$K387*$E387</f>
        <v>0</v>
      </c>
    </row>
    <row r="388" customFormat="false" ht="15" hidden="false" customHeight="true" outlineLevel="0" collapsed="false">
      <c r="A388" s="12" t="s">
        <v>1324</v>
      </c>
      <c r="B388" s="12" t="s">
        <v>1325</v>
      </c>
      <c r="C388" s="12" t="s">
        <v>131</v>
      </c>
      <c r="D388" s="12" t="s">
        <v>246</v>
      </c>
      <c r="E388" s="13" t="n">
        <v>10.5</v>
      </c>
      <c r="F388" s="13" t="n">
        <v>0</v>
      </c>
      <c r="G388" s="13" t="n">
        <f aca="false">SUMIFS('Expense Entry'!$H$5:$H$6000,'Expense Entry'!$E$5:$E$6000,"Inventory Purchase",'Expense Entry'!$F$5:$F$6000,$A388)</f>
        <v>0</v>
      </c>
      <c r="H388" s="13" t="n">
        <f aca="false">SUMIFS('Purchase Orders'!$F$5:$F$3000,'Purchase Orders'!$L$5:$L$3000,"Received",'Purchase Orders'!$D$5:$D$3000,$A388)</f>
        <v>0</v>
      </c>
      <c r="I388" s="13" t="n">
        <f aca="false">$G388+$H388</f>
        <v>0</v>
      </c>
      <c r="J388" s="13" t="n">
        <f aca="false">SUMIFS('Issue Log'!$E$5:$E$6000,'Issue Log'!$B$5:$B$6000,$A388)</f>
        <v>0</v>
      </c>
      <c r="K388" s="13" t="n">
        <f aca="false">$F388+$I388-$J388</f>
        <v>0</v>
      </c>
      <c r="L388" s="13" t="n">
        <f aca="false">$K388*$E388</f>
        <v>0</v>
      </c>
    </row>
    <row r="389" customFormat="false" ht="15" hidden="false" customHeight="true" outlineLevel="0" collapsed="false">
      <c r="A389" s="12" t="s">
        <v>1327</v>
      </c>
      <c r="B389" s="12" t="s">
        <v>1328</v>
      </c>
      <c r="C389" s="12" t="s">
        <v>131</v>
      </c>
      <c r="D389" s="12" t="s">
        <v>246</v>
      </c>
      <c r="E389" s="13" t="n">
        <v>650</v>
      </c>
      <c r="F389" s="13" t="n">
        <v>0</v>
      </c>
      <c r="G389" s="13" t="n">
        <f aca="false">SUMIFS('Expense Entry'!$H$5:$H$6000,'Expense Entry'!$E$5:$E$6000,"Inventory Purchase",'Expense Entry'!$F$5:$F$6000,$A389)</f>
        <v>0</v>
      </c>
      <c r="H389" s="13" t="n">
        <f aca="false">SUMIFS('Purchase Orders'!$F$5:$F$3000,'Purchase Orders'!$L$5:$L$3000,"Received",'Purchase Orders'!$D$5:$D$3000,$A389)</f>
        <v>0</v>
      </c>
      <c r="I389" s="13" t="n">
        <f aca="false">$G389+$H389</f>
        <v>0</v>
      </c>
      <c r="J389" s="13" t="n">
        <f aca="false">SUMIFS('Issue Log'!$E$5:$E$6000,'Issue Log'!$B$5:$B$6000,$A389)</f>
        <v>0</v>
      </c>
      <c r="K389" s="13" t="n">
        <f aca="false">$F389+$I389-$J389</f>
        <v>0</v>
      </c>
      <c r="L389" s="13" t="n">
        <f aca="false">$K389*$E389</f>
        <v>0</v>
      </c>
    </row>
    <row r="390" customFormat="false" ht="15" hidden="false" customHeight="true" outlineLevel="0" collapsed="false">
      <c r="A390" s="12" t="s">
        <v>1329</v>
      </c>
      <c r="B390" s="12" t="s">
        <v>1330</v>
      </c>
      <c r="C390" s="12" t="s">
        <v>131</v>
      </c>
      <c r="D390" s="12" t="s">
        <v>267</v>
      </c>
      <c r="E390" s="13" t="n">
        <v>1</v>
      </c>
      <c r="F390" s="13" t="n">
        <v>0</v>
      </c>
      <c r="G390" s="13" t="n">
        <f aca="false">SUMIFS('Expense Entry'!$H$5:$H$6000,'Expense Entry'!$E$5:$E$6000,"Inventory Purchase",'Expense Entry'!$F$5:$F$6000,$A390)</f>
        <v>0</v>
      </c>
      <c r="H390" s="13" t="n">
        <f aca="false">SUMIFS('Purchase Orders'!$F$5:$F$3000,'Purchase Orders'!$L$5:$L$3000,"Received",'Purchase Orders'!$D$5:$D$3000,$A390)</f>
        <v>0</v>
      </c>
      <c r="I390" s="13" t="n">
        <f aca="false">$G390+$H390</f>
        <v>0</v>
      </c>
      <c r="J390" s="13" t="n">
        <f aca="false">SUMIFS('Issue Log'!$E$5:$E$6000,'Issue Log'!$B$5:$B$6000,$A390)</f>
        <v>0</v>
      </c>
      <c r="K390" s="13" t="n">
        <f aca="false">$F390+$I390-$J390</f>
        <v>0</v>
      </c>
      <c r="L390" s="13" t="n">
        <f aca="false">$K390*$E390</f>
        <v>0</v>
      </c>
    </row>
    <row r="391" customFormat="false" ht="15" hidden="false" customHeight="true" outlineLevel="0" collapsed="false">
      <c r="A391" s="12" t="s">
        <v>1332</v>
      </c>
      <c r="B391" s="12" t="s">
        <v>1333</v>
      </c>
      <c r="C391" s="12" t="s">
        <v>131</v>
      </c>
      <c r="D391" s="12" t="s">
        <v>246</v>
      </c>
      <c r="E391" s="13" t="n">
        <v>5500</v>
      </c>
      <c r="F391" s="13" t="n">
        <v>0</v>
      </c>
      <c r="G391" s="13" t="n">
        <f aca="false">SUMIFS('Expense Entry'!$H$5:$H$6000,'Expense Entry'!$E$5:$E$6000,"Inventory Purchase",'Expense Entry'!$F$5:$F$6000,$A391)</f>
        <v>0</v>
      </c>
      <c r="H391" s="13" t="n">
        <f aca="false">SUMIFS('Purchase Orders'!$F$5:$F$3000,'Purchase Orders'!$L$5:$L$3000,"Received",'Purchase Orders'!$D$5:$D$3000,$A391)</f>
        <v>0</v>
      </c>
      <c r="I391" s="13" t="n">
        <f aca="false">$G391+$H391</f>
        <v>0</v>
      </c>
      <c r="J391" s="13" t="n">
        <f aca="false">SUMIFS('Issue Log'!$E$5:$E$6000,'Issue Log'!$B$5:$B$6000,$A391)</f>
        <v>0</v>
      </c>
      <c r="K391" s="13" t="n">
        <f aca="false">$F391+$I391-$J391</f>
        <v>0</v>
      </c>
      <c r="L391" s="13" t="n">
        <f aca="false">$K391*$E391</f>
        <v>0</v>
      </c>
    </row>
    <row r="392" customFormat="false" ht="15" hidden="false" customHeight="true" outlineLevel="0" collapsed="false">
      <c r="A392" s="12" t="s">
        <v>1335</v>
      </c>
      <c r="B392" s="12" t="s">
        <v>1336</v>
      </c>
      <c r="C392" s="12" t="s">
        <v>131</v>
      </c>
      <c r="D392" s="12" t="s">
        <v>246</v>
      </c>
      <c r="E392" s="13" t="n">
        <v>700</v>
      </c>
      <c r="F392" s="13" t="n">
        <v>0</v>
      </c>
      <c r="G392" s="13" t="n">
        <f aca="false">SUMIFS('Expense Entry'!$H$5:$H$6000,'Expense Entry'!$E$5:$E$6000,"Inventory Purchase",'Expense Entry'!$F$5:$F$6000,$A392)</f>
        <v>0</v>
      </c>
      <c r="H392" s="13" t="n">
        <f aca="false">SUMIFS('Purchase Orders'!$F$5:$F$3000,'Purchase Orders'!$L$5:$L$3000,"Received",'Purchase Orders'!$D$5:$D$3000,$A392)</f>
        <v>0</v>
      </c>
      <c r="I392" s="13" t="n">
        <f aca="false">$G392+$H392</f>
        <v>0</v>
      </c>
      <c r="J392" s="13" t="n">
        <f aca="false">SUMIFS('Issue Log'!$E$5:$E$6000,'Issue Log'!$B$5:$B$6000,$A392)</f>
        <v>0</v>
      </c>
      <c r="K392" s="13" t="n">
        <f aca="false">$F392+$I392-$J392</f>
        <v>0</v>
      </c>
      <c r="L392" s="13" t="n">
        <f aca="false">$K392*$E392</f>
        <v>0</v>
      </c>
    </row>
    <row r="393" customFormat="false" ht="15" hidden="false" customHeight="true" outlineLevel="0" collapsed="false">
      <c r="A393" s="12" t="s">
        <v>1338</v>
      </c>
      <c r="B393" s="12" t="s">
        <v>1339</v>
      </c>
      <c r="C393" s="12" t="s">
        <v>131</v>
      </c>
      <c r="D393" s="12" t="s">
        <v>246</v>
      </c>
      <c r="E393" s="13" t="n">
        <v>1250</v>
      </c>
      <c r="F393" s="13" t="n">
        <v>0</v>
      </c>
      <c r="G393" s="13" t="n">
        <f aca="false">SUMIFS('Expense Entry'!$H$5:$H$6000,'Expense Entry'!$E$5:$E$6000,"Inventory Purchase",'Expense Entry'!$F$5:$F$6000,$A393)</f>
        <v>0</v>
      </c>
      <c r="H393" s="13" t="n">
        <f aca="false">SUMIFS('Purchase Orders'!$F$5:$F$3000,'Purchase Orders'!$L$5:$L$3000,"Received",'Purchase Orders'!$D$5:$D$3000,$A393)</f>
        <v>0</v>
      </c>
      <c r="I393" s="13" t="n">
        <f aca="false">$G393+$H393</f>
        <v>0</v>
      </c>
      <c r="J393" s="13" t="n">
        <f aca="false">SUMIFS('Issue Log'!$E$5:$E$6000,'Issue Log'!$B$5:$B$6000,$A393)</f>
        <v>0</v>
      </c>
      <c r="K393" s="13" t="n">
        <f aca="false">$F393+$I393-$J393</f>
        <v>0</v>
      </c>
      <c r="L393" s="13" t="n">
        <f aca="false">$K393*$E393</f>
        <v>0</v>
      </c>
    </row>
    <row r="394" customFormat="false" ht="15" hidden="false" customHeight="true" outlineLevel="0" collapsed="false">
      <c r="A394" s="12" t="s">
        <v>1341</v>
      </c>
      <c r="B394" s="12" t="s">
        <v>1342</v>
      </c>
      <c r="C394" s="12" t="s">
        <v>131</v>
      </c>
      <c r="D394" s="12" t="s">
        <v>246</v>
      </c>
      <c r="E394" s="13" t="n">
        <v>4475</v>
      </c>
      <c r="F394" s="13" t="n">
        <v>0</v>
      </c>
      <c r="G394" s="13" t="n">
        <f aca="false">SUMIFS('Expense Entry'!$H$5:$H$6000,'Expense Entry'!$E$5:$E$6000,"Inventory Purchase",'Expense Entry'!$F$5:$F$6000,$A394)</f>
        <v>0</v>
      </c>
      <c r="H394" s="13" t="n">
        <f aca="false">SUMIFS('Purchase Orders'!$F$5:$F$3000,'Purchase Orders'!$L$5:$L$3000,"Received",'Purchase Orders'!$D$5:$D$3000,$A394)</f>
        <v>0</v>
      </c>
      <c r="I394" s="13" t="n">
        <f aca="false">$G394+$H394</f>
        <v>0</v>
      </c>
      <c r="J394" s="13" t="n">
        <f aca="false">SUMIFS('Issue Log'!$E$5:$E$6000,'Issue Log'!$B$5:$B$6000,$A394)</f>
        <v>0</v>
      </c>
      <c r="K394" s="13" t="n">
        <f aca="false">$F394+$I394-$J394</f>
        <v>0</v>
      </c>
      <c r="L394" s="13" t="n">
        <f aca="false">$K394*$E394</f>
        <v>0</v>
      </c>
    </row>
    <row r="395" customFormat="false" ht="15" hidden="false" customHeight="true" outlineLevel="0" collapsed="false">
      <c r="A395" s="12" t="s">
        <v>1344</v>
      </c>
      <c r="B395" s="12" t="s">
        <v>1345</v>
      </c>
      <c r="C395" s="12" t="s">
        <v>131</v>
      </c>
      <c r="D395" s="12" t="s">
        <v>246</v>
      </c>
      <c r="E395" s="13" t="n">
        <v>15</v>
      </c>
      <c r="F395" s="13" t="n">
        <v>500</v>
      </c>
      <c r="G395" s="13" t="n">
        <f aca="false">SUMIFS('Expense Entry'!$H$5:$H$6000,'Expense Entry'!$E$5:$E$6000,"Inventory Purchase",'Expense Entry'!$F$5:$F$6000,$A395)</f>
        <v>0</v>
      </c>
      <c r="H395" s="13" t="n">
        <f aca="false">SUMIFS('Purchase Orders'!$F$5:$F$3000,'Purchase Orders'!$L$5:$L$3000,"Received",'Purchase Orders'!$D$5:$D$3000,$A395)</f>
        <v>0</v>
      </c>
      <c r="I395" s="13" t="n">
        <f aca="false">$G395+$H395</f>
        <v>0</v>
      </c>
      <c r="J395" s="13" t="n">
        <f aca="false">SUMIFS('Issue Log'!$E$5:$E$6000,'Issue Log'!$B$5:$B$6000,$A395)</f>
        <v>0</v>
      </c>
      <c r="K395" s="13" t="n">
        <f aca="false">$F395+$I395-$J395</f>
        <v>500</v>
      </c>
      <c r="L395" s="13" t="n">
        <f aca="false">$K395*$E395</f>
        <v>7500</v>
      </c>
    </row>
    <row r="396" customFormat="false" ht="15" hidden="false" customHeight="true" outlineLevel="0" collapsed="false">
      <c r="A396" s="12" t="s">
        <v>1346</v>
      </c>
      <c r="B396" s="12" t="s">
        <v>1347</v>
      </c>
      <c r="C396" s="12" t="s">
        <v>131</v>
      </c>
      <c r="D396" s="12" t="s">
        <v>246</v>
      </c>
      <c r="E396" s="13" t="n">
        <v>150</v>
      </c>
      <c r="F396" s="13" t="n">
        <v>0</v>
      </c>
      <c r="G396" s="13" t="n">
        <f aca="false">SUMIFS('Expense Entry'!$H$5:$H$6000,'Expense Entry'!$E$5:$E$6000,"Inventory Purchase",'Expense Entry'!$F$5:$F$6000,$A396)</f>
        <v>0</v>
      </c>
      <c r="H396" s="13" t="n">
        <f aca="false">SUMIFS('Purchase Orders'!$F$5:$F$3000,'Purchase Orders'!$L$5:$L$3000,"Received",'Purchase Orders'!$D$5:$D$3000,$A396)</f>
        <v>0</v>
      </c>
      <c r="I396" s="13" t="n">
        <f aca="false">$G396+$H396</f>
        <v>0</v>
      </c>
      <c r="J396" s="13" t="n">
        <f aca="false">SUMIFS('Issue Log'!$E$5:$E$6000,'Issue Log'!$B$5:$B$6000,$A396)</f>
        <v>0</v>
      </c>
      <c r="K396" s="13" t="n">
        <f aca="false">$F396+$I396-$J396</f>
        <v>0</v>
      </c>
      <c r="L396" s="13" t="n">
        <f aca="false">$K396*$E396</f>
        <v>0</v>
      </c>
    </row>
    <row r="397" customFormat="false" ht="15" hidden="false" customHeight="true" outlineLevel="0" collapsed="false">
      <c r="A397" s="12" t="s">
        <v>1349</v>
      </c>
      <c r="B397" s="12" t="s">
        <v>1350</v>
      </c>
      <c r="C397" s="12" t="s">
        <v>131</v>
      </c>
      <c r="D397" s="12" t="s">
        <v>246</v>
      </c>
      <c r="E397" s="13" t="n">
        <v>30</v>
      </c>
      <c r="F397" s="13" t="n">
        <v>0</v>
      </c>
      <c r="G397" s="13" t="n">
        <f aca="false">SUMIFS('Expense Entry'!$H$5:$H$6000,'Expense Entry'!$E$5:$E$6000,"Inventory Purchase",'Expense Entry'!$F$5:$F$6000,$A397)</f>
        <v>0</v>
      </c>
      <c r="H397" s="13" t="n">
        <f aca="false">SUMIFS('Purchase Orders'!$F$5:$F$3000,'Purchase Orders'!$L$5:$L$3000,"Received",'Purchase Orders'!$D$5:$D$3000,$A397)</f>
        <v>0</v>
      </c>
      <c r="I397" s="13" t="n">
        <f aca="false">$G397+$H397</f>
        <v>0</v>
      </c>
      <c r="J397" s="13" t="n">
        <f aca="false">SUMIFS('Issue Log'!$E$5:$E$6000,'Issue Log'!$B$5:$B$6000,$A397)</f>
        <v>0</v>
      </c>
      <c r="K397" s="13" t="n">
        <f aca="false">$F397+$I397-$J397</f>
        <v>0</v>
      </c>
      <c r="L397" s="13" t="n">
        <f aca="false">$K397*$E397</f>
        <v>0</v>
      </c>
    </row>
    <row r="398" customFormat="false" ht="15" hidden="false" customHeight="true" outlineLevel="0" collapsed="false">
      <c r="A398" s="12" t="s">
        <v>1352</v>
      </c>
      <c r="B398" s="12" t="s">
        <v>1353</v>
      </c>
      <c r="C398" s="12" t="s">
        <v>131</v>
      </c>
      <c r="D398" s="12" t="s">
        <v>246</v>
      </c>
      <c r="E398" s="13" t="n">
        <v>2150</v>
      </c>
      <c r="F398" s="13" t="n">
        <v>1</v>
      </c>
      <c r="G398" s="13" t="n">
        <f aca="false">SUMIFS('Expense Entry'!$H$5:$H$6000,'Expense Entry'!$E$5:$E$6000,"Inventory Purchase",'Expense Entry'!$F$5:$F$6000,$A398)</f>
        <v>0</v>
      </c>
      <c r="H398" s="13" t="n">
        <f aca="false">SUMIFS('Purchase Orders'!$F$5:$F$3000,'Purchase Orders'!$L$5:$L$3000,"Received",'Purchase Orders'!$D$5:$D$3000,$A398)</f>
        <v>0</v>
      </c>
      <c r="I398" s="13" t="n">
        <f aca="false">$G398+$H398</f>
        <v>0</v>
      </c>
      <c r="J398" s="13" t="n">
        <f aca="false">SUMIFS('Issue Log'!$E$5:$E$6000,'Issue Log'!$B$5:$B$6000,$A398)</f>
        <v>0</v>
      </c>
      <c r="K398" s="13" t="n">
        <f aca="false">$F398+$I398-$J398</f>
        <v>1</v>
      </c>
      <c r="L398" s="13" t="n">
        <f aca="false">$K398*$E398</f>
        <v>2150</v>
      </c>
    </row>
    <row r="399" customFormat="false" ht="15" hidden="false" customHeight="true" outlineLevel="0" collapsed="false">
      <c r="A399" s="12" t="s">
        <v>1355</v>
      </c>
      <c r="B399" s="12" t="s">
        <v>1356</v>
      </c>
      <c r="C399" s="12" t="s">
        <v>131</v>
      </c>
      <c r="D399" s="12" t="s">
        <v>246</v>
      </c>
      <c r="E399" s="13" t="n">
        <v>2.75</v>
      </c>
      <c r="F399" s="13" t="n">
        <v>0</v>
      </c>
      <c r="G399" s="13" t="n">
        <f aca="false">SUMIFS('Expense Entry'!$H$5:$H$6000,'Expense Entry'!$E$5:$E$6000,"Inventory Purchase",'Expense Entry'!$F$5:$F$6000,$A399)</f>
        <v>0</v>
      </c>
      <c r="H399" s="13" t="n">
        <f aca="false">SUMIFS('Purchase Orders'!$F$5:$F$3000,'Purchase Orders'!$L$5:$L$3000,"Received",'Purchase Orders'!$D$5:$D$3000,$A399)</f>
        <v>0</v>
      </c>
      <c r="I399" s="13" t="n">
        <f aca="false">$G399+$H399</f>
        <v>0</v>
      </c>
      <c r="J399" s="13" t="n">
        <f aca="false">SUMIFS('Issue Log'!$E$5:$E$6000,'Issue Log'!$B$5:$B$6000,$A399)</f>
        <v>0</v>
      </c>
      <c r="K399" s="13" t="n">
        <f aca="false">$F399+$I399-$J399</f>
        <v>0</v>
      </c>
      <c r="L399" s="13" t="n">
        <f aca="false">$K399*$E399</f>
        <v>0</v>
      </c>
    </row>
    <row r="400" customFormat="false" ht="15" hidden="false" customHeight="true" outlineLevel="0" collapsed="false">
      <c r="A400" s="12" t="s">
        <v>1358</v>
      </c>
      <c r="B400" s="12" t="s">
        <v>1359</v>
      </c>
      <c r="C400" s="12" t="s">
        <v>131</v>
      </c>
      <c r="D400" s="12" t="s">
        <v>246</v>
      </c>
      <c r="E400" s="13" t="n">
        <v>1</v>
      </c>
      <c r="F400" s="13" t="n">
        <v>0</v>
      </c>
      <c r="G400" s="13" t="n">
        <f aca="false">SUMIFS('Expense Entry'!$H$5:$H$6000,'Expense Entry'!$E$5:$E$6000,"Inventory Purchase",'Expense Entry'!$F$5:$F$6000,$A400)</f>
        <v>0</v>
      </c>
      <c r="H400" s="13" t="n">
        <f aca="false">SUMIFS('Purchase Orders'!$F$5:$F$3000,'Purchase Orders'!$L$5:$L$3000,"Received",'Purchase Orders'!$D$5:$D$3000,$A400)</f>
        <v>0</v>
      </c>
      <c r="I400" s="13" t="n">
        <f aca="false">$G400+$H400</f>
        <v>0</v>
      </c>
      <c r="J400" s="13" t="n">
        <f aca="false">SUMIFS('Issue Log'!$E$5:$E$6000,'Issue Log'!$B$5:$B$6000,$A400)</f>
        <v>0</v>
      </c>
      <c r="K400" s="13" t="n">
        <f aca="false">$F400+$I400-$J400</f>
        <v>0</v>
      </c>
      <c r="L400" s="13" t="n">
        <f aca="false">$K400*$E400</f>
        <v>0</v>
      </c>
    </row>
    <row r="401" customFormat="false" ht="15" hidden="false" customHeight="true" outlineLevel="0" collapsed="false">
      <c r="A401" s="12" t="s">
        <v>1361</v>
      </c>
      <c r="B401" s="12" t="s">
        <v>1362</v>
      </c>
      <c r="C401" s="12" t="s">
        <v>131</v>
      </c>
      <c r="D401" s="12" t="s">
        <v>246</v>
      </c>
      <c r="E401" s="13" t="n">
        <v>2.75</v>
      </c>
      <c r="F401" s="13" t="n">
        <v>1</v>
      </c>
      <c r="G401" s="13" t="n">
        <f aca="false">SUMIFS('Expense Entry'!$H$5:$H$6000,'Expense Entry'!$E$5:$E$6000,"Inventory Purchase",'Expense Entry'!$F$5:$F$6000,$A401)</f>
        <v>0</v>
      </c>
      <c r="H401" s="13" t="n">
        <f aca="false">SUMIFS('Purchase Orders'!$F$5:$F$3000,'Purchase Orders'!$L$5:$L$3000,"Received",'Purchase Orders'!$D$5:$D$3000,$A401)</f>
        <v>0</v>
      </c>
      <c r="I401" s="13" t="n">
        <f aca="false">$G401+$H401</f>
        <v>0</v>
      </c>
      <c r="J401" s="13" t="n">
        <f aca="false">SUMIFS('Issue Log'!$E$5:$E$6000,'Issue Log'!$B$5:$B$6000,$A401)</f>
        <v>0</v>
      </c>
      <c r="K401" s="13" t="n">
        <f aca="false">$F401+$I401-$J401</f>
        <v>1</v>
      </c>
      <c r="L401" s="13" t="n">
        <f aca="false">$K401*$E401</f>
        <v>2.75</v>
      </c>
    </row>
    <row r="402" customFormat="false" ht="15" hidden="false" customHeight="true" outlineLevel="0" collapsed="false">
      <c r="A402" s="12" t="s">
        <v>1364</v>
      </c>
      <c r="B402" s="12" t="s">
        <v>1365</v>
      </c>
      <c r="C402" s="12" t="s">
        <v>131</v>
      </c>
      <c r="D402" s="12" t="s">
        <v>246</v>
      </c>
      <c r="E402" s="13" t="n">
        <v>2.5</v>
      </c>
      <c r="F402" s="13" t="n">
        <v>0</v>
      </c>
      <c r="G402" s="13" t="n">
        <f aca="false">SUMIFS('Expense Entry'!$H$5:$H$6000,'Expense Entry'!$E$5:$E$6000,"Inventory Purchase",'Expense Entry'!$F$5:$F$6000,$A402)</f>
        <v>0</v>
      </c>
      <c r="H402" s="13" t="n">
        <f aca="false">SUMIFS('Purchase Orders'!$F$5:$F$3000,'Purchase Orders'!$L$5:$L$3000,"Received",'Purchase Orders'!$D$5:$D$3000,$A402)</f>
        <v>0</v>
      </c>
      <c r="I402" s="13" t="n">
        <f aca="false">$G402+$H402</f>
        <v>0</v>
      </c>
      <c r="J402" s="13" t="n">
        <f aca="false">SUMIFS('Issue Log'!$E$5:$E$6000,'Issue Log'!$B$5:$B$6000,$A402)</f>
        <v>0</v>
      </c>
      <c r="K402" s="13" t="n">
        <f aca="false">$F402+$I402-$J402</f>
        <v>0</v>
      </c>
      <c r="L402" s="13" t="n">
        <f aca="false">$K402*$E402</f>
        <v>0</v>
      </c>
    </row>
    <row r="403" customFormat="false" ht="15" hidden="false" customHeight="true" outlineLevel="0" collapsed="false">
      <c r="A403" s="12" t="s">
        <v>1366</v>
      </c>
      <c r="B403" s="12" t="s">
        <v>1367</v>
      </c>
      <c r="C403" s="12" t="s">
        <v>135</v>
      </c>
      <c r="D403" s="12" t="s">
        <v>246</v>
      </c>
      <c r="E403" s="13" t="n">
        <v>2000</v>
      </c>
      <c r="F403" s="13" t="n">
        <v>0</v>
      </c>
      <c r="G403" s="13" t="n">
        <f aca="false">SUMIFS('Expense Entry'!$H$5:$H$6000,'Expense Entry'!$E$5:$E$6000,"Inventory Purchase",'Expense Entry'!$F$5:$F$6000,$A403)</f>
        <v>0</v>
      </c>
      <c r="H403" s="13" t="n">
        <f aca="false">SUMIFS('Purchase Orders'!$F$5:$F$3000,'Purchase Orders'!$L$5:$L$3000,"Received",'Purchase Orders'!$D$5:$D$3000,$A403)</f>
        <v>0</v>
      </c>
      <c r="I403" s="13" t="n">
        <f aca="false">$G403+$H403</f>
        <v>0</v>
      </c>
      <c r="J403" s="13" t="n">
        <f aca="false">SUMIFS('Issue Log'!$E$5:$E$6000,'Issue Log'!$B$5:$B$6000,$A403)</f>
        <v>0</v>
      </c>
      <c r="K403" s="13" t="n">
        <f aca="false">$F403+$I403-$J403</f>
        <v>0</v>
      </c>
      <c r="L403" s="13" t="n">
        <f aca="false">$K403*$E403</f>
        <v>0</v>
      </c>
    </row>
    <row r="404" customFormat="false" ht="15" hidden="false" customHeight="true" outlineLevel="0" collapsed="false">
      <c r="A404" s="12" t="s">
        <v>1369</v>
      </c>
      <c r="B404" s="12" t="s">
        <v>1370</v>
      </c>
      <c r="C404" s="12" t="s">
        <v>135</v>
      </c>
      <c r="D404" s="12" t="s">
        <v>246</v>
      </c>
      <c r="E404" s="13" t="n">
        <v>1100</v>
      </c>
      <c r="F404" s="13" t="n">
        <v>0</v>
      </c>
      <c r="G404" s="13" t="n">
        <f aca="false">SUMIFS('Expense Entry'!$H$5:$H$6000,'Expense Entry'!$E$5:$E$6000,"Inventory Purchase",'Expense Entry'!$F$5:$F$6000,$A404)</f>
        <v>0</v>
      </c>
      <c r="H404" s="13" t="n">
        <f aca="false">SUMIFS('Purchase Orders'!$F$5:$F$3000,'Purchase Orders'!$L$5:$L$3000,"Received",'Purchase Orders'!$D$5:$D$3000,$A404)</f>
        <v>0</v>
      </c>
      <c r="I404" s="13" t="n">
        <f aca="false">$G404+$H404</f>
        <v>0</v>
      </c>
      <c r="J404" s="13" t="n">
        <f aca="false">SUMIFS('Issue Log'!$E$5:$E$6000,'Issue Log'!$B$5:$B$6000,$A404)</f>
        <v>0</v>
      </c>
      <c r="K404" s="13" t="n">
        <f aca="false">$F404+$I404-$J404</f>
        <v>0</v>
      </c>
      <c r="L404" s="13" t="n">
        <f aca="false">$K404*$E404</f>
        <v>0</v>
      </c>
    </row>
    <row r="405" customFormat="false" ht="15" hidden="false" customHeight="true" outlineLevel="0" collapsed="false">
      <c r="A405" s="12" t="s">
        <v>1371</v>
      </c>
      <c r="B405" s="12" t="s">
        <v>1372</v>
      </c>
      <c r="C405" s="12" t="s">
        <v>135</v>
      </c>
      <c r="D405" s="12" t="s">
        <v>246</v>
      </c>
      <c r="E405" s="13" t="n">
        <v>1400</v>
      </c>
      <c r="F405" s="13" t="n">
        <v>0</v>
      </c>
      <c r="G405" s="13" t="n">
        <f aca="false">SUMIFS('Expense Entry'!$H$5:$H$6000,'Expense Entry'!$E$5:$E$6000,"Inventory Purchase",'Expense Entry'!$F$5:$F$6000,$A405)</f>
        <v>0</v>
      </c>
      <c r="H405" s="13" t="n">
        <f aca="false">SUMIFS('Purchase Orders'!$F$5:$F$3000,'Purchase Orders'!$L$5:$L$3000,"Received",'Purchase Orders'!$D$5:$D$3000,$A405)</f>
        <v>0</v>
      </c>
      <c r="I405" s="13" t="n">
        <f aca="false">$G405+$H405</f>
        <v>0</v>
      </c>
      <c r="J405" s="13" t="n">
        <f aca="false">SUMIFS('Issue Log'!$E$5:$E$6000,'Issue Log'!$B$5:$B$6000,$A405)</f>
        <v>0</v>
      </c>
      <c r="K405" s="13" t="n">
        <f aca="false">$F405+$I405-$J405</f>
        <v>0</v>
      </c>
      <c r="L405" s="13" t="n">
        <f aca="false">$K405*$E405</f>
        <v>0</v>
      </c>
    </row>
    <row r="406" customFormat="false" ht="15" hidden="false" customHeight="true" outlineLevel="0" collapsed="false">
      <c r="A406" s="12" t="s">
        <v>1373</v>
      </c>
      <c r="B406" s="12" t="s">
        <v>1374</v>
      </c>
      <c r="C406" s="12" t="s">
        <v>135</v>
      </c>
      <c r="D406" s="12" t="s">
        <v>246</v>
      </c>
      <c r="E406" s="13" t="n">
        <v>770</v>
      </c>
      <c r="F406" s="13" t="n">
        <v>0</v>
      </c>
      <c r="G406" s="13" t="n">
        <f aca="false">SUMIFS('Expense Entry'!$H$5:$H$6000,'Expense Entry'!$E$5:$E$6000,"Inventory Purchase",'Expense Entry'!$F$5:$F$6000,$A406)</f>
        <v>0</v>
      </c>
      <c r="H406" s="13" t="n">
        <f aca="false">SUMIFS('Purchase Orders'!$F$5:$F$3000,'Purchase Orders'!$L$5:$L$3000,"Received",'Purchase Orders'!$D$5:$D$3000,$A406)</f>
        <v>0</v>
      </c>
      <c r="I406" s="13" t="n">
        <f aca="false">$G406+$H406</f>
        <v>0</v>
      </c>
      <c r="J406" s="13" t="n">
        <f aca="false">SUMIFS('Issue Log'!$E$5:$E$6000,'Issue Log'!$B$5:$B$6000,$A406)</f>
        <v>0</v>
      </c>
      <c r="K406" s="13" t="n">
        <f aca="false">$F406+$I406-$J406</f>
        <v>0</v>
      </c>
      <c r="L406" s="13" t="n">
        <f aca="false">$K406*$E406</f>
        <v>0</v>
      </c>
    </row>
    <row r="407" customFormat="false" ht="15" hidden="false" customHeight="true" outlineLevel="0" collapsed="false">
      <c r="A407" s="12" t="s">
        <v>1376</v>
      </c>
      <c r="B407" s="12" t="s">
        <v>1377</v>
      </c>
      <c r="C407" s="12" t="s">
        <v>135</v>
      </c>
      <c r="D407" s="12" t="s">
        <v>246</v>
      </c>
      <c r="E407" s="13" t="n">
        <v>950</v>
      </c>
      <c r="F407" s="13" t="n">
        <v>0</v>
      </c>
      <c r="G407" s="13" t="n">
        <f aca="false">SUMIFS('Expense Entry'!$H$5:$H$6000,'Expense Entry'!$E$5:$E$6000,"Inventory Purchase",'Expense Entry'!$F$5:$F$6000,$A407)</f>
        <v>0</v>
      </c>
      <c r="H407" s="13" t="n">
        <f aca="false">SUMIFS('Purchase Orders'!$F$5:$F$3000,'Purchase Orders'!$L$5:$L$3000,"Received",'Purchase Orders'!$D$5:$D$3000,$A407)</f>
        <v>0</v>
      </c>
      <c r="I407" s="13" t="n">
        <f aca="false">$G407+$H407</f>
        <v>0</v>
      </c>
      <c r="J407" s="13" t="n">
        <f aca="false">SUMIFS('Issue Log'!$E$5:$E$6000,'Issue Log'!$B$5:$B$6000,$A407)</f>
        <v>0</v>
      </c>
      <c r="K407" s="13" t="n">
        <f aca="false">$F407+$I407-$J407</f>
        <v>0</v>
      </c>
      <c r="L407" s="13" t="n">
        <f aca="false">$K407*$E407</f>
        <v>0</v>
      </c>
    </row>
    <row r="408" customFormat="false" ht="15" hidden="false" customHeight="true" outlineLevel="0" collapsed="false">
      <c r="A408" s="12" t="s">
        <v>1378</v>
      </c>
      <c r="B408" s="12" t="s">
        <v>1379</v>
      </c>
      <c r="C408" s="12" t="s">
        <v>135</v>
      </c>
      <c r="D408" s="12" t="s">
        <v>246</v>
      </c>
      <c r="E408" s="13" t="n">
        <v>740</v>
      </c>
      <c r="F408" s="13" t="n">
        <v>3</v>
      </c>
      <c r="G408" s="13" t="n">
        <f aca="false">SUMIFS('Expense Entry'!$H$5:$H$6000,'Expense Entry'!$E$5:$E$6000,"Inventory Purchase",'Expense Entry'!$F$5:$F$6000,$A408)</f>
        <v>0</v>
      </c>
      <c r="H408" s="13" t="n">
        <f aca="false">SUMIFS('Purchase Orders'!$F$5:$F$3000,'Purchase Orders'!$L$5:$L$3000,"Received",'Purchase Orders'!$D$5:$D$3000,$A408)</f>
        <v>0</v>
      </c>
      <c r="I408" s="13" t="n">
        <f aca="false">$G408+$H408</f>
        <v>0</v>
      </c>
      <c r="J408" s="13" t="n">
        <f aca="false">SUMIFS('Issue Log'!$E$5:$E$6000,'Issue Log'!$B$5:$B$6000,$A408)</f>
        <v>0</v>
      </c>
      <c r="K408" s="13" t="n">
        <f aca="false">$F408+$I408-$J408</f>
        <v>3</v>
      </c>
      <c r="L408" s="13" t="n">
        <f aca="false">$K408*$E408</f>
        <v>2220</v>
      </c>
    </row>
    <row r="409" customFormat="false" ht="15" hidden="false" customHeight="true" outlineLevel="0" collapsed="false">
      <c r="A409" s="12" t="s">
        <v>1381</v>
      </c>
      <c r="B409" s="12" t="s">
        <v>1382</v>
      </c>
      <c r="C409" s="12" t="s">
        <v>135</v>
      </c>
      <c r="D409" s="12" t="s">
        <v>246</v>
      </c>
      <c r="E409" s="13" t="n">
        <v>200</v>
      </c>
      <c r="F409" s="13" t="n">
        <v>6</v>
      </c>
      <c r="G409" s="13" t="n">
        <f aca="false">SUMIFS('Expense Entry'!$H$5:$H$6000,'Expense Entry'!$E$5:$E$6000,"Inventory Purchase",'Expense Entry'!$F$5:$F$6000,$A409)</f>
        <v>0</v>
      </c>
      <c r="H409" s="13" t="n">
        <f aca="false">SUMIFS('Purchase Orders'!$F$5:$F$3000,'Purchase Orders'!$L$5:$L$3000,"Received",'Purchase Orders'!$D$5:$D$3000,$A409)</f>
        <v>0</v>
      </c>
      <c r="I409" s="13" t="n">
        <f aca="false">$G409+$H409</f>
        <v>0</v>
      </c>
      <c r="J409" s="13" t="n">
        <f aca="false">SUMIFS('Issue Log'!$E$5:$E$6000,'Issue Log'!$B$5:$B$6000,$A409)</f>
        <v>0</v>
      </c>
      <c r="K409" s="13" t="n">
        <f aca="false">$F409+$I409-$J409</f>
        <v>6</v>
      </c>
      <c r="L409" s="13" t="n">
        <f aca="false">$K409*$E409</f>
        <v>1200</v>
      </c>
    </row>
    <row r="410" customFormat="false" ht="15" hidden="false" customHeight="true" outlineLevel="0" collapsed="false">
      <c r="A410" s="12" t="s">
        <v>1383</v>
      </c>
      <c r="B410" s="12" t="s">
        <v>1384</v>
      </c>
      <c r="C410" s="12" t="s">
        <v>135</v>
      </c>
      <c r="D410" s="12" t="s">
        <v>246</v>
      </c>
      <c r="E410" s="13" t="n">
        <v>790</v>
      </c>
      <c r="F410" s="13" t="n">
        <v>0</v>
      </c>
      <c r="G410" s="13" t="n">
        <f aca="false">SUMIFS('Expense Entry'!$H$5:$H$6000,'Expense Entry'!$E$5:$E$6000,"Inventory Purchase",'Expense Entry'!$F$5:$F$6000,$A410)</f>
        <v>0</v>
      </c>
      <c r="H410" s="13" t="n">
        <f aca="false">SUMIFS('Purchase Orders'!$F$5:$F$3000,'Purchase Orders'!$L$5:$L$3000,"Received",'Purchase Orders'!$D$5:$D$3000,$A410)</f>
        <v>0</v>
      </c>
      <c r="I410" s="13" t="n">
        <f aca="false">$G410+$H410</f>
        <v>0</v>
      </c>
      <c r="J410" s="13" t="n">
        <f aca="false">SUMIFS('Issue Log'!$E$5:$E$6000,'Issue Log'!$B$5:$B$6000,$A410)</f>
        <v>0</v>
      </c>
      <c r="K410" s="13" t="n">
        <f aca="false">$F410+$I410-$J410</f>
        <v>0</v>
      </c>
      <c r="L410" s="13" t="n">
        <f aca="false">$K410*$E410</f>
        <v>0</v>
      </c>
    </row>
    <row r="411" customFormat="false" ht="15" hidden="false" customHeight="true" outlineLevel="0" collapsed="false">
      <c r="A411" s="12" t="s">
        <v>1386</v>
      </c>
      <c r="B411" s="12" t="s">
        <v>1387</v>
      </c>
      <c r="C411" s="12" t="s">
        <v>135</v>
      </c>
      <c r="D411" s="12" t="s">
        <v>246</v>
      </c>
      <c r="E411" s="13" t="n">
        <v>10000</v>
      </c>
      <c r="F411" s="13" t="n">
        <v>0</v>
      </c>
      <c r="G411" s="13" t="n">
        <f aca="false">SUMIFS('Expense Entry'!$H$5:$H$6000,'Expense Entry'!$E$5:$E$6000,"Inventory Purchase",'Expense Entry'!$F$5:$F$6000,$A411)</f>
        <v>0</v>
      </c>
      <c r="H411" s="13" t="n">
        <f aca="false">SUMIFS('Purchase Orders'!$F$5:$F$3000,'Purchase Orders'!$L$5:$L$3000,"Received",'Purchase Orders'!$D$5:$D$3000,$A411)</f>
        <v>0</v>
      </c>
      <c r="I411" s="13" t="n">
        <f aca="false">$G411+$H411</f>
        <v>0</v>
      </c>
      <c r="J411" s="13" t="n">
        <f aca="false">SUMIFS('Issue Log'!$E$5:$E$6000,'Issue Log'!$B$5:$B$6000,$A411)</f>
        <v>0</v>
      </c>
      <c r="K411" s="13" t="n">
        <f aca="false">$F411+$I411-$J411</f>
        <v>0</v>
      </c>
      <c r="L411" s="13" t="n">
        <f aca="false">$K411*$E411</f>
        <v>0</v>
      </c>
    </row>
    <row r="412" customFormat="false" ht="15" hidden="false" customHeight="true" outlineLevel="0" collapsed="false">
      <c r="A412" s="12" t="s">
        <v>1389</v>
      </c>
      <c r="B412" s="12" t="s">
        <v>1390</v>
      </c>
      <c r="C412" s="12" t="s">
        <v>135</v>
      </c>
      <c r="D412" s="12" t="s">
        <v>246</v>
      </c>
      <c r="E412" s="13" t="n">
        <v>50</v>
      </c>
      <c r="F412" s="13" t="n">
        <v>0</v>
      </c>
      <c r="G412" s="13" t="n">
        <f aca="false">SUMIFS('Expense Entry'!$H$5:$H$6000,'Expense Entry'!$E$5:$E$6000,"Inventory Purchase",'Expense Entry'!$F$5:$F$6000,$A412)</f>
        <v>0</v>
      </c>
      <c r="H412" s="13" t="n">
        <f aca="false">SUMIFS('Purchase Orders'!$F$5:$F$3000,'Purchase Orders'!$L$5:$L$3000,"Received",'Purchase Orders'!$D$5:$D$3000,$A412)</f>
        <v>0</v>
      </c>
      <c r="I412" s="13" t="n">
        <f aca="false">$G412+$H412</f>
        <v>0</v>
      </c>
      <c r="J412" s="13" t="n">
        <f aca="false">SUMIFS('Issue Log'!$E$5:$E$6000,'Issue Log'!$B$5:$B$6000,$A412)</f>
        <v>0</v>
      </c>
      <c r="K412" s="13" t="n">
        <f aca="false">$F412+$I412-$J412</f>
        <v>0</v>
      </c>
      <c r="L412" s="13" t="n">
        <f aca="false">$K412*$E412</f>
        <v>0</v>
      </c>
    </row>
    <row r="413" customFormat="false" ht="15" hidden="false" customHeight="true" outlineLevel="0" collapsed="false">
      <c r="A413" s="12" t="s">
        <v>1392</v>
      </c>
      <c r="B413" s="12" t="s">
        <v>1393</v>
      </c>
      <c r="C413" s="12" t="s">
        <v>135</v>
      </c>
      <c r="D413" s="12" t="s">
        <v>246</v>
      </c>
      <c r="E413" s="13" t="n">
        <v>3500</v>
      </c>
      <c r="F413" s="13" t="n">
        <v>0</v>
      </c>
      <c r="G413" s="13" t="n">
        <f aca="false">SUMIFS('Expense Entry'!$H$5:$H$6000,'Expense Entry'!$E$5:$E$6000,"Inventory Purchase",'Expense Entry'!$F$5:$F$6000,$A413)</f>
        <v>0</v>
      </c>
      <c r="H413" s="13" t="n">
        <f aca="false">SUMIFS('Purchase Orders'!$F$5:$F$3000,'Purchase Orders'!$L$5:$L$3000,"Received",'Purchase Orders'!$D$5:$D$3000,$A413)</f>
        <v>0</v>
      </c>
      <c r="I413" s="13" t="n">
        <f aca="false">$G413+$H413</f>
        <v>0</v>
      </c>
      <c r="J413" s="13" t="n">
        <f aca="false">SUMIFS('Issue Log'!$E$5:$E$6000,'Issue Log'!$B$5:$B$6000,$A413)</f>
        <v>0</v>
      </c>
      <c r="K413" s="13" t="n">
        <f aca="false">$F413+$I413-$J413</f>
        <v>0</v>
      </c>
      <c r="L413" s="13" t="n">
        <f aca="false">$K413*$E413</f>
        <v>0</v>
      </c>
    </row>
    <row r="414" customFormat="false" ht="15" hidden="false" customHeight="true" outlineLevel="0" collapsed="false">
      <c r="A414" s="12" t="s">
        <v>1394</v>
      </c>
      <c r="B414" s="12" t="s">
        <v>1395</v>
      </c>
      <c r="C414" s="12" t="s">
        <v>135</v>
      </c>
      <c r="D414" s="12" t="s">
        <v>246</v>
      </c>
      <c r="E414" s="13" t="n">
        <v>850</v>
      </c>
      <c r="F414" s="13" t="n">
        <v>8</v>
      </c>
      <c r="G414" s="13" t="n">
        <f aca="false">SUMIFS('Expense Entry'!$H$5:$H$6000,'Expense Entry'!$E$5:$E$6000,"Inventory Purchase",'Expense Entry'!$F$5:$F$6000,$A414)</f>
        <v>0</v>
      </c>
      <c r="H414" s="13" t="n">
        <f aca="false">SUMIFS('Purchase Orders'!$F$5:$F$3000,'Purchase Orders'!$L$5:$L$3000,"Received",'Purchase Orders'!$D$5:$D$3000,$A414)</f>
        <v>0</v>
      </c>
      <c r="I414" s="13" t="n">
        <f aca="false">$G414+$H414</f>
        <v>0</v>
      </c>
      <c r="J414" s="13" t="n">
        <f aca="false">SUMIFS('Issue Log'!$E$5:$E$6000,'Issue Log'!$B$5:$B$6000,$A414)</f>
        <v>0</v>
      </c>
      <c r="K414" s="13" t="n">
        <f aca="false">$F414+$I414-$J414</f>
        <v>8</v>
      </c>
      <c r="L414" s="13" t="n">
        <f aca="false">$K414*$E414</f>
        <v>6800</v>
      </c>
    </row>
    <row r="415" customFormat="false" ht="15" hidden="false" customHeight="true" outlineLevel="0" collapsed="false">
      <c r="A415" s="12" t="s">
        <v>1396</v>
      </c>
      <c r="B415" s="12" t="s">
        <v>1397</v>
      </c>
      <c r="C415" s="12" t="s">
        <v>135</v>
      </c>
      <c r="D415" s="12" t="s">
        <v>246</v>
      </c>
      <c r="E415" s="13" t="n">
        <v>770</v>
      </c>
      <c r="F415" s="13" t="n">
        <v>0</v>
      </c>
      <c r="G415" s="13" t="n">
        <f aca="false">SUMIFS('Expense Entry'!$H$5:$H$6000,'Expense Entry'!$E$5:$E$6000,"Inventory Purchase",'Expense Entry'!$F$5:$F$6000,$A415)</f>
        <v>0</v>
      </c>
      <c r="H415" s="13" t="n">
        <f aca="false">SUMIFS('Purchase Orders'!$F$5:$F$3000,'Purchase Orders'!$L$5:$L$3000,"Received",'Purchase Orders'!$D$5:$D$3000,$A415)</f>
        <v>0</v>
      </c>
      <c r="I415" s="13" t="n">
        <f aca="false">$G415+$H415</f>
        <v>0</v>
      </c>
      <c r="J415" s="13" t="n">
        <f aca="false">SUMIFS('Issue Log'!$E$5:$E$6000,'Issue Log'!$B$5:$B$6000,$A415)</f>
        <v>0</v>
      </c>
      <c r="K415" s="13" t="n">
        <f aca="false">$F415+$I415-$J415</f>
        <v>0</v>
      </c>
      <c r="L415" s="13" t="n">
        <f aca="false">$K415*$E415</f>
        <v>0</v>
      </c>
    </row>
    <row r="416" customFormat="false" ht="15" hidden="false" customHeight="true" outlineLevel="0" collapsed="false">
      <c r="A416" s="12" t="s">
        <v>1398</v>
      </c>
      <c r="B416" s="12" t="s">
        <v>1399</v>
      </c>
      <c r="C416" s="12" t="s">
        <v>135</v>
      </c>
      <c r="D416" s="12" t="s">
        <v>246</v>
      </c>
      <c r="E416" s="13" t="n">
        <v>660</v>
      </c>
      <c r="F416" s="13" t="n">
        <v>0</v>
      </c>
      <c r="G416" s="13" t="n">
        <f aca="false">SUMIFS('Expense Entry'!$H$5:$H$6000,'Expense Entry'!$E$5:$E$6000,"Inventory Purchase",'Expense Entry'!$F$5:$F$6000,$A416)</f>
        <v>0</v>
      </c>
      <c r="H416" s="13" t="n">
        <f aca="false">SUMIFS('Purchase Orders'!$F$5:$F$3000,'Purchase Orders'!$L$5:$L$3000,"Received",'Purchase Orders'!$D$5:$D$3000,$A416)</f>
        <v>0</v>
      </c>
      <c r="I416" s="13" t="n">
        <f aca="false">$G416+$H416</f>
        <v>0</v>
      </c>
      <c r="J416" s="13" t="n">
        <f aca="false">SUMIFS('Issue Log'!$E$5:$E$6000,'Issue Log'!$B$5:$B$6000,$A416)</f>
        <v>0</v>
      </c>
      <c r="K416" s="13" t="n">
        <f aca="false">$F416+$I416-$J416</f>
        <v>0</v>
      </c>
      <c r="L416" s="13" t="n">
        <f aca="false">$K416*$E416</f>
        <v>0</v>
      </c>
    </row>
    <row r="417" customFormat="false" ht="15" hidden="false" customHeight="true" outlineLevel="0" collapsed="false">
      <c r="A417" s="12" t="s">
        <v>1400</v>
      </c>
      <c r="B417" s="12" t="s">
        <v>1401</v>
      </c>
      <c r="C417" s="12" t="s">
        <v>135</v>
      </c>
      <c r="D417" s="12" t="s">
        <v>246</v>
      </c>
      <c r="E417" s="13" t="n">
        <v>220</v>
      </c>
      <c r="F417" s="13" t="n">
        <v>4</v>
      </c>
      <c r="G417" s="13" t="n">
        <f aca="false">SUMIFS('Expense Entry'!$H$5:$H$6000,'Expense Entry'!$E$5:$E$6000,"Inventory Purchase",'Expense Entry'!$F$5:$F$6000,$A417)</f>
        <v>0</v>
      </c>
      <c r="H417" s="13" t="n">
        <f aca="false">SUMIFS('Purchase Orders'!$F$5:$F$3000,'Purchase Orders'!$L$5:$L$3000,"Received",'Purchase Orders'!$D$5:$D$3000,$A417)</f>
        <v>0</v>
      </c>
      <c r="I417" s="13" t="n">
        <f aca="false">$G417+$H417</f>
        <v>0</v>
      </c>
      <c r="J417" s="13" t="n">
        <f aca="false">SUMIFS('Issue Log'!$E$5:$E$6000,'Issue Log'!$B$5:$B$6000,$A417)</f>
        <v>0</v>
      </c>
      <c r="K417" s="13" t="n">
        <f aca="false">$F417+$I417-$J417</f>
        <v>4</v>
      </c>
      <c r="L417" s="13" t="n">
        <f aca="false">$K417*$E417</f>
        <v>880</v>
      </c>
    </row>
    <row r="418" customFormat="false" ht="15" hidden="false" customHeight="true" outlineLevel="0" collapsed="false">
      <c r="A418" s="12" t="s">
        <v>1402</v>
      </c>
      <c r="B418" s="12" t="s">
        <v>1403</v>
      </c>
      <c r="C418" s="12" t="s">
        <v>135</v>
      </c>
      <c r="D418" s="12" t="s">
        <v>246</v>
      </c>
      <c r="E418" s="13" t="n">
        <v>220</v>
      </c>
      <c r="F418" s="13" t="n">
        <v>0</v>
      </c>
      <c r="G418" s="13" t="n">
        <f aca="false">SUMIFS('Expense Entry'!$H$5:$H$6000,'Expense Entry'!$E$5:$E$6000,"Inventory Purchase",'Expense Entry'!$F$5:$F$6000,$A418)</f>
        <v>0</v>
      </c>
      <c r="H418" s="13" t="n">
        <f aca="false">SUMIFS('Purchase Orders'!$F$5:$F$3000,'Purchase Orders'!$L$5:$L$3000,"Received",'Purchase Orders'!$D$5:$D$3000,$A418)</f>
        <v>0</v>
      </c>
      <c r="I418" s="13" t="n">
        <f aca="false">$G418+$H418</f>
        <v>0</v>
      </c>
      <c r="J418" s="13" t="n">
        <f aca="false">SUMIFS('Issue Log'!$E$5:$E$6000,'Issue Log'!$B$5:$B$6000,$A418)</f>
        <v>0</v>
      </c>
      <c r="K418" s="13" t="n">
        <f aca="false">$F418+$I418-$J418</f>
        <v>0</v>
      </c>
      <c r="L418" s="13" t="n">
        <f aca="false">$K418*$E418</f>
        <v>0</v>
      </c>
    </row>
    <row r="419" customFormat="false" ht="15" hidden="false" customHeight="true" outlineLevel="0" collapsed="false">
      <c r="A419" s="12" t="s">
        <v>1404</v>
      </c>
      <c r="B419" s="12" t="s">
        <v>1405</v>
      </c>
      <c r="C419" s="12" t="s">
        <v>135</v>
      </c>
      <c r="D419" s="12" t="s">
        <v>246</v>
      </c>
      <c r="E419" s="13" t="n">
        <v>280</v>
      </c>
      <c r="F419" s="13" t="n">
        <v>2</v>
      </c>
      <c r="G419" s="13" t="n">
        <f aca="false">SUMIFS('Expense Entry'!$H$5:$H$6000,'Expense Entry'!$E$5:$E$6000,"Inventory Purchase",'Expense Entry'!$F$5:$F$6000,$A419)</f>
        <v>0</v>
      </c>
      <c r="H419" s="13" t="n">
        <f aca="false">SUMIFS('Purchase Orders'!$F$5:$F$3000,'Purchase Orders'!$L$5:$L$3000,"Received",'Purchase Orders'!$D$5:$D$3000,$A419)</f>
        <v>0</v>
      </c>
      <c r="I419" s="13" t="n">
        <f aca="false">$G419+$H419</f>
        <v>0</v>
      </c>
      <c r="J419" s="13" t="n">
        <f aca="false">SUMIFS('Issue Log'!$E$5:$E$6000,'Issue Log'!$B$5:$B$6000,$A419)</f>
        <v>0</v>
      </c>
      <c r="K419" s="13" t="n">
        <f aca="false">$F419+$I419-$J419</f>
        <v>2</v>
      </c>
      <c r="L419" s="13" t="n">
        <f aca="false">$K419*$E419</f>
        <v>560</v>
      </c>
    </row>
    <row r="420" customFormat="false" ht="15" hidden="false" customHeight="true" outlineLevel="0" collapsed="false">
      <c r="A420" s="12" t="s">
        <v>1406</v>
      </c>
      <c r="B420" s="12" t="s">
        <v>1407</v>
      </c>
      <c r="C420" s="12" t="s">
        <v>135</v>
      </c>
      <c r="D420" s="12" t="s">
        <v>246</v>
      </c>
      <c r="E420" s="13" t="n">
        <v>0</v>
      </c>
      <c r="F420" s="13" t="n">
        <v>0</v>
      </c>
      <c r="G420" s="13" t="n">
        <f aca="false">SUMIFS('Expense Entry'!$H$5:$H$6000,'Expense Entry'!$E$5:$E$6000,"Inventory Purchase",'Expense Entry'!$F$5:$F$6000,$A420)</f>
        <v>0</v>
      </c>
      <c r="H420" s="13" t="n">
        <f aca="false">SUMIFS('Purchase Orders'!$F$5:$F$3000,'Purchase Orders'!$L$5:$L$3000,"Received",'Purchase Orders'!$D$5:$D$3000,$A420)</f>
        <v>0</v>
      </c>
      <c r="I420" s="13" t="n">
        <f aca="false">$G420+$H420</f>
        <v>0</v>
      </c>
      <c r="J420" s="13" t="n">
        <f aca="false">SUMIFS('Issue Log'!$E$5:$E$6000,'Issue Log'!$B$5:$B$6000,$A420)</f>
        <v>0</v>
      </c>
      <c r="K420" s="13" t="n">
        <f aca="false">$F420+$I420-$J420</f>
        <v>0</v>
      </c>
      <c r="L420" s="13" t="n">
        <f aca="false">$K420*$E420</f>
        <v>0</v>
      </c>
    </row>
    <row r="421" customFormat="false" ht="15" hidden="false" customHeight="true" outlineLevel="0" collapsed="false">
      <c r="A421" s="12" t="s">
        <v>1408</v>
      </c>
      <c r="B421" s="12" t="s">
        <v>1409</v>
      </c>
      <c r="C421" s="12" t="s">
        <v>135</v>
      </c>
      <c r="D421" s="12" t="s">
        <v>246</v>
      </c>
      <c r="E421" s="13" t="n">
        <v>2100</v>
      </c>
      <c r="F421" s="13" t="n">
        <v>0</v>
      </c>
      <c r="G421" s="13" t="n">
        <f aca="false">SUMIFS('Expense Entry'!$H$5:$H$6000,'Expense Entry'!$E$5:$E$6000,"Inventory Purchase",'Expense Entry'!$F$5:$F$6000,$A421)</f>
        <v>0</v>
      </c>
      <c r="H421" s="13" t="n">
        <f aca="false">SUMIFS('Purchase Orders'!$F$5:$F$3000,'Purchase Orders'!$L$5:$L$3000,"Received",'Purchase Orders'!$D$5:$D$3000,$A421)</f>
        <v>0</v>
      </c>
      <c r="I421" s="13" t="n">
        <f aca="false">$G421+$H421</f>
        <v>0</v>
      </c>
      <c r="J421" s="13" t="n">
        <f aca="false">SUMIFS('Issue Log'!$E$5:$E$6000,'Issue Log'!$B$5:$B$6000,$A421)</f>
        <v>0</v>
      </c>
      <c r="K421" s="13" t="n">
        <f aca="false">$F421+$I421-$J421</f>
        <v>0</v>
      </c>
      <c r="L421" s="13" t="n">
        <f aca="false">$K421*$E421</f>
        <v>0</v>
      </c>
    </row>
    <row r="422" customFormat="false" ht="15" hidden="false" customHeight="true" outlineLevel="0" collapsed="false">
      <c r="A422" s="12" t="s">
        <v>1410</v>
      </c>
      <c r="B422" s="12" t="s">
        <v>1411</v>
      </c>
      <c r="C422" s="12" t="s">
        <v>135</v>
      </c>
      <c r="D422" s="12" t="s">
        <v>246</v>
      </c>
      <c r="E422" s="13" t="n">
        <v>4000</v>
      </c>
      <c r="F422" s="13" t="n">
        <v>0</v>
      </c>
      <c r="G422" s="13" t="n">
        <f aca="false">SUMIFS('Expense Entry'!$H$5:$H$6000,'Expense Entry'!$E$5:$E$6000,"Inventory Purchase",'Expense Entry'!$F$5:$F$6000,$A422)</f>
        <v>0</v>
      </c>
      <c r="H422" s="13" t="n">
        <f aca="false">SUMIFS('Purchase Orders'!$F$5:$F$3000,'Purchase Orders'!$L$5:$L$3000,"Received",'Purchase Orders'!$D$5:$D$3000,$A422)</f>
        <v>0</v>
      </c>
      <c r="I422" s="13" t="n">
        <f aca="false">$G422+$H422</f>
        <v>0</v>
      </c>
      <c r="J422" s="13" t="n">
        <f aca="false">SUMIFS('Issue Log'!$E$5:$E$6000,'Issue Log'!$B$5:$B$6000,$A422)</f>
        <v>0</v>
      </c>
      <c r="K422" s="13" t="n">
        <f aca="false">$F422+$I422-$J422</f>
        <v>0</v>
      </c>
      <c r="L422" s="13" t="n">
        <f aca="false">$K422*$E422</f>
        <v>0</v>
      </c>
    </row>
    <row r="423" customFormat="false" ht="15" hidden="false" customHeight="true" outlineLevel="0" collapsed="false">
      <c r="A423" s="12" t="s">
        <v>1414</v>
      </c>
      <c r="B423" s="12" t="s">
        <v>1415</v>
      </c>
      <c r="C423" s="12" t="s">
        <v>135</v>
      </c>
      <c r="D423" s="12" t="s">
        <v>246</v>
      </c>
      <c r="E423" s="13" t="n">
        <v>700</v>
      </c>
      <c r="F423" s="13" t="n">
        <v>0</v>
      </c>
      <c r="G423" s="13" t="n">
        <f aca="false">SUMIFS('Expense Entry'!$H$5:$H$6000,'Expense Entry'!$E$5:$E$6000,"Inventory Purchase",'Expense Entry'!$F$5:$F$6000,$A423)</f>
        <v>0</v>
      </c>
      <c r="H423" s="13" t="n">
        <f aca="false">SUMIFS('Purchase Orders'!$F$5:$F$3000,'Purchase Orders'!$L$5:$L$3000,"Received",'Purchase Orders'!$D$5:$D$3000,$A423)</f>
        <v>0</v>
      </c>
      <c r="I423" s="13" t="n">
        <f aca="false">$G423+$H423</f>
        <v>0</v>
      </c>
      <c r="J423" s="13" t="n">
        <f aca="false">SUMIFS('Issue Log'!$E$5:$E$6000,'Issue Log'!$B$5:$B$6000,$A423)</f>
        <v>0</v>
      </c>
      <c r="K423" s="13" t="n">
        <f aca="false">$F423+$I423-$J423</f>
        <v>0</v>
      </c>
      <c r="L423" s="13" t="n">
        <f aca="false">$K423*$E423</f>
        <v>0</v>
      </c>
    </row>
    <row r="424" customFormat="false" ht="15" hidden="false" customHeight="true" outlineLevel="0" collapsed="false">
      <c r="A424" s="12" t="s">
        <v>1416</v>
      </c>
      <c r="B424" s="12" t="s">
        <v>1417</v>
      </c>
      <c r="C424" s="12" t="s">
        <v>128</v>
      </c>
      <c r="D424" s="12" t="s">
        <v>246</v>
      </c>
      <c r="E424" s="13" t="n">
        <v>660</v>
      </c>
      <c r="F424" s="13" t="n">
        <v>0</v>
      </c>
      <c r="G424" s="13" t="n">
        <f aca="false">SUMIFS('Expense Entry'!$H$5:$H$6000,'Expense Entry'!$E$5:$E$6000,"Inventory Purchase",'Expense Entry'!$F$5:$F$6000,$A424)</f>
        <v>0</v>
      </c>
      <c r="H424" s="13" t="n">
        <f aca="false">SUMIFS('Purchase Orders'!$F$5:$F$3000,'Purchase Orders'!$L$5:$L$3000,"Received",'Purchase Orders'!$D$5:$D$3000,$A424)</f>
        <v>0</v>
      </c>
      <c r="I424" s="13" t="n">
        <f aca="false">$G424+$H424</f>
        <v>0</v>
      </c>
      <c r="J424" s="13" t="n">
        <f aca="false">SUMIFS('Issue Log'!$E$5:$E$6000,'Issue Log'!$B$5:$B$6000,$A424)</f>
        <v>0</v>
      </c>
      <c r="K424" s="13" t="n">
        <f aca="false">$F424+$I424-$J424</f>
        <v>0</v>
      </c>
      <c r="L424" s="13" t="n">
        <f aca="false">$K424*$E424</f>
        <v>0</v>
      </c>
    </row>
    <row r="425" customFormat="false" ht="15" hidden="false" customHeight="true" outlineLevel="0" collapsed="false">
      <c r="A425" s="12" t="s">
        <v>1418</v>
      </c>
      <c r="B425" s="12" t="s">
        <v>1419</v>
      </c>
      <c r="C425" s="12" t="s">
        <v>128</v>
      </c>
      <c r="D425" s="12" t="s">
        <v>246</v>
      </c>
      <c r="E425" s="13" t="n">
        <v>450</v>
      </c>
      <c r="F425" s="13" t="n">
        <v>0</v>
      </c>
      <c r="G425" s="13" t="n">
        <f aca="false">SUMIFS('Expense Entry'!$H$5:$H$6000,'Expense Entry'!$E$5:$E$6000,"Inventory Purchase",'Expense Entry'!$F$5:$F$6000,$A425)</f>
        <v>0</v>
      </c>
      <c r="H425" s="13" t="n">
        <f aca="false">SUMIFS('Purchase Orders'!$F$5:$F$3000,'Purchase Orders'!$L$5:$L$3000,"Received",'Purchase Orders'!$D$5:$D$3000,$A425)</f>
        <v>0</v>
      </c>
      <c r="I425" s="13" t="n">
        <f aca="false">$G425+$H425</f>
        <v>0</v>
      </c>
      <c r="J425" s="13" t="n">
        <f aca="false">SUMIFS('Issue Log'!$E$5:$E$6000,'Issue Log'!$B$5:$B$6000,$A425)</f>
        <v>0</v>
      </c>
      <c r="K425" s="13" t="n">
        <f aca="false">$F425+$I425-$J425</f>
        <v>0</v>
      </c>
      <c r="L425" s="13" t="n">
        <f aca="false">$K425*$E425</f>
        <v>0</v>
      </c>
    </row>
    <row r="426" customFormat="false" ht="15" hidden="false" customHeight="true" outlineLevel="0" collapsed="false">
      <c r="A426" s="12" t="s">
        <v>1421</v>
      </c>
      <c r="B426" s="12" t="s">
        <v>1422</v>
      </c>
      <c r="C426" s="12" t="s">
        <v>128</v>
      </c>
      <c r="D426" s="12" t="s">
        <v>246</v>
      </c>
      <c r="E426" s="13" t="n">
        <v>450</v>
      </c>
      <c r="F426" s="13" t="n">
        <v>0</v>
      </c>
      <c r="G426" s="13" t="n">
        <f aca="false">SUMIFS('Expense Entry'!$H$5:$H$6000,'Expense Entry'!$E$5:$E$6000,"Inventory Purchase",'Expense Entry'!$F$5:$F$6000,$A426)</f>
        <v>0</v>
      </c>
      <c r="H426" s="13" t="n">
        <f aca="false">SUMIFS('Purchase Orders'!$F$5:$F$3000,'Purchase Orders'!$L$5:$L$3000,"Received",'Purchase Orders'!$D$5:$D$3000,$A426)</f>
        <v>0</v>
      </c>
      <c r="I426" s="13" t="n">
        <f aca="false">$G426+$H426</f>
        <v>0</v>
      </c>
      <c r="J426" s="13" t="n">
        <f aca="false">SUMIFS('Issue Log'!$E$5:$E$6000,'Issue Log'!$B$5:$B$6000,$A426)</f>
        <v>0</v>
      </c>
      <c r="K426" s="13" t="n">
        <f aca="false">$F426+$I426-$J426</f>
        <v>0</v>
      </c>
      <c r="L426" s="13" t="n">
        <f aca="false">$K426*$E426</f>
        <v>0</v>
      </c>
    </row>
    <row r="427" customFormat="false" ht="15" hidden="false" customHeight="true" outlineLevel="0" collapsed="false">
      <c r="A427" s="12" t="s">
        <v>1424</v>
      </c>
      <c r="B427" s="12" t="s">
        <v>1425</v>
      </c>
      <c r="C427" s="12" t="s">
        <v>128</v>
      </c>
      <c r="D427" s="12" t="s">
        <v>246</v>
      </c>
      <c r="E427" s="13" t="n">
        <v>1300</v>
      </c>
      <c r="F427" s="13" t="n">
        <v>15</v>
      </c>
      <c r="G427" s="13" t="n">
        <f aca="false">SUMIFS('Expense Entry'!$H$5:$H$6000,'Expense Entry'!$E$5:$E$6000,"Inventory Purchase",'Expense Entry'!$F$5:$F$6000,$A427)</f>
        <v>0</v>
      </c>
      <c r="H427" s="13" t="n">
        <f aca="false">SUMIFS('Purchase Orders'!$F$5:$F$3000,'Purchase Orders'!$L$5:$L$3000,"Received",'Purchase Orders'!$D$5:$D$3000,$A427)</f>
        <v>0</v>
      </c>
      <c r="I427" s="13" t="n">
        <f aca="false">$G427+$H427</f>
        <v>0</v>
      </c>
      <c r="J427" s="13" t="n">
        <f aca="false">SUMIFS('Issue Log'!$E$5:$E$6000,'Issue Log'!$B$5:$B$6000,$A427)</f>
        <v>0</v>
      </c>
      <c r="K427" s="13" t="n">
        <f aca="false">$F427+$I427-$J427</f>
        <v>15</v>
      </c>
      <c r="L427" s="13" t="n">
        <f aca="false">$K427*$E427</f>
        <v>19500</v>
      </c>
    </row>
    <row r="428" customFormat="false" ht="15" hidden="false" customHeight="true" outlineLevel="0" collapsed="false">
      <c r="A428" s="12" t="s">
        <v>1426</v>
      </c>
      <c r="B428" s="12" t="s">
        <v>1427</v>
      </c>
      <c r="C428" s="12" t="s">
        <v>128</v>
      </c>
      <c r="D428" s="12" t="s">
        <v>246</v>
      </c>
      <c r="E428" s="13" t="n">
        <v>925</v>
      </c>
      <c r="F428" s="13" t="n">
        <v>0</v>
      </c>
      <c r="G428" s="13" t="n">
        <f aca="false">SUMIFS('Expense Entry'!$H$5:$H$6000,'Expense Entry'!$E$5:$E$6000,"Inventory Purchase",'Expense Entry'!$F$5:$F$6000,$A428)</f>
        <v>0</v>
      </c>
      <c r="H428" s="13" t="n">
        <f aca="false">SUMIFS('Purchase Orders'!$F$5:$F$3000,'Purchase Orders'!$L$5:$L$3000,"Received",'Purchase Orders'!$D$5:$D$3000,$A428)</f>
        <v>0</v>
      </c>
      <c r="I428" s="13" t="n">
        <f aca="false">$G428+$H428</f>
        <v>0</v>
      </c>
      <c r="J428" s="13" t="n">
        <f aca="false">SUMIFS('Issue Log'!$E$5:$E$6000,'Issue Log'!$B$5:$B$6000,$A428)</f>
        <v>0</v>
      </c>
      <c r="K428" s="13" t="n">
        <f aca="false">$F428+$I428-$J428</f>
        <v>0</v>
      </c>
      <c r="L428" s="13" t="n">
        <f aca="false">$K428*$E428</f>
        <v>0</v>
      </c>
    </row>
    <row r="429" customFormat="false" ht="15" hidden="false" customHeight="true" outlineLevel="0" collapsed="false">
      <c r="A429" s="12" t="s">
        <v>1428</v>
      </c>
      <c r="B429" s="12" t="s">
        <v>1429</v>
      </c>
      <c r="C429" s="12" t="s">
        <v>128</v>
      </c>
      <c r="D429" s="12" t="s">
        <v>246</v>
      </c>
      <c r="E429" s="13" t="n">
        <v>1390</v>
      </c>
      <c r="F429" s="13" t="n">
        <v>4</v>
      </c>
      <c r="G429" s="13" t="n">
        <f aca="false">SUMIFS('Expense Entry'!$H$5:$H$6000,'Expense Entry'!$E$5:$E$6000,"Inventory Purchase",'Expense Entry'!$F$5:$F$6000,$A429)</f>
        <v>0</v>
      </c>
      <c r="H429" s="13" t="n">
        <f aca="false">SUMIFS('Purchase Orders'!$F$5:$F$3000,'Purchase Orders'!$L$5:$L$3000,"Received",'Purchase Orders'!$D$5:$D$3000,$A429)</f>
        <v>0</v>
      </c>
      <c r="I429" s="13" t="n">
        <f aca="false">$G429+$H429</f>
        <v>0</v>
      </c>
      <c r="J429" s="13" t="n">
        <f aca="false">SUMIFS('Issue Log'!$E$5:$E$6000,'Issue Log'!$B$5:$B$6000,$A429)</f>
        <v>0</v>
      </c>
      <c r="K429" s="13" t="n">
        <f aca="false">$F429+$I429-$J429</f>
        <v>4</v>
      </c>
      <c r="L429" s="13" t="n">
        <f aca="false">$K429*$E429</f>
        <v>5560</v>
      </c>
    </row>
    <row r="430" customFormat="false" ht="15" hidden="false" customHeight="true" outlineLevel="0" collapsed="false">
      <c r="A430" s="12" t="s">
        <v>1432</v>
      </c>
      <c r="B430" s="12" t="s">
        <v>1433</v>
      </c>
      <c r="C430" s="12" t="s">
        <v>128</v>
      </c>
      <c r="D430" s="12" t="s">
        <v>246</v>
      </c>
      <c r="E430" s="13" t="n">
        <v>920</v>
      </c>
      <c r="F430" s="13" t="n">
        <v>4</v>
      </c>
      <c r="G430" s="13" t="n">
        <f aca="false">SUMIFS('Expense Entry'!$H$5:$H$6000,'Expense Entry'!$E$5:$E$6000,"Inventory Purchase",'Expense Entry'!$F$5:$F$6000,$A430)</f>
        <v>0</v>
      </c>
      <c r="H430" s="13" t="n">
        <f aca="false">SUMIFS('Purchase Orders'!$F$5:$F$3000,'Purchase Orders'!$L$5:$L$3000,"Received",'Purchase Orders'!$D$5:$D$3000,$A430)</f>
        <v>0</v>
      </c>
      <c r="I430" s="13" t="n">
        <f aca="false">$G430+$H430</f>
        <v>0</v>
      </c>
      <c r="J430" s="13" t="n">
        <f aca="false">SUMIFS('Issue Log'!$E$5:$E$6000,'Issue Log'!$B$5:$B$6000,$A430)</f>
        <v>0</v>
      </c>
      <c r="K430" s="13" t="n">
        <f aca="false">$F430+$I430-$J430</f>
        <v>4</v>
      </c>
      <c r="L430" s="13" t="n">
        <f aca="false">$K430*$E430</f>
        <v>3680</v>
      </c>
    </row>
    <row r="431" customFormat="false" ht="15" hidden="false" customHeight="true" outlineLevel="0" collapsed="false">
      <c r="A431" s="12" t="s">
        <v>1436</v>
      </c>
      <c r="B431" s="12" t="s">
        <v>1437</v>
      </c>
      <c r="C431" s="12" t="s">
        <v>128</v>
      </c>
      <c r="D431" s="12" t="s">
        <v>246</v>
      </c>
      <c r="E431" s="13" t="n">
        <v>4650</v>
      </c>
      <c r="F431" s="13" t="n">
        <v>0</v>
      </c>
      <c r="G431" s="13" t="n">
        <f aca="false">SUMIFS('Expense Entry'!$H$5:$H$6000,'Expense Entry'!$E$5:$E$6000,"Inventory Purchase",'Expense Entry'!$F$5:$F$6000,$A431)</f>
        <v>0</v>
      </c>
      <c r="H431" s="13" t="n">
        <f aca="false">SUMIFS('Purchase Orders'!$F$5:$F$3000,'Purchase Orders'!$L$5:$L$3000,"Received",'Purchase Orders'!$D$5:$D$3000,$A431)</f>
        <v>0</v>
      </c>
      <c r="I431" s="13" t="n">
        <f aca="false">$G431+$H431</f>
        <v>0</v>
      </c>
      <c r="J431" s="13" t="n">
        <f aca="false">SUMIFS('Issue Log'!$E$5:$E$6000,'Issue Log'!$B$5:$B$6000,$A431)</f>
        <v>0</v>
      </c>
      <c r="K431" s="13" t="n">
        <f aca="false">$F431+$I431-$J431</f>
        <v>0</v>
      </c>
      <c r="L431" s="13" t="n">
        <f aca="false">$K431*$E431</f>
        <v>0</v>
      </c>
    </row>
    <row r="432" customFormat="false" ht="15" hidden="false" customHeight="true" outlineLevel="0" collapsed="false">
      <c r="A432" s="12" t="s">
        <v>1440</v>
      </c>
      <c r="B432" s="12" t="s">
        <v>1441</v>
      </c>
      <c r="C432" s="12" t="s">
        <v>128</v>
      </c>
      <c r="D432" s="12" t="s">
        <v>246</v>
      </c>
      <c r="E432" s="13" t="n">
        <v>470</v>
      </c>
      <c r="F432" s="13" t="n">
        <v>0</v>
      </c>
      <c r="G432" s="13" t="n">
        <f aca="false">SUMIFS('Expense Entry'!$H$5:$H$6000,'Expense Entry'!$E$5:$E$6000,"Inventory Purchase",'Expense Entry'!$F$5:$F$6000,$A432)</f>
        <v>0</v>
      </c>
      <c r="H432" s="13" t="n">
        <f aca="false">SUMIFS('Purchase Orders'!$F$5:$F$3000,'Purchase Orders'!$L$5:$L$3000,"Received",'Purchase Orders'!$D$5:$D$3000,$A432)</f>
        <v>0</v>
      </c>
      <c r="I432" s="13" t="n">
        <f aca="false">$G432+$H432</f>
        <v>0</v>
      </c>
      <c r="J432" s="13" t="n">
        <f aca="false">SUMIFS('Issue Log'!$E$5:$E$6000,'Issue Log'!$B$5:$B$6000,$A432)</f>
        <v>0</v>
      </c>
      <c r="K432" s="13" t="n">
        <f aca="false">$F432+$I432-$J432</f>
        <v>0</v>
      </c>
      <c r="L432" s="13" t="n">
        <f aca="false">$K432*$E432</f>
        <v>0</v>
      </c>
    </row>
    <row r="433" customFormat="false" ht="15" hidden="false" customHeight="true" outlineLevel="0" collapsed="false">
      <c r="A433" s="12" t="s">
        <v>1443</v>
      </c>
      <c r="B433" s="12" t="s">
        <v>1444</v>
      </c>
      <c r="C433" s="12" t="s">
        <v>128</v>
      </c>
      <c r="D433" s="12" t="s">
        <v>246</v>
      </c>
      <c r="E433" s="13" t="n">
        <v>377</v>
      </c>
      <c r="F433" s="13" t="n">
        <v>0</v>
      </c>
      <c r="G433" s="13" t="n">
        <f aca="false">SUMIFS('Expense Entry'!$H$5:$H$6000,'Expense Entry'!$E$5:$E$6000,"Inventory Purchase",'Expense Entry'!$F$5:$F$6000,$A433)</f>
        <v>0</v>
      </c>
      <c r="H433" s="13" t="n">
        <f aca="false">SUMIFS('Purchase Orders'!$F$5:$F$3000,'Purchase Orders'!$L$5:$L$3000,"Received",'Purchase Orders'!$D$5:$D$3000,$A433)</f>
        <v>0</v>
      </c>
      <c r="I433" s="13" t="n">
        <f aca="false">$G433+$H433</f>
        <v>0</v>
      </c>
      <c r="J433" s="13" t="n">
        <f aca="false">SUMIFS('Issue Log'!$E$5:$E$6000,'Issue Log'!$B$5:$B$6000,$A433)</f>
        <v>0</v>
      </c>
      <c r="K433" s="13" t="n">
        <f aca="false">$F433+$I433-$J433</f>
        <v>0</v>
      </c>
      <c r="L433" s="13" t="n">
        <f aca="false">$K433*$E433</f>
        <v>0</v>
      </c>
    </row>
    <row r="434" customFormat="false" ht="15" hidden="false" customHeight="true" outlineLevel="0" collapsed="false">
      <c r="A434" s="12" t="s">
        <v>1447</v>
      </c>
      <c r="B434" s="12" t="s">
        <v>1448</v>
      </c>
      <c r="C434" s="12" t="s">
        <v>128</v>
      </c>
      <c r="D434" s="12" t="s">
        <v>246</v>
      </c>
      <c r="E434" s="13" t="n">
        <v>80</v>
      </c>
      <c r="F434" s="13" t="n">
        <v>0</v>
      </c>
      <c r="G434" s="13" t="n">
        <f aca="false">SUMIFS('Expense Entry'!$H$5:$H$6000,'Expense Entry'!$E$5:$E$6000,"Inventory Purchase",'Expense Entry'!$F$5:$F$6000,$A434)</f>
        <v>0</v>
      </c>
      <c r="H434" s="13" t="n">
        <f aca="false">SUMIFS('Purchase Orders'!$F$5:$F$3000,'Purchase Orders'!$L$5:$L$3000,"Received",'Purchase Orders'!$D$5:$D$3000,$A434)</f>
        <v>0</v>
      </c>
      <c r="I434" s="13" t="n">
        <f aca="false">$G434+$H434</f>
        <v>0</v>
      </c>
      <c r="J434" s="13" t="n">
        <f aca="false">SUMIFS('Issue Log'!$E$5:$E$6000,'Issue Log'!$B$5:$B$6000,$A434)</f>
        <v>0</v>
      </c>
      <c r="K434" s="13" t="n">
        <f aca="false">$F434+$I434-$J434</f>
        <v>0</v>
      </c>
      <c r="L434" s="13" t="n">
        <f aca="false">$K434*$E434</f>
        <v>0</v>
      </c>
    </row>
    <row r="435" customFormat="false" ht="15" hidden="false" customHeight="true" outlineLevel="0" collapsed="false">
      <c r="A435" s="12" t="s">
        <v>1449</v>
      </c>
      <c r="B435" s="12" t="s">
        <v>1450</v>
      </c>
      <c r="C435" s="12" t="s">
        <v>128</v>
      </c>
      <c r="D435" s="12" t="s">
        <v>246</v>
      </c>
      <c r="E435" s="13" t="n">
        <v>314</v>
      </c>
      <c r="F435" s="13" t="n">
        <v>0</v>
      </c>
      <c r="G435" s="13" t="n">
        <f aca="false">SUMIFS('Expense Entry'!$H$5:$H$6000,'Expense Entry'!$E$5:$E$6000,"Inventory Purchase",'Expense Entry'!$F$5:$F$6000,$A435)</f>
        <v>0</v>
      </c>
      <c r="H435" s="13" t="n">
        <f aca="false">SUMIFS('Purchase Orders'!$F$5:$F$3000,'Purchase Orders'!$L$5:$L$3000,"Received",'Purchase Orders'!$D$5:$D$3000,$A435)</f>
        <v>0</v>
      </c>
      <c r="I435" s="13" t="n">
        <f aca="false">$G435+$H435</f>
        <v>0</v>
      </c>
      <c r="J435" s="13" t="n">
        <f aca="false">SUMIFS('Issue Log'!$E$5:$E$6000,'Issue Log'!$B$5:$B$6000,$A435)</f>
        <v>0</v>
      </c>
      <c r="K435" s="13" t="n">
        <f aca="false">$F435+$I435-$J435</f>
        <v>0</v>
      </c>
      <c r="L435" s="13" t="n">
        <f aca="false">$K435*$E435</f>
        <v>0</v>
      </c>
    </row>
    <row r="436" customFormat="false" ht="15" hidden="false" customHeight="true" outlineLevel="0" collapsed="false">
      <c r="A436" s="12" t="s">
        <v>1451</v>
      </c>
      <c r="B436" s="12" t="s">
        <v>1452</v>
      </c>
      <c r="C436" s="12" t="s">
        <v>128</v>
      </c>
      <c r="D436" s="12" t="s">
        <v>246</v>
      </c>
      <c r="E436" s="13" t="n">
        <v>87.5</v>
      </c>
      <c r="F436" s="13" t="n">
        <v>30</v>
      </c>
      <c r="G436" s="13" t="n">
        <f aca="false">SUMIFS('Expense Entry'!$H$5:$H$6000,'Expense Entry'!$E$5:$E$6000,"Inventory Purchase",'Expense Entry'!$F$5:$F$6000,$A436)</f>
        <v>0</v>
      </c>
      <c r="H436" s="13" t="n">
        <f aca="false">SUMIFS('Purchase Orders'!$F$5:$F$3000,'Purchase Orders'!$L$5:$L$3000,"Received",'Purchase Orders'!$D$5:$D$3000,$A436)</f>
        <v>0</v>
      </c>
      <c r="I436" s="13" t="n">
        <f aca="false">$G436+$H436</f>
        <v>0</v>
      </c>
      <c r="J436" s="13" t="n">
        <f aca="false">SUMIFS('Issue Log'!$E$5:$E$6000,'Issue Log'!$B$5:$B$6000,$A436)</f>
        <v>0</v>
      </c>
      <c r="K436" s="13" t="n">
        <f aca="false">$F436+$I436-$J436</f>
        <v>30</v>
      </c>
      <c r="L436" s="13" t="n">
        <f aca="false">$K436*$E436</f>
        <v>2625</v>
      </c>
    </row>
    <row r="437" customFormat="false" ht="15" hidden="false" customHeight="true" outlineLevel="0" collapsed="false">
      <c r="A437" s="12" t="s">
        <v>1453</v>
      </c>
      <c r="B437" s="12" t="s">
        <v>1454</v>
      </c>
      <c r="C437" s="12" t="s">
        <v>128</v>
      </c>
      <c r="D437" s="12" t="s">
        <v>246</v>
      </c>
      <c r="E437" s="13" t="n">
        <v>1250</v>
      </c>
      <c r="F437" s="13" t="n">
        <v>0</v>
      </c>
      <c r="G437" s="13" t="n">
        <f aca="false">SUMIFS('Expense Entry'!$H$5:$H$6000,'Expense Entry'!$E$5:$E$6000,"Inventory Purchase",'Expense Entry'!$F$5:$F$6000,$A437)</f>
        <v>0</v>
      </c>
      <c r="H437" s="13" t="n">
        <f aca="false">SUMIFS('Purchase Orders'!$F$5:$F$3000,'Purchase Orders'!$L$5:$L$3000,"Received",'Purchase Orders'!$D$5:$D$3000,$A437)</f>
        <v>0</v>
      </c>
      <c r="I437" s="13" t="n">
        <f aca="false">$G437+$H437</f>
        <v>0</v>
      </c>
      <c r="J437" s="13" t="n">
        <f aca="false">SUMIFS('Issue Log'!$E$5:$E$6000,'Issue Log'!$B$5:$B$6000,$A437)</f>
        <v>0</v>
      </c>
      <c r="K437" s="13" t="n">
        <f aca="false">$F437+$I437-$J437</f>
        <v>0</v>
      </c>
      <c r="L437" s="13" t="n">
        <f aca="false">$K437*$E437</f>
        <v>0</v>
      </c>
    </row>
    <row r="438" customFormat="false" ht="15" hidden="false" customHeight="true" outlineLevel="0" collapsed="false">
      <c r="A438" s="12" t="s">
        <v>1455</v>
      </c>
      <c r="B438" s="12" t="s">
        <v>1456</v>
      </c>
      <c r="C438" s="12" t="s">
        <v>128</v>
      </c>
      <c r="D438" s="12" t="s">
        <v>246</v>
      </c>
      <c r="E438" s="13" t="n">
        <v>350</v>
      </c>
      <c r="F438" s="13" t="n">
        <v>0</v>
      </c>
      <c r="G438" s="13" t="n">
        <f aca="false">SUMIFS('Expense Entry'!$H$5:$H$6000,'Expense Entry'!$E$5:$E$6000,"Inventory Purchase",'Expense Entry'!$F$5:$F$6000,$A438)</f>
        <v>0</v>
      </c>
      <c r="H438" s="13" t="n">
        <f aca="false">SUMIFS('Purchase Orders'!$F$5:$F$3000,'Purchase Orders'!$L$5:$L$3000,"Received",'Purchase Orders'!$D$5:$D$3000,$A438)</f>
        <v>0</v>
      </c>
      <c r="I438" s="13" t="n">
        <f aca="false">$G438+$H438</f>
        <v>0</v>
      </c>
      <c r="J438" s="13" t="n">
        <f aca="false">SUMIFS('Issue Log'!$E$5:$E$6000,'Issue Log'!$B$5:$B$6000,$A438)</f>
        <v>0</v>
      </c>
      <c r="K438" s="13" t="n">
        <f aca="false">$F438+$I438-$J438</f>
        <v>0</v>
      </c>
      <c r="L438" s="13" t="n">
        <f aca="false">$K438*$E438</f>
        <v>0</v>
      </c>
    </row>
    <row r="439" customFormat="false" ht="15" hidden="false" customHeight="true" outlineLevel="0" collapsed="false">
      <c r="A439" s="12" t="s">
        <v>1458</v>
      </c>
      <c r="B439" s="12" t="s">
        <v>1459</v>
      </c>
      <c r="C439" s="12" t="s">
        <v>128</v>
      </c>
      <c r="D439" s="12" t="s">
        <v>246</v>
      </c>
      <c r="E439" s="13" t="n">
        <v>850</v>
      </c>
      <c r="F439" s="13" t="n">
        <v>100</v>
      </c>
      <c r="G439" s="13" t="n">
        <f aca="false">SUMIFS('Expense Entry'!$H$5:$H$6000,'Expense Entry'!$E$5:$E$6000,"Inventory Purchase",'Expense Entry'!$F$5:$F$6000,$A439)</f>
        <v>0</v>
      </c>
      <c r="H439" s="13" t="n">
        <f aca="false">SUMIFS('Purchase Orders'!$F$5:$F$3000,'Purchase Orders'!$L$5:$L$3000,"Received",'Purchase Orders'!$D$5:$D$3000,$A439)</f>
        <v>0</v>
      </c>
      <c r="I439" s="13" t="n">
        <f aca="false">$G439+$H439</f>
        <v>0</v>
      </c>
      <c r="J439" s="13" t="n">
        <f aca="false">SUMIFS('Issue Log'!$E$5:$E$6000,'Issue Log'!$B$5:$B$6000,$A439)</f>
        <v>0</v>
      </c>
      <c r="K439" s="13" t="n">
        <f aca="false">$F439+$I439-$J439</f>
        <v>100</v>
      </c>
      <c r="L439" s="13" t="n">
        <f aca="false">$K439*$E439</f>
        <v>85000</v>
      </c>
    </row>
    <row r="440" customFormat="false" ht="15" hidden="false" customHeight="true" outlineLevel="0" collapsed="false">
      <c r="A440" s="12" t="s">
        <v>1461</v>
      </c>
      <c r="B440" s="12" t="s">
        <v>1462</v>
      </c>
      <c r="C440" s="12" t="s">
        <v>128</v>
      </c>
      <c r="D440" s="12" t="s">
        <v>246</v>
      </c>
      <c r="E440" s="13" t="n">
        <v>1150</v>
      </c>
      <c r="F440" s="13" t="n">
        <v>100</v>
      </c>
      <c r="G440" s="13" t="n">
        <f aca="false">SUMIFS('Expense Entry'!$H$5:$H$6000,'Expense Entry'!$E$5:$E$6000,"Inventory Purchase",'Expense Entry'!$F$5:$F$6000,$A440)</f>
        <v>0</v>
      </c>
      <c r="H440" s="13" t="n">
        <f aca="false">SUMIFS('Purchase Orders'!$F$5:$F$3000,'Purchase Orders'!$L$5:$L$3000,"Received",'Purchase Orders'!$D$5:$D$3000,$A440)</f>
        <v>0</v>
      </c>
      <c r="I440" s="13" t="n">
        <f aca="false">$G440+$H440</f>
        <v>0</v>
      </c>
      <c r="J440" s="13" t="n">
        <f aca="false">SUMIFS('Issue Log'!$E$5:$E$6000,'Issue Log'!$B$5:$B$6000,$A440)</f>
        <v>0</v>
      </c>
      <c r="K440" s="13" t="n">
        <f aca="false">$F440+$I440-$J440</f>
        <v>100</v>
      </c>
      <c r="L440" s="13" t="n">
        <f aca="false">$K440*$E440</f>
        <v>115000</v>
      </c>
    </row>
    <row r="441" customFormat="false" ht="15" hidden="false" customHeight="true" outlineLevel="0" collapsed="false">
      <c r="A441" s="12" t="s">
        <v>1464</v>
      </c>
      <c r="B441" s="12" t="s">
        <v>1465</v>
      </c>
      <c r="C441" s="12" t="s">
        <v>128</v>
      </c>
      <c r="D441" s="12" t="s">
        <v>246</v>
      </c>
      <c r="E441" s="13" t="n">
        <v>1050</v>
      </c>
      <c r="F441" s="13" t="n">
        <v>25</v>
      </c>
      <c r="G441" s="13" t="n">
        <f aca="false">SUMIFS('Expense Entry'!$H$5:$H$6000,'Expense Entry'!$E$5:$E$6000,"Inventory Purchase",'Expense Entry'!$F$5:$F$6000,$A441)</f>
        <v>0</v>
      </c>
      <c r="H441" s="13" t="n">
        <f aca="false">SUMIFS('Purchase Orders'!$F$5:$F$3000,'Purchase Orders'!$L$5:$L$3000,"Received",'Purchase Orders'!$D$5:$D$3000,$A441)</f>
        <v>0</v>
      </c>
      <c r="I441" s="13" t="n">
        <f aca="false">$G441+$H441</f>
        <v>0</v>
      </c>
      <c r="J441" s="13" t="n">
        <f aca="false">SUMIFS('Issue Log'!$E$5:$E$6000,'Issue Log'!$B$5:$B$6000,$A441)</f>
        <v>0</v>
      </c>
      <c r="K441" s="13" t="n">
        <f aca="false">$F441+$I441-$J441</f>
        <v>25</v>
      </c>
      <c r="L441" s="13" t="n">
        <f aca="false">$K441*$E441</f>
        <v>26250</v>
      </c>
    </row>
    <row r="442" customFormat="false" ht="15" hidden="false" customHeight="true" outlineLevel="0" collapsed="false">
      <c r="A442" s="12" t="s">
        <v>1467</v>
      </c>
      <c r="B442" s="12" t="s">
        <v>1468</v>
      </c>
      <c r="C442" s="12" t="s">
        <v>128</v>
      </c>
      <c r="D442" s="12" t="s">
        <v>246</v>
      </c>
      <c r="E442" s="13" t="n">
        <v>280</v>
      </c>
      <c r="F442" s="13" t="n">
        <v>0</v>
      </c>
      <c r="G442" s="13" t="n">
        <f aca="false">SUMIFS('Expense Entry'!$H$5:$H$6000,'Expense Entry'!$E$5:$E$6000,"Inventory Purchase",'Expense Entry'!$F$5:$F$6000,$A442)</f>
        <v>0</v>
      </c>
      <c r="H442" s="13" t="n">
        <f aca="false">SUMIFS('Purchase Orders'!$F$5:$F$3000,'Purchase Orders'!$L$5:$L$3000,"Received",'Purchase Orders'!$D$5:$D$3000,$A442)</f>
        <v>0</v>
      </c>
      <c r="I442" s="13" t="n">
        <f aca="false">$G442+$H442</f>
        <v>0</v>
      </c>
      <c r="J442" s="13" t="n">
        <f aca="false">SUMIFS('Issue Log'!$E$5:$E$6000,'Issue Log'!$B$5:$B$6000,$A442)</f>
        <v>0</v>
      </c>
      <c r="K442" s="13" t="n">
        <f aca="false">$F442+$I442-$J442</f>
        <v>0</v>
      </c>
      <c r="L442" s="13" t="n">
        <f aca="false">$K442*$E442</f>
        <v>0</v>
      </c>
    </row>
    <row r="443" customFormat="false" ht="15" hidden="false" customHeight="true" outlineLevel="0" collapsed="false">
      <c r="A443" s="12" t="s">
        <v>1470</v>
      </c>
      <c r="B443" s="12" t="s">
        <v>1471</v>
      </c>
      <c r="C443" s="12" t="s">
        <v>128</v>
      </c>
      <c r="D443" s="12" t="s">
        <v>246</v>
      </c>
      <c r="E443" s="13" t="n">
        <v>521.42</v>
      </c>
      <c r="F443" s="13" t="n">
        <v>0</v>
      </c>
      <c r="G443" s="13" t="n">
        <f aca="false">SUMIFS('Expense Entry'!$H$5:$H$6000,'Expense Entry'!$E$5:$E$6000,"Inventory Purchase",'Expense Entry'!$F$5:$F$6000,$A443)</f>
        <v>0</v>
      </c>
      <c r="H443" s="13" t="n">
        <f aca="false">SUMIFS('Purchase Orders'!$F$5:$F$3000,'Purchase Orders'!$L$5:$L$3000,"Received",'Purchase Orders'!$D$5:$D$3000,$A443)</f>
        <v>0</v>
      </c>
      <c r="I443" s="13" t="n">
        <f aca="false">$G443+$H443</f>
        <v>0</v>
      </c>
      <c r="J443" s="13" t="n">
        <f aca="false">SUMIFS('Issue Log'!$E$5:$E$6000,'Issue Log'!$B$5:$B$6000,$A443)</f>
        <v>0</v>
      </c>
      <c r="K443" s="13" t="n">
        <f aca="false">$F443+$I443-$J443</f>
        <v>0</v>
      </c>
      <c r="L443" s="13" t="n">
        <f aca="false">$K443*$E443</f>
        <v>0</v>
      </c>
    </row>
    <row r="444" customFormat="false" ht="15" hidden="false" customHeight="true" outlineLevel="0" collapsed="false">
      <c r="A444" s="12" t="s">
        <v>1473</v>
      </c>
      <c r="B444" s="12" t="s">
        <v>1474</v>
      </c>
      <c r="C444" s="12" t="s">
        <v>128</v>
      </c>
      <c r="D444" s="12" t="s">
        <v>246</v>
      </c>
      <c r="E444" s="13" t="n">
        <v>900</v>
      </c>
      <c r="F444" s="13" t="n">
        <v>0</v>
      </c>
      <c r="G444" s="13" t="n">
        <f aca="false">SUMIFS('Expense Entry'!$H$5:$H$6000,'Expense Entry'!$E$5:$E$6000,"Inventory Purchase",'Expense Entry'!$F$5:$F$6000,$A444)</f>
        <v>0</v>
      </c>
      <c r="H444" s="13" t="n">
        <f aca="false">SUMIFS('Purchase Orders'!$F$5:$F$3000,'Purchase Orders'!$L$5:$L$3000,"Received",'Purchase Orders'!$D$5:$D$3000,$A444)</f>
        <v>0</v>
      </c>
      <c r="I444" s="13" t="n">
        <f aca="false">$G444+$H444</f>
        <v>0</v>
      </c>
      <c r="J444" s="13" t="n">
        <f aca="false">SUMIFS('Issue Log'!$E$5:$E$6000,'Issue Log'!$B$5:$B$6000,$A444)</f>
        <v>0</v>
      </c>
      <c r="K444" s="13" t="n">
        <f aca="false">$F444+$I444-$J444</f>
        <v>0</v>
      </c>
      <c r="L444" s="13" t="n">
        <f aca="false">$K444*$E444</f>
        <v>0</v>
      </c>
    </row>
    <row r="445" customFormat="false" ht="15" hidden="false" customHeight="true" outlineLevel="0" collapsed="false">
      <c r="A445" s="12" t="s">
        <v>1476</v>
      </c>
      <c r="B445" s="12" t="s">
        <v>1477</v>
      </c>
      <c r="C445" s="12" t="s">
        <v>128</v>
      </c>
      <c r="D445" s="12" t="s">
        <v>246</v>
      </c>
      <c r="E445" s="13" t="n">
        <v>300</v>
      </c>
      <c r="F445" s="13" t="n">
        <v>710</v>
      </c>
      <c r="G445" s="13" t="n">
        <f aca="false">SUMIFS('Expense Entry'!$H$5:$H$6000,'Expense Entry'!$E$5:$E$6000,"Inventory Purchase",'Expense Entry'!$F$5:$F$6000,$A445)</f>
        <v>0</v>
      </c>
      <c r="H445" s="13" t="n">
        <f aca="false">SUMIFS('Purchase Orders'!$F$5:$F$3000,'Purchase Orders'!$L$5:$L$3000,"Received",'Purchase Orders'!$D$5:$D$3000,$A445)</f>
        <v>0</v>
      </c>
      <c r="I445" s="13" t="n">
        <f aca="false">$G445+$H445</f>
        <v>0</v>
      </c>
      <c r="J445" s="13" t="n">
        <f aca="false">SUMIFS('Issue Log'!$E$5:$E$6000,'Issue Log'!$B$5:$B$6000,$A445)</f>
        <v>0</v>
      </c>
      <c r="K445" s="13" t="n">
        <f aca="false">$F445+$I445-$J445</f>
        <v>710</v>
      </c>
      <c r="L445" s="13" t="n">
        <f aca="false">$K445*$E445</f>
        <v>213000</v>
      </c>
    </row>
    <row r="446" customFormat="false" ht="15" hidden="false" customHeight="true" outlineLevel="0" collapsed="false">
      <c r="A446" s="12" t="s">
        <v>1479</v>
      </c>
      <c r="B446" s="12" t="s">
        <v>1480</v>
      </c>
      <c r="C446" s="12" t="s">
        <v>128</v>
      </c>
      <c r="D446" s="12" t="s">
        <v>246</v>
      </c>
      <c r="E446" s="13" t="n">
        <v>200</v>
      </c>
      <c r="F446" s="13" t="n">
        <v>410</v>
      </c>
      <c r="G446" s="13" t="n">
        <f aca="false">SUMIFS('Expense Entry'!$H$5:$H$6000,'Expense Entry'!$E$5:$E$6000,"Inventory Purchase",'Expense Entry'!$F$5:$F$6000,$A446)</f>
        <v>0</v>
      </c>
      <c r="H446" s="13" t="n">
        <f aca="false">SUMIFS('Purchase Orders'!$F$5:$F$3000,'Purchase Orders'!$L$5:$L$3000,"Received",'Purchase Orders'!$D$5:$D$3000,$A446)</f>
        <v>0</v>
      </c>
      <c r="I446" s="13" t="n">
        <f aca="false">$G446+$H446</f>
        <v>0</v>
      </c>
      <c r="J446" s="13" t="n">
        <f aca="false">SUMIFS('Issue Log'!$E$5:$E$6000,'Issue Log'!$B$5:$B$6000,$A446)</f>
        <v>0</v>
      </c>
      <c r="K446" s="13" t="n">
        <f aca="false">$F446+$I446-$J446</f>
        <v>410</v>
      </c>
      <c r="L446" s="13" t="n">
        <f aca="false">$K446*$E446</f>
        <v>82000</v>
      </c>
    </row>
    <row r="447" customFormat="false" ht="15" hidden="false" customHeight="true" outlineLevel="0" collapsed="false">
      <c r="A447" s="12" t="s">
        <v>1482</v>
      </c>
      <c r="B447" s="12" t="s">
        <v>1483</v>
      </c>
      <c r="C447" s="12" t="s">
        <v>128</v>
      </c>
      <c r="D447" s="12" t="s">
        <v>246</v>
      </c>
      <c r="E447" s="13" t="n">
        <v>200</v>
      </c>
      <c r="F447" s="13" t="n">
        <v>395</v>
      </c>
      <c r="G447" s="13" t="n">
        <f aca="false">SUMIFS('Expense Entry'!$H$5:$H$6000,'Expense Entry'!$E$5:$E$6000,"Inventory Purchase",'Expense Entry'!$F$5:$F$6000,$A447)</f>
        <v>0</v>
      </c>
      <c r="H447" s="13" t="n">
        <f aca="false">SUMIFS('Purchase Orders'!$F$5:$F$3000,'Purchase Orders'!$L$5:$L$3000,"Received",'Purchase Orders'!$D$5:$D$3000,$A447)</f>
        <v>0</v>
      </c>
      <c r="I447" s="13" t="n">
        <f aca="false">$G447+$H447</f>
        <v>0</v>
      </c>
      <c r="J447" s="13" t="n">
        <f aca="false">SUMIFS('Issue Log'!$E$5:$E$6000,'Issue Log'!$B$5:$B$6000,$A447)</f>
        <v>0</v>
      </c>
      <c r="K447" s="13" t="n">
        <f aca="false">$F447+$I447-$J447</f>
        <v>395</v>
      </c>
      <c r="L447" s="13" t="n">
        <f aca="false">$K447*$E447</f>
        <v>79000</v>
      </c>
    </row>
    <row r="448" customFormat="false" ht="15" hidden="false" customHeight="true" outlineLevel="0" collapsed="false">
      <c r="A448" s="12" t="s">
        <v>1485</v>
      </c>
      <c r="B448" s="12" t="s">
        <v>1486</v>
      </c>
      <c r="C448" s="12" t="s">
        <v>128</v>
      </c>
      <c r="D448" s="12" t="s">
        <v>246</v>
      </c>
      <c r="E448" s="13" t="n">
        <v>250</v>
      </c>
      <c r="F448" s="13" t="n">
        <v>0</v>
      </c>
      <c r="G448" s="13" t="n">
        <f aca="false">SUMIFS('Expense Entry'!$H$5:$H$6000,'Expense Entry'!$E$5:$E$6000,"Inventory Purchase",'Expense Entry'!$F$5:$F$6000,$A448)</f>
        <v>0</v>
      </c>
      <c r="H448" s="13" t="n">
        <f aca="false">SUMIFS('Purchase Orders'!$F$5:$F$3000,'Purchase Orders'!$L$5:$L$3000,"Received",'Purchase Orders'!$D$5:$D$3000,$A448)</f>
        <v>0</v>
      </c>
      <c r="I448" s="13" t="n">
        <f aca="false">$G448+$H448</f>
        <v>0</v>
      </c>
      <c r="J448" s="13" t="n">
        <f aca="false">SUMIFS('Issue Log'!$E$5:$E$6000,'Issue Log'!$B$5:$B$6000,$A448)</f>
        <v>0</v>
      </c>
      <c r="K448" s="13" t="n">
        <f aca="false">$F448+$I448-$J448</f>
        <v>0</v>
      </c>
      <c r="L448" s="13" t="n">
        <f aca="false">$K448*$E448</f>
        <v>0</v>
      </c>
    </row>
    <row r="449" customFormat="false" ht="15" hidden="false" customHeight="true" outlineLevel="0" collapsed="false">
      <c r="A449" s="12" t="s">
        <v>1487</v>
      </c>
      <c r="B449" s="12" t="s">
        <v>1488</v>
      </c>
      <c r="C449" s="12" t="s">
        <v>128</v>
      </c>
      <c r="D449" s="12" t="s">
        <v>246</v>
      </c>
      <c r="E449" s="13" t="n">
        <v>950</v>
      </c>
      <c r="F449" s="13" t="n">
        <v>12</v>
      </c>
      <c r="G449" s="13" t="n">
        <f aca="false">SUMIFS('Expense Entry'!$H$5:$H$6000,'Expense Entry'!$E$5:$E$6000,"Inventory Purchase",'Expense Entry'!$F$5:$F$6000,$A449)</f>
        <v>0</v>
      </c>
      <c r="H449" s="13" t="n">
        <f aca="false">SUMIFS('Purchase Orders'!$F$5:$F$3000,'Purchase Orders'!$L$5:$L$3000,"Received",'Purchase Orders'!$D$5:$D$3000,$A449)</f>
        <v>0</v>
      </c>
      <c r="I449" s="13" t="n">
        <f aca="false">$G449+$H449</f>
        <v>0</v>
      </c>
      <c r="J449" s="13" t="n">
        <f aca="false">SUMIFS('Issue Log'!$E$5:$E$6000,'Issue Log'!$B$5:$B$6000,$A449)</f>
        <v>0</v>
      </c>
      <c r="K449" s="13" t="n">
        <f aca="false">$F449+$I449-$J449</f>
        <v>12</v>
      </c>
      <c r="L449" s="13" t="n">
        <f aca="false">$K449*$E449</f>
        <v>11400</v>
      </c>
    </row>
    <row r="450" customFormat="false" ht="15" hidden="false" customHeight="true" outlineLevel="0" collapsed="false">
      <c r="A450" s="12" t="s">
        <v>1489</v>
      </c>
      <c r="B450" s="12" t="s">
        <v>1490</v>
      </c>
      <c r="C450" s="12" t="s">
        <v>128</v>
      </c>
      <c r="D450" s="12" t="s">
        <v>246</v>
      </c>
      <c r="E450" s="13" t="n">
        <v>750</v>
      </c>
      <c r="F450" s="13" t="n">
        <v>33</v>
      </c>
      <c r="G450" s="13" t="n">
        <f aca="false">SUMIFS('Expense Entry'!$H$5:$H$6000,'Expense Entry'!$E$5:$E$6000,"Inventory Purchase",'Expense Entry'!$F$5:$F$6000,$A450)</f>
        <v>0</v>
      </c>
      <c r="H450" s="13" t="n">
        <f aca="false">SUMIFS('Purchase Orders'!$F$5:$F$3000,'Purchase Orders'!$L$5:$L$3000,"Received",'Purchase Orders'!$D$5:$D$3000,$A450)</f>
        <v>0</v>
      </c>
      <c r="I450" s="13" t="n">
        <f aca="false">$G450+$H450</f>
        <v>0</v>
      </c>
      <c r="J450" s="13" t="n">
        <f aca="false">SUMIFS('Issue Log'!$E$5:$E$6000,'Issue Log'!$B$5:$B$6000,$A450)</f>
        <v>0</v>
      </c>
      <c r="K450" s="13" t="n">
        <f aca="false">$F450+$I450-$J450</f>
        <v>33</v>
      </c>
      <c r="L450" s="13" t="n">
        <f aca="false">$K450*$E450</f>
        <v>24750</v>
      </c>
    </row>
    <row r="451" customFormat="false" ht="15" hidden="false" customHeight="true" outlineLevel="0" collapsed="false">
      <c r="A451" s="12" t="s">
        <v>1491</v>
      </c>
      <c r="B451" s="12" t="s">
        <v>1492</v>
      </c>
      <c r="C451" s="12" t="s">
        <v>128</v>
      </c>
      <c r="D451" s="12" t="s">
        <v>246</v>
      </c>
      <c r="E451" s="13" t="n">
        <v>12.6</v>
      </c>
      <c r="F451" s="13" t="n">
        <v>0</v>
      </c>
      <c r="G451" s="13" t="n">
        <f aca="false">SUMIFS('Expense Entry'!$H$5:$H$6000,'Expense Entry'!$E$5:$E$6000,"Inventory Purchase",'Expense Entry'!$F$5:$F$6000,$A451)</f>
        <v>0</v>
      </c>
      <c r="H451" s="13" t="n">
        <f aca="false">SUMIFS('Purchase Orders'!$F$5:$F$3000,'Purchase Orders'!$L$5:$L$3000,"Received",'Purchase Orders'!$D$5:$D$3000,$A451)</f>
        <v>0</v>
      </c>
      <c r="I451" s="13" t="n">
        <f aca="false">$G451+$H451</f>
        <v>0</v>
      </c>
      <c r="J451" s="13" t="n">
        <f aca="false">SUMIFS('Issue Log'!$E$5:$E$6000,'Issue Log'!$B$5:$B$6000,$A451)</f>
        <v>0</v>
      </c>
      <c r="K451" s="13" t="n">
        <f aca="false">$F451+$I451-$J451</f>
        <v>0</v>
      </c>
      <c r="L451" s="13" t="n">
        <f aca="false">$K451*$E451</f>
        <v>0</v>
      </c>
    </row>
    <row r="452" customFormat="false" ht="15" hidden="false" customHeight="true" outlineLevel="0" collapsed="false">
      <c r="A452" s="12" t="s">
        <v>1493</v>
      </c>
      <c r="B452" s="12" t="s">
        <v>1494</v>
      </c>
      <c r="C452" s="12" t="s">
        <v>128</v>
      </c>
      <c r="D452" s="12" t="s">
        <v>246</v>
      </c>
      <c r="E452" s="13" t="n">
        <v>2300</v>
      </c>
      <c r="F452" s="13" t="n">
        <v>0</v>
      </c>
      <c r="G452" s="13" t="n">
        <f aca="false">SUMIFS('Expense Entry'!$H$5:$H$6000,'Expense Entry'!$E$5:$E$6000,"Inventory Purchase",'Expense Entry'!$F$5:$F$6000,$A452)</f>
        <v>0</v>
      </c>
      <c r="H452" s="13" t="n">
        <f aca="false">SUMIFS('Purchase Orders'!$F$5:$F$3000,'Purchase Orders'!$L$5:$L$3000,"Received",'Purchase Orders'!$D$5:$D$3000,$A452)</f>
        <v>0</v>
      </c>
      <c r="I452" s="13" t="n">
        <f aca="false">$G452+$H452</f>
        <v>0</v>
      </c>
      <c r="J452" s="13" t="n">
        <f aca="false">SUMIFS('Issue Log'!$E$5:$E$6000,'Issue Log'!$B$5:$B$6000,$A452)</f>
        <v>0</v>
      </c>
      <c r="K452" s="13" t="n">
        <f aca="false">$F452+$I452-$J452</f>
        <v>0</v>
      </c>
      <c r="L452" s="13" t="n">
        <f aca="false">$K452*$E452</f>
        <v>0</v>
      </c>
    </row>
    <row r="453" customFormat="false" ht="15" hidden="false" customHeight="true" outlineLevel="0" collapsed="false">
      <c r="A453" s="12" t="s">
        <v>1495</v>
      </c>
      <c r="B453" s="12" t="s">
        <v>1496</v>
      </c>
      <c r="C453" s="12" t="s">
        <v>128</v>
      </c>
      <c r="D453" s="12" t="s">
        <v>246</v>
      </c>
      <c r="E453" s="13" t="n">
        <v>140</v>
      </c>
      <c r="F453" s="13" t="n">
        <v>0</v>
      </c>
      <c r="G453" s="13" t="n">
        <f aca="false">SUMIFS('Expense Entry'!$H$5:$H$6000,'Expense Entry'!$E$5:$E$6000,"Inventory Purchase",'Expense Entry'!$F$5:$F$6000,$A453)</f>
        <v>0</v>
      </c>
      <c r="H453" s="13" t="n">
        <f aca="false">SUMIFS('Purchase Orders'!$F$5:$F$3000,'Purchase Orders'!$L$5:$L$3000,"Received",'Purchase Orders'!$D$5:$D$3000,$A453)</f>
        <v>0</v>
      </c>
      <c r="I453" s="13" t="n">
        <f aca="false">$G453+$H453</f>
        <v>0</v>
      </c>
      <c r="J453" s="13" t="n">
        <f aca="false">SUMIFS('Issue Log'!$E$5:$E$6000,'Issue Log'!$B$5:$B$6000,$A453)</f>
        <v>0</v>
      </c>
      <c r="K453" s="13" t="n">
        <f aca="false">$F453+$I453-$J453</f>
        <v>0</v>
      </c>
      <c r="L453" s="13" t="n">
        <f aca="false">$K453*$E453</f>
        <v>0</v>
      </c>
    </row>
    <row r="454" customFormat="false" ht="15" hidden="false" customHeight="true" outlineLevel="0" collapsed="false">
      <c r="A454" s="12" t="s">
        <v>1497</v>
      </c>
      <c r="B454" s="12" t="s">
        <v>1498</v>
      </c>
      <c r="C454" s="12" t="s">
        <v>128</v>
      </c>
      <c r="D454" s="12" t="s">
        <v>246</v>
      </c>
      <c r="E454" s="13" t="n">
        <v>180</v>
      </c>
      <c r="F454" s="13" t="n">
        <v>13</v>
      </c>
      <c r="G454" s="13" t="n">
        <f aca="false">SUMIFS('Expense Entry'!$H$5:$H$6000,'Expense Entry'!$E$5:$E$6000,"Inventory Purchase",'Expense Entry'!$F$5:$F$6000,$A454)</f>
        <v>0</v>
      </c>
      <c r="H454" s="13" t="n">
        <f aca="false">SUMIFS('Purchase Orders'!$F$5:$F$3000,'Purchase Orders'!$L$5:$L$3000,"Received",'Purchase Orders'!$D$5:$D$3000,$A454)</f>
        <v>0</v>
      </c>
      <c r="I454" s="13" t="n">
        <f aca="false">$G454+$H454</f>
        <v>0</v>
      </c>
      <c r="J454" s="13" t="n">
        <f aca="false">SUMIFS('Issue Log'!$E$5:$E$6000,'Issue Log'!$B$5:$B$6000,$A454)</f>
        <v>0</v>
      </c>
      <c r="K454" s="13" t="n">
        <f aca="false">$F454+$I454-$J454</f>
        <v>13</v>
      </c>
      <c r="L454" s="13" t="n">
        <f aca="false">$K454*$E454</f>
        <v>2340</v>
      </c>
    </row>
    <row r="455" customFormat="false" ht="15" hidden="false" customHeight="true" outlineLevel="0" collapsed="false">
      <c r="A455" s="12" t="s">
        <v>1499</v>
      </c>
      <c r="B455" s="12" t="s">
        <v>1500</v>
      </c>
      <c r="C455" s="12" t="s">
        <v>128</v>
      </c>
      <c r="D455" s="12" t="s">
        <v>246</v>
      </c>
      <c r="E455" s="13" t="n">
        <v>460</v>
      </c>
      <c r="F455" s="13" t="n">
        <v>0</v>
      </c>
      <c r="G455" s="13" t="n">
        <f aca="false">SUMIFS('Expense Entry'!$H$5:$H$6000,'Expense Entry'!$E$5:$E$6000,"Inventory Purchase",'Expense Entry'!$F$5:$F$6000,$A455)</f>
        <v>0</v>
      </c>
      <c r="H455" s="13" t="n">
        <f aca="false">SUMIFS('Purchase Orders'!$F$5:$F$3000,'Purchase Orders'!$L$5:$L$3000,"Received",'Purchase Orders'!$D$5:$D$3000,$A455)</f>
        <v>0</v>
      </c>
      <c r="I455" s="13" t="n">
        <f aca="false">$G455+$H455</f>
        <v>0</v>
      </c>
      <c r="J455" s="13" t="n">
        <f aca="false">SUMIFS('Issue Log'!$E$5:$E$6000,'Issue Log'!$B$5:$B$6000,$A455)</f>
        <v>0</v>
      </c>
      <c r="K455" s="13" t="n">
        <f aca="false">$F455+$I455-$J455</f>
        <v>0</v>
      </c>
      <c r="L455" s="13" t="n">
        <f aca="false">$K455*$E455</f>
        <v>0</v>
      </c>
    </row>
    <row r="456" customFormat="false" ht="15" hidden="false" customHeight="true" outlineLevel="0" collapsed="false">
      <c r="A456" s="12" t="s">
        <v>1501</v>
      </c>
      <c r="B456" s="12" t="s">
        <v>1502</v>
      </c>
      <c r="C456" s="12" t="s">
        <v>128</v>
      </c>
      <c r="D456" s="12" t="s">
        <v>246</v>
      </c>
      <c r="E456" s="13" t="n">
        <v>165</v>
      </c>
      <c r="F456" s="13" t="n">
        <v>0</v>
      </c>
      <c r="G456" s="13" t="n">
        <f aca="false">SUMIFS('Expense Entry'!$H$5:$H$6000,'Expense Entry'!$E$5:$E$6000,"Inventory Purchase",'Expense Entry'!$F$5:$F$6000,$A456)</f>
        <v>0</v>
      </c>
      <c r="H456" s="13" t="n">
        <f aca="false">SUMIFS('Purchase Orders'!$F$5:$F$3000,'Purchase Orders'!$L$5:$L$3000,"Received",'Purchase Orders'!$D$5:$D$3000,$A456)</f>
        <v>0</v>
      </c>
      <c r="I456" s="13" t="n">
        <f aca="false">$G456+$H456</f>
        <v>0</v>
      </c>
      <c r="J456" s="13" t="n">
        <f aca="false">SUMIFS('Issue Log'!$E$5:$E$6000,'Issue Log'!$B$5:$B$6000,$A456)</f>
        <v>0</v>
      </c>
      <c r="K456" s="13" t="n">
        <f aca="false">$F456+$I456-$J456</f>
        <v>0</v>
      </c>
      <c r="L456" s="13" t="n">
        <f aca="false">$K456*$E456</f>
        <v>0</v>
      </c>
    </row>
    <row r="457" customFormat="false" ht="15" hidden="false" customHeight="true" outlineLevel="0" collapsed="false">
      <c r="A457" s="12" t="s">
        <v>1503</v>
      </c>
      <c r="B457" s="12" t="s">
        <v>1504</v>
      </c>
      <c r="C457" s="12" t="s">
        <v>128</v>
      </c>
      <c r="D457" s="12" t="s">
        <v>246</v>
      </c>
      <c r="E457" s="13" t="n">
        <v>140</v>
      </c>
      <c r="F457" s="13" t="n">
        <v>0</v>
      </c>
      <c r="G457" s="13" t="n">
        <f aca="false">SUMIFS('Expense Entry'!$H$5:$H$6000,'Expense Entry'!$E$5:$E$6000,"Inventory Purchase",'Expense Entry'!$F$5:$F$6000,$A457)</f>
        <v>0</v>
      </c>
      <c r="H457" s="13" t="n">
        <f aca="false">SUMIFS('Purchase Orders'!$F$5:$F$3000,'Purchase Orders'!$L$5:$L$3000,"Received",'Purchase Orders'!$D$5:$D$3000,$A457)</f>
        <v>0</v>
      </c>
      <c r="I457" s="13" t="n">
        <f aca="false">$G457+$H457</f>
        <v>0</v>
      </c>
      <c r="J457" s="13" t="n">
        <f aca="false">SUMIFS('Issue Log'!$E$5:$E$6000,'Issue Log'!$B$5:$B$6000,$A457)</f>
        <v>0</v>
      </c>
      <c r="K457" s="13" t="n">
        <f aca="false">$F457+$I457-$J457</f>
        <v>0</v>
      </c>
      <c r="L457" s="13" t="n">
        <f aca="false">$K457*$E457</f>
        <v>0</v>
      </c>
    </row>
    <row r="458" customFormat="false" ht="15" hidden="false" customHeight="true" outlineLevel="0" collapsed="false">
      <c r="A458" s="12" t="s">
        <v>1505</v>
      </c>
      <c r="B458" s="12" t="s">
        <v>1506</v>
      </c>
      <c r="C458" s="12" t="s">
        <v>128</v>
      </c>
      <c r="D458" s="12" t="s">
        <v>246</v>
      </c>
      <c r="E458" s="13" t="n">
        <v>75</v>
      </c>
      <c r="F458" s="13" t="n">
        <v>0</v>
      </c>
      <c r="G458" s="13" t="n">
        <f aca="false">SUMIFS('Expense Entry'!$H$5:$H$6000,'Expense Entry'!$E$5:$E$6000,"Inventory Purchase",'Expense Entry'!$F$5:$F$6000,$A458)</f>
        <v>0</v>
      </c>
      <c r="H458" s="13" t="n">
        <f aca="false">SUMIFS('Purchase Orders'!$F$5:$F$3000,'Purchase Orders'!$L$5:$L$3000,"Received",'Purchase Orders'!$D$5:$D$3000,$A458)</f>
        <v>0</v>
      </c>
      <c r="I458" s="13" t="n">
        <f aca="false">$G458+$H458</f>
        <v>0</v>
      </c>
      <c r="J458" s="13" t="n">
        <f aca="false">SUMIFS('Issue Log'!$E$5:$E$6000,'Issue Log'!$B$5:$B$6000,$A458)</f>
        <v>0</v>
      </c>
      <c r="K458" s="13" t="n">
        <f aca="false">$F458+$I458-$J458</f>
        <v>0</v>
      </c>
      <c r="L458" s="13" t="n">
        <f aca="false">$K458*$E458</f>
        <v>0</v>
      </c>
    </row>
    <row r="459" customFormat="false" ht="15" hidden="false" customHeight="true" outlineLevel="0" collapsed="false">
      <c r="A459" s="12" t="s">
        <v>1508</v>
      </c>
      <c r="B459" s="12" t="s">
        <v>1509</v>
      </c>
      <c r="C459" s="12" t="s">
        <v>128</v>
      </c>
      <c r="D459" s="12" t="s">
        <v>246</v>
      </c>
      <c r="E459" s="13" t="n">
        <v>33.3333333333333</v>
      </c>
      <c r="F459" s="13" t="n">
        <v>0</v>
      </c>
      <c r="G459" s="13" t="n">
        <f aca="false">SUMIFS('Expense Entry'!$H$5:$H$6000,'Expense Entry'!$E$5:$E$6000,"Inventory Purchase",'Expense Entry'!$F$5:$F$6000,$A459)</f>
        <v>0</v>
      </c>
      <c r="H459" s="13" t="n">
        <f aca="false">SUMIFS('Purchase Orders'!$F$5:$F$3000,'Purchase Orders'!$L$5:$L$3000,"Received",'Purchase Orders'!$D$5:$D$3000,$A459)</f>
        <v>0</v>
      </c>
      <c r="I459" s="13" t="n">
        <f aca="false">$G459+$H459</f>
        <v>0</v>
      </c>
      <c r="J459" s="13" t="n">
        <f aca="false">SUMIFS('Issue Log'!$E$5:$E$6000,'Issue Log'!$B$5:$B$6000,$A459)</f>
        <v>0</v>
      </c>
      <c r="K459" s="13" t="n">
        <f aca="false">$F459+$I459-$J459</f>
        <v>0</v>
      </c>
      <c r="L459" s="13" t="n">
        <f aca="false">$K459*$E459</f>
        <v>0</v>
      </c>
    </row>
    <row r="460" customFormat="false" ht="15" hidden="false" customHeight="true" outlineLevel="0" collapsed="false">
      <c r="A460" s="12" t="s">
        <v>1510</v>
      </c>
      <c r="B460" s="12" t="s">
        <v>1511</v>
      </c>
      <c r="C460" s="12" t="s">
        <v>128</v>
      </c>
      <c r="D460" s="12" t="s">
        <v>246</v>
      </c>
      <c r="E460" s="13" t="n">
        <v>7950</v>
      </c>
      <c r="F460" s="13" t="n">
        <v>0</v>
      </c>
      <c r="G460" s="13" t="n">
        <f aca="false">SUMIFS('Expense Entry'!$H$5:$H$6000,'Expense Entry'!$E$5:$E$6000,"Inventory Purchase",'Expense Entry'!$F$5:$F$6000,$A460)</f>
        <v>0</v>
      </c>
      <c r="H460" s="13" t="n">
        <f aca="false">SUMIFS('Purchase Orders'!$F$5:$F$3000,'Purchase Orders'!$L$5:$L$3000,"Received",'Purchase Orders'!$D$5:$D$3000,$A460)</f>
        <v>0</v>
      </c>
      <c r="I460" s="13" t="n">
        <f aca="false">$G460+$H460</f>
        <v>0</v>
      </c>
      <c r="J460" s="13" t="n">
        <f aca="false">SUMIFS('Issue Log'!$E$5:$E$6000,'Issue Log'!$B$5:$B$6000,$A460)</f>
        <v>0</v>
      </c>
      <c r="K460" s="13" t="n">
        <f aca="false">$F460+$I460-$J460</f>
        <v>0</v>
      </c>
      <c r="L460" s="13" t="n">
        <f aca="false">$K460*$E460</f>
        <v>0</v>
      </c>
    </row>
    <row r="461" customFormat="false" ht="15" hidden="false" customHeight="true" outlineLevel="0" collapsed="false">
      <c r="A461" s="12" t="s">
        <v>1513</v>
      </c>
      <c r="B461" s="12" t="s">
        <v>1514</v>
      </c>
      <c r="C461" s="12" t="s">
        <v>128</v>
      </c>
      <c r="D461" s="12" t="s">
        <v>246</v>
      </c>
      <c r="E461" s="13" t="n">
        <v>850</v>
      </c>
      <c r="F461" s="13" t="n">
        <v>0</v>
      </c>
      <c r="G461" s="13" t="n">
        <f aca="false">SUMIFS('Expense Entry'!$H$5:$H$6000,'Expense Entry'!$E$5:$E$6000,"Inventory Purchase",'Expense Entry'!$F$5:$F$6000,$A461)</f>
        <v>0</v>
      </c>
      <c r="H461" s="13" t="n">
        <f aca="false">SUMIFS('Purchase Orders'!$F$5:$F$3000,'Purchase Orders'!$L$5:$L$3000,"Received",'Purchase Orders'!$D$5:$D$3000,$A461)</f>
        <v>0</v>
      </c>
      <c r="I461" s="13" t="n">
        <f aca="false">$G461+$H461</f>
        <v>0</v>
      </c>
      <c r="J461" s="13" t="n">
        <f aca="false">SUMIFS('Issue Log'!$E$5:$E$6000,'Issue Log'!$B$5:$B$6000,$A461)</f>
        <v>0</v>
      </c>
      <c r="K461" s="13" t="n">
        <f aca="false">$F461+$I461-$J461</f>
        <v>0</v>
      </c>
      <c r="L461" s="13" t="n">
        <f aca="false">$K461*$E461</f>
        <v>0</v>
      </c>
    </row>
    <row r="462" customFormat="false" ht="15" hidden="false" customHeight="true" outlineLevel="0" collapsed="false">
      <c r="A462" s="12" t="s">
        <v>1517</v>
      </c>
      <c r="B462" s="12" t="s">
        <v>1518</v>
      </c>
      <c r="C462" s="12" t="s">
        <v>128</v>
      </c>
      <c r="D462" s="12" t="s">
        <v>246</v>
      </c>
      <c r="E462" s="13" t="n">
        <v>400</v>
      </c>
      <c r="F462" s="13" t="n">
        <v>0</v>
      </c>
      <c r="G462" s="13" t="n">
        <f aca="false">SUMIFS('Expense Entry'!$H$5:$H$6000,'Expense Entry'!$E$5:$E$6000,"Inventory Purchase",'Expense Entry'!$F$5:$F$6000,$A462)</f>
        <v>0</v>
      </c>
      <c r="H462" s="13" t="n">
        <f aca="false">SUMIFS('Purchase Orders'!$F$5:$F$3000,'Purchase Orders'!$L$5:$L$3000,"Received",'Purchase Orders'!$D$5:$D$3000,$A462)</f>
        <v>0</v>
      </c>
      <c r="I462" s="13" t="n">
        <f aca="false">$G462+$H462</f>
        <v>0</v>
      </c>
      <c r="J462" s="13" t="n">
        <f aca="false">SUMIFS('Issue Log'!$E$5:$E$6000,'Issue Log'!$B$5:$B$6000,$A462)</f>
        <v>0</v>
      </c>
      <c r="K462" s="13" t="n">
        <f aca="false">$F462+$I462-$J462</f>
        <v>0</v>
      </c>
      <c r="L462" s="13" t="n">
        <f aca="false">$K462*$E462</f>
        <v>0</v>
      </c>
    </row>
    <row r="463" customFormat="false" ht="15" hidden="false" customHeight="true" outlineLevel="0" collapsed="false">
      <c r="A463" s="12" t="s">
        <v>1520</v>
      </c>
      <c r="B463" s="12" t="s">
        <v>1521</v>
      </c>
      <c r="C463" s="12" t="s">
        <v>128</v>
      </c>
      <c r="D463" s="12" t="s">
        <v>246</v>
      </c>
      <c r="E463" s="13" t="n">
        <v>480</v>
      </c>
      <c r="F463" s="13" t="n">
        <v>0</v>
      </c>
      <c r="G463" s="13" t="n">
        <f aca="false">SUMIFS('Expense Entry'!$H$5:$H$6000,'Expense Entry'!$E$5:$E$6000,"Inventory Purchase",'Expense Entry'!$F$5:$F$6000,$A463)</f>
        <v>0</v>
      </c>
      <c r="H463" s="13" t="n">
        <f aca="false">SUMIFS('Purchase Orders'!$F$5:$F$3000,'Purchase Orders'!$L$5:$L$3000,"Received",'Purchase Orders'!$D$5:$D$3000,$A463)</f>
        <v>0</v>
      </c>
      <c r="I463" s="13" t="n">
        <f aca="false">$G463+$H463</f>
        <v>0</v>
      </c>
      <c r="J463" s="13" t="n">
        <f aca="false">SUMIFS('Issue Log'!$E$5:$E$6000,'Issue Log'!$B$5:$B$6000,$A463)</f>
        <v>0</v>
      </c>
      <c r="K463" s="13" t="n">
        <f aca="false">$F463+$I463-$J463</f>
        <v>0</v>
      </c>
      <c r="L463" s="13" t="n">
        <f aca="false">$K463*$E463</f>
        <v>0</v>
      </c>
    </row>
    <row r="464" customFormat="false" ht="15" hidden="false" customHeight="true" outlineLevel="0" collapsed="false">
      <c r="A464" s="12" t="s">
        <v>1523</v>
      </c>
      <c r="B464" s="12" t="s">
        <v>1524</v>
      </c>
      <c r="C464" s="12" t="s">
        <v>128</v>
      </c>
      <c r="D464" s="12" t="s">
        <v>246</v>
      </c>
      <c r="E464" s="13" t="n">
        <v>250</v>
      </c>
      <c r="F464" s="13" t="n">
        <v>0</v>
      </c>
      <c r="G464" s="13" t="n">
        <f aca="false">SUMIFS('Expense Entry'!$H$5:$H$6000,'Expense Entry'!$E$5:$E$6000,"Inventory Purchase",'Expense Entry'!$F$5:$F$6000,$A464)</f>
        <v>0</v>
      </c>
      <c r="H464" s="13" t="n">
        <f aca="false">SUMIFS('Purchase Orders'!$F$5:$F$3000,'Purchase Orders'!$L$5:$L$3000,"Received",'Purchase Orders'!$D$5:$D$3000,$A464)</f>
        <v>0</v>
      </c>
      <c r="I464" s="13" t="n">
        <f aca="false">$G464+$H464</f>
        <v>0</v>
      </c>
      <c r="J464" s="13" t="n">
        <f aca="false">SUMIFS('Issue Log'!$E$5:$E$6000,'Issue Log'!$B$5:$B$6000,$A464)</f>
        <v>0</v>
      </c>
      <c r="K464" s="13" t="n">
        <f aca="false">$F464+$I464-$J464</f>
        <v>0</v>
      </c>
      <c r="L464" s="13" t="n">
        <f aca="false">$K464*$E464</f>
        <v>0</v>
      </c>
    </row>
    <row r="465" customFormat="false" ht="15" hidden="false" customHeight="true" outlineLevel="0" collapsed="false">
      <c r="A465" s="12" t="s">
        <v>1526</v>
      </c>
      <c r="B465" s="12" t="s">
        <v>1527</v>
      </c>
      <c r="C465" s="12" t="s">
        <v>128</v>
      </c>
      <c r="D465" s="12" t="s">
        <v>246</v>
      </c>
      <c r="E465" s="13" t="n">
        <v>83</v>
      </c>
      <c r="F465" s="13" t="n">
        <v>0</v>
      </c>
      <c r="G465" s="13" t="n">
        <f aca="false">SUMIFS('Expense Entry'!$H$5:$H$6000,'Expense Entry'!$E$5:$E$6000,"Inventory Purchase",'Expense Entry'!$F$5:$F$6000,$A465)</f>
        <v>0</v>
      </c>
      <c r="H465" s="13" t="n">
        <f aca="false">SUMIFS('Purchase Orders'!$F$5:$F$3000,'Purchase Orders'!$L$5:$L$3000,"Received",'Purchase Orders'!$D$5:$D$3000,$A465)</f>
        <v>0</v>
      </c>
      <c r="I465" s="13" t="n">
        <f aca="false">$G465+$H465</f>
        <v>0</v>
      </c>
      <c r="J465" s="13" t="n">
        <f aca="false">SUMIFS('Issue Log'!$E$5:$E$6000,'Issue Log'!$B$5:$B$6000,$A465)</f>
        <v>0</v>
      </c>
      <c r="K465" s="13" t="n">
        <f aca="false">$F465+$I465-$J465</f>
        <v>0</v>
      </c>
      <c r="L465" s="13" t="n">
        <f aca="false">$K465*$E465</f>
        <v>0</v>
      </c>
    </row>
    <row r="466" customFormat="false" ht="15" hidden="false" customHeight="true" outlineLevel="0" collapsed="false">
      <c r="A466" s="12" t="s">
        <v>1528</v>
      </c>
      <c r="B466" s="12" t="s">
        <v>1529</v>
      </c>
      <c r="C466" s="12" t="s">
        <v>128</v>
      </c>
      <c r="D466" s="12" t="s">
        <v>246</v>
      </c>
      <c r="E466" s="13" t="n">
        <v>133</v>
      </c>
      <c r="F466" s="13" t="n">
        <v>0</v>
      </c>
      <c r="G466" s="13" t="n">
        <f aca="false">SUMIFS('Expense Entry'!$H$5:$H$6000,'Expense Entry'!$E$5:$E$6000,"Inventory Purchase",'Expense Entry'!$F$5:$F$6000,$A466)</f>
        <v>0</v>
      </c>
      <c r="H466" s="13" t="n">
        <f aca="false">SUMIFS('Purchase Orders'!$F$5:$F$3000,'Purchase Orders'!$L$5:$L$3000,"Received",'Purchase Orders'!$D$5:$D$3000,$A466)</f>
        <v>0</v>
      </c>
      <c r="I466" s="13" t="n">
        <f aca="false">$G466+$H466</f>
        <v>0</v>
      </c>
      <c r="J466" s="13" t="n">
        <f aca="false">SUMIFS('Issue Log'!$E$5:$E$6000,'Issue Log'!$B$5:$B$6000,$A466)</f>
        <v>0</v>
      </c>
      <c r="K466" s="13" t="n">
        <f aca="false">$F466+$I466-$J466</f>
        <v>0</v>
      </c>
      <c r="L466" s="13" t="n">
        <f aca="false">$K466*$E466</f>
        <v>0</v>
      </c>
    </row>
    <row r="467" customFormat="false" ht="15" hidden="false" customHeight="true" outlineLevel="0" collapsed="false">
      <c r="A467" s="12" t="s">
        <v>1531</v>
      </c>
      <c r="B467" s="12" t="s">
        <v>1532</v>
      </c>
      <c r="C467" s="12" t="s">
        <v>128</v>
      </c>
      <c r="D467" s="12" t="s">
        <v>246</v>
      </c>
      <c r="E467" s="13" t="n">
        <v>3250</v>
      </c>
      <c r="F467" s="13" t="n">
        <v>0</v>
      </c>
      <c r="G467" s="13" t="n">
        <f aca="false">SUMIFS('Expense Entry'!$H$5:$H$6000,'Expense Entry'!$E$5:$E$6000,"Inventory Purchase",'Expense Entry'!$F$5:$F$6000,$A467)</f>
        <v>0</v>
      </c>
      <c r="H467" s="13" t="n">
        <f aca="false">SUMIFS('Purchase Orders'!$F$5:$F$3000,'Purchase Orders'!$L$5:$L$3000,"Received",'Purchase Orders'!$D$5:$D$3000,$A467)</f>
        <v>0</v>
      </c>
      <c r="I467" s="13" t="n">
        <f aca="false">$G467+$H467</f>
        <v>0</v>
      </c>
      <c r="J467" s="13" t="n">
        <f aca="false">SUMIFS('Issue Log'!$E$5:$E$6000,'Issue Log'!$B$5:$B$6000,$A467)</f>
        <v>0</v>
      </c>
      <c r="K467" s="13" t="n">
        <f aca="false">$F467+$I467-$J467</f>
        <v>0</v>
      </c>
      <c r="L467" s="13" t="n">
        <f aca="false">$K467*$E467</f>
        <v>0</v>
      </c>
    </row>
    <row r="468" customFormat="false" ht="15" hidden="false" customHeight="true" outlineLevel="0" collapsed="false">
      <c r="A468" s="12" t="s">
        <v>1534</v>
      </c>
      <c r="B468" s="12" t="s">
        <v>1535</v>
      </c>
      <c r="C468" s="12" t="s">
        <v>136</v>
      </c>
      <c r="D468" s="12" t="s">
        <v>1536</v>
      </c>
      <c r="E468" s="13" t="n">
        <v>0</v>
      </c>
      <c r="F468" s="13" t="n">
        <v>0</v>
      </c>
      <c r="G468" s="13" t="n">
        <f aca="false">SUMIFS('Expense Entry'!$H$5:$H$6000,'Expense Entry'!$E$5:$E$6000,"Inventory Purchase",'Expense Entry'!$F$5:$F$6000,$A468)</f>
        <v>0</v>
      </c>
      <c r="H468" s="13" t="n">
        <f aca="false">SUMIFS('Purchase Orders'!$F$5:$F$3000,'Purchase Orders'!$L$5:$L$3000,"Received",'Purchase Orders'!$D$5:$D$3000,$A468)</f>
        <v>0</v>
      </c>
      <c r="I468" s="13" t="n">
        <f aca="false">$G468+$H468</f>
        <v>0</v>
      </c>
      <c r="J468" s="13" t="n">
        <f aca="false">SUMIFS('Issue Log'!$E$5:$E$6000,'Issue Log'!$B$5:$B$6000,$A468)</f>
        <v>0</v>
      </c>
      <c r="K468" s="13" t="n">
        <f aca="false">$F468+$I468-$J468</f>
        <v>0</v>
      </c>
      <c r="L468" s="13" t="n">
        <f aca="false">$K468*$E468</f>
        <v>0</v>
      </c>
    </row>
    <row r="469" customFormat="false" ht="15" hidden="false" customHeight="true" outlineLevel="0" collapsed="false">
      <c r="A469" s="12" t="s">
        <v>1537</v>
      </c>
      <c r="B469" s="12" t="s">
        <v>1119</v>
      </c>
      <c r="C469" s="12" t="s">
        <v>136</v>
      </c>
      <c r="D469" s="12" t="s">
        <v>1536</v>
      </c>
      <c r="E469" s="13" t="n">
        <v>0</v>
      </c>
      <c r="F469" s="13" t="n">
        <v>0</v>
      </c>
      <c r="G469" s="13" t="n">
        <f aca="false">SUMIFS('Expense Entry'!$H$5:$H$6000,'Expense Entry'!$E$5:$E$6000,"Inventory Purchase",'Expense Entry'!$F$5:$F$6000,$A469)</f>
        <v>0</v>
      </c>
      <c r="H469" s="13" t="n">
        <f aca="false">SUMIFS('Purchase Orders'!$F$5:$F$3000,'Purchase Orders'!$L$5:$L$3000,"Received",'Purchase Orders'!$D$5:$D$3000,$A469)</f>
        <v>0</v>
      </c>
      <c r="I469" s="13" t="n">
        <f aca="false">$G469+$H469</f>
        <v>0</v>
      </c>
      <c r="J469" s="13" t="n">
        <f aca="false">SUMIFS('Issue Log'!$E$5:$E$6000,'Issue Log'!$B$5:$B$6000,$A469)</f>
        <v>0</v>
      </c>
      <c r="K469" s="13" t="n">
        <f aca="false">$F469+$I469-$J469</f>
        <v>0</v>
      </c>
      <c r="L469" s="13" t="n">
        <f aca="false">$K469*$E469</f>
        <v>0</v>
      </c>
    </row>
    <row r="470" customFormat="false" ht="15" hidden="false" customHeight="true" outlineLevel="0" collapsed="false">
      <c r="A470" s="12" t="s">
        <v>1539</v>
      </c>
      <c r="B470" s="12" t="s">
        <v>1540</v>
      </c>
      <c r="C470" s="12" t="s">
        <v>136</v>
      </c>
      <c r="D470" s="12" t="s">
        <v>1536</v>
      </c>
      <c r="E470" s="13" t="n">
        <v>1900</v>
      </c>
      <c r="F470" s="13" t="n">
        <v>0</v>
      </c>
      <c r="G470" s="13" t="n">
        <f aca="false">SUMIFS('Expense Entry'!$H$5:$H$6000,'Expense Entry'!$E$5:$E$6000,"Inventory Purchase",'Expense Entry'!$F$5:$F$6000,$A470)</f>
        <v>0</v>
      </c>
      <c r="H470" s="13" t="n">
        <f aca="false">SUMIFS('Purchase Orders'!$F$5:$F$3000,'Purchase Orders'!$L$5:$L$3000,"Received",'Purchase Orders'!$D$5:$D$3000,$A470)</f>
        <v>0</v>
      </c>
      <c r="I470" s="13" t="n">
        <f aca="false">$G470+$H470</f>
        <v>0</v>
      </c>
      <c r="J470" s="13" t="n">
        <f aca="false">SUMIFS('Issue Log'!$E$5:$E$6000,'Issue Log'!$B$5:$B$6000,$A470)</f>
        <v>0</v>
      </c>
      <c r="K470" s="13" t="n">
        <f aca="false">$F470+$I470-$J470</f>
        <v>0</v>
      </c>
      <c r="L470" s="13" t="n">
        <f aca="false">$K470*$E470</f>
        <v>0</v>
      </c>
    </row>
    <row r="471" customFormat="false" ht="15" hidden="false" customHeight="true" outlineLevel="0" collapsed="false">
      <c r="A471" s="12" t="s">
        <v>1542</v>
      </c>
      <c r="B471" s="12" t="s">
        <v>1543</v>
      </c>
      <c r="C471" s="12" t="s">
        <v>136</v>
      </c>
      <c r="D471" s="12" t="s">
        <v>601</v>
      </c>
      <c r="E471" s="13" t="n">
        <v>500</v>
      </c>
      <c r="F471" s="13" t="n">
        <v>0</v>
      </c>
      <c r="G471" s="13" t="n">
        <f aca="false">SUMIFS('Expense Entry'!$H$5:$H$6000,'Expense Entry'!$E$5:$E$6000,"Inventory Purchase",'Expense Entry'!$F$5:$F$6000,$A471)</f>
        <v>0</v>
      </c>
      <c r="H471" s="13" t="n">
        <f aca="false">SUMIFS('Purchase Orders'!$F$5:$F$3000,'Purchase Orders'!$L$5:$L$3000,"Received",'Purchase Orders'!$D$5:$D$3000,$A471)</f>
        <v>0</v>
      </c>
      <c r="I471" s="13" t="n">
        <f aca="false">$G471+$H471</f>
        <v>0</v>
      </c>
      <c r="J471" s="13" t="n">
        <f aca="false">SUMIFS('Issue Log'!$E$5:$E$6000,'Issue Log'!$B$5:$B$6000,$A471)</f>
        <v>0</v>
      </c>
      <c r="K471" s="13" t="n">
        <f aca="false">$F471+$I471-$J471</f>
        <v>0</v>
      </c>
      <c r="L471" s="13" t="n">
        <f aca="false">$K471*$E471</f>
        <v>0</v>
      </c>
    </row>
    <row r="472" customFormat="false" ht="15" hidden="false" customHeight="true" outlineLevel="0" collapsed="false">
      <c r="A472" s="12" t="s">
        <v>1545</v>
      </c>
      <c r="B472" s="12" t="s">
        <v>1546</v>
      </c>
      <c r="C472" s="12" t="s">
        <v>128</v>
      </c>
      <c r="D472" s="12" t="s">
        <v>246</v>
      </c>
      <c r="E472" s="13" t="n">
        <v>104.166666666667</v>
      </c>
      <c r="F472" s="13" t="n">
        <v>0</v>
      </c>
      <c r="G472" s="13" t="n">
        <f aca="false">SUMIFS('Expense Entry'!$H$5:$H$6000,'Expense Entry'!$E$5:$E$6000,"Inventory Purchase",'Expense Entry'!$F$5:$F$6000,$A472)</f>
        <v>0</v>
      </c>
      <c r="H472" s="13" t="n">
        <f aca="false">SUMIFS('Purchase Orders'!$F$5:$F$3000,'Purchase Orders'!$L$5:$L$3000,"Received",'Purchase Orders'!$D$5:$D$3000,$A472)</f>
        <v>0</v>
      </c>
      <c r="I472" s="13" t="n">
        <f aca="false">$G472+$H472</f>
        <v>0</v>
      </c>
      <c r="J472" s="13" t="n">
        <f aca="false">SUMIFS('Issue Log'!$E$5:$E$6000,'Issue Log'!$B$5:$B$6000,$A472)</f>
        <v>0</v>
      </c>
      <c r="K472" s="13" t="n">
        <f aca="false">$F472+$I472-$J472</f>
        <v>0</v>
      </c>
      <c r="L472" s="13" t="n">
        <f aca="false">$K472*$E472</f>
        <v>0</v>
      </c>
    </row>
    <row r="473" customFormat="false" ht="15" hidden="false" customHeight="true" outlineLevel="0" collapsed="false">
      <c r="A473" s="12" t="s">
        <v>1548</v>
      </c>
      <c r="B473" s="12" t="s">
        <v>1549</v>
      </c>
      <c r="C473" s="12" t="s">
        <v>131</v>
      </c>
      <c r="D473" s="12" t="s">
        <v>246</v>
      </c>
      <c r="E473" s="13" t="n">
        <v>0</v>
      </c>
      <c r="F473" s="13" t="n">
        <v>0</v>
      </c>
      <c r="G473" s="13" t="n">
        <f aca="false">SUMIFS('Expense Entry'!$H$5:$H$6000,'Expense Entry'!$E$5:$E$6000,"Inventory Purchase",'Expense Entry'!$F$5:$F$6000,$A473)</f>
        <v>0</v>
      </c>
      <c r="H473" s="13" t="n">
        <f aca="false">SUMIFS('Purchase Orders'!$F$5:$F$3000,'Purchase Orders'!$L$5:$L$3000,"Received",'Purchase Orders'!$D$5:$D$3000,$A473)</f>
        <v>0</v>
      </c>
      <c r="I473" s="13" t="n">
        <f aca="false">$G473+$H473</f>
        <v>0</v>
      </c>
      <c r="J473" s="13" t="n">
        <f aca="false">SUMIFS('Issue Log'!$E$5:$E$6000,'Issue Log'!$B$5:$B$6000,$A473)</f>
        <v>0</v>
      </c>
      <c r="K473" s="13" t="n">
        <f aca="false">$F473+$I473-$J473</f>
        <v>0</v>
      </c>
      <c r="L473" s="13" t="n">
        <f aca="false">$K473*$E473</f>
        <v>0</v>
      </c>
    </row>
    <row r="474" customFormat="false" ht="15" hidden="false" customHeight="true" outlineLevel="0" collapsed="false">
      <c r="A474" s="12" t="s">
        <v>1550</v>
      </c>
      <c r="B474" s="12" t="s">
        <v>1551</v>
      </c>
      <c r="C474" s="12" t="s">
        <v>131</v>
      </c>
      <c r="D474" s="12" t="s">
        <v>246</v>
      </c>
      <c r="E474" s="13" t="n">
        <v>304</v>
      </c>
      <c r="F474" s="13" t="n">
        <v>0</v>
      </c>
      <c r="G474" s="13" t="n">
        <f aca="false">SUMIFS('Expense Entry'!$H$5:$H$6000,'Expense Entry'!$E$5:$E$6000,"Inventory Purchase",'Expense Entry'!$F$5:$F$6000,$A474)</f>
        <v>0</v>
      </c>
      <c r="H474" s="13" t="n">
        <f aca="false">SUMIFS('Purchase Orders'!$F$5:$F$3000,'Purchase Orders'!$L$5:$L$3000,"Received",'Purchase Orders'!$D$5:$D$3000,$A474)</f>
        <v>0</v>
      </c>
      <c r="I474" s="13" t="n">
        <f aca="false">$G474+$H474</f>
        <v>0</v>
      </c>
      <c r="J474" s="13" t="n">
        <f aca="false">SUMIFS('Issue Log'!$E$5:$E$6000,'Issue Log'!$B$5:$B$6000,$A474)</f>
        <v>0</v>
      </c>
      <c r="K474" s="13" t="n">
        <f aca="false">$F474+$I474-$J474</f>
        <v>0</v>
      </c>
      <c r="L474" s="13" t="n">
        <f aca="false">$K474*$E474</f>
        <v>0</v>
      </c>
    </row>
    <row r="475" customFormat="false" ht="15" hidden="false" customHeight="true" outlineLevel="0" collapsed="false">
      <c r="A475" s="12" t="s">
        <v>1552</v>
      </c>
      <c r="B475" s="12" t="s">
        <v>1553</v>
      </c>
      <c r="C475" s="12" t="s">
        <v>128</v>
      </c>
      <c r="D475" s="12" t="s">
        <v>246</v>
      </c>
      <c r="E475" s="13" t="n">
        <v>900</v>
      </c>
      <c r="F475" s="13" t="n">
        <v>0</v>
      </c>
      <c r="G475" s="13" t="n">
        <f aca="false">SUMIFS('Expense Entry'!$H$5:$H$6000,'Expense Entry'!$E$5:$E$6000,"Inventory Purchase",'Expense Entry'!$F$5:$F$6000,$A475)</f>
        <v>0</v>
      </c>
      <c r="H475" s="13" t="n">
        <f aca="false">SUMIFS('Purchase Orders'!$F$5:$F$3000,'Purchase Orders'!$L$5:$L$3000,"Received",'Purchase Orders'!$D$5:$D$3000,$A475)</f>
        <v>0</v>
      </c>
      <c r="I475" s="13" t="n">
        <f aca="false">$G475+$H475</f>
        <v>0</v>
      </c>
      <c r="J475" s="13" t="n">
        <f aca="false">SUMIFS('Issue Log'!$E$5:$E$6000,'Issue Log'!$B$5:$B$6000,$A475)</f>
        <v>0</v>
      </c>
      <c r="K475" s="13" t="n">
        <f aca="false">$F475+$I475-$J475</f>
        <v>0</v>
      </c>
      <c r="L475" s="13" t="n">
        <f aca="false">$K475*$E475</f>
        <v>0</v>
      </c>
    </row>
    <row r="476" customFormat="false" ht="15" hidden="false" customHeight="true" outlineLevel="0" collapsed="false">
      <c r="A476" s="12" t="s">
        <v>1554</v>
      </c>
      <c r="B476" s="12" t="s">
        <v>1555</v>
      </c>
      <c r="C476" s="12" t="s">
        <v>128</v>
      </c>
      <c r="D476" s="12" t="s">
        <v>246</v>
      </c>
      <c r="E476" s="13" t="n">
        <v>500</v>
      </c>
      <c r="F476" s="13" t="n">
        <v>0</v>
      </c>
      <c r="G476" s="13" t="n">
        <f aca="false">SUMIFS('Expense Entry'!$H$5:$H$6000,'Expense Entry'!$E$5:$E$6000,"Inventory Purchase",'Expense Entry'!$F$5:$F$6000,$A476)</f>
        <v>0</v>
      </c>
      <c r="H476" s="13" t="n">
        <f aca="false">SUMIFS('Purchase Orders'!$F$5:$F$3000,'Purchase Orders'!$L$5:$L$3000,"Received",'Purchase Orders'!$D$5:$D$3000,$A476)</f>
        <v>0</v>
      </c>
      <c r="I476" s="13" t="n">
        <f aca="false">$G476+$H476</f>
        <v>0</v>
      </c>
      <c r="J476" s="13" t="n">
        <f aca="false">SUMIFS('Issue Log'!$E$5:$E$6000,'Issue Log'!$B$5:$B$6000,$A476)</f>
        <v>0</v>
      </c>
      <c r="K476" s="13" t="n">
        <f aca="false">$F476+$I476-$J476</f>
        <v>0</v>
      </c>
      <c r="L476" s="13" t="n">
        <f aca="false">$K476*$E476</f>
        <v>0</v>
      </c>
    </row>
    <row r="477" customFormat="false" ht="15" hidden="false" customHeight="true" outlineLevel="0" collapsed="false">
      <c r="A477" s="12" t="s">
        <v>1556</v>
      </c>
      <c r="B477" s="12" t="s">
        <v>1557</v>
      </c>
      <c r="C477" s="12" t="s">
        <v>128</v>
      </c>
      <c r="D477" s="12" t="s">
        <v>246</v>
      </c>
      <c r="E477" s="13" t="n">
        <v>1800</v>
      </c>
      <c r="F477" s="13" t="n">
        <v>0</v>
      </c>
      <c r="G477" s="13" t="n">
        <f aca="false">SUMIFS('Expense Entry'!$H$5:$H$6000,'Expense Entry'!$E$5:$E$6000,"Inventory Purchase",'Expense Entry'!$F$5:$F$6000,$A477)</f>
        <v>0</v>
      </c>
      <c r="H477" s="13" t="n">
        <f aca="false">SUMIFS('Purchase Orders'!$F$5:$F$3000,'Purchase Orders'!$L$5:$L$3000,"Received",'Purchase Orders'!$D$5:$D$3000,$A477)</f>
        <v>0</v>
      </c>
      <c r="I477" s="13" t="n">
        <f aca="false">$G477+$H477</f>
        <v>0</v>
      </c>
      <c r="J477" s="13" t="n">
        <f aca="false">SUMIFS('Issue Log'!$E$5:$E$6000,'Issue Log'!$B$5:$B$6000,$A477)</f>
        <v>0</v>
      </c>
      <c r="K477" s="13" t="n">
        <f aca="false">$F477+$I477-$J477</f>
        <v>0</v>
      </c>
      <c r="L477" s="13" t="n">
        <f aca="false">$K477*$E477</f>
        <v>0</v>
      </c>
    </row>
    <row r="478" customFormat="false" ht="15" hidden="false" customHeight="true" outlineLevel="0" collapsed="false">
      <c r="A478" s="12" t="s">
        <v>1558</v>
      </c>
      <c r="B478" s="12" t="s">
        <v>1559</v>
      </c>
      <c r="C478" s="12" t="s">
        <v>128</v>
      </c>
      <c r="D478" s="12" t="s">
        <v>246</v>
      </c>
      <c r="E478" s="13" t="n">
        <v>3500</v>
      </c>
      <c r="F478" s="13" t="n">
        <v>0</v>
      </c>
      <c r="G478" s="13" t="n">
        <f aca="false">SUMIFS('Expense Entry'!$H$5:$H$6000,'Expense Entry'!$E$5:$E$6000,"Inventory Purchase",'Expense Entry'!$F$5:$F$6000,$A478)</f>
        <v>0</v>
      </c>
      <c r="H478" s="13" t="n">
        <f aca="false">SUMIFS('Purchase Orders'!$F$5:$F$3000,'Purchase Orders'!$L$5:$L$3000,"Received",'Purchase Orders'!$D$5:$D$3000,$A478)</f>
        <v>0</v>
      </c>
      <c r="I478" s="13" t="n">
        <f aca="false">$G478+$H478</f>
        <v>0</v>
      </c>
      <c r="J478" s="13" t="n">
        <f aca="false">SUMIFS('Issue Log'!$E$5:$E$6000,'Issue Log'!$B$5:$B$6000,$A478)</f>
        <v>0</v>
      </c>
      <c r="K478" s="13" t="n">
        <f aca="false">$F478+$I478-$J478</f>
        <v>0</v>
      </c>
      <c r="L478" s="13" t="n">
        <f aca="false">$K478*$E478</f>
        <v>0</v>
      </c>
    </row>
    <row r="479" customFormat="false" ht="15" hidden="false" customHeight="true" outlineLevel="0" collapsed="false">
      <c r="A479" s="12" t="s">
        <v>1561</v>
      </c>
      <c r="B479" s="12" t="s">
        <v>1562</v>
      </c>
      <c r="C479" s="12" t="s">
        <v>128</v>
      </c>
      <c r="D479" s="12" t="s">
        <v>246</v>
      </c>
      <c r="E479" s="13" t="n">
        <v>4000</v>
      </c>
      <c r="F479" s="13" t="n">
        <v>0</v>
      </c>
      <c r="G479" s="13" t="n">
        <f aca="false">SUMIFS('Expense Entry'!$H$5:$H$6000,'Expense Entry'!$E$5:$E$6000,"Inventory Purchase",'Expense Entry'!$F$5:$F$6000,$A479)</f>
        <v>0</v>
      </c>
      <c r="H479" s="13" t="n">
        <f aca="false">SUMIFS('Purchase Orders'!$F$5:$F$3000,'Purchase Orders'!$L$5:$L$3000,"Received",'Purchase Orders'!$D$5:$D$3000,$A479)</f>
        <v>0</v>
      </c>
      <c r="I479" s="13" t="n">
        <f aca="false">$G479+$H479</f>
        <v>0</v>
      </c>
      <c r="J479" s="13" t="n">
        <f aca="false">SUMIFS('Issue Log'!$E$5:$E$6000,'Issue Log'!$B$5:$B$6000,$A479)</f>
        <v>0</v>
      </c>
      <c r="K479" s="13" t="n">
        <f aca="false">$F479+$I479-$J479</f>
        <v>0</v>
      </c>
      <c r="L479" s="13" t="n">
        <f aca="false">$K479*$E479</f>
        <v>0</v>
      </c>
    </row>
    <row r="480" customFormat="false" ht="15" hidden="false" customHeight="true" outlineLevel="0" collapsed="false">
      <c r="A480" s="12" t="s">
        <v>1565</v>
      </c>
      <c r="B480" s="12" t="s">
        <v>1566</v>
      </c>
      <c r="C480" s="12" t="s">
        <v>128</v>
      </c>
      <c r="D480" s="12" t="s">
        <v>815</v>
      </c>
      <c r="E480" s="13" t="n">
        <v>1070</v>
      </c>
      <c r="F480" s="13" t="n">
        <v>0</v>
      </c>
      <c r="G480" s="13" t="n">
        <f aca="false">SUMIFS('Expense Entry'!$H$5:$H$6000,'Expense Entry'!$E$5:$E$6000,"Inventory Purchase",'Expense Entry'!$F$5:$F$6000,$A480)</f>
        <v>0</v>
      </c>
      <c r="H480" s="13" t="n">
        <f aca="false">SUMIFS('Purchase Orders'!$F$5:$F$3000,'Purchase Orders'!$L$5:$L$3000,"Received",'Purchase Orders'!$D$5:$D$3000,$A480)</f>
        <v>0</v>
      </c>
      <c r="I480" s="13" t="n">
        <f aca="false">$G480+$H480</f>
        <v>0</v>
      </c>
      <c r="J480" s="13" t="n">
        <f aca="false">SUMIFS('Issue Log'!$E$5:$E$6000,'Issue Log'!$B$5:$B$6000,$A480)</f>
        <v>0</v>
      </c>
      <c r="K480" s="13" t="n">
        <f aca="false">$F480+$I480-$J480</f>
        <v>0</v>
      </c>
      <c r="L480" s="13" t="n">
        <f aca="false">$K480*$E480</f>
        <v>0</v>
      </c>
    </row>
    <row r="481" customFormat="false" ht="15" hidden="false" customHeight="true" outlineLevel="0" collapsed="false">
      <c r="A481" s="12" t="s">
        <v>1567</v>
      </c>
      <c r="B481" s="12" t="s">
        <v>1568</v>
      </c>
      <c r="C481" s="12" t="s">
        <v>128</v>
      </c>
      <c r="D481" s="12" t="s">
        <v>815</v>
      </c>
      <c r="E481" s="13" t="n">
        <v>400</v>
      </c>
      <c r="F481" s="13" t="n">
        <v>0</v>
      </c>
      <c r="G481" s="13" t="n">
        <f aca="false">SUMIFS('Expense Entry'!$H$5:$H$6000,'Expense Entry'!$E$5:$E$6000,"Inventory Purchase",'Expense Entry'!$F$5:$F$6000,$A481)</f>
        <v>0</v>
      </c>
      <c r="H481" s="13" t="n">
        <f aca="false">SUMIFS('Purchase Orders'!$F$5:$F$3000,'Purchase Orders'!$L$5:$L$3000,"Received",'Purchase Orders'!$D$5:$D$3000,$A481)</f>
        <v>0</v>
      </c>
      <c r="I481" s="13" t="n">
        <f aca="false">$G481+$H481</f>
        <v>0</v>
      </c>
      <c r="J481" s="13" t="n">
        <f aca="false">SUMIFS('Issue Log'!$E$5:$E$6000,'Issue Log'!$B$5:$B$6000,$A481)</f>
        <v>0</v>
      </c>
      <c r="K481" s="13" t="n">
        <f aca="false">$F481+$I481-$J481</f>
        <v>0</v>
      </c>
      <c r="L481" s="13" t="n">
        <f aca="false">$K481*$E481</f>
        <v>0</v>
      </c>
    </row>
    <row r="482" customFormat="false" ht="15" hidden="false" customHeight="true" outlineLevel="0" collapsed="false">
      <c r="A482" s="12" t="s">
        <v>1570</v>
      </c>
      <c r="B482" s="12" t="s">
        <v>1571</v>
      </c>
      <c r="C482" s="12" t="s">
        <v>128</v>
      </c>
      <c r="D482" s="12" t="s">
        <v>1081</v>
      </c>
      <c r="E482" s="13" t="n">
        <v>6200</v>
      </c>
      <c r="F482" s="13" t="n">
        <v>0</v>
      </c>
      <c r="G482" s="13" t="n">
        <f aca="false">SUMIFS('Expense Entry'!$H$5:$H$6000,'Expense Entry'!$E$5:$E$6000,"Inventory Purchase",'Expense Entry'!$F$5:$F$6000,$A482)</f>
        <v>0</v>
      </c>
      <c r="H482" s="13" t="n">
        <f aca="false">SUMIFS('Purchase Orders'!$F$5:$F$3000,'Purchase Orders'!$L$5:$L$3000,"Received",'Purchase Orders'!$D$5:$D$3000,$A482)</f>
        <v>0</v>
      </c>
      <c r="I482" s="13" t="n">
        <f aca="false">$G482+$H482</f>
        <v>0</v>
      </c>
      <c r="J482" s="13" t="n">
        <f aca="false">SUMIFS('Issue Log'!$E$5:$E$6000,'Issue Log'!$B$5:$B$6000,$A482)</f>
        <v>0</v>
      </c>
      <c r="K482" s="13" t="n">
        <f aca="false">$F482+$I482-$J482</f>
        <v>0</v>
      </c>
      <c r="L482" s="13" t="n">
        <f aca="false">$K482*$E482</f>
        <v>0</v>
      </c>
    </row>
    <row r="483" customFormat="false" ht="15" hidden="false" customHeight="true" outlineLevel="0" collapsed="false">
      <c r="A483" s="12" t="s">
        <v>1574</v>
      </c>
      <c r="B483" s="12" t="s">
        <v>1575</v>
      </c>
      <c r="C483" s="12" t="s">
        <v>131</v>
      </c>
      <c r="D483" s="12" t="s">
        <v>1081</v>
      </c>
      <c r="E483" s="13" t="n">
        <v>0</v>
      </c>
      <c r="F483" s="13" t="n">
        <v>0</v>
      </c>
      <c r="G483" s="13" t="n">
        <f aca="false">SUMIFS('Expense Entry'!$H$5:$H$6000,'Expense Entry'!$E$5:$E$6000,"Inventory Purchase",'Expense Entry'!$F$5:$F$6000,$A483)</f>
        <v>0</v>
      </c>
      <c r="H483" s="13" t="n">
        <f aca="false">SUMIFS('Purchase Orders'!$F$5:$F$3000,'Purchase Orders'!$L$5:$L$3000,"Received",'Purchase Orders'!$D$5:$D$3000,$A483)</f>
        <v>0</v>
      </c>
      <c r="I483" s="13" t="n">
        <f aca="false">$G483+$H483</f>
        <v>0</v>
      </c>
      <c r="J483" s="13" t="n">
        <f aca="false">SUMIFS('Issue Log'!$E$5:$E$6000,'Issue Log'!$B$5:$B$6000,$A483)</f>
        <v>0</v>
      </c>
      <c r="K483" s="13" t="n">
        <f aca="false">$F483+$I483-$J483</f>
        <v>0</v>
      </c>
      <c r="L483" s="13" t="n">
        <f aca="false">$K483*$E483</f>
        <v>0</v>
      </c>
    </row>
    <row r="484" customFormat="false" ht="15" hidden="false" customHeight="true" outlineLevel="0" collapsed="false">
      <c r="A484" s="12" t="s">
        <v>1576</v>
      </c>
      <c r="B484" s="12" t="s">
        <v>1446</v>
      </c>
      <c r="C484" s="12" t="s">
        <v>130</v>
      </c>
      <c r="D484" s="12" t="s">
        <v>815</v>
      </c>
      <c r="E484" s="13" t="n">
        <v>371.59</v>
      </c>
      <c r="F484" s="13" t="n">
        <v>600</v>
      </c>
      <c r="G484" s="13" t="n">
        <f aca="false">SUMIFS('Expense Entry'!$H$5:$H$6000,'Expense Entry'!$E$5:$E$6000,"Inventory Purchase",'Expense Entry'!$F$5:$F$6000,$A484)</f>
        <v>0</v>
      </c>
      <c r="H484" s="13" t="n">
        <f aca="false">SUMIFS('Purchase Orders'!$F$5:$F$3000,'Purchase Orders'!$L$5:$L$3000,"Received",'Purchase Orders'!$D$5:$D$3000,$A484)</f>
        <v>0</v>
      </c>
      <c r="I484" s="13" t="n">
        <f aca="false">$G484+$H484</f>
        <v>0</v>
      </c>
      <c r="J484" s="13" t="n">
        <f aca="false">SUMIFS('Issue Log'!$E$5:$E$6000,'Issue Log'!$B$5:$B$6000,$A484)</f>
        <v>0</v>
      </c>
      <c r="K484" s="13" t="n">
        <f aca="false">$F484+$I484-$J484</f>
        <v>600</v>
      </c>
      <c r="L484" s="13" t="n">
        <f aca="false">$K484*$E484</f>
        <v>222954</v>
      </c>
    </row>
    <row r="485" customFormat="false" ht="15" hidden="false" customHeight="true" outlineLevel="0" collapsed="false">
      <c r="A485" s="12" t="s">
        <v>1577</v>
      </c>
      <c r="B485" s="12" t="s">
        <v>1578</v>
      </c>
      <c r="C485" s="12" t="s">
        <v>130</v>
      </c>
      <c r="D485" s="12" t="s">
        <v>354</v>
      </c>
      <c r="E485" s="13" t="n">
        <v>17025</v>
      </c>
      <c r="F485" s="13" t="n">
        <v>5</v>
      </c>
      <c r="G485" s="13" t="n">
        <f aca="false">SUMIFS('Expense Entry'!$H$5:$H$6000,'Expense Entry'!$E$5:$E$6000,"Inventory Purchase",'Expense Entry'!$F$5:$F$6000,$A485)</f>
        <v>0</v>
      </c>
      <c r="H485" s="13" t="n">
        <f aca="false">SUMIFS('Purchase Orders'!$F$5:$F$3000,'Purchase Orders'!$L$5:$L$3000,"Received",'Purchase Orders'!$D$5:$D$3000,$A485)</f>
        <v>0</v>
      </c>
      <c r="I485" s="13" t="n">
        <f aca="false">$G485+$H485</f>
        <v>0</v>
      </c>
      <c r="J485" s="13" t="n">
        <f aca="false">SUMIFS('Issue Log'!$E$5:$E$6000,'Issue Log'!$B$5:$B$6000,$A485)</f>
        <v>0</v>
      </c>
      <c r="K485" s="13" t="n">
        <f aca="false">$F485+$I485-$J485</f>
        <v>5</v>
      </c>
      <c r="L485" s="13" t="n">
        <f aca="false">$K485*$E485</f>
        <v>85125</v>
      </c>
    </row>
    <row r="487" customFormat="false" ht="15" hidden="false" customHeight="true" outlineLevel="0" collapsed="false">
      <c r="A487" s="3" t="s">
        <v>1667</v>
      </c>
      <c r="K487" s="20" t="n">
        <f aca="false">SUM($K$5:$K$485)</f>
        <v>68993.7</v>
      </c>
      <c r="L487" s="20" t="n">
        <f aca="false">SUM($L$5:$L$485)</f>
        <v>4433397.60650407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4"/>
  </cols>
  <sheetData>
    <row r="1" customFormat="false" ht="21.75" hidden="false" customHeight="true" outlineLevel="0" collapsed="false">
      <c r="A1" s="4" t="s">
        <v>1668</v>
      </c>
      <c r="B1" s="4"/>
    </row>
    <row r="2" customFormat="false" ht="15" hidden="false" customHeight="true" outlineLevel="0" collapsed="false">
      <c r="A2" s="5" t="s">
        <v>1669</v>
      </c>
      <c r="B2" s="5"/>
    </row>
    <row r="4" customFormat="false" ht="27.75" hidden="false" customHeight="true" outlineLevel="0" collapsed="false">
      <c r="A4" s="18" t="s">
        <v>1670</v>
      </c>
      <c r="B4" s="18" t="s">
        <v>1671</v>
      </c>
    </row>
    <row r="5" customFormat="false" ht="15" hidden="false" customHeight="true" outlineLevel="0" collapsed="false">
      <c r="A5" s="12" t="s">
        <v>378</v>
      </c>
      <c r="B5" s="13" t="n">
        <f aca="false">SUMIFS('Expense Entry'!$K$5:$K$6000,'Expense Entry'!$E$5:$E$6000,"Director Draw",'Expense Entry'!$M$5:$M$6000,$A5)</f>
        <v>35765</v>
      </c>
    </row>
    <row r="6" customFormat="false" ht="15" hidden="false" customHeight="true" outlineLevel="0" collapsed="false">
      <c r="A6" s="12" t="s">
        <v>1593</v>
      </c>
      <c r="B6" s="13" t="n">
        <f aca="false">SUMIFS('Expense Entry'!$K$5:$K$6000,'Expense Entry'!$E$5:$E$6000,"Director Draw",'Expense Entry'!$M$5:$M$6000,$A6)</f>
        <v>165</v>
      </c>
    </row>
    <row r="7" customFormat="false" ht="15" hidden="false" customHeight="true" outlineLevel="0" collapsed="false">
      <c r="A7" s="12" t="s">
        <v>234</v>
      </c>
      <c r="B7" s="13" t="n">
        <f aca="false">SUMIFS('Expense Entry'!$K$5:$K$6000,'Expense Entry'!$E$5:$E$6000,"Director Draw",'Expense Entry'!$M$5:$M$6000,$A7)</f>
        <v>17520</v>
      </c>
    </row>
    <row r="8" customFormat="false" ht="15" hidden="false" customHeight="true" outlineLevel="0" collapsed="false">
      <c r="A8" s="12" t="s">
        <v>1625</v>
      </c>
      <c r="B8" s="13" t="n">
        <f aca="false">SUMIFS('Expense Entry'!$K$5:$K$6000,'Expense Entry'!$E$5:$E$6000,"Director Draw",'Expense Entry'!$M$5:$M$6000,$A8)</f>
        <v>1999</v>
      </c>
    </row>
    <row r="9" customFormat="false" ht="15" hidden="false" customHeight="true" outlineLevel="0" collapsed="false">
      <c r="A9" s="12" t="s">
        <v>807</v>
      </c>
      <c r="B9" s="13" t="n">
        <f aca="false">SUMIFS('Expense Entry'!$K$5:$K$6000,'Expense Entry'!$E$5:$E$6000,"Director Draw",'Expense Entry'!$M$5:$M$6000,$A9)</f>
        <v>1750</v>
      </c>
    </row>
    <row r="10" customFormat="false" ht="15" hidden="false" customHeight="true" outlineLevel="0" collapsed="false">
      <c r="A10" s="12" t="s">
        <v>228</v>
      </c>
      <c r="B10" s="13" t="n">
        <f aca="false">SUMIFS('Expense Entry'!$K$5:$K$6000,'Expense Entry'!$E$5:$E$6000,"Director Draw",'Expense Entry'!$M$5:$M$6000,$A10)</f>
        <v>400708</v>
      </c>
    </row>
    <row r="11" customFormat="false" ht="15" hidden="false" customHeight="true" outlineLevel="0" collapsed="false">
      <c r="A11" s="3" t="s">
        <v>1672</v>
      </c>
      <c r="B11" s="20" t="n">
        <f aca="false">SUM($B$5:$B$10)</f>
        <v>457907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2CC"/>
    <pageSetUpPr fitToPage="false"/>
  </sheetPr>
  <dimension ref="A1:F8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3" min="3" style="1" width="18"/>
    <col collapsed="false" customWidth="true" hidden="false" outlineLevel="0" max="5" min="4" style="1" width="20"/>
    <col collapsed="false" customWidth="true" hidden="false" outlineLevel="0" max="6" min="6" style="1" width="18"/>
  </cols>
  <sheetData>
    <row r="1" customFormat="false" ht="21.75" hidden="false" customHeight="true" outlineLevel="0" collapsed="false">
      <c r="A1" s="4" t="s">
        <v>1673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1674</v>
      </c>
      <c r="B2" s="5"/>
      <c r="C2" s="5"/>
      <c r="D2" s="5"/>
      <c r="E2" s="5"/>
      <c r="F2" s="5"/>
    </row>
    <row r="4" customFormat="false" ht="27.75" hidden="false" customHeight="true" outlineLevel="0" collapsed="false">
      <c r="A4" s="18" t="s">
        <v>1675</v>
      </c>
      <c r="B4" s="18" t="s">
        <v>1676</v>
      </c>
      <c r="C4" s="18" t="s">
        <v>1677</v>
      </c>
      <c r="D4" s="18" t="s">
        <v>1678</v>
      </c>
      <c r="E4" s="18" t="s">
        <v>1679</v>
      </c>
      <c r="F4" s="18" t="s">
        <v>1680</v>
      </c>
    </row>
    <row r="5" customFormat="false" ht="15" hidden="false" customHeight="true" outlineLevel="0" collapsed="false">
      <c r="A5" s="12" t="s">
        <v>1681</v>
      </c>
      <c r="B5" s="12" t="s">
        <v>1682</v>
      </c>
      <c r="C5" s="12" t="s">
        <v>1683</v>
      </c>
      <c r="D5" s="13" t="n">
        <v>95000</v>
      </c>
      <c r="E5" s="13" t="n">
        <f aca="false">SUMIFS('Expense Entry'!$K$5:$K$6000,'Expense Entry'!$E$5:$E$6000,"Payroll/Employee Charge",'Expense Entry'!$M$5:$M$6000,$A5)</f>
        <v>0</v>
      </c>
      <c r="F5" s="13" t="n">
        <f aca="false">$D5-$E5</f>
        <v>95000</v>
      </c>
    </row>
    <row r="6" customFormat="false" ht="15" hidden="false" customHeight="true" outlineLevel="0" collapsed="false">
      <c r="A6" s="12" t="s">
        <v>1684</v>
      </c>
      <c r="B6" s="12" t="s">
        <v>1685</v>
      </c>
      <c r="C6" s="12" t="s">
        <v>1686</v>
      </c>
      <c r="D6" s="13" t="n">
        <v>27000</v>
      </c>
      <c r="E6" s="13" t="n">
        <f aca="false">SUMIFS('Expense Entry'!$K$5:$K$6000,'Expense Entry'!$E$5:$E$6000,"Payroll/Employee Charge",'Expense Entry'!$M$5:$M$6000,$A6)</f>
        <v>0</v>
      </c>
      <c r="F6" s="13" t="n">
        <f aca="false">$D6-$E6</f>
        <v>27000</v>
      </c>
    </row>
    <row r="7" customFormat="false" ht="15" hidden="false" customHeight="true" outlineLevel="0" collapsed="false">
      <c r="A7" s="12" t="s">
        <v>1687</v>
      </c>
      <c r="B7" s="12" t="s">
        <v>1685</v>
      </c>
      <c r="C7" s="12" t="s">
        <v>1686</v>
      </c>
      <c r="D7" s="13" t="n">
        <v>27000</v>
      </c>
      <c r="E7" s="13" t="n">
        <f aca="false">SUMIFS('Expense Entry'!$K$5:$K$6000,'Expense Entry'!$E$5:$E$6000,"Payroll/Employee Charge",'Expense Entry'!$M$5:$M$6000,$A7)</f>
        <v>0</v>
      </c>
      <c r="F7" s="13" t="n">
        <f aca="false">$D7-$E7</f>
        <v>27000</v>
      </c>
    </row>
    <row r="8" customFormat="false" ht="15" hidden="false" customHeight="true" outlineLevel="0" collapsed="false">
      <c r="A8" s="12" t="s">
        <v>1688</v>
      </c>
      <c r="B8" s="12"/>
      <c r="C8" s="12" t="s">
        <v>1686</v>
      </c>
      <c r="D8" s="13" t="n">
        <v>25000</v>
      </c>
      <c r="E8" s="13" t="n">
        <f aca="false">SUMIFS('Expense Entry'!$K$5:$K$6000,'Expense Entry'!$E$5:$E$6000,"Payroll/Employee Charge",'Expense Entry'!$M$5:$M$6000,$A8)</f>
        <v>0</v>
      </c>
      <c r="F8" s="13" t="n">
        <f aca="false">$D8-$E8</f>
        <v>25000</v>
      </c>
    </row>
    <row r="9" customFormat="false" ht="15" hidden="false" customHeight="true" outlineLevel="0" collapsed="false">
      <c r="A9" s="12" t="s">
        <v>1689</v>
      </c>
      <c r="B9" s="12" t="s">
        <v>1690</v>
      </c>
      <c r="C9" s="12" t="s">
        <v>1691</v>
      </c>
      <c r="D9" s="13" t="n">
        <v>55000</v>
      </c>
      <c r="E9" s="13" t="n">
        <f aca="false">SUMIFS('Expense Entry'!$K$5:$K$6000,'Expense Entry'!$E$5:$E$6000,"Payroll/Employee Charge",'Expense Entry'!$M$5:$M$6000,$A9)</f>
        <v>0</v>
      </c>
      <c r="F9" s="13" t="n">
        <f aca="false">$D9-$E9</f>
        <v>55000</v>
      </c>
    </row>
    <row r="10" customFormat="false" ht="15" hidden="false" customHeight="true" outlineLevel="0" collapsed="false">
      <c r="A10" s="12" t="s">
        <v>1692</v>
      </c>
      <c r="B10" s="12" t="s">
        <v>1693</v>
      </c>
      <c r="C10" s="12" t="s">
        <v>1691</v>
      </c>
      <c r="D10" s="13" t="n">
        <v>45000</v>
      </c>
      <c r="E10" s="13" t="n">
        <f aca="false">SUMIFS('Expense Entry'!$K$5:$K$6000,'Expense Entry'!$E$5:$E$6000,"Payroll/Employee Charge",'Expense Entry'!$M$5:$M$6000,$A10)</f>
        <v>0</v>
      </c>
      <c r="F10" s="13" t="n">
        <f aca="false">$D10-$E10</f>
        <v>45000</v>
      </c>
    </row>
    <row r="11" customFormat="false" ht="15" hidden="false" customHeight="true" outlineLevel="0" collapsed="false">
      <c r="A11" s="12" t="s">
        <v>1694</v>
      </c>
      <c r="B11" s="12" t="s">
        <v>1693</v>
      </c>
      <c r="C11" s="12" t="s">
        <v>1695</v>
      </c>
      <c r="D11" s="13" t="n">
        <v>38500</v>
      </c>
      <c r="E11" s="13" t="n">
        <f aca="false">SUMIFS('Expense Entry'!$K$5:$K$6000,'Expense Entry'!$E$5:$E$6000,"Payroll/Employee Charge",'Expense Entry'!$M$5:$M$6000,$A11)</f>
        <v>0</v>
      </c>
      <c r="F11" s="13" t="n">
        <f aca="false">$D11-$E11</f>
        <v>38500</v>
      </c>
    </row>
    <row r="12" customFormat="false" ht="15" hidden="false" customHeight="true" outlineLevel="0" collapsed="false">
      <c r="A12" s="12" t="s">
        <v>1696</v>
      </c>
      <c r="B12" s="12" t="s">
        <v>1693</v>
      </c>
      <c r="C12" s="12" t="s">
        <v>1695</v>
      </c>
      <c r="D12" s="13" t="n">
        <v>34500</v>
      </c>
      <c r="E12" s="13" t="n">
        <f aca="false">SUMIFS('Expense Entry'!$K$5:$K$6000,'Expense Entry'!$E$5:$E$6000,"Payroll/Employee Charge",'Expense Entry'!$M$5:$M$6000,$A12)</f>
        <v>0</v>
      </c>
      <c r="F12" s="13" t="n">
        <f aca="false">$D12-$E12</f>
        <v>34500</v>
      </c>
    </row>
    <row r="13" customFormat="false" ht="15" hidden="false" customHeight="true" outlineLevel="0" collapsed="false">
      <c r="A13" s="12" t="s">
        <v>1697</v>
      </c>
      <c r="B13" s="12" t="s">
        <v>1693</v>
      </c>
      <c r="C13" s="12" t="s">
        <v>1695</v>
      </c>
      <c r="D13" s="13" t="n">
        <v>26000</v>
      </c>
      <c r="E13" s="13" t="n">
        <f aca="false">SUMIFS('Expense Entry'!$K$5:$K$6000,'Expense Entry'!$E$5:$E$6000,"Payroll/Employee Charge",'Expense Entry'!$M$5:$M$6000,$A13)</f>
        <v>0</v>
      </c>
      <c r="F13" s="13" t="n">
        <f aca="false">$D13-$E13</f>
        <v>26000</v>
      </c>
    </row>
    <row r="14" customFormat="false" ht="15" hidden="false" customHeight="true" outlineLevel="0" collapsed="false">
      <c r="A14" s="12" t="s">
        <v>1698</v>
      </c>
      <c r="B14" s="12" t="s">
        <v>1693</v>
      </c>
      <c r="C14" s="12" t="s">
        <v>1695</v>
      </c>
      <c r="D14" s="13" t="n">
        <v>24000</v>
      </c>
      <c r="E14" s="13" t="n">
        <f aca="false">SUMIFS('Expense Entry'!$K$5:$K$6000,'Expense Entry'!$E$5:$E$6000,"Payroll/Employee Charge",'Expense Entry'!$M$5:$M$6000,$A14)</f>
        <v>0</v>
      </c>
      <c r="F14" s="13" t="n">
        <f aca="false">$D14-$E14</f>
        <v>24000</v>
      </c>
    </row>
    <row r="15" customFormat="false" ht="15" hidden="false" customHeight="true" outlineLevel="0" collapsed="false">
      <c r="A15" s="12" t="s">
        <v>1699</v>
      </c>
      <c r="B15" s="12" t="s">
        <v>1693</v>
      </c>
      <c r="C15" s="12" t="s">
        <v>1695</v>
      </c>
      <c r="D15" s="13" t="n">
        <v>24000</v>
      </c>
      <c r="E15" s="13" t="n">
        <f aca="false">SUMIFS('Expense Entry'!$K$5:$K$6000,'Expense Entry'!$E$5:$E$6000,"Payroll/Employee Charge",'Expense Entry'!$M$5:$M$6000,$A15)</f>
        <v>0</v>
      </c>
      <c r="F15" s="13" t="n">
        <f aca="false">$D15-$E15</f>
        <v>24000</v>
      </c>
    </row>
    <row r="16" customFormat="false" ht="15" hidden="false" customHeight="true" outlineLevel="0" collapsed="false">
      <c r="A16" s="12" t="s">
        <v>1700</v>
      </c>
      <c r="B16" s="12" t="s">
        <v>1693</v>
      </c>
      <c r="C16" s="12" t="s">
        <v>1695</v>
      </c>
      <c r="D16" s="13" t="n">
        <v>25000</v>
      </c>
      <c r="E16" s="13" t="n">
        <f aca="false">SUMIFS('Expense Entry'!$K$5:$K$6000,'Expense Entry'!$E$5:$E$6000,"Payroll/Employee Charge",'Expense Entry'!$M$5:$M$6000,$A16)</f>
        <v>0</v>
      </c>
      <c r="F16" s="13" t="n">
        <f aca="false">$D16-$E16</f>
        <v>25000</v>
      </c>
    </row>
    <row r="17" customFormat="false" ht="15" hidden="false" customHeight="true" outlineLevel="0" collapsed="false">
      <c r="A17" s="12" t="s">
        <v>1701</v>
      </c>
      <c r="B17" s="12"/>
      <c r="C17" s="12" t="s">
        <v>1695</v>
      </c>
      <c r="D17" s="13" t="n">
        <v>16000</v>
      </c>
      <c r="E17" s="13" t="n">
        <f aca="false">SUMIFS('Expense Entry'!$K$5:$K$6000,'Expense Entry'!$E$5:$E$6000,"Payroll/Employee Charge",'Expense Entry'!$M$5:$M$6000,$A17)</f>
        <v>0</v>
      </c>
      <c r="F17" s="13" t="n">
        <f aca="false">$D17-$E17</f>
        <v>16000</v>
      </c>
    </row>
    <row r="18" customFormat="false" ht="15" hidden="false" customHeight="true" outlineLevel="0" collapsed="false">
      <c r="A18" s="12" t="s">
        <v>1702</v>
      </c>
      <c r="B18" s="12"/>
      <c r="C18" s="12" t="s">
        <v>1695</v>
      </c>
      <c r="D18" s="13" t="n">
        <v>22000</v>
      </c>
      <c r="E18" s="13" t="n">
        <f aca="false">SUMIFS('Expense Entry'!$K$5:$K$6000,'Expense Entry'!$E$5:$E$6000,"Payroll/Employee Charge",'Expense Entry'!$M$5:$M$6000,$A18)</f>
        <v>0</v>
      </c>
      <c r="F18" s="13" t="n">
        <f aca="false">$D18-$E18</f>
        <v>22000</v>
      </c>
    </row>
    <row r="19" customFormat="false" ht="15" hidden="false" customHeight="true" outlineLevel="0" collapsed="false">
      <c r="A19" s="12" t="s">
        <v>1703</v>
      </c>
      <c r="B19" s="12"/>
      <c r="C19" s="12" t="s">
        <v>1695</v>
      </c>
      <c r="D19" s="13" t="n">
        <v>22000</v>
      </c>
      <c r="E19" s="13" t="n">
        <f aca="false">SUMIFS('Expense Entry'!$K$5:$K$6000,'Expense Entry'!$E$5:$E$6000,"Payroll/Employee Charge",'Expense Entry'!$M$5:$M$6000,$A19)</f>
        <v>0</v>
      </c>
      <c r="F19" s="13" t="n">
        <f aca="false">$D19-$E19</f>
        <v>22000</v>
      </c>
    </row>
    <row r="20" customFormat="false" ht="15" hidden="false" customHeight="true" outlineLevel="0" collapsed="false">
      <c r="A20" s="12" t="s">
        <v>1704</v>
      </c>
      <c r="B20" s="12"/>
      <c r="C20" s="12" t="s">
        <v>1695</v>
      </c>
      <c r="D20" s="13" t="n">
        <v>24000</v>
      </c>
      <c r="E20" s="13" t="n">
        <f aca="false">SUMIFS('Expense Entry'!$K$5:$K$6000,'Expense Entry'!$E$5:$E$6000,"Payroll/Employee Charge",'Expense Entry'!$M$5:$M$6000,$A20)</f>
        <v>0</v>
      </c>
      <c r="F20" s="13" t="n">
        <f aca="false">$D20-$E20</f>
        <v>24000</v>
      </c>
    </row>
    <row r="21" customFormat="false" ht="15" hidden="false" customHeight="true" outlineLevel="0" collapsed="false">
      <c r="A21" s="12" t="s">
        <v>1705</v>
      </c>
      <c r="B21" s="12"/>
      <c r="C21" s="12" t="s">
        <v>172</v>
      </c>
      <c r="D21" s="13" t="n">
        <v>25000</v>
      </c>
      <c r="E21" s="13" t="n">
        <f aca="false">SUMIFS('Expense Entry'!$K$5:$K$6000,'Expense Entry'!$E$5:$E$6000,"Payroll/Employee Charge",'Expense Entry'!$M$5:$M$6000,$A21)</f>
        <v>0</v>
      </c>
      <c r="F21" s="13" t="n">
        <f aca="false">$D21-$E21</f>
        <v>25000</v>
      </c>
    </row>
    <row r="22" customFormat="false" ht="15" hidden="false" customHeight="true" outlineLevel="0" collapsed="false">
      <c r="A22" s="12" t="s">
        <v>1706</v>
      </c>
      <c r="B22" s="12"/>
      <c r="C22" s="12" t="s">
        <v>1707</v>
      </c>
      <c r="D22" s="13" t="n">
        <v>24000</v>
      </c>
      <c r="E22" s="13" t="n">
        <f aca="false">SUMIFS('Expense Entry'!$K$5:$K$6000,'Expense Entry'!$E$5:$E$6000,"Payroll/Employee Charge",'Expense Entry'!$M$5:$M$6000,$A22)</f>
        <v>0</v>
      </c>
      <c r="F22" s="13" t="n">
        <f aca="false">$D22-$E22</f>
        <v>24000</v>
      </c>
    </row>
    <row r="23" customFormat="false" ht="15" hidden="false" customHeight="true" outlineLevel="0" collapsed="false">
      <c r="A23" s="12" t="s">
        <v>1708</v>
      </c>
      <c r="B23" s="12" t="s">
        <v>1693</v>
      </c>
      <c r="C23" s="12" t="s">
        <v>1709</v>
      </c>
      <c r="D23" s="13" t="n">
        <v>28000</v>
      </c>
      <c r="E23" s="13" t="n">
        <f aca="false">SUMIFS('Expense Entry'!$K$5:$K$6000,'Expense Entry'!$E$5:$E$6000,"Payroll/Employee Charge",'Expense Entry'!$M$5:$M$6000,$A23)</f>
        <v>0</v>
      </c>
      <c r="F23" s="13" t="n">
        <f aca="false">$D23-$E23</f>
        <v>28000</v>
      </c>
    </row>
    <row r="24" customFormat="false" ht="15" hidden="false" customHeight="true" outlineLevel="0" collapsed="false">
      <c r="A24" s="12" t="s">
        <v>1710</v>
      </c>
      <c r="B24" s="12"/>
      <c r="C24" s="12" t="s">
        <v>1709</v>
      </c>
      <c r="D24" s="13" t="n">
        <v>28000</v>
      </c>
      <c r="E24" s="13" t="n">
        <f aca="false">SUMIFS('Expense Entry'!$K$5:$K$6000,'Expense Entry'!$E$5:$E$6000,"Payroll/Employee Charge",'Expense Entry'!$M$5:$M$6000,$A24)</f>
        <v>0</v>
      </c>
      <c r="F24" s="13" t="n">
        <f aca="false">$D24-$E24</f>
        <v>28000</v>
      </c>
    </row>
    <row r="25" customFormat="false" ht="15" hidden="false" customHeight="true" outlineLevel="0" collapsed="false">
      <c r="A25" s="12" t="s">
        <v>1711</v>
      </c>
      <c r="B25" s="12"/>
      <c r="C25" s="12" t="s">
        <v>1712</v>
      </c>
      <c r="D25" s="13" t="n">
        <v>24000</v>
      </c>
      <c r="E25" s="13" t="n">
        <f aca="false">SUMIFS('Expense Entry'!$K$5:$K$6000,'Expense Entry'!$E$5:$E$6000,"Payroll/Employee Charge",'Expense Entry'!$M$5:$M$6000,$A25)</f>
        <v>0</v>
      </c>
      <c r="F25" s="13" t="n">
        <f aca="false">$D25-$E25</f>
        <v>24000</v>
      </c>
    </row>
    <row r="26" customFormat="false" ht="15" hidden="false" customHeight="true" outlineLevel="0" collapsed="false">
      <c r="A26" s="12" t="s">
        <v>1713</v>
      </c>
      <c r="B26" s="12" t="s">
        <v>1693</v>
      </c>
      <c r="C26" s="12" t="s">
        <v>1714</v>
      </c>
      <c r="D26" s="13" t="n">
        <v>26000</v>
      </c>
      <c r="E26" s="13" t="n">
        <f aca="false">SUMIFS('Expense Entry'!$K$5:$K$6000,'Expense Entry'!$E$5:$E$6000,"Payroll/Employee Charge",'Expense Entry'!$M$5:$M$6000,$A26)</f>
        <v>0</v>
      </c>
      <c r="F26" s="13" t="n">
        <f aca="false">$D26-$E26</f>
        <v>26000</v>
      </c>
    </row>
    <row r="27" customFormat="false" ht="15" hidden="false" customHeight="true" outlineLevel="0" collapsed="false">
      <c r="A27" s="12" t="s">
        <v>1715</v>
      </c>
      <c r="B27" s="12" t="s">
        <v>1693</v>
      </c>
      <c r="C27" s="12" t="s">
        <v>1712</v>
      </c>
      <c r="D27" s="13" t="n">
        <v>16000</v>
      </c>
      <c r="E27" s="13" t="n">
        <f aca="false">SUMIFS('Expense Entry'!$K$5:$K$6000,'Expense Entry'!$E$5:$E$6000,"Payroll/Employee Charge",'Expense Entry'!$M$5:$M$6000,$A27)</f>
        <v>0</v>
      </c>
      <c r="F27" s="13" t="n">
        <f aca="false">$D27-$E27</f>
        <v>16000</v>
      </c>
    </row>
    <row r="28" customFormat="false" ht="15" hidden="false" customHeight="true" outlineLevel="0" collapsed="false">
      <c r="A28" s="12" t="s">
        <v>1716</v>
      </c>
      <c r="B28" s="12"/>
      <c r="C28" s="12" t="s">
        <v>1717</v>
      </c>
      <c r="D28" s="13" t="n">
        <v>26000</v>
      </c>
      <c r="E28" s="13" t="n">
        <f aca="false">SUMIFS('Expense Entry'!$K$5:$K$6000,'Expense Entry'!$E$5:$E$6000,"Payroll/Employee Charge",'Expense Entry'!$M$5:$M$6000,$A28)</f>
        <v>0</v>
      </c>
      <c r="F28" s="13" t="n">
        <f aca="false">$D28-$E28</f>
        <v>26000</v>
      </c>
    </row>
    <row r="29" customFormat="false" ht="15" hidden="false" customHeight="true" outlineLevel="0" collapsed="false">
      <c r="A29" s="12" t="s">
        <v>1718</v>
      </c>
      <c r="B29" s="12"/>
      <c r="C29" s="12" t="s">
        <v>1719</v>
      </c>
      <c r="D29" s="13" t="n">
        <v>24000</v>
      </c>
      <c r="E29" s="13" t="n">
        <f aca="false">SUMIFS('Expense Entry'!$K$5:$K$6000,'Expense Entry'!$E$5:$E$6000,"Payroll/Employee Charge",'Expense Entry'!$M$5:$M$6000,$A29)</f>
        <v>0</v>
      </c>
      <c r="F29" s="13" t="n">
        <f aca="false">$D29-$E29</f>
        <v>24000</v>
      </c>
    </row>
    <row r="30" customFormat="false" ht="15" hidden="false" customHeight="true" outlineLevel="0" collapsed="false">
      <c r="A30" s="12" t="s">
        <v>1720</v>
      </c>
      <c r="B30" s="12"/>
      <c r="C30" s="12" t="s">
        <v>1719</v>
      </c>
      <c r="D30" s="13" t="n">
        <v>16000</v>
      </c>
      <c r="E30" s="13" t="n">
        <f aca="false">SUMIFS('Expense Entry'!$K$5:$K$6000,'Expense Entry'!$E$5:$E$6000,"Payroll/Employee Charge",'Expense Entry'!$M$5:$M$6000,$A30)</f>
        <v>0</v>
      </c>
      <c r="F30" s="13" t="n">
        <f aca="false">$D30-$E30</f>
        <v>16000</v>
      </c>
    </row>
    <row r="31" customFormat="false" ht="15" hidden="false" customHeight="true" outlineLevel="0" collapsed="false">
      <c r="A31" s="12" t="s">
        <v>1721</v>
      </c>
      <c r="B31" s="12"/>
      <c r="C31" s="12" t="s">
        <v>172</v>
      </c>
      <c r="D31" s="13" t="n">
        <v>15000</v>
      </c>
      <c r="E31" s="13" t="n">
        <f aca="false">SUMIFS('Expense Entry'!$K$5:$K$6000,'Expense Entry'!$E$5:$E$6000,"Payroll/Employee Charge",'Expense Entry'!$M$5:$M$6000,$A31)</f>
        <v>0</v>
      </c>
      <c r="F31" s="13" t="n">
        <f aca="false">$D31-$E31</f>
        <v>15000</v>
      </c>
    </row>
    <row r="32" customFormat="false" ht="15" hidden="false" customHeight="true" outlineLevel="0" collapsed="false">
      <c r="A32" s="12" t="s">
        <v>1722</v>
      </c>
      <c r="B32" s="12"/>
      <c r="C32" s="12" t="s">
        <v>1717</v>
      </c>
      <c r="D32" s="13" t="n">
        <v>29000</v>
      </c>
      <c r="E32" s="13" t="n">
        <f aca="false">SUMIFS('Expense Entry'!$K$5:$K$6000,'Expense Entry'!$E$5:$E$6000,"Payroll/Employee Charge",'Expense Entry'!$M$5:$M$6000,$A32)</f>
        <v>0</v>
      </c>
      <c r="F32" s="13" t="n">
        <f aca="false">$D32-$E32</f>
        <v>29000</v>
      </c>
    </row>
    <row r="33" customFormat="false" ht="15" hidden="false" customHeight="true" outlineLevel="0" collapsed="false">
      <c r="A33" s="12" t="s">
        <v>1723</v>
      </c>
      <c r="B33" s="12"/>
      <c r="C33" s="12" t="s">
        <v>1724</v>
      </c>
      <c r="D33" s="13" t="n">
        <v>26000</v>
      </c>
      <c r="E33" s="13" t="n">
        <f aca="false">SUMIFS('Expense Entry'!$K$5:$K$6000,'Expense Entry'!$E$5:$E$6000,"Payroll/Employee Charge",'Expense Entry'!$M$5:$M$6000,$A33)</f>
        <v>0</v>
      </c>
      <c r="F33" s="13" t="n">
        <f aca="false">$D33-$E33</f>
        <v>26000</v>
      </c>
    </row>
    <row r="34" customFormat="false" ht="15" hidden="false" customHeight="true" outlineLevel="0" collapsed="false">
      <c r="A34" s="12" t="s">
        <v>1725</v>
      </c>
      <c r="B34" s="12"/>
      <c r="C34" s="12" t="s">
        <v>1707</v>
      </c>
      <c r="D34" s="13" t="n">
        <v>32000</v>
      </c>
      <c r="E34" s="13" t="n">
        <f aca="false">SUMIFS('Expense Entry'!$K$5:$K$6000,'Expense Entry'!$E$5:$E$6000,"Payroll/Employee Charge",'Expense Entry'!$M$5:$M$6000,$A34)</f>
        <v>0</v>
      </c>
      <c r="F34" s="13" t="n">
        <f aca="false">$D34-$E34</f>
        <v>32000</v>
      </c>
    </row>
    <row r="35" customFormat="false" ht="15" hidden="false" customHeight="true" outlineLevel="0" collapsed="false">
      <c r="A35" s="12" t="s">
        <v>1726</v>
      </c>
      <c r="B35" s="12" t="s">
        <v>1727</v>
      </c>
      <c r="C35" s="12" t="s">
        <v>1691</v>
      </c>
      <c r="D35" s="13" t="n">
        <v>58000</v>
      </c>
      <c r="E35" s="13" t="n">
        <f aca="false">SUMIFS('Expense Entry'!$K$5:$K$6000,'Expense Entry'!$E$5:$E$6000,"Payroll/Employee Charge",'Expense Entry'!$M$5:$M$6000,$A35)</f>
        <v>0</v>
      </c>
      <c r="F35" s="13" t="n">
        <f aca="false">$D35-$E35</f>
        <v>58000</v>
      </c>
    </row>
    <row r="36" customFormat="false" ht="15" hidden="false" customHeight="true" outlineLevel="0" collapsed="false">
      <c r="A36" s="12" t="s">
        <v>1728</v>
      </c>
      <c r="B36" s="12" t="s">
        <v>1727</v>
      </c>
      <c r="C36" s="12" t="s">
        <v>1691</v>
      </c>
      <c r="D36" s="13" t="n">
        <v>53000</v>
      </c>
      <c r="E36" s="13" t="n">
        <f aca="false">SUMIFS('Expense Entry'!$K$5:$K$6000,'Expense Entry'!$E$5:$E$6000,"Payroll/Employee Charge",'Expense Entry'!$M$5:$M$6000,$A36)</f>
        <v>0</v>
      </c>
      <c r="F36" s="13" t="n">
        <f aca="false">$D36-$E36</f>
        <v>53000</v>
      </c>
    </row>
    <row r="37" customFormat="false" ht="15" hidden="false" customHeight="true" outlineLevel="0" collapsed="false">
      <c r="A37" s="12" t="s">
        <v>1729</v>
      </c>
      <c r="B37" s="12" t="s">
        <v>1727</v>
      </c>
      <c r="C37" s="12" t="s">
        <v>1730</v>
      </c>
      <c r="D37" s="13" t="n">
        <v>34000</v>
      </c>
      <c r="E37" s="13" t="n">
        <f aca="false">SUMIFS('Expense Entry'!$K$5:$K$6000,'Expense Entry'!$E$5:$E$6000,"Payroll/Employee Charge",'Expense Entry'!$M$5:$M$6000,$A37)</f>
        <v>0</v>
      </c>
      <c r="F37" s="13" t="n">
        <f aca="false">$D37-$E37</f>
        <v>34000</v>
      </c>
    </row>
    <row r="38" customFormat="false" ht="15" hidden="false" customHeight="true" outlineLevel="0" collapsed="false">
      <c r="A38" s="12" t="s">
        <v>1731</v>
      </c>
      <c r="B38" s="12" t="s">
        <v>1727</v>
      </c>
      <c r="C38" s="12" t="s">
        <v>1730</v>
      </c>
      <c r="D38" s="13" t="n">
        <v>34000</v>
      </c>
      <c r="E38" s="13" t="n">
        <f aca="false">SUMIFS('Expense Entry'!$K$5:$K$6000,'Expense Entry'!$E$5:$E$6000,"Payroll/Employee Charge",'Expense Entry'!$M$5:$M$6000,$A38)</f>
        <v>0</v>
      </c>
      <c r="F38" s="13" t="n">
        <f aca="false">$D38-$E38</f>
        <v>34000</v>
      </c>
    </row>
    <row r="39" customFormat="false" ht="15" hidden="false" customHeight="true" outlineLevel="0" collapsed="false">
      <c r="A39" s="12" t="s">
        <v>1732</v>
      </c>
      <c r="B39" s="12" t="s">
        <v>1727</v>
      </c>
      <c r="C39" s="12" t="s">
        <v>1730</v>
      </c>
      <c r="D39" s="13" t="n">
        <v>32000</v>
      </c>
      <c r="E39" s="13" t="n">
        <f aca="false">SUMIFS('Expense Entry'!$K$5:$K$6000,'Expense Entry'!$E$5:$E$6000,"Payroll/Employee Charge",'Expense Entry'!$M$5:$M$6000,$A39)</f>
        <v>0</v>
      </c>
      <c r="F39" s="13" t="n">
        <f aca="false">$D39-$E39</f>
        <v>32000</v>
      </c>
    </row>
    <row r="40" customFormat="false" ht="15" hidden="false" customHeight="true" outlineLevel="0" collapsed="false">
      <c r="A40" s="12" t="s">
        <v>1733</v>
      </c>
      <c r="B40" s="12" t="s">
        <v>1727</v>
      </c>
      <c r="C40" s="12" t="s">
        <v>1730</v>
      </c>
      <c r="D40" s="13" t="n">
        <v>25000</v>
      </c>
      <c r="E40" s="13" t="n">
        <f aca="false">SUMIFS('Expense Entry'!$K$5:$K$6000,'Expense Entry'!$E$5:$E$6000,"Payroll/Employee Charge",'Expense Entry'!$M$5:$M$6000,$A40)</f>
        <v>0</v>
      </c>
      <c r="F40" s="13" t="n">
        <f aca="false">$D40-$E40</f>
        <v>25000</v>
      </c>
    </row>
    <row r="41" customFormat="false" ht="15" hidden="false" customHeight="true" outlineLevel="0" collapsed="false">
      <c r="A41" s="12" t="s">
        <v>1734</v>
      </c>
      <c r="B41" s="12" t="s">
        <v>1727</v>
      </c>
      <c r="C41" s="12" t="s">
        <v>1730</v>
      </c>
      <c r="D41" s="13" t="n">
        <v>28000</v>
      </c>
      <c r="E41" s="13" t="n">
        <f aca="false">SUMIFS('Expense Entry'!$K$5:$K$6000,'Expense Entry'!$E$5:$E$6000,"Payroll/Employee Charge",'Expense Entry'!$M$5:$M$6000,$A41)</f>
        <v>0</v>
      </c>
      <c r="F41" s="13" t="n">
        <f aca="false">$D41-$E41</f>
        <v>28000</v>
      </c>
    </row>
    <row r="42" customFormat="false" ht="15" hidden="false" customHeight="true" outlineLevel="0" collapsed="false">
      <c r="A42" s="12" t="s">
        <v>1735</v>
      </c>
      <c r="B42" s="12" t="s">
        <v>1727</v>
      </c>
      <c r="C42" s="12" t="s">
        <v>1730</v>
      </c>
      <c r="D42" s="13" t="n">
        <v>25000</v>
      </c>
      <c r="E42" s="13" t="n">
        <f aca="false">SUMIFS('Expense Entry'!$K$5:$K$6000,'Expense Entry'!$E$5:$E$6000,"Payroll/Employee Charge",'Expense Entry'!$M$5:$M$6000,$A42)</f>
        <v>0</v>
      </c>
      <c r="F42" s="13" t="n">
        <f aca="false">$D42-$E42</f>
        <v>25000</v>
      </c>
    </row>
    <row r="43" customFormat="false" ht="15" hidden="false" customHeight="true" outlineLevel="0" collapsed="false">
      <c r="A43" s="12" t="s">
        <v>1736</v>
      </c>
      <c r="B43" s="12" t="s">
        <v>1727</v>
      </c>
      <c r="C43" s="12" t="s">
        <v>1730</v>
      </c>
      <c r="D43" s="13" t="n">
        <v>33000</v>
      </c>
      <c r="E43" s="13" t="n">
        <f aca="false">SUMIFS('Expense Entry'!$K$5:$K$6000,'Expense Entry'!$E$5:$E$6000,"Payroll/Employee Charge",'Expense Entry'!$M$5:$M$6000,$A43)</f>
        <v>0</v>
      </c>
      <c r="F43" s="13" t="n">
        <f aca="false">$D43-$E43</f>
        <v>33000</v>
      </c>
    </row>
    <row r="44" customFormat="false" ht="15" hidden="false" customHeight="true" outlineLevel="0" collapsed="false">
      <c r="A44" s="12" t="s">
        <v>1737</v>
      </c>
      <c r="B44" s="12"/>
      <c r="C44" s="12" t="s">
        <v>1730</v>
      </c>
      <c r="D44" s="13" t="n">
        <v>24000</v>
      </c>
      <c r="E44" s="13" t="n">
        <f aca="false">SUMIFS('Expense Entry'!$K$5:$K$6000,'Expense Entry'!$E$5:$E$6000,"Payroll/Employee Charge",'Expense Entry'!$M$5:$M$6000,$A44)</f>
        <v>0</v>
      </c>
      <c r="F44" s="13" t="n">
        <f aca="false">$D44-$E44</f>
        <v>24000</v>
      </c>
    </row>
    <row r="45" customFormat="false" ht="15" hidden="false" customHeight="true" outlineLevel="0" collapsed="false">
      <c r="A45" s="12" t="s">
        <v>1738</v>
      </c>
      <c r="B45" s="12" t="s">
        <v>1727</v>
      </c>
      <c r="C45" s="12" t="s">
        <v>1730</v>
      </c>
      <c r="D45" s="13" t="n">
        <v>30000</v>
      </c>
      <c r="E45" s="13" t="n">
        <f aca="false">SUMIFS('Expense Entry'!$K$5:$K$6000,'Expense Entry'!$E$5:$E$6000,"Payroll/Employee Charge",'Expense Entry'!$M$5:$M$6000,$A45)</f>
        <v>0</v>
      </c>
      <c r="F45" s="13" t="n">
        <f aca="false">$D45-$E45</f>
        <v>30000</v>
      </c>
    </row>
    <row r="46" customFormat="false" ht="15" hidden="false" customHeight="true" outlineLevel="0" collapsed="false">
      <c r="A46" s="12" t="s">
        <v>1739</v>
      </c>
      <c r="B46" s="12"/>
      <c r="C46" s="12" t="s">
        <v>1730</v>
      </c>
      <c r="D46" s="13" t="n">
        <v>24000</v>
      </c>
      <c r="E46" s="13" t="n">
        <f aca="false">SUMIFS('Expense Entry'!$K$5:$K$6000,'Expense Entry'!$E$5:$E$6000,"Payroll/Employee Charge",'Expense Entry'!$M$5:$M$6000,$A46)</f>
        <v>0</v>
      </c>
      <c r="F46" s="13" t="n">
        <f aca="false">$D46-$E46</f>
        <v>24000</v>
      </c>
    </row>
    <row r="47" customFormat="false" ht="15" hidden="false" customHeight="true" outlineLevel="0" collapsed="false">
      <c r="A47" s="12" t="s">
        <v>1740</v>
      </c>
      <c r="B47" s="12"/>
      <c r="C47" s="12" t="s">
        <v>1730</v>
      </c>
      <c r="D47" s="13" t="n">
        <v>27000</v>
      </c>
      <c r="E47" s="13" t="n">
        <f aca="false">SUMIFS('Expense Entry'!$K$5:$K$6000,'Expense Entry'!$E$5:$E$6000,"Payroll/Employee Charge",'Expense Entry'!$M$5:$M$6000,$A47)</f>
        <v>0</v>
      </c>
      <c r="F47" s="13" t="n">
        <f aca="false">$D47-$E47</f>
        <v>27000</v>
      </c>
    </row>
    <row r="48" customFormat="false" ht="15" hidden="false" customHeight="true" outlineLevel="0" collapsed="false">
      <c r="A48" s="12" t="s">
        <v>1741</v>
      </c>
      <c r="B48" s="12"/>
      <c r="C48" s="12" t="s">
        <v>1730</v>
      </c>
      <c r="D48" s="13" t="n">
        <v>24000</v>
      </c>
      <c r="E48" s="13" t="n">
        <f aca="false">SUMIFS('Expense Entry'!$K$5:$K$6000,'Expense Entry'!$E$5:$E$6000,"Payroll/Employee Charge",'Expense Entry'!$M$5:$M$6000,$A48)</f>
        <v>0</v>
      </c>
      <c r="F48" s="13" t="n">
        <f aca="false">$D48-$E48</f>
        <v>24000</v>
      </c>
    </row>
    <row r="49" customFormat="false" ht="15" hidden="false" customHeight="true" outlineLevel="0" collapsed="false">
      <c r="A49" s="12" t="s">
        <v>1742</v>
      </c>
      <c r="B49" s="12"/>
      <c r="C49" s="12" t="s">
        <v>1730</v>
      </c>
      <c r="D49" s="13" t="n">
        <v>24000</v>
      </c>
      <c r="E49" s="13" t="n">
        <f aca="false">SUMIFS('Expense Entry'!$K$5:$K$6000,'Expense Entry'!$E$5:$E$6000,"Payroll/Employee Charge",'Expense Entry'!$M$5:$M$6000,$A49)</f>
        <v>0</v>
      </c>
      <c r="F49" s="13" t="n">
        <f aca="false">$D49-$E49</f>
        <v>24000</v>
      </c>
    </row>
    <row r="50" customFormat="false" ht="15" hidden="false" customHeight="true" outlineLevel="0" collapsed="false">
      <c r="A50" s="12" t="s">
        <v>1743</v>
      </c>
      <c r="B50" s="12" t="s">
        <v>1727</v>
      </c>
      <c r="C50" s="12" t="s">
        <v>1730</v>
      </c>
      <c r="D50" s="13" t="n">
        <v>26000</v>
      </c>
      <c r="E50" s="13" t="n">
        <f aca="false">SUMIFS('Expense Entry'!$K$5:$K$6000,'Expense Entry'!$E$5:$E$6000,"Payroll/Employee Charge",'Expense Entry'!$M$5:$M$6000,$A50)</f>
        <v>0</v>
      </c>
      <c r="F50" s="13" t="n">
        <f aca="false">$D50-$E50</f>
        <v>26000</v>
      </c>
    </row>
    <row r="51" customFormat="false" ht="15" hidden="false" customHeight="true" outlineLevel="0" collapsed="false">
      <c r="A51" s="12" t="s">
        <v>1744</v>
      </c>
      <c r="B51" s="12"/>
      <c r="C51" s="12" t="s">
        <v>1730</v>
      </c>
      <c r="D51" s="13" t="n">
        <v>24000</v>
      </c>
      <c r="E51" s="13" t="n">
        <f aca="false">SUMIFS('Expense Entry'!$K$5:$K$6000,'Expense Entry'!$E$5:$E$6000,"Payroll/Employee Charge",'Expense Entry'!$M$5:$M$6000,$A51)</f>
        <v>0</v>
      </c>
      <c r="F51" s="13" t="n">
        <f aca="false">$D51-$E51</f>
        <v>24000</v>
      </c>
    </row>
    <row r="52" customFormat="false" ht="15" hidden="false" customHeight="true" outlineLevel="0" collapsed="false">
      <c r="A52" s="12" t="s">
        <v>1745</v>
      </c>
      <c r="B52" s="12"/>
      <c r="C52" s="12" t="s">
        <v>1730</v>
      </c>
      <c r="D52" s="13" t="n">
        <v>24000</v>
      </c>
      <c r="E52" s="13" t="n">
        <f aca="false">SUMIFS('Expense Entry'!$K$5:$K$6000,'Expense Entry'!$E$5:$E$6000,"Payroll/Employee Charge",'Expense Entry'!$M$5:$M$6000,$A52)</f>
        <v>0</v>
      </c>
      <c r="F52" s="13" t="n">
        <f aca="false">$D52-$E52</f>
        <v>24000</v>
      </c>
    </row>
    <row r="53" customFormat="false" ht="15" hidden="false" customHeight="true" outlineLevel="0" collapsed="false">
      <c r="A53" s="12" t="s">
        <v>1746</v>
      </c>
      <c r="B53" s="12"/>
      <c r="C53" s="12" t="s">
        <v>1730</v>
      </c>
      <c r="D53" s="13" t="n">
        <v>24000</v>
      </c>
      <c r="E53" s="13" t="n">
        <f aca="false">SUMIFS('Expense Entry'!$K$5:$K$6000,'Expense Entry'!$E$5:$E$6000,"Payroll/Employee Charge",'Expense Entry'!$M$5:$M$6000,$A53)</f>
        <v>0</v>
      </c>
      <c r="F53" s="13" t="n">
        <f aca="false">$D53-$E53</f>
        <v>24000</v>
      </c>
    </row>
    <row r="54" customFormat="false" ht="15" hidden="false" customHeight="true" outlineLevel="0" collapsed="false">
      <c r="A54" s="12" t="s">
        <v>1747</v>
      </c>
      <c r="B54" s="12" t="s">
        <v>173</v>
      </c>
      <c r="C54" s="12" t="s">
        <v>1691</v>
      </c>
      <c r="D54" s="13" t="n">
        <v>50000</v>
      </c>
      <c r="E54" s="13" t="n">
        <f aca="false">SUMIFS('Expense Entry'!$K$5:$K$6000,'Expense Entry'!$E$5:$E$6000,"Payroll/Employee Charge",'Expense Entry'!$M$5:$M$6000,$A54)</f>
        <v>0</v>
      </c>
      <c r="F54" s="13" t="n">
        <f aca="false">$D54-$E54</f>
        <v>50000</v>
      </c>
    </row>
    <row r="55" customFormat="false" ht="15" hidden="false" customHeight="true" outlineLevel="0" collapsed="false">
      <c r="A55" s="12" t="s">
        <v>1748</v>
      </c>
      <c r="B55" s="12" t="s">
        <v>173</v>
      </c>
      <c r="C55" s="12" t="s">
        <v>1749</v>
      </c>
      <c r="D55" s="13" t="n">
        <v>26500</v>
      </c>
      <c r="E55" s="13" t="n">
        <f aca="false">SUMIFS('Expense Entry'!$K$5:$K$6000,'Expense Entry'!$E$5:$E$6000,"Payroll/Employee Charge",'Expense Entry'!$M$5:$M$6000,$A55)</f>
        <v>0</v>
      </c>
      <c r="F55" s="13" t="n">
        <f aca="false">$D55-$E55</f>
        <v>26500</v>
      </c>
    </row>
    <row r="56" customFormat="false" ht="15" hidden="false" customHeight="true" outlineLevel="0" collapsed="false">
      <c r="A56" s="12" t="s">
        <v>1750</v>
      </c>
      <c r="B56" s="12" t="s">
        <v>173</v>
      </c>
      <c r="C56" s="12" t="s">
        <v>1749</v>
      </c>
      <c r="D56" s="13" t="n">
        <v>25000</v>
      </c>
      <c r="E56" s="13" t="n">
        <f aca="false">SUMIFS('Expense Entry'!$K$5:$K$6000,'Expense Entry'!$E$5:$E$6000,"Payroll/Employee Charge",'Expense Entry'!$M$5:$M$6000,$A56)</f>
        <v>0</v>
      </c>
      <c r="F56" s="13" t="n">
        <f aca="false">$D56-$E56</f>
        <v>25000</v>
      </c>
    </row>
    <row r="57" customFormat="false" ht="15" hidden="false" customHeight="true" outlineLevel="0" collapsed="false">
      <c r="A57" s="12" t="s">
        <v>1751</v>
      </c>
      <c r="B57" s="12" t="s">
        <v>173</v>
      </c>
      <c r="C57" s="12" t="s">
        <v>1749</v>
      </c>
      <c r="D57" s="13" t="n">
        <v>25000</v>
      </c>
      <c r="E57" s="13" t="n">
        <f aca="false">SUMIFS('Expense Entry'!$K$5:$K$6000,'Expense Entry'!$E$5:$E$6000,"Payroll/Employee Charge",'Expense Entry'!$M$5:$M$6000,$A57)</f>
        <v>0</v>
      </c>
      <c r="F57" s="13" t="n">
        <f aca="false">$D57-$E57</f>
        <v>25000</v>
      </c>
    </row>
    <row r="58" customFormat="false" ht="15" hidden="false" customHeight="true" outlineLevel="0" collapsed="false">
      <c r="A58" s="12" t="s">
        <v>1752</v>
      </c>
      <c r="B58" s="12" t="s">
        <v>173</v>
      </c>
      <c r="C58" s="12" t="s">
        <v>1749</v>
      </c>
      <c r="D58" s="13" t="n">
        <v>25000</v>
      </c>
      <c r="E58" s="13" t="n">
        <f aca="false">SUMIFS('Expense Entry'!$K$5:$K$6000,'Expense Entry'!$E$5:$E$6000,"Payroll/Employee Charge",'Expense Entry'!$M$5:$M$6000,$A58)</f>
        <v>0</v>
      </c>
      <c r="F58" s="13" t="n">
        <f aca="false">$D58-$E58</f>
        <v>25000</v>
      </c>
    </row>
    <row r="59" customFormat="false" ht="15" hidden="false" customHeight="true" outlineLevel="0" collapsed="false">
      <c r="A59" s="12" t="s">
        <v>1753</v>
      </c>
      <c r="B59" s="12" t="s">
        <v>173</v>
      </c>
      <c r="C59" s="12" t="s">
        <v>1749</v>
      </c>
      <c r="D59" s="13" t="n">
        <v>25000</v>
      </c>
      <c r="E59" s="13" t="n">
        <f aca="false">SUMIFS('Expense Entry'!$K$5:$K$6000,'Expense Entry'!$E$5:$E$6000,"Payroll/Employee Charge",'Expense Entry'!$M$5:$M$6000,$A59)</f>
        <v>0</v>
      </c>
      <c r="F59" s="13" t="n">
        <f aca="false">$D59-$E59</f>
        <v>25000</v>
      </c>
    </row>
    <row r="60" customFormat="false" ht="15" hidden="false" customHeight="true" outlineLevel="0" collapsed="false">
      <c r="A60" s="12" t="s">
        <v>1754</v>
      </c>
      <c r="B60" s="12" t="s">
        <v>173</v>
      </c>
      <c r="C60" s="12" t="s">
        <v>1749</v>
      </c>
      <c r="D60" s="13" t="n">
        <v>25000</v>
      </c>
      <c r="E60" s="13" t="n">
        <f aca="false">SUMIFS('Expense Entry'!$K$5:$K$6000,'Expense Entry'!$E$5:$E$6000,"Payroll/Employee Charge",'Expense Entry'!$M$5:$M$6000,$A60)</f>
        <v>0</v>
      </c>
      <c r="F60" s="13" t="n">
        <f aca="false">$D60-$E60</f>
        <v>25000</v>
      </c>
    </row>
    <row r="61" customFormat="false" ht="15" hidden="false" customHeight="true" outlineLevel="0" collapsed="false">
      <c r="A61" s="12" t="s">
        <v>1755</v>
      </c>
      <c r="B61" s="12" t="s">
        <v>173</v>
      </c>
      <c r="C61" s="12" t="s">
        <v>1749</v>
      </c>
      <c r="D61" s="13" t="n">
        <v>25000</v>
      </c>
      <c r="E61" s="13" t="n">
        <f aca="false">SUMIFS('Expense Entry'!$K$5:$K$6000,'Expense Entry'!$E$5:$E$6000,"Payroll/Employee Charge",'Expense Entry'!$M$5:$M$6000,$A61)</f>
        <v>0</v>
      </c>
      <c r="F61" s="13" t="n">
        <f aca="false">$D61-$E61</f>
        <v>25000</v>
      </c>
    </row>
    <row r="62" customFormat="false" ht="15" hidden="false" customHeight="true" outlineLevel="0" collapsed="false">
      <c r="A62" s="12" t="s">
        <v>1756</v>
      </c>
      <c r="B62" s="12" t="s">
        <v>173</v>
      </c>
      <c r="C62" s="12" t="s">
        <v>1749</v>
      </c>
      <c r="D62" s="13" t="n">
        <v>25000</v>
      </c>
      <c r="E62" s="13" t="n">
        <f aca="false">SUMIFS('Expense Entry'!$K$5:$K$6000,'Expense Entry'!$E$5:$E$6000,"Payroll/Employee Charge",'Expense Entry'!$M$5:$M$6000,$A62)</f>
        <v>0</v>
      </c>
      <c r="F62" s="13" t="n">
        <f aca="false">$D62-$E62</f>
        <v>25000</v>
      </c>
    </row>
    <row r="63" customFormat="false" ht="15" hidden="false" customHeight="true" outlineLevel="0" collapsed="false">
      <c r="A63" s="12" t="s">
        <v>1757</v>
      </c>
      <c r="B63" s="12"/>
      <c r="C63" s="12" t="s">
        <v>1749</v>
      </c>
      <c r="D63" s="13" t="n">
        <v>25000</v>
      </c>
      <c r="E63" s="13" t="n">
        <f aca="false">SUMIFS('Expense Entry'!$K$5:$K$6000,'Expense Entry'!$E$5:$E$6000,"Payroll/Employee Charge",'Expense Entry'!$M$5:$M$6000,$A63)</f>
        <v>0</v>
      </c>
      <c r="F63" s="13" t="n">
        <f aca="false">$D63-$E63</f>
        <v>25000</v>
      </c>
    </row>
    <row r="64" customFormat="false" ht="15" hidden="false" customHeight="true" outlineLevel="0" collapsed="false">
      <c r="A64" s="12" t="s">
        <v>1758</v>
      </c>
      <c r="B64" s="12" t="s">
        <v>173</v>
      </c>
      <c r="C64" s="12" t="s">
        <v>1749</v>
      </c>
      <c r="D64" s="13" t="n">
        <v>25000</v>
      </c>
      <c r="E64" s="13" t="n">
        <f aca="false">SUMIFS('Expense Entry'!$K$5:$K$6000,'Expense Entry'!$E$5:$E$6000,"Payroll/Employee Charge",'Expense Entry'!$M$5:$M$6000,$A64)</f>
        <v>0</v>
      </c>
      <c r="F64" s="13" t="n">
        <f aca="false">$D64-$E64</f>
        <v>25000</v>
      </c>
    </row>
    <row r="65" customFormat="false" ht="15" hidden="false" customHeight="true" outlineLevel="0" collapsed="false">
      <c r="A65" s="12" t="s">
        <v>1759</v>
      </c>
      <c r="B65" s="12" t="s">
        <v>173</v>
      </c>
      <c r="C65" s="12" t="s">
        <v>1749</v>
      </c>
      <c r="D65" s="13" t="n">
        <v>25000</v>
      </c>
      <c r="E65" s="13" t="n">
        <f aca="false">SUMIFS('Expense Entry'!$K$5:$K$6000,'Expense Entry'!$E$5:$E$6000,"Payroll/Employee Charge",'Expense Entry'!$M$5:$M$6000,$A65)</f>
        <v>0</v>
      </c>
      <c r="F65" s="13" t="n">
        <f aca="false">$D65-$E65</f>
        <v>25000</v>
      </c>
    </row>
    <row r="66" customFormat="false" ht="15" hidden="false" customHeight="true" outlineLevel="0" collapsed="false">
      <c r="A66" s="12" t="s">
        <v>1760</v>
      </c>
      <c r="B66" s="12"/>
      <c r="C66" s="12" t="s">
        <v>1749</v>
      </c>
      <c r="D66" s="13" t="n">
        <v>16500</v>
      </c>
      <c r="E66" s="13" t="n">
        <f aca="false">SUMIFS('Expense Entry'!$K$5:$K$6000,'Expense Entry'!$E$5:$E$6000,"Payroll/Employee Charge",'Expense Entry'!$M$5:$M$6000,$A66)</f>
        <v>0</v>
      </c>
      <c r="F66" s="13" t="n">
        <f aca="false">$D66-$E66</f>
        <v>16500</v>
      </c>
    </row>
    <row r="67" customFormat="false" ht="15" hidden="false" customHeight="true" outlineLevel="0" collapsed="false">
      <c r="A67" s="12" t="s">
        <v>1761</v>
      </c>
      <c r="B67" s="12"/>
      <c r="C67" s="12" t="s">
        <v>1749</v>
      </c>
      <c r="D67" s="13" t="n">
        <v>16500</v>
      </c>
      <c r="E67" s="13" t="n">
        <f aca="false">SUMIFS('Expense Entry'!$K$5:$K$6000,'Expense Entry'!$E$5:$E$6000,"Payroll/Employee Charge",'Expense Entry'!$M$5:$M$6000,$A67)</f>
        <v>0</v>
      </c>
      <c r="F67" s="13" t="n">
        <f aca="false">$D67-$E67</f>
        <v>16500</v>
      </c>
    </row>
    <row r="68" customFormat="false" ht="15" hidden="false" customHeight="true" outlineLevel="0" collapsed="false">
      <c r="A68" s="12" t="s">
        <v>1762</v>
      </c>
      <c r="B68" s="12"/>
      <c r="C68" s="12" t="s">
        <v>1749</v>
      </c>
      <c r="D68" s="13" t="n">
        <v>25000</v>
      </c>
      <c r="E68" s="13" t="n">
        <f aca="false">SUMIFS('Expense Entry'!$K$5:$K$6000,'Expense Entry'!$E$5:$E$6000,"Payroll/Employee Charge",'Expense Entry'!$M$5:$M$6000,$A68)</f>
        <v>0</v>
      </c>
      <c r="F68" s="13" t="n">
        <f aca="false">$D68-$E68</f>
        <v>25000</v>
      </c>
    </row>
    <row r="69" customFormat="false" ht="15" hidden="false" customHeight="true" outlineLevel="0" collapsed="false">
      <c r="A69" s="12" t="s">
        <v>1763</v>
      </c>
      <c r="B69" s="12"/>
      <c r="C69" s="12" t="s">
        <v>1749</v>
      </c>
      <c r="D69" s="13" t="n">
        <v>25000</v>
      </c>
      <c r="E69" s="13" t="n">
        <f aca="false">SUMIFS('Expense Entry'!$K$5:$K$6000,'Expense Entry'!$E$5:$E$6000,"Payroll/Employee Charge",'Expense Entry'!$M$5:$M$6000,$A69)</f>
        <v>0</v>
      </c>
      <c r="F69" s="13" t="n">
        <f aca="false">$D69-$E69</f>
        <v>25000</v>
      </c>
    </row>
    <row r="70" customFormat="false" ht="15" hidden="false" customHeight="true" outlineLevel="0" collapsed="false">
      <c r="A70" s="12" t="s">
        <v>1764</v>
      </c>
      <c r="B70" s="12"/>
      <c r="C70" s="12" t="s">
        <v>1749</v>
      </c>
      <c r="D70" s="13" t="n">
        <v>16500</v>
      </c>
      <c r="E70" s="13" t="n">
        <f aca="false">SUMIFS('Expense Entry'!$K$5:$K$6000,'Expense Entry'!$E$5:$E$6000,"Payroll/Employee Charge",'Expense Entry'!$M$5:$M$6000,$A70)</f>
        <v>0</v>
      </c>
      <c r="F70" s="13" t="n">
        <f aca="false">$D70-$E70</f>
        <v>16500</v>
      </c>
    </row>
    <row r="71" customFormat="false" ht="15" hidden="false" customHeight="true" outlineLevel="0" collapsed="false">
      <c r="A71" s="12" t="s">
        <v>1765</v>
      </c>
      <c r="B71" s="12"/>
      <c r="C71" s="12" t="s">
        <v>1749</v>
      </c>
      <c r="D71" s="13" t="n">
        <v>16500</v>
      </c>
      <c r="E71" s="13" t="n">
        <f aca="false">SUMIFS('Expense Entry'!$K$5:$K$6000,'Expense Entry'!$E$5:$E$6000,"Payroll/Employee Charge",'Expense Entry'!$M$5:$M$6000,$A71)</f>
        <v>0</v>
      </c>
      <c r="F71" s="13" t="n">
        <f aca="false">$D71-$E71</f>
        <v>16500</v>
      </c>
    </row>
    <row r="72" customFormat="false" ht="15" hidden="false" customHeight="true" outlineLevel="0" collapsed="false">
      <c r="A72" s="12" t="s">
        <v>1766</v>
      </c>
      <c r="B72" s="12" t="s">
        <v>1767</v>
      </c>
      <c r="C72" s="12" t="s">
        <v>1768</v>
      </c>
      <c r="D72" s="13" t="n">
        <v>50000</v>
      </c>
      <c r="E72" s="13" t="n">
        <f aca="false">SUMIFS('Expense Entry'!$K$5:$K$6000,'Expense Entry'!$E$5:$E$6000,"Payroll/Employee Charge",'Expense Entry'!$M$5:$M$6000,$A72)</f>
        <v>0</v>
      </c>
      <c r="F72" s="13" t="n">
        <f aca="false">$D72-$E72</f>
        <v>50000</v>
      </c>
    </row>
    <row r="73" customFormat="false" ht="15" hidden="false" customHeight="true" outlineLevel="0" collapsed="false">
      <c r="A73" s="12" t="s">
        <v>1769</v>
      </c>
      <c r="B73" s="12" t="s">
        <v>1767</v>
      </c>
      <c r="C73" s="12" t="s">
        <v>1770</v>
      </c>
      <c r="D73" s="13" t="n">
        <v>29000</v>
      </c>
      <c r="E73" s="13" t="n">
        <f aca="false">SUMIFS('Expense Entry'!$K$5:$K$6000,'Expense Entry'!$E$5:$E$6000,"Payroll/Employee Charge",'Expense Entry'!$M$5:$M$6000,$A73)</f>
        <v>0</v>
      </c>
      <c r="F73" s="13" t="n">
        <f aca="false">$D73-$E73</f>
        <v>29000</v>
      </c>
    </row>
    <row r="74" customFormat="false" ht="15" hidden="false" customHeight="true" outlineLevel="0" collapsed="false">
      <c r="A74" s="12" t="s">
        <v>1771</v>
      </c>
      <c r="B74" s="12"/>
      <c r="C74" s="12" t="s">
        <v>1770</v>
      </c>
      <c r="D74" s="13" t="n">
        <v>30000</v>
      </c>
      <c r="E74" s="13" t="n">
        <f aca="false">SUMIFS('Expense Entry'!$K$5:$K$6000,'Expense Entry'!$E$5:$E$6000,"Payroll/Employee Charge",'Expense Entry'!$M$5:$M$6000,$A74)</f>
        <v>0</v>
      </c>
      <c r="F74" s="13" t="n">
        <f aca="false">$D74-$E74</f>
        <v>30000</v>
      </c>
    </row>
    <row r="75" customFormat="false" ht="15" hidden="false" customHeight="true" outlineLevel="0" collapsed="false">
      <c r="A75" s="12" t="s">
        <v>1772</v>
      </c>
      <c r="B75" s="12" t="s">
        <v>1767</v>
      </c>
      <c r="C75" s="12" t="s">
        <v>1773</v>
      </c>
      <c r="D75" s="13" t="n">
        <v>55000</v>
      </c>
      <c r="E75" s="13" t="n">
        <f aca="false">SUMIFS('Expense Entry'!$K$5:$K$6000,'Expense Entry'!$E$5:$E$6000,"Payroll/Employee Charge",'Expense Entry'!$M$5:$M$6000,$A75)</f>
        <v>0</v>
      </c>
      <c r="F75" s="13" t="n">
        <f aca="false">$D75-$E75</f>
        <v>55000</v>
      </c>
    </row>
    <row r="76" customFormat="false" ht="15" hidden="false" customHeight="true" outlineLevel="0" collapsed="false">
      <c r="A76" s="12" t="s">
        <v>1774</v>
      </c>
      <c r="B76" s="12" t="s">
        <v>1767</v>
      </c>
      <c r="C76" s="12" t="s">
        <v>1775</v>
      </c>
      <c r="D76" s="13" t="n">
        <v>13500</v>
      </c>
      <c r="E76" s="13" t="n">
        <f aca="false">SUMIFS('Expense Entry'!$K$5:$K$6000,'Expense Entry'!$E$5:$E$6000,"Payroll/Employee Charge",'Expense Entry'!$M$5:$M$6000,$A76)</f>
        <v>0</v>
      </c>
      <c r="F76" s="13" t="n">
        <f aca="false">$D76-$E76</f>
        <v>13500</v>
      </c>
    </row>
    <row r="77" customFormat="false" ht="15" hidden="false" customHeight="true" outlineLevel="0" collapsed="false">
      <c r="A77" s="12" t="s">
        <v>1776</v>
      </c>
      <c r="B77" s="12" t="s">
        <v>1767</v>
      </c>
      <c r="C77" s="12" t="s">
        <v>1777</v>
      </c>
      <c r="D77" s="13" t="n">
        <v>2000</v>
      </c>
      <c r="E77" s="13" t="n">
        <f aca="false">SUMIFS('Expense Entry'!$K$5:$K$6000,'Expense Entry'!$E$5:$E$6000,"Payroll/Employee Charge",'Expense Entry'!$M$5:$M$6000,$A77)</f>
        <v>0</v>
      </c>
      <c r="F77" s="13" t="n">
        <f aca="false">$D77-$E77</f>
        <v>2000</v>
      </c>
    </row>
    <row r="78" customFormat="false" ht="15" hidden="false" customHeight="true" outlineLevel="0" collapsed="false">
      <c r="A78" s="12" t="s">
        <v>1778</v>
      </c>
      <c r="B78" s="12" t="s">
        <v>1767</v>
      </c>
      <c r="C78" s="12" t="s">
        <v>1779</v>
      </c>
      <c r="D78" s="13" t="n">
        <v>3500</v>
      </c>
      <c r="E78" s="13" t="n">
        <f aca="false">SUMIFS('Expense Entry'!$K$5:$K$6000,'Expense Entry'!$E$5:$E$6000,"Payroll/Employee Charge",'Expense Entry'!$M$5:$M$6000,$A78)</f>
        <v>0</v>
      </c>
      <c r="F78" s="13" t="n">
        <f aca="false">$D78-$E78</f>
        <v>3500</v>
      </c>
    </row>
    <row r="79" customFormat="false" ht="15" hidden="false" customHeight="true" outlineLevel="0" collapsed="false">
      <c r="A79" s="12" t="s">
        <v>1780</v>
      </c>
      <c r="B79" s="12" t="s">
        <v>1781</v>
      </c>
      <c r="C79" s="12" t="s">
        <v>1782</v>
      </c>
      <c r="D79" s="13" t="n">
        <v>35000</v>
      </c>
      <c r="E79" s="13" t="n">
        <f aca="false">SUMIFS('Expense Entry'!$K$5:$K$6000,'Expense Entry'!$E$5:$E$6000,"Payroll/Employee Charge",'Expense Entry'!$M$5:$M$6000,$A79)</f>
        <v>0</v>
      </c>
      <c r="F79" s="13" t="n">
        <f aca="false">$D79-$E79</f>
        <v>35000</v>
      </c>
    </row>
    <row r="80" customFormat="false" ht="15" hidden="false" customHeight="true" outlineLevel="0" collapsed="false">
      <c r="A80" s="12" t="s">
        <v>1783</v>
      </c>
      <c r="B80" s="12" t="s">
        <v>1767</v>
      </c>
      <c r="C80" s="12" t="s">
        <v>1784</v>
      </c>
      <c r="D80" s="13" t="n">
        <v>10000</v>
      </c>
      <c r="E80" s="13" t="n">
        <f aca="false">SUMIFS('Expense Entry'!$K$5:$K$6000,'Expense Entry'!$E$5:$E$6000,"Payroll/Employee Charge",'Expense Entry'!$M$5:$M$6000,$A80)</f>
        <v>0</v>
      </c>
      <c r="F80" s="13" t="n">
        <f aca="false">$D80-$E80</f>
        <v>10000</v>
      </c>
    </row>
    <row r="81" customFormat="false" ht="15" hidden="false" customHeight="true" outlineLevel="0" collapsed="false">
      <c r="A81" s="3" t="s">
        <v>1667</v>
      </c>
      <c r="D81" s="20" t="n">
        <f aca="false">SUM($D$5:$D$80)</f>
        <v>2112500</v>
      </c>
      <c r="E81" s="20" t="n">
        <f aca="false">SUM($E$5:$E$80)</f>
        <v>0</v>
      </c>
      <c r="F81" s="20" t="n">
        <f aca="false">SUM($F$5:$F$80)</f>
        <v>2112500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0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0"/>
    <col collapsed="false" customWidth="true" hidden="false" outlineLevel="0" max="6" min="4" style="1" width="14"/>
  </cols>
  <sheetData>
    <row r="1" customFormat="false" ht="21.75" hidden="false" customHeight="true" outlineLevel="0" collapsed="false">
      <c r="A1" s="4" t="s">
        <v>1785</v>
      </c>
      <c r="B1" s="4"/>
      <c r="C1" s="4"/>
      <c r="D1" s="4"/>
      <c r="E1" s="4"/>
      <c r="F1" s="4"/>
    </row>
    <row r="2" customFormat="false" ht="15" hidden="false" customHeight="true" outlineLevel="0" collapsed="false">
      <c r="A2" s="5" t="s">
        <v>1786</v>
      </c>
      <c r="B2" s="5"/>
      <c r="C2" s="5"/>
      <c r="D2" s="5"/>
      <c r="E2" s="5"/>
      <c r="F2" s="5"/>
    </row>
    <row r="4" customFormat="false" ht="41.25" hidden="false" customHeight="true" outlineLevel="0" collapsed="false">
      <c r="A4" s="18" t="s">
        <v>170</v>
      </c>
      <c r="B4" s="18" t="s">
        <v>1787</v>
      </c>
      <c r="C4" s="18" t="s">
        <v>1788</v>
      </c>
      <c r="D4" s="18" t="s">
        <v>1789</v>
      </c>
      <c r="E4" s="18" t="s">
        <v>1790</v>
      </c>
      <c r="F4" s="18" t="s">
        <v>1791</v>
      </c>
    </row>
    <row r="5" customFormat="false" ht="15" hidden="false" customHeight="true" outlineLevel="0" collapsed="false">
      <c r="A5" s="19" t="n">
        <v>46266</v>
      </c>
      <c r="B5" s="13" t="n">
        <v>0</v>
      </c>
      <c r="C5" s="13" t="n">
        <f aca="false">IF($A5="",0,SUMIFS(Sales!$G$5:$G$3000,Sales!$A$5:$A$3000,$A5))</f>
        <v>436834</v>
      </c>
      <c r="D5" s="13" t="n">
        <f aca="false">$B5+$C5</f>
        <v>436834</v>
      </c>
      <c r="E5" s="13" t="n">
        <f aca="false">IF($A5="",0,-SUMIFS('Expense Entry'!$P$5:$P$6000,'Expense Entry'!$A$5:$A$6000,$A5))</f>
        <v>327559</v>
      </c>
      <c r="F5" s="13" t="n">
        <f aca="false">$D5-$E5</f>
        <v>109275</v>
      </c>
    </row>
    <row r="6" customFormat="false" ht="15" hidden="false" customHeight="true" outlineLevel="0" collapsed="false">
      <c r="A6" s="19" t="n">
        <v>46267</v>
      </c>
      <c r="B6" s="13" t="n">
        <f aca="false">$F5</f>
        <v>109275</v>
      </c>
      <c r="C6" s="13" t="n">
        <f aca="false">IF($A6="",0,SUMIFS(Sales!$G$5:$G$3000,Sales!$A$5:$A$3000,$A6))</f>
        <v>435288</v>
      </c>
      <c r="D6" s="13" t="n">
        <f aca="false">$B6+$C6</f>
        <v>544563</v>
      </c>
      <c r="E6" s="13" t="n">
        <f aca="false">IF($A6="",0,-SUMIFS('Expense Entry'!$P$5:$P$6000,'Expense Entry'!$A$5:$A$6000,$A6))</f>
        <v>223880</v>
      </c>
      <c r="F6" s="13" t="n">
        <f aca="false">$D6-$E6</f>
        <v>320683</v>
      </c>
    </row>
    <row r="7" customFormat="false" ht="15" hidden="false" customHeight="true" outlineLevel="0" collapsed="false">
      <c r="A7" s="19" t="n">
        <v>46268</v>
      </c>
      <c r="B7" s="13" t="n">
        <f aca="false">$F6</f>
        <v>320683</v>
      </c>
      <c r="C7" s="13" t="n">
        <f aca="false">IF($A7="",0,SUMIFS(Sales!$G$5:$G$3000,Sales!$A$5:$A$3000,$A7))</f>
        <v>482076</v>
      </c>
      <c r="D7" s="13" t="n">
        <f aca="false">$B7+$C7</f>
        <v>802759</v>
      </c>
      <c r="E7" s="13" t="n">
        <f aca="false">IF($A7="",0,-SUMIFS('Expense Entry'!$P$5:$P$6000,'Expense Entry'!$A$5:$A$6000,$A7))</f>
        <v>300175</v>
      </c>
      <c r="F7" s="13" t="n">
        <f aca="false">$D7-$E7</f>
        <v>502584</v>
      </c>
    </row>
    <row r="8" customFormat="false" ht="15" hidden="false" customHeight="true" outlineLevel="0" collapsed="false">
      <c r="A8" s="19" t="n">
        <v>46269</v>
      </c>
      <c r="B8" s="13" t="n">
        <f aca="false">$F7</f>
        <v>502584</v>
      </c>
      <c r="C8" s="13" t="n">
        <f aca="false">IF($A8="",0,SUMIFS(Sales!$G$5:$G$3000,Sales!$A$5:$A$3000,$A8))</f>
        <v>527365</v>
      </c>
      <c r="D8" s="13" t="n">
        <f aca="false">$B8+$C8</f>
        <v>1029949</v>
      </c>
      <c r="E8" s="13" t="n">
        <f aca="false">IF($A8="",0,-SUMIFS('Expense Entry'!$P$5:$P$6000,'Expense Entry'!$A$5:$A$6000,$A8))</f>
        <v>41243</v>
      </c>
      <c r="F8" s="13" t="n">
        <f aca="false">$D8-$E8</f>
        <v>988706</v>
      </c>
    </row>
    <row r="9" customFormat="false" ht="15" hidden="false" customHeight="true" outlineLevel="0" collapsed="false">
      <c r="A9" s="19" t="n">
        <v>46270</v>
      </c>
      <c r="B9" s="13" t="n">
        <f aca="false">$F8</f>
        <v>988706</v>
      </c>
      <c r="C9" s="13" t="n">
        <f aca="false">IF($A9="",0,SUMIFS(Sales!$G$5:$G$3000,Sales!$A$5:$A$3000,$A9))</f>
        <v>499600</v>
      </c>
      <c r="D9" s="13" t="n">
        <f aca="false">$B9+$C9</f>
        <v>1488306</v>
      </c>
      <c r="E9" s="13" t="n">
        <f aca="false">IF($A9="",0,-SUMIFS('Expense Entry'!$P$5:$P$6000,'Expense Entry'!$A$5:$A$6000,$A9))</f>
        <v>18566</v>
      </c>
      <c r="F9" s="13" t="n">
        <f aca="false">$D9-$E9</f>
        <v>1469740</v>
      </c>
    </row>
    <row r="10" customFormat="false" ht="15" hidden="false" customHeight="true" outlineLevel="0" collapsed="false">
      <c r="A10" s="19" t="n">
        <v>46271</v>
      </c>
      <c r="B10" s="13" t="n">
        <f aca="false">$F9</f>
        <v>1469740</v>
      </c>
      <c r="C10" s="13" t="n">
        <f aca="false">IF($A10="",0,SUMIFS(Sales!$G$5:$G$3000,Sales!$A$5:$A$3000,$A10))</f>
        <v>511594</v>
      </c>
      <c r="D10" s="13" t="n">
        <f aca="false">$B10+$C10</f>
        <v>1981334</v>
      </c>
      <c r="E10" s="13" t="n">
        <f aca="false">IF($A10="",0,-SUMIFS('Expense Entry'!$P$5:$P$6000,'Expense Entry'!$A$5:$A$6000,$A10))</f>
        <v>1998348</v>
      </c>
      <c r="F10" s="13" t="n">
        <f aca="false">$D10-$E10</f>
        <v>-17014</v>
      </c>
    </row>
    <row r="11" customFormat="false" ht="15" hidden="false" customHeight="true" outlineLevel="0" collapsed="false">
      <c r="A11" s="19" t="n">
        <v>46272</v>
      </c>
      <c r="B11" s="13" t="n">
        <f aca="false">$F10</f>
        <v>-17014</v>
      </c>
      <c r="C11" s="13" t="n">
        <f aca="false">IF($A11="",0,SUMIFS(Sales!$G$5:$G$3000,Sales!$A$5:$A$3000,$A11))</f>
        <v>465991</v>
      </c>
      <c r="D11" s="13" t="n">
        <f aca="false">$B11+$C11</f>
        <v>448977</v>
      </c>
      <c r="E11" s="13" t="n">
        <f aca="false">IF($A11="",0,-SUMIFS('Expense Entry'!$P$5:$P$6000,'Expense Entry'!$A$5:$A$6000,$A11))</f>
        <v>51035</v>
      </c>
      <c r="F11" s="13" t="n">
        <f aca="false">$D11-$E11</f>
        <v>397942</v>
      </c>
    </row>
    <row r="12" customFormat="false" ht="15" hidden="false" customHeight="true" outlineLevel="0" collapsed="false">
      <c r="A12" s="19" t="n">
        <v>46273</v>
      </c>
      <c r="B12" s="13" t="n">
        <f aca="false">$F11</f>
        <v>397942</v>
      </c>
      <c r="C12" s="13" t="n">
        <f aca="false">IF($A12="",0,SUMIFS(Sales!$G$5:$G$3000,Sales!$A$5:$A$3000,$A12))</f>
        <v>432174</v>
      </c>
      <c r="D12" s="13" t="n">
        <f aca="false">$B12+$C12</f>
        <v>830116</v>
      </c>
      <c r="E12" s="13" t="n">
        <f aca="false">IF($A12="",0,-SUMIFS('Expense Entry'!$P$5:$P$6000,'Expense Entry'!$A$5:$A$6000,$A12))</f>
        <v>120402</v>
      </c>
      <c r="F12" s="13" t="n">
        <f aca="false">$D12-$E12</f>
        <v>709714</v>
      </c>
    </row>
    <row r="13" customFormat="false" ht="15" hidden="false" customHeight="true" outlineLevel="0" collapsed="false">
      <c r="A13" s="19" t="n">
        <v>46274</v>
      </c>
      <c r="B13" s="13" t="n">
        <f aca="false">$F12</f>
        <v>709714</v>
      </c>
      <c r="C13" s="13" t="n">
        <f aca="false">IF($A13="",0,SUMIFS(Sales!$G$5:$G$3000,Sales!$A$5:$A$3000,$A13))</f>
        <v>437339</v>
      </c>
      <c r="D13" s="13" t="n">
        <f aca="false">$B13+$C13</f>
        <v>1147053</v>
      </c>
      <c r="E13" s="13" t="n">
        <f aca="false">IF($A13="",0,-SUMIFS('Expense Entry'!$P$5:$P$6000,'Expense Entry'!$A$5:$A$6000,$A13))</f>
        <v>207079</v>
      </c>
      <c r="F13" s="13" t="n">
        <f aca="false">$D13-$E13</f>
        <v>939974</v>
      </c>
    </row>
    <row r="14" customFormat="false" ht="15" hidden="false" customHeight="true" outlineLevel="0" collapsed="false">
      <c r="A14" s="19" t="n">
        <v>46275</v>
      </c>
      <c r="B14" s="13" t="n">
        <f aca="false">$F13</f>
        <v>939974</v>
      </c>
      <c r="C14" s="13" t="n">
        <f aca="false">IF($A14="",0,SUMIFS(Sales!$G$5:$G$3000,Sales!$A$5:$A$3000,$A14))</f>
        <v>429886</v>
      </c>
      <c r="D14" s="13" t="n">
        <f aca="false">$B14+$C14</f>
        <v>1369860</v>
      </c>
      <c r="E14" s="13" t="n">
        <f aca="false">IF($A14="",0,-SUMIFS('Expense Entry'!$P$5:$P$6000,'Expense Entry'!$A$5:$A$6000,$A14))</f>
        <v>485635</v>
      </c>
      <c r="F14" s="13" t="n">
        <f aca="false">$D14-$E14</f>
        <v>884225</v>
      </c>
    </row>
    <row r="15" customFormat="false" ht="15" hidden="false" customHeight="true" outlineLevel="0" collapsed="false">
      <c r="A15" s="19" t="n">
        <v>46276</v>
      </c>
      <c r="B15" s="13" t="n">
        <f aca="false">$F14</f>
        <v>884225</v>
      </c>
      <c r="C15" s="13" t="n">
        <f aca="false">IF($A15="",0,SUMIFS(Sales!$G$5:$G$3000,Sales!$A$5:$A$3000,$A15))</f>
        <v>610727</v>
      </c>
      <c r="D15" s="13" t="n">
        <f aca="false">$B15+$C15</f>
        <v>1494952</v>
      </c>
      <c r="E15" s="13" t="n">
        <f aca="false">IF($A15="",0,-SUMIFS('Expense Entry'!$P$5:$P$6000,'Expense Entry'!$A$5:$A$6000,$A15))</f>
        <v>266190</v>
      </c>
      <c r="F15" s="13" t="n">
        <f aca="false">$D15-$E15</f>
        <v>1228762</v>
      </c>
    </row>
    <row r="16" customFormat="false" ht="15" hidden="false" customHeight="true" outlineLevel="0" collapsed="false">
      <c r="A16" s="19" t="n">
        <v>46277</v>
      </c>
      <c r="B16" s="13" t="n">
        <f aca="false">$F15</f>
        <v>1228762</v>
      </c>
      <c r="C16" s="13" t="n">
        <f aca="false">IF($A16="",0,SUMIFS(Sales!$G$5:$G$3000,Sales!$A$5:$A$3000,$A16))</f>
        <v>515935</v>
      </c>
      <c r="D16" s="13" t="n">
        <f aca="false">$B16+$C16</f>
        <v>1744697</v>
      </c>
      <c r="E16" s="13" t="n">
        <f aca="false">IF($A16="",0,-SUMIFS('Expense Entry'!$P$5:$P$6000,'Expense Entry'!$A$5:$A$6000,$A16))</f>
        <v>14745</v>
      </c>
      <c r="F16" s="13" t="n">
        <f aca="false">$D16-$E16</f>
        <v>1729952</v>
      </c>
    </row>
    <row r="17" customFormat="false" ht="15" hidden="false" customHeight="true" outlineLevel="0" collapsed="false">
      <c r="A17" s="19" t="n">
        <v>46278</v>
      </c>
      <c r="B17" s="13" t="n">
        <f aca="false">$F16</f>
        <v>1729952</v>
      </c>
      <c r="C17" s="13" t="n">
        <f aca="false">IF($A17="",0,SUMIFS(Sales!$G$5:$G$3000,Sales!$A$5:$A$3000,$A17))</f>
        <v>587921</v>
      </c>
      <c r="D17" s="13" t="n">
        <f aca="false">$B17+$C17</f>
        <v>2317873</v>
      </c>
      <c r="E17" s="13" t="n">
        <f aca="false">IF($A17="",0,-SUMIFS('Expense Entry'!$P$5:$P$6000,'Expense Entry'!$A$5:$A$6000,$A17))</f>
        <v>266721</v>
      </c>
      <c r="F17" s="13" t="n">
        <f aca="false">$D17-$E17</f>
        <v>2051152</v>
      </c>
    </row>
    <row r="18" customFormat="false" ht="15" hidden="false" customHeight="true" outlineLevel="0" collapsed="false">
      <c r="A18" s="19" t="n">
        <v>46279</v>
      </c>
      <c r="B18" s="13" t="n">
        <f aca="false">$F17</f>
        <v>2051152</v>
      </c>
      <c r="C18" s="13" t="n">
        <f aca="false">IF($A18="",0,SUMIFS(Sales!$G$5:$G$3000,Sales!$A$5:$A$3000,$A18))</f>
        <v>439049</v>
      </c>
      <c r="D18" s="13" t="n">
        <f aca="false">$B18+$C18</f>
        <v>2490201</v>
      </c>
      <c r="E18" s="13" t="n">
        <f aca="false">IF($A18="",0,-SUMIFS('Expense Entry'!$P$5:$P$6000,'Expense Entry'!$A$5:$A$6000,$A18))</f>
        <v>1114942</v>
      </c>
      <c r="F18" s="13" t="n">
        <f aca="false">$D18-$E18</f>
        <v>1375259</v>
      </c>
    </row>
    <row r="19" customFormat="false" ht="15" hidden="false" customHeight="true" outlineLevel="0" collapsed="false">
      <c r="A19" s="19" t="n">
        <v>46280</v>
      </c>
      <c r="B19" s="13" t="n">
        <f aca="false">$F18</f>
        <v>1375259</v>
      </c>
      <c r="C19" s="13" t="n">
        <f aca="false">IF($A19="",0,SUMIFS(Sales!$G$5:$G$3000,Sales!$A$5:$A$3000,$A19))</f>
        <v>432214</v>
      </c>
      <c r="D19" s="13" t="n">
        <f aca="false">$B19+$C19</f>
        <v>1807473</v>
      </c>
      <c r="E19" s="13" t="n">
        <f aca="false">IF($A19="",0,-SUMIFS('Expense Entry'!$P$5:$P$6000,'Expense Entry'!$A$5:$A$6000,$A19))</f>
        <v>581425</v>
      </c>
      <c r="F19" s="13" t="n">
        <f aca="false">$D19-$E19</f>
        <v>1226048</v>
      </c>
    </row>
    <row r="20" customFormat="false" ht="15" hidden="false" customHeight="true" outlineLevel="0" collapsed="false">
      <c r="A20" s="19" t="n">
        <v>46281</v>
      </c>
      <c r="B20" s="13" t="n">
        <f aca="false">$F19</f>
        <v>1226048</v>
      </c>
      <c r="C20" s="13" t="n">
        <f aca="false">IF($A20="",0,SUMIFS(Sales!$G$5:$G$3000,Sales!$A$5:$A$3000,$A20))</f>
        <v>343182</v>
      </c>
      <c r="D20" s="13" t="n">
        <f aca="false">$B20+$C20</f>
        <v>1569230</v>
      </c>
      <c r="E20" s="13" t="n">
        <f aca="false">IF($A20="",0,-SUMIFS('Expense Entry'!$P$5:$P$6000,'Expense Entry'!$A$5:$A$6000,$A20))</f>
        <v>170432</v>
      </c>
      <c r="F20" s="13" t="n">
        <f aca="false">$D20-$E20</f>
        <v>1398798</v>
      </c>
    </row>
    <row r="21" customFormat="false" ht="15" hidden="false" customHeight="true" outlineLevel="0" collapsed="false">
      <c r="A21" s="19" t="n">
        <v>46282</v>
      </c>
      <c r="B21" s="13" t="n">
        <f aca="false">$F20</f>
        <v>1398798</v>
      </c>
      <c r="C21" s="13" t="n">
        <f aca="false">IF($A21="",0,SUMIFS(Sales!$G$5:$G$3000,Sales!$A$5:$A$3000,$A21))</f>
        <v>368143</v>
      </c>
      <c r="D21" s="13" t="n">
        <f aca="false">$B21+$C21</f>
        <v>1766941</v>
      </c>
      <c r="E21" s="13" t="n">
        <f aca="false">IF($A21="",0,-SUMIFS('Expense Entry'!$P$5:$P$6000,'Expense Entry'!$A$5:$A$6000,$A21))</f>
        <v>992925</v>
      </c>
      <c r="F21" s="13" t="n">
        <f aca="false">$D21-$E21</f>
        <v>774016</v>
      </c>
    </row>
    <row r="22" customFormat="false" ht="15" hidden="false" customHeight="true" outlineLevel="0" collapsed="false">
      <c r="A22" s="19" t="n">
        <v>46283</v>
      </c>
      <c r="B22" s="13" t="n">
        <f aca="false">$F21</f>
        <v>774016</v>
      </c>
      <c r="C22" s="13" t="n">
        <f aca="false">IF($A22="",0,SUMIFS(Sales!$G$5:$G$3000,Sales!$A$5:$A$3000,$A22))</f>
        <v>564615</v>
      </c>
      <c r="D22" s="13" t="n">
        <f aca="false">$B22+$C22</f>
        <v>1338631</v>
      </c>
      <c r="E22" s="13" t="n">
        <f aca="false">IF($A22="",0,-SUMIFS('Expense Entry'!$P$5:$P$6000,'Expense Entry'!$A$5:$A$6000,$A22))</f>
        <v>400481</v>
      </c>
      <c r="F22" s="13" t="n">
        <f aca="false">$D22-$E22</f>
        <v>938150</v>
      </c>
    </row>
    <row r="23" customFormat="false" ht="15" hidden="false" customHeight="true" outlineLevel="0" collapsed="false">
      <c r="A23" s="19" t="n">
        <v>46284</v>
      </c>
      <c r="B23" s="13" t="n">
        <f aca="false">$F22</f>
        <v>938150</v>
      </c>
      <c r="C23" s="13" t="n">
        <f aca="false">IF($A23="",0,SUMIFS(Sales!$G$5:$G$3000,Sales!$A$5:$A$3000,$A23))</f>
        <v>509263</v>
      </c>
      <c r="D23" s="13" t="n">
        <f aca="false">$B23+$C23</f>
        <v>1447413</v>
      </c>
      <c r="E23" s="13" t="n">
        <f aca="false">IF($A23="",0,-SUMIFS('Expense Entry'!$P$5:$P$6000,'Expense Entry'!$A$5:$A$6000,$A23))</f>
        <v>11778</v>
      </c>
      <c r="F23" s="13" t="n">
        <f aca="false">$D23-$E23</f>
        <v>1435635</v>
      </c>
    </row>
    <row r="24" customFormat="false" ht="15" hidden="false" customHeight="true" outlineLevel="0" collapsed="false">
      <c r="A24" s="19" t="n">
        <v>46285</v>
      </c>
      <c r="B24" s="13" t="n">
        <f aca="false">$F23</f>
        <v>1435635</v>
      </c>
      <c r="C24" s="13" t="n">
        <f aca="false">IF($A24="",0,SUMIFS(Sales!$G$5:$G$3000,Sales!$A$5:$A$3000,$A24))</f>
        <v>543106</v>
      </c>
      <c r="D24" s="13" t="n">
        <f aca="false">$B24+$C24</f>
        <v>1978741</v>
      </c>
      <c r="E24" s="13" t="n">
        <f aca="false">IF($A24="",0,-SUMIFS('Expense Entry'!$P$5:$P$6000,'Expense Entry'!$A$5:$A$6000,$A24))</f>
        <v>536180</v>
      </c>
      <c r="F24" s="13" t="n">
        <f aca="false">$D24-$E24</f>
        <v>1442561</v>
      </c>
    </row>
    <row r="25" customFormat="false" ht="15" hidden="false" customHeight="true" outlineLevel="0" collapsed="false">
      <c r="A25" s="19" t="n">
        <v>46286</v>
      </c>
      <c r="B25" s="13" t="n">
        <f aca="false">$F24</f>
        <v>1442561</v>
      </c>
      <c r="C25" s="13" t="n">
        <f aca="false">IF($A25="",0,SUMIFS(Sales!$G$5:$G$3000,Sales!$A$5:$A$3000,$A25))</f>
        <v>383111</v>
      </c>
      <c r="D25" s="13" t="n">
        <f aca="false">$B25+$C25</f>
        <v>1825672</v>
      </c>
      <c r="E25" s="13" t="n">
        <f aca="false">IF($A25="",0,-SUMIFS('Expense Entry'!$P$5:$P$6000,'Expense Entry'!$A$5:$A$6000,$A25))</f>
        <v>1080675</v>
      </c>
      <c r="F25" s="13" t="n">
        <f aca="false">$D25-$E25</f>
        <v>744997</v>
      </c>
    </row>
    <row r="26" customFormat="false" ht="15" hidden="false" customHeight="true" outlineLevel="0" collapsed="false">
      <c r="A26" s="19" t="n">
        <v>46287</v>
      </c>
      <c r="B26" s="13" t="n">
        <f aca="false">$F25</f>
        <v>744997</v>
      </c>
      <c r="C26" s="13" t="n">
        <f aca="false">IF($A26="",0,SUMIFS(Sales!$G$5:$G$3000,Sales!$A$5:$A$3000,$A26))</f>
        <v>413019</v>
      </c>
      <c r="D26" s="13" t="n">
        <f aca="false">$B26+$C26</f>
        <v>1158016</v>
      </c>
      <c r="E26" s="13" t="n">
        <f aca="false">IF($A26="",0,-SUMIFS('Expense Entry'!$P$5:$P$6000,'Expense Entry'!$A$5:$A$6000,$A26))</f>
        <v>115228</v>
      </c>
      <c r="F26" s="13" t="n">
        <f aca="false">$D26-$E26</f>
        <v>1042788</v>
      </c>
    </row>
    <row r="27" customFormat="false" ht="15" hidden="false" customHeight="true" outlineLevel="0" collapsed="false">
      <c r="A27" s="19" t="n">
        <v>46288</v>
      </c>
      <c r="B27" s="13" t="n">
        <f aca="false">$F26</f>
        <v>1042788</v>
      </c>
      <c r="C27" s="13" t="n">
        <f aca="false">IF($A27="",0,SUMIFS(Sales!$G$5:$G$3000,Sales!$A$5:$A$3000,$A27))</f>
        <v>456826</v>
      </c>
      <c r="D27" s="13" t="n">
        <f aca="false">$B27+$C27</f>
        <v>1499614</v>
      </c>
      <c r="E27" s="13" t="n">
        <f aca="false">IF($A27="",0,-SUMIFS('Expense Entry'!$P$5:$P$6000,'Expense Entry'!$A$5:$A$6000,$A27))</f>
        <v>648935</v>
      </c>
      <c r="F27" s="13" t="n">
        <f aca="false">$D27-$E27</f>
        <v>850679</v>
      </c>
    </row>
    <row r="28" customFormat="false" ht="15" hidden="false" customHeight="true" outlineLevel="0" collapsed="false">
      <c r="A28" s="19" t="n">
        <v>46289</v>
      </c>
      <c r="B28" s="13" t="n">
        <f aca="false">$F27</f>
        <v>850679</v>
      </c>
      <c r="C28" s="13" t="n">
        <f aca="false">IF($A28="",0,SUMIFS(Sales!$G$5:$G$3000,Sales!$A$5:$A$3000,$A28))</f>
        <v>559624</v>
      </c>
      <c r="D28" s="13" t="n">
        <f aca="false">$B28+$C28</f>
        <v>1410303</v>
      </c>
      <c r="E28" s="13" t="n">
        <f aca="false">IF($A28="",0,-SUMIFS('Expense Entry'!$P$5:$P$6000,'Expense Entry'!$A$5:$A$6000,$A28))</f>
        <v>258418</v>
      </c>
      <c r="F28" s="13" t="n">
        <f aca="false">$D28-$E28</f>
        <v>1151885</v>
      </c>
    </row>
    <row r="29" customFormat="false" ht="15" hidden="false" customHeight="true" outlineLevel="0" collapsed="false">
      <c r="A29" s="19" t="n">
        <v>46290</v>
      </c>
      <c r="B29" s="13" t="n">
        <f aca="false">$F28</f>
        <v>1151885</v>
      </c>
      <c r="C29" s="13" t="n">
        <f aca="false">IF($A29="",0,SUMIFS(Sales!$G$5:$G$3000,Sales!$A$5:$A$3000,$A29))</f>
        <v>446497</v>
      </c>
      <c r="D29" s="13" t="n">
        <f aca="false">$B29+$C29</f>
        <v>1598382</v>
      </c>
      <c r="E29" s="13" t="n">
        <f aca="false">IF($A29="",0,-SUMIFS('Expense Entry'!$P$5:$P$6000,'Expense Entry'!$A$5:$A$6000,$A29))</f>
        <v>509759</v>
      </c>
      <c r="F29" s="13" t="n">
        <f aca="false">$D29-$E29</f>
        <v>1088623</v>
      </c>
    </row>
    <row r="30" customFormat="false" ht="15" hidden="false" customHeight="true" outlineLevel="0" collapsed="false">
      <c r="A30" s="19" t="n">
        <v>46291</v>
      </c>
      <c r="B30" s="13" t="n">
        <f aca="false">$F29</f>
        <v>1088623</v>
      </c>
      <c r="C30" s="13" t="n">
        <f aca="false">IF($A30="",0,SUMIFS(Sales!$G$5:$G$3000,Sales!$A$5:$A$3000,$A30))</f>
        <v>487374</v>
      </c>
      <c r="D30" s="13" t="n">
        <f aca="false">$B30+$C30</f>
        <v>1575997</v>
      </c>
      <c r="E30" s="13" t="n">
        <f aca="false">IF($A30="",0,-SUMIFS('Expense Entry'!$P$5:$P$6000,'Expense Entry'!$A$5:$A$6000,$A30))</f>
        <v>22623</v>
      </c>
      <c r="F30" s="13" t="n">
        <f aca="false">$D30-$E30</f>
        <v>1553374</v>
      </c>
    </row>
    <row r="31" customFormat="false" ht="15" hidden="false" customHeight="true" outlineLevel="0" collapsed="false">
      <c r="A31" s="19" t="n">
        <v>46292</v>
      </c>
      <c r="B31" s="13" t="n">
        <f aca="false">$F30</f>
        <v>1553374</v>
      </c>
      <c r="C31" s="13" t="n">
        <f aca="false">IF($A31="",0,SUMIFS(Sales!$G$5:$G$3000,Sales!$A$5:$A$3000,$A31))</f>
        <v>514790</v>
      </c>
      <c r="D31" s="13" t="n">
        <f aca="false">$B31+$C31</f>
        <v>2068164</v>
      </c>
      <c r="E31" s="13" t="n">
        <f aca="false">IF($A31="",0,-SUMIFS('Expense Entry'!$P$5:$P$6000,'Expense Entry'!$A$5:$A$6000,$A31))</f>
        <v>285040</v>
      </c>
      <c r="F31" s="13" t="n">
        <f aca="false">$D31-$E31</f>
        <v>1783124</v>
      </c>
    </row>
    <row r="32" customFormat="false" ht="15" hidden="false" customHeight="true" outlineLevel="0" collapsed="false">
      <c r="A32" s="19" t="n">
        <v>46293</v>
      </c>
      <c r="B32" s="13" t="n">
        <f aca="false">$F31</f>
        <v>1783124</v>
      </c>
      <c r="C32" s="13" t="n">
        <f aca="false">IF($A32="",0,SUMIFS(Sales!$G$5:$G$3000,Sales!$A$5:$A$3000,$A32))</f>
        <v>351026</v>
      </c>
      <c r="D32" s="13" t="n">
        <f aca="false">$B32+$C32</f>
        <v>2134150</v>
      </c>
      <c r="E32" s="13" t="n">
        <f aca="false">IF($A32="",0,-SUMIFS('Expense Entry'!$P$5:$P$6000,'Expense Entry'!$A$5:$A$6000,$A32))</f>
        <v>1392920</v>
      </c>
      <c r="F32" s="13" t="n">
        <f aca="false">$D32-$E32</f>
        <v>741230</v>
      </c>
    </row>
    <row r="33" customFormat="false" ht="15" hidden="false" customHeight="true" outlineLevel="0" collapsed="false">
      <c r="A33" s="19" t="n">
        <v>46294</v>
      </c>
      <c r="B33" s="13" t="n">
        <f aca="false">$F32</f>
        <v>741230</v>
      </c>
      <c r="C33" s="13" t="n">
        <f aca="false">IF($A33="",0,SUMIFS(Sales!$G$5:$G$3000,Sales!$A$5:$A$3000,$A33))</f>
        <v>402974</v>
      </c>
      <c r="D33" s="13" t="n">
        <f aca="false">$B33+$C33</f>
        <v>1144204</v>
      </c>
      <c r="E33" s="13" t="n">
        <f aca="false">IF($A33="",0,-SUMIFS('Expense Entry'!$P$5:$P$6000,'Expense Entry'!$A$5:$A$6000,$A33))</f>
        <v>187627</v>
      </c>
      <c r="F33" s="13" t="n">
        <f aca="false">$D33-$E33</f>
        <v>956577</v>
      </c>
    </row>
    <row r="34" customFormat="false" ht="15" hidden="false" customHeight="true" outlineLevel="0" collapsed="false">
      <c r="A34" s="19" t="n">
        <v>46295</v>
      </c>
      <c r="B34" s="13" t="n">
        <f aca="false">$F33</f>
        <v>956577</v>
      </c>
      <c r="C34" s="13" t="n">
        <f aca="false">IF($A34="",0,SUMIFS(Sales!$G$5:$G$3000,Sales!$A$5:$A$3000,$A34))</f>
        <v>424788</v>
      </c>
      <c r="D34" s="13" t="n">
        <f aca="false">$B34+$C34</f>
        <v>1381365</v>
      </c>
      <c r="E34" s="13" t="n">
        <f aca="false">IF($A34="",0,-SUMIFS('Expense Entry'!$P$5:$P$6000,'Expense Entry'!$A$5:$A$6000,$A34))</f>
        <v>879236</v>
      </c>
      <c r="F34" s="13" t="n">
        <f aca="false">$D34-$E34</f>
        <v>502129</v>
      </c>
    </row>
    <row r="35" customFormat="false" ht="15" hidden="false" customHeight="true" outlineLevel="0" collapsed="false">
      <c r="A35" s="19"/>
      <c r="B35" s="13" t="n">
        <f aca="false">$F34</f>
        <v>502129</v>
      </c>
      <c r="C35" s="13" t="n">
        <f aca="false">IF($A35="",0,SUMIFS(Sales!$G$5:$G$3000,Sales!$A$5:$A$3000,$A35))</f>
        <v>0</v>
      </c>
      <c r="D35" s="13" t="n">
        <f aca="false">$B35+$C35</f>
        <v>502129</v>
      </c>
      <c r="E35" s="13" t="n">
        <f aca="false">IF($A35="",0,-SUMIFS('Expense Entry'!$P$5:$P$6000,'Expense Entry'!$A$5:$A$6000,$A35))</f>
        <v>0</v>
      </c>
      <c r="F35" s="13" t="n">
        <f aca="false">$D35-$E35</f>
        <v>502129</v>
      </c>
    </row>
    <row r="37" customFormat="false" ht="15" hidden="false" customHeight="true" outlineLevel="0" collapsed="false">
      <c r="D37" s="20"/>
    </row>
    <row r="3010" customFormat="false" ht="15" hidden="false" customHeight="false" outlineLevel="0" collapsed="false">
      <c r="C3010" s="1" t="s">
        <v>1792</v>
      </c>
      <c r="D3010" s="1" t="n">
        <f aca="false">SUM($C$5:$C$35)</f>
        <v>14012331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" t="s">
        <v>1793</v>
      </c>
      <c r="B1" s="1" t="s">
        <v>1794</v>
      </c>
      <c r="C1" s="1" t="s">
        <v>1795</v>
      </c>
      <c r="D1" s="1" t="s">
        <v>1796</v>
      </c>
      <c r="E1" s="1" t="s">
        <v>1797</v>
      </c>
      <c r="F1" s="1" t="s">
        <v>1798</v>
      </c>
      <c r="G1" s="1" t="s">
        <v>1799</v>
      </c>
      <c r="H1" s="1" t="s">
        <v>1800</v>
      </c>
      <c r="I1" s="1" t="s">
        <v>1801</v>
      </c>
      <c r="J1" s="1" t="s">
        <v>1802</v>
      </c>
      <c r="K1" s="1" t="s">
        <v>1803</v>
      </c>
    </row>
    <row r="2" customFormat="false" ht="15" hidden="false" customHeight="true" outlineLevel="0" collapsed="false">
      <c r="A2" s="1" t="s">
        <v>1804</v>
      </c>
      <c r="B2" s="1" t="s">
        <v>230</v>
      </c>
      <c r="C2" s="1" t="s">
        <v>232</v>
      </c>
      <c r="D2" s="1" t="n">
        <v>16900</v>
      </c>
      <c r="E2" s="1" t="s">
        <v>129</v>
      </c>
      <c r="F2" s="1" t="s">
        <v>378</v>
      </c>
      <c r="G2" s="1" t="s">
        <v>1681</v>
      </c>
      <c r="H2" s="1" t="s">
        <v>1805</v>
      </c>
      <c r="I2" s="1" t="s">
        <v>1806</v>
      </c>
      <c r="J2" s="1" t="s">
        <v>378</v>
      </c>
      <c r="K2" s="1" t="s">
        <v>231</v>
      </c>
    </row>
    <row r="3" customFormat="false" ht="15" hidden="false" customHeight="true" outlineLevel="0" collapsed="false">
      <c r="A3" s="1" t="s">
        <v>227</v>
      </c>
      <c r="B3" s="1" t="s">
        <v>235</v>
      </c>
      <c r="C3" s="1" t="s">
        <v>232</v>
      </c>
      <c r="D3" s="1" t="n">
        <v>16900</v>
      </c>
      <c r="E3" s="1" t="s">
        <v>129</v>
      </c>
      <c r="F3" s="1" t="s">
        <v>1593</v>
      </c>
      <c r="G3" s="1" t="s">
        <v>1684</v>
      </c>
      <c r="H3" s="1" t="s">
        <v>1807</v>
      </c>
      <c r="I3" s="1" t="s">
        <v>1808</v>
      </c>
      <c r="J3" s="1" t="s">
        <v>1593</v>
      </c>
      <c r="K3" s="1" t="s">
        <v>236</v>
      </c>
    </row>
    <row r="4" customFormat="false" ht="15" hidden="false" customHeight="true" outlineLevel="0" collapsed="false">
      <c r="A4" s="1" t="s">
        <v>1809</v>
      </c>
      <c r="B4" s="1" t="s">
        <v>239</v>
      </c>
      <c r="C4" s="1" t="s">
        <v>241</v>
      </c>
      <c r="D4" s="1" t="n">
        <v>1400</v>
      </c>
      <c r="E4" s="1" t="s">
        <v>129</v>
      </c>
      <c r="F4" s="1" t="s">
        <v>234</v>
      </c>
      <c r="G4" s="1" t="s">
        <v>1687</v>
      </c>
      <c r="H4" s="1" t="s">
        <v>1810</v>
      </c>
      <c r="I4" s="1" t="s">
        <v>1811</v>
      </c>
      <c r="J4" s="1" t="s">
        <v>234</v>
      </c>
      <c r="K4" s="1" t="s">
        <v>240</v>
      </c>
    </row>
    <row r="5" customFormat="false" ht="15" hidden="false" customHeight="true" outlineLevel="0" collapsed="false">
      <c r="A5" s="1" t="s">
        <v>1812</v>
      </c>
      <c r="B5" s="1" t="s">
        <v>244</v>
      </c>
      <c r="C5" s="1" t="s">
        <v>246</v>
      </c>
      <c r="D5" s="1" t="n">
        <v>200</v>
      </c>
      <c r="E5" s="1" t="s">
        <v>129</v>
      </c>
      <c r="F5" s="1" t="s">
        <v>1625</v>
      </c>
      <c r="G5" s="1" t="s">
        <v>1688</v>
      </c>
      <c r="J5" s="1" t="s">
        <v>1625</v>
      </c>
      <c r="K5" s="1" t="s">
        <v>245</v>
      </c>
    </row>
    <row r="6" customFormat="false" ht="15" hidden="false" customHeight="true" outlineLevel="0" collapsed="false">
      <c r="A6" s="1" t="s">
        <v>139</v>
      </c>
      <c r="B6" s="1" t="s">
        <v>249</v>
      </c>
      <c r="C6" s="1" t="s">
        <v>241</v>
      </c>
      <c r="D6" s="1" t="n">
        <v>1150</v>
      </c>
      <c r="E6" s="1" t="s">
        <v>129</v>
      </c>
      <c r="F6" s="1" t="s">
        <v>807</v>
      </c>
      <c r="G6" s="1" t="s">
        <v>1689</v>
      </c>
      <c r="J6" s="1" t="s">
        <v>807</v>
      </c>
      <c r="K6" s="1" t="s">
        <v>250</v>
      </c>
    </row>
    <row r="7" customFormat="false" ht="15" hidden="false" customHeight="true" outlineLevel="0" collapsed="false">
      <c r="A7" s="1" t="s">
        <v>140</v>
      </c>
      <c r="B7" s="1" t="s">
        <v>253</v>
      </c>
      <c r="C7" s="1" t="s">
        <v>241</v>
      </c>
      <c r="D7" s="1" t="n">
        <v>1150</v>
      </c>
      <c r="E7" s="1" t="s">
        <v>129</v>
      </c>
      <c r="F7" s="1" t="s">
        <v>228</v>
      </c>
      <c r="G7" s="1" t="s">
        <v>1692</v>
      </c>
      <c r="J7" s="1" t="s">
        <v>228</v>
      </c>
      <c r="K7" s="1" t="s">
        <v>254</v>
      </c>
    </row>
    <row r="8" customFormat="false" ht="15" hidden="false" customHeight="true" outlineLevel="0" collapsed="false">
      <c r="A8" s="1" t="s">
        <v>127</v>
      </c>
      <c r="B8" s="1" t="s">
        <v>257</v>
      </c>
      <c r="C8" s="1" t="s">
        <v>241</v>
      </c>
      <c r="D8" s="1" t="n">
        <v>1150</v>
      </c>
      <c r="E8" s="1" t="s">
        <v>129</v>
      </c>
      <c r="G8" s="1" t="s">
        <v>1694</v>
      </c>
      <c r="J8" s="1" t="s">
        <v>1681</v>
      </c>
      <c r="K8" s="1" t="s">
        <v>258</v>
      </c>
    </row>
    <row r="9" customFormat="false" ht="15" hidden="false" customHeight="true" outlineLevel="0" collapsed="false">
      <c r="A9" s="1" t="s">
        <v>133</v>
      </c>
      <c r="B9" s="1" t="s">
        <v>261</v>
      </c>
      <c r="C9" s="1" t="s">
        <v>241</v>
      </c>
      <c r="D9" s="1" t="n">
        <v>800</v>
      </c>
      <c r="E9" s="1" t="s">
        <v>129</v>
      </c>
      <c r="G9" s="1" t="s">
        <v>1696</v>
      </c>
      <c r="J9" s="1" t="s">
        <v>1684</v>
      </c>
      <c r="K9" s="1" t="s">
        <v>262</v>
      </c>
    </row>
    <row r="10" customFormat="false" ht="15" hidden="false" customHeight="true" outlineLevel="0" collapsed="false">
      <c r="A10" s="1" t="s">
        <v>134</v>
      </c>
      <c r="B10" s="1" t="s">
        <v>265</v>
      </c>
      <c r="C10" s="1" t="s">
        <v>267</v>
      </c>
      <c r="D10" s="1" t="n">
        <v>1260</v>
      </c>
      <c r="E10" s="1" t="s">
        <v>129</v>
      </c>
      <c r="G10" s="1" t="s">
        <v>1697</v>
      </c>
      <c r="J10" s="1" t="s">
        <v>1687</v>
      </c>
      <c r="K10" s="1" t="s">
        <v>266</v>
      </c>
    </row>
    <row r="11" customFormat="false" ht="15" hidden="false" customHeight="true" outlineLevel="0" collapsed="false">
      <c r="A11" s="1" t="s">
        <v>141</v>
      </c>
      <c r="B11" s="1" t="s">
        <v>270</v>
      </c>
      <c r="C11" s="1" t="s">
        <v>267</v>
      </c>
      <c r="D11" s="1" t="n">
        <v>1301</v>
      </c>
      <c r="E11" s="1" t="s">
        <v>129</v>
      </c>
      <c r="G11" s="1" t="s">
        <v>1698</v>
      </c>
      <c r="J11" s="1" t="s">
        <v>1688</v>
      </c>
      <c r="K11" s="1" t="s">
        <v>271</v>
      </c>
    </row>
    <row r="12" customFormat="false" ht="15" hidden="false" customHeight="true" outlineLevel="0" collapsed="false">
      <c r="A12" s="1" t="s">
        <v>135</v>
      </c>
      <c r="B12" s="1" t="s">
        <v>274</v>
      </c>
      <c r="C12" s="1" t="s">
        <v>241</v>
      </c>
      <c r="D12" s="1" t="n">
        <v>1344</v>
      </c>
      <c r="E12" s="1" t="s">
        <v>129</v>
      </c>
      <c r="G12" s="1" t="s">
        <v>1699</v>
      </c>
      <c r="J12" s="1" t="s">
        <v>1689</v>
      </c>
      <c r="K12" s="1" t="s">
        <v>275</v>
      </c>
    </row>
    <row r="13" customFormat="false" ht="15" hidden="false" customHeight="true" outlineLevel="0" collapsed="false">
      <c r="A13" s="1" t="s">
        <v>128</v>
      </c>
      <c r="B13" s="1" t="s">
        <v>278</v>
      </c>
      <c r="C13" s="1" t="s">
        <v>241</v>
      </c>
      <c r="D13" s="1" t="n">
        <v>1088</v>
      </c>
      <c r="E13" s="1" t="s">
        <v>129</v>
      </c>
      <c r="G13" s="1" t="s">
        <v>1700</v>
      </c>
      <c r="J13" s="1" t="s">
        <v>1692</v>
      </c>
      <c r="K13" s="1" t="s">
        <v>279</v>
      </c>
    </row>
    <row r="14" customFormat="false" ht="15" hidden="false" customHeight="true" outlineLevel="0" collapsed="false">
      <c r="A14" s="1" t="s">
        <v>142</v>
      </c>
      <c r="B14" s="1" t="s">
        <v>282</v>
      </c>
      <c r="C14" s="1" t="s">
        <v>241</v>
      </c>
      <c r="D14" s="1" t="n">
        <v>1122</v>
      </c>
      <c r="E14" s="1" t="s">
        <v>129</v>
      </c>
      <c r="G14" s="1" t="s">
        <v>1701</v>
      </c>
      <c r="J14" s="1" t="s">
        <v>1694</v>
      </c>
      <c r="K14" s="1" t="s">
        <v>283</v>
      </c>
    </row>
    <row r="15" customFormat="false" ht="15" hidden="false" customHeight="true" outlineLevel="0" collapsed="false">
      <c r="A15" s="1" t="s">
        <v>130</v>
      </c>
      <c r="B15" s="1" t="s">
        <v>286</v>
      </c>
      <c r="C15" s="1" t="s">
        <v>267</v>
      </c>
      <c r="D15" s="1" t="n">
        <v>1400.6</v>
      </c>
      <c r="E15" s="1" t="s">
        <v>129</v>
      </c>
      <c r="G15" s="1" t="s">
        <v>1702</v>
      </c>
      <c r="J15" s="1" t="s">
        <v>1696</v>
      </c>
      <c r="K15" s="1" t="s">
        <v>287</v>
      </c>
    </row>
    <row r="16" customFormat="false" ht="15" hidden="false" customHeight="true" outlineLevel="0" collapsed="false">
      <c r="A16" s="1" t="s">
        <v>143</v>
      </c>
      <c r="B16" s="1" t="s">
        <v>290</v>
      </c>
      <c r="C16" s="1" t="s">
        <v>267</v>
      </c>
      <c r="D16" s="1" t="n">
        <v>1800</v>
      </c>
      <c r="E16" s="1" t="s">
        <v>129</v>
      </c>
      <c r="G16" s="1" t="s">
        <v>1703</v>
      </c>
      <c r="J16" s="1" t="s">
        <v>1697</v>
      </c>
      <c r="K16" s="1" t="s">
        <v>291</v>
      </c>
    </row>
    <row r="17" customFormat="false" ht="15" hidden="false" customHeight="true" outlineLevel="0" collapsed="false">
      <c r="A17" s="1" t="s">
        <v>145</v>
      </c>
      <c r="B17" s="1" t="s">
        <v>293</v>
      </c>
      <c r="C17" s="1" t="s">
        <v>267</v>
      </c>
      <c r="D17" s="1" t="n">
        <v>1150</v>
      </c>
      <c r="E17" s="1" t="s">
        <v>129</v>
      </c>
      <c r="G17" s="1" t="s">
        <v>1704</v>
      </c>
      <c r="J17" s="1" t="s">
        <v>1698</v>
      </c>
      <c r="K17" s="1" t="s">
        <v>294</v>
      </c>
    </row>
    <row r="18" customFormat="false" ht="15" hidden="false" customHeight="true" outlineLevel="0" collapsed="false">
      <c r="A18" s="1" t="s">
        <v>146</v>
      </c>
      <c r="B18" s="1" t="s">
        <v>297</v>
      </c>
      <c r="C18" s="1" t="s">
        <v>267</v>
      </c>
      <c r="D18" s="1" t="n">
        <v>1150</v>
      </c>
      <c r="E18" s="1" t="s">
        <v>129</v>
      </c>
      <c r="G18" s="1" t="s">
        <v>1705</v>
      </c>
      <c r="J18" s="1" t="s">
        <v>1699</v>
      </c>
      <c r="K18" s="1" t="s">
        <v>298</v>
      </c>
    </row>
    <row r="19" customFormat="false" ht="15" hidden="false" customHeight="true" outlineLevel="0" collapsed="false">
      <c r="A19" s="1" t="s">
        <v>147</v>
      </c>
      <c r="B19" s="1" t="s">
        <v>301</v>
      </c>
      <c r="C19" s="1" t="s">
        <v>267</v>
      </c>
      <c r="D19" s="1" t="n">
        <v>974</v>
      </c>
      <c r="E19" s="1" t="s">
        <v>129</v>
      </c>
      <c r="G19" s="1" t="s">
        <v>1706</v>
      </c>
      <c r="J19" s="1" t="s">
        <v>1700</v>
      </c>
      <c r="K19" s="1" t="s">
        <v>302</v>
      </c>
    </row>
    <row r="20" customFormat="false" ht="15" hidden="false" customHeight="true" outlineLevel="0" collapsed="false">
      <c r="A20" s="1" t="s">
        <v>148</v>
      </c>
      <c r="B20" s="1" t="s">
        <v>303</v>
      </c>
      <c r="C20" s="1" t="s">
        <v>267</v>
      </c>
      <c r="D20" s="1" t="n">
        <v>1587</v>
      </c>
      <c r="E20" s="1" t="s">
        <v>129</v>
      </c>
      <c r="G20" s="1" t="s">
        <v>1708</v>
      </c>
      <c r="J20" s="1" t="s">
        <v>1701</v>
      </c>
      <c r="K20" s="1" t="s">
        <v>304</v>
      </c>
    </row>
    <row r="21" customFormat="false" ht="15" hidden="false" customHeight="true" outlineLevel="0" collapsed="false">
      <c r="A21" s="1" t="s">
        <v>149</v>
      </c>
      <c r="B21" s="1" t="s">
        <v>306</v>
      </c>
      <c r="C21" s="1" t="s">
        <v>267</v>
      </c>
      <c r="D21" s="1" t="n">
        <v>2410</v>
      </c>
      <c r="E21" s="1" t="s">
        <v>129</v>
      </c>
      <c r="G21" s="1" t="s">
        <v>1710</v>
      </c>
      <c r="J21" s="1" t="s">
        <v>1702</v>
      </c>
      <c r="K21" s="1" t="s">
        <v>307</v>
      </c>
    </row>
    <row r="22" customFormat="false" ht="15" hidden="false" customHeight="true" outlineLevel="0" collapsed="false">
      <c r="A22" s="1" t="s">
        <v>150</v>
      </c>
      <c r="B22" s="1" t="s">
        <v>309</v>
      </c>
      <c r="C22" s="1" t="s">
        <v>311</v>
      </c>
      <c r="D22" s="1" t="n">
        <v>720</v>
      </c>
      <c r="E22" s="1" t="s">
        <v>129</v>
      </c>
      <c r="G22" s="1" t="s">
        <v>1711</v>
      </c>
      <c r="J22" s="1" t="s">
        <v>1703</v>
      </c>
      <c r="K22" s="1" t="s">
        <v>310</v>
      </c>
    </row>
    <row r="23" customFormat="false" ht="15" hidden="false" customHeight="true" outlineLevel="0" collapsed="false">
      <c r="A23" s="1" t="s">
        <v>151</v>
      </c>
      <c r="B23" s="1" t="s">
        <v>312</v>
      </c>
      <c r="C23" s="1" t="s">
        <v>311</v>
      </c>
      <c r="D23" s="1" t="n">
        <v>720</v>
      </c>
      <c r="E23" s="1" t="s">
        <v>129</v>
      </c>
      <c r="G23" s="1" t="s">
        <v>1713</v>
      </c>
      <c r="J23" s="1" t="s">
        <v>1704</v>
      </c>
      <c r="K23" s="1" t="s">
        <v>313</v>
      </c>
    </row>
    <row r="24" customFormat="false" ht="15" hidden="false" customHeight="true" outlineLevel="0" collapsed="false">
      <c r="A24" s="1" t="s">
        <v>152</v>
      </c>
      <c r="B24" s="1" t="s">
        <v>315</v>
      </c>
      <c r="C24" s="1" t="s">
        <v>311</v>
      </c>
      <c r="D24" s="1" t="n">
        <v>720</v>
      </c>
      <c r="E24" s="1" t="s">
        <v>129</v>
      </c>
      <c r="G24" s="1" t="s">
        <v>1715</v>
      </c>
      <c r="J24" s="1" t="s">
        <v>1705</v>
      </c>
      <c r="K24" s="1" t="s">
        <v>316</v>
      </c>
    </row>
    <row r="25" customFormat="false" ht="15" hidden="false" customHeight="true" outlineLevel="0" collapsed="false">
      <c r="A25" s="1" t="s">
        <v>153</v>
      </c>
      <c r="B25" s="1" t="s">
        <v>319</v>
      </c>
      <c r="C25" s="1" t="s">
        <v>311</v>
      </c>
      <c r="D25" s="1" t="n">
        <v>720</v>
      </c>
      <c r="E25" s="1" t="s">
        <v>129</v>
      </c>
      <c r="G25" s="1" t="s">
        <v>1716</v>
      </c>
      <c r="J25" s="1" t="s">
        <v>1706</v>
      </c>
      <c r="K25" s="1" t="s">
        <v>320</v>
      </c>
    </row>
    <row r="26" customFormat="false" ht="15" hidden="false" customHeight="true" outlineLevel="0" collapsed="false">
      <c r="A26" s="1" t="s">
        <v>154</v>
      </c>
      <c r="B26" s="1" t="s">
        <v>321</v>
      </c>
      <c r="C26" s="1" t="s">
        <v>311</v>
      </c>
      <c r="D26" s="1" t="n">
        <v>600</v>
      </c>
      <c r="E26" s="1" t="s">
        <v>129</v>
      </c>
      <c r="G26" s="1" t="s">
        <v>1718</v>
      </c>
      <c r="J26" s="1" t="s">
        <v>1708</v>
      </c>
      <c r="K26" s="1" t="s">
        <v>322</v>
      </c>
    </row>
    <row r="27" customFormat="false" ht="15" hidden="false" customHeight="true" outlineLevel="0" collapsed="false">
      <c r="A27" s="1" t="s">
        <v>155</v>
      </c>
      <c r="B27" s="1" t="s">
        <v>323</v>
      </c>
      <c r="C27" s="1" t="s">
        <v>311</v>
      </c>
      <c r="D27" s="1" t="n">
        <v>600</v>
      </c>
      <c r="E27" s="1" t="s">
        <v>129</v>
      </c>
      <c r="G27" s="1" t="s">
        <v>1720</v>
      </c>
      <c r="J27" s="1" t="s">
        <v>1710</v>
      </c>
      <c r="K27" s="1" t="s">
        <v>324</v>
      </c>
    </row>
    <row r="28" customFormat="false" ht="15" hidden="false" customHeight="true" outlineLevel="0" collapsed="false">
      <c r="B28" s="1" t="s">
        <v>327</v>
      </c>
      <c r="C28" s="1" t="s">
        <v>311</v>
      </c>
      <c r="D28" s="1" t="n">
        <v>770</v>
      </c>
      <c r="E28" s="1" t="s">
        <v>129</v>
      </c>
      <c r="G28" s="1" t="s">
        <v>1721</v>
      </c>
      <c r="J28" s="1" t="s">
        <v>1711</v>
      </c>
      <c r="K28" s="1" t="s">
        <v>328</v>
      </c>
    </row>
    <row r="29" customFormat="false" ht="15" hidden="false" customHeight="true" outlineLevel="0" collapsed="false">
      <c r="B29" s="1" t="s">
        <v>331</v>
      </c>
      <c r="C29" s="1" t="s">
        <v>311</v>
      </c>
      <c r="D29" s="1" t="n">
        <v>770</v>
      </c>
      <c r="E29" s="1" t="s">
        <v>129</v>
      </c>
      <c r="G29" s="1" t="s">
        <v>1722</v>
      </c>
      <c r="J29" s="1" t="s">
        <v>1713</v>
      </c>
      <c r="K29" s="1" t="s">
        <v>332</v>
      </c>
    </row>
    <row r="30" customFormat="false" ht="15" hidden="false" customHeight="true" outlineLevel="0" collapsed="false">
      <c r="B30" s="1" t="s">
        <v>335</v>
      </c>
      <c r="C30" s="1" t="s">
        <v>311</v>
      </c>
      <c r="D30" s="1" t="n">
        <v>560</v>
      </c>
      <c r="E30" s="1" t="s">
        <v>129</v>
      </c>
      <c r="G30" s="1" t="s">
        <v>1723</v>
      </c>
      <c r="J30" s="1" t="s">
        <v>1715</v>
      </c>
      <c r="K30" s="1" t="s">
        <v>336</v>
      </c>
    </row>
    <row r="31" customFormat="false" ht="15" hidden="false" customHeight="true" outlineLevel="0" collapsed="false">
      <c r="B31" s="1" t="s">
        <v>339</v>
      </c>
      <c r="C31" s="1" t="s">
        <v>311</v>
      </c>
      <c r="D31" s="1" t="n">
        <v>560</v>
      </c>
      <c r="E31" s="1" t="s">
        <v>129</v>
      </c>
      <c r="G31" s="1" t="s">
        <v>1725</v>
      </c>
      <c r="J31" s="1" t="s">
        <v>1716</v>
      </c>
      <c r="K31" s="1" t="s">
        <v>340</v>
      </c>
    </row>
    <row r="32" customFormat="false" ht="15" hidden="false" customHeight="true" outlineLevel="0" collapsed="false">
      <c r="B32" s="1" t="s">
        <v>341</v>
      </c>
      <c r="C32" s="1" t="s">
        <v>311</v>
      </c>
      <c r="D32" s="1" t="n">
        <v>380</v>
      </c>
      <c r="E32" s="1" t="s">
        <v>129</v>
      </c>
      <c r="G32" s="1" t="s">
        <v>1726</v>
      </c>
      <c r="J32" s="1" t="s">
        <v>1718</v>
      </c>
      <c r="K32" s="1" t="s">
        <v>342</v>
      </c>
    </row>
    <row r="33" customFormat="false" ht="15" hidden="false" customHeight="true" outlineLevel="0" collapsed="false">
      <c r="B33" s="1" t="s">
        <v>345</v>
      </c>
      <c r="C33" s="1" t="s">
        <v>311</v>
      </c>
      <c r="D33" s="1" t="n">
        <v>380</v>
      </c>
      <c r="E33" s="1" t="s">
        <v>129</v>
      </c>
      <c r="G33" s="1" t="s">
        <v>1728</v>
      </c>
      <c r="J33" s="1" t="s">
        <v>1720</v>
      </c>
      <c r="K33" s="1" t="s">
        <v>346</v>
      </c>
    </row>
    <row r="34" customFormat="false" ht="15" hidden="false" customHeight="true" outlineLevel="0" collapsed="false">
      <c r="B34" s="1" t="s">
        <v>348</v>
      </c>
      <c r="C34" s="1" t="s">
        <v>350</v>
      </c>
      <c r="D34" s="1" t="n">
        <v>16000</v>
      </c>
      <c r="E34" s="1" t="s">
        <v>129</v>
      </c>
      <c r="G34" s="1" t="s">
        <v>1729</v>
      </c>
      <c r="J34" s="1" t="s">
        <v>1721</v>
      </c>
      <c r="K34" s="1" t="s">
        <v>349</v>
      </c>
    </row>
    <row r="35" customFormat="false" ht="15" hidden="false" customHeight="true" outlineLevel="0" collapsed="false">
      <c r="B35" s="1" t="s">
        <v>352</v>
      </c>
      <c r="C35" s="1" t="s">
        <v>354</v>
      </c>
      <c r="D35" s="1" t="n">
        <v>8211</v>
      </c>
      <c r="E35" s="1" t="s">
        <v>129</v>
      </c>
      <c r="G35" s="1" t="s">
        <v>1731</v>
      </c>
      <c r="J35" s="1" t="s">
        <v>1722</v>
      </c>
      <c r="K35" s="1" t="s">
        <v>353</v>
      </c>
    </row>
    <row r="36" customFormat="false" ht="15" hidden="false" customHeight="true" outlineLevel="0" collapsed="false">
      <c r="B36" s="1" t="s">
        <v>357</v>
      </c>
      <c r="C36" s="1" t="s">
        <v>311</v>
      </c>
      <c r="D36" s="1" t="n">
        <v>891</v>
      </c>
      <c r="E36" s="1" t="s">
        <v>129</v>
      </c>
      <c r="G36" s="1" t="s">
        <v>1732</v>
      </c>
      <c r="J36" s="1" t="s">
        <v>1723</v>
      </c>
      <c r="K36" s="1" t="s">
        <v>358</v>
      </c>
    </row>
    <row r="37" customFormat="false" ht="15" hidden="false" customHeight="true" outlineLevel="0" collapsed="false">
      <c r="B37" s="1" t="s">
        <v>359</v>
      </c>
      <c r="C37" s="1" t="s">
        <v>311</v>
      </c>
      <c r="D37" s="1" t="n">
        <v>751.666666666667</v>
      </c>
      <c r="E37" s="1" t="s">
        <v>129</v>
      </c>
      <c r="G37" s="1" t="s">
        <v>1733</v>
      </c>
      <c r="J37" s="1" t="s">
        <v>1725</v>
      </c>
      <c r="K37" s="1" t="s">
        <v>360</v>
      </c>
    </row>
    <row r="38" customFormat="false" ht="15" hidden="false" customHeight="true" outlineLevel="0" collapsed="false">
      <c r="B38" s="1" t="s">
        <v>363</v>
      </c>
      <c r="C38" s="1" t="s">
        <v>311</v>
      </c>
      <c r="D38" s="1" t="n">
        <v>990</v>
      </c>
      <c r="E38" s="1" t="s">
        <v>129</v>
      </c>
      <c r="G38" s="1" t="s">
        <v>1734</v>
      </c>
      <c r="J38" s="1" t="s">
        <v>1726</v>
      </c>
      <c r="K38" s="1" t="s">
        <v>364</v>
      </c>
    </row>
    <row r="39" customFormat="false" ht="15" hidden="false" customHeight="true" outlineLevel="0" collapsed="false">
      <c r="B39" s="1" t="s">
        <v>367</v>
      </c>
      <c r="C39" s="1" t="s">
        <v>311</v>
      </c>
      <c r="D39" s="1" t="n">
        <v>610</v>
      </c>
      <c r="E39" s="1" t="s">
        <v>129</v>
      </c>
      <c r="G39" s="1" t="s">
        <v>1735</v>
      </c>
      <c r="J39" s="1" t="s">
        <v>1728</v>
      </c>
      <c r="K39" s="1" t="s">
        <v>368</v>
      </c>
    </row>
    <row r="40" customFormat="false" ht="15" hidden="false" customHeight="true" outlineLevel="0" collapsed="false">
      <c r="B40" s="1" t="s">
        <v>369</v>
      </c>
      <c r="C40" s="1" t="s">
        <v>267</v>
      </c>
      <c r="D40" s="1" t="n">
        <v>975</v>
      </c>
      <c r="E40" s="1" t="s">
        <v>129</v>
      </c>
      <c r="G40" s="1" t="s">
        <v>1736</v>
      </c>
      <c r="J40" s="1" t="s">
        <v>1729</v>
      </c>
      <c r="K40" s="1" t="s">
        <v>370</v>
      </c>
    </row>
    <row r="41" customFormat="false" ht="15" hidden="false" customHeight="true" outlineLevel="0" collapsed="false">
      <c r="B41" s="1" t="s">
        <v>372</v>
      </c>
      <c r="C41" s="1" t="s">
        <v>241</v>
      </c>
      <c r="D41" s="1" t="n">
        <v>166.5</v>
      </c>
      <c r="E41" s="1" t="s">
        <v>129</v>
      </c>
      <c r="G41" s="1" t="s">
        <v>1737</v>
      </c>
      <c r="J41" s="1" t="s">
        <v>1731</v>
      </c>
      <c r="K41" s="1" t="s">
        <v>373</v>
      </c>
    </row>
    <row r="42" customFormat="false" ht="15" hidden="false" customHeight="true" outlineLevel="0" collapsed="false">
      <c r="B42" s="1" t="s">
        <v>374</v>
      </c>
      <c r="C42" s="1" t="s">
        <v>376</v>
      </c>
      <c r="D42" s="1" t="n">
        <v>2250</v>
      </c>
      <c r="E42" s="1" t="s">
        <v>129</v>
      </c>
      <c r="G42" s="1" t="s">
        <v>1738</v>
      </c>
      <c r="J42" s="1" t="s">
        <v>1732</v>
      </c>
      <c r="K42" s="1" t="s">
        <v>375</v>
      </c>
    </row>
    <row r="43" customFormat="false" ht="15" hidden="false" customHeight="true" outlineLevel="0" collapsed="false">
      <c r="B43" s="1" t="s">
        <v>379</v>
      </c>
      <c r="C43" s="1" t="s">
        <v>381</v>
      </c>
      <c r="D43" s="1" t="n">
        <v>8000</v>
      </c>
      <c r="E43" s="1" t="s">
        <v>129</v>
      </c>
      <c r="G43" s="1" t="s">
        <v>1739</v>
      </c>
      <c r="J43" s="1" t="s">
        <v>1733</v>
      </c>
      <c r="K43" s="1" t="s">
        <v>380</v>
      </c>
    </row>
    <row r="44" customFormat="false" ht="15" hidden="false" customHeight="true" outlineLevel="0" collapsed="false">
      <c r="B44" s="1" t="s">
        <v>383</v>
      </c>
      <c r="C44" s="1" t="s">
        <v>267</v>
      </c>
      <c r="D44" s="1" t="n">
        <v>937.5</v>
      </c>
      <c r="E44" s="1" t="s">
        <v>129</v>
      </c>
      <c r="G44" s="1" t="s">
        <v>1740</v>
      </c>
      <c r="J44" s="1" t="s">
        <v>1734</v>
      </c>
      <c r="K44" s="1" t="s">
        <v>384</v>
      </c>
    </row>
    <row r="45" customFormat="false" ht="15" hidden="false" customHeight="true" outlineLevel="0" collapsed="false">
      <c r="B45" s="1" t="s">
        <v>385</v>
      </c>
      <c r="C45" s="1" t="s">
        <v>267</v>
      </c>
      <c r="D45" s="1" t="n">
        <v>740</v>
      </c>
      <c r="E45" s="1" t="s">
        <v>129</v>
      </c>
      <c r="G45" s="1" t="s">
        <v>1741</v>
      </c>
      <c r="J45" s="1" t="s">
        <v>1735</v>
      </c>
      <c r="K45" s="1" t="s">
        <v>386</v>
      </c>
    </row>
    <row r="46" customFormat="false" ht="15" hidden="false" customHeight="true" outlineLevel="0" collapsed="false">
      <c r="B46" s="1" t="s">
        <v>387</v>
      </c>
      <c r="C46" s="1" t="s">
        <v>267</v>
      </c>
      <c r="D46" s="1" t="n">
        <v>950</v>
      </c>
      <c r="E46" s="1" t="s">
        <v>129</v>
      </c>
      <c r="G46" s="1" t="s">
        <v>1742</v>
      </c>
      <c r="J46" s="1" t="s">
        <v>1736</v>
      </c>
      <c r="K46" s="1" t="s">
        <v>388</v>
      </c>
    </row>
    <row r="47" customFormat="false" ht="15" hidden="false" customHeight="true" outlineLevel="0" collapsed="false">
      <c r="B47" s="1" t="s">
        <v>389</v>
      </c>
      <c r="C47" s="1" t="s">
        <v>246</v>
      </c>
      <c r="D47" s="1" t="n">
        <v>1999</v>
      </c>
      <c r="E47" s="1" t="s">
        <v>129</v>
      </c>
      <c r="G47" s="1" t="s">
        <v>1743</v>
      </c>
      <c r="J47" s="1" t="s">
        <v>1737</v>
      </c>
      <c r="K47" s="1" t="s">
        <v>390</v>
      </c>
    </row>
    <row r="48" customFormat="false" ht="15" hidden="false" customHeight="true" outlineLevel="0" collapsed="false">
      <c r="B48" s="1" t="s">
        <v>392</v>
      </c>
      <c r="C48" s="1" t="s">
        <v>246</v>
      </c>
      <c r="D48" s="1" t="n">
        <v>240</v>
      </c>
      <c r="E48" s="1" t="s">
        <v>129</v>
      </c>
      <c r="G48" s="1" t="s">
        <v>1744</v>
      </c>
      <c r="J48" s="1" t="s">
        <v>1738</v>
      </c>
      <c r="K48" s="1" t="s">
        <v>393</v>
      </c>
    </row>
    <row r="49" customFormat="false" ht="15" hidden="false" customHeight="true" outlineLevel="0" collapsed="false">
      <c r="B49" s="1" t="s">
        <v>394</v>
      </c>
      <c r="C49" s="1" t="s">
        <v>246</v>
      </c>
      <c r="D49" s="1" t="n">
        <v>240</v>
      </c>
      <c r="E49" s="1" t="s">
        <v>129</v>
      </c>
      <c r="G49" s="1" t="s">
        <v>1745</v>
      </c>
      <c r="J49" s="1" t="s">
        <v>1739</v>
      </c>
      <c r="K49" s="1" t="s">
        <v>395</v>
      </c>
    </row>
    <row r="50" customFormat="false" ht="15" hidden="false" customHeight="true" outlineLevel="0" collapsed="false">
      <c r="B50" s="1" t="s">
        <v>398</v>
      </c>
      <c r="C50" s="1" t="s">
        <v>246</v>
      </c>
      <c r="D50" s="1" t="n">
        <v>1999</v>
      </c>
      <c r="E50" s="1" t="s">
        <v>129</v>
      </c>
      <c r="G50" s="1" t="s">
        <v>1746</v>
      </c>
      <c r="J50" s="1" t="s">
        <v>1740</v>
      </c>
      <c r="K50" s="1" t="s">
        <v>399</v>
      </c>
    </row>
    <row r="51" customFormat="false" ht="15" hidden="false" customHeight="true" outlineLevel="0" collapsed="false">
      <c r="B51" s="1" t="s">
        <v>400</v>
      </c>
      <c r="C51" s="1" t="s">
        <v>246</v>
      </c>
      <c r="D51" s="1" t="n">
        <v>1999</v>
      </c>
      <c r="E51" s="1" t="s">
        <v>129</v>
      </c>
      <c r="G51" s="1" t="s">
        <v>1747</v>
      </c>
      <c r="J51" s="1" t="s">
        <v>1741</v>
      </c>
      <c r="K51" s="1" t="s">
        <v>401</v>
      </c>
    </row>
    <row r="52" customFormat="false" ht="15" hidden="false" customHeight="true" outlineLevel="0" collapsed="false">
      <c r="B52" s="1" t="s">
        <v>402</v>
      </c>
      <c r="C52" s="1" t="s">
        <v>246</v>
      </c>
      <c r="D52" s="1" t="n">
        <v>1999</v>
      </c>
      <c r="E52" s="1" t="s">
        <v>129</v>
      </c>
      <c r="G52" s="1" t="s">
        <v>1748</v>
      </c>
      <c r="J52" s="1" t="s">
        <v>1742</v>
      </c>
      <c r="K52" s="1" t="s">
        <v>403</v>
      </c>
    </row>
    <row r="53" customFormat="false" ht="15" hidden="false" customHeight="true" outlineLevel="0" collapsed="false">
      <c r="B53" s="1" t="s">
        <v>405</v>
      </c>
      <c r="C53" s="1" t="s">
        <v>246</v>
      </c>
      <c r="D53" s="1" t="n">
        <v>1699</v>
      </c>
      <c r="E53" s="1" t="s">
        <v>129</v>
      </c>
      <c r="G53" s="1" t="s">
        <v>1750</v>
      </c>
      <c r="J53" s="1" t="s">
        <v>1743</v>
      </c>
      <c r="K53" s="1" t="s">
        <v>406</v>
      </c>
    </row>
    <row r="54" customFormat="false" ht="15" hidden="false" customHeight="true" outlineLevel="0" collapsed="false">
      <c r="B54" s="1" t="s">
        <v>408</v>
      </c>
      <c r="C54" s="1" t="s">
        <v>241</v>
      </c>
      <c r="D54" s="1" t="n">
        <v>1899</v>
      </c>
      <c r="E54" s="1" t="s">
        <v>129</v>
      </c>
      <c r="G54" s="1" t="s">
        <v>1751</v>
      </c>
      <c r="J54" s="1" t="s">
        <v>1744</v>
      </c>
      <c r="K54" s="1" t="s">
        <v>409</v>
      </c>
    </row>
    <row r="55" customFormat="false" ht="15" hidden="false" customHeight="true" outlineLevel="0" collapsed="false">
      <c r="B55" s="1" t="s">
        <v>412</v>
      </c>
      <c r="C55" s="1" t="s">
        <v>246</v>
      </c>
      <c r="D55" s="1" t="n">
        <v>1999</v>
      </c>
      <c r="E55" s="1" t="s">
        <v>129</v>
      </c>
      <c r="G55" s="1" t="s">
        <v>1752</v>
      </c>
      <c r="J55" s="1" t="s">
        <v>1745</v>
      </c>
      <c r="K55" s="1" t="s">
        <v>413</v>
      </c>
    </row>
    <row r="56" customFormat="false" ht="15" hidden="false" customHeight="true" outlineLevel="0" collapsed="false">
      <c r="B56" s="1" t="s">
        <v>416</v>
      </c>
      <c r="C56" s="1" t="s">
        <v>246</v>
      </c>
      <c r="D56" s="1" t="n">
        <v>1999</v>
      </c>
      <c r="E56" s="1" t="s">
        <v>129</v>
      </c>
      <c r="G56" s="1" t="s">
        <v>1753</v>
      </c>
      <c r="J56" s="1" t="s">
        <v>1746</v>
      </c>
      <c r="K56" s="1" t="s">
        <v>417</v>
      </c>
    </row>
    <row r="57" customFormat="false" ht="15" hidden="false" customHeight="true" outlineLevel="0" collapsed="false">
      <c r="B57" s="1" t="s">
        <v>419</v>
      </c>
      <c r="C57" s="1" t="s">
        <v>246</v>
      </c>
      <c r="D57" s="1" t="n">
        <v>1799</v>
      </c>
      <c r="E57" s="1" t="s">
        <v>129</v>
      </c>
      <c r="G57" s="1" t="s">
        <v>1754</v>
      </c>
      <c r="J57" s="1" t="s">
        <v>1747</v>
      </c>
      <c r="K57" s="1" t="s">
        <v>420</v>
      </c>
    </row>
    <row r="58" customFormat="false" ht="15" hidden="false" customHeight="true" outlineLevel="0" collapsed="false">
      <c r="B58" s="1" t="s">
        <v>421</v>
      </c>
      <c r="C58" s="1" t="s">
        <v>246</v>
      </c>
      <c r="D58" s="1" t="n">
        <v>1999</v>
      </c>
      <c r="E58" s="1" t="s">
        <v>129</v>
      </c>
      <c r="G58" s="1" t="s">
        <v>1755</v>
      </c>
      <c r="J58" s="1" t="s">
        <v>1748</v>
      </c>
      <c r="K58" s="1" t="s">
        <v>422</v>
      </c>
    </row>
    <row r="59" customFormat="false" ht="15" hidden="false" customHeight="true" outlineLevel="0" collapsed="false">
      <c r="B59" s="1" t="s">
        <v>424</v>
      </c>
      <c r="C59" s="1" t="s">
        <v>246</v>
      </c>
      <c r="D59" s="1" t="n">
        <v>1799</v>
      </c>
      <c r="E59" s="1" t="s">
        <v>129</v>
      </c>
      <c r="G59" s="1" t="s">
        <v>1756</v>
      </c>
      <c r="J59" s="1" t="s">
        <v>1750</v>
      </c>
      <c r="K59" s="1" t="s">
        <v>425</v>
      </c>
    </row>
    <row r="60" customFormat="false" ht="15" hidden="false" customHeight="true" outlineLevel="0" collapsed="false">
      <c r="B60" s="1" t="s">
        <v>426</v>
      </c>
      <c r="C60" s="1" t="s">
        <v>246</v>
      </c>
      <c r="D60" s="1" t="n">
        <v>1999</v>
      </c>
      <c r="E60" s="1" t="s">
        <v>129</v>
      </c>
      <c r="G60" s="1" t="s">
        <v>1757</v>
      </c>
      <c r="J60" s="1" t="s">
        <v>1751</v>
      </c>
      <c r="K60" s="1" t="s">
        <v>427</v>
      </c>
    </row>
    <row r="61" customFormat="false" ht="15" hidden="false" customHeight="true" outlineLevel="0" collapsed="false">
      <c r="B61" s="1" t="s">
        <v>429</v>
      </c>
      <c r="C61" s="1" t="s">
        <v>246</v>
      </c>
      <c r="D61" s="1" t="n">
        <v>1599</v>
      </c>
      <c r="E61" s="1" t="s">
        <v>129</v>
      </c>
      <c r="G61" s="1" t="s">
        <v>1758</v>
      </c>
      <c r="J61" s="1" t="s">
        <v>1752</v>
      </c>
      <c r="K61" s="1" t="s">
        <v>430</v>
      </c>
    </row>
    <row r="62" customFormat="false" ht="15" hidden="false" customHeight="true" outlineLevel="0" collapsed="false">
      <c r="B62" s="1" t="s">
        <v>432</v>
      </c>
      <c r="C62" s="1" t="s">
        <v>246</v>
      </c>
      <c r="D62" s="1" t="n">
        <v>1599</v>
      </c>
      <c r="E62" s="1" t="s">
        <v>129</v>
      </c>
      <c r="G62" s="1" t="s">
        <v>1759</v>
      </c>
      <c r="J62" s="1" t="s">
        <v>1753</v>
      </c>
      <c r="K62" s="1" t="s">
        <v>433</v>
      </c>
    </row>
    <row r="63" customFormat="false" ht="15" hidden="false" customHeight="true" outlineLevel="0" collapsed="false">
      <c r="B63" s="1" t="s">
        <v>435</v>
      </c>
      <c r="C63" s="1" t="s">
        <v>246</v>
      </c>
      <c r="D63" s="1" t="n">
        <v>1699</v>
      </c>
      <c r="E63" s="1" t="s">
        <v>129</v>
      </c>
      <c r="G63" s="1" t="s">
        <v>1760</v>
      </c>
      <c r="J63" s="1" t="s">
        <v>1754</v>
      </c>
      <c r="K63" s="1" t="s">
        <v>436</v>
      </c>
    </row>
    <row r="64" customFormat="false" ht="15" hidden="false" customHeight="true" outlineLevel="0" collapsed="false">
      <c r="B64" s="1" t="s">
        <v>437</v>
      </c>
      <c r="C64" s="1" t="s">
        <v>246</v>
      </c>
      <c r="D64" s="1" t="n">
        <v>1200</v>
      </c>
      <c r="E64" s="1" t="s">
        <v>129</v>
      </c>
      <c r="G64" s="1" t="s">
        <v>1761</v>
      </c>
      <c r="J64" s="1" t="s">
        <v>1755</v>
      </c>
      <c r="K64" s="1" t="s">
        <v>438</v>
      </c>
    </row>
    <row r="65" customFormat="false" ht="15" hidden="false" customHeight="true" outlineLevel="0" collapsed="false">
      <c r="B65" s="1" t="s">
        <v>441</v>
      </c>
      <c r="C65" s="1" t="s">
        <v>246</v>
      </c>
      <c r="D65" s="1" t="n">
        <v>320</v>
      </c>
      <c r="E65" s="1" t="s">
        <v>129</v>
      </c>
      <c r="G65" s="1" t="s">
        <v>1762</v>
      </c>
      <c r="J65" s="1" t="s">
        <v>1756</v>
      </c>
      <c r="K65" s="1" t="s">
        <v>442</v>
      </c>
    </row>
    <row r="66" customFormat="false" ht="15" hidden="false" customHeight="true" outlineLevel="0" collapsed="false">
      <c r="B66" s="1" t="s">
        <v>443</v>
      </c>
      <c r="C66" s="1" t="s">
        <v>246</v>
      </c>
      <c r="D66" s="1" t="n">
        <v>120</v>
      </c>
      <c r="E66" s="1" t="s">
        <v>129</v>
      </c>
      <c r="G66" s="1" t="s">
        <v>1763</v>
      </c>
      <c r="J66" s="1" t="s">
        <v>1757</v>
      </c>
      <c r="K66" s="1" t="s">
        <v>444</v>
      </c>
    </row>
    <row r="67" customFormat="false" ht="15" hidden="false" customHeight="true" outlineLevel="0" collapsed="false">
      <c r="B67" s="1" t="s">
        <v>447</v>
      </c>
      <c r="C67" s="1" t="s">
        <v>246</v>
      </c>
      <c r="D67" s="1" t="n">
        <v>300</v>
      </c>
      <c r="E67" s="1" t="s">
        <v>129</v>
      </c>
      <c r="G67" s="1" t="s">
        <v>1764</v>
      </c>
      <c r="J67" s="1" t="s">
        <v>1758</v>
      </c>
      <c r="K67" s="1" t="s">
        <v>448</v>
      </c>
    </row>
    <row r="68" customFormat="false" ht="15" hidden="false" customHeight="true" outlineLevel="0" collapsed="false">
      <c r="B68" s="1" t="s">
        <v>451</v>
      </c>
      <c r="C68" s="1" t="s">
        <v>246</v>
      </c>
      <c r="D68" s="1" t="n">
        <v>2499</v>
      </c>
      <c r="E68" s="1" t="s">
        <v>129</v>
      </c>
      <c r="G68" s="1" t="s">
        <v>1765</v>
      </c>
      <c r="J68" s="1" t="s">
        <v>1759</v>
      </c>
      <c r="K68" s="1" t="s">
        <v>452</v>
      </c>
    </row>
    <row r="69" customFormat="false" ht="15" hidden="false" customHeight="true" outlineLevel="0" collapsed="false">
      <c r="B69" s="1" t="s">
        <v>453</v>
      </c>
      <c r="C69" s="1" t="s">
        <v>246</v>
      </c>
      <c r="D69" s="1" t="n">
        <v>375</v>
      </c>
      <c r="E69" s="1" t="s">
        <v>129</v>
      </c>
      <c r="G69" s="1" t="s">
        <v>1766</v>
      </c>
      <c r="J69" s="1" t="s">
        <v>1760</v>
      </c>
      <c r="K69" s="1" t="s">
        <v>454</v>
      </c>
    </row>
    <row r="70" customFormat="false" ht="15" hidden="false" customHeight="true" outlineLevel="0" collapsed="false">
      <c r="B70" s="1" t="s">
        <v>455</v>
      </c>
      <c r="C70" s="1" t="s">
        <v>246</v>
      </c>
      <c r="D70" s="1" t="n">
        <v>2000</v>
      </c>
      <c r="E70" s="1" t="s">
        <v>129</v>
      </c>
      <c r="G70" s="1" t="s">
        <v>1769</v>
      </c>
      <c r="J70" s="1" t="s">
        <v>1761</v>
      </c>
      <c r="K70" s="1" t="s">
        <v>456</v>
      </c>
    </row>
    <row r="71" customFormat="false" ht="15" hidden="false" customHeight="true" outlineLevel="0" collapsed="false">
      <c r="B71" s="1" t="s">
        <v>457</v>
      </c>
      <c r="C71" s="1" t="s">
        <v>246</v>
      </c>
      <c r="D71" s="1" t="n">
        <v>1999</v>
      </c>
      <c r="E71" s="1" t="s">
        <v>129</v>
      </c>
      <c r="G71" s="1" t="s">
        <v>1771</v>
      </c>
      <c r="J71" s="1" t="s">
        <v>1762</v>
      </c>
      <c r="K71" s="1" t="s">
        <v>458</v>
      </c>
    </row>
    <row r="72" customFormat="false" ht="15" hidden="false" customHeight="true" outlineLevel="0" collapsed="false">
      <c r="B72" s="1" t="s">
        <v>460</v>
      </c>
      <c r="C72" s="1" t="s">
        <v>246</v>
      </c>
      <c r="D72" s="1" t="n">
        <v>1999</v>
      </c>
      <c r="E72" s="1" t="s">
        <v>129</v>
      </c>
      <c r="G72" s="1" t="s">
        <v>1772</v>
      </c>
      <c r="J72" s="1" t="s">
        <v>1763</v>
      </c>
      <c r="K72" s="1" t="s">
        <v>461</v>
      </c>
    </row>
    <row r="73" customFormat="false" ht="15" hidden="false" customHeight="true" outlineLevel="0" collapsed="false">
      <c r="B73" s="1" t="s">
        <v>463</v>
      </c>
      <c r="C73" s="1" t="s">
        <v>246</v>
      </c>
      <c r="D73" s="1" t="n">
        <v>500</v>
      </c>
      <c r="E73" s="1" t="s">
        <v>129</v>
      </c>
      <c r="G73" s="1" t="s">
        <v>1774</v>
      </c>
      <c r="J73" s="1" t="s">
        <v>1764</v>
      </c>
      <c r="K73" s="1" t="s">
        <v>464</v>
      </c>
    </row>
    <row r="74" customFormat="false" ht="15" hidden="false" customHeight="true" outlineLevel="0" collapsed="false">
      <c r="B74" s="1" t="s">
        <v>466</v>
      </c>
      <c r="C74" s="1" t="s">
        <v>246</v>
      </c>
      <c r="D74" s="1" t="n">
        <v>1599</v>
      </c>
      <c r="E74" s="1" t="s">
        <v>129</v>
      </c>
      <c r="G74" s="1" t="s">
        <v>1776</v>
      </c>
      <c r="J74" s="1" t="s">
        <v>1765</v>
      </c>
      <c r="K74" s="1" t="s">
        <v>467</v>
      </c>
    </row>
    <row r="75" customFormat="false" ht="15" hidden="false" customHeight="true" outlineLevel="0" collapsed="false">
      <c r="B75" s="1" t="s">
        <v>469</v>
      </c>
      <c r="C75" s="1" t="s">
        <v>246</v>
      </c>
      <c r="D75" s="1" t="n">
        <v>1599</v>
      </c>
      <c r="E75" s="1" t="s">
        <v>129</v>
      </c>
      <c r="G75" s="1" t="s">
        <v>1778</v>
      </c>
      <c r="J75" s="1" t="s">
        <v>1766</v>
      </c>
      <c r="K75" s="1" t="s">
        <v>470</v>
      </c>
    </row>
    <row r="76" customFormat="false" ht="15" hidden="false" customHeight="true" outlineLevel="0" collapsed="false">
      <c r="B76" s="1" t="s">
        <v>471</v>
      </c>
      <c r="C76" s="1" t="s">
        <v>246</v>
      </c>
      <c r="D76" s="1" t="n">
        <v>300</v>
      </c>
      <c r="E76" s="1" t="s">
        <v>129</v>
      </c>
      <c r="G76" s="1" t="s">
        <v>1780</v>
      </c>
      <c r="J76" s="1" t="s">
        <v>1769</v>
      </c>
      <c r="K76" s="1" t="s">
        <v>472</v>
      </c>
    </row>
    <row r="77" customFormat="false" ht="15" hidden="false" customHeight="true" outlineLevel="0" collapsed="false">
      <c r="B77" s="1" t="s">
        <v>474</v>
      </c>
      <c r="C77" s="1" t="s">
        <v>476</v>
      </c>
      <c r="D77" s="1" t="n">
        <v>2740</v>
      </c>
      <c r="E77" s="1" t="s">
        <v>129</v>
      </c>
      <c r="G77" s="1" t="s">
        <v>1783</v>
      </c>
      <c r="J77" s="1" t="s">
        <v>1771</v>
      </c>
      <c r="K77" s="1" t="s">
        <v>475</v>
      </c>
    </row>
    <row r="78" customFormat="false" ht="15" hidden="false" customHeight="true" outlineLevel="0" collapsed="false">
      <c r="B78" s="1" t="s">
        <v>478</v>
      </c>
      <c r="C78" s="1" t="s">
        <v>376</v>
      </c>
      <c r="D78" s="1" t="n">
        <v>8250</v>
      </c>
      <c r="E78" s="1" t="s">
        <v>129</v>
      </c>
      <c r="J78" s="1" t="s">
        <v>1772</v>
      </c>
      <c r="K78" s="1" t="s">
        <v>479</v>
      </c>
    </row>
    <row r="79" customFormat="false" ht="15" hidden="false" customHeight="true" outlineLevel="0" collapsed="false">
      <c r="B79" s="1" t="s">
        <v>482</v>
      </c>
      <c r="C79" s="1" t="s">
        <v>350</v>
      </c>
      <c r="D79" s="1" t="n">
        <v>2890.06451612903</v>
      </c>
      <c r="E79" s="1" t="s">
        <v>129</v>
      </c>
      <c r="J79" s="1" t="s">
        <v>1774</v>
      </c>
      <c r="K79" s="1" t="s">
        <v>483</v>
      </c>
    </row>
    <row r="80" customFormat="false" ht="15" hidden="false" customHeight="true" outlineLevel="0" collapsed="false">
      <c r="B80" s="1" t="s">
        <v>485</v>
      </c>
      <c r="C80" s="1" t="s">
        <v>267</v>
      </c>
      <c r="D80" s="1" t="n">
        <v>2400</v>
      </c>
      <c r="E80" s="1" t="s">
        <v>129</v>
      </c>
      <c r="J80" s="1" t="s">
        <v>1776</v>
      </c>
      <c r="K80" s="1" t="s">
        <v>486</v>
      </c>
    </row>
    <row r="81" customFormat="false" ht="15" hidden="false" customHeight="true" outlineLevel="0" collapsed="false">
      <c r="B81" s="1" t="s">
        <v>488</v>
      </c>
      <c r="C81" s="1" t="s">
        <v>267</v>
      </c>
      <c r="D81" s="1" t="n">
        <v>900</v>
      </c>
      <c r="E81" s="1" t="s">
        <v>129</v>
      </c>
      <c r="J81" s="1" t="s">
        <v>1778</v>
      </c>
      <c r="K81" s="1" t="s">
        <v>489</v>
      </c>
    </row>
    <row r="82" customFormat="false" ht="15" hidden="false" customHeight="true" outlineLevel="0" collapsed="false">
      <c r="B82" s="1" t="s">
        <v>490</v>
      </c>
      <c r="C82" s="1" t="s">
        <v>476</v>
      </c>
      <c r="D82" s="1" t="n">
        <v>1800</v>
      </c>
      <c r="E82" s="1" t="s">
        <v>129</v>
      </c>
      <c r="J82" s="1" t="s">
        <v>1780</v>
      </c>
      <c r="K82" s="1" t="s">
        <v>491</v>
      </c>
    </row>
    <row r="83" customFormat="false" ht="15" hidden="false" customHeight="true" outlineLevel="0" collapsed="false">
      <c r="B83" s="1" t="s">
        <v>492</v>
      </c>
      <c r="C83" s="1" t="s">
        <v>241</v>
      </c>
      <c r="D83" s="1" t="n">
        <v>200</v>
      </c>
      <c r="E83" s="1" t="s">
        <v>129</v>
      </c>
      <c r="J83" s="1" t="s">
        <v>1783</v>
      </c>
      <c r="K83" s="1" t="s">
        <v>493</v>
      </c>
    </row>
    <row r="84" customFormat="false" ht="15" hidden="false" customHeight="true" outlineLevel="0" collapsed="false">
      <c r="B84" s="1" t="s">
        <v>495</v>
      </c>
      <c r="C84" s="1" t="s">
        <v>381</v>
      </c>
      <c r="D84" s="1" t="n">
        <v>2250</v>
      </c>
      <c r="E84" s="1" t="s">
        <v>129</v>
      </c>
      <c r="K84" s="1" t="s">
        <v>496</v>
      </c>
    </row>
    <row r="85" customFormat="false" ht="15" hidden="false" customHeight="true" outlineLevel="0" collapsed="false">
      <c r="B85" s="1" t="s">
        <v>497</v>
      </c>
      <c r="C85" s="1" t="s">
        <v>381</v>
      </c>
      <c r="D85" s="1" t="n">
        <v>2420</v>
      </c>
      <c r="E85" s="1" t="s">
        <v>129</v>
      </c>
      <c r="K85" s="1" t="s">
        <v>498</v>
      </c>
    </row>
    <row r="86" customFormat="false" ht="15" hidden="false" customHeight="true" outlineLevel="0" collapsed="false">
      <c r="B86" s="1" t="s">
        <v>500</v>
      </c>
      <c r="C86" s="1" t="s">
        <v>381</v>
      </c>
      <c r="D86" s="1" t="n">
        <v>1150</v>
      </c>
      <c r="E86" s="1" t="s">
        <v>129</v>
      </c>
      <c r="K86" s="1" t="s">
        <v>501</v>
      </c>
    </row>
    <row r="87" customFormat="false" ht="15" hidden="false" customHeight="true" outlineLevel="0" collapsed="false">
      <c r="B87" s="1" t="s">
        <v>504</v>
      </c>
      <c r="C87" s="1" t="s">
        <v>381</v>
      </c>
      <c r="D87" s="1" t="n">
        <v>1075</v>
      </c>
      <c r="E87" s="1" t="s">
        <v>129</v>
      </c>
      <c r="K87" s="1" t="s">
        <v>505</v>
      </c>
    </row>
    <row r="88" customFormat="false" ht="15" hidden="false" customHeight="true" outlineLevel="0" collapsed="false">
      <c r="B88" s="1" t="s">
        <v>508</v>
      </c>
      <c r="C88" s="1" t="s">
        <v>381</v>
      </c>
      <c r="D88" s="1" t="n">
        <v>1225</v>
      </c>
      <c r="E88" s="1" t="s">
        <v>129</v>
      </c>
      <c r="K88" s="1" t="s">
        <v>509</v>
      </c>
    </row>
    <row r="89" customFormat="false" ht="15" hidden="false" customHeight="true" outlineLevel="0" collapsed="false">
      <c r="B89" s="1" t="s">
        <v>511</v>
      </c>
      <c r="C89" s="1" t="s">
        <v>513</v>
      </c>
      <c r="D89" s="1" t="n">
        <v>340</v>
      </c>
      <c r="E89" s="1" t="s">
        <v>129</v>
      </c>
      <c r="K89" s="1" t="s">
        <v>512</v>
      </c>
    </row>
    <row r="90" customFormat="false" ht="15" hidden="false" customHeight="true" outlineLevel="0" collapsed="false">
      <c r="B90" s="1" t="s">
        <v>516</v>
      </c>
      <c r="C90" s="1" t="s">
        <v>518</v>
      </c>
      <c r="D90" s="1" t="n">
        <v>1050</v>
      </c>
      <c r="E90" s="1" t="s">
        <v>129</v>
      </c>
      <c r="K90" s="1" t="s">
        <v>517</v>
      </c>
    </row>
    <row r="91" customFormat="false" ht="15" hidden="false" customHeight="true" outlineLevel="0" collapsed="false">
      <c r="B91" s="1" t="s">
        <v>521</v>
      </c>
      <c r="C91" s="1" t="s">
        <v>523</v>
      </c>
      <c r="D91" s="1" t="n">
        <v>1710</v>
      </c>
      <c r="E91" s="1" t="s">
        <v>129</v>
      </c>
      <c r="K91" s="1" t="s">
        <v>522</v>
      </c>
    </row>
    <row r="92" customFormat="false" ht="15" hidden="false" customHeight="true" outlineLevel="0" collapsed="false">
      <c r="B92" s="1" t="s">
        <v>524</v>
      </c>
      <c r="C92" s="1" t="s">
        <v>381</v>
      </c>
      <c r="D92" s="1" t="n">
        <v>1370</v>
      </c>
      <c r="E92" s="1" t="s">
        <v>129</v>
      </c>
      <c r="K92" s="1" t="s">
        <v>525</v>
      </c>
    </row>
    <row r="93" customFormat="false" ht="15" hidden="false" customHeight="true" outlineLevel="0" collapsed="false">
      <c r="B93" s="1" t="s">
        <v>527</v>
      </c>
      <c r="C93" s="1" t="s">
        <v>518</v>
      </c>
      <c r="D93" s="1" t="n">
        <v>2512.5</v>
      </c>
      <c r="E93" s="1" t="s">
        <v>129</v>
      </c>
      <c r="K93" s="1" t="s">
        <v>528</v>
      </c>
    </row>
    <row r="94" customFormat="false" ht="15" hidden="false" customHeight="true" outlineLevel="0" collapsed="false">
      <c r="B94" s="1" t="s">
        <v>530</v>
      </c>
      <c r="C94" s="1" t="s">
        <v>532</v>
      </c>
      <c r="D94" s="1" t="n">
        <v>2842</v>
      </c>
      <c r="E94" s="1" t="s">
        <v>129</v>
      </c>
      <c r="K94" s="1" t="s">
        <v>531</v>
      </c>
    </row>
    <row r="95" customFormat="false" ht="15" hidden="false" customHeight="true" outlineLevel="0" collapsed="false">
      <c r="B95" s="1" t="s">
        <v>534</v>
      </c>
      <c r="C95" s="1" t="s">
        <v>267</v>
      </c>
      <c r="D95" s="1" t="n">
        <v>1800</v>
      </c>
      <c r="E95" s="1" t="s">
        <v>129</v>
      </c>
      <c r="K95" s="1" t="s">
        <v>535</v>
      </c>
    </row>
    <row r="96" customFormat="false" ht="15" hidden="false" customHeight="true" outlineLevel="0" collapsed="false">
      <c r="B96" s="1" t="s">
        <v>536</v>
      </c>
      <c r="C96" s="1" t="s">
        <v>538</v>
      </c>
      <c r="D96" s="1" t="n">
        <v>518.75</v>
      </c>
      <c r="E96" s="1" t="s">
        <v>129</v>
      </c>
      <c r="K96" s="1" t="s">
        <v>537</v>
      </c>
    </row>
    <row r="97" customFormat="false" ht="15" hidden="false" customHeight="true" outlineLevel="0" collapsed="false">
      <c r="B97" s="1" t="s">
        <v>539</v>
      </c>
      <c r="C97" s="1" t="s">
        <v>541</v>
      </c>
      <c r="D97" s="1" t="n">
        <v>1000</v>
      </c>
      <c r="E97" s="1" t="s">
        <v>129</v>
      </c>
      <c r="K97" s="1" t="s">
        <v>540</v>
      </c>
    </row>
    <row r="98" customFormat="false" ht="15" hidden="false" customHeight="true" outlineLevel="0" collapsed="false">
      <c r="B98" s="1" t="s">
        <v>543</v>
      </c>
      <c r="C98" s="1" t="s">
        <v>545</v>
      </c>
      <c r="D98" s="1" t="n">
        <v>212.5</v>
      </c>
      <c r="E98" s="1" t="s">
        <v>129</v>
      </c>
      <c r="K98" s="1" t="s">
        <v>544</v>
      </c>
    </row>
    <row r="99" customFormat="false" ht="15" hidden="false" customHeight="true" outlineLevel="0" collapsed="false">
      <c r="B99" s="1" t="s">
        <v>546</v>
      </c>
      <c r="C99" s="1" t="s">
        <v>350</v>
      </c>
      <c r="D99" s="1" t="n">
        <v>1465</v>
      </c>
      <c r="E99" s="1" t="s">
        <v>129</v>
      </c>
      <c r="K99" s="1" t="s">
        <v>547</v>
      </c>
    </row>
    <row r="100" customFormat="false" ht="15" hidden="false" customHeight="true" outlineLevel="0" collapsed="false">
      <c r="B100" s="1" t="s">
        <v>548</v>
      </c>
      <c r="C100" s="1" t="s">
        <v>350</v>
      </c>
      <c r="D100" s="1" t="n">
        <v>280</v>
      </c>
      <c r="E100" s="1" t="s">
        <v>129</v>
      </c>
      <c r="K100" s="1" t="s">
        <v>549</v>
      </c>
    </row>
    <row r="101" customFormat="false" ht="15" hidden="false" customHeight="true" outlineLevel="0" collapsed="false">
      <c r="B101" s="1" t="s">
        <v>552</v>
      </c>
      <c r="C101" s="1" t="s">
        <v>518</v>
      </c>
      <c r="D101" s="1" t="n">
        <v>1330</v>
      </c>
      <c r="E101" s="1" t="s">
        <v>129</v>
      </c>
      <c r="K101" s="1" t="s">
        <v>553</v>
      </c>
    </row>
    <row r="102" customFormat="false" ht="15" hidden="false" customHeight="true" outlineLevel="0" collapsed="false">
      <c r="B102" s="1" t="s">
        <v>556</v>
      </c>
      <c r="C102" s="1" t="s">
        <v>246</v>
      </c>
      <c r="D102" s="1" t="n">
        <v>25.3833333333333</v>
      </c>
      <c r="E102" s="1" t="s">
        <v>129</v>
      </c>
      <c r="K102" s="1" t="s">
        <v>557</v>
      </c>
    </row>
    <row r="103" customFormat="false" ht="15" hidden="false" customHeight="true" outlineLevel="0" collapsed="false">
      <c r="B103" s="1" t="s">
        <v>559</v>
      </c>
      <c r="C103" s="1" t="s">
        <v>561</v>
      </c>
      <c r="D103" s="1" t="n">
        <v>4800</v>
      </c>
      <c r="E103" s="1" t="s">
        <v>129</v>
      </c>
      <c r="K103" s="1" t="s">
        <v>560</v>
      </c>
    </row>
    <row r="104" customFormat="false" ht="15" hidden="false" customHeight="true" outlineLevel="0" collapsed="false">
      <c r="B104" s="1" t="s">
        <v>562</v>
      </c>
      <c r="C104" s="1" t="s">
        <v>350</v>
      </c>
      <c r="D104" s="1" t="n">
        <v>740</v>
      </c>
      <c r="E104" s="1" t="s">
        <v>129</v>
      </c>
      <c r="K104" s="1" t="s">
        <v>563</v>
      </c>
    </row>
    <row r="105" customFormat="false" ht="15" hidden="false" customHeight="true" outlineLevel="0" collapsed="false">
      <c r="B105" s="1" t="s">
        <v>565</v>
      </c>
      <c r="C105" s="1" t="s">
        <v>241</v>
      </c>
      <c r="D105" s="1" t="n">
        <v>670</v>
      </c>
      <c r="E105" s="1" t="s">
        <v>129</v>
      </c>
      <c r="K105" s="1" t="s">
        <v>566</v>
      </c>
    </row>
    <row r="106" customFormat="false" ht="15" hidden="false" customHeight="true" outlineLevel="0" collapsed="false">
      <c r="B106" s="1" t="s">
        <v>569</v>
      </c>
      <c r="C106" s="1" t="s">
        <v>241</v>
      </c>
      <c r="D106" s="1" t="n">
        <v>1160</v>
      </c>
      <c r="E106" s="1" t="s">
        <v>129</v>
      </c>
      <c r="K106" s="1" t="s">
        <v>570</v>
      </c>
    </row>
    <row r="107" customFormat="false" ht="15" hidden="false" customHeight="true" outlineLevel="0" collapsed="false">
      <c r="B107" s="1" t="s">
        <v>573</v>
      </c>
      <c r="C107" s="1" t="s">
        <v>241</v>
      </c>
      <c r="D107" s="1" t="n">
        <v>1000</v>
      </c>
      <c r="E107" s="1" t="s">
        <v>129</v>
      </c>
      <c r="K107" s="1" t="s">
        <v>574</v>
      </c>
    </row>
    <row r="108" customFormat="false" ht="15" hidden="false" customHeight="true" outlineLevel="0" collapsed="false">
      <c r="B108" s="1" t="s">
        <v>577</v>
      </c>
      <c r="C108" s="1" t="s">
        <v>350</v>
      </c>
      <c r="D108" s="1" t="n">
        <v>1050</v>
      </c>
      <c r="E108" s="1" t="s">
        <v>129</v>
      </c>
      <c r="K108" s="1" t="s">
        <v>578</v>
      </c>
    </row>
    <row r="109" customFormat="false" ht="15" hidden="false" customHeight="true" outlineLevel="0" collapsed="false">
      <c r="B109" s="1" t="s">
        <v>580</v>
      </c>
      <c r="C109" s="1" t="s">
        <v>241</v>
      </c>
      <c r="D109" s="1" t="n">
        <v>1000</v>
      </c>
      <c r="E109" s="1" t="s">
        <v>129</v>
      </c>
      <c r="K109" s="1" t="s">
        <v>581</v>
      </c>
    </row>
    <row r="110" customFormat="false" ht="15" hidden="false" customHeight="true" outlineLevel="0" collapsed="false">
      <c r="B110" s="1" t="s">
        <v>583</v>
      </c>
      <c r="C110" s="1" t="s">
        <v>350</v>
      </c>
      <c r="D110" s="1" t="n">
        <v>531.333333333333</v>
      </c>
      <c r="E110" s="1" t="s">
        <v>129</v>
      </c>
      <c r="K110" s="1" t="s">
        <v>584</v>
      </c>
    </row>
    <row r="111" customFormat="false" ht="15" hidden="false" customHeight="true" outlineLevel="0" collapsed="false">
      <c r="B111" s="1" t="s">
        <v>586</v>
      </c>
      <c r="C111" s="1" t="s">
        <v>241</v>
      </c>
      <c r="D111" s="1" t="n">
        <v>800</v>
      </c>
      <c r="E111" s="1" t="s">
        <v>129</v>
      </c>
      <c r="K111" s="1" t="s">
        <v>587</v>
      </c>
    </row>
    <row r="112" customFormat="false" ht="15" hidden="false" customHeight="true" outlineLevel="0" collapsed="false">
      <c r="B112" s="1" t="s">
        <v>590</v>
      </c>
      <c r="C112" s="1" t="s">
        <v>350</v>
      </c>
      <c r="D112" s="1" t="n">
        <v>489.666666666667</v>
      </c>
      <c r="E112" s="1" t="s">
        <v>129</v>
      </c>
      <c r="K112" s="1" t="s">
        <v>591</v>
      </c>
    </row>
    <row r="113" customFormat="false" ht="15" hidden="false" customHeight="true" outlineLevel="0" collapsed="false">
      <c r="B113" s="1" t="s">
        <v>594</v>
      </c>
      <c r="C113" s="1" t="s">
        <v>241</v>
      </c>
      <c r="D113" s="1" t="n">
        <v>1200</v>
      </c>
      <c r="E113" s="1" t="s">
        <v>129</v>
      </c>
      <c r="K113" s="1" t="s">
        <v>595</v>
      </c>
    </row>
    <row r="114" customFormat="false" ht="15" hidden="false" customHeight="true" outlineLevel="0" collapsed="false">
      <c r="B114" s="1" t="s">
        <v>596</v>
      </c>
      <c r="C114" s="1" t="s">
        <v>241</v>
      </c>
      <c r="D114" s="1" t="n">
        <v>1000</v>
      </c>
      <c r="E114" s="1" t="s">
        <v>129</v>
      </c>
      <c r="K114" s="1" t="s">
        <v>597</v>
      </c>
    </row>
    <row r="115" customFormat="false" ht="15" hidden="false" customHeight="true" outlineLevel="0" collapsed="false">
      <c r="B115" s="1" t="s">
        <v>599</v>
      </c>
      <c r="C115" s="1" t="s">
        <v>601</v>
      </c>
      <c r="D115" s="1" t="n">
        <v>457.666666666667</v>
      </c>
      <c r="E115" s="1" t="s">
        <v>129</v>
      </c>
      <c r="K115" s="1" t="s">
        <v>600</v>
      </c>
    </row>
    <row r="116" customFormat="false" ht="15" hidden="false" customHeight="true" outlineLevel="0" collapsed="false">
      <c r="B116" s="1" t="s">
        <v>602</v>
      </c>
      <c r="C116" s="1" t="s">
        <v>601</v>
      </c>
      <c r="D116" s="1" t="n">
        <v>275</v>
      </c>
      <c r="E116" s="1" t="s">
        <v>129</v>
      </c>
      <c r="K116" s="1" t="s">
        <v>603</v>
      </c>
    </row>
    <row r="117" customFormat="false" ht="15" hidden="false" customHeight="true" outlineLevel="0" collapsed="false">
      <c r="B117" s="1" t="s">
        <v>604</v>
      </c>
      <c r="C117" s="1" t="s">
        <v>267</v>
      </c>
      <c r="D117" s="1" t="n">
        <v>124</v>
      </c>
      <c r="E117" s="1" t="s">
        <v>129</v>
      </c>
      <c r="K117" s="1" t="s">
        <v>605</v>
      </c>
    </row>
    <row r="118" customFormat="false" ht="15" hidden="false" customHeight="true" outlineLevel="0" collapsed="false">
      <c r="B118" s="1" t="s">
        <v>606</v>
      </c>
      <c r="C118" s="1" t="s">
        <v>241</v>
      </c>
      <c r="D118" s="1" t="n">
        <v>299</v>
      </c>
      <c r="E118" s="1" t="s">
        <v>129</v>
      </c>
      <c r="K118" s="1" t="s">
        <v>607</v>
      </c>
    </row>
    <row r="119" customFormat="false" ht="15" hidden="false" customHeight="true" outlineLevel="0" collapsed="false">
      <c r="B119" s="1" t="s">
        <v>610</v>
      </c>
      <c r="C119" s="1" t="s">
        <v>241</v>
      </c>
      <c r="D119" s="1" t="n">
        <v>190</v>
      </c>
      <c r="E119" s="1" t="s">
        <v>129</v>
      </c>
      <c r="K119" s="1" t="s">
        <v>611</v>
      </c>
    </row>
    <row r="120" customFormat="false" ht="15" hidden="false" customHeight="true" outlineLevel="0" collapsed="false">
      <c r="B120" s="1" t="s">
        <v>613</v>
      </c>
      <c r="C120" s="1" t="s">
        <v>241</v>
      </c>
      <c r="D120" s="1" t="n">
        <v>1330</v>
      </c>
      <c r="E120" s="1" t="s">
        <v>129</v>
      </c>
      <c r="K120" s="1" t="s">
        <v>614</v>
      </c>
    </row>
    <row r="121" customFormat="false" ht="15" hidden="false" customHeight="true" outlineLevel="0" collapsed="false">
      <c r="B121" s="1" t="s">
        <v>615</v>
      </c>
      <c r="C121" s="1" t="s">
        <v>241</v>
      </c>
      <c r="D121" s="1" t="n">
        <v>650</v>
      </c>
      <c r="E121" s="1" t="s">
        <v>129</v>
      </c>
      <c r="K121" s="1" t="s">
        <v>616</v>
      </c>
    </row>
    <row r="122" customFormat="false" ht="15" hidden="false" customHeight="true" outlineLevel="0" collapsed="false">
      <c r="B122" s="1" t="s">
        <v>619</v>
      </c>
      <c r="C122" s="1" t="s">
        <v>267</v>
      </c>
      <c r="D122" s="1" t="n">
        <v>2250</v>
      </c>
      <c r="E122" s="1" t="s">
        <v>129</v>
      </c>
      <c r="K122" s="1" t="s">
        <v>620</v>
      </c>
    </row>
    <row r="123" customFormat="false" ht="15" hidden="false" customHeight="true" outlineLevel="0" collapsed="false">
      <c r="B123" s="1" t="s">
        <v>621</v>
      </c>
      <c r="C123" s="1" t="s">
        <v>267</v>
      </c>
      <c r="D123" s="1" t="n">
        <v>1800</v>
      </c>
      <c r="E123" s="1" t="s">
        <v>129</v>
      </c>
      <c r="K123" s="1" t="s">
        <v>622</v>
      </c>
    </row>
    <row r="124" customFormat="false" ht="15" hidden="false" customHeight="true" outlineLevel="0" collapsed="false">
      <c r="B124" s="1" t="s">
        <v>624</v>
      </c>
      <c r="C124" s="1" t="s">
        <v>350</v>
      </c>
      <c r="D124" s="1" t="n">
        <v>500</v>
      </c>
      <c r="E124" s="1" t="s">
        <v>129</v>
      </c>
      <c r="K124" s="1" t="s">
        <v>625</v>
      </c>
    </row>
    <row r="125" customFormat="false" ht="15" hidden="false" customHeight="true" outlineLevel="0" collapsed="false">
      <c r="B125" s="1" t="s">
        <v>626</v>
      </c>
      <c r="C125" s="1" t="s">
        <v>241</v>
      </c>
      <c r="D125" s="1" t="n">
        <v>850</v>
      </c>
      <c r="E125" s="1" t="s">
        <v>129</v>
      </c>
      <c r="K125" s="1" t="s">
        <v>627</v>
      </c>
    </row>
    <row r="126" customFormat="false" ht="15" hidden="false" customHeight="true" outlineLevel="0" collapsed="false">
      <c r="B126" s="1" t="s">
        <v>628</v>
      </c>
      <c r="C126" s="1" t="s">
        <v>241</v>
      </c>
      <c r="D126" s="1" t="n">
        <v>120</v>
      </c>
      <c r="E126" s="1" t="s">
        <v>129</v>
      </c>
      <c r="K126" s="1" t="s">
        <v>629</v>
      </c>
    </row>
    <row r="127" customFormat="false" ht="15" hidden="false" customHeight="true" outlineLevel="0" collapsed="false">
      <c r="B127" s="1" t="s">
        <v>631</v>
      </c>
      <c r="C127" s="1" t="s">
        <v>241</v>
      </c>
      <c r="D127" s="1" t="n">
        <v>2900</v>
      </c>
      <c r="E127" s="1" t="s">
        <v>129</v>
      </c>
      <c r="K127" s="1" t="s">
        <v>632</v>
      </c>
    </row>
    <row r="128" customFormat="false" ht="15" hidden="false" customHeight="true" outlineLevel="0" collapsed="false">
      <c r="B128" s="1" t="s">
        <v>633</v>
      </c>
      <c r="C128" s="1" t="s">
        <v>241</v>
      </c>
      <c r="D128" s="1" t="n">
        <v>1590</v>
      </c>
      <c r="E128" s="1" t="s">
        <v>129</v>
      </c>
      <c r="K128" s="1" t="s">
        <v>634</v>
      </c>
    </row>
    <row r="129" customFormat="false" ht="15" hidden="false" customHeight="true" outlineLevel="0" collapsed="false">
      <c r="B129" s="1" t="s">
        <v>635</v>
      </c>
      <c r="C129" s="1" t="s">
        <v>267</v>
      </c>
      <c r="D129" s="1" t="n">
        <v>865</v>
      </c>
      <c r="E129" s="1" t="s">
        <v>129</v>
      </c>
      <c r="K129" s="1" t="s">
        <v>636</v>
      </c>
    </row>
    <row r="130" customFormat="false" ht="15" hidden="false" customHeight="true" outlineLevel="0" collapsed="false">
      <c r="B130" s="1" t="s">
        <v>638</v>
      </c>
      <c r="C130" s="1" t="s">
        <v>267</v>
      </c>
      <c r="D130" s="1" t="n">
        <v>1000</v>
      </c>
      <c r="E130" s="1" t="s">
        <v>129</v>
      </c>
      <c r="K130" s="1" t="s">
        <v>639</v>
      </c>
    </row>
    <row r="131" customFormat="false" ht="15" hidden="false" customHeight="true" outlineLevel="0" collapsed="false">
      <c r="B131" s="1" t="s">
        <v>641</v>
      </c>
      <c r="C131" s="1" t="s">
        <v>241</v>
      </c>
      <c r="D131" s="1" t="n">
        <v>2520</v>
      </c>
      <c r="E131" s="1" t="s">
        <v>129</v>
      </c>
      <c r="K131" s="1" t="s">
        <v>642</v>
      </c>
    </row>
    <row r="132" customFormat="false" ht="15" hidden="false" customHeight="true" outlineLevel="0" collapsed="false">
      <c r="B132" s="1" t="s">
        <v>644</v>
      </c>
      <c r="C132" s="1" t="s">
        <v>267</v>
      </c>
      <c r="D132" s="1" t="n">
        <v>3200</v>
      </c>
      <c r="E132" s="1" t="s">
        <v>129</v>
      </c>
      <c r="K132" s="1" t="s">
        <v>645</v>
      </c>
    </row>
    <row r="133" customFormat="false" ht="15" hidden="false" customHeight="true" outlineLevel="0" collapsed="false">
      <c r="B133" s="1" t="s">
        <v>648</v>
      </c>
      <c r="C133" s="1" t="s">
        <v>267</v>
      </c>
      <c r="D133" s="1" t="n">
        <v>55</v>
      </c>
      <c r="E133" s="1" t="s">
        <v>129</v>
      </c>
      <c r="K133" s="1" t="s">
        <v>649</v>
      </c>
    </row>
    <row r="134" customFormat="false" ht="15" hidden="false" customHeight="true" outlineLevel="0" collapsed="false">
      <c r="B134" s="1" t="s">
        <v>652</v>
      </c>
      <c r="C134" s="1" t="s">
        <v>267</v>
      </c>
      <c r="D134" s="1" t="n">
        <v>1188</v>
      </c>
      <c r="E134" s="1" t="s">
        <v>129</v>
      </c>
      <c r="K134" s="1" t="s">
        <v>653</v>
      </c>
    </row>
    <row r="135" customFormat="false" ht="15" hidden="false" customHeight="true" outlineLevel="0" collapsed="false">
      <c r="B135" s="1" t="s">
        <v>656</v>
      </c>
      <c r="C135" s="1" t="s">
        <v>267</v>
      </c>
      <c r="D135" s="1" t="n">
        <v>500</v>
      </c>
      <c r="E135" s="1" t="s">
        <v>129</v>
      </c>
      <c r="K135" s="1" t="s">
        <v>657</v>
      </c>
    </row>
    <row r="136" customFormat="false" ht="15" hidden="false" customHeight="true" outlineLevel="0" collapsed="false">
      <c r="B136" s="1" t="s">
        <v>659</v>
      </c>
      <c r="C136" s="1" t="s">
        <v>561</v>
      </c>
      <c r="D136" s="1" t="n">
        <v>1550</v>
      </c>
      <c r="E136" s="1" t="s">
        <v>129</v>
      </c>
      <c r="K136" s="1" t="s">
        <v>660</v>
      </c>
    </row>
    <row r="137" customFormat="false" ht="15" hidden="false" customHeight="true" outlineLevel="0" collapsed="false">
      <c r="B137" s="1" t="s">
        <v>662</v>
      </c>
      <c r="C137" s="1" t="s">
        <v>267</v>
      </c>
      <c r="D137" s="1" t="n">
        <v>1050</v>
      </c>
      <c r="E137" s="1" t="s">
        <v>129</v>
      </c>
      <c r="K137" s="1" t="s">
        <v>663</v>
      </c>
    </row>
    <row r="138" customFormat="false" ht="15" hidden="false" customHeight="true" outlineLevel="0" collapsed="false">
      <c r="B138" s="1" t="s">
        <v>664</v>
      </c>
      <c r="C138" s="1" t="s">
        <v>267</v>
      </c>
      <c r="D138" s="1" t="n">
        <v>850</v>
      </c>
      <c r="E138" s="1" t="s">
        <v>129</v>
      </c>
      <c r="K138" s="1" t="s">
        <v>665</v>
      </c>
    </row>
    <row r="139" customFormat="false" ht="15" hidden="false" customHeight="true" outlineLevel="0" collapsed="false">
      <c r="B139" s="1" t="s">
        <v>667</v>
      </c>
      <c r="C139" s="1" t="s">
        <v>267</v>
      </c>
      <c r="D139" s="1" t="n">
        <v>750</v>
      </c>
      <c r="E139" s="1" t="s">
        <v>129</v>
      </c>
      <c r="K139" s="1" t="s">
        <v>668</v>
      </c>
    </row>
    <row r="140" customFormat="false" ht="15" hidden="false" customHeight="true" outlineLevel="0" collapsed="false">
      <c r="B140" s="1" t="s">
        <v>669</v>
      </c>
      <c r="C140" s="1" t="s">
        <v>267</v>
      </c>
      <c r="D140" s="1" t="n">
        <v>1330</v>
      </c>
      <c r="E140" s="1" t="s">
        <v>129</v>
      </c>
      <c r="K140" s="1" t="s">
        <v>670</v>
      </c>
    </row>
    <row r="141" customFormat="false" ht="15" hidden="false" customHeight="true" outlineLevel="0" collapsed="false">
      <c r="B141" s="1" t="s">
        <v>672</v>
      </c>
      <c r="C141" s="1" t="s">
        <v>267</v>
      </c>
      <c r="D141" s="1" t="n">
        <v>1300</v>
      </c>
      <c r="E141" s="1" t="s">
        <v>129</v>
      </c>
      <c r="K141" s="1" t="s">
        <v>673</v>
      </c>
    </row>
    <row r="142" customFormat="false" ht="15" hidden="false" customHeight="true" outlineLevel="0" collapsed="false">
      <c r="B142" s="1" t="s">
        <v>676</v>
      </c>
      <c r="C142" s="1" t="s">
        <v>267</v>
      </c>
      <c r="D142" s="1" t="n">
        <v>800</v>
      </c>
      <c r="E142" s="1" t="s">
        <v>129</v>
      </c>
      <c r="K142" s="1" t="s">
        <v>677</v>
      </c>
    </row>
    <row r="143" customFormat="false" ht="15" hidden="false" customHeight="true" outlineLevel="0" collapsed="false">
      <c r="B143" s="1" t="s">
        <v>678</v>
      </c>
      <c r="C143" s="1" t="s">
        <v>267</v>
      </c>
      <c r="D143" s="1" t="n">
        <v>700</v>
      </c>
      <c r="E143" s="1" t="s">
        <v>129</v>
      </c>
      <c r="K143" s="1" t="s">
        <v>679</v>
      </c>
    </row>
    <row r="144" customFormat="false" ht="15" hidden="false" customHeight="true" outlineLevel="0" collapsed="false">
      <c r="B144" s="1" t="s">
        <v>681</v>
      </c>
      <c r="C144" s="1" t="s">
        <v>267</v>
      </c>
      <c r="D144" s="1" t="n">
        <v>2</v>
      </c>
      <c r="E144" s="1" t="s">
        <v>129</v>
      </c>
      <c r="K144" s="1" t="s">
        <v>682</v>
      </c>
    </row>
    <row r="145" customFormat="false" ht="15" hidden="false" customHeight="true" outlineLevel="0" collapsed="false">
      <c r="B145" s="1" t="s">
        <v>683</v>
      </c>
      <c r="C145" s="1" t="s">
        <v>267</v>
      </c>
      <c r="D145" s="1" t="n">
        <v>2</v>
      </c>
      <c r="E145" s="1" t="s">
        <v>129</v>
      </c>
      <c r="K145" s="1" t="s">
        <v>684</v>
      </c>
    </row>
    <row r="146" customFormat="false" ht="15" hidden="false" customHeight="true" outlineLevel="0" collapsed="false">
      <c r="B146" s="1" t="s">
        <v>685</v>
      </c>
      <c r="C146" s="1" t="s">
        <v>267</v>
      </c>
      <c r="D146" s="1" t="n">
        <v>420</v>
      </c>
      <c r="E146" s="1" t="s">
        <v>129</v>
      </c>
      <c r="K146" s="1" t="s">
        <v>686</v>
      </c>
    </row>
    <row r="147" customFormat="false" ht="15" hidden="false" customHeight="true" outlineLevel="0" collapsed="false">
      <c r="B147" s="1" t="s">
        <v>688</v>
      </c>
      <c r="C147" s="1" t="s">
        <v>518</v>
      </c>
      <c r="D147" s="1" t="n">
        <v>1357</v>
      </c>
      <c r="E147" s="1" t="s">
        <v>129</v>
      </c>
      <c r="K147" s="1" t="s">
        <v>689</v>
      </c>
    </row>
    <row r="148" customFormat="false" ht="15" hidden="false" customHeight="true" outlineLevel="0" collapsed="false">
      <c r="B148" s="1" t="s">
        <v>692</v>
      </c>
      <c r="C148" s="1" t="s">
        <v>694</v>
      </c>
      <c r="D148" s="1" t="n">
        <v>2414.75</v>
      </c>
      <c r="E148" s="1" t="s">
        <v>129</v>
      </c>
      <c r="K148" s="1" t="s">
        <v>693</v>
      </c>
    </row>
    <row r="149" customFormat="false" ht="15" hidden="false" customHeight="true" outlineLevel="0" collapsed="false">
      <c r="B149" s="1" t="s">
        <v>697</v>
      </c>
      <c r="C149" s="1" t="s">
        <v>518</v>
      </c>
      <c r="D149" s="1" t="n">
        <v>900</v>
      </c>
      <c r="E149" s="1" t="s">
        <v>129</v>
      </c>
      <c r="K149" s="1" t="s">
        <v>698</v>
      </c>
    </row>
    <row r="150" customFormat="false" ht="15" hidden="false" customHeight="true" outlineLevel="0" collapsed="false">
      <c r="B150" s="1" t="s">
        <v>699</v>
      </c>
      <c r="C150" s="1" t="s">
        <v>350</v>
      </c>
      <c r="D150" s="1" t="n">
        <v>197.5</v>
      </c>
      <c r="E150" s="1" t="s">
        <v>129</v>
      </c>
      <c r="K150" s="1" t="s">
        <v>700</v>
      </c>
    </row>
    <row r="151" customFormat="false" ht="15" hidden="false" customHeight="true" outlineLevel="0" collapsed="false">
      <c r="B151" s="1" t="s">
        <v>702</v>
      </c>
      <c r="C151" s="1" t="s">
        <v>267</v>
      </c>
      <c r="D151" s="1" t="n">
        <v>1085</v>
      </c>
      <c r="E151" s="1" t="s">
        <v>129</v>
      </c>
      <c r="K151" s="1" t="s">
        <v>703</v>
      </c>
    </row>
    <row r="152" customFormat="false" ht="15" hidden="false" customHeight="true" outlineLevel="0" collapsed="false">
      <c r="B152" s="1" t="s">
        <v>705</v>
      </c>
      <c r="C152" s="1" t="s">
        <v>267</v>
      </c>
      <c r="D152" s="1" t="n">
        <v>0</v>
      </c>
      <c r="E152" s="1" t="s">
        <v>129</v>
      </c>
      <c r="K152" s="1" t="s">
        <v>706</v>
      </c>
    </row>
    <row r="153" customFormat="false" ht="15" hidden="false" customHeight="true" outlineLevel="0" collapsed="false">
      <c r="B153" s="1" t="s">
        <v>709</v>
      </c>
      <c r="C153" s="1" t="s">
        <v>267</v>
      </c>
      <c r="D153" s="1" t="n">
        <v>0</v>
      </c>
      <c r="E153" s="1" t="s">
        <v>129</v>
      </c>
      <c r="K153" s="1" t="s">
        <v>710</v>
      </c>
    </row>
    <row r="154" customFormat="false" ht="15" hidden="false" customHeight="true" outlineLevel="0" collapsed="false">
      <c r="B154" s="1" t="s">
        <v>712</v>
      </c>
      <c r="C154" s="1" t="s">
        <v>541</v>
      </c>
      <c r="D154" s="1" t="n">
        <v>362</v>
      </c>
      <c r="E154" s="1" t="s">
        <v>129</v>
      </c>
      <c r="K154" s="1" t="s">
        <v>713</v>
      </c>
    </row>
    <row r="155" customFormat="false" ht="15" hidden="false" customHeight="true" outlineLevel="0" collapsed="false">
      <c r="B155" s="1" t="s">
        <v>715</v>
      </c>
      <c r="C155" s="1" t="s">
        <v>541</v>
      </c>
      <c r="D155" s="1" t="n">
        <v>362</v>
      </c>
      <c r="E155" s="1" t="s">
        <v>129</v>
      </c>
      <c r="K155" s="1" t="s">
        <v>716</v>
      </c>
    </row>
    <row r="156" customFormat="false" ht="15" hidden="false" customHeight="true" outlineLevel="0" collapsed="false">
      <c r="B156" s="1" t="s">
        <v>718</v>
      </c>
      <c r="C156" s="1" t="s">
        <v>541</v>
      </c>
      <c r="D156" s="1" t="n">
        <v>362</v>
      </c>
      <c r="E156" s="1" t="s">
        <v>129</v>
      </c>
      <c r="K156" s="1" t="s">
        <v>719</v>
      </c>
    </row>
    <row r="157" customFormat="false" ht="15" hidden="false" customHeight="true" outlineLevel="0" collapsed="false">
      <c r="B157" s="1" t="s">
        <v>721</v>
      </c>
      <c r="C157" s="1" t="s">
        <v>541</v>
      </c>
      <c r="D157" s="1" t="n">
        <v>362</v>
      </c>
      <c r="E157" s="1" t="s">
        <v>129</v>
      </c>
      <c r="K157" s="1" t="s">
        <v>722</v>
      </c>
    </row>
    <row r="158" customFormat="false" ht="15" hidden="false" customHeight="true" outlineLevel="0" collapsed="false">
      <c r="B158" s="1" t="s">
        <v>724</v>
      </c>
      <c r="C158" s="1" t="s">
        <v>541</v>
      </c>
      <c r="D158" s="1" t="n">
        <v>362</v>
      </c>
      <c r="E158" s="1" t="s">
        <v>129</v>
      </c>
      <c r="K158" s="1" t="s">
        <v>725</v>
      </c>
    </row>
    <row r="159" customFormat="false" ht="15" hidden="false" customHeight="true" outlineLevel="0" collapsed="false">
      <c r="B159" s="1" t="s">
        <v>727</v>
      </c>
      <c r="C159" s="1" t="s">
        <v>350</v>
      </c>
      <c r="D159" s="1" t="n">
        <v>605</v>
      </c>
      <c r="E159" s="1" t="s">
        <v>129</v>
      </c>
      <c r="K159" s="1" t="s">
        <v>728</v>
      </c>
    </row>
    <row r="160" customFormat="false" ht="15" hidden="false" customHeight="true" outlineLevel="0" collapsed="false">
      <c r="B160" s="1" t="s">
        <v>730</v>
      </c>
      <c r="C160" s="1" t="s">
        <v>350</v>
      </c>
      <c r="D160" s="1" t="n">
        <v>605</v>
      </c>
      <c r="E160" s="1" t="s">
        <v>129</v>
      </c>
      <c r="K160" s="1" t="s">
        <v>731</v>
      </c>
    </row>
    <row r="161" customFormat="false" ht="15" hidden="false" customHeight="true" outlineLevel="0" collapsed="false">
      <c r="B161" s="1" t="s">
        <v>732</v>
      </c>
      <c r="C161" s="1" t="s">
        <v>734</v>
      </c>
      <c r="D161" s="1" t="n">
        <v>1366</v>
      </c>
      <c r="E161" s="1" t="s">
        <v>129</v>
      </c>
      <c r="K161" s="1" t="s">
        <v>733</v>
      </c>
    </row>
    <row r="162" customFormat="false" ht="15" hidden="false" customHeight="true" outlineLevel="0" collapsed="false">
      <c r="B162" s="1" t="s">
        <v>735</v>
      </c>
      <c r="C162" s="1" t="s">
        <v>267</v>
      </c>
      <c r="D162" s="1" t="n">
        <v>870</v>
      </c>
      <c r="E162" s="1" t="s">
        <v>129</v>
      </c>
      <c r="K162" s="1" t="s">
        <v>736</v>
      </c>
    </row>
    <row r="163" customFormat="false" ht="15" hidden="false" customHeight="true" outlineLevel="0" collapsed="false">
      <c r="B163" s="1" t="s">
        <v>737</v>
      </c>
      <c r="C163" s="1" t="s">
        <v>241</v>
      </c>
      <c r="D163" s="1" t="n">
        <v>0</v>
      </c>
      <c r="E163" s="1" t="s">
        <v>129</v>
      </c>
      <c r="K163" s="1" t="s">
        <v>738</v>
      </c>
    </row>
    <row r="164" customFormat="false" ht="15" hidden="false" customHeight="true" outlineLevel="0" collapsed="false">
      <c r="B164" s="1" t="s">
        <v>740</v>
      </c>
      <c r="C164" s="1" t="s">
        <v>734</v>
      </c>
      <c r="D164" s="1" t="n">
        <v>3510</v>
      </c>
      <c r="E164" s="1" t="s">
        <v>129</v>
      </c>
      <c r="K164" s="1" t="s">
        <v>741</v>
      </c>
    </row>
    <row r="165" customFormat="false" ht="15" hidden="false" customHeight="true" outlineLevel="0" collapsed="false">
      <c r="B165" s="1" t="s">
        <v>742</v>
      </c>
      <c r="C165" s="1" t="s">
        <v>561</v>
      </c>
      <c r="D165" s="1" t="n">
        <v>1030</v>
      </c>
      <c r="E165" s="1" t="s">
        <v>129</v>
      </c>
      <c r="K165" s="1" t="s">
        <v>743</v>
      </c>
    </row>
    <row r="166" customFormat="false" ht="15" hidden="false" customHeight="true" outlineLevel="0" collapsed="false">
      <c r="B166" s="1" t="s">
        <v>744</v>
      </c>
      <c r="C166" s="1" t="s">
        <v>745</v>
      </c>
      <c r="D166" s="1" t="n">
        <v>180</v>
      </c>
      <c r="E166" s="1" t="s">
        <v>129</v>
      </c>
      <c r="K166" s="1" t="s">
        <v>542</v>
      </c>
    </row>
    <row r="167" customFormat="false" ht="15" hidden="false" customHeight="true" outlineLevel="0" collapsed="false">
      <c r="B167" s="1" t="s">
        <v>746</v>
      </c>
      <c r="C167" s="1" t="s">
        <v>267</v>
      </c>
      <c r="D167" s="1" t="n">
        <v>1150</v>
      </c>
      <c r="E167" s="1" t="s">
        <v>129</v>
      </c>
      <c r="K167" s="1" t="s">
        <v>701</v>
      </c>
    </row>
    <row r="168" customFormat="false" ht="15" hidden="false" customHeight="true" outlineLevel="0" collapsed="false">
      <c r="B168" s="1" t="s">
        <v>747</v>
      </c>
      <c r="C168" s="1" t="s">
        <v>350</v>
      </c>
      <c r="D168" s="1" t="n">
        <v>1295</v>
      </c>
      <c r="E168" s="1" t="s">
        <v>129</v>
      </c>
      <c r="K168" s="1" t="s">
        <v>748</v>
      </c>
    </row>
    <row r="169" customFormat="false" ht="15" hidden="false" customHeight="true" outlineLevel="0" collapsed="false">
      <c r="B169" s="1" t="s">
        <v>750</v>
      </c>
      <c r="C169" s="1" t="s">
        <v>752</v>
      </c>
      <c r="D169" s="1" t="n">
        <v>320</v>
      </c>
      <c r="E169" s="1" t="s">
        <v>129</v>
      </c>
      <c r="K169" s="1" t="s">
        <v>751</v>
      </c>
    </row>
    <row r="170" customFormat="false" ht="15" hidden="false" customHeight="true" outlineLevel="0" collapsed="false">
      <c r="B170" s="1" t="s">
        <v>753</v>
      </c>
      <c r="C170" s="1" t="s">
        <v>541</v>
      </c>
      <c r="D170" s="1" t="n">
        <v>213</v>
      </c>
      <c r="E170" s="1" t="s">
        <v>129</v>
      </c>
      <c r="K170" s="1" t="s">
        <v>754</v>
      </c>
    </row>
    <row r="171" customFormat="false" ht="15" hidden="false" customHeight="true" outlineLevel="0" collapsed="false">
      <c r="B171" s="1" t="s">
        <v>755</v>
      </c>
      <c r="C171" s="1" t="s">
        <v>734</v>
      </c>
      <c r="D171" s="1" t="n">
        <v>3510</v>
      </c>
      <c r="E171" s="1" t="s">
        <v>129</v>
      </c>
      <c r="K171" s="1" t="s">
        <v>756</v>
      </c>
    </row>
    <row r="172" customFormat="false" ht="15" hidden="false" customHeight="true" outlineLevel="0" collapsed="false">
      <c r="B172" s="1" t="s">
        <v>757</v>
      </c>
      <c r="C172" s="1" t="s">
        <v>734</v>
      </c>
      <c r="D172" s="1" t="n">
        <v>3540</v>
      </c>
      <c r="E172" s="1" t="s">
        <v>129</v>
      </c>
      <c r="K172" s="1" t="s">
        <v>758</v>
      </c>
    </row>
    <row r="173" customFormat="false" ht="15" hidden="false" customHeight="true" outlineLevel="0" collapsed="false">
      <c r="B173" s="1" t="s">
        <v>760</v>
      </c>
      <c r="C173" s="1" t="s">
        <v>734</v>
      </c>
      <c r="D173" s="1" t="n">
        <v>3510</v>
      </c>
      <c r="E173" s="1" t="s">
        <v>129</v>
      </c>
      <c r="K173" s="1" t="s">
        <v>761</v>
      </c>
    </row>
    <row r="174" customFormat="false" ht="15" hidden="false" customHeight="true" outlineLevel="0" collapsed="false">
      <c r="B174" s="1" t="s">
        <v>764</v>
      </c>
      <c r="C174" s="1" t="s">
        <v>734</v>
      </c>
      <c r="D174" s="1" t="n">
        <v>3510</v>
      </c>
      <c r="E174" s="1" t="s">
        <v>129</v>
      </c>
      <c r="K174" s="1" t="s">
        <v>765</v>
      </c>
    </row>
    <row r="175" customFormat="false" ht="15" hidden="false" customHeight="true" outlineLevel="0" collapsed="false">
      <c r="B175" s="1" t="s">
        <v>766</v>
      </c>
      <c r="C175" s="1" t="s">
        <v>734</v>
      </c>
      <c r="D175" s="1" t="n">
        <v>3510</v>
      </c>
      <c r="E175" s="1" t="s">
        <v>129</v>
      </c>
      <c r="K175" s="1" t="s">
        <v>767</v>
      </c>
    </row>
    <row r="176" customFormat="false" ht="15" hidden="false" customHeight="true" outlineLevel="0" collapsed="false">
      <c r="B176" s="1" t="s">
        <v>770</v>
      </c>
      <c r="C176" s="1" t="s">
        <v>734</v>
      </c>
      <c r="D176" s="1" t="n">
        <v>3510</v>
      </c>
      <c r="E176" s="1" t="s">
        <v>129</v>
      </c>
      <c r="K176" s="1" t="s">
        <v>771</v>
      </c>
    </row>
    <row r="177" customFormat="false" ht="15" hidden="false" customHeight="true" outlineLevel="0" collapsed="false">
      <c r="B177" s="1" t="s">
        <v>773</v>
      </c>
      <c r="C177" s="1" t="s">
        <v>734</v>
      </c>
      <c r="D177" s="1" t="n">
        <v>3510</v>
      </c>
      <c r="E177" s="1" t="s">
        <v>129</v>
      </c>
      <c r="K177" s="1" t="s">
        <v>774</v>
      </c>
    </row>
    <row r="178" customFormat="false" ht="15" hidden="false" customHeight="true" outlineLevel="0" collapsed="false">
      <c r="B178" s="1" t="s">
        <v>776</v>
      </c>
      <c r="C178" s="1" t="s">
        <v>734</v>
      </c>
      <c r="D178" s="1" t="n">
        <v>3540</v>
      </c>
      <c r="E178" s="1" t="s">
        <v>129</v>
      </c>
      <c r="K178" s="1" t="s">
        <v>777</v>
      </c>
    </row>
    <row r="179" customFormat="false" ht="15" hidden="false" customHeight="true" outlineLevel="0" collapsed="false">
      <c r="B179" s="1" t="s">
        <v>779</v>
      </c>
      <c r="C179" s="1" t="s">
        <v>734</v>
      </c>
      <c r="D179" s="1" t="n">
        <v>3540</v>
      </c>
      <c r="E179" s="1" t="s">
        <v>129</v>
      </c>
      <c r="K179" s="1" t="s">
        <v>780</v>
      </c>
    </row>
    <row r="180" customFormat="false" ht="15" hidden="false" customHeight="true" outlineLevel="0" collapsed="false">
      <c r="B180" s="1" t="s">
        <v>783</v>
      </c>
      <c r="C180" s="1" t="s">
        <v>734</v>
      </c>
      <c r="D180" s="1" t="n">
        <v>3510</v>
      </c>
      <c r="E180" s="1" t="s">
        <v>129</v>
      </c>
      <c r="K180" s="1" t="s">
        <v>784</v>
      </c>
    </row>
    <row r="181" customFormat="false" ht="15" hidden="false" customHeight="true" outlineLevel="0" collapsed="false">
      <c r="B181" s="1" t="s">
        <v>787</v>
      </c>
      <c r="C181" s="1" t="s">
        <v>734</v>
      </c>
      <c r="D181" s="1" t="n">
        <v>3510</v>
      </c>
      <c r="E181" s="1" t="s">
        <v>129</v>
      </c>
      <c r="K181" s="1" t="s">
        <v>788</v>
      </c>
    </row>
    <row r="182" customFormat="false" ht="15" hidden="false" customHeight="true" outlineLevel="0" collapsed="false">
      <c r="B182" s="1" t="s">
        <v>790</v>
      </c>
      <c r="C182" s="1" t="s">
        <v>734</v>
      </c>
      <c r="D182" s="1" t="n">
        <v>3510</v>
      </c>
      <c r="E182" s="1" t="s">
        <v>129</v>
      </c>
      <c r="K182" s="1" t="s">
        <v>791</v>
      </c>
    </row>
    <row r="183" customFormat="false" ht="15" hidden="false" customHeight="true" outlineLevel="0" collapsed="false">
      <c r="B183" s="1" t="s">
        <v>793</v>
      </c>
      <c r="C183" s="1" t="s">
        <v>752</v>
      </c>
      <c r="D183" s="1" t="n">
        <v>250</v>
      </c>
      <c r="E183" s="1" t="s">
        <v>129</v>
      </c>
      <c r="K183" s="1" t="s">
        <v>794</v>
      </c>
    </row>
    <row r="184" customFormat="false" ht="15" hidden="false" customHeight="true" outlineLevel="0" collapsed="false">
      <c r="B184" s="1" t="s">
        <v>795</v>
      </c>
      <c r="C184" s="1" t="s">
        <v>267</v>
      </c>
      <c r="D184" s="1" t="n">
        <v>3680</v>
      </c>
      <c r="E184" s="1" t="s">
        <v>129</v>
      </c>
      <c r="K184" s="1" t="s">
        <v>796</v>
      </c>
    </row>
    <row r="185" customFormat="false" ht="15" hidden="false" customHeight="true" outlineLevel="0" collapsed="false">
      <c r="B185" s="1" t="s">
        <v>798</v>
      </c>
      <c r="C185" s="1" t="s">
        <v>381</v>
      </c>
      <c r="D185" s="1" t="n">
        <v>8000</v>
      </c>
      <c r="E185" s="1" t="s">
        <v>129</v>
      </c>
      <c r="K185" s="1" t="s">
        <v>799</v>
      </c>
    </row>
    <row r="186" customFormat="false" ht="15" hidden="false" customHeight="true" outlineLevel="0" collapsed="false">
      <c r="B186" s="1" t="s">
        <v>800</v>
      </c>
      <c r="C186" s="1" t="s">
        <v>267</v>
      </c>
      <c r="D186" s="1" t="n">
        <v>1135</v>
      </c>
      <c r="E186" s="1" t="s">
        <v>129</v>
      </c>
      <c r="K186" s="1" t="s">
        <v>801</v>
      </c>
    </row>
    <row r="187" customFormat="false" ht="15" hidden="false" customHeight="true" outlineLevel="0" collapsed="false">
      <c r="B187" s="1" t="s">
        <v>802</v>
      </c>
      <c r="C187" s="1" t="s">
        <v>267</v>
      </c>
      <c r="D187" s="1" t="n">
        <v>1200</v>
      </c>
      <c r="E187" s="1" t="s">
        <v>129</v>
      </c>
      <c r="K187" s="1" t="s">
        <v>803</v>
      </c>
    </row>
    <row r="188" customFormat="false" ht="15" hidden="false" customHeight="true" outlineLevel="0" collapsed="false">
      <c r="B188" s="1" t="s">
        <v>804</v>
      </c>
      <c r="C188" s="1" t="s">
        <v>267</v>
      </c>
      <c r="D188" s="1" t="n">
        <v>2050</v>
      </c>
      <c r="E188" s="1" t="s">
        <v>129</v>
      </c>
      <c r="K188" s="1" t="s">
        <v>805</v>
      </c>
    </row>
    <row r="189" customFormat="false" ht="15" hidden="false" customHeight="true" outlineLevel="0" collapsed="false">
      <c r="B189" s="1" t="s">
        <v>808</v>
      </c>
      <c r="C189" s="1" t="s">
        <v>752</v>
      </c>
      <c r="D189" s="1" t="n">
        <v>138</v>
      </c>
      <c r="E189" s="1" t="s">
        <v>129</v>
      </c>
      <c r="K189" s="1" t="s">
        <v>809</v>
      </c>
    </row>
    <row r="190" customFormat="false" ht="15" hidden="false" customHeight="true" outlineLevel="0" collapsed="false">
      <c r="B190" s="1" t="s">
        <v>811</v>
      </c>
      <c r="C190" s="1" t="s">
        <v>267</v>
      </c>
      <c r="D190" s="1" t="n">
        <v>188</v>
      </c>
      <c r="E190" s="1" t="s">
        <v>129</v>
      </c>
      <c r="K190" s="1" t="s">
        <v>812</v>
      </c>
    </row>
    <row r="191" customFormat="false" ht="15" hidden="false" customHeight="true" outlineLevel="0" collapsed="false">
      <c r="B191" s="1" t="s">
        <v>813</v>
      </c>
      <c r="C191" s="1" t="s">
        <v>815</v>
      </c>
      <c r="D191" s="1" t="n">
        <v>342</v>
      </c>
      <c r="E191" s="1" t="s">
        <v>129</v>
      </c>
      <c r="K191" s="1" t="s">
        <v>814</v>
      </c>
    </row>
    <row r="192" customFormat="false" ht="15" hidden="false" customHeight="true" outlineLevel="0" collapsed="false">
      <c r="B192" s="1" t="s">
        <v>816</v>
      </c>
      <c r="C192" s="1" t="s">
        <v>818</v>
      </c>
      <c r="D192" s="1" t="n">
        <v>50</v>
      </c>
      <c r="E192" s="1" t="s">
        <v>129</v>
      </c>
      <c r="K192" s="1" t="s">
        <v>817</v>
      </c>
    </row>
    <row r="193" customFormat="false" ht="15" hidden="false" customHeight="true" outlineLevel="0" collapsed="false">
      <c r="B193" s="1" t="s">
        <v>820</v>
      </c>
      <c r="C193" s="1" t="s">
        <v>241</v>
      </c>
      <c r="D193" s="1" t="n">
        <v>311.428571428571</v>
      </c>
      <c r="E193" s="1" t="s">
        <v>129</v>
      </c>
      <c r="K193" s="1" t="s">
        <v>821</v>
      </c>
    </row>
    <row r="194" customFormat="false" ht="15" hidden="false" customHeight="true" outlineLevel="0" collapsed="false">
      <c r="B194" s="1" t="s">
        <v>823</v>
      </c>
      <c r="C194" s="1" t="s">
        <v>815</v>
      </c>
      <c r="D194" s="1" t="n">
        <v>342</v>
      </c>
      <c r="E194" s="1" t="s">
        <v>129</v>
      </c>
      <c r="K194" s="1" t="s">
        <v>824</v>
      </c>
    </row>
    <row r="195" customFormat="false" ht="15" hidden="false" customHeight="true" outlineLevel="0" collapsed="false">
      <c r="B195" s="1" t="s">
        <v>825</v>
      </c>
      <c r="C195" s="1" t="s">
        <v>752</v>
      </c>
      <c r="D195" s="1" t="n">
        <v>400</v>
      </c>
      <c r="E195" s="1" t="s">
        <v>129</v>
      </c>
      <c r="K195" s="1" t="s">
        <v>826</v>
      </c>
    </row>
    <row r="196" customFormat="false" ht="15" hidden="false" customHeight="true" outlineLevel="0" collapsed="false">
      <c r="B196" s="1" t="s">
        <v>827</v>
      </c>
      <c r="C196" s="1" t="s">
        <v>601</v>
      </c>
      <c r="D196" s="1" t="n">
        <v>10620</v>
      </c>
      <c r="E196" s="1" t="s">
        <v>129</v>
      </c>
      <c r="K196" s="1" t="s">
        <v>828</v>
      </c>
    </row>
    <row r="197" customFormat="false" ht="15" hidden="false" customHeight="true" outlineLevel="0" collapsed="false">
      <c r="B197" s="1" t="s">
        <v>830</v>
      </c>
      <c r="C197" s="1" t="s">
        <v>267</v>
      </c>
      <c r="D197" s="1" t="n">
        <v>495</v>
      </c>
      <c r="E197" s="1" t="s">
        <v>129</v>
      </c>
      <c r="K197" s="1" t="s">
        <v>831</v>
      </c>
    </row>
    <row r="198" customFormat="false" ht="15" hidden="false" customHeight="true" outlineLevel="0" collapsed="false">
      <c r="B198" s="1" t="s">
        <v>833</v>
      </c>
      <c r="C198" s="1" t="s">
        <v>267</v>
      </c>
      <c r="D198" s="1" t="n">
        <v>375</v>
      </c>
      <c r="E198" s="1" t="s">
        <v>129</v>
      </c>
      <c r="K198" s="1" t="s">
        <v>834</v>
      </c>
    </row>
    <row r="199" customFormat="false" ht="15" hidden="false" customHeight="true" outlineLevel="0" collapsed="false">
      <c r="B199" s="1" t="s">
        <v>837</v>
      </c>
      <c r="C199" s="1" t="s">
        <v>267</v>
      </c>
      <c r="D199" s="1" t="n">
        <v>240</v>
      </c>
      <c r="E199" s="1" t="s">
        <v>129</v>
      </c>
      <c r="K199" s="1" t="s">
        <v>838</v>
      </c>
    </row>
    <row r="200" customFormat="false" ht="15" hidden="false" customHeight="true" outlineLevel="0" collapsed="false">
      <c r="B200" s="1" t="s">
        <v>840</v>
      </c>
      <c r="C200" s="1" t="s">
        <v>241</v>
      </c>
      <c r="D200" s="1" t="n">
        <v>220</v>
      </c>
      <c r="E200" s="1" t="s">
        <v>129</v>
      </c>
      <c r="K200" s="1" t="s">
        <v>841</v>
      </c>
    </row>
    <row r="201" customFormat="false" ht="15" hidden="false" customHeight="true" outlineLevel="0" collapsed="false">
      <c r="B201" s="1" t="s">
        <v>843</v>
      </c>
      <c r="C201" s="1" t="s">
        <v>267</v>
      </c>
      <c r="D201" s="1" t="n">
        <v>264.285714285714</v>
      </c>
      <c r="E201" s="1" t="s">
        <v>129</v>
      </c>
      <c r="K201" s="1" t="s">
        <v>844</v>
      </c>
    </row>
    <row r="202" customFormat="false" ht="15" hidden="false" customHeight="true" outlineLevel="0" collapsed="false">
      <c r="B202" s="1" t="s">
        <v>845</v>
      </c>
      <c r="C202" s="1" t="s">
        <v>267</v>
      </c>
      <c r="D202" s="1" t="n">
        <v>170</v>
      </c>
      <c r="E202" s="1" t="s">
        <v>129</v>
      </c>
      <c r="K202" s="1" t="s">
        <v>846</v>
      </c>
    </row>
    <row r="203" customFormat="false" ht="15" hidden="false" customHeight="true" outlineLevel="0" collapsed="false">
      <c r="B203" s="1" t="s">
        <v>848</v>
      </c>
      <c r="C203" s="1" t="s">
        <v>246</v>
      </c>
      <c r="D203" s="1" t="n">
        <v>109</v>
      </c>
      <c r="E203" s="1" t="s">
        <v>129</v>
      </c>
      <c r="K203" s="1" t="s">
        <v>260</v>
      </c>
    </row>
    <row r="204" customFormat="false" ht="15" hidden="false" customHeight="true" outlineLevel="0" collapsed="false">
      <c r="B204" s="1" t="s">
        <v>850</v>
      </c>
      <c r="C204" s="1" t="s">
        <v>267</v>
      </c>
      <c r="D204" s="1" t="n">
        <v>320</v>
      </c>
      <c r="E204" s="1" t="s">
        <v>129</v>
      </c>
      <c r="K204" s="1" t="s">
        <v>749</v>
      </c>
    </row>
    <row r="205" customFormat="false" ht="15" hidden="false" customHeight="true" outlineLevel="0" collapsed="false">
      <c r="B205" s="1" t="s">
        <v>852</v>
      </c>
      <c r="C205" s="1" t="s">
        <v>241</v>
      </c>
      <c r="D205" s="1" t="n">
        <v>273.333333333333</v>
      </c>
      <c r="E205" s="1" t="s">
        <v>129</v>
      </c>
      <c r="K205" s="1" t="s">
        <v>853</v>
      </c>
    </row>
    <row r="206" customFormat="false" ht="15" hidden="false" customHeight="true" outlineLevel="0" collapsed="false">
      <c r="B206" s="1" t="s">
        <v>854</v>
      </c>
      <c r="C206" s="1" t="s">
        <v>241</v>
      </c>
      <c r="D206" s="1" t="n">
        <v>150</v>
      </c>
      <c r="E206" s="1" t="s">
        <v>129</v>
      </c>
      <c r="K206" s="1" t="s">
        <v>855</v>
      </c>
    </row>
    <row r="207" customFormat="false" ht="15" hidden="false" customHeight="true" outlineLevel="0" collapsed="false">
      <c r="B207" s="1" t="s">
        <v>856</v>
      </c>
      <c r="C207" s="1" t="s">
        <v>241</v>
      </c>
      <c r="D207" s="1" t="n">
        <v>110</v>
      </c>
      <c r="E207" s="1" t="s">
        <v>129</v>
      </c>
      <c r="K207" s="1" t="s">
        <v>857</v>
      </c>
    </row>
    <row r="208" customFormat="false" ht="15" hidden="false" customHeight="true" outlineLevel="0" collapsed="false">
      <c r="B208" s="1" t="s">
        <v>858</v>
      </c>
      <c r="C208" s="1" t="s">
        <v>241</v>
      </c>
      <c r="D208" s="1" t="n">
        <v>0</v>
      </c>
      <c r="E208" s="1" t="s">
        <v>129</v>
      </c>
      <c r="K208" s="1" t="s">
        <v>859</v>
      </c>
    </row>
    <row r="209" customFormat="false" ht="15" hidden="false" customHeight="true" outlineLevel="0" collapsed="false">
      <c r="B209" s="1" t="s">
        <v>861</v>
      </c>
      <c r="C209" s="1" t="s">
        <v>241</v>
      </c>
      <c r="D209" s="1" t="n">
        <v>0</v>
      </c>
      <c r="E209" s="1" t="s">
        <v>129</v>
      </c>
      <c r="K209" s="1" t="s">
        <v>862</v>
      </c>
    </row>
    <row r="210" customFormat="false" ht="15" hidden="false" customHeight="true" outlineLevel="0" collapsed="false">
      <c r="B210" s="1" t="s">
        <v>863</v>
      </c>
      <c r="C210" s="1" t="s">
        <v>241</v>
      </c>
      <c r="D210" s="1" t="n">
        <v>0</v>
      </c>
      <c r="E210" s="1" t="s">
        <v>129</v>
      </c>
      <c r="K210" s="1" t="s">
        <v>864</v>
      </c>
    </row>
    <row r="211" customFormat="false" ht="15" hidden="false" customHeight="true" outlineLevel="0" collapsed="false">
      <c r="B211" s="1" t="s">
        <v>866</v>
      </c>
      <c r="C211" s="1" t="s">
        <v>241</v>
      </c>
      <c r="D211" s="1" t="n">
        <v>0</v>
      </c>
      <c r="E211" s="1" t="s">
        <v>129</v>
      </c>
      <c r="K211" s="1" t="s">
        <v>867</v>
      </c>
    </row>
    <row r="212" customFormat="false" ht="15" hidden="false" customHeight="true" outlineLevel="0" collapsed="false">
      <c r="B212" s="1" t="s">
        <v>870</v>
      </c>
      <c r="C212" s="1" t="s">
        <v>241</v>
      </c>
      <c r="D212" s="1" t="n">
        <v>0</v>
      </c>
      <c r="E212" s="1" t="s">
        <v>129</v>
      </c>
      <c r="K212" s="1" t="s">
        <v>871</v>
      </c>
    </row>
    <row r="213" customFormat="false" ht="15" hidden="false" customHeight="true" outlineLevel="0" collapsed="false">
      <c r="B213" s="1" t="s">
        <v>872</v>
      </c>
      <c r="C213" s="1" t="s">
        <v>241</v>
      </c>
      <c r="D213" s="1" t="n">
        <v>0</v>
      </c>
      <c r="E213" s="1" t="s">
        <v>129</v>
      </c>
      <c r="K213" s="1" t="s">
        <v>873</v>
      </c>
    </row>
    <row r="214" customFormat="false" ht="15" hidden="false" customHeight="true" outlineLevel="0" collapsed="false">
      <c r="B214" s="1" t="s">
        <v>874</v>
      </c>
      <c r="C214" s="1" t="s">
        <v>241</v>
      </c>
      <c r="D214" s="1" t="n">
        <v>0</v>
      </c>
      <c r="E214" s="1" t="s">
        <v>129</v>
      </c>
      <c r="K214" s="1" t="s">
        <v>875</v>
      </c>
    </row>
    <row r="215" customFormat="false" ht="15" hidden="false" customHeight="true" outlineLevel="0" collapsed="false">
      <c r="B215" s="1" t="s">
        <v>878</v>
      </c>
      <c r="C215" s="1" t="s">
        <v>241</v>
      </c>
      <c r="D215" s="1" t="n">
        <v>0</v>
      </c>
      <c r="E215" s="1" t="s">
        <v>129</v>
      </c>
      <c r="K215" s="1" t="s">
        <v>879</v>
      </c>
    </row>
    <row r="216" customFormat="false" ht="15" hidden="false" customHeight="true" outlineLevel="0" collapsed="false">
      <c r="B216" s="1" t="s">
        <v>880</v>
      </c>
      <c r="C216" s="1" t="s">
        <v>241</v>
      </c>
      <c r="D216" s="1" t="n">
        <v>0</v>
      </c>
      <c r="E216" s="1" t="s">
        <v>129</v>
      </c>
      <c r="K216" s="1" t="s">
        <v>881</v>
      </c>
    </row>
    <row r="217" customFormat="false" ht="15" hidden="false" customHeight="true" outlineLevel="0" collapsed="false">
      <c r="B217" s="1" t="s">
        <v>882</v>
      </c>
      <c r="C217" s="1" t="s">
        <v>241</v>
      </c>
      <c r="D217" s="1" t="n">
        <v>0</v>
      </c>
      <c r="E217" s="1" t="s">
        <v>129</v>
      </c>
      <c r="K217" s="1" t="s">
        <v>883</v>
      </c>
    </row>
    <row r="218" customFormat="false" ht="15" hidden="false" customHeight="true" outlineLevel="0" collapsed="false">
      <c r="B218" s="1" t="s">
        <v>884</v>
      </c>
      <c r="C218" s="1" t="s">
        <v>886</v>
      </c>
      <c r="D218" s="1" t="n">
        <v>0</v>
      </c>
      <c r="E218" s="1" t="s">
        <v>129</v>
      </c>
      <c r="K218" s="1" t="s">
        <v>885</v>
      </c>
    </row>
    <row r="219" customFormat="false" ht="15" hidden="false" customHeight="true" outlineLevel="0" collapsed="false">
      <c r="B219" s="1" t="s">
        <v>887</v>
      </c>
      <c r="C219" s="1" t="s">
        <v>241</v>
      </c>
      <c r="D219" s="1" t="n">
        <v>0</v>
      </c>
      <c r="E219" s="1" t="s">
        <v>129</v>
      </c>
      <c r="K219" s="1" t="s">
        <v>888</v>
      </c>
    </row>
    <row r="220" customFormat="false" ht="15" hidden="false" customHeight="true" outlineLevel="0" collapsed="false">
      <c r="B220" s="1" t="s">
        <v>889</v>
      </c>
      <c r="C220" s="1" t="s">
        <v>246</v>
      </c>
      <c r="D220" s="1" t="n">
        <v>55</v>
      </c>
      <c r="E220" s="1" t="s">
        <v>132</v>
      </c>
      <c r="K220" s="1" t="s">
        <v>890</v>
      </c>
    </row>
    <row r="221" customFormat="false" ht="15" hidden="false" customHeight="true" outlineLevel="0" collapsed="false">
      <c r="B221" s="1" t="s">
        <v>892</v>
      </c>
      <c r="C221" s="1" t="s">
        <v>246</v>
      </c>
      <c r="D221" s="1" t="n">
        <v>7</v>
      </c>
      <c r="E221" s="1" t="s">
        <v>132</v>
      </c>
      <c r="K221" s="1" t="s">
        <v>893</v>
      </c>
    </row>
    <row r="222" customFormat="false" ht="15" hidden="false" customHeight="true" outlineLevel="0" collapsed="false">
      <c r="B222" s="1" t="s">
        <v>895</v>
      </c>
      <c r="C222" s="1" t="s">
        <v>246</v>
      </c>
      <c r="D222" s="1" t="n">
        <v>41</v>
      </c>
      <c r="E222" s="1" t="s">
        <v>132</v>
      </c>
      <c r="K222" s="1" t="s">
        <v>896</v>
      </c>
    </row>
    <row r="223" customFormat="false" ht="15" hidden="false" customHeight="true" outlineLevel="0" collapsed="false">
      <c r="B223" s="1" t="s">
        <v>897</v>
      </c>
      <c r="C223" s="1" t="s">
        <v>246</v>
      </c>
      <c r="D223" s="1" t="n">
        <v>6</v>
      </c>
      <c r="E223" s="1" t="s">
        <v>132</v>
      </c>
      <c r="K223" s="1" t="s">
        <v>898</v>
      </c>
    </row>
    <row r="224" customFormat="false" ht="15" hidden="false" customHeight="true" outlineLevel="0" collapsed="false">
      <c r="B224" s="1" t="s">
        <v>899</v>
      </c>
      <c r="C224" s="1" t="s">
        <v>246</v>
      </c>
      <c r="D224" s="1" t="n">
        <v>26</v>
      </c>
      <c r="E224" s="1" t="s">
        <v>132</v>
      </c>
      <c r="K224" s="1" t="s">
        <v>900</v>
      </c>
    </row>
    <row r="225" customFormat="false" ht="15" hidden="false" customHeight="true" outlineLevel="0" collapsed="false">
      <c r="B225" s="1" t="s">
        <v>902</v>
      </c>
      <c r="C225" s="1" t="s">
        <v>246</v>
      </c>
      <c r="D225" s="1" t="n">
        <v>17</v>
      </c>
      <c r="E225" s="1" t="s">
        <v>132</v>
      </c>
      <c r="K225" s="1" t="s">
        <v>903</v>
      </c>
    </row>
    <row r="226" customFormat="false" ht="15" hidden="false" customHeight="true" outlineLevel="0" collapsed="false">
      <c r="B226" s="1" t="s">
        <v>905</v>
      </c>
      <c r="C226" s="1" t="s">
        <v>246</v>
      </c>
      <c r="D226" s="1" t="n">
        <v>25</v>
      </c>
      <c r="E226" s="1" t="s">
        <v>132</v>
      </c>
      <c r="K226" s="1" t="s">
        <v>906</v>
      </c>
    </row>
    <row r="227" customFormat="false" ht="15" hidden="false" customHeight="true" outlineLevel="0" collapsed="false">
      <c r="B227" s="1" t="s">
        <v>908</v>
      </c>
      <c r="C227" s="1" t="s">
        <v>246</v>
      </c>
      <c r="D227" s="1" t="n">
        <v>0</v>
      </c>
      <c r="E227" s="1" t="s">
        <v>132</v>
      </c>
      <c r="K227" s="1" t="s">
        <v>909</v>
      </c>
    </row>
    <row r="228" customFormat="false" ht="15" hidden="false" customHeight="true" outlineLevel="0" collapsed="false">
      <c r="B228" s="1" t="s">
        <v>911</v>
      </c>
      <c r="C228" s="1" t="s">
        <v>246</v>
      </c>
      <c r="D228" s="1" t="n">
        <v>24.5</v>
      </c>
      <c r="E228" s="1" t="s">
        <v>132</v>
      </c>
      <c r="K228" s="1" t="s">
        <v>912</v>
      </c>
    </row>
    <row r="229" customFormat="false" ht="15" hidden="false" customHeight="true" outlineLevel="0" collapsed="false">
      <c r="B229" s="1" t="s">
        <v>913</v>
      </c>
      <c r="C229" s="1" t="s">
        <v>267</v>
      </c>
      <c r="D229" s="1" t="n">
        <v>333</v>
      </c>
      <c r="E229" s="1" t="s">
        <v>132</v>
      </c>
      <c r="K229" s="1" t="s">
        <v>914</v>
      </c>
    </row>
    <row r="230" customFormat="false" ht="15" hidden="false" customHeight="true" outlineLevel="0" collapsed="false">
      <c r="B230" s="1" t="s">
        <v>915</v>
      </c>
      <c r="C230" s="1" t="s">
        <v>752</v>
      </c>
      <c r="D230" s="1" t="n">
        <v>115</v>
      </c>
      <c r="E230" s="1" t="s">
        <v>132</v>
      </c>
      <c r="K230" s="1" t="s">
        <v>916</v>
      </c>
    </row>
    <row r="231" customFormat="false" ht="15" hidden="false" customHeight="true" outlineLevel="0" collapsed="false">
      <c r="B231" s="1" t="s">
        <v>917</v>
      </c>
      <c r="C231" s="1" t="s">
        <v>267</v>
      </c>
      <c r="D231" s="1" t="n">
        <v>275</v>
      </c>
      <c r="E231" s="1" t="s">
        <v>132</v>
      </c>
      <c r="K231" s="1" t="s">
        <v>918</v>
      </c>
    </row>
    <row r="232" customFormat="false" ht="15" hidden="false" customHeight="true" outlineLevel="0" collapsed="false">
      <c r="B232" s="1" t="s">
        <v>919</v>
      </c>
      <c r="C232" s="1" t="s">
        <v>267</v>
      </c>
      <c r="D232" s="1" t="n">
        <v>75</v>
      </c>
      <c r="E232" s="1" t="s">
        <v>132</v>
      </c>
      <c r="K232" s="1" t="s">
        <v>920</v>
      </c>
    </row>
    <row r="233" customFormat="false" ht="15" hidden="false" customHeight="true" outlineLevel="0" collapsed="false">
      <c r="B233" s="1" t="s">
        <v>921</v>
      </c>
      <c r="C233" s="1" t="s">
        <v>267</v>
      </c>
      <c r="D233" s="1" t="n">
        <v>150</v>
      </c>
      <c r="E233" s="1" t="s">
        <v>132</v>
      </c>
      <c r="K233" s="1" t="s">
        <v>922</v>
      </c>
    </row>
    <row r="234" customFormat="false" ht="15" hidden="false" customHeight="true" outlineLevel="0" collapsed="false">
      <c r="B234" s="1" t="s">
        <v>923</v>
      </c>
      <c r="C234" s="1" t="s">
        <v>267</v>
      </c>
      <c r="D234" s="1" t="n">
        <v>115</v>
      </c>
      <c r="E234" s="1" t="s">
        <v>132</v>
      </c>
      <c r="K234" s="1" t="s">
        <v>924</v>
      </c>
    </row>
    <row r="235" customFormat="false" ht="15" hidden="false" customHeight="true" outlineLevel="0" collapsed="false">
      <c r="B235" s="1" t="s">
        <v>925</v>
      </c>
      <c r="C235" s="1" t="s">
        <v>246</v>
      </c>
      <c r="D235" s="1" t="n">
        <v>15.06</v>
      </c>
      <c r="E235" s="1" t="s">
        <v>132</v>
      </c>
      <c r="K235" s="1" t="s">
        <v>926</v>
      </c>
    </row>
    <row r="236" customFormat="false" ht="15" hidden="false" customHeight="true" outlineLevel="0" collapsed="false">
      <c r="B236" s="1" t="s">
        <v>927</v>
      </c>
      <c r="C236" s="1" t="s">
        <v>267</v>
      </c>
      <c r="D236" s="1" t="n">
        <v>45</v>
      </c>
      <c r="E236" s="1" t="s">
        <v>132</v>
      </c>
      <c r="K236" s="1" t="s">
        <v>928</v>
      </c>
    </row>
    <row r="237" customFormat="false" ht="15" hidden="false" customHeight="true" outlineLevel="0" collapsed="false">
      <c r="B237" s="1" t="s">
        <v>929</v>
      </c>
      <c r="C237" s="1" t="s">
        <v>267</v>
      </c>
      <c r="D237" s="1" t="n">
        <v>110</v>
      </c>
      <c r="E237" s="1" t="s">
        <v>132</v>
      </c>
      <c r="K237" s="1" t="s">
        <v>930</v>
      </c>
    </row>
    <row r="238" customFormat="false" ht="15" hidden="false" customHeight="true" outlineLevel="0" collapsed="false">
      <c r="B238" s="1" t="s">
        <v>931</v>
      </c>
      <c r="C238" s="1" t="s">
        <v>267</v>
      </c>
      <c r="D238" s="1" t="n">
        <v>110</v>
      </c>
      <c r="E238" s="1" t="s">
        <v>132</v>
      </c>
      <c r="K238" s="1" t="s">
        <v>932</v>
      </c>
    </row>
    <row r="239" customFormat="false" ht="15" hidden="false" customHeight="true" outlineLevel="0" collapsed="false">
      <c r="B239" s="1" t="s">
        <v>933</v>
      </c>
      <c r="C239" s="1" t="s">
        <v>267</v>
      </c>
      <c r="D239" s="1" t="n">
        <v>850</v>
      </c>
      <c r="E239" s="1" t="s">
        <v>132</v>
      </c>
      <c r="K239" s="1" t="s">
        <v>934</v>
      </c>
    </row>
    <row r="240" customFormat="false" ht="15" hidden="false" customHeight="true" outlineLevel="0" collapsed="false">
      <c r="B240" s="1" t="s">
        <v>937</v>
      </c>
      <c r="C240" s="1" t="s">
        <v>267</v>
      </c>
      <c r="D240" s="1" t="n">
        <v>600</v>
      </c>
      <c r="E240" s="1" t="s">
        <v>132</v>
      </c>
      <c r="K240" s="1" t="s">
        <v>938</v>
      </c>
    </row>
    <row r="241" customFormat="false" ht="15" hidden="false" customHeight="true" outlineLevel="0" collapsed="false">
      <c r="B241" s="1" t="s">
        <v>940</v>
      </c>
      <c r="C241" s="1" t="s">
        <v>246</v>
      </c>
      <c r="D241" s="1" t="n">
        <v>60</v>
      </c>
      <c r="E241" s="1" t="s">
        <v>132</v>
      </c>
      <c r="K241" s="1" t="s">
        <v>941</v>
      </c>
    </row>
    <row r="242" customFormat="false" ht="15" hidden="false" customHeight="true" outlineLevel="0" collapsed="false">
      <c r="B242" s="1" t="s">
        <v>943</v>
      </c>
      <c r="C242" s="1" t="s">
        <v>246</v>
      </c>
      <c r="D242" s="1" t="n">
        <v>2</v>
      </c>
      <c r="E242" s="1" t="s">
        <v>132</v>
      </c>
      <c r="K242" s="1" t="s">
        <v>944</v>
      </c>
    </row>
    <row r="243" customFormat="false" ht="15" hidden="false" customHeight="true" outlineLevel="0" collapsed="false">
      <c r="B243" s="1" t="s">
        <v>947</v>
      </c>
      <c r="C243" s="1" t="s">
        <v>241</v>
      </c>
      <c r="D243" s="1" t="n">
        <v>360</v>
      </c>
      <c r="E243" s="1" t="s">
        <v>132</v>
      </c>
      <c r="K243" s="1" t="s">
        <v>948</v>
      </c>
    </row>
    <row r="244" customFormat="false" ht="15" hidden="false" customHeight="true" outlineLevel="0" collapsed="false">
      <c r="B244" s="1" t="s">
        <v>950</v>
      </c>
      <c r="C244" s="1" t="s">
        <v>267</v>
      </c>
      <c r="D244" s="1" t="n">
        <v>400</v>
      </c>
      <c r="E244" s="1" t="s">
        <v>132</v>
      </c>
      <c r="K244" s="1" t="s">
        <v>951</v>
      </c>
    </row>
    <row r="245" customFormat="false" ht="15" hidden="false" customHeight="true" outlineLevel="0" collapsed="false">
      <c r="B245" s="1" t="s">
        <v>954</v>
      </c>
      <c r="C245" s="1" t="s">
        <v>241</v>
      </c>
      <c r="D245" s="1" t="n">
        <v>1130</v>
      </c>
      <c r="E245" s="1" t="s">
        <v>132</v>
      </c>
      <c r="K245" s="1" t="s">
        <v>955</v>
      </c>
    </row>
    <row r="246" customFormat="false" ht="15" hidden="false" customHeight="true" outlineLevel="0" collapsed="false">
      <c r="B246" s="1" t="s">
        <v>956</v>
      </c>
      <c r="C246" s="1" t="s">
        <v>241</v>
      </c>
      <c r="D246" s="1" t="n">
        <v>530</v>
      </c>
      <c r="E246" s="1" t="s">
        <v>132</v>
      </c>
      <c r="K246" s="1" t="s">
        <v>957</v>
      </c>
    </row>
    <row r="247" customFormat="false" ht="15" hidden="false" customHeight="true" outlineLevel="0" collapsed="false">
      <c r="B247" s="1" t="s">
        <v>958</v>
      </c>
      <c r="C247" s="1" t="s">
        <v>241</v>
      </c>
      <c r="D247" s="1" t="n">
        <v>700</v>
      </c>
      <c r="E247" s="1" t="s">
        <v>132</v>
      </c>
      <c r="K247" s="1" t="s">
        <v>959</v>
      </c>
    </row>
    <row r="248" customFormat="false" ht="15" hidden="false" customHeight="true" outlineLevel="0" collapsed="false">
      <c r="B248" s="1" t="s">
        <v>960</v>
      </c>
      <c r="C248" s="1" t="s">
        <v>267</v>
      </c>
      <c r="D248" s="1" t="n">
        <v>275</v>
      </c>
      <c r="E248" s="1" t="s">
        <v>132</v>
      </c>
      <c r="K248" s="1" t="s">
        <v>961</v>
      </c>
    </row>
    <row r="249" customFormat="false" ht="15" hidden="false" customHeight="true" outlineLevel="0" collapsed="false">
      <c r="B249" s="1" t="s">
        <v>962</v>
      </c>
      <c r="C249" s="1" t="s">
        <v>267</v>
      </c>
      <c r="D249" s="1" t="n">
        <v>475</v>
      </c>
      <c r="E249" s="1" t="s">
        <v>132</v>
      </c>
      <c r="K249" s="1" t="s">
        <v>963</v>
      </c>
    </row>
    <row r="250" customFormat="false" ht="15" hidden="false" customHeight="true" outlineLevel="0" collapsed="false">
      <c r="B250" s="1" t="s">
        <v>965</v>
      </c>
      <c r="C250" s="1" t="s">
        <v>246</v>
      </c>
      <c r="D250" s="1" t="n">
        <v>7</v>
      </c>
      <c r="E250" s="1" t="s">
        <v>132</v>
      </c>
      <c r="K250" s="1" t="s">
        <v>966</v>
      </c>
    </row>
    <row r="251" customFormat="false" ht="15" hidden="false" customHeight="true" outlineLevel="0" collapsed="false">
      <c r="B251" s="1" t="s">
        <v>968</v>
      </c>
      <c r="C251" s="1" t="s">
        <v>267</v>
      </c>
      <c r="D251" s="1" t="n">
        <v>26</v>
      </c>
      <c r="E251" s="1" t="s">
        <v>132</v>
      </c>
      <c r="K251" s="1" t="s">
        <v>969</v>
      </c>
    </row>
    <row r="252" customFormat="false" ht="15" hidden="false" customHeight="true" outlineLevel="0" collapsed="false">
      <c r="B252" s="1" t="s">
        <v>970</v>
      </c>
      <c r="C252" s="1" t="s">
        <v>267</v>
      </c>
      <c r="D252" s="1" t="n">
        <v>16</v>
      </c>
      <c r="E252" s="1" t="s">
        <v>132</v>
      </c>
      <c r="K252" s="1" t="s">
        <v>971</v>
      </c>
    </row>
    <row r="253" customFormat="false" ht="15" hidden="false" customHeight="true" outlineLevel="0" collapsed="false">
      <c r="B253" s="1" t="s">
        <v>972</v>
      </c>
      <c r="C253" s="1" t="s">
        <v>267</v>
      </c>
      <c r="D253" s="1" t="n">
        <v>80</v>
      </c>
      <c r="E253" s="1" t="s">
        <v>132</v>
      </c>
      <c r="K253" s="1" t="s">
        <v>973</v>
      </c>
    </row>
    <row r="254" customFormat="false" ht="15" hidden="false" customHeight="true" outlineLevel="0" collapsed="false">
      <c r="B254" s="1" t="s">
        <v>975</v>
      </c>
      <c r="C254" s="1" t="s">
        <v>267</v>
      </c>
      <c r="D254" s="1" t="n">
        <v>1250</v>
      </c>
      <c r="E254" s="1" t="s">
        <v>132</v>
      </c>
      <c r="K254" s="1" t="s">
        <v>976</v>
      </c>
    </row>
    <row r="255" customFormat="false" ht="15" hidden="false" customHeight="true" outlineLevel="0" collapsed="false">
      <c r="B255" s="1" t="s">
        <v>978</v>
      </c>
      <c r="C255" s="1" t="s">
        <v>267</v>
      </c>
      <c r="D255" s="1" t="n">
        <v>250</v>
      </c>
      <c r="E255" s="1" t="s">
        <v>132</v>
      </c>
      <c r="K255" s="1" t="s">
        <v>979</v>
      </c>
    </row>
    <row r="256" customFormat="false" ht="15" hidden="false" customHeight="true" outlineLevel="0" collapsed="false">
      <c r="B256" s="1" t="s">
        <v>981</v>
      </c>
      <c r="C256" s="1" t="s">
        <v>267</v>
      </c>
      <c r="D256" s="1" t="n">
        <v>1900</v>
      </c>
      <c r="E256" s="1" t="s">
        <v>132</v>
      </c>
      <c r="K256" s="1" t="s">
        <v>982</v>
      </c>
    </row>
    <row r="257" customFormat="false" ht="15" hidden="false" customHeight="true" outlineLevel="0" collapsed="false">
      <c r="B257" s="1" t="s">
        <v>984</v>
      </c>
      <c r="C257" s="1" t="s">
        <v>267</v>
      </c>
      <c r="D257" s="1" t="n">
        <v>500</v>
      </c>
      <c r="E257" s="1" t="s">
        <v>132</v>
      </c>
      <c r="K257" s="1" t="s">
        <v>985</v>
      </c>
    </row>
    <row r="258" customFormat="false" ht="15" hidden="false" customHeight="true" outlineLevel="0" collapsed="false">
      <c r="B258" s="1" t="s">
        <v>987</v>
      </c>
      <c r="C258" s="1" t="s">
        <v>267</v>
      </c>
      <c r="D258" s="1" t="n">
        <v>195</v>
      </c>
      <c r="E258" s="1" t="s">
        <v>132</v>
      </c>
      <c r="K258" s="1" t="s">
        <v>988</v>
      </c>
    </row>
    <row r="259" customFormat="false" ht="15" hidden="false" customHeight="true" outlineLevel="0" collapsed="false">
      <c r="B259" s="1" t="s">
        <v>990</v>
      </c>
      <c r="C259" s="1" t="s">
        <v>267</v>
      </c>
      <c r="D259" s="1" t="n">
        <v>550</v>
      </c>
      <c r="E259" s="1" t="s">
        <v>132</v>
      </c>
      <c r="K259" s="1" t="s">
        <v>991</v>
      </c>
    </row>
    <row r="260" customFormat="false" ht="15" hidden="false" customHeight="true" outlineLevel="0" collapsed="false">
      <c r="B260" s="1" t="s">
        <v>993</v>
      </c>
      <c r="C260" s="1" t="s">
        <v>267</v>
      </c>
      <c r="D260" s="1" t="n">
        <v>390</v>
      </c>
      <c r="E260" s="1" t="s">
        <v>132</v>
      </c>
      <c r="K260" s="1" t="s">
        <v>994</v>
      </c>
    </row>
    <row r="261" customFormat="false" ht="15" hidden="false" customHeight="true" outlineLevel="0" collapsed="false">
      <c r="B261" s="1" t="s">
        <v>995</v>
      </c>
      <c r="C261" s="1" t="s">
        <v>267</v>
      </c>
      <c r="D261" s="1" t="n">
        <v>16.5</v>
      </c>
      <c r="E261" s="1" t="s">
        <v>132</v>
      </c>
      <c r="K261" s="1" t="s">
        <v>996</v>
      </c>
    </row>
    <row r="262" customFormat="false" ht="15" hidden="false" customHeight="true" outlineLevel="0" collapsed="false">
      <c r="B262" s="1" t="s">
        <v>998</v>
      </c>
      <c r="C262" s="1" t="s">
        <v>246</v>
      </c>
      <c r="D262" s="1" t="n">
        <v>13</v>
      </c>
      <c r="E262" s="1" t="s">
        <v>132</v>
      </c>
      <c r="K262" s="1" t="s">
        <v>999</v>
      </c>
    </row>
    <row r="263" customFormat="false" ht="15" hidden="false" customHeight="true" outlineLevel="0" collapsed="false">
      <c r="B263" s="1" t="s">
        <v>1000</v>
      </c>
      <c r="C263" s="1" t="s">
        <v>246</v>
      </c>
      <c r="D263" s="1" t="n">
        <v>21</v>
      </c>
      <c r="E263" s="1" t="s">
        <v>132</v>
      </c>
      <c r="K263" s="1" t="s">
        <v>1001</v>
      </c>
    </row>
    <row r="264" customFormat="false" ht="15" hidden="false" customHeight="true" outlineLevel="0" collapsed="false">
      <c r="B264" s="1" t="s">
        <v>1003</v>
      </c>
      <c r="C264" s="1" t="s">
        <v>246</v>
      </c>
      <c r="D264" s="1" t="n">
        <v>65</v>
      </c>
      <c r="E264" s="1" t="s">
        <v>132</v>
      </c>
      <c r="K264" s="1" t="s">
        <v>1004</v>
      </c>
    </row>
    <row r="265" customFormat="false" ht="15" hidden="false" customHeight="true" outlineLevel="0" collapsed="false">
      <c r="B265" s="1" t="s">
        <v>1005</v>
      </c>
      <c r="C265" s="1" t="s">
        <v>246</v>
      </c>
      <c r="D265" s="1" t="n">
        <v>11.5</v>
      </c>
      <c r="E265" s="1" t="s">
        <v>132</v>
      </c>
      <c r="K265" s="1" t="s">
        <v>1006</v>
      </c>
    </row>
    <row r="266" customFormat="false" ht="15" hidden="false" customHeight="true" outlineLevel="0" collapsed="false">
      <c r="B266" s="1" t="s">
        <v>1007</v>
      </c>
      <c r="C266" s="1" t="s">
        <v>246</v>
      </c>
      <c r="D266" s="1" t="n">
        <v>16.5</v>
      </c>
      <c r="E266" s="1" t="s">
        <v>132</v>
      </c>
      <c r="K266" s="1" t="s">
        <v>1008</v>
      </c>
    </row>
    <row r="267" customFormat="false" ht="15" hidden="false" customHeight="true" outlineLevel="0" collapsed="false">
      <c r="B267" s="1" t="s">
        <v>1009</v>
      </c>
      <c r="C267" s="1" t="s">
        <v>246</v>
      </c>
      <c r="D267" s="1" t="n">
        <v>33</v>
      </c>
      <c r="E267" s="1" t="s">
        <v>132</v>
      </c>
      <c r="K267" s="1" t="s">
        <v>1010</v>
      </c>
    </row>
    <row r="268" customFormat="false" ht="15" hidden="false" customHeight="true" outlineLevel="0" collapsed="false">
      <c r="B268" s="1" t="s">
        <v>1011</v>
      </c>
      <c r="C268" s="1" t="s">
        <v>246</v>
      </c>
      <c r="D268" s="1" t="n">
        <v>75</v>
      </c>
      <c r="E268" s="1" t="s">
        <v>132</v>
      </c>
      <c r="K268" s="1" t="s">
        <v>1012</v>
      </c>
    </row>
    <row r="269" customFormat="false" ht="15" hidden="false" customHeight="true" outlineLevel="0" collapsed="false">
      <c r="B269" s="1" t="s">
        <v>1013</v>
      </c>
      <c r="C269" s="1" t="s">
        <v>246</v>
      </c>
      <c r="D269" s="1" t="n">
        <v>8</v>
      </c>
      <c r="E269" s="1" t="s">
        <v>132</v>
      </c>
      <c r="K269" s="1" t="s">
        <v>1014</v>
      </c>
    </row>
    <row r="270" customFormat="false" ht="15" hidden="false" customHeight="true" outlineLevel="0" collapsed="false">
      <c r="B270" s="1" t="s">
        <v>1015</v>
      </c>
      <c r="C270" s="1" t="s">
        <v>246</v>
      </c>
      <c r="D270" s="1" t="n">
        <v>2</v>
      </c>
      <c r="E270" s="1" t="s">
        <v>132</v>
      </c>
      <c r="K270" s="1" t="s">
        <v>1016</v>
      </c>
    </row>
    <row r="271" customFormat="false" ht="15" hidden="false" customHeight="true" outlineLevel="0" collapsed="false">
      <c r="B271" s="1" t="s">
        <v>1017</v>
      </c>
      <c r="C271" s="1" t="s">
        <v>246</v>
      </c>
      <c r="D271" s="1" t="n">
        <v>20.2775</v>
      </c>
      <c r="E271" s="1" t="s">
        <v>132</v>
      </c>
      <c r="K271" s="1" t="s">
        <v>1018</v>
      </c>
    </row>
    <row r="272" customFormat="false" ht="15" hidden="false" customHeight="true" outlineLevel="0" collapsed="false">
      <c r="B272" s="1" t="s">
        <v>1019</v>
      </c>
      <c r="C272" s="1" t="s">
        <v>246</v>
      </c>
      <c r="D272" s="1" t="n">
        <v>11.7</v>
      </c>
      <c r="E272" s="1" t="s">
        <v>132</v>
      </c>
      <c r="K272" s="1" t="s">
        <v>1020</v>
      </c>
    </row>
    <row r="273" customFormat="false" ht="15" hidden="false" customHeight="true" outlineLevel="0" collapsed="false">
      <c r="B273" s="1" t="s">
        <v>1021</v>
      </c>
      <c r="C273" s="1" t="s">
        <v>246</v>
      </c>
      <c r="D273" s="1" t="n">
        <v>25</v>
      </c>
      <c r="E273" s="1" t="s">
        <v>132</v>
      </c>
      <c r="K273" s="1" t="s">
        <v>1022</v>
      </c>
    </row>
    <row r="274" customFormat="false" ht="15" hidden="false" customHeight="true" outlineLevel="0" collapsed="false">
      <c r="B274" s="1" t="s">
        <v>1024</v>
      </c>
      <c r="C274" s="1" t="s">
        <v>246</v>
      </c>
      <c r="D274" s="1" t="n">
        <v>150</v>
      </c>
      <c r="E274" s="1" t="s">
        <v>132</v>
      </c>
      <c r="K274" s="1" t="s">
        <v>1025</v>
      </c>
    </row>
    <row r="275" customFormat="false" ht="15" hidden="false" customHeight="true" outlineLevel="0" collapsed="false">
      <c r="B275" s="1" t="s">
        <v>1027</v>
      </c>
      <c r="C275" s="1" t="s">
        <v>241</v>
      </c>
      <c r="D275" s="1" t="n">
        <v>100</v>
      </c>
      <c r="E275" s="1" t="s">
        <v>127</v>
      </c>
      <c r="K275" s="1" t="s">
        <v>1028</v>
      </c>
    </row>
    <row r="276" customFormat="false" ht="15" hidden="false" customHeight="true" outlineLevel="0" collapsed="false">
      <c r="B276" s="1" t="s">
        <v>1030</v>
      </c>
      <c r="C276" s="1" t="s">
        <v>241</v>
      </c>
      <c r="D276" s="1" t="n">
        <v>120</v>
      </c>
      <c r="E276" s="1" t="s">
        <v>127</v>
      </c>
      <c r="K276" s="1" t="s">
        <v>704</v>
      </c>
    </row>
    <row r="277" customFormat="false" ht="15" hidden="false" customHeight="true" outlineLevel="0" collapsed="false">
      <c r="B277" s="1" t="s">
        <v>1032</v>
      </c>
      <c r="C277" s="1" t="s">
        <v>241</v>
      </c>
      <c r="D277" s="1" t="n">
        <v>2300</v>
      </c>
      <c r="E277" s="1" t="s">
        <v>127</v>
      </c>
      <c r="K277" s="1" t="s">
        <v>1033</v>
      </c>
    </row>
    <row r="278" customFormat="false" ht="15" hidden="false" customHeight="true" outlineLevel="0" collapsed="false">
      <c r="B278" s="1" t="s">
        <v>1035</v>
      </c>
      <c r="C278" s="1" t="s">
        <v>350</v>
      </c>
      <c r="D278" s="1" t="n">
        <v>165</v>
      </c>
      <c r="E278" s="1" t="s">
        <v>127</v>
      </c>
      <c r="K278" s="1" t="s">
        <v>1036</v>
      </c>
    </row>
    <row r="279" customFormat="false" ht="15" hidden="false" customHeight="true" outlineLevel="0" collapsed="false">
      <c r="B279" s="1" t="s">
        <v>1037</v>
      </c>
      <c r="C279" s="1" t="s">
        <v>350</v>
      </c>
      <c r="D279" s="1" t="n">
        <v>165</v>
      </c>
      <c r="E279" s="1" t="s">
        <v>127</v>
      </c>
      <c r="K279" s="1" t="s">
        <v>1038</v>
      </c>
    </row>
    <row r="280" customFormat="false" ht="15" hidden="false" customHeight="true" outlineLevel="0" collapsed="false">
      <c r="B280" s="1" t="s">
        <v>1039</v>
      </c>
      <c r="C280" s="1" t="s">
        <v>350</v>
      </c>
      <c r="D280" s="1" t="n">
        <v>60</v>
      </c>
      <c r="E280" s="1" t="s">
        <v>127</v>
      </c>
      <c r="K280" s="1" t="s">
        <v>1040</v>
      </c>
    </row>
    <row r="281" customFormat="false" ht="15" hidden="false" customHeight="true" outlineLevel="0" collapsed="false">
      <c r="B281" s="1" t="s">
        <v>1042</v>
      </c>
      <c r="C281" s="1" t="s">
        <v>350</v>
      </c>
      <c r="D281" s="1" t="n">
        <v>200</v>
      </c>
      <c r="E281" s="1" t="s">
        <v>127</v>
      </c>
      <c r="K281" s="1" t="s">
        <v>1043</v>
      </c>
    </row>
    <row r="282" customFormat="false" ht="15" hidden="false" customHeight="true" outlineLevel="0" collapsed="false">
      <c r="B282" s="1" t="s">
        <v>1045</v>
      </c>
      <c r="C282" s="1" t="s">
        <v>246</v>
      </c>
      <c r="D282" s="1" t="n">
        <v>200</v>
      </c>
      <c r="E282" s="1" t="s">
        <v>127</v>
      </c>
      <c r="K282" s="1" t="s">
        <v>1046</v>
      </c>
    </row>
    <row r="283" customFormat="false" ht="15" hidden="false" customHeight="true" outlineLevel="0" collapsed="false">
      <c r="B283" s="1" t="s">
        <v>1047</v>
      </c>
      <c r="C283" s="1" t="s">
        <v>246</v>
      </c>
      <c r="D283" s="1" t="n">
        <v>250</v>
      </c>
      <c r="E283" s="1" t="s">
        <v>127</v>
      </c>
      <c r="K283" s="1" t="s">
        <v>1048</v>
      </c>
    </row>
    <row r="284" customFormat="false" ht="15" hidden="false" customHeight="true" outlineLevel="0" collapsed="false">
      <c r="B284" s="1" t="s">
        <v>1051</v>
      </c>
      <c r="C284" s="1" t="s">
        <v>246</v>
      </c>
      <c r="D284" s="1" t="n">
        <v>260</v>
      </c>
      <c r="E284" s="1" t="s">
        <v>127</v>
      </c>
      <c r="K284" s="1" t="s">
        <v>1052</v>
      </c>
    </row>
    <row r="285" customFormat="false" ht="15" hidden="false" customHeight="true" outlineLevel="0" collapsed="false">
      <c r="B285" s="1" t="s">
        <v>1055</v>
      </c>
      <c r="C285" s="1" t="s">
        <v>246</v>
      </c>
      <c r="D285" s="1" t="n">
        <v>310</v>
      </c>
      <c r="E285" s="1" t="s">
        <v>127</v>
      </c>
      <c r="K285" s="1" t="s">
        <v>1056</v>
      </c>
    </row>
    <row r="286" customFormat="false" ht="15" hidden="false" customHeight="true" outlineLevel="0" collapsed="false">
      <c r="B286" s="1" t="s">
        <v>1058</v>
      </c>
      <c r="C286" s="1" t="s">
        <v>241</v>
      </c>
      <c r="D286" s="1" t="n">
        <v>380</v>
      </c>
      <c r="E286" s="1" t="s">
        <v>127</v>
      </c>
      <c r="K286" s="1" t="s">
        <v>1059</v>
      </c>
    </row>
    <row r="287" customFormat="false" ht="15" hidden="false" customHeight="true" outlineLevel="0" collapsed="false">
      <c r="B287" s="1" t="s">
        <v>1060</v>
      </c>
      <c r="C287" s="1" t="s">
        <v>246</v>
      </c>
      <c r="D287" s="1" t="n">
        <v>5</v>
      </c>
      <c r="E287" s="1" t="s">
        <v>127</v>
      </c>
      <c r="K287" s="1" t="s">
        <v>1061</v>
      </c>
    </row>
    <row r="288" customFormat="false" ht="15" hidden="false" customHeight="true" outlineLevel="0" collapsed="false">
      <c r="B288" s="1" t="s">
        <v>1063</v>
      </c>
      <c r="C288" s="1" t="s">
        <v>246</v>
      </c>
      <c r="D288" s="1" t="n">
        <v>125</v>
      </c>
      <c r="E288" s="1" t="s">
        <v>127</v>
      </c>
      <c r="K288" s="1" t="s">
        <v>1064</v>
      </c>
    </row>
    <row r="289" customFormat="false" ht="15" hidden="false" customHeight="true" outlineLevel="0" collapsed="false">
      <c r="B289" s="1" t="s">
        <v>1066</v>
      </c>
      <c r="C289" s="1" t="s">
        <v>246</v>
      </c>
      <c r="D289" s="1" t="n">
        <v>270</v>
      </c>
      <c r="E289" s="1" t="s">
        <v>127</v>
      </c>
      <c r="K289" s="1" t="s">
        <v>1067</v>
      </c>
    </row>
    <row r="290" customFormat="false" ht="15" hidden="false" customHeight="true" outlineLevel="0" collapsed="false">
      <c r="B290" s="1" t="s">
        <v>1069</v>
      </c>
      <c r="C290" s="1" t="s">
        <v>241</v>
      </c>
      <c r="D290" s="1" t="n">
        <v>740</v>
      </c>
      <c r="E290" s="1" t="s">
        <v>127</v>
      </c>
      <c r="K290" s="1" t="s">
        <v>1070</v>
      </c>
    </row>
    <row r="291" customFormat="false" ht="15" hidden="false" customHeight="true" outlineLevel="0" collapsed="false">
      <c r="B291" s="1" t="s">
        <v>1072</v>
      </c>
      <c r="C291" s="1" t="s">
        <v>241</v>
      </c>
      <c r="D291" s="1" t="n">
        <v>740</v>
      </c>
      <c r="E291" s="1" t="s">
        <v>127</v>
      </c>
      <c r="K291" s="1" t="s">
        <v>1073</v>
      </c>
    </row>
    <row r="292" customFormat="false" ht="15" hidden="false" customHeight="true" outlineLevel="0" collapsed="false">
      <c r="B292" s="1" t="s">
        <v>1075</v>
      </c>
      <c r="C292" s="1" t="s">
        <v>241</v>
      </c>
      <c r="D292" s="1" t="n">
        <v>480</v>
      </c>
      <c r="E292" s="1" t="s">
        <v>127</v>
      </c>
      <c r="K292" s="1" t="s">
        <v>1076</v>
      </c>
    </row>
    <row r="293" customFormat="false" ht="15" hidden="false" customHeight="true" outlineLevel="0" collapsed="false">
      <c r="B293" s="1" t="s">
        <v>1077</v>
      </c>
      <c r="C293" s="1" t="s">
        <v>241</v>
      </c>
      <c r="D293" s="1" t="n">
        <v>610</v>
      </c>
      <c r="E293" s="1" t="s">
        <v>127</v>
      </c>
      <c r="K293" s="1" t="s">
        <v>1078</v>
      </c>
    </row>
    <row r="294" customFormat="false" ht="15" hidden="false" customHeight="true" outlineLevel="0" collapsed="false">
      <c r="B294" s="1" t="s">
        <v>1079</v>
      </c>
      <c r="C294" s="1" t="s">
        <v>1081</v>
      </c>
      <c r="D294" s="1" t="n">
        <v>600</v>
      </c>
      <c r="E294" s="1" t="s">
        <v>127</v>
      </c>
      <c r="K294" s="1" t="s">
        <v>1080</v>
      </c>
    </row>
    <row r="295" customFormat="false" ht="15" hidden="false" customHeight="true" outlineLevel="0" collapsed="false">
      <c r="B295" s="1" t="s">
        <v>1083</v>
      </c>
      <c r="C295" s="1" t="s">
        <v>1085</v>
      </c>
      <c r="D295" s="1" t="n">
        <v>2000</v>
      </c>
      <c r="E295" s="1" t="s">
        <v>127</v>
      </c>
      <c r="K295" s="1" t="s">
        <v>1084</v>
      </c>
    </row>
    <row r="296" customFormat="false" ht="15" hidden="false" customHeight="true" outlineLevel="0" collapsed="false">
      <c r="B296" s="1" t="s">
        <v>1086</v>
      </c>
      <c r="C296" s="1" t="s">
        <v>246</v>
      </c>
      <c r="D296" s="1" t="n">
        <v>97</v>
      </c>
      <c r="E296" s="1" t="s">
        <v>133</v>
      </c>
      <c r="K296" s="1" t="s">
        <v>1087</v>
      </c>
    </row>
    <row r="297" customFormat="false" ht="15" hidden="false" customHeight="true" outlineLevel="0" collapsed="false">
      <c r="B297" s="1" t="s">
        <v>1088</v>
      </c>
      <c r="C297" s="1" t="s">
        <v>246</v>
      </c>
      <c r="D297" s="1" t="n">
        <v>43</v>
      </c>
      <c r="E297" s="1" t="s">
        <v>127</v>
      </c>
      <c r="K297" s="1" t="s">
        <v>1089</v>
      </c>
    </row>
    <row r="298" customFormat="false" ht="15" hidden="false" customHeight="true" outlineLevel="0" collapsed="false">
      <c r="B298" s="1" t="s">
        <v>1090</v>
      </c>
      <c r="C298" s="1" t="s">
        <v>241</v>
      </c>
      <c r="D298" s="1" t="n">
        <v>440</v>
      </c>
      <c r="E298" s="1" t="s">
        <v>127</v>
      </c>
      <c r="K298" s="1" t="s">
        <v>942</v>
      </c>
    </row>
    <row r="299" customFormat="false" ht="15" hidden="false" customHeight="true" outlineLevel="0" collapsed="false">
      <c r="B299" s="1" t="s">
        <v>1091</v>
      </c>
      <c r="C299" s="1" t="s">
        <v>246</v>
      </c>
      <c r="D299" s="1" t="n">
        <v>70</v>
      </c>
      <c r="E299" s="1" t="s">
        <v>127</v>
      </c>
      <c r="K299" s="1" t="s">
        <v>1092</v>
      </c>
    </row>
    <row r="300" customFormat="false" ht="15" hidden="false" customHeight="true" outlineLevel="0" collapsed="false">
      <c r="B300" s="1" t="s">
        <v>1094</v>
      </c>
      <c r="C300" s="1" t="s">
        <v>267</v>
      </c>
      <c r="D300" s="1" t="n">
        <v>180</v>
      </c>
      <c r="E300" s="1" t="s">
        <v>127</v>
      </c>
      <c r="K300" s="1" t="s">
        <v>1095</v>
      </c>
    </row>
    <row r="301" customFormat="false" ht="15" hidden="false" customHeight="true" outlineLevel="0" collapsed="false">
      <c r="B301" s="1" t="s">
        <v>1096</v>
      </c>
      <c r="C301" s="1" t="s">
        <v>267</v>
      </c>
      <c r="D301" s="1" t="n">
        <v>42</v>
      </c>
      <c r="E301" s="1" t="s">
        <v>127</v>
      </c>
      <c r="K301" s="1" t="s">
        <v>1097</v>
      </c>
    </row>
    <row r="302" customFormat="false" ht="15" hidden="false" customHeight="true" outlineLevel="0" collapsed="false">
      <c r="B302" s="1" t="s">
        <v>1099</v>
      </c>
      <c r="C302" s="1" t="s">
        <v>267</v>
      </c>
      <c r="D302" s="1" t="n">
        <v>140</v>
      </c>
      <c r="E302" s="1" t="s">
        <v>127</v>
      </c>
      <c r="K302" s="1" t="s">
        <v>1002</v>
      </c>
    </row>
    <row r="303" customFormat="false" ht="15" hidden="false" customHeight="true" outlineLevel="0" collapsed="false">
      <c r="B303" s="1" t="s">
        <v>1100</v>
      </c>
      <c r="C303" s="1" t="s">
        <v>752</v>
      </c>
      <c r="D303" s="1" t="n">
        <v>750</v>
      </c>
      <c r="E303" s="1" t="s">
        <v>127</v>
      </c>
      <c r="K303" s="1" t="s">
        <v>1101</v>
      </c>
    </row>
    <row r="304" customFormat="false" ht="15" hidden="false" customHeight="true" outlineLevel="0" collapsed="false">
      <c r="B304" s="1" t="s">
        <v>1104</v>
      </c>
      <c r="C304" s="1" t="s">
        <v>241</v>
      </c>
      <c r="D304" s="1" t="n">
        <v>150</v>
      </c>
      <c r="E304" s="1" t="s">
        <v>127</v>
      </c>
      <c r="K304" s="1" t="s">
        <v>1105</v>
      </c>
    </row>
    <row r="305" customFormat="false" ht="15" hidden="false" customHeight="true" outlineLevel="0" collapsed="false">
      <c r="B305" s="1" t="s">
        <v>1107</v>
      </c>
      <c r="C305" s="1" t="s">
        <v>267</v>
      </c>
      <c r="D305" s="1" t="n">
        <v>300</v>
      </c>
      <c r="E305" s="1" t="s">
        <v>127</v>
      </c>
      <c r="K305" s="1" t="s">
        <v>1108</v>
      </c>
    </row>
    <row r="306" customFormat="false" ht="15" hidden="false" customHeight="true" outlineLevel="0" collapsed="false">
      <c r="B306" s="1" t="s">
        <v>1109</v>
      </c>
      <c r="C306" s="1" t="s">
        <v>1111</v>
      </c>
      <c r="D306" s="1" t="n">
        <v>275</v>
      </c>
      <c r="E306" s="1" t="s">
        <v>127</v>
      </c>
      <c r="K306" s="1" t="s">
        <v>1110</v>
      </c>
    </row>
    <row r="307" customFormat="false" ht="15" hidden="false" customHeight="true" outlineLevel="0" collapsed="false">
      <c r="B307" s="1" t="s">
        <v>1114</v>
      </c>
      <c r="C307" s="1" t="s">
        <v>246</v>
      </c>
      <c r="D307" s="1" t="n">
        <v>18</v>
      </c>
      <c r="E307" s="1" t="s">
        <v>127</v>
      </c>
      <c r="K307" s="1" t="s">
        <v>564</v>
      </c>
    </row>
    <row r="308" customFormat="false" ht="15" hidden="false" customHeight="true" outlineLevel="0" collapsed="false">
      <c r="B308" s="1" t="s">
        <v>1115</v>
      </c>
      <c r="C308" s="1" t="s">
        <v>246</v>
      </c>
      <c r="D308" s="1" t="n">
        <v>20.8333333333333</v>
      </c>
      <c r="E308" s="1" t="s">
        <v>127</v>
      </c>
      <c r="K308" s="1" t="s">
        <v>1116</v>
      </c>
    </row>
    <row r="309" customFormat="false" ht="15" hidden="false" customHeight="true" outlineLevel="0" collapsed="false">
      <c r="B309" s="1" t="s">
        <v>1117</v>
      </c>
      <c r="C309" s="1" t="s">
        <v>246</v>
      </c>
      <c r="D309" s="1" t="n">
        <v>100</v>
      </c>
      <c r="E309" s="1" t="s">
        <v>127</v>
      </c>
      <c r="K309" s="1" t="s">
        <v>1118</v>
      </c>
    </row>
    <row r="310" customFormat="false" ht="15" hidden="false" customHeight="true" outlineLevel="0" collapsed="false">
      <c r="B310" s="1" t="s">
        <v>1121</v>
      </c>
      <c r="C310" s="1" t="s">
        <v>246</v>
      </c>
      <c r="D310" s="1" t="n">
        <v>300</v>
      </c>
      <c r="E310" s="1" t="s">
        <v>127</v>
      </c>
      <c r="K310" s="1" t="s">
        <v>1122</v>
      </c>
    </row>
    <row r="311" customFormat="false" ht="15" hidden="false" customHeight="true" outlineLevel="0" collapsed="false">
      <c r="B311" s="1" t="s">
        <v>1123</v>
      </c>
      <c r="C311" s="1" t="s">
        <v>246</v>
      </c>
      <c r="D311" s="1" t="n">
        <v>310</v>
      </c>
      <c r="E311" s="1" t="s">
        <v>127</v>
      </c>
      <c r="K311" s="1" t="s">
        <v>1124</v>
      </c>
    </row>
    <row r="312" customFormat="false" ht="15" hidden="false" customHeight="true" outlineLevel="0" collapsed="false">
      <c r="B312" s="1" t="s">
        <v>1126</v>
      </c>
      <c r="C312" s="1" t="s">
        <v>246</v>
      </c>
      <c r="D312" s="1" t="n">
        <v>100</v>
      </c>
      <c r="E312" s="1" t="s">
        <v>127</v>
      </c>
      <c r="K312" s="1" t="s">
        <v>1127</v>
      </c>
    </row>
    <row r="313" customFormat="false" ht="15" hidden="false" customHeight="true" outlineLevel="0" collapsed="false">
      <c r="B313" s="1" t="s">
        <v>1128</v>
      </c>
      <c r="C313" s="1" t="s">
        <v>246</v>
      </c>
      <c r="D313" s="1" t="n">
        <v>60</v>
      </c>
      <c r="E313" s="1" t="s">
        <v>127</v>
      </c>
      <c r="K313" s="1" t="s">
        <v>1129</v>
      </c>
    </row>
    <row r="314" customFormat="false" ht="15" hidden="false" customHeight="true" outlineLevel="0" collapsed="false">
      <c r="B314" s="1" t="s">
        <v>1131</v>
      </c>
      <c r="C314" s="1" t="s">
        <v>246</v>
      </c>
      <c r="D314" s="1" t="n">
        <v>70</v>
      </c>
      <c r="E314" s="1" t="s">
        <v>127</v>
      </c>
      <c r="K314" s="1" t="s">
        <v>1132</v>
      </c>
    </row>
    <row r="315" customFormat="false" ht="15" hidden="false" customHeight="true" outlineLevel="0" collapsed="false">
      <c r="B315" s="1" t="s">
        <v>1134</v>
      </c>
      <c r="C315" s="1" t="s">
        <v>246</v>
      </c>
      <c r="D315" s="1" t="n">
        <v>130</v>
      </c>
      <c r="E315" s="1" t="s">
        <v>127</v>
      </c>
      <c r="K315" s="1" t="s">
        <v>1135</v>
      </c>
    </row>
    <row r="316" customFormat="false" ht="15" hidden="false" customHeight="true" outlineLevel="0" collapsed="false">
      <c r="B316" s="1" t="s">
        <v>1137</v>
      </c>
      <c r="C316" s="1" t="s">
        <v>246</v>
      </c>
      <c r="D316" s="1" t="n">
        <v>500</v>
      </c>
      <c r="E316" s="1" t="s">
        <v>127</v>
      </c>
      <c r="K316" s="1" t="s">
        <v>1138</v>
      </c>
    </row>
    <row r="317" customFormat="false" ht="15" hidden="false" customHeight="true" outlineLevel="0" collapsed="false">
      <c r="B317" s="1" t="s">
        <v>1140</v>
      </c>
      <c r="C317" s="1" t="s">
        <v>246</v>
      </c>
      <c r="D317" s="1" t="n">
        <v>470</v>
      </c>
      <c r="E317" s="1" t="s">
        <v>127</v>
      </c>
      <c r="K317" s="1" t="s">
        <v>1141</v>
      </c>
    </row>
    <row r="318" customFormat="false" ht="15" hidden="false" customHeight="true" outlineLevel="0" collapsed="false">
      <c r="B318" s="1" t="s">
        <v>1143</v>
      </c>
      <c r="C318" s="1" t="s">
        <v>267</v>
      </c>
      <c r="D318" s="1" t="n">
        <v>400</v>
      </c>
      <c r="E318" s="1" t="s">
        <v>127</v>
      </c>
      <c r="K318" s="1" t="s">
        <v>1144</v>
      </c>
    </row>
    <row r="319" customFormat="false" ht="15" hidden="false" customHeight="true" outlineLevel="0" collapsed="false">
      <c r="B319" s="1" t="s">
        <v>1145</v>
      </c>
      <c r="C319" s="1" t="s">
        <v>246</v>
      </c>
      <c r="D319" s="1" t="n">
        <v>220</v>
      </c>
      <c r="E319" s="1" t="s">
        <v>127</v>
      </c>
      <c r="K319" s="1" t="s">
        <v>1146</v>
      </c>
    </row>
    <row r="320" customFormat="false" ht="15" hidden="false" customHeight="true" outlineLevel="0" collapsed="false">
      <c r="B320" s="1" t="s">
        <v>1148</v>
      </c>
      <c r="C320" s="1" t="s">
        <v>350</v>
      </c>
      <c r="D320" s="1" t="n">
        <v>100</v>
      </c>
      <c r="E320" s="1" t="s">
        <v>127</v>
      </c>
      <c r="K320" s="1" t="s">
        <v>1149</v>
      </c>
    </row>
    <row r="321" customFormat="false" ht="15" hidden="false" customHeight="true" outlineLevel="0" collapsed="false">
      <c r="B321" s="1" t="s">
        <v>1151</v>
      </c>
      <c r="C321" s="1" t="s">
        <v>267</v>
      </c>
      <c r="D321" s="1" t="n">
        <v>375</v>
      </c>
      <c r="E321" s="1" t="s">
        <v>127</v>
      </c>
      <c r="K321" s="1" t="s">
        <v>1152</v>
      </c>
    </row>
    <row r="322" customFormat="false" ht="15" hidden="false" customHeight="true" outlineLevel="0" collapsed="false">
      <c r="B322" s="1" t="s">
        <v>1153</v>
      </c>
      <c r="C322" s="1" t="s">
        <v>246</v>
      </c>
      <c r="D322" s="1" t="n">
        <v>600</v>
      </c>
      <c r="E322" s="1" t="s">
        <v>127</v>
      </c>
      <c r="K322" s="1" t="s">
        <v>1154</v>
      </c>
    </row>
    <row r="323" customFormat="false" ht="15" hidden="false" customHeight="true" outlineLevel="0" collapsed="false">
      <c r="B323" s="1" t="s">
        <v>1155</v>
      </c>
      <c r="C323" s="1" t="s">
        <v>1157</v>
      </c>
      <c r="D323" s="1" t="n">
        <v>2800</v>
      </c>
      <c r="E323" s="1" t="s">
        <v>132</v>
      </c>
      <c r="K323" s="1" t="s">
        <v>1156</v>
      </c>
    </row>
    <row r="324" customFormat="false" ht="15" hidden="false" customHeight="true" outlineLevel="0" collapsed="false">
      <c r="B324" s="1" t="s">
        <v>1158</v>
      </c>
      <c r="C324" s="1" t="s">
        <v>246</v>
      </c>
      <c r="D324" s="1" t="n">
        <v>5</v>
      </c>
      <c r="E324" s="1" t="s">
        <v>132</v>
      </c>
      <c r="K324" s="1" t="s">
        <v>1159</v>
      </c>
    </row>
    <row r="325" customFormat="false" ht="15" hidden="false" customHeight="true" outlineLevel="0" collapsed="false">
      <c r="B325" s="1" t="s">
        <v>1161</v>
      </c>
      <c r="C325" s="1" t="s">
        <v>246</v>
      </c>
      <c r="D325" s="1" t="n">
        <v>280</v>
      </c>
      <c r="E325" s="1" t="s">
        <v>127</v>
      </c>
      <c r="K325" s="1" t="s">
        <v>1162</v>
      </c>
    </row>
    <row r="326" customFormat="false" ht="15" hidden="false" customHeight="true" outlineLevel="0" collapsed="false">
      <c r="B326" s="1" t="s">
        <v>1165</v>
      </c>
      <c r="C326" s="1" t="s">
        <v>246</v>
      </c>
      <c r="D326" s="1" t="n">
        <v>350</v>
      </c>
      <c r="E326" s="1" t="s">
        <v>128</v>
      </c>
      <c r="K326" s="1" t="s">
        <v>1166</v>
      </c>
    </row>
    <row r="327" customFormat="false" ht="15" hidden="false" customHeight="true" outlineLevel="0" collapsed="false">
      <c r="B327" s="1" t="s">
        <v>1168</v>
      </c>
      <c r="C327" s="1" t="s">
        <v>267</v>
      </c>
      <c r="D327" s="1" t="n">
        <v>220</v>
      </c>
      <c r="E327" s="1" t="s">
        <v>133</v>
      </c>
      <c r="K327" s="1" t="s">
        <v>640</v>
      </c>
    </row>
    <row r="328" customFormat="false" ht="15" hidden="false" customHeight="true" outlineLevel="0" collapsed="false">
      <c r="B328" s="1" t="s">
        <v>1171</v>
      </c>
      <c r="C328" s="1" t="s">
        <v>246</v>
      </c>
      <c r="D328" s="1" t="n">
        <v>95</v>
      </c>
      <c r="E328" s="1" t="s">
        <v>133</v>
      </c>
      <c r="K328" s="1" t="s">
        <v>579</v>
      </c>
    </row>
    <row r="329" customFormat="false" ht="15" hidden="false" customHeight="true" outlineLevel="0" collapsed="false">
      <c r="B329" s="1" t="s">
        <v>1173</v>
      </c>
      <c r="C329" s="1" t="s">
        <v>267</v>
      </c>
      <c r="D329" s="1" t="n">
        <v>180</v>
      </c>
      <c r="E329" s="1" t="s">
        <v>133</v>
      </c>
      <c r="K329" s="1" t="s">
        <v>1174</v>
      </c>
    </row>
    <row r="330" customFormat="false" ht="15" hidden="false" customHeight="true" outlineLevel="0" collapsed="false">
      <c r="B330" s="1" t="s">
        <v>1176</v>
      </c>
      <c r="C330" s="1" t="s">
        <v>267</v>
      </c>
      <c r="D330" s="1" t="n">
        <v>250</v>
      </c>
      <c r="E330" s="1" t="s">
        <v>133</v>
      </c>
      <c r="K330" s="1" t="s">
        <v>1177</v>
      </c>
    </row>
    <row r="331" customFormat="false" ht="15" hidden="false" customHeight="true" outlineLevel="0" collapsed="false">
      <c r="B331" s="1" t="s">
        <v>1180</v>
      </c>
      <c r="C331" s="1" t="s">
        <v>267</v>
      </c>
      <c r="D331" s="1" t="n">
        <v>0</v>
      </c>
      <c r="E331" s="1" t="s">
        <v>133</v>
      </c>
      <c r="K331" s="1" t="s">
        <v>1181</v>
      </c>
    </row>
    <row r="332" customFormat="false" ht="15" hidden="false" customHeight="true" outlineLevel="0" collapsed="false">
      <c r="B332" s="1" t="s">
        <v>1183</v>
      </c>
      <c r="C332" s="1" t="s">
        <v>267</v>
      </c>
      <c r="D332" s="1" t="n">
        <v>330</v>
      </c>
      <c r="E332" s="1" t="s">
        <v>133</v>
      </c>
      <c r="K332" s="1" t="s">
        <v>1184</v>
      </c>
    </row>
    <row r="333" customFormat="false" ht="15" hidden="false" customHeight="true" outlineLevel="0" collapsed="false">
      <c r="B333" s="1" t="s">
        <v>1185</v>
      </c>
      <c r="C333" s="1" t="s">
        <v>241</v>
      </c>
      <c r="D333" s="1" t="n">
        <v>200</v>
      </c>
      <c r="E333" s="1" t="s">
        <v>133</v>
      </c>
      <c r="K333" s="1" t="s">
        <v>1186</v>
      </c>
    </row>
    <row r="334" customFormat="false" ht="15" hidden="false" customHeight="true" outlineLevel="0" collapsed="false">
      <c r="B334" s="1" t="s">
        <v>1188</v>
      </c>
      <c r="C334" s="1" t="s">
        <v>246</v>
      </c>
      <c r="D334" s="1" t="n">
        <v>50</v>
      </c>
      <c r="E334" s="1" t="s">
        <v>133</v>
      </c>
      <c r="K334" s="1" t="s">
        <v>1189</v>
      </c>
    </row>
    <row r="335" customFormat="false" ht="15" hidden="false" customHeight="true" outlineLevel="0" collapsed="false">
      <c r="B335" s="1" t="s">
        <v>1191</v>
      </c>
      <c r="C335" s="1" t="s">
        <v>246</v>
      </c>
      <c r="D335" s="1" t="n">
        <v>350</v>
      </c>
      <c r="E335" s="1" t="s">
        <v>133</v>
      </c>
      <c r="K335" s="1" t="s">
        <v>1192</v>
      </c>
    </row>
    <row r="336" customFormat="false" ht="15" hidden="false" customHeight="true" outlineLevel="0" collapsed="false">
      <c r="B336" s="1" t="s">
        <v>1195</v>
      </c>
      <c r="C336" s="1" t="s">
        <v>246</v>
      </c>
      <c r="D336" s="1" t="n">
        <v>80</v>
      </c>
      <c r="E336" s="1" t="s">
        <v>133</v>
      </c>
      <c r="K336" s="1" t="s">
        <v>1196</v>
      </c>
    </row>
    <row r="337" customFormat="false" ht="15" hidden="false" customHeight="true" outlineLevel="0" collapsed="false">
      <c r="B337" s="1" t="s">
        <v>1198</v>
      </c>
      <c r="C337" s="1" t="s">
        <v>246</v>
      </c>
      <c r="D337" s="1" t="n">
        <v>5500</v>
      </c>
      <c r="E337" s="1" t="s">
        <v>133</v>
      </c>
      <c r="K337" s="1" t="s">
        <v>1199</v>
      </c>
    </row>
    <row r="338" customFormat="false" ht="15" hidden="false" customHeight="true" outlineLevel="0" collapsed="false">
      <c r="B338" s="1" t="s">
        <v>1201</v>
      </c>
      <c r="C338" s="1" t="s">
        <v>246</v>
      </c>
      <c r="D338" s="1" t="n">
        <v>7500</v>
      </c>
      <c r="E338" s="1" t="s">
        <v>133</v>
      </c>
      <c r="K338" s="1" t="s">
        <v>1202</v>
      </c>
    </row>
    <row r="339" customFormat="false" ht="15" hidden="false" customHeight="true" outlineLevel="0" collapsed="false">
      <c r="B339" s="1" t="s">
        <v>1203</v>
      </c>
      <c r="C339" s="1" t="s">
        <v>246</v>
      </c>
      <c r="D339" s="1" t="n">
        <v>6000</v>
      </c>
      <c r="E339" s="1" t="s">
        <v>133</v>
      </c>
      <c r="K339" s="1" t="s">
        <v>1204</v>
      </c>
    </row>
    <row r="340" customFormat="false" ht="15" hidden="false" customHeight="true" outlineLevel="0" collapsed="false">
      <c r="B340" s="1" t="s">
        <v>1205</v>
      </c>
      <c r="C340" s="1" t="s">
        <v>246</v>
      </c>
      <c r="D340" s="1" t="n">
        <v>2500</v>
      </c>
      <c r="E340" s="1" t="s">
        <v>133</v>
      </c>
      <c r="K340" s="1" t="s">
        <v>1206</v>
      </c>
    </row>
    <row r="341" customFormat="false" ht="15" hidden="false" customHeight="true" outlineLevel="0" collapsed="false">
      <c r="B341" s="1" t="s">
        <v>1207</v>
      </c>
      <c r="C341" s="1" t="s">
        <v>246</v>
      </c>
      <c r="D341" s="1" t="n">
        <v>3800</v>
      </c>
      <c r="E341" s="1" t="s">
        <v>133</v>
      </c>
      <c r="K341" s="1" t="s">
        <v>1208</v>
      </c>
    </row>
    <row r="342" customFormat="false" ht="15" hidden="false" customHeight="true" outlineLevel="0" collapsed="false">
      <c r="B342" s="1" t="s">
        <v>1209</v>
      </c>
      <c r="C342" s="1" t="s">
        <v>246</v>
      </c>
      <c r="D342" s="1" t="n">
        <v>10000</v>
      </c>
      <c r="E342" s="1" t="s">
        <v>133</v>
      </c>
      <c r="K342" s="1" t="s">
        <v>1210</v>
      </c>
    </row>
    <row r="343" customFormat="false" ht="15" hidden="false" customHeight="true" outlineLevel="0" collapsed="false">
      <c r="B343" s="1" t="s">
        <v>1211</v>
      </c>
      <c r="C343" s="1" t="s">
        <v>246</v>
      </c>
      <c r="D343" s="1" t="n">
        <v>120</v>
      </c>
      <c r="E343" s="1" t="s">
        <v>133</v>
      </c>
      <c r="K343" s="1" t="s">
        <v>1212</v>
      </c>
    </row>
    <row r="344" customFormat="false" ht="15" hidden="false" customHeight="true" outlineLevel="0" collapsed="false">
      <c r="B344" s="1" t="s">
        <v>1213</v>
      </c>
      <c r="C344" s="1" t="s">
        <v>246</v>
      </c>
      <c r="D344" s="1" t="n">
        <v>80</v>
      </c>
      <c r="E344" s="1" t="s">
        <v>133</v>
      </c>
      <c r="K344" s="1" t="s">
        <v>1214</v>
      </c>
    </row>
    <row r="345" customFormat="false" ht="15" hidden="false" customHeight="true" outlineLevel="0" collapsed="false">
      <c r="B345" s="1" t="s">
        <v>1216</v>
      </c>
      <c r="C345" s="1" t="s">
        <v>246</v>
      </c>
      <c r="D345" s="1" t="n">
        <v>170</v>
      </c>
      <c r="E345" s="1" t="s">
        <v>133</v>
      </c>
      <c r="K345" s="1" t="s">
        <v>1217</v>
      </c>
    </row>
    <row r="346" customFormat="false" ht="15" hidden="false" customHeight="true" outlineLevel="0" collapsed="false">
      <c r="B346" s="1" t="s">
        <v>1218</v>
      </c>
      <c r="C346" s="1" t="s">
        <v>246</v>
      </c>
      <c r="D346" s="1" t="n">
        <v>250</v>
      </c>
      <c r="E346" s="1" t="s">
        <v>133</v>
      </c>
      <c r="K346" s="1" t="s">
        <v>1219</v>
      </c>
    </row>
    <row r="347" customFormat="false" ht="15" hidden="false" customHeight="true" outlineLevel="0" collapsed="false">
      <c r="B347" s="1" t="s">
        <v>1220</v>
      </c>
      <c r="C347" s="1" t="s">
        <v>1085</v>
      </c>
      <c r="D347" s="1" t="n">
        <v>130</v>
      </c>
      <c r="E347" s="1" t="s">
        <v>134</v>
      </c>
      <c r="K347" s="1" t="s">
        <v>1221</v>
      </c>
    </row>
    <row r="348" customFormat="false" ht="15" hidden="false" customHeight="true" outlineLevel="0" collapsed="false">
      <c r="B348" s="1" t="s">
        <v>1223</v>
      </c>
      <c r="C348" s="1" t="s">
        <v>1085</v>
      </c>
      <c r="D348" s="1" t="n">
        <v>123</v>
      </c>
      <c r="E348" s="1" t="s">
        <v>134</v>
      </c>
      <c r="K348" s="1" t="s">
        <v>1224</v>
      </c>
    </row>
    <row r="349" customFormat="false" ht="15" hidden="false" customHeight="true" outlineLevel="0" collapsed="false">
      <c r="B349" s="1" t="s">
        <v>1226</v>
      </c>
      <c r="C349" s="1" t="s">
        <v>1085</v>
      </c>
      <c r="D349" s="1" t="n">
        <v>0</v>
      </c>
      <c r="E349" s="1" t="s">
        <v>134</v>
      </c>
      <c r="K349" s="1" t="s">
        <v>1227</v>
      </c>
    </row>
    <row r="350" customFormat="false" ht="15" hidden="false" customHeight="true" outlineLevel="0" collapsed="false">
      <c r="B350" s="1" t="s">
        <v>1229</v>
      </c>
      <c r="C350" s="1" t="s">
        <v>1231</v>
      </c>
      <c r="D350" s="1" t="n">
        <v>1.1</v>
      </c>
      <c r="E350" s="1" t="s">
        <v>134</v>
      </c>
      <c r="K350" s="1" t="s">
        <v>1230</v>
      </c>
    </row>
    <row r="351" customFormat="false" ht="15" hidden="false" customHeight="true" outlineLevel="0" collapsed="false">
      <c r="B351" s="1" t="s">
        <v>1233</v>
      </c>
      <c r="C351" s="1" t="s">
        <v>267</v>
      </c>
      <c r="D351" s="1" t="n">
        <v>0.275</v>
      </c>
      <c r="E351" s="1" t="s">
        <v>134</v>
      </c>
      <c r="K351" s="1" t="s">
        <v>1234</v>
      </c>
    </row>
    <row r="352" customFormat="false" ht="15" hidden="false" customHeight="true" outlineLevel="0" collapsed="false">
      <c r="B352" s="1" t="s">
        <v>1235</v>
      </c>
      <c r="C352" s="1" t="s">
        <v>246</v>
      </c>
      <c r="D352" s="1" t="n">
        <v>50</v>
      </c>
      <c r="E352" s="1" t="s">
        <v>134</v>
      </c>
      <c r="K352" s="1" t="s">
        <v>1236</v>
      </c>
    </row>
    <row r="353" customFormat="false" ht="15" hidden="false" customHeight="true" outlineLevel="0" collapsed="false">
      <c r="B353" s="1" t="s">
        <v>1237</v>
      </c>
      <c r="C353" s="1" t="s">
        <v>246</v>
      </c>
      <c r="D353" s="1" t="n">
        <v>240</v>
      </c>
      <c r="E353" s="1" t="s">
        <v>134</v>
      </c>
      <c r="K353" s="1" t="s">
        <v>1238</v>
      </c>
    </row>
    <row r="354" customFormat="false" ht="15" hidden="false" customHeight="true" outlineLevel="0" collapsed="false">
      <c r="B354" s="1" t="s">
        <v>1240</v>
      </c>
      <c r="C354" s="1" t="s">
        <v>246</v>
      </c>
      <c r="D354" s="1" t="n">
        <v>168.926829268293</v>
      </c>
      <c r="E354" s="1" t="s">
        <v>134</v>
      </c>
      <c r="K354" s="1" t="s">
        <v>1241</v>
      </c>
    </row>
    <row r="355" customFormat="false" ht="15" hidden="false" customHeight="true" outlineLevel="0" collapsed="false">
      <c r="B355" s="1" t="s">
        <v>1243</v>
      </c>
      <c r="C355" s="1" t="s">
        <v>246</v>
      </c>
      <c r="D355" s="1" t="n">
        <v>150</v>
      </c>
      <c r="E355" s="1" t="s">
        <v>134</v>
      </c>
      <c r="K355" s="1" t="s">
        <v>1244</v>
      </c>
    </row>
    <row r="356" customFormat="false" ht="15" hidden="false" customHeight="true" outlineLevel="0" collapsed="false">
      <c r="B356" s="1" t="s">
        <v>1246</v>
      </c>
      <c r="C356" s="1" t="s">
        <v>246</v>
      </c>
      <c r="D356" s="1" t="n">
        <v>250</v>
      </c>
      <c r="E356" s="1" t="s">
        <v>134</v>
      </c>
      <c r="K356" s="1" t="s">
        <v>1247</v>
      </c>
    </row>
    <row r="357" customFormat="false" ht="15" hidden="false" customHeight="true" outlineLevel="0" collapsed="false">
      <c r="B357" s="1" t="s">
        <v>1248</v>
      </c>
      <c r="C357" s="1" t="s">
        <v>246</v>
      </c>
      <c r="D357" s="1" t="n">
        <v>155</v>
      </c>
      <c r="E357" s="1" t="s">
        <v>134</v>
      </c>
      <c r="K357" s="1" t="s">
        <v>1249</v>
      </c>
    </row>
    <row r="358" customFormat="false" ht="15" hidden="false" customHeight="true" outlineLevel="0" collapsed="false">
      <c r="B358" s="1" t="s">
        <v>1252</v>
      </c>
      <c r="C358" s="1" t="s">
        <v>246</v>
      </c>
      <c r="D358" s="1" t="n">
        <v>1100</v>
      </c>
      <c r="E358" s="1" t="s">
        <v>134</v>
      </c>
      <c r="K358" s="1" t="s">
        <v>1253</v>
      </c>
    </row>
    <row r="359" customFormat="false" ht="15" hidden="false" customHeight="true" outlineLevel="0" collapsed="false">
      <c r="B359" s="1" t="s">
        <v>1254</v>
      </c>
      <c r="C359" s="1" t="s">
        <v>267</v>
      </c>
      <c r="D359" s="1" t="n">
        <v>800</v>
      </c>
      <c r="E359" s="1" t="s">
        <v>134</v>
      </c>
      <c r="K359" s="1" t="s">
        <v>1255</v>
      </c>
    </row>
    <row r="360" customFormat="false" ht="15" hidden="false" customHeight="true" outlineLevel="0" collapsed="false">
      <c r="B360" s="1" t="s">
        <v>1256</v>
      </c>
      <c r="C360" s="1" t="s">
        <v>267</v>
      </c>
      <c r="D360" s="1" t="n">
        <v>64.5</v>
      </c>
      <c r="E360" s="1" t="s">
        <v>134</v>
      </c>
      <c r="K360" s="1" t="s">
        <v>1257</v>
      </c>
    </row>
    <row r="361" customFormat="false" ht="15" hidden="false" customHeight="true" outlineLevel="0" collapsed="false">
      <c r="B361" s="1" t="s">
        <v>1260</v>
      </c>
      <c r="C361" s="1" t="s">
        <v>267</v>
      </c>
      <c r="D361" s="1" t="n">
        <v>260</v>
      </c>
      <c r="E361" s="1" t="s">
        <v>134</v>
      </c>
      <c r="K361" s="1" t="s">
        <v>1261</v>
      </c>
    </row>
    <row r="362" customFormat="false" ht="15" hidden="false" customHeight="true" outlineLevel="0" collapsed="false">
      <c r="B362" s="1" t="s">
        <v>1264</v>
      </c>
      <c r="C362" s="1" t="s">
        <v>267</v>
      </c>
      <c r="D362" s="1" t="n">
        <v>220</v>
      </c>
      <c r="E362" s="1" t="s">
        <v>134</v>
      </c>
      <c r="K362" s="1" t="s">
        <v>1265</v>
      </c>
    </row>
    <row r="363" customFormat="false" ht="15" hidden="false" customHeight="true" outlineLevel="0" collapsed="false">
      <c r="B363" s="1" t="s">
        <v>1268</v>
      </c>
      <c r="C363" s="1" t="s">
        <v>246</v>
      </c>
      <c r="D363" s="1" t="n">
        <v>60</v>
      </c>
      <c r="E363" s="1" t="s">
        <v>134</v>
      </c>
      <c r="K363" s="1" t="s">
        <v>1269</v>
      </c>
    </row>
    <row r="364" customFormat="false" ht="15" hidden="false" customHeight="true" outlineLevel="0" collapsed="false">
      <c r="B364" s="1" t="s">
        <v>1270</v>
      </c>
      <c r="C364" s="1" t="s">
        <v>246</v>
      </c>
      <c r="D364" s="1" t="n">
        <v>300</v>
      </c>
      <c r="E364" s="1" t="s">
        <v>134</v>
      </c>
      <c r="K364" s="1" t="s">
        <v>1271</v>
      </c>
    </row>
    <row r="365" customFormat="false" ht="15" hidden="false" customHeight="true" outlineLevel="0" collapsed="false">
      <c r="B365" s="1" t="s">
        <v>1273</v>
      </c>
      <c r="C365" s="1" t="s">
        <v>246</v>
      </c>
      <c r="D365" s="1" t="n">
        <v>250</v>
      </c>
      <c r="E365" s="1" t="s">
        <v>134</v>
      </c>
      <c r="K365" s="1" t="s">
        <v>1274</v>
      </c>
    </row>
    <row r="366" customFormat="false" ht="15" hidden="false" customHeight="true" outlineLevel="0" collapsed="false">
      <c r="B366" s="1" t="s">
        <v>1276</v>
      </c>
      <c r="C366" s="1" t="s">
        <v>246</v>
      </c>
      <c r="D366" s="1" t="n">
        <v>100</v>
      </c>
      <c r="E366" s="1" t="s">
        <v>134</v>
      </c>
      <c r="K366" s="1" t="s">
        <v>1277</v>
      </c>
    </row>
    <row r="367" customFormat="false" ht="15" hidden="false" customHeight="true" outlineLevel="0" collapsed="false">
      <c r="B367" s="1" t="s">
        <v>1278</v>
      </c>
      <c r="C367" s="1" t="s">
        <v>246</v>
      </c>
      <c r="D367" s="1" t="n">
        <v>90</v>
      </c>
      <c r="E367" s="1" t="s">
        <v>134</v>
      </c>
      <c r="K367" s="1" t="s">
        <v>1279</v>
      </c>
    </row>
    <row r="368" customFormat="false" ht="15" hidden="false" customHeight="true" outlineLevel="0" collapsed="false">
      <c r="B368" s="1" t="s">
        <v>1281</v>
      </c>
      <c r="C368" s="1" t="s">
        <v>246</v>
      </c>
      <c r="D368" s="1" t="n">
        <v>300</v>
      </c>
      <c r="E368" s="1" t="s">
        <v>134</v>
      </c>
      <c r="K368" s="1" t="s">
        <v>1282</v>
      </c>
    </row>
    <row r="369" customFormat="false" ht="15" hidden="false" customHeight="true" outlineLevel="0" collapsed="false">
      <c r="B369" s="1" t="s">
        <v>1283</v>
      </c>
      <c r="C369" s="1" t="s">
        <v>267</v>
      </c>
      <c r="D369" s="1" t="n">
        <v>250</v>
      </c>
      <c r="E369" s="1" t="s">
        <v>134</v>
      </c>
      <c r="K369" s="1" t="s">
        <v>1284</v>
      </c>
    </row>
    <row r="370" customFormat="false" ht="15" hidden="false" customHeight="true" outlineLevel="0" collapsed="false">
      <c r="B370" s="1" t="s">
        <v>1286</v>
      </c>
      <c r="C370" s="1" t="s">
        <v>246</v>
      </c>
      <c r="D370" s="1" t="n">
        <v>5</v>
      </c>
      <c r="E370" s="1" t="s">
        <v>134</v>
      </c>
      <c r="K370" s="1" t="s">
        <v>1287</v>
      </c>
    </row>
    <row r="371" customFormat="false" ht="15" hidden="false" customHeight="true" outlineLevel="0" collapsed="false">
      <c r="B371" s="1" t="s">
        <v>1289</v>
      </c>
      <c r="C371" s="1" t="s">
        <v>246</v>
      </c>
      <c r="D371" s="1" t="n">
        <v>350</v>
      </c>
      <c r="E371" s="1" t="s">
        <v>134</v>
      </c>
      <c r="K371" s="1" t="s">
        <v>1290</v>
      </c>
    </row>
    <row r="372" customFormat="false" ht="15" hidden="false" customHeight="true" outlineLevel="0" collapsed="false">
      <c r="B372" s="1" t="s">
        <v>1292</v>
      </c>
      <c r="C372" s="1" t="s">
        <v>246</v>
      </c>
      <c r="D372" s="1" t="n">
        <v>0</v>
      </c>
      <c r="E372" s="1" t="s">
        <v>134</v>
      </c>
      <c r="K372" s="1" t="s">
        <v>1293</v>
      </c>
    </row>
    <row r="373" customFormat="false" ht="15" hidden="false" customHeight="true" outlineLevel="0" collapsed="false">
      <c r="B373" s="1" t="s">
        <v>1294</v>
      </c>
      <c r="C373" s="1" t="s">
        <v>246</v>
      </c>
      <c r="D373" s="1" t="n">
        <v>300</v>
      </c>
      <c r="E373" s="1" t="s">
        <v>134</v>
      </c>
      <c r="K373" s="1" t="s">
        <v>1295</v>
      </c>
    </row>
    <row r="374" customFormat="false" ht="15" hidden="false" customHeight="true" outlineLevel="0" collapsed="false">
      <c r="B374" s="1" t="s">
        <v>1296</v>
      </c>
      <c r="C374" s="1" t="s">
        <v>246</v>
      </c>
      <c r="D374" s="1" t="n">
        <v>2900</v>
      </c>
      <c r="E374" s="1" t="s">
        <v>134</v>
      </c>
      <c r="K374" s="1" t="s">
        <v>1297</v>
      </c>
    </row>
    <row r="375" customFormat="false" ht="15" hidden="false" customHeight="true" outlineLevel="0" collapsed="false">
      <c r="B375" s="1" t="s">
        <v>1298</v>
      </c>
      <c r="C375" s="1" t="s">
        <v>246</v>
      </c>
      <c r="D375" s="1" t="n">
        <v>150</v>
      </c>
      <c r="E375" s="1" t="s">
        <v>134</v>
      </c>
      <c r="K375" s="1" t="s">
        <v>1299</v>
      </c>
    </row>
    <row r="376" customFormat="false" ht="15" hidden="false" customHeight="true" outlineLevel="0" collapsed="false">
      <c r="B376" s="1" t="s">
        <v>1300</v>
      </c>
      <c r="C376" s="1" t="s">
        <v>246</v>
      </c>
      <c r="D376" s="1" t="n">
        <v>240</v>
      </c>
      <c r="E376" s="1" t="s">
        <v>134</v>
      </c>
      <c r="K376" s="1" t="s">
        <v>1301</v>
      </c>
    </row>
    <row r="377" customFormat="false" ht="15" hidden="false" customHeight="true" outlineLevel="0" collapsed="false">
      <c r="B377" s="1" t="s">
        <v>1303</v>
      </c>
      <c r="C377" s="1" t="s">
        <v>246</v>
      </c>
      <c r="D377" s="1" t="n">
        <v>170</v>
      </c>
      <c r="E377" s="1" t="s">
        <v>134</v>
      </c>
      <c r="K377" s="1" t="s">
        <v>1304</v>
      </c>
    </row>
    <row r="378" customFormat="false" ht="15" hidden="false" customHeight="true" outlineLevel="0" collapsed="false">
      <c r="B378" s="1" t="s">
        <v>1305</v>
      </c>
      <c r="C378" s="1" t="s">
        <v>267</v>
      </c>
      <c r="D378" s="1" t="n">
        <v>200</v>
      </c>
      <c r="E378" s="1" t="s">
        <v>134</v>
      </c>
      <c r="K378" s="1" t="s">
        <v>1306</v>
      </c>
    </row>
    <row r="379" customFormat="false" ht="15" hidden="false" customHeight="true" outlineLevel="0" collapsed="false">
      <c r="B379" s="1" t="s">
        <v>1308</v>
      </c>
      <c r="C379" s="1" t="s">
        <v>246</v>
      </c>
      <c r="D379" s="1" t="n">
        <v>350</v>
      </c>
      <c r="E379" s="1" t="s">
        <v>134</v>
      </c>
      <c r="K379" s="1" t="s">
        <v>1309</v>
      </c>
    </row>
    <row r="380" customFormat="false" ht="15" hidden="false" customHeight="true" outlineLevel="0" collapsed="false">
      <c r="B380" s="1" t="s">
        <v>1310</v>
      </c>
      <c r="C380" s="1" t="s">
        <v>267</v>
      </c>
      <c r="D380" s="1" t="n">
        <v>400</v>
      </c>
      <c r="E380" s="1" t="s">
        <v>134</v>
      </c>
      <c r="K380" s="1" t="s">
        <v>1311</v>
      </c>
    </row>
    <row r="381" customFormat="false" ht="15" hidden="false" customHeight="true" outlineLevel="0" collapsed="false">
      <c r="B381" s="1" t="s">
        <v>1312</v>
      </c>
      <c r="C381" s="1" t="s">
        <v>246</v>
      </c>
      <c r="D381" s="1" t="n">
        <v>380</v>
      </c>
      <c r="E381" s="1" t="s">
        <v>134</v>
      </c>
      <c r="K381" s="1" t="s">
        <v>1313</v>
      </c>
    </row>
    <row r="382" customFormat="false" ht="15" hidden="false" customHeight="true" outlineLevel="0" collapsed="false">
      <c r="B382" s="1" t="s">
        <v>1315</v>
      </c>
      <c r="C382" s="1" t="s">
        <v>246</v>
      </c>
      <c r="D382" s="1" t="n">
        <v>44</v>
      </c>
      <c r="E382" s="1" t="s">
        <v>131</v>
      </c>
      <c r="K382" s="1" t="s">
        <v>1316</v>
      </c>
    </row>
    <row r="383" customFormat="false" ht="15" hidden="false" customHeight="true" outlineLevel="0" collapsed="false">
      <c r="B383" s="1" t="s">
        <v>1318</v>
      </c>
      <c r="C383" s="1" t="s">
        <v>246</v>
      </c>
      <c r="D383" s="1" t="n">
        <v>30</v>
      </c>
      <c r="E383" s="1" t="s">
        <v>131</v>
      </c>
      <c r="K383" s="1" t="s">
        <v>1319</v>
      </c>
    </row>
    <row r="384" customFormat="false" ht="15" hidden="false" customHeight="true" outlineLevel="0" collapsed="false">
      <c r="B384" s="1" t="s">
        <v>1321</v>
      </c>
      <c r="C384" s="1" t="s">
        <v>246</v>
      </c>
      <c r="D384" s="1" t="n">
        <v>30</v>
      </c>
      <c r="E384" s="1" t="s">
        <v>131</v>
      </c>
      <c r="K384" s="1" t="s">
        <v>1322</v>
      </c>
    </row>
    <row r="385" customFormat="false" ht="15" hidden="false" customHeight="true" outlineLevel="0" collapsed="false">
      <c r="B385" s="1" t="s">
        <v>1324</v>
      </c>
      <c r="C385" s="1" t="s">
        <v>246</v>
      </c>
      <c r="D385" s="1" t="n">
        <v>10.5</v>
      </c>
      <c r="E385" s="1" t="s">
        <v>131</v>
      </c>
      <c r="K385" s="1" t="s">
        <v>1325</v>
      </c>
    </row>
    <row r="386" customFormat="false" ht="15" hidden="false" customHeight="true" outlineLevel="0" collapsed="false">
      <c r="B386" s="1" t="s">
        <v>1327</v>
      </c>
      <c r="C386" s="1" t="s">
        <v>246</v>
      </c>
      <c r="D386" s="1" t="n">
        <v>650</v>
      </c>
      <c r="E386" s="1" t="s">
        <v>131</v>
      </c>
      <c r="K386" s="1" t="s">
        <v>1328</v>
      </c>
    </row>
    <row r="387" customFormat="false" ht="15" hidden="false" customHeight="true" outlineLevel="0" collapsed="false">
      <c r="B387" s="1" t="s">
        <v>1329</v>
      </c>
      <c r="C387" s="1" t="s">
        <v>267</v>
      </c>
      <c r="D387" s="1" t="n">
        <v>1</v>
      </c>
      <c r="E387" s="1" t="s">
        <v>131</v>
      </c>
      <c r="K387" s="1" t="s">
        <v>1330</v>
      </c>
    </row>
    <row r="388" customFormat="false" ht="15" hidden="false" customHeight="true" outlineLevel="0" collapsed="false">
      <c r="B388" s="1" t="s">
        <v>1332</v>
      </c>
      <c r="C388" s="1" t="s">
        <v>246</v>
      </c>
      <c r="D388" s="1" t="n">
        <v>5500</v>
      </c>
      <c r="E388" s="1" t="s">
        <v>131</v>
      </c>
      <c r="K388" s="1" t="s">
        <v>1333</v>
      </c>
    </row>
    <row r="389" customFormat="false" ht="15" hidden="false" customHeight="true" outlineLevel="0" collapsed="false">
      <c r="B389" s="1" t="s">
        <v>1335</v>
      </c>
      <c r="C389" s="1" t="s">
        <v>246</v>
      </c>
      <c r="D389" s="1" t="n">
        <v>700</v>
      </c>
      <c r="E389" s="1" t="s">
        <v>131</v>
      </c>
      <c r="K389" s="1" t="s">
        <v>1336</v>
      </c>
    </row>
    <row r="390" customFormat="false" ht="15" hidden="false" customHeight="true" outlineLevel="0" collapsed="false">
      <c r="B390" s="1" t="s">
        <v>1338</v>
      </c>
      <c r="C390" s="1" t="s">
        <v>246</v>
      </c>
      <c r="D390" s="1" t="n">
        <v>1250</v>
      </c>
      <c r="E390" s="1" t="s">
        <v>131</v>
      </c>
      <c r="K390" s="1" t="s">
        <v>1339</v>
      </c>
    </row>
    <row r="391" customFormat="false" ht="15" hidden="false" customHeight="true" outlineLevel="0" collapsed="false">
      <c r="B391" s="1" t="s">
        <v>1341</v>
      </c>
      <c r="C391" s="1" t="s">
        <v>246</v>
      </c>
      <c r="D391" s="1" t="n">
        <v>4475</v>
      </c>
      <c r="E391" s="1" t="s">
        <v>131</v>
      </c>
      <c r="K391" s="1" t="s">
        <v>1342</v>
      </c>
    </row>
    <row r="392" customFormat="false" ht="15" hidden="false" customHeight="true" outlineLevel="0" collapsed="false">
      <c r="B392" s="1" t="s">
        <v>1344</v>
      </c>
      <c r="C392" s="1" t="s">
        <v>246</v>
      </c>
      <c r="D392" s="1" t="n">
        <v>15</v>
      </c>
      <c r="E392" s="1" t="s">
        <v>131</v>
      </c>
      <c r="K392" s="1" t="s">
        <v>1345</v>
      </c>
    </row>
    <row r="393" customFormat="false" ht="15" hidden="false" customHeight="true" outlineLevel="0" collapsed="false">
      <c r="B393" s="1" t="s">
        <v>1346</v>
      </c>
      <c r="C393" s="1" t="s">
        <v>246</v>
      </c>
      <c r="D393" s="1" t="n">
        <v>150</v>
      </c>
      <c r="E393" s="1" t="s">
        <v>131</v>
      </c>
      <c r="K393" s="1" t="s">
        <v>1347</v>
      </c>
    </row>
    <row r="394" customFormat="false" ht="15" hidden="false" customHeight="true" outlineLevel="0" collapsed="false">
      <c r="B394" s="1" t="s">
        <v>1349</v>
      </c>
      <c r="C394" s="1" t="s">
        <v>246</v>
      </c>
      <c r="D394" s="1" t="n">
        <v>30</v>
      </c>
      <c r="E394" s="1" t="s">
        <v>131</v>
      </c>
      <c r="K394" s="1" t="s">
        <v>1350</v>
      </c>
    </row>
    <row r="395" customFormat="false" ht="15" hidden="false" customHeight="true" outlineLevel="0" collapsed="false">
      <c r="B395" s="1" t="s">
        <v>1352</v>
      </c>
      <c r="C395" s="1" t="s">
        <v>246</v>
      </c>
      <c r="D395" s="1" t="n">
        <v>2150</v>
      </c>
      <c r="E395" s="1" t="s">
        <v>131</v>
      </c>
      <c r="K395" s="1" t="s">
        <v>1353</v>
      </c>
    </row>
    <row r="396" customFormat="false" ht="15" hidden="false" customHeight="true" outlineLevel="0" collapsed="false">
      <c r="B396" s="1" t="s">
        <v>1355</v>
      </c>
      <c r="C396" s="1" t="s">
        <v>246</v>
      </c>
      <c r="D396" s="1" t="n">
        <v>2.75</v>
      </c>
      <c r="E396" s="1" t="s">
        <v>131</v>
      </c>
      <c r="K396" s="1" t="s">
        <v>1356</v>
      </c>
    </row>
    <row r="397" customFormat="false" ht="15" hidden="false" customHeight="true" outlineLevel="0" collapsed="false">
      <c r="B397" s="1" t="s">
        <v>1358</v>
      </c>
      <c r="C397" s="1" t="s">
        <v>246</v>
      </c>
      <c r="D397" s="1" t="n">
        <v>1</v>
      </c>
      <c r="E397" s="1" t="s">
        <v>131</v>
      </c>
      <c r="K397" s="1" t="s">
        <v>1359</v>
      </c>
    </row>
    <row r="398" customFormat="false" ht="15" hidden="false" customHeight="true" outlineLevel="0" collapsed="false">
      <c r="B398" s="1" t="s">
        <v>1361</v>
      </c>
      <c r="C398" s="1" t="s">
        <v>246</v>
      </c>
      <c r="D398" s="1" t="n">
        <v>2.75</v>
      </c>
      <c r="E398" s="1" t="s">
        <v>131</v>
      </c>
      <c r="K398" s="1" t="s">
        <v>1362</v>
      </c>
    </row>
    <row r="399" customFormat="false" ht="15" hidden="false" customHeight="true" outlineLevel="0" collapsed="false">
      <c r="B399" s="1" t="s">
        <v>1364</v>
      </c>
      <c r="C399" s="1" t="s">
        <v>246</v>
      </c>
      <c r="D399" s="1" t="n">
        <v>2.5</v>
      </c>
      <c r="E399" s="1" t="s">
        <v>131</v>
      </c>
      <c r="K399" s="1" t="s">
        <v>1365</v>
      </c>
    </row>
    <row r="400" customFormat="false" ht="15" hidden="false" customHeight="true" outlineLevel="0" collapsed="false">
      <c r="B400" s="1" t="s">
        <v>1366</v>
      </c>
      <c r="C400" s="1" t="s">
        <v>246</v>
      </c>
      <c r="D400" s="1" t="n">
        <v>2000</v>
      </c>
      <c r="E400" s="1" t="s">
        <v>135</v>
      </c>
      <c r="K400" s="1" t="s">
        <v>1367</v>
      </c>
    </row>
    <row r="401" customFormat="false" ht="15" hidden="false" customHeight="true" outlineLevel="0" collapsed="false">
      <c r="B401" s="1" t="s">
        <v>1369</v>
      </c>
      <c r="C401" s="1" t="s">
        <v>246</v>
      </c>
      <c r="D401" s="1" t="n">
        <v>1100</v>
      </c>
      <c r="E401" s="1" t="s">
        <v>135</v>
      </c>
      <c r="K401" s="1" t="s">
        <v>1370</v>
      </c>
    </row>
    <row r="402" customFormat="false" ht="15" hidden="false" customHeight="true" outlineLevel="0" collapsed="false">
      <c r="B402" s="1" t="s">
        <v>1371</v>
      </c>
      <c r="C402" s="1" t="s">
        <v>246</v>
      </c>
      <c r="D402" s="1" t="n">
        <v>1400</v>
      </c>
      <c r="E402" s="1" t="s">
        <v>135</v>
      </c>
      <c r="K402" s="1" t="s">
        <v>1372</v>
      </c>
    </row>
    <row r="403" customFormat="false" ht="15" hidden="false" customHeight="true" outlineLevel="0" collapsed="false">
      <c r="B403" s="1" t="s">
        <v>1373</v>
      </c>
      <c r="C403" s="1" t="s">
        <v>246</v>
      </c>
      <c r="D403" s="1" t="n">
        <v>770</v>
      </c>
      <c r="E403" s="1" t="s">
        <v>135</v>
      </c>
      <c r="K403" s="1" t="s">
        <v>1374</v>
      </c>
    </row>
    <row r="404" customFormat="false" ht="15" hidden="false" customHeight="true" outlineLevel="0" collapsed="false">
      <c r="B404" s="1" t="s">
        <v>1376</v>
      </c>
      <c r="C404" s="1" t="s">
        <v>246</v>
      </c>
      <c r="D404" s="1" t="n">
        <v>950</v>
      </c>
      <c r="E404" s="1" t="s">
        <v>135</v>
      </c>
      <c r="K404" s="1" t="s">
        <v>1377</v>
      </c>
    </row>
    <row r="405" customFormat="false" ht="15" hidden="false" customHeight="true" outlineLevel="0" collapsed="false">
      <c r="B405" s="1" t="s">
        <v>1378</v>
      </c>
      <c r="C405" s="1" t="s">
        <v>246</v>
      </c>
      <c r="D405" s="1" t="n">
        <v>740</v>
      </c>
      <c r="E405" s="1" t="s">
        <v>135</v>
      </c>
      <c r="K405" s="1" t="s">
        <v>1379</v>
      </c>
    </row>
    <row r="406" customFormat="false" ht="15" hidden="false" customHeight="true" outlineLevel="0" collapsed="false">
      <c r="B406" s="1" t="s">
        <v>1381</v>
      </c>
      <c r="C406" s="1" t="s">
        <v>246</v>
      </c>
      <c r="D406" s="1" t="n">
        <v>200</v>
      </c>
      <c r="E406" s="1" t="s">
        <v>135</v>
      </c>
      <c r="K406" s="1" t="s">
        <v>1382</v>
      </c>
    </row>
    <row r="407" customFormat="false" ht="15" hidden="false" customHeight="true" outlineLevel="0" collapsed="false">
      <c r="B407" s="1" t="s">
        <v>1383</v>
      </c>
      <c r="C407" s="1" t="s">
        <v>246</v>
      </c>
      <c r="D407" s="1" t="n">
        <v>790</v>
      </c>
      <c r="E407" s="1" t="s">
        <v>135</v>
      </c>
      <c r="K407" s="1" t="s">
        <v>1384</v>
      </c>
    </row>
    <row r="408" customFormat="false" ht="15" hidden="false" customHeight="true" outlineLevel="0" collapsed="false">
      <c r="B408" s="1" t="s">
        <v>1386</v>
      </c>
      <c r="C408" s="1" t="s">
        <v>246</v>
      </c>
      <c r="D408" s="1" t="n">
        <v>10000</v>
      </c>
      <c r="E408" s="1" t="s">
        <v>135</v>
      </c>
      <c r="K408" s="1" t="s">
        <v>1387</v>
      </c>
    </row>
    <row r="409" customFormat="false" ht="15" hidden="false" customHeight="true" outlineLevel="0" collapsed="false">
      <c r="B409" s="1" t="s">
        <v>1389</v>
      </c>
      <c r="C409" s="1" t="s">
        <v>246</v>
      </c>
      <c r="D409" s="1" t="n">
        <v>50</v>
      </c>
      <c r="E409" s="1" t="s">
        <v>135</v>
      </c>
      <c r="K409" s="1" t="s">
        <v>1390</v>
      </c>
    </row>
    <row r="410" customFormat="false" ht="15" hidden="false" customHeight="true" outlineLevel="0" collapsed="false">
      <c r="B410" s="1" t="s">
        <v>1392</v>
      </c>
      <c r="C410" s="1" t="s">
        <v>246</v>
      </c>
      <c r="D410" s="1" t="n">
        <v>3500</v>
      </c>
      <c r="E410" s="1" t="s">
        <v>135</v>
      </c>
      <c r="K410" s="1" t="s">
        <v>1393</v>
      </c>
    </row>
    <row r="411" customFormat="false" ht="15" hidden="false" customHeight="true" outlineLevel="0" collapsed="false">
      <c r="B411" s="1" t="s">
        <v>1394</v>
      </c>
      <c r="C411" s="1" t="s">
        <v>246</v>
      </c>
      <c r="D411" s="1" t="n">
        <v>850</v>
      </c>
      <c r="E411" s="1" t="s">
        <v>135</v>
      </c>
      <c r="K411" s="1" t="s">
        <v>1395</v>
      </c>
    </row>
    <row r="412" customFormat="false" ht="15" hidden="false" customHeight="true" outlineLevel="0" collapsed="false">
      <c r="B412" s="1" t="s">
        <v>1396</v>
      </c>
      <c r="C412" s="1" t="s">
        <v>246</v>
      </c>
      <c r="D412" s="1" t="n">
        <v>770</v>
      </c>
      <c r="E412" s="1" t="s">
        <v>135</v>
      </c>
      <c r="K412" s="1" t="s">
        <v>1397</v>
      </c>
    </row>
    <row r="413" customFormat="false" ht="15" hidden="false" customHeight="true" outlineLevel="0" collapsed="false">
      <c r="B413" s="1" t="s">
        <v>1398</v>
      </c>
      <c r="C413" s="1" t="s">
        <v>246</v>
      </c>
      <c r="D413" s="1" t="n">
        <v>660</v>
      </c>
      <c r="E413" s="1" t="s">
        <v>135</v>
      </c>
      <c r="K413" s="1" t="s">
        <v>1399</v>
      </c>
    </row>
    <row r="414" customFormat="false" ht="15" hidden="false" customHeight="true" outlineLevel="0" collapsed="false">
      <c r="B414" s="1" t="s">
        <v>1400</v>
      </c>
      <c r="C414" s="1" t="s">
        <v>246</v>
      </c>
      <c r="D414" s="1" t="n">
        <v>220</v>
      </c>
      <c r="E414" s="1" t="s">
        <v>135</v>
      </c>
      <c r="K414" s="1" t="s">
        <v>1401</v>
      </c>
    </row>
    <row r="415" customFormat="false" ht="15" hidden="false" customHeight="true" outlineLevel="0" collapsed="false">
      <c r="B415" s="1" t="s">
        <v>1402</v>
      </c>
      <c r="C415" s="1" t="s">
        <v>246</v>
      </c>
      <c r="D415" s="1" t="n">
        <v>220</v>
      </c>
      <c r="E415" s="1" t="s">
        <v>135</v>
      </c>
      <c r="K415" s="1" t="s">
        <v>1403</v>
      </c>
    </row>
    <row r="416" customFormat="false" ht="15" hidden="false" customHeight="true" outlineLevel="0" collapsed="false">
      <c r="B416" s="1" t="s">
        <v>1404</v>
      </c>
      <c r="C416" s="1" t="s">
        <v>246</v>
      </c>
      <c r="D416" s="1" t="n">
        <v>280</v>
      </c>
      <c r="E416" s="1" t="s">
        <v>135</v>
      </c>
      <c r="K416" s="1" t="s">
        <v>1405</v>
      </c>
    </row>
    <row r="417" customFormat="false" ht="15" hidden="false" customHeight="true" outlineLevel="0" collapsed="false">
      <c r="B417" s="1" t="s">
        <v>1406</v>
      </c>
      <c r="C417" s="1" t="s">
        <v>246</v>
      </c>
      <c r="D417" s="1" t="n">
        <v>0</v>
      </c>
      <c r="E417" s="1" t="s">
        <v>135</v>
      </c>
      <c r="K417" s="1" t="s">
        <v>1407</v>
      </c>
    </row>
    <row r="418" customFormat="false" ht="15" hidden="false" customHeight="true" outlineLevel="0" collapsed="false">
      <c r="B418" s="1" t="s">
        <v>1408</v>
      </c>
      <c r="C418" s="1" t="s">
        <v>246</v>
      </c>
      <c r="D418" s="1" t="n">
        <v>2100</v>
      </c>
      <c r="E418" s="1" t="s">
        <v>135</v>
      </c>
      <c r="K418" s="1" t="s">
        <v>1409</v>
      </c>
    </row>
    <row r="419" customFormat="false" ht="15" hidden="false" customHeight="true" outlineLevel="0" collapsed="false">
      <c r="B419" s="1" t="s">
        <v>1410</v>
      </c>
      <c r="C419" s="1" t="s">
        <v>246</v>
      </c>
      <c r="D419" s="1" t="n">
        <v>4000</v>
      </c>
      <c r="E419" s="1" t="s">
        <v>135</v>
      </c>
      <c r="K419" s="1" t="s">
        <v>1411</v>
      </c>
    </row>
    <row r="420" customFormat="false" ht="15" hidden="false" customHeight="true" outlineLevel="0" collapsed="false">
      <c r="B420" s="1" t="s">
        <v>1414</v>
      </c>
      <c r="C420" s="1" t="s">
        <v>246</v>
      </c>
      <c r="D420" s="1" t="n">
        <v>700</v>
      </c>
      <c r="E420" s="1" t="s">
        <v>135</v>
      </c>
      <c r="K420" s="1" t="s">
        <v>1415</v>
      </c>
    </row>
    <row r="421" customFormat="false" ht="15" hidden="false" customHeight="true" outlineLevel="0" collapsed="false">
      <c r="B421" s="1" t="s">
        <v>1416</v>
      </c>
      <c r="C421" s="1" t="s">
        <v>246</v>
      </c>
      <c r="D421" s="1" t="n">
        <v>660</v>
      </c>
      <c r="E421" s="1" t="s">
        <v>128</v>
      </c>
      <c r="K421" s="1" t="s">
        <v>1417</v>
      </c>
    </row>
    <row r="422" customFormat="false" ht="15" hidden="false" customHeight="true" outlineLevel="0" collapsed="false">
      <c r="B422" s="1" t="s">
        <v>1418</v>
      </c>
      <c r="C422" s="1" t="s">
        <v>246</v>
      </c>
      <c r="D422" s="1" t="n">
        <v>450</v>
      </c>
      <c r="E422" s="1" t="s">
        <v>128</v>
      </c>
      <c r="K422" s="1" t="s">
        <v>1419</v>
      </c>
    </row>
    <row r="423" customFormat="false" ht="15" hidden="false" customHeight="true" outlineLevel="0" collapsed="false">
      <c r="B423" s="1" t="s">
        <v>1421</v>
      </c>
      <c r="C423" s="1" t="s">
        <v>246</v>
      </c>
      <c r="D423" s="1" t="n">
        <v>450</v>
      </c>
      <c r="E423" s="1" t="s">
        <v>128</v>
      </c>
      <c r="K423" s="1" t="s">
        <v>1422</v>
      </c>
    </row>
    <row r="424" customFormat="false" ht="15" hidden="false" customHeight="true" outlineLevel="0" collapsed="false">
      <c r="B424" s="1" t="s">
        <v>1424</v>
      </c>
      <c r="C424" s="1" t="s">
        <v>246</v>
      </c>
      <c r="D424" s="1" t="n">
        <v>1300</v>
      </c>
      <c r="E424" s="1" t="s">
        <v>128</v>
      </c>
      <c r="K424" s="1" t="s">
        <v>1425</v>
      </c>
    </row>
    <row r="425" customFormat="false" ht="15" hidden="false" customHeight="true" outlineLevel="0" collapsed="false">
      <c r="B425" s="1" t="s">
        <v>1426</v>
      </c>
      <c r="C425" s="1" t="s">
        <v>246</v>
      </c>
      <c r="D425" s="1" t="n">
        <v>925</v>
      </c>
      <c r="E425" s="1" t="s">
        <v>128</v>
      </c>
      <c r="K425" s="1" t="s">
        <v>1427</v>
      </c>
    </row>
    <row r="426" customFormat="false" ht="15" hidden="false" customHeight="true" outlineLevel="0" collapsed="false">
      <c r="B426" s="1" t="s">
        <v>1428</v>
      </c>
      <c r="C426" s="1" t="s">
        <v>246</v>
      </c>
      <c r="D426" s="1" t="n">
        <v>1390</v>
      </c>
      <c r="E426" s="1" t="s">
        <v>128</v>
      </c>
      <c r="K426" s="1" t="s">
        <v>1429</v>
      </c>
    </row>
    <row r="427" customFormat="false" ht="15" hidden="false" customHeight="true" outlineLevel="0" collapsed="false">
      <c r="B427" s="1" t="s">
        <v>1432</v>
      </c>
      <c r="C427" s="1" t="s">
        <v>246</v>
      </c>
      <c r="D427" s="1" t="n">
        <v>920</v>
      </c>
      <c r="E427" s="1" t="s">
        <v>128</v>
      </c>
      <c r="K427" s="1" t="s">
        <v>1433</v>
      </c>
    </row>
    <row r="428" customFormat="false" ht="15" hidden="false" customHeight="true" outlineLevel="0" collapsed="false">
      <c r="B428" s="1" t="s">
        <v>1436</v>
      </c>
      <c r="C428" s="1" t="s">
        <v>246</v>
      </c>
      <c r="D428" s="1" t="n">
        <v>4650</v>
      </c>
      <c r="E428" s="1" t="s">
        <v>128</v>
      </c>
      <c r="K428" s="1" t="s">
        <v>1437</v>
      </c>
    </row>
    <row r="429" customFormat="false" ht="15" hidden="false" customHeight="true" outlineLevel="0" collapsed="false">
      <c r="B429" s="1" t="s">
        <v>1440</v>
      </c>
      <c r="C429" s="1" t="s">
        <v>246</v>
      </c>
      <c r="D429" s="1" t="n">
        <v>470</v>
      </c>
      <c r="E429" s="1" t="s">
        <v>128</v>
      </c>
      <c r="K429" s="1" t="s">
        <v>1441</v>
      </c>
    </row>
    <row r="430" customFormat="false" ht="15" hidden="false" customHeight="true" outlineLevel="0" collapsed="false">
      <c r="B430" s="1" t="s">
        <v>1443</v>
      </c>
      <c r="C430" s="1" t="s">
        <v>246</v>
      </c>
      <c r="D430" s="1" t="n">
        <v>377</v>
      </c>
      <c r="E430" s="1" t="s">
        <v>128</v>
      </c>
      <c r="K430" s="1" t="s">
        <v>1444</v>
      </c>
    </row>
    <row r="431" customFormat="false" ht="15" hidden="false" customHeight="true" outlineLevel="0" collapsed="false">
      <c r="B431" s="1" t="s">
        <v>1447</v>
      </c>
      <c r="C431" s="1" t="s">
        <v>246</v>
      </c>
      <c r="D431" s="1" t="n">
        <v>80</v>
      </c>
      <c r="E431" s="1" t="s">
        <v>128</v>
      </c>
      <c r="K431" s="1" t="s">
        <v>1448</v>
      </c>
    </row>
    <row r="432" customFormat="false" ht="15" hidden="false" customHeight="true" outlineLevel="0" collapsed="false">
      <c r="B432" s="1" t="s">
        <v>1449</v>
      </c>
      <c r="C432" s="1" t="s">
        <v>246</v>
      </c>
      <c r="D432" s="1" t="n">
        <v>314</v>
      </c>
      <c r="E432" s="1" t="s">
        <v>128</v>
      </c>
      <c r="K432" s="1" t="s">
        <v>1450</v>
      </c>
    </row>
    <row r="433" customFormat="false" ht="15" hidden="false" customHeight="true" outlineLevel="0" collapsed="false">
      <c r="B433" s="1" t="s">
        <v>1451</v>
      </c>
      <c r="C433" s="1" t="s">
        <v>246</v>
      </c>
      <c r="D433" s="1" t="n">
        <v>87.5</v>
      </c>
      <c r="E433" s="1" t="s">
        <v>128</v>
      </c>
      <c r="K433" s="1" t="s">
        <v>1452</v>
      </c>
    </row>
    <row r="434" customFormat="false" ht="15" hidden="false" customHeight="true" outlineLevel="0" collapsed="false">
      <c r="B434" s="1" t="s">
        <v>1453</v>
      </c>
      <c r="C434" s="1" t="s">
        <v>246</v>
      </c>
      <c r="D434" s="1" t="n">
        <v>1250</v>
      </c>
      <c r="E434" s="1" t="s">
        <v>128</v>
      </c>
      <c r="K434" s="1" t="s">
        <v>1454</v>
      </c>
    </row>
    <row r="435" customFormat="false" ht="15" hidden="false" customHeight="true" outlineLevel="0" collapsed="false">
      <c r="B435" s="1" t="s">
        <v>1455</v>
      </c>
      <c r="C435" s="1" t="s">
        <v>246</v>
      </c>
      <c r="D435" s="1" t="n">
        <v>350</v>
      </c>
      <c r="E435" s="1" t="s">
        <v>128</v>
      </c>
      <c r="K435" s="1" t="s">
        <v>1456</v>
      </c>
    </row>
    <row r="436" customFormat="false" ht="15" hidden="false" customHeight="true" outlineLevel="0" collapsed="false">
      <c r="B436" s="1" t="s">
        <v>1458</v>
      </c>
      <c r="C436" s="1" t="s">
        <v>246</v>
      </c>
      <c r="D436" s="1" t="n">
        <v>850</v>
      </c>
      <c r="E436" s="1" t="s">
        <v>128</v>
      </c>
      <c r="K436" s="1" t="s">
        <v>1459</v>
      </c>
    </row>
    <row r="437" customFormat="false" ht="15" hidden="false" customHeight="true" outlineLevel="0" collapsed="false">
      <c r="B437" s="1" t="s">
        <v>1461</v>
      </c>
      <c r="C437" s="1" t="s">
        <v>246</v>
      </c>
      <c r="D437" s="1" t="n">
        <v>1150</v>
      </c>
      <c r="E437" s="1" t="s">
        <v>128</v>
      </c>
      <c r="K437" s="1" t="s">
        <v>1462</v>
      </c>
    </row>
    <row r="438" customFormat="false" ht="15" hidden="false" customHeight="true" outlineLevel="0" collapsed="false">
      <c r="B438" s="1" t="s">
        <v>1464</v>
      </c>
      <c r="C438" s="1" t="s">
        <v>246</v>
      </c>
      <c r="D438" s="1" t="n">
        <v>1050</v>
      </c>
      <c r="E438" s="1" t="s">
        <v>128</v>
      </c>
      <c r="K438" s="1" t="s">
        <v>1465</v>
      </c>
    </row>
    <row r="439" customFormat="false" ht="15" hidden="false" customHeight="true" outlineLevel="0" collapsed="false">
      <c r="B439" s="1" t="s">
        <v>1467</v>
      </c>
      <c r="C439" s="1" t="s">
        <v>246</v>
      </c>
      <c r="D439" s="1" t="n">
        <v>280</v>
      </c>
      <c r="E439" s="1" t="s">
        <v>128</v>
      </c>
      <c r="K439" s="1" t="s">
        <v>1468</v>
      </c>
    </row>
    <row r="440" customFormat="false" ht="15" hidden="false" customHeight="true" outlineLevel="0" collapsed="false">
      <c r="B440" s="1" t="s">
        <v>1470</v>
      </c>
      <c r="C440" s="1" t="s">
        <v>246</v>
      </c>
      <c r="D440" s="1" t="n">
        <v>521.42</v>
      </c>
      <c r="E440" s="1" t="s">
        <v>128</v>
      </c>
      <c r="K440" s="1" t="s">
        <v>1471</v>
      </c>
    </row>
    <row r="441" customFormat="false" ht="15" hidden="false" customHeight="true" outlineLevel="0" collapsed="false">
      <c r="B441" s="1" t="s">
        <v>1473</v>
      </c>
      <c r="C441" s="1" t="s">
        <v>246</v>
      </c>
      <c r="D441" s="1" t="n">
        <v>900</v>
      </c>
      <c r="E441" s="1" t="s">
        <v>128</v>
      </c>
      <c r="K441" s="1" t="s">
        <v>1474</v>
      </c>
    </row>
    <row r="442" customFormat="false" ht="15" hidden="false" customHeight="true" outlineLevel="0" collapsed="false">
      <c r="B442" s="1" t="s">
        <v>1476</v>
      </c>
      <c r="C442" s="1" t="s">
        <v>246</v>
      </c>
      <c r="D442" s="1" t="n">
        <v>300</v>
      </c>
      <c r="E442" s="1" t="s">
        <v>128</v>
      </c>
      <c r="K442" s="1" t="s">
        <v>1477</v>
      </c>
    </row>
    <row r="443" customFormat="false" ht="15" hidden="false" customHeight="true" outlineLevel="0" collapsed="false">
      <c r="B443" s="1" t="s">
        <v>1479</v>
      </c>
      <c r="C443" s="1" t="s">
        <v>246</v>
      </c>
      <c r="D443" s="1" t="n">
        <v>200</v>
      </c>
      <c r="E443" s="1" t="s">
        <v>128</v>
      </c>
      <c r="K443" s="1" t="s">
        <v>1480</v>
      </c>
    </row>
    <row r="444" customFormat="false" ht="15" hidden="false" customHeight="true" outlineLevel="0" collapsed="false">
      <c r="B444" s="1" t="s">
        <v>1482</v>
      </c>
      <c r="C444" s="1" t="s">
        <v>246</v>
      </c>
      <c r="D444" s="1" t="n">
        <v>200</v>
      </c>
      <c r="E444" s="1" t="s">
        <v>128</v>
      </c>
      <c r="K444" s="1" t="s">
        <v>1483</v>
      </c>
    </row>
    <row r="445" customFormat="false" ht="15" hidden="false" customHeight="true" outlineLevel="0" collapsed="false">
      <c r="B445" s="1" t="s">
        <v>1485</v>
      </c>
      <c r="C445" s="1" t="s">
        <v>246</v>
      </c>
      <c r="D445" s="1" t="n">
        <v>250</v>
      </c>
      <c r="E445" s="1" t="s">
        <v>128</v>
      </c>
      <c r="K445" s="1" t="s">
        <v>1486</v>
      </c>
    </row>
    <row r="446" customFormat="false" ht="15" hidden="false" customHeight="true" outlineLevel="0" collapsed="false">
      <c r="B446" s="1" t="s">
        <v>1487</v>
      </c>
      <c r="C446" s="1" t="s">
        <v>246</v>
      </c>
      <c r="D446" s="1" t="n">
        <v>950</v>
      </c>
      <c r="E446" s="1" t="s">
        <v>128</v>
      </c>
      <c r="K446" s="1" t="s">
        <v>1488</v>
      </c>
    </row>
    <row r="447" customFormat="false" ht="15" hidden="false" customHeight="true" outlineLevel="0" collapsed="false">
      <c r="B447" s="1" t="s">
        <v>1489</v>
      </c>
      <c r="C447" s="1" t="s">
        <v>246</v>
      </c>
      <c r="D447" s="1" t="n">
        <v>750</v>
      </c>
      <c r="E447" s="1" t="s">
        <v>128</v>
      </c>
      <c r="K447" s="1" t="s">
        <v>1490</v>
      </c>
    </row>
    <row r="448" customFormat="false" ht="15" hidden="false" customHeight="true" outlineLevel="0" collapsed="false">
      <c r="B448" s="1" t="s">
        <v>1491</v>
      </c>
      <c r="C448" s="1" t="s">
        <v>246</v>
      </c>
      <c r="D448" s="1" t="n">
        <v>12.6</v>
      </c>
      <c r="E448" s="1" t="s">
        <v>128</v>
      </c>
      <c r="K448" s="1" t="s">
        <v>1492</v>
      </c>
    </row>
    <row r="449" customFormat="false" ht="15" hidden="false" customHeight="true" outlineLevel="0" collapsed="false">
      <c r="B449" s="1" t="s">
        <v>1493</v>
      </c>
      <c r="C449" s="1" t="s">
        <v>246</v>
      </c>
      <c r="D449" s="1" t="n">
        <v>2300</v>
      </c>
      <c r="E449" s="1" t="s">
        <v>128</v>
      </c>
      <c r="K449" s="1" t="s">
        <v>1494</v>
      </c>
    </row>
    <row r="450" customFormat="false" ht="15" hidden="false" customHeight="true" outlineLevel="0" collapsed="false">
      <c r="B450" s="1" t="s">
        <v>1495</v>
      </c>
      <c r="C450" s="1" t="s">
        <v>246</v>
      </c>
      <c r="D450" s="1" t="n">
        <v>140</v>
      </c>
      <c r="E450" s="1" t="s">
        <v>128</v>
      </c>
      <c r="K450" s="1" t="s">
        <v>1496</v>
      </c>
    </row>
    <row r="451" customFormat="false" ht="15" hidden="false" customHeight="true" outlineLevel="0" collapsed="false">
      <c r="B451" s="1" t="s">
        <v>1497</v>
      </c>
      <c r="C451" s="1" t="s">
        <v>246</v>
      </c>
      <c r="D451" s="1" t="n">
        <v>180</v>
      </c>
      <c r="E451" s="1" t="s">
        <v>128</v>
      </c>
      <c r="K451" s="1" t="s">
        <v>1498</v>
      </c>
    </row>
    <row r="452" customFormat="false" ht="15" hidden="false" customHeight="true" outlineLevel="0" collapsed="false">
      <c r="B452" s="1" t="s">
        <v>1499</v>
      </c>
      <c r="C452" s="1" t="s">
        <v>246</v>
      </c>
      <c r="D452" s="1" t="n">
        <v>460</v>
      </c>
      <c r="E452" s="1" t="s">
        <v>128</v>
      </c>
      <c r="K452" s="1" t="s">
        <v>1500</v>
      </c>
    </row>
    <row r="453" customFormat="false" ht="15" hidden="false" customHeight="true" outlineLevel="0" collapsed="false">
      <c r="B453" s="1" t="s">
        <v>1501</v>
      </c>
      <c r="C453" s="1" t="s">
        <v>246</v>
      </c>
      <c r="D453" s="1" t="n">
        <v>165</v>
      </c>
      <c r="E453" s="1" t="s">
        <v>128</v>
      </c>
      <c r="K453" s="1" t="s">
        <v>1502</v>
      </c>
    </row>
    <row r="454" customFormat="false" ht="15" hidden="false" customHeight="true" outlineLevel="0" collapsed="false">
      <c r="B454" s="1" t="s">
        <v>1503</v>
      </c>
      <c r="C454" s="1" t="s">
        <v>246</v>
      </c>
      <c r="D454" s="1" t="n">
        <v>140</v>
      </c>
      <c r="E454" s="1" t="s">
        <v>128</v>
      </c>
      <c r="K454" s="1" t="s">
        <v>1504</v>
      </c>
    </row>
    <row r="455" customFormat="false" ht="15" hidden="false" customHeight="true" outlineLevel="0" collapsed="false">
      <c r="B455" s="1" t="s">
        <v>1505</v>
      </c>
      <c r="C455" s="1" t="s">
        <v>246</v>
      </c>
      <c r="D455" s="1" t="n">
        <v>75</v>
      </c>
      <c r="E455" s="1" t="s">
        <v>128</v>
      </c>
      <c r="K455" s="1" t="s">
        <v>1506</v>
      </c>
    </row>
    <row r="456" customFormat="false" ht="15" hidden="false" customHeight="true" outlineLevel="0" collapsed="false">
      <c r="B456" s="1" t="s">
        <v>1508</v>
      </c>
      <c r="C456" s="1" t="s">
        <v>246</v>
      </c>
      <c r="D456" s="1" t="n">
        <v>33.3333333333333</v>
      </c>
      <c r="E456" s="1" t="s">
        <v>128</v>
      </c>
      <c r="K456" s="1" t="s">
        <v>1509</v>
      </c>
    </row>
    <row r="457" customFormat="false" ht="15" hidden="false" customHeight="true" outlineLevel="0" collapsed="false">
      <c r="B457" s="1" t="s">
        <v>1510</v>
      </c>
      <c r="C457" s="1" t="s">
        <v>246</v>
      </c>
      <c r="D457" s="1" t="n">
        <v>7950</v>
      </c>
      <c r="E457" s="1" t="s">
        <v>128</v>
      </c>
      <c r="K457" s="1" t="s">
        <v>1511</v>
      </c>
    </row>
    <row r="458" customFormat="false" ht="15" hidden="false" customHeight="true" outlineLevel="0" collapsed="false">
      <c r="B458" s="1" t="s">
        <v>1513</v>
      </c>
      <c r="C458" s="1" t="s">
        <v>246</v>
      </c>
      <c r="D458" s="1" t="n">
        <v>850</v>
      </c>
      <c r="E458" s="1" t="s">
        <v>128</v>
      </c>
      <c r="K458" s="1" t="s">
        <v>1514</v>
      </c>
    </row>
    <row r="459" customFormat="false" ht="15" hidden="false" customHeight="true" outlineLevel="0" collapsed="false">
      <c r="B459" s="1" t="s">
        <v>1517</v>
      </c>
      <c r="C459" s="1" t="s">
        <v>246</v>
      </c>
      <c r="D459" s="1" t="n">
        <v>400</v>
      </c>
      <c r="E459" s="1" t="s">
        <v>128</v>
      </c>
      <c r="K459" s="1" t="s">
        <v>1518</v>
      </c>
    </row>
    <row r="460" customFormat="false" ht="15" hidden="false" customHeight="true" outlineLevel="0" collapsed="false">
      <c r="B460" s="1" t="s">
        <v>1520</v>
      </c>
      <c r="C460" s="1" t="s">
        <v>246</v>
      </c>
      <c r="D460" s="1" t="n">
        <v>480</v>
      </c>
      <c r="E460" s="1" t="s">
        <v>128</v>
      </c>
      <c r="K460" s="1" t="s">
        <v>1521</v>
      </c>
    </row>
    <row r="461" customFormat="false" ht="15" hidden="false" customHeight="true" outlineLevel="0" collapsed="false">
      <c r="B461" s="1" t="s">
        <v>1523</v>
      </c>
      <c r="C461" s="1" t="s">
        <v>246</v>
      </c>
      <c r="D461" s="1" t="n">
        <v>250</v>
      </c>
      <c r="E461" s="1" t="s">
        <v>128</v>
      </c>
      <c r="K461" s="1" t="s">
        <v>1524</v>
      </c>
    </row>
    <row r="462" customFormat="false" ht="15" hidden="false" customHeight="true" outlineLevel="0" collapsed="false">
      <c r="B462" s="1" t="s">
        <v>1526</v>
      </c>
      <c r="C462" s="1" t="s">
        <v>246</v>
      </c>
      <c r="D462" s="1" t="n">
        <v>83</v>
      </c>
      <c r="E462" s="1" t="s">
        <v>128</v>
      </c>
      <c r="K462" s="1" t="s">
        <v>1527</v>
      </c>
    </row>
    <row r="463" customFormat="false" ht="15" hidden="false" customHeight="true" outlineLevel="0" collapsed="false">
      <c r="B463" s="1" t="s">
        <v>1528</v>
      </c>
      <c r="C463" s="1" t="s">
        <v>246</v>
      </c>
      <c r="D463" s="1" t="n">
        <v>133</v>
      </c>
      <c r="E463" s="1" t="s">
        <v>128</v>
      </c>
      <c r="K463" s="1" t="s">
        <v>1529</v>
      </c>
    </row>
    <row r="464" customFormat="false" ht="15" hidden="false" customHeight="true" outlineLevel="0" collapsed="false">
      <c r="B464" s="1" t="s">
        <v>1531</v>
      </c>
      <c r="C464" s="1" t="s">
        <v>246</v>
      </c>
      <c r="D464" s="1" t="n">
        <v>3250</v>
      </c>
      <c r="E464" s="1" t="s">
        <v>128</v>
      </c>
      <c r="K464" s="1" t="s">
        <v>1532</v>
      </c>
    </row>
    <row r="465" customFormat="false" ht="15" hidden="false" customHeight="true" outlineLevel="0" collapsed="false">
      <c r="B465" s="1" t="s">
        <v>1534</v>
      </c>
      <c r="C465" s="1" t="s">
        <v>1536</v>
      </c>
      <c r="D465" s="1" t="n">
        <v>0</v>
      </c>
      <c r="E465" s="1" t="s">
        <v>136</v>
      </c>
      <c r="K465" s="1" t="s">
        <v>1535</v>
      </c>
    </row>
    <row r="466" customFormat="false" ht="15" hidden="false" customHeight="true" outlineLevel="0" collapsed="false">
      <c r="B466" s="1" t="s">
        <v>1537</v>
      </c>
      <c r="C466" s="1" t="s">
        <v>1536</v>
      </c>
      <c r="D466" s="1" t="n">
        <v>0</v>
      </c>
      <c r="E466" s="1" t="s">
        <v>136</v>
      </c>
      <c r="K466" s="1" t="s">
        <v>1119</v>
      </c>
    </row>
    <row r="467" customFormat="false" ht="15" hidden="false" customHeight="true" outlineLevel="0" collapsed="false">
      <c r="B467" s="1" t="s">
        <v>1539</v>
      </c>
      <c r="C467" s="1" t="s">
        <v>1536</v>
      </c>
      <c r="D467" s="1" t="n">
        <v>1900</v>
      </c>
      <c r="E467" s="1" t="s">
        <v>136</v>
      </c>
      <c r="K467" s="1" t="s">
        <v>1540</v>
      </c>
    </row>
    <row r="468" customFormat="false" ht="15" hidden="false" customHeight="true" outlineLevel="0" collapsed="false">
      <c r="B468" s="1" t="s">
        <v>1542</v>
      </c>
      <c r="C468" s="1" t="s">
        <v>601</v>
      </c>
      <c r="D468" s="1" t="n">
        <v>500</v>
      </c>
      <c r="E468" s="1" t="s">
        <v>136</v>
      </c>
      <c r="K468" s="1" t="s">
        <v>1543</v>
      </c>
    </row>
    <row r="469" customFormat="false" ht="15" hidden="false" customHeight="true" outlineLevel="0" collapsed="false">
      <c r="B469" s="1" t="s">
        <v>1545</v>
      </c>
      <c r="C469" s="1" t="s">
        <v>246</v>
      </c>
      <c r="D469" s="1" t="n">
        <v>104.166666666667</v>
      </c>
      <c r="E469" s="1" t="s">
        <v>128</v>
      </c>
      <c r="K469" s="1" t="s">
        <v>1546</v>
      </c>
    </row>
    <row r="470" customFormat="false" ht="15" hidden="false" customHeight="true" outlineLevel="0" collapsed="false">
      <c r="B470" s="1" t="s">
        <v>1548</v>
      </c>
      <c r="C470" s="1" t="s">
        <v>246</v>
      </c>
      <c r="D470" s="1" t="n">
        <v>0</v>
      </c>
      <c r="E470" s="1" t="s">
        <v>131</v>
      </c>
      <c r="K470" s="1" t="s">
        <v>1549</v>
      </c>
    </row>
    <row r="471" customFormat="false" ht="15" hidden="false" customHeight="true" outlineLevel="0" collapsed="false">
      <c r="B471" s="1" t="s">
        <v>1550</v>
      </c>
      <c r="C471" s="1" t="s">
        <v>246</v>
      </c>
      <c r="D471" s="1" t="n">
        <v>304</v>
      </c>
      <c r="E471" s="1" t="s">
        <v>131</v>
      </c>
      <c r="K471" s="1" t="s">
        <v>1551</v>
      </c>
    </row>
    <row r="472" customFormat="false" ht="15" hidden="false" customHeight="true" outlineLevel="0" collapsed="false">
      <c r="B472" s="1" t="s">
        <v>1552</v>
      </c>
      <c r="C472" s="1" t="s">
        <v>246</v>
      </c>
      <c r="D472" s="1" t="n">
        <v>900</v>
      </c>
      <c r="E472" s="1" t="s">
        <v>128</v>
      </c>
      <c r="K472" s="1" t="s">
        <v>1553</v>
      </c>
    </row>
    <row r="473" customFormat="false" ht="15" hidden="false" customHeight="true" outlineLevel="0" collapsed="false">
      <c r="B473" s="1" t="s">
        <v>1554</v>
      </c>
      <c r="C473" s="1" t="s">
        <v>246</v>
      </c>
      <c r="D473" s="1" t="n">
        <v>500</v>
      </c>
      <c r="E473" s="1" t="s">
        <v>128</v>
      </c>
      <c r="K473" s="1" t="s">
        <v>1555</v>
      </c>
    </row>
    <row r="474" customFormat="false" ht="15" hidden="false" customHeight="true" outlineLevel="0" collapsed="false">
      <c r="B474" s="1" t="s">
        <v>1556</v>
      </c>
      <c r="C474" s="1" t="s">
        <v>246</v>
      </c>
      <c r="D474" s="1" t="n">
        <v>1800</v>
      </c>
      <c r="E474" s="1" t="s">
        <v>128</v>
      </c>
      <c r="K474" s="1" t="s">
        <v>1557</v>
      </c>
    </row>
    <row r="475" customFormat="false" ht="15" hidden="false" customHeight="true" outlineLevel="0" collapsed="false">
      <c r="B475" s="1" t="s">
        <v>1558</v>
      </c>
      <c r="C475" s="1" t="s">
        <v>246</v>
      </c>
      <c r="D475" s="1" t="n">
        <v>3500</v>
      </c>
      <c r="E475" s="1" t="s">
        <v>128</v>
      </c>
      <c r="K475" s="1" t="s">
        <v>1559</v>
      </c>
    </row>
    <row r="476" customFormat="false" ht="15" hidden="false" customHeight="true" outlineLevel="0" collapsed="false">
      <c r="B476" s="1" t="s">
        <v>1561</v>
      </c>
      <c r="C476" s="1" t="s">
        <v>246</v>
      </c>
      <c r="D476" s="1" t="n">
        <v>4000</v>
      </c>
      <c r="E476" s="1" t="s">
        <v>128</v>
      </c>
      <c r="K476" s="1" t="s">
        <v>1562</v>
      </c>
    </row>
    <row r="477" customFormat="false" ht="15" hidden="false" customHeight="true" outlineLevel="0" collapsed="false">
      <c r="B477" s="1" t="s">
        <v>1565</v>
      </c>
      <c r="C477" s="1" t="s">
        <v>815</v>
      </c>
      <c r="D477" s="1" t="n">
        <v>1070</v>
      </c>
      <c r="E477" s="1" t="s">
        <v>128</v>
      </c>
      <c r="K477" s="1" t="s">
        <v>1566</v>
      </c>
    </row>
    <row r="478" customFormat="false" ht="15" hidden="false" customHeight="true" outlineLevel="0" collapsed="false">
      <c r="B478" s="1" t="s">
        <v>1567</v>
      </c>
      <c r="C478" s="1" t="s">
        <v>815</v>
      </c>
      <c r="D478" s="1" t="n">
        <v>400</v>
      </c>
      <c r="E478" s="1" t="s">
        <v>128</v>
      </c>
      <c r="K478" s="1" t="s">
        <v>1568</v>
      </c>
    </row>
    <row r="479" customFormat="false" ht="15" hidden="false" customHeight="true" outlineLevel="0" collapsed="false">
      <c r="B479" s="1" t="s">
        <v>1570</v>
      </c>
      <c r="C479" s="1" t="s">
        <v>1081</v>
      </c>
      <c r="D479" s="1" t="n">
        <v>6200</v>
      </c>
      <c r="E479" s="1" t="s">
        <v>128</v>
      </c>
      <c r="K479" s="1" t="s">
        <v>1571</v>
      </c>
    </row>
    <row r="480" customFormat="false" ht="15" hidden="false" customHeight="true" outlineLevel="0" collapsed="false">
      <c r="B480" s="1" t="s">
        <v>1574</v>
      </c>
      <c r="C480" s="1" t="s">
        <v>1081</v>
      </c>
      <c r="D480" s="1" t="n">
        <v>0</v>
      </c>
      <c r="E480" s="1" t="s">
        <v>131</v>
      </c>
      <c r="K480" s="1" t="s">
        <v>1575</v>
      </c>
    </row>
    <row r="481" customFormat="false" ht="15" hidden="false" customHeight="true" outlineLevel="0" collapsed="false">
      <c r="B481" s="1" t="s">
        <v>1576</v>
      </c>
      <c r="C481" s="1" t="s">
        <v>815</v>
      </c>
      <c r="D481" s="1" t="n">
        <v>371.59</v>
      </c>
      <c r="E481" s="1" t="s">
        <v>130</v>
      </c>
      <c r="K481" s="1" t="s">
        <v>1446</v>
      </c>
    </row>
    <row r="482" customFormat="false" ht="15" hidden="false" customHeight="true" outlineLevel="0" collapsed="false">
      <c r="B482" s="1" t="s">
        <v>1577</v>
      </c>
      <c r="C482" s="1" t="s">
        <v>354</v>
      </c>
      <c r="D482" s="1" t="n">
        <v>17025</v>
      </c>
      <c r="E482" s="1" t="s">
        <v>130</v>
      </c>
      <c r="K482" s="1" t="s">
        <v>1578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2026-10-07T14:14:52Z</dcterms:created>
  <dc:creator>openpyxl</dc:creator>
  <dc:description/>
  <dc:language>en-US</dc:language>
  <cp:lastModifiedBy/>
  <dcterms:modified xsi:type="dcterms:W3CDTF">2026-10-10T00:23:19Z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